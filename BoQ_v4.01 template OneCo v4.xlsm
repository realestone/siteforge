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547449\Downloads\"/>
    </mc:Choice>
  </mc:AlternateContent>
  <xr:revisionPtr revIDLastSave="78" documentId="13_ncr:1_{84A02C13-8CFF-4E10-8C43-2D81D2744A57}" xr6:coauthVersionLast="47" xr6:coauthVersionMax="47" xr10:uidLastSave="{270E0DC0-08AF-4686-BDBE-0D133A764E03}"/>
  <bookViews>
    <workbookView xWindow="23436" yWindow="216" windowWidth="19248" windowHeight="14760" xr2:uid="{0878DF49-BD48-48A2-8C49-432A0E876610}"/>
  </bookViews>
  <sheets>
    <sheet name="BoQ" sheetId="1" r:id="rId1"/>
    <sheet name="D365 ordering template" sheetId="7" r:id="rId2"/>
    <sheet name="BoM Griptel" sheetId="8" r:id="rId3"/>
    <sheet name="BoM Solar" sheetId="10" r:id="rId4"/>
    <sheet name="Version" sheetId="11" r:id="rId5"/>
    <sheet name="info" sheetId="2" state="hidden" r:id="rId6"/>
    <sheet name="Aux" sheetId="4" state="hidden" r:id="rId7"/>
  </sheets>
  <externalReferences>
    <externalReference r:id="rId8"/>
  </externalReferences>
  <definedNames>
    <definedName name="_xlnm._FilterDatabase" localSheetId="6" hidden="1">Aux!$B$4:$F$209</definedName>
    <definedName name="_xlnm._FilterDatabase" localSheetId="1" hidden="1">'D365 ordering template'!$A$4:$D$462</definedName>
    <definedName name="_xleta.IF" hidden="1" xlm="1">#NAME?</definedName>
    <definedName name="_xleta.IFERROR" hidden="1" xlm="1">#NAME?</definedName>
    <definedName name="_xleta.INDIRECT" hidden="1" xlm="1">#NAME?</definedName>
    <definedName name="_xleta.PRICE" hidden="1" xlm="1">#NAME?</definedName>
    <definedName name="Slicer_Product_category">#N/A</definedName>
    <definedName name="Slicer_Source_of_ordering">#N/A</definedName>
    <definedName name="ver">Aux!$H$2:$H$10</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37" i="10" l="1"/>
  <c r="N138" i="10"/>
  <c r="P137" i="10"/>
  <c r="P138" i="10"/>
  <c r="Q137" i="10"/>
  <c r="Q138" i="10"/>
  <c r="R137" i="10"/>
  <c r="R138" i="10"/>
  <c r="S137" i="10"/>
  <c r="S138" i="10"/>
  <c r="A481" i="1" l="1"/>
  <c r="A480" i="1"/>
  <c r="A479" i="1"/>
  <c r="U481" i="1"/>
  <c r="O481" i="1"/>
  <c r="S481" i="1" s="1"/>
  <c r="M481" i="1"/>
  <c r="U480" i="1"/>
  <c r="O480" i="1"/>
  <c r="S480" i="1" s="1"/>
  <c r="M480" i="1"/>
  <c r="U479" i="1"/>
  <c r="O479" i="1"/>
  <c r="R479" i="1" s="1"/>
  <c r="M479" i="1"/>
  <c r="A554" i="1"/>
  <c r="A553" i="1"/>
  <c r="U554" i="1"/>
  <c r="O554" i="1"/>
  <c r="S554" i="1" s="1"/>
  <c r="M554" i="1"/>
  <c r="U553" i="1"/>
  <c r="O553" i="1"/>
  <c r="S553" i="1" s="1"/>
  <c r="M553" i="1"/>
  <c r="A453" i="1"/>
  <c r="U453" i="1"/>
  <c r="O453" i="1"/>
  <c r="Q453" i="1" s="1"/>
  <c r="M453" i="1"/>
  <c r="A446" i="1"/>
  <c r="A445" i="1"/>
  <c r="U446" i="1"/>
  <c r="O446" i="1"/>
  <c r="M446" i="1"/>
  <c r="U445" i="1"/>
  <c r="O445" i="1"/>
  <c r="S445" i="1" s="1"/>
  <c r="M445" i="1"/>
  <c r="N445" i="1"/>
  <c r="N480" i="1"/>
  <c r="N453" i="1"/>
  <c r="N481" i="1"/>
  <c r="N553" i="1"/>
  <c r="N479" i="1"/>
  <c r="N554" i="1"/>
  <c r="N446" i="1"/>
  <c r="P446" i="1" l="1"/>
  <c r="P479" i="1"/>
  <c r="Q479" i="1"/>
  <c r="S479" i="1"/>
  <c r="R481" i="1"/>
  <c r="P481" i="1"/>
  <c r="P480" i="1"/>
  <c r="Q481" i="1"/>
  <c r="Q480" i="1"/>
  <c r="R480" i="1"/>
  <c r="R553" i="1"/>
  <c r="P554" i="1"/>
  <c r="P553" i="1"/>
  <c r="Q553" i="1"/>
  <c r="Q554" i="1"/>
  <c r="R554" i="1"/>
  <c r="S453" i="1"/>
  <c r="P453" i="1"/>
  <c r="R453" i="1"/>
  <c r="Q446" i="1"/>
  <c r="R446" i="1"/>
  <c r="S446" i="1"/>
  <c r="Q445" i="1"/>
  <c r="R445" i="1"/>
  <c r="P445" i="1"/>
  <c r="U265" i="1" l="1"/>
  <c r="O265" i="1"/>
  <c r="Q265" i="1" s="1"/>
  <c r="N265" i="1"/>
  <c r="M265" i="1"/>
  <c r="A265" i="1"/>
  <c r="U96" i="1"/>
  <c r="M96" i="1"/>
  <c r="N96" i="1"/>
  <c r="O96" i="1"/>
  <c r="Q96" i="1" s="1"/>
  <c r="A95" i="1"/>
  <c r="U95" i="1"/>
  <c r="M95" i="1"/>
  <c r="N95" i="1"/>
  <c r="O95" i="1"/>
  <c r="Q95" i="1" s="1"/>
  <c r="A97" i="1"/>
  <c r="U97" i="1"/>
  <c r="M97" i="1"/>
  <c r="N97" i="1"/>
  <c r="O97" i="1"/>
  <c r="Q97" i="1" s="1"/>
  <c r="A290" i="1"/>
  <c r="M290" i="1"/>
  <c r="N290" i="1"/>
  <c r="O290" i="1"/>
  <c r="Q290" i="1" s="1"/>
  <c r="M245" i="1"/>
  <c r="A245" i="1"/>
  <c r="A283" i="1"/>
  <c r="M283" i="1"/>
  <c r="N283" i="1"/>
  <c r="O283" i="1"/>
  <c r="S283" i="1" s="1"/>
  <c r="A326" i="1"/>
  <c r="M326" i="1"/>
  <c r="N326" i="1"/>
  <c r="O326" i="1"/>
  <c r="Q326" i="1" s="1"/>
  <c r="A232" i="1"/>
  <c r="A233" i="1"/>
  <c r="M232" i="1"/>
  <c r="N232" i="1"/>
  <c r="O232" i="1"/>
  <c r="Q232" i="1" s="1"/>
  <c r="M233" i="1"/>
  <c r="N233" i="1"/>
  <c r="O233" i="1"/>
  <c r="Q233" i="1" s="1"/>
  <c r="M130" i="1"/>
  <c r="A130" i="1"/>
  <c r="A109" i="1"/>
  <c r="M109" i="1"/>
  <c r="N109" i="1"/>
  <c r="O109" i="1"/>
  <c r="Q109" i="1" s="1"/>
  <c r="A82" i="1"/>
  <c r="M82" i="1"/>
  <c r="N82" i="1"/>
  <c r="O82" i="1"/>
  <c r="Q82" i="1" s="1"/>
  <c r="A208" i="1"/>
  <c r="M208" i="1"/>
  <c r="N208" i="1"/>
  <c r="O208" i="1"/>
  <c r="Q208" i="1" s="1"/>
  <c r="M249" i="1"/>
  <c r="A249" i="1"/>
  <c r="A411" i="1"/>
  <c r="M411" i="1"/>
  <c r="N411" i="1"/>
  <c r="O411" i="1"/>
  <c r="Q411" i="1" s="1"/>
  <c r="A415" i="1"/>
  <c r="A413" i="1"/>
  <c r="M413" i="1"/>
  <c r="N413" i="1"/>
  <c r="O413" i="1"/>
  <c r="Q413" i="1" s="1"/>
  <c r="A179" i="1"/>
  <c r="M179" i="1"/>
  <c r="N179" i="1"/>
  <c r="O179" i="1"/>
  <c r="S179" i="1" s="1"/>
  <c r="A410" i="1"/>
  <c r="M410" i="1"/>
  <c r="N410" i="1"/>
  <c r="O410" i="1"/>
  <c r="Q410" i="1" s="1"/>
  <c r="A428" i="1"/>
  <c r="M428" i="1"/>
  <c r="N428" i="1"/>
  <c r="O428" i="1"/>
  <c r="Q428" i="1" s="1"/>
  <c r="A378" i="1"/>
  <c r="M378" i="1"/>
  <c r="N378" i="1"/>
  <c r="O378" i="1"/>
  <c r="Q378" i="1" s="1"/>
  <c r="A426" i="1"/>
  <c r="A427" i="1"/>
  <c r="A425" i="1"/>
  <c r="A424" i="1"/>
  <c r="A423" i="1"/>
  <c r="S265" i="1" l="1"/>
  <c r="P265" i="1"/>
  <c r="R265" i="1"/>
  <c r="P96" i="1"/>
  <c r="S96" i="1"/>
  <c r="R96" i="1"/>
  <c r="P95" i="1"/>
  <c r="S95" i="1"/>
  <c r="R95" i="1"/>
  <c r="P97" i="1"/>
  <c r="S97" i="1"/>
  <c r="R97" i="1"/>
  <c r="P290" i="1"/>
  <c r="S290" i="1"/>
  <c r="U290" i="1"/>
  <c r="R290" i="1"/>
  <c r="P283" i="1"/>
  <c r="Q283" i="1"/>
  <c r="U283" i="1"/>
  <c r="R283" i="1"/>
  <c r="P326" i="1"/>
  <c r="S326" i="1"/>
  <c r="U326" i="1"/>
  <c r="R326" i="1"/>
  <c r="S232" i="1"/>
  <c r="P232" i="1"/>
  <c r="U232" i="1"/>
  <c r="R232" i="1"/>
  <c r="P233" i="1"/>
  <c r="U233" i="1"/>
  <c r="S233" i="1"/>
  <c r="R233" i="1"/>
  <c r="S109" i="1"/>
  <c r="P109" i="1"/>
  <c r="U109" i="1"/>
  <c r="R109" i="1"/>
  <c r="P82" i="1"/>
  <c r="S82" i="1"/>
  <c r="U82" i="1"/>
  <c r="R82" i="1"/>
  <c r="S208" i="1"/>
  <c r="P208" i="1"/>
  <c r="U208" i="1"/>
  <c r="R208" i="1"/>
  <c r="P411" i="1"/>
  <c r="S411" i="1"/>
  <c r="U411" i="1"/>
  <c r="R411" i="1"/>
  <c r="S413" i="1"/>
  <c r="P413" i="1"/>
  <c r="U413" i="1"/>
  <c r="R413" i="1"/>
  <c r="P179" i="1"/>
  <c r="Q179" i="1"/>
  <c r="U179" i="1"/>
  <c r="R179" i="1"/>
  <c r="P410" i="1"/>
  <c r="U410" i="1"/>
  <c r="S410" i="1"/>
  <c r="R410" i="1"/>
  <c r="S428" i="1"/>
  <c r="P428" i="1"/>
  <c r="U428" i="1"/>
  <c r="R428" i="1"/>
  <c r="P378" i="1"/>
  <c r="U378" i="1"/>
  <c r="S378" i="1"/>
  <c r="R378" i="1"/>
  <c r="A420" i="1" l="1"/>
  <c r="A418" i="1"/>
  <c r="A419" i="1"/>
  <c r="U418" i="1"/>
  <c r="M418" i="1"/>
  <c r="N418" i="1"/>
  <c r="O418" i="1"/>
  <c r="U419" i="1"/>
  <c r="M419" i="1"/>
  <c r="N419" i="1"/>
  <c r="O419" i="1"/>
  <c r="U420" i="1"/>
  <c r="M420" i="1"/>
  <c r="N420" i="1"/>
  <c r="O420" i="1"/>
  <c r="U423" i="1"/>
  <c r="M423" i="1"/>
  <c r="N423" i="1"/>
  <c r="O423" i="1"/>
  <c r="U424" i="1"/>
  <c r="M424" i="1"/>
  <c r="N424" i="1"/>
  <c r="O424" i="1"/>
  <c r="S424" i="1" s="1"/>
  <c r="U425" i="1"/>
  <c r="M425" i="1"/>
  <c r="N425" i="1"/>
  <c r="O425" i="1"/>
  <c r="U426" i="1"/>
  <c r="M426" i="1"/>
  <c r="N426" i="1"/>
  <c r="O426" i="1"/>
  <c r="M427" i="1"/>
  <c r="N427" i="1"/>
  <c r="O427" i="1"/>
  <c r="Q427" i="1" s="1"/>
  <c r="A416" i="1"/>
  <c r="A417" i="1"/>
  <c r="M416" i="1"/>
  <c r="N416" i="1"/>
  <c r="O416" i="1"/>
  <c r="Q416" i="1" s="1"/>
  <c r="M417" i="1"/>
  <c r="N417" i="1"/>
  <c r="O417" i="1"/>
  <c r="Q417" i="1" s="1"/>
  <c r="A412" i="1"/>
  <c r="A414" i="1"/>
  <c r="U412" i="1"/>
  <c r="M412" i="1"/>
  <c r="N412" i="1"/>
  <c r="O412" i="1"/>
  <c r="Q412" i="1" s="1"/>
  <c r="M414" i="1"/>
  <c r="N414" i="1"/>
  <c r="O414" i="1"/>
  <c r="Q414" i="1" s="1"/>
  <c r="A48" i="1"/>
  <c r="U48" i="1"/>
  <c r="M48" i="1"/>
  <c r="N48" i="1"/>
  <c r="O48" i="1"/>
  <c r="A388" i="1"/>
  <c r="U388" i="1"/>
  <c r="M388" i="1"/>
  <c r="N388" i="1"/>
  <c r="O388" i="1"/>
  <c r="A421" i="1"/>
  <c r="A422" i="1"/>
  <c r="M421" i="1"/>
  <c r="N421" i="1"/>
  <c r="O421" i="1"/>
  <c r="Q421" i="1" s="1"/>
  <c r="M422" i="1"/>
  <c r="N422" i="1"/>
  <c r="O422" i="1"/>
  <c r="S422" i="1" s="1"/>
  <c r="A401" i="1"/>
  <c r="A402" i="1"/>
  <c r="M401" i="1"/>
  <c r="N401" i="1"/>
  <c r="O401" i="1"/>
  <c r="Q401" i="1" s="1"/>
  <c r="M402" i="1"/>
  <c r="N402" i="1"/>
  <c r="O402" i="1"/>
  <c r="S402" i="1" s="1"/>
  <c r="A70" i="1"/>
  <c r="M70" i="1"/>
  <c r="N70" i="1"/>
  <c r="O70" i="1"/>
  <c r="S70" i="1" s="1"/>
  <c r="A87" i="1"/>
  <c r="M87" i="1"/>
  <c r="N87" i="1"/>
  <c r="O87" i="1"/>
  <c r="S87" i="1" s="1"/>
  <c r="A100" i="1"/>
  <c r="A101" i="1"/>
  <c r="A102" i="1"/>
  <c r="A103" i="1"/>
  <c r="M100" i="1"/>
  <c r="N100" i="1"/>
  <c r="O100" i="1"/>
  <c r="Q100" i="1" s="1"/>
  <c r="M101" i="1"/>
  <c r="N101" i="1"/>
  <c r="O101" i="1"/>
  <c r="Q101" i="1" s="1"/>
  <c r="M102" i="1"/>
  <c r="N102" i="1"/>
  <c r="O102" i="1"/>
  <c r="Q102" i="1" s="1"/>
  <c r="M103" i="1"/>
  <c r="N103" i="1"/>
  <c r="O103" i="1"/>
  <c r="Q103" i="1" s="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2" i="1"/>
  <c r="A451" i="1"/>
  <c r="A450" i="1"/>
  <c r="A449" i="1"/>
  <c r="A448" i="1"/>
  <c r="A447" i="1"/>
  <c r="A444" i="1"/>
  <c r="A443" i="1"/>
  <c r="A442" i="1"/>
  <c r="A441" i="1"/>
  <c r="A440" i="1"/>
  <c r="A439" i="1"/>
  <c r="A438" i="1"/>
  <c r="A437" i="1"/>
  <c r="A436" i="1"/>
  <c r="A435" i="1"/>
  <c r="A434" i="1"/>
  <c r="A433" i="1"/>
  <c r="A432" i="1"/>
  <c r="A431" i="1"/>
  <c r="A430" i="1"/>
  <c r="A429" i="1"/>
  <c r="A409" i="1"/>
  <c r="A408" i="1"/>
  <c r="A407" i="1"/>
  <c r="A406" i="1"/>
  <c r="A405" i="1"/>
  <c r="A404" i="1"/>
  <c r="A403" i="1"/>
  <c r="A400" i="1"/>
  <c r="A399" i="1"/>
  <c r="A398" i="1"/>
  <c r="A397" i="1"/>
  <c r="A396" i="1"/>
  <c r="A395" i="1"/>
  <c r="A394" i="1"/>
  <c r="A393" i="1"/>
  <c r="A392" i="1"/>
  <c r="A391" i="1"/>
  <c r="A390" i="1"/>
  <c r="A389" i="1"/>
  <c r="A387" i="1"/>
  <c r="A386" i="1"/>
  <c r="A385" i="1"/>
  <c r="A384" i="1"/>
  <c r="A383" i="1"/>
  <c r="A382" i="1"/>
  <c r="A381" i="1"/>
  <c r="A380" i="1"/>
  <c r="A379"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89" i="1"/>
  <c r="A288" i="1"/>
  <c r="A287" i="1"/>
  <c r="A286" i="1"/>
  <c r="A285" i="1"/>
  <c r="A284" i="1"/>
  <c r="A282" i="1"/>
  <c r="A281" i="1"/>
  <c r="A280" i="1"/>
  <c r="A279" i="1"/>
  <c r="A278" i="1"/>
  <c r="A277" i="1"/>
  <c r="A276" i="1"/>
  <c r="A275" i="1"/>
  <c r="A274" i="1"/>
  <c r="A273" i="1"/>
  <c r="A272" i="1"/>
  <c r="A271" i="1"/>
  <c r="A270" i="1"/>
  <c r="A269" i="1"/>
  <c r="A268" i="1"/>
  <c r="A267" i="1"/>
  <c r="A266" i="1"/>
  <c r="A264" i="1"/>
  <c r="A263" i="1"/>
  <c r="A262" i="1"/>
  <c r="A261" i="1"/>
  <c r="A260" i="1"/>
  <c r="A259" i="1"/>
  <c r="A258" i="1"/>
  <c r="A257" i="1"/>
  <c r="A256" i="1"/>
  <c r="A255" i="1"/>
  <c r="A254" i="1"/>
  <c r="A253" i="1"/>
  <c r="A252" i="1"/>
  <c r="A251" i="1"/>
  <c r="A250" i="1"/>
  <c r="A248" i="1"/>
  <c r="A247" i="1"/>
  <c r="A246" i="1"/>
  <c r="A244" i="1"/>
  <c r="A243" i="1"/>
  <c r="A242" i="1"/>
  <c r="A241" i="1"/>
  <c r="A240" i="1"/>
  <c r="A239" i="1"/>
  <c r="A238" i="1"/>
  <c r="A237" i="1"/>
  <c r="A236" i="1"/>
  <c r="A235" i="1"/>
  <c r="A234" i="1"/>
  <c r="A231" i="1"/>
  <c r="A230" i="1"/>
  <c r="A229" i="1"/>
  <c r="A228" i="1"/>
  <c r="A227" i="1"/>
  <c r="A226" i="1"/>
  <c r="A225" i="1"/>
  <c r="A224" i="1"/>
  <c r="A223" i="1"/>
  <c r="A222" i="1"/>
  <c r="A221" i="1"/>
  <c r="A220" i="1"/>
  <c r="A219" i="1"/>
  <c r="A218" i="1"/>
  <c r="A217" i="1"/>
  <c r="A216" i="1"/>
  <c r="A215" i="1"/>
  <c r="A214" i="1"/>
  <c r="A213" i="1"/>
  <c r="A212" i="1"/>
  <c r="A211" i="1"/>
  <c r="A210" i="1"/>
  <c r="A209"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29" i="1"/>
  <c r="A128" i="1"/>
  <c r="A127" i="1"/>
  <c r="A126" i="1"/>
  <c r="A125" i="1"/>
  <c r="A124" i="1"/>
  <c r="A123" i="1"/>
  <c r="A122" i="1"/>
  <c r="A121" i="1"/>
  <c r="A120" i="1"/>
  <c r="A119" i="1"/>
  <c r="A118" i="1"/>
  <c r="A117" i="1"/>
  <c r="A116" i="1"/>
  <c r="A115" i="1"/>
  <c r="A114" i="1"/>
  <c r="A113" i="1"/>
  <c r="A112" i="1"/>
  <c r="A111" i="1"/>
  <c r="A110" i="1"/>
  <c r="A108" i="1"/>
  <c r="A107" i="1"/>
  <c r="A106" i="1"/>
  <c r="A105" i="1"/>
  <c r="A104" i="1"/>
  <c r="A99" i="1"/>
  <c r="A98" i="1"/>
  <c r="A94" i="1"/>
  <c r="A93" i="1"/>
  <c r="A92" i="1"/>
  <c r="A91" i="1"/>
  <c r="A90" i="1"/>
  <c r="A89" i="1"/>
  <c r="A88" i="1"/>
  <c r="A86" i="1"/>
  <c r="A85" i="1"/>
  <c r="A84" i="1"/>
  <c r="A83" i="1"/>
  <c r="A81" i="1"/>
  <c r="A80" i="1"/>
  <c r="A79" i="1"/>
  <c r="A78" i="1"/>
  <c r="A77" i="1"/>
  <c r="A76" i="1"/>
  <c r="A75" i="1"/>
  <c r="A74" i="1"/>
  <c r="A73" i="1"/>
  <c r="A72" i="1"/>
  <c r="A71" i="1"/>
  <c r="A69" i="1"/>
  <c r="A68" i="1"/>
  <c r="A67" i="1"/>
  <c r="A66" i="1"/>
  <c r="A65" i="1"/>
  <c r="A64" i="1"/>
  <c r="A63" i="1"/>
  <c r="A62" i="1"/>
  <c r="A61" i="1"/>
  <c r="A60" i="1"/>
  <c r="A59" i="1"/>
  <c r="A58" i="1"/>
  <c r="A57" i="1"/>
  <c r="A56" i="1"/>
  <c r="A55" i="1"/>
  <c r="A54" i="1"/>
  <c r="A53" i="1"/>
  <c r="A52" i="1"/>
  <c r="A51" i="1"/>
  <c r="A50" i="1"/>
  <c r="A49"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M116" i="1"/>
  <c r="N116" i="1"/>
  <c r="O116" i="1"/>
  <c r="Q116" i="1" s="1"/>
  <c r="U117" i="1"/>
  <c r="M117" i="1"/>
  <c r="N117" i="1"/>
  <c r="O117" i="1"/>
  <c r="M118" i="1"/>
  <c r="N118" i="1"/>
  <c r="O118" i="1"/>
  <c r="Q118" i="1" s="1"/>
  <c r="U119" i="1"/>
  <c r="M119" i="1"/>
  <c r="N119" i="1"/>
  <c r="O119" i="1"/>
  <c r="Q119" i="1" s="1"/>
  <c r="M120" i="1"/>
  <c r="N120" i="1"/>
  <c r="O120" i="1"/>
  <c r="Q120" i="1" s="1"/>
  <c r="M121" i="1"/>
  <c r="N121" i="1"/>
  <c r="O121" i="1"/>
  <c r="Q121" i="1" s="1"/>
  <c r="M122" i="1"/>
  <c r="N122" i="1"/>
  <c r="O122" i="1"/>
  <c r="Q122" i="1" s="1"/>
  <c r="M106" i="1"/>
  <c r="N106" i="1"/>
  <c r="O106" i="1"/>
  <c r="Q106" i="1" s="1"/>
  <c r="M176" i="1"/>
  <c r="N176" i="1"/>
  <c r="O176" i="1"/>
  <c r="S176" i="1" s="1"/>
  <c r="U177" i="1"/>
  <c r="M177" i="1"/>
  <c r="N177" i="1"/>
  <c r="O177" i="1"/>
  <c r="S177" i="1" s="1"/>
  <c r="M178" i="1"/>
  <c r="N178" i="1"/>
  <c r="O178" i="1"/>
  <c r="Q178" i="1" s="1"/>
  <c r="M251" i="1"/>
  <c r="N251" i="1"/>
  <c r="O251" i="1"/>
  <c r="Q251" i="1" s="1"/>
  <c r="U252" i="1"/>
  <c r="M252" i="1"/>
  <c r="N252" i="1"/>
  <c r="O252" i="1"/>
  <c r="S252" i="1" s="1"/>
  <c r="M253" i="1"/>
  <c r="N253" i="1"/>
  <c r="O253" i="1"/>
  <c r="Q253" i="1" s="1"/>
  <c r="O334" i="1"/>
  <c r="Q334" i="1" s="1"/>
  <c r="N334" i="1"/>
  <c r="M334" i="1"/>
  <c r="M350" i="1"/>
  <c r="N350" i="1"/>
  <c r="O350" i="1"/>
  <c r="S350" i="1" s="1"/>
  <c r="R420" i="1" l="1"/>
  <c r="R419" i="1"/>
  <c r="P426" i="1"/>
  <c r="R423" i="1"/>
  <c r="P425" i="1"/>
  <c r="P418" i="1"/>
  <c r="R425" i="1"/>
  <c r="Q424" i="1"/>
  <c r="Q420" i="1"/>
  <c r="P424" i="1"/>
  <c r="P420" i="1"/>
  <c r="P427" i="1"/>
  <c r="S426" i="1"/>
  <c r="Q423" i="1"/>
  <c r="P419" i="1"/>
  <c r="R426" i="1"/>
  <c r="P423" i="1"/>
  <c r="Q426" i="1"/>
  <c r="S420" i="1"/>
  <c r="R424" i="1"/>
  <c r="Q419" i="1"/>
  <c r="S418" i="1"/>
  <c r="R418" i="1"/>
  <c r="S423" i="1"/>
  <c r="Q418" i="1"/>
  <c r="S425" i="1"/>
  <c r="Q425" i="1"/>
  <c r="S419" i="1"/>
  <c r="U427" i="1"/>
  <c r="S427" i="1"/>
  <c r="R427" i="1"/>
  <c r="P416" i="1"/>
  <c r="S417" i="1"/>
  <c r="P417" i="1"/>
  <c r="U416" i="1"/>
  <c r="S416" i="1"/>
  <c r="R416" i="1"/>
  <c r="U417" i="1"/>
  <c r="R417" i="1"/>
  <c r="P412" i="1"/>
  <c r="S412" i="1"/>
  <c r="R412" i="1"/>
  <c r="P414" i="1"/>
  <c r="U414" i="1"/>
  <c r="S414" i="1"/>
  <c r="R414" i="1"/>
  <c r="R48" i="1"/>
  <c r="P48" i="1"/>
  <c r="S48" i="1"/>
  <c r="Q48" i="1"/>
  <c r="P388" i="1"/>
  <c r="S388" i="1"/>
  <c r="R388" i="1"/>
  <c r="Q388" i="1"/>
  <c r="P422" i="1"/>
  <c r="P421" i="1"/>
  <c r="Q422" i="1"/>
  <c r="U421" i="1"/>
  <c r="S421" i="1"/>
  <c r="R421" i="1"/>
  <c r="U422" i="1"/>
  <c r="R422" i="1"/>
  <c r="P402" i="1"/>
  <c r="P401" i="1"/>
  <c r="R401" i="1"/>
  <c r="Q402" i="1"/>
  <c r="R402" i="1"/>
  <c r="U401" i="1"/>
  <c r="S401" i="1"/>
  <c r="U402" i="1"/>
  <c r="Q70" i="1"/>
  <c r="R70" i="1"/>
  <c r="P70" i="1"/>
  <c r="U70" i="1"/>
  <c r="Q87" i="1"/>
  <c r="P87" i="1"/>
  <c r="U87" i="1"/>
  <c r="R87" i="1"/>
  <c r="P100" i="1"/>
  <c r="S101" i="1"/>
  <c r="P101" i="1"/>
  <c r="U100" i="1"/>
  <c r="S100" i="1"/>
  <c r="R100" i="1"/>
  <c r="P103" i="1"/>
  <c r="U101" i="1"/>
  <c r="R101" i="1"/>
  <c r="P102" i="1"/>
  <c r="S103" i="1"/>
  <c r="U102" i="1"/>
  <c r="S102" i="1"/>
  <c r="R102" i="1"/>
  <c r="U103" i="1"/>
  <c r="R103" i="1"/>
  <c r="P121" i="1"/>
  <c r="P116" i="1"/>
  <c r="P117" i="1"/>
  <c r="U116" i="1"/>
  <c r="S116" i="1"/>
  <c r="R116" i="1"/>
  <c r="P122" i="1"/>
  <c r="R118" i="1"/>
  <c r="S117" i="1"/>
  <c r="S120" i="1"/>
  <c r="R117" i="1"/>
  <c r="Q117" i="1"/>
  <c r="R120" i="1"/>
  <c r="P118" i="1"/>
  <c r="S119" i="1"/>
  <c r="R119" i="1"/>
  <c r="U118" i="1"/>
  <c r="P120" i="1"/>
  <c r="U121" i="1"/>
  <c r="S118" i="1"/>
  <c r="U120" i="1"/>
  <c r="S121" i="1"/>
  <c r="R121" i="1"/>
  <c r="P119" i="1"/>
  <c r="S122" i="1"/>
  <c r="R122" i="1"/>
  <c r="U122" i="1"/>
  <c r="R106" i="1"/>
  <c r="U106" i="1"/>
  <c r="S106" i="1"/>
  <c r="P106" i="1"/>
  <c r="R176" i="1"/>
  <c r="Q176" i="1"/>
  <c r="Q177" i="1"/>
  <c r="P178" i="1"/>
  <c r="U176" i="1"/>
  <c r="P176" i="1"/>
  <c r="P177" i="1"/>
  <c r="R177" i="1"/>
  <c r="U178" i="1"/>
  <c r="S178" i="1"/>
  <c r="R178" i="1"/>
  <c r="P253" i="1"/>
  <c r="P251" i="1"/>
  <c r="Q252" i="1"/>
  <c r="S251" i="1"/>
  <c r="U251" i="1"/>
  <c r="R251" i="1"/>
  <c r="S253" i="1"/>
  <c r="R252" i="1"/>
  <c r="P252" i="1"/>
  <c r="R253" i="1"/>
  <c r="U253" i="1"/>
  <c r="R334" i="1"/>
  <c r="S334" i="1"/>
  <c r="U334" i="1"/>
  <c r="P334" i="1"/>
  <c r="P350" i="1"/>
  <c r="R350" i="1"/>
  <c r="Q350" i="1"/>
  <c r="U350" i="1"/>
  <c r="M351" i="1"/>
  <c r="N351" i="1"/>
  <c r="O351" i="1"/>
  <c r="S351" i="1" s="1"/>
  <c r="U352" i="1"/>
  <c r="M352" i="1"/>
  <c r="N352" i="1"/>
  <c r="O352" i="1"/>
  <c r="S352" i="1" s="1"/>
  <c r="M353" i="1"/>
  <c r="N353" i="1"/>
  <c r="O353" i="1"/>
  <c r="Q353" i="1" s="1"/>
  <c r="M354" i="1"/>
  <c r="N354" i="1"/>
  <c r="O354" i="1"/>
  <c r="Q354" i="1" s="1"/>
  <c r="M218" i="1"/>
  <c r="N218" i="1"/>
  <c r="O218" i="1"/>
  <c r="Q218" i="1" s="1"/>
  <c r="M201" i="1"/>
  <c r="N201" i="1"/>
  <c r="O201" i="1"/>
  <c r="Q201" i="1" s="1"/>
  <c r="M110" i="1"/>
  <c r="N110" i="1"/>
  <c r="O110" i="1"/>
  <c r="S110" i="1" s="1"/>
  <c r="M174" i="1"/>
  <c r="N174" i="1"/>
  <c r="O174" i="1"/>
  <c r="S174" i="1" s="1"/>
  <c r="M183" i="1"/>
  <c r="N183" i="1"/>
  <c r="O183" i="1"/>
  <c r="S183" i="1" s="1"/>
  <c r="M175" i="1"/>
  <c r="N175" i="1"/>
  <c r="O175" i="1"/>
  <c r="Q175" i="1" s="1"/>
  <c r="U157" i="1"/>
  <c r="M157" i="1"/>
  <c r="N157" i="1"/>
  <c r="O157" i="1"/>
  <c r="Q157" i="1" s="1"/>
  <c r="M14" i="1"/>
  <c r="N14" i="1"/>
  <c r="O14" i="1"/>
  <c r="Q14" i="1" s="1"/>
  <c r="M200" i="1"/>
  <c r="N200" i="1"/>
  <c r="O200" i="1"/>
  <c r="U199" i="1"/>
  <c r="M199" i="1"/>
  <c r="N199" i="1"/>
  <c r="O199" i="1"/>
  <c r="M195" i="1"/>
  <c r="N195" i="1"/>
  <c r="O195" i="1"/>
  <c r="Q195" i="1" s="1"/>
  <c r="M196" i="1"/>
  <c r="N196" i="1"/>
  <c r="O196" i="1"/>
  <c r="Q196" i="1" s="1"/>
  <c r="M197" i="1"/>
  <c r="N197" i="1"/>
  <c r="O197" i="1"/>
  <c r="Q197" i="1" s="1"/>
  <c r="M198" i="1"/>
  <c r="N198" i="1"/>
  <c r="O198" i="1"/>
  <c r="Q198" i="1" s="1"/>
  <c r="M131" i="1"/>
  <c r="N131" i="1"/>
  <c r="O131" i="1"/>
  <c r="Q131" i="1" s="1"/>
  <c r="M132" i="1"/>
  <c r="N132" i="1"/>
  <c r="O132" i="1"/>
  <c r="Q132" i="1" s="1"/>
  <c r="M133" i="1"/>
  <c r="N133" i="1"/>
  <c r="O133" i="1"/>
  <c r="S133" i="1" s="1"/>
  <c r="U128" i="1"/>
  <c r="M128" i="1"/>
  <c r="N128" i="1"/>
  <c r="O128" i="1"/>
  <c r="Q128" i="1" s="1"/>
  <c r="M129" i="1"/>
  <c r="N129" i="1"/>
  <c r="O129" i="1"/>
  <c r="S129" i="1" s="1"/>
  <c r="U134" i="1"/>
  <c r="M134" i="1"/>
  <c r="N134" i="1"/>
  <c r="O134" i="1"/>
  <c r="Q134" i="1" s="1"/>
  <c r="M135" i="1"/>
  <c r="N135" i="1"/>
  <c r="O135" i="1"/>
  <c r="S135" i="1" s="1"/>
  <c r="U98" i="1"/>
  <c r="M98" i="1"/>
  <c r="N98" i="1"/>
  <c r="O98" i="1"/>
  <c r="Q98" i="1" s="1"/>
  <c r="M99" i="1"/>
  <c r="N99" i="1"/>
  <c r="O99" i="1"/>
  <c r="Q99" i="1" s="1"/>
  <c r="M335" i="1"/>
  <c r="N335" i="1"/>
  <c r="O335" i="1"/>
  <c r="Q335" i="1" s="1"/>
  <c r="M331" i="1"/>
  <c r="N331" i="1"/>
  <c r="O331" i="1"/>
  <c r="Q331" i="1" s="1"/>
  <c r="U329" i="1"/>
  <c r="M329" i="1"/>
  <c r="N329" i="1"/>
  <c r="O329" i="1"/>
  <c r="S329" i="1" s="1"/>
  <c r="M330" i="1"/>
  <c r="N330" i="1"/>
  <c r="O330" i="1"/>
  <c r="Q330" i="1" s="1"/>
  <c r="M328" i="1"/>
  <c r="N328" i="1"/>
  <c r="O328" i="1"/>
  <c r="Q328" i="1" s="1"/>
  <c r="M341" i="1"/>
  <c r="N341" i="1"/>
  <c r="O341" i="1"/>
  <c r="Q341" i="1" s="1"/>
  <c r="M337" i="1"/>
  <c r="N337" i="1"/>
  <c r="O337" i="1"/>
  <c r="S337" i="1" s="1"/>
  <c r="M338" i="1"/>
  <c r="N338" i="1"/>
  <c r="O338" i="1"/>
  <c r="Q338" i="1" s="1"/>
  <c r="M339" i="1"/>
  <c r="N339" i="1"/>
  <c r="O339" i="1"/>
  <c r="S339" i="1" s="1"/>
  <c r="M47" i="1"/>
  <c r="S353" i="1" l="1"/>
  <c r="S354" i="1"/>
  <c r="Q351" i="1"/>
  <c r="Q352" i="1"/>
  <c r="P353" i="1"/>
  <c r="P354" i="1"/>
  <c r="R353" i="1"/>
  <c r="P351" i="1"/>
  <c r="R352" i="1"/>
  <c r="P352" i="1"/>
  <c r="U353" i="1"/>
  <c r="U351" i="1"/>
  <c r="U354" i="1"/>
  <c r="R351" i="1"/>
  <c r="R354" i="1"/>
  <c r="S218" i="1"/>
  <c r="P218" i="1"/>
  <c r="U218" i="1"/>
  <c r="R218" i="1"/>
  <c r="P201" i="1"/>
  <c r="S201" i="1"/>
  <c r="U201" i="1"/>
  <c r="R201" i="1"/>
  <c r="P110" i="1"/>
  <c r="Q110" i="1"/>
  <c r="U110" i="1"/>
  <c r="R110" i="1"/>
  <c r="P174" i="1"/>
  <c r="Q174" i="1"/>
  <c r="U174" i="1"/>
  <c r="R174" i="1"/>
  <c r="Q183" i="1"/>
  <c r="P183" i="1"/>
  <c r="P175" i="1"/>
  <c r="S175" i="1"/>
  <c r="U183" i="1"/>
  <c r="R183" i="1"/>
  <c r="U175" i="1"/>
  <c r="R175" i="1"/>
  <c r="R157" i="1"/>
  <c r="S157" i="1"/>
  <c r="P157" i="1"/>
  <c r="S14" i="1"/>
  <c r="P14" i="1"/>
  <c r="U14" i="1"/>
  <c r="R14" i="1"/>
  <c r="P200" i="1"/>
  <c r="S200" i="1"/>
  <c r="Q200" i="1"/>
  <c r="R200" i="1"/>
  <c r="R199" i="1"/>
  <c r="U200" i="1"/>
  <c r="P199" i="1"/>
  <c r="S199" i="1"/>
  <c r="Q199" i="1"/>
  <c r="S195" i="1"/>
  <c r="P195" i="1"/>
  <c r="U195" i="1"/>
  <c r="R195" i="1"/>
  <c r="P196" i="1"/>
  <c r="S197" i="1"/>
  <c r="U196" i="1"/>
  <c r="S196" i="1"/>
  <c r="P197" i="1"/>
  <c r="R196" i="1"/>
  <c r="P198" i="1"/>
  <c r="U197" i="1"/>
  <c r="R197" i="1"/>
  <c r="U198" i="1"/>
  <c r="S198" i="1"/>
  <c r="R198" i="1"/>
  <c r="P132" i="1"/>
  <c r="P131" i="1"/>
  <c r="Q133" i="1"/>
  <c r="R131" i="1"/>
  <c r="U131" i="1"/>
  <c r="S131" i="1"/>
  <c r="P133" i="1"/>
  <c r="U132" i="1"/>
  <c r="S132" i="1"/>
  <c r="R132" i="1"/>
  <c r="U133" i="1"/>
  <c r="R133" i="1"/>
  <c r="S134" i="1"/>
  <c r="R134" i="1"/>
  <c r="P134" i="1"/>
  <c r="Q135" i="1"/>
  <c r="R129" i="1"/>
  <c r="P129" i="1"/>
  <c r="P135" i="1"/>
  <c r="Q129" i="1"/>
  <c r="U135" i="1"/>
  <c r="S128" i="1"/>
  <c r="R128" i="1"/>
  <c r="P128" i="1"/>
  <c r="R135" i="1"/>
  <c r="U129" i="1"/>
  <c r="P99" i="1"/>
  <c r="S98" i="1"/>
  <c r="P98" i="1"/>
  <c r="R98" i="1"/>
  <c r="U99" i="1"/>
  <c r="S99" i="1"/>
  <c r="R99" i="1"/>
  <c r="P335" i="1"/>
  <c r="U335" i="1"/>
  <c r="S335" i="1"/>
  <c r="R335" i="1"/>
  <c r="P331" i="1"/>
  <c r="U331" i="1"/>
  <c r="S331" i="1"/>
  <c r="R331" i="1"/>
  <c r="R330" i="1"/>
  <c r="P329" i="1"/>
  <c r="Q329" i="1"/>
  <c r="R329" i="1"/>
  <c r="U330" i="1"/>
  <c r="P330" i="1"/>
  <c r="S330" i="1"/>
  <c r="P328" i="1"/>
  <c r="U328" i="1"/>
  <c r="S328" i="1"/>
  <c r="R328" i="1"/>
  <c r="P341" i="1"/>
  <c r="U341" i="1"/>
  <c r="S341" i="1"/>
  <c r="R341" i="1"/>
  <c r="Q337" i="1"/>
  <c r="R339" i="1"/>
  <c r="P338" i="1"/>
  <c r="R337" i="1"/>
  <c r="U337" i="1"/>
  <c r="P337" i="1"/>
  <c r="U338" i="1"/>
  <c r="S338" i="1"/>
  <c r="R338" i="1"/>
  <c r="U339" i="1"/>
  <c r="Q339" i="1"/>
  <c r="P339" i="1"/>
  <c r="M180" i="1" l="1"/>
  <c r="N180" i="1"/>
  <c r="O180" i="1"/>
  <c r="Q180" i="1" s="1"/>
  <c r="U362" i="1"/>
  <c r="M362" i="1"/>
  <c r="N362" i="1"/>
  <c r="O362" i="1"/>
  <c r="Q362" i="1" s="1"/>
  <c r="M18" i="1"/>
  <c r="N18" i="1"/>
  <c r="O18" i="1"/>
  <c r="Q18" i="1" s="1"/>
  <c r="M372" i="1"/>
  <c r="N372" i="1"/>
  <c r="O372" i="1"/>
  <c r="Q372" i="1" s="1"/>
  <c r="M373" i="1"/>
  <c r="N373" i="1"/>
  <c r="O373" i="1"/>
  <c r="M297" i="1"/>
  <c r="N297" i="1"/>
  <c r="O297" i="1"/>
  <c r="Q297" i="1" s="1"/>
  <c r="M344" i="1"/>
  <c r="N344" i="1"/>
  <c r="O344" i="1"/>
  <c r="Q344" i="1" s="1"/>
  <c r="M379" i="1"/>
  <c r="N379" i="1"/>
  <c r="O379" i="1"/>
  <c r="Q379" i="1" s="1"/>
  <c r="M215" i="1"/>
  <c r="N215" i="1"/>
  <c r="O215" i="1"/>
  <c r="Q215" i="1" s="1"/>
  <c r="M361" i="1"/>
  <c r="N361" i="1"/>
  <c r="O361" i="1"/>
  <c r="Q361" i="1" s="1"/>
  <c r="M400" i="1"/>
  <c r="N400" i="1"/>
  <c r="O400" i="1"/>
  <c r="Q400" i="1" s="1"/>
  <c r="M387" i="1"/>
  <c r="N387" i="1"/>
  <c r="O387" i="1"/>
  <c r="Q387" i="1" s="1"/>
  <c r="M340" i="1"/>
  <c r="N340" i="1"/>
  <c r="O340" i="1"/>
  <c r="Q340" i="1" s="1"/>
  <c r="M67" i="1"/>
  <c r="N67" i="1"/>
  <c r="O67" i="1"/>
  <c r="Q67" i="1" s="1"/>
  <c r="M385" i="1"/>
  <c r="N385" i="1"/>
  <c r="O385" i="1"/>
  <c r="Q385" i="1" s="1"/>
  <c r="M173" i="1"/>
  <c r="U173" i="1"/>
  <c r="N173" i="1"/>
  <c r="O173" i="1"/>
  <c r="Q173" i="1" s="1"/>
  <c r="M286" i="1"/>
  <c r="N286" i="1"/>
  <c r="O286" i="1"/>
  <c r="Q286" i="1" s="1"/>
  <c r="M376" i="1"/>
  <c r="N376" i="1"/>
  <c r="O376" i="1"/>
  <c r="Q376" i="1" s="1"/>
  <c r="M377" i="1"/>
  <c r="N377" i="1"/>
  <c r="O377" i="1"/>
  <c r="Q377" i="1" s="1"/>
  <c r="M318" i="1"/>
  <c r="N318" i="1"/>
  <c r="O318" i="1"/>
  <c r="Q318" i="1" s="1"/>
  <c r="U108" i="1"/>
  <c r="U205" i="1"/>
  <c r="U257" i="1"/>
  <c r="U258" i="1"/>
  <c r="U259" i="1"/>
  <c r="U606" i="1"/>
  <c r="U607" i="1"/>
  <c r="U608" i="1"/>
  <c r="U609" i="1"/>
  <c r="U610" i="1"/>
  <c r="U611" i="1"/>
  <c r="U612" i="1"/>
  <c r="U613" i="1"/>
  <c r="M259" i="1"/>
  <c r="M258" i="1"/>
  <c r="M257" i="1"/>
  <c r="N257" i="1"/>
  <c r="O257" i="1"/>
  <c r="N258" i="1"/>
  <c r="O258" i="1"/>
  <c r="N259" i="1"/>
  <c r="O259" i="1"/>
  <c r="M205" i="1"/>
  <c r="N205" i="1"/>
  <c r="O205" i="1"/>
  <c r="M108" i="1"/>
  <c r="N108" i="1"/>
  <c r="O108" i="1"/>
  <c r="M607" i="1"/>
  <c r="M608" i="1"/>
  <c r="M609" i="1"/>
  <c r="M610" i="1"/>
  <c r="M611" i="1"/>
  <c r="M612" i="1"/>
  <c r="M613" i="1"/>
  <c r="O607" i="1"/>
  <c r="Q607" i="1" s="1"/>
  <c r="O608" i="1"/>
  <c r="Q608" i="1" s="1"/>
  <c r="O609" i="1"/>
  <c r="O610" i="1"/>
  <c r="O611" i="1"/>
  <c r="Q611" i="1" s="1"/>
  <c r="O612" i="1"/>
  <c r="O613" i="1"/>
  <c r="M606" i="1"/>
  <c r="O606" i="1"/>
  <c r="Q606" i="1" s="1"/>
  <c r="P180" i="1" l="1"/>
  <c r="U180" i="1"/>
  <c r="S180" i="1"/>
  <c r="R180" i="1"/>
  <c r="S362" i="1"/>
  <c r="P362" i="1"/>
  <c r="R362" i="1"/>
  <c r="P18" i="1"/>
  <c r="U18" i="1"/>
  <c r="S18" i="1"/>
  <c r="R18" i="1"/>
  <c r="P373" i="1"/>
  <c r="P372" i="1"/>
  <c r="R373" i="1"/>
  <c r="U372" i="1"/>
  <c r="S372" i="1"/>
  <c r="R372" i="1"/>
  <c r="U373" i="1"/>
  <c r="S373" i="1"/>
  <c r="Q373" i="1"/>
  <c r="P297" i="1"/>
  <c r="U297" i="1"/>
  <c r="S297" i="1"/>
  <c r="R297" i="1"/>
  <c r="P344" i="1"/>
  <c r="U344" i="1"/>
  <c r="S344" i="1"/>
  <c r="R344" i="1"/>
  <c r="P379" i="1"/>
  <c r="U379" i="1"/>
  <c r="S379" i="1"/>
  <c r="R379" i="1"/>
  <c r="P215" i="1"/>
  <c r="U215" i="1"/>
  <c r="S215" i="1"/>
  <c r="R215" i="1"/>
  <c r="P361" i="1"/>
  <c r="U361" i="1"/>
  <c r="S361" i="1"/>
  <c r="R361" i="1"/>
  <c r="P400" i="1"/>
  <c r="U400" i="1"/>
  <c r="S400" i="1"/>
  <c r="R400" i="1"/>
  <c r="P387" i="1"/>
  <c r="S387" i="1"/>
  <c r="U387" i="1"/>
  <c r="R387" i="1"/>
  <c r="P340" i="1"/>
  <c r="U340" i="1"/>
  <c r="S340" i="1"/>
  <c r="R340" i="1"/>
  <c r="P67" i="1"/>
  <c r="U67" i="1"/>
  <c r="S67" i="1"/>
  <c r="R67" i="1"/>
  <c r="P385" i="1"/>
  <c r="U385" i="1"/>
  <c r="S385" i="1"/>
  <c r="R385" i="1"/>
  <c r="S173" i="1"/>
  <c r="R173" i="1"/>
  <c r="P173" i="1"/>
  <c r="S286" i="1"/>
  <c r="P286" i="1"/>
  <c r="U286" i="1"/>
  <c r="R286" i="1"/>
  <c r="P376" i="1"/>
  <c r="P377" i="1"/>
  <c r="U376" i="1"/>
  <c r="S376" i="1"/>
  <c r="R376" i="1"/>
  <c r="U377" i="1"/>
  <c r="S377" i="1"/>
  <c r="R377" i="1"/>
  <c r="P108" i="1"/>
  <c r="P259" i="1"/>
  <c r="P318" i="1"/>
  <c r="U318" i="1"/>
  <c r="S318" i="1"/>
  <c r="R318" i="1"/>
  <c r="P205" i="1"/>
  <c r="P258" i="1"/>
  <c r="P257" i="1"/>
  <c r="R610" i="1"/>
  <c r="R613" i="1"/>
  <c r="S259" i="1"/>
  <c r="S257" i="1"/>
  <c r="R257" i="1"/>
  <c r="Q257" i="1"/>
  <c r="R258" i="1"/>
  <c r="S258" i="1"/>
  <c r="Q258" i="1"/>
  <c r="R259" i="1"/>
  <c r="Q259" i="1"/>
  <c r="R205" i="1"/>
  <c r="Q205" i="1"/>
  <c r="S205" i="1"/>
  <c r="S108" i="1"/>
  <c r="R108" i="1"/>
  <c r="Q108" i="1"/>
  <c r="R608" i="1"/>
  <c r="R607" i="1"/>
  <c r="R611" i="1"/>
  <c r="R609" i="1"/>
  <c r="S608" i="1"/>
  <c r="Q613" i="1"/>
  <c r="Q610" i="1"/>
  <c r="Q609" i="1"/>
  <c r="S613" i="1"/>
  <c r="S609" i="1"/>
  <c r="S607" i="1"/>
  <c r="R612" i="1"/>
  <c r="S612" i="1"/>
  <c r="S611" i="1"/>
  <c r="S610" i="1"/>
  <c r="Q612" i="1"/>
  <c r="R606" i="1"/>
  <c r="S606" i="1"/>
  <c r="Q54" i="10" l="1"/>
  <c r="R54" i="10"/>
  <c r="S54" i="10"/>
  <c r="B422" i="7"/>
  <c r="C422" i="7" s="1"/>
  <c r="B423" i="7"/>
  <c r="C423" i="7" s="1"/>
  <c r="B424" i="7"/>
  <c r="C424" i="7" s="1"/>
  <c r="B425" i="7"/>
  <c r="C425" i="7" s="1"/>
  <c r="B426" i="7"/>
  <c r="C426" i="7" s="1"/>
  <c r="B427" i="7"/>
  <c r="C427" i="7" s="1"/>
  <c r="B428" i="7"/>
  <c r="C428" i="7" s="1"/>
  <c r="B429" i="7"/>
  <c r="C429" i="7" s="1"/>
  <c r="B430" i="7"/>
  <c r="C430" i="7" s="1"/>
  <c r="B431" i="7"/>
  <c r="C431" i="7" s="1"/>
  <c r="B432" i="7"/>
  <c r="C432" i="7" s="1"/>
  <c r="B433" i="7"/>
  <c r="C433" i="7" s="1"/>
  <c r="B434" i="7"/>
  <c r="C434" i="7" s="1"/>
  <c r="B435" i="7"/>
  <c r="C435" i="7" s="1"/>
  <c r="B436" i="7"/>
  <c r="C436" i="7" s="1"/>
  <c r="B437" i="7"/>
  <c r="C437" i="7" s="1"/>
  <c r="B438" i="7"/>
  <c r="C438" i="7" s="1"/>
  <c r="B439" i="7"/>
  <c r="C439" i="7" s="1"/>
  <c r="B440" i="7"/>
  <c r="C440" i="7" s="1"/>
  <c r="B441" i="7"/>
  <c r="C441" i="7" s="1"/>
  <c r="B442" i="7"/>
  <c r="C442" i="7" s="1"/>
  <c r="B443" i="7"/>
  <c r="C443" i="7" s="1"/>
  <c r="B444" i="7"/>
  <c r="C444" i="7" s="1"/>
  <c r="B445" i="7"/>
  <c r="C445" i="7" s="1"/>
  <c r="B446" i="7"/>
  <c r="C446" i="7" s="1"/>
  <c r="B447" i="7"/>
  <c r="C447" i="7" s="1"/>
  <c r="B448" i="7"/>
  <c r="C448" i="7" s="1"/>
  <c r="B449" i="7"/>
  <c r="C449" i="7" s="1"/>
  <c r="B450" i="7"/>
  <c r="C450" i="7" s="1"/>
  <c r="B451" i="7"/>
  <c r="C451" i="7" s="1"/>
  <c r="B452" i="7"/>
  <c r="C452" i="7" s="1"/>
  <c r="B453" i="7"/>
  <c r="C453" i="7" s="1"/>
  <c r="B454" i="7"/>
  <c r="C454" i="7" s="1"/>
  <c r="B455" i="7"/>
  <c r="C455" i="7" s="1"/>
  <c r="B456" i="7"/>
  <c r="C456" i="7" s="1"/>
  <c r="B457" i="7"/>
  <c r="C457" i="7" s="1"/>
  <c r="B458" i="7"/>
  <c r="C458" i="7" s="1"/>
  <c r="B459" i="7"/>
  <c r="C459" i="7" s="1"/>
  <c r="B460" i="7"/>
  <c r="C460" i="7" s="1"/>
  <c r="B461" i="7"/>
  <c r="C461" i="7" s="1"/>
  <c r="B462" i="7"/>
  <c r="C462" i="7" s="1"/>
  <c r="A5" i="7" a="1"/>
  <c r="B322" i="7" s="1"/>
  <c r="C322" i="7" s="1"/>
  <c r="M277" i="1"/>
  <c r="U277" i="1"/>
  <c r="M282" i="1"/>
  <c r="U282" i="1"/>
  <c r="M107" i="1"/>
  <c r="U107" i="1"/>
  <c r="M185" i="1"/>
  <c r="U185" i="1"/>
  <c r="M237" i="1"/>
  <c r="U237" i="1"/>
  <c r="M260" i="1"/>
  <c r="M261" i="1"/>
  <c r="U260" i="1"/>
  <c r="U261" i="1"/>
  <c r="M262" i="1"/>
  <c r="U262" i="1"/>
  <c r="M263" i="1"/>
  <c r="U263" i="1"/>
  <c r="M321" i="1"/>
  <c r="U321" i="1"/>
  <c r="M320" i="1"/>
  <c r="U320" i="1"/>
  <c r="M319" i="1"/>
  <c r="U319" i="1"/>
  <c r="M275" i="1"/>
  <c r="U275" i="1"/>
  <c r="B354" i="7" l="1"/>
  <c r="C354" i="7" s="1"/>
  <c r="B401" i="7"/>
  <c r="C401" i="7" s="1"/>
  <c r="B416" i="7"/>
  <c r="C416" i="7" s="1"/>
  <c r="B382" i="7"/>
  <c r="C382" i="7" s="1"/>
  <c r="B397" i="7"/>
  <c r="C397" i="7" s="1"/>
  <c r="B347" i="7"/>
  <c r="C347" i="7" s="1"/>
  <c r="B402" i="7"/>
  <c r="C402" i="7" s="1"/>
  <c r="B369" i="7"/>
  <c r="C369" i="7" s="1"/>
  <c r="B400" i="7"/>
  <c r="C400" i="7" s="1"/>
  <c r="B352" i="7"/>
  <c r="C352" i="7" s="1"/>
  <c r="B399" i="7"/>
  <c r="C399" i="7" s="1"/>
  <c r="B381" i="7"/>
  <c r="C381" i="7" s="1"/>
  <c r="B363" i="7"/>
  <c r="C363" i="7" s="1"/>
  <c r="B410" i="7"/>
  <c r="C410" i="7" s="1"/>
  <c r="B394" i="7"/>
  <c r="C394" i="7" s="1"/>
  <c r="B378" i="7"/>
  <c r="C378" i="7" s="1"/>
  <c r="B362" i="7"/>
  <c r="C362" i="7" s="1"/>
  <c r="B346" i="7"/>
  <c r="C346" i="7" s="1"/>
  <c r="B330" i="7"/>
  <c r="C330" i="7" s="1"/>
  <c r="B386" i="7"/>
  <c r="C386" i="7" s="1"/>
  <c r="B367" i="7"/>
  <c r="C367" i="7" s="1"/>
  <c r="B398" i="7"/>
  <c r="C398" i="7" s="1"/>
  <c r="B350" i="7"/>
  <c r="C350" i="7" s="1"/>
  <c r="B348" i="7"/>
  <c r="C348" i="7" s="1"/>
  <c r="B411" i="7"/>
  <c r="C411" i="7" s="1"/>
  <c r="B409" i="7"/>
  <c r="C409" i="7" s="1"/>
  <c r="B393" i="7"/>
  <c r="C393" i="7" s="1"/>
  <c r="B377" i="7"/>
  <c r="C377" i="7" s="1"/>
  <c r="B361" i="7"/>
  <c r="C361" i="7" s="1"/>
  <c r="B345" i="7"/>
  <c r="C345" i="7" s="1"/>
  <c r="B329" i="7"/>
  <c r="C329" i="7" s="1"/>
  <c r="B353" i="7"/>
  <c r="C353" i="7" s="1"/>
  <c r="B383" i="7"/>
  <c r="C383" i="7" s="1"/>
  <c r="B414" i="7"/>
  <c r="C414" i="7" s="1"/>
  <c r="B366" i="7"/>
  <c r="C366" i="7" s="1"/>
  <c r="B413" i="7"/>
  <c r="C413" i="7" s="1"/>
  <c r="B349" i="7"/>
  <c r="C349" i="7" s="1"/>
  <c r="B396" i="7"/>
  <c r="C396" i="7" s="1"/>
  <c r="B408" i="7"/>
  <c r="C408" i="7" s="1"/>
  <c r="B392" i="7"/>
  <c r="C392" i="7" s="1"/>
  <c r="B376" i="7"/>
  <c r="C376" i="7" s="1"/>
  <c r="B360" i="7"/>
  <c r="C360" i="7" s="1"/>
  <c r="B344" i="7"/>
  <c r="C344" i="7" s="1"/>
  <c r="B328" i="7"/>
  <c r="C328" i="7" s="1"/>
  <c r="B351" i="7"/>
  <c r="C351" i="7" s="1"/>
  <c r="B365" i="7"/>
  <c r="C365" i="7" s="1"/>
  <c r="B364" i="7"/>
  <c r="C364" i="7" s="1"/>
  <c r="B379" i="7"/>
  <c r="C379" i="7" s="1"/>
  <c r="B407" i="7"/>
  <c r="C407" i="7" s="1"/>
  <c r="B391" i="7"/>
  <c r="C391" i="7" s="1"/>
  <c r="B375" i="7"/>
  <c r="C375" i="7" s="1"/>
  <c r="B359" i="7"/>
  <c r="C359" i="7" s="1"/>
  <c r="B343" i="7"/>
  <c r="C343" i="7" s="1"/>
  <c r="B327" i="7"/>
  <c r="C327" i="7" s="1"/>
  <c r="B338" i="7"/>
  <c r="C338" i="7" s="1"/>
  <c r="B368" i="7"/>
  <c r="C368" i="7" s="1"/>
  <c r="B415" i="7"/>
  <c r="C415" i="7" s="1"/>
  <c r="B335" i="7"/>
  <c r="C335" i="7" s="1"/>
  <c r="B333" i="7"/>
  <c r="C333" i="7" s="1"/>
  <c r="B412" i="7"/>
  <c r="C412" i="7" s="1"/>
  <c r="B332" i="7"/>
  <c r="C332" i="7" s="1"/>
  <c r="B395" i="7"/>
  <c r="C395" i="7" s="1"/>
  <c r="B331" i="7"/>
  <c r="C331" i="7" s="1"/>
  <c r="B406" i="7"/>
  <c r="C406" i="7" s="1"/>
  <c r="B390" i="7"/>
  <c r="C390" i="7" s="1"/>
  <c r="B374" i="7"/>
  <c r="C374" i="7" s="1"/>
  <c r="B358" i="7"/>
  <c r="C358" i="7" s="1"/>
  <c r="B342" i="7"/>
  <c r="C342" i="7" s="1"/>
  <c r="B326" i="7"/>
  <c r="C326" i="7" s="1"/>
  <c r="B417" i="7"/>
  <c r="C417" i="7" s="1"/>
  <c r="B418" i="7"/>
  <c r="C418" i="7" s="1"/>
  <c r="B370" i="7"/>
  <c r="C370" i="7" s="1"/>
  <c r="B385" i="7"/>
  <c r="C385" i="7" s="1"/>
  <c r="B384" i="7"/>
  <c r="C384" i="7" s="1"/>
  <c r="B336" i="7"/>
  <c r="C336" i="7" s="1"/>
  <c r="B334" i="7"/>
  <c r="C334" i="7" s="1"/>
  <c r="B380" i="7"/>
  <c r="C380" i="7" s="1"/>
  <c r="B421" i="7"/>
  <c r="C421" i="7" s="1"/>
  <c r="B405" i="7"/>
  <c r="C405" i="7" s="1"/>
  <c r="B389" i="7"/>
  <c r="C389" i="7" s="1"/>
  <c r="B373" i="7"/>
  <c r="C373" i="7" s="1"/>
  <c r="B357" i="7"/>
  <c r="C357" i="7" s="1"/>
  <c r="B341" i="7"/>
  <c r="C341" i="7" s="1"/>
  <c r="B325" i="7"/>
  <c r="C325" i="7" s="1"/>
  <c r="B420" i="7"/>
  <c r="C420" i="7" s="1"/>
  <c r="B404" i="7"/>
  <c r="C404" i="7" s="1"/>
  <c r="B388" i="7"/>
  <c r="C388" i="7" s="1"/>
  <c r="B372" i="7"/>
  <c r="C372" i="7" s="1"/>
  <c r="B356" i="7"/>
  <c r="C356" i="7" s="1"/>
  <c r="B340" i="7"/>
  <c r="C340" i="7" s="1"/>
  <c r="B324" i="7"/>
  <c r="C324" i="7" s="1"/>
  <c r="B419" i="7"/>
  <c r="C419" i="7" s="1"/>
  <c r="B403" i="7"/>
  <c r="C403" i="7" s="1"/>
  <c r="B387" i="7"/>
  <c r="C387" i="7" s="1"/>
  <c r="B371" i="7"/>
  <c r="C371" i="7" s="1"/>
  <c r="B355" i="7"/>
  <c r="C355" i="7" s="1"/>
  <c r="B339" i="7"/>
  <c r="C339" i="7" s="1"/>
  <c r="B337" i="7"/>
  <c r="C337" i="7" s="1"/>
  <c r="Q63" i="8"/>
  <c r="S63" i="8"/>
  <c r="R63" i="8"/>
  <c r="B323" i="7"/>
  <c r="C323" i="7" s="1"/>
  <c r="B34" i="7"/>
  <c r="C34" i="7" s="1"/>
  <c r="B35" i="7"/>
  <c r="C35" i="7" s="1"/>
  <c r="B49" i="7"/>
  <c r="C49" i="7" s="1"/>
  <c r="B60" i="7"/>
  <c r="C60" i="7" s="1"/>
  <c r="B74" i="7"/>
  <c r="C74" i="7" s="1"/>
  <c r="B89" i="7"/>
  <c r="C89" i="7" s="1"/>
  <c r="B102" i="7"/>
  <c r="C102" i="7" s="1"/>
  <c r="B116" i="7"/>
  <c r="C116" i="7" s="1"/>
  <c r="B131" i="7"/>
  <c r="C131" i="7" s="1"/>
  <c r="B156" i="7"/>
  <c r="C156" i="7" s="1"/>
  <c r="B171" i="7"/>
  <c r="C171" i="7" s="1"/>
  <c r="B185" i="7"/>
  <c r="C185" i="7" s="1"/>
  <c r="B198" i="7"/>
  <c r="C198" i="7" s="1"/>
  <c r="B211" i="7"/>
  <c r="C211" i="7" s="1"/>
  <c r="B226" i="7"/>
  <c r="C226" i="7" s="1"/>
  <c r="B240" i="7"/>
  <c r="C240" i="7" s="1"/>
  <c r="B255" i="7"/>
  <c r="C255" i="7" s="1"/>
  <c r="B280" i="7"/>
  <c r="C280" i="7" s="1"/>
  <c r="B293" i="7"/>
  <c r="C293" i="7" s="1"/>
  <c r="B321" i="7"/>
  <c r="C321" i="7" s="1"/>
  <c r="B63" i="7"/>
  <c r="C63" i="7" s="1"/>
  <c r="B229" i="7"/>
  <c r="C229" i="7" s="1"/>
  <c r="B64" i="7"/>
  <c r="C64" i="7" s="1"/>
  <c r="B79" i="7"/>
  <c r="C79" i="7" s="1"/>
  <c r="B93" i="7"/>
  <c r="C93" i="7" s="1"/>
  <c r="B106" i="7"/>
  <c r="C106" i="7" s="1"/>
  <c r="B121" i="7"/>
  <c r="C121" i="7" s="1"/>
  <c r="B146" i="7"/>
  <c r="C146" i="7" s="1"/>
  <c r="B161" i="7"/>
  <c r="C161" i="7" s="1"/>
  <c r="B189" i="7"/>
  <c r="C189" i="7" s="1"/>
  <c r="B201" i="7"/>
  <c r="C201" i="7" s="1"/>
  <c r="B230" i="7"/>
  <c r="C230" i="7" s="1"/>
  <c r="B259" i="7"/>
  <c r="C259" i="7" s="1"/>
  <c r="B270" i="7"/>
  <c r="C270" i="7" s="1"/>
  <c r="B298" i="7"/>
  <c r="C298" i="7" s="1"/>
  <c r="B312" i="7"/>
  <c r="C312" i="7" s="1"/>
  <c r="B53" i="7"/>
  <c r="C53" i="7" s="1"/>
  <c r="B135" i="7"/>
  <c r="C135" i="7" s="1"/>
  <c r="B177" i="7"/>
  <c r="C177" i="7" s="1"/>
  <c r="B202" i="7"/>
  <c r="C202" i="7" s="1"/>
  <c r="B231" i="7"/>
  <c r="C231" i="7" s="1"/>
  <c r="B260" i="7"/>
  <c r="C260" i="7" s="1"/>
  <c r="B285" i="7"/>
  <c r="C285" i="7" s="1"/>
  <c r="B41" i="7"/>
  <c r="C41" i="7" s="1"/>
  <c r="B54" i="7"/>
  <c r="C54" i="7" s="1"/>
  <c r="B80" i="7"/>
  <c r="C80" i="7" s="1"/>
  <c r="B94" i="7"/>
  <c r="C94" i="7" s="1"/>
  <c r="B108" i="7"/>
  <c r="C108" i="7" s="1"/>
  <c r="B123" i="7"/>
  <c r="C123" i="7" s="1"/>
  <c r="B136" i="7"/>
  <c r="C136" i="7" s="1"/>
  <c r="B148" i="7"/>
  <c r="C148" i="7" s="1"/>
  <c r="B163" i="7"/>
  <c r="C163" i="7" s="1"/>
  <c r="B178" i="7"/>
  <c r="C178" i="7" s="1"/>
  <c r="B191" i="7"/>
  <c r="C191" i="7" s="1"/>
  <c r="B203" i="7"/>
  <c r="C203" i="7" s="1"/>
  <c r="B217" i="7"/>
  <c r="C217" i="7" s="1"/>
  <c r="B247" i="7"/>
  <c r="C247" i="7" s="1"/>
  <c r="B261" i="7"/>
  <c r="C261" i="7" s="1"/>
  <c r="B272" i="7"/>
  <c r="C272" i="7" s="1"/>
  <c r="B286" i="7"/>
  <c r="C286" i="7" s="1"/>
  <c r="B300" i="7"/>
  <c r="C300" i="7" s="1"/>
  <c r="B86" i="7"/>
  <c r="C86" i="7" s="1"/>
  <c r="B223" i="7"/>
  <c r="C223" i="7" s="1"/>
  <c r="B47" i="7"/>
  <c r="C47" i="7" s="1"/>
  <c r="B100" i="7"/>
  <c r="C100" i="7" s="1"/>
  <c r="B129" i="7"/>
  <c r="C129" i="7" s="1"/>
  <c r="B170" i="7"/>
  <c r="C170" i="7" s="1"/>
  <c r="B196" i="7"/>
  <c r="C196" i="7" s="1"/>
  <c r="B224" i="7"/>
  <c r="C224" i="7" s="1"/>
  <c r="B253" i="7"/>
  <c r="C253" i="7" s="1"/>
  <c r="B291" i="7"/>
  <c r="C291" i="7" s="1"/>
  <c r="B115" i="7"/>
  <c r="C115" i="7" s="1"/>
  <c r="B292" i="7"/>
  <c r="C292" i="7" s="1"/>
  <c r="B36" i="7"/>
  <c r="C36" i="7" s="1"/>
  <c r="B50" i="7"/>
  <c r="C50" i="7" s="1"/>
  <c r="B75" i="7"/>
  <c r="C75" i="7" s="1"/>
  <c r="B90" i="7"/>
  <c r="C90" i="7" s="1"/>
  <c r="B103" i="7"/>
  <c r="C103" i="7" s="1"/>
  <c r="B117" i="7"/>
  <c r="C117" i="7" s="1"/>
  <c r="B142" i="7"/>
  <c r="C142" i="7" s="1"/>
  <c r="B157" i="7"/>
  <c r="C157" i="7" s="1"/>
  <c r="B172" i="7"/>
  <c r="C172" i="7" s="1"/>
  <c r="B186" i="7"/>
  <c r="C186" i="7" s="1"/>
  <c r="B199" i="7"/>
  <c r="C199" i="7" s="1"/>
  <c r="B212" i="7"/>
  <c r="C212" i="7" s="1"/>
  <c r="B241" i="7"/>
  <c r="C241" i="7" s="1"/>
  <c r="B256" i="7"/>
  <c r="C256" i="7" s="1"/>
  <c r="B268" i="7"/>
  <c r="C268" i="7" s="1"/>
  <c r="B281" i="7"/>
  <c r="C281" i="7" s="1"/>
  <c r="B294" i="7"/>
  <c r="C294" i="7" s="1"/>
  <c r="B308" i="7"/>
  <c r="C308" i="7" s="1"/>
  <c r="B307" i="7"/>
  <c r="C307" i="7" s="1"/>
  <c r="B267" i="7"/>
  <c r="C267" i="7" s="1"/>
  <c r="B210" i="7"/>
  <c r="C210" i="7" s="1"/>
  <c r="B184" i="7"/>
  <c r="C184" i="7" s="1"/>
  <c r="B155" i="7"/>
  <c r="C155" i="7" s="1"/>
  <c r="B130" i="7"/>
  <c r="C130" i="7" s="1"/>
  <c r="B88" i="7"/>
  <c r="C88" i="7" s="1"/>
  <c r="B48" i="7"/>
  <c r="C48" i="7" s="1"/>
  <c r="B278" i="7"/>
  <c r="C278" i="7" s="1"/>
  <c r="B72" i="7"/>
  <c r="C72" i="7" s="1"/>
  <c r="B182" i="7"/>
  <c r="C182" i="7" s="1"/>
  <c r="B71" i="7"/>
  <c r="C71" i="7" s="1"/>
  <c r="B318" i="7"/>
  <c r="C318" i="7" s="1"/>
  <c r="B290" i="7"/>
  <c r="C290" i="7" s="1"/>
  <c r="B277" i="7"/>
  <c r="C277" i="7" s="1"/>
  <c r="B265" i="7"/>
  <c r="C265" i="7" s="1"/>
  <c r="B237" i="7"/>
  <c r="C237" i="7" s="1"/>
  <c r="B222" i="7"/>
  <c r="C222" i="7" s="1"/>
  <c r="B207" i="7"/>
  <c r="C207" i="7" s="1"/>
  <c r="B194" i="7"/>
  <c r="C194" i="7" s="1"/>
  <c r="B181" i="7"/>
  <c r="C181" i="7" s="1"/>
  <c r="B168" i="7"/>
  <c r="C168" i="7" s="1"/>
  <c r="B153" i="7"/>
  <c r="C153" i="7" s="1"/>
  <c r="B139" i="7"/>
  <c r="C139" i="7" s="1"/>
  <c r="B128" i="7"/>
  <c r="C128" i="7" s="1"/>
  <c r="B99" i="7"/>
  <c r="C99" i="7" s="1"/>
  <c r="B85" i="7"/>
  <c r="C85" i="7" s="1"/>
  <c r="B70" i="7"/>
  <c r="C70" i="7" s="1"/>
  <c r="B304" i="7"/>
  <c r="C304" i="7" s="1"/>
  <c r="B221" i="7"/>
  <c r="C221" i="7" s="1"/>
  <c r="B303" i="7"/>
  <c r="C303" i="7" s="1"/>
  <c r="B289" i="7"/>
  <c r="C289" i="7" s="1"/>
  <c r="B275" i="7"/>
  <c r="C275" i="7" s="1"/>
  <c r="B249" i="7"/>
  <c r="C249" i="7" s="1"/>
  <c r="B235" i="7"/>
  <c r="C235" i="7" s="1"/>
  <c r="B220" i="7"/>
  <c r="C220" i="7" s="1"/>
  <c r="B193" i="7"/>
  <c r="C193" i="7" s="1"/>
  <c r="B180" i="7"/>
  <c r="C180" i="7" s="1"/>
  <c r="B166" i="7"/>
  <c r="C166" i="7" s="1"/>
  <c r="B151" i="7"/>
  <c r="C151" i="7" s="1"/>
  <c r="B126" i="7"/>
  <c r="C126" i="7" s="1"/>
  <c r="B111" i="7"/>
  <c r="C111" i="7" s="1"/>
  <c r="B97" i="7"/>
  <c r="C97" i="7" s="1"/>
  <c r="B83" i="7"/>
  <c r="C83" i="7" s="1"/>
  <c r="B69" i="7"/>
  <c r="C69" i="7" s="1"/>
  <c r="B56" i="7"/>
  <c r="C56" i="7" s="1"/>
  <c r="B44" i="7"/>
  <c r="C44" i="7" s="1"/>
  <c r="B316" i="7"/>
  <c r="C316" i="7" s="1"/>
  <c r="B302" i="7"/>
  <c r="C302" i="7" s="1"/>
  <c r="B288" i="7"/>
  <c r="C288" i="7" s="1"/>
  <c r="B274" i="7"/>
  <c r="C274" i="7" s="1"/>
  <c r="B263" i="7"/>
  <c r="C263" i="7" s="1"/>
  <c r="B234" i="7"/>
  <c r="C234" i="7" s="1"/>
  <c r="B219" i="7"/>
  <c r="C219" i="7" s="1"/>
  <c r="B205" i="7"/>
  <c r="C205" i="7" s="1"/>
  <c r="B179" i="7"/>
  <c r="C179" i="7" s="1"/>
  <c r="B165" i="7"/>
  <c r="C165" i="7" s="1"/>
  <c r="B150" i="7"/>
  <c r="C150" i="7" s="1"/>
  <c r="B137" i="7"/>
  <c r="C137" i="7" s="1"/>
  <c r="B125" i="7"/>
  <c r="C125" i="7" s="1"/>
  <c r="B110" i="7"/>
  <c r="C110" i="7" s="1"/>
  <c r="B96" i="7"/>
  <c r="C96" i="7" s="1"/>
  <c r="B82" i="7"/>
  <c r="C82" i="7" s="1"/>
  <c r="B68" i="7"/>
  <c r="C68" i="7" s="1"/>
  <c r="B43" i="7"/>
  <c r="C43" i="7" s="1"/>
  <c r="B320" i="7"/>
  <c r="C320" i="7" s="1"/>
  <c r="B254" i="7"/>
  <c r="C254" i="7" s="1"/>
  <c r="B197" i="7"/>
  <c r="C197" i="7" s="1"/>
  <c r="B141" i="7"/>
  <c r="C141" i="7" s="1"/>
  <c r="B306" i="7"/>
  <c r="C306" i="7" s="1"/>
  <c r="B266" i="7"/>
  <c r="C266" i="7" s="1"/>
  <c r="B239" i="7"/>
  <c r="C239" i="7" s="1"/>
  <c r="B209" i="7"/>
  <c r="C209" i="7" s="1"/>
  <c r="B183" i="7"/>
  <c r="C183" i="7" s="1"/>
  <c r="B140" i="7"/>
  <c r="C140" i="7" s="1"/>
  <c r="B114" i="7"/>
  <c r="C114" i="7" s="1"/>
  <c r="B87" i="7"/>
  <c r="C87" i="7" s="1"/>
  <c r="B59" i="7"/>
  <c r="C59" i="7" s="1"/>
  <c r="B238" i="7"/>
  <c r="C238" i="7" s="1"/>
  <c r="B251" i="7"/>
  <c r="C251" i="7" s="1"/>
  <c r="B57" i="7"/>
  <c r="C57" i="7" s="1"/>
  <c r="B317" i="7"/>
  <c r="C317" i="7" s="1"/>
  <c r="B276" i="7"/>
  <c r="C276" i="7" s="1"/>
  <c r="B264" i="7"/>
  <c r="C264" i="7" s="1"/>
  <c r="B250" i="7"/>
  <c r="C250" i="7" s="1"/>
  <c r="B236" i="7"/>
  <c r="C236" i="7" s="1"/>
  <c r="B206" i="7"/>
  <c r="C206" i="7" s="1"/>
  <c r="B167" i="7"/>
  <c r="C167" i="7" s="1"/>
  <c r="B152" i="7"/>
  <c r="C152" i="7" s="1"/>
  <c r="B138" i="7"/>
  <c r="C138" i="7" s="1"/>
  <c r="B127" i="7"/>
  <c r="C127" i="7" s="1"/>
  <c r="B112" i="7"/>
  <c r="C112" i="7" s="1"/>
  <c r="B98" i="7"/>
  <c r="C98" i="7" s="1"/>
  <c r="B84" i="7"/>
  <c r="C84" i="7" s="1"/>
  <c r="B45" i="7"/>
  <c r="C45" i="7" s="1"/>
  <c r="B315" i="7"/>
  <c r="C315" i="7" s="1"/>
  <c r="B301" i="7"/>
  <c r="C301" i="7" s="1"/>
  <c r="B287" i="7"/>
  <c r="C287" i="7" s="1"/>
  <c r="B273" i="7"/>
  <c r="C273" i="7" s="1"/>
  <c r="B262" i="7"/>
  <c r="C262" i="7" s="1"/>
  <c r="B248" i="7"/>
  <c r="C248" i="7" s="1"/>
  <c r="B233" i="7"/>
  <c r="C233" i="7" s="1"/>
  <c r="B218" i="7"/>
  <c r="C218" i="7" s="1"/>
  <c r="B204" i="7"/>
  <c r="C204" i="7" s="1"/>
  <c r="B192" i="7"/>
  <c r="C192" i="7" s="1"/>
  <c r="B164" i="7"/>
  <c r="C164" i="7" s="1"/>
  <c r="B149" i="7"/>
  <c r="C149" i="7" s="1"/>
  <c r="B124" i="7"/>
  <c r="C124" i="7" s="1"/>
  <c r="B109" i="7"/>
  <c r="C109" i="7" s="1"/>
  <c r="B95" i="7"/>
  <c r="C95" i="7" s="1"/>
  <c r="B81" i="7"/>
  <c r="C81" i="7" s="1"/>
  <c r="B67" i="7"/>
  <c r="C67" i="7" s="1"/>
  <c r="B55" i="7"/>
  <c r="C55" i="7" s="1"/>
  <c r="B42" i="7"/>
  <c r="C42" i="7" s="1"/>
  <c r="B279" i="7"/>
  <c r="C279" i="7" s="1"/>
  <c r="B225" i="7"/>
  <c r="C225" i="7" s="1"/>
  <c r="B73" i="7"/>
  <c r="C73" i="7" s="1"/>
  <c r="B154" i="7"/>
  <c r="C154" i="7" s="1"/>
  <c r="B252" i="7"/>
  <c r="C252" i="7" s="1"/>
  <c r="B195" i="7"/>
  <c r="C195" i="7" s="1"/>
  <c r="B113" i="7"/>
  <c r="C113" i="7" s="1"/>
  <c r="B46" i="7"/>
  <c r="C46" i="7" s="1"/>
  <c r="B314" i="7"/>
  <c r="C314" i="7" s="1"/>
  <c r="B66" i="7"/>
  <c r="C66" i="7" s="1"/>
  <c r="B299" i="7"/>
  <c r="C299" i="7" s="1"/>
  <c r="B65" i="7"/>
  <c r="C65" i="7" s="1"/>
  <c r="B284" i="7"/>
  <c r="C284" i="7" s="1"/>
  <c r="B245" i="7"/>
  <c r="C245" i="7" s="1"/>
  <c r="B176" i="7"/>
  <c r="C176" i="7" s="1"/>
  <c r="B134" i="7"/>
  <c r="C134" i="7" s="1"/>
  <c r="B52" i="7"/>
  <c r="C52" i="7" s="1"/>
  <c r="B311" i="7"/>
  <c r="C311" i="7" s="1"/>
  <c r="B297" i="7"/>
  <c r="C297" i="7" s="1"/>
  <c r="B283" i="7"/>
  <c r="C283" i="7" s="1"/>
  <c r="B258" i="7"/>
  <c r="C258" i="7" s="1"/>
  <c r="B214" i="7"/>
  <c r="C214" i="7" s="1"/>
  <c r="B160" i="7"/>
  <c r="C160" i="7" s="1"/>
  <c r="B133" i="7"/>
  <c r="C133" i="7" s="1"/>
  <c r="B105" i="7"/>
  <c r="C105" i="7" s="1"/>
  <c r="B78" i="7"/>
  <c r="C78" i="7" s="1"/>
  <c r="B310" i="7"/>
  <c r="C310" i="7" s="1"/>
  <c r="B296" i="7"/>
  <c r="C296" i="7" s="1"/>
  <c r="B282" i="7"/>
  <c r="C282" i="7" s="1"/>
  <c r="B269" i="7"/>
  <c r="C269" i="7" s="1"/>
  <c r="B257" i="7"/>
  <c r="C257" i="7" s="1"/>
  <c r="B243" i="7"/>
  <c r="C243" i="7" s="1"/>
  <c r="B228" i="7"/>
  <c r="C228" i="7" s="1"/>
  <c r="B213" i="7"/>
  <c r="C213" i="7" s="1"/>
  <c r="B200" i="7"/>
  <c r="C200" i="7" s="1"/>
  <c r="B188" i="7"/>
  <c r="C188" i="7" s="1"/>
  <c r="B174" i="7"/>
  <c r="C174" i="7" s="1"/>
  <c r="B159" i="7"/>
  <c r="C159" i="7" s="1"/>
  <c r="B144" i="7"/>
  <c r="C144" i="7" s="1"/>
  <c r="B119" i="7"/>
  <c r="C119" i="7" s="1"/>
  <c r="B104" i="7"/>
  <c r="C104" i="7" s="1"/>
  <c r="B91" i="7"/>
  <c r="C91" i="7" s="1"/>
  <c r="B77" i="7"/>
  <c r="C77" i="7" s="1"/>
  <c r="B62" i="7"/>
  <c r="C62" i="7" s="1"/>
  <c r="B51" i="7"/>
  <c r="C51" i="7" s="1"/>
  <c r="B38" i="7"/>
  <c r="C38" i="7" s="1"/>
  <c r="B101" i="7"/>
  <c r="C101" i="7" s="1"/>
  <c r="B319" i="7"/>
  <c r="C319" i="7" s="1"/>
  <c r="B305" i="7"/>
  <c r="C305" i="7" s="1"/>
  <c r="B208" i="7"/>
  <c r="C208" i="7" s="1"/>
  <c r="B169" i="7"/>
  <c r="C169" i="7" s="1"/>
  <c r="B58" i="7"/>
  <c r="C58" i="7" s="1"/>
  <c r="B232" i="7"/>
  <c r="C232" i="7" s="1"/>
  <c r="B313" i="7"/>
  <c r="C313" i="7" s="1"/>
  <c r="B271" i="7"/>
  <c r="C271" i="7" s="1"/>
  <c r="B246" i="7"/>
  <c r="C246" i="7" s="1"/>
  <c r="B216" i="7"/>
  <c r="C216" i="7" s="1"/>
  <c r="B190" i="7"/>
  <c r="C190" i="7" s="1"/>
  <c r="B162" i="7"/>
  <c r="C162" i="7" s="1"/>
  <c r="B147" i="7"/>
  <c r="C147" i="7" s="1"/>
  <c r="B122" i="7"/>
  <c r="C122" i="7" s="1"/>
  <c r="B107" i="7"/>
  <c r="C107" i="7" s="1"/>
  <c r="B40" i="7"/>
  <c r="C40" i="7" s="1"/>
  <c r="B215" i="7"/>
  <c r="C215" i="7" s="1"/>
  <c r="B244" i="7"/>
  <c r="C244" i="7" s="1"/>
  <c r="B175" i="7"/>
  <c r="C175" i="7" s="1"/>
  <c r="B145" i="7"/>
  <c r="C145" i="7" s="1"/>
  <c r="B120" i="7"/>
  <c r="C120" i="7" s="1"/>
  <c r="B92" i="7"/>
  <c r="C92" i="7" s="1"/>
  <c r="B39" i="7"/>
  <c r="C39" i="7" s="1"/>
  <c r="B309" i="7"/>
  <c r="C309" i="7" s="1"/>
  <c r="B295" i="7"/>
  <c r="C295" i="7" s="1"/>
  <c r="B242" i="7"/>
  <c r="C242" i="7" s="1"/>
  <c r="B227" i="7"/>
  <c r="C227" i="7" s="1"/>
  <c r="B187" i="7"/>
  <c r="C187" i="7" s="1"/>
  <c r="B173" i="7"/>
  <c r="C173" i="7" s="1"/>
  <c r="B158" i="7"/>
  <c r="C158" i="7" s="1"/>
  <c r="B143" i="7"/>
  <c r="C143" i="7" s="1"/>
  <c r="B132" i="7"/>
  <c r="C132" i="7" s="1"/>
  <c r="B118" i="7"/>
  <c r="C118" i="7" s="1"/>
  <c r="B76" i="7"/>
  <c r="C76" i="7" s="1"/>
  <c r="B61" i="7"/>
  <c r="C61" i="7" s="1"/>
  <c r="B37" i="7"/>
  <c r="C37" i="7" s="1"/>
  <c r="B8" i="7"/>
  <c r="C8" i="7" s="1"/>
  <c r="B21" i="7"/>
  <c r="C21" i="7" s="1"/>
  <c r="B9" i="7"/>
  <c r="C9" i="7" s="1"/>
  <c r="B22" i="7"/>
  <c r="C22" i="7" s="1"/>
  <c r="B10" i="7"/>
  <c r="C10" i="7" s="1"/>
  <c r="B23" i="7"/>
  <c r="C23" i="7" s="1"/>
  <c r="B25" i="7"/>
  <c r="C25" i="7" s="1"/>
  <c r="B26" i="7"/>
  <c r="C26" i="7" s="1"/>
  <c r="B28" i="7"/>
  <c r="C28" i="7" s="1"/>
  <c r="B11" i="7"/>
  <c r="C11" i="7" s="1"/>
  <c r="B12" i="7"/>
  <c r="C12" i="7" s="1"/>
  <c r="B13" i="7"/>
  <c r="C13" i="7" s="1"/>
  <c r="B27" i="7"/>
  <c r="C27" i="7" s="1"/>
  <c r="B14" i="7"/>
  <c r="C14" i="7" s="1"/>
  <c r="B29" i="7"/>
  <c r="C29" i="7" s="1"/>
  <c r="B31" i="7"/>
  <c r="C31" i="7" s="1"/>
  <c r="B17" i="7"/>
  <c r="C17" i="7" s="1"/>
  <c r="B18" i="7"/>
  <c r="C18" i="7" s="1"/>
  <c r="B19" i="7"/>
  <c r="C19" i="7" s="1"/>
  <c r="B20" i="7"/>
  <c r="C20" i="7" s="1"/>
  <c r="B24" i="7"/>
  <c r="C24" i="7" s="1"/>
  <c r="B15" i="7"/>
  <c r="C15" i="7" s="1"/>
  <c r="B30" i="7"/>
  <c r="C30" i="7" s="1"/>
  <c r="B16" i="7"/>
  <c r="C16" i="7" s="1"/>
  <c r="B32" i="7"/>
  <c r="C32" i="7" s="1"/>
  <c r="B33" i="7"/>
  <c r="C33" i="7" s="1"/>
  <c r="A5" i="7"/>
  <c r="B7" i="7"/>
  <c r="C7" i="7" s="1"/>
  <c r="B6" i="7"/>
  <c r="C6" i="7" s="1"/>
  <c r="S98" i="10" l="1"/>
  <c r="R98" i="10"/>
  <c r="Q98" i="10"/>
  <c r="Q117" i="10"/>
  <c r="R117" i="10"/>
  <c r="S117" i="10"/>
  <c r="Q118" i="10"/>
  <c r="R118" i="10"/>
  <c r="S118" i="10"/>
  <c r="Q119" i="10"/>
  <c r="R119" i="10"/>
  <c r="S119" i="10"/>
  <c r="Q120" i="10"/>
  <c r="R120" i="10"/>
  <c r="S120" i="10"/>
  <c r="Q121" i="10"/>
  <c r="R121" i="10"/>
  <c r="S121" i="10"/>
  <c r="Q122" i="10"/>
  <c r="R122" i="10"/>
  <c r="S122" i="10"/>
  <c r="Q123" i="10"/>
  <c r="R123" i="10"/>
  <c r="S123" i="10"/>
  <c r="Q124" i="10"/>
  <c r="R124" i="10"/>
  <c r="S124" i="10"/>
  <c r="Q125" i="10"/>
  <c r="R125" i="10"/>
  <c r="S125" i="10"/>
  <c r="Q126" i="10"/>
  <c r="R126" i="10"/>
  <c r="S126" i="10"/>
  <c r="Q127" i="10"/>
  <c r="R127" i="10"/>
  <c r="S127" i="10"/>
  <c r="Q128" i="10"/>
  <c r="R128" i="10"/>
  <c r="S128" i="10"/>
  <c r="Q129" i="10"/>
  <c r="R129" i="10"/>
  <c r="S129" i="10"/>
  <c r="Q130" i="10"/>
  <c r="R130" i="10"/>
  <c r="S130" i="10"/>
  <c r="Q131" i="10"/>
  <c r="R131" i="10"/>
  <c r="S131" i="10"/>
  <c r="Q132" i="10"/>
  <c r="R132" i="10"/>
  <c r="S132" i="10"/>
  <c r="Q133" i="10"/>
  <c r="R133" i="10"/>
  <c r="S133" i="10"/>
  <c r="Q134" i="10"/>
  <c r="R134" i="10"/>
  <c r="S134" i="10"/>
  <c r="Q135" i="10"/>
  <c r="R135" i="10"/>
  <c r="S135" i="10"/>
  <c r="Q136" i="10"/>
  <c r="R136" i="10"/>
  <c r="S136" i="10"/>
  <c r="N664" i="8"/>
  <c r="N35" i="8"/>
  <c r="P35" i="8" l="1"/>
  <c r="P664" i="8"/>
  <c r="Q363" i="8"/>
  <c r="S363" i="8"/>
  <c r="R363" i="8"/>
  <c r="S664" i="8"/>
  <c r="R664" i="8"/>
  <c r="Q664" i="8"/>
  <c r="S35" i="8"/>
  <c r="Q35" i="8"/>
  <c r="R35" i="8"/>
  <c r="M238" i="1"/>
  <c r="U238" i="1"/>
  <c r="M605"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O429" i="1" l="1"/>
  <c r="O430" i="1"/>
  <c r="O431" i="1"/>
  <c r="O432" i="1"/>
  <c r="O433" i="1"/>
  <c r="O434" i="1"/>
  <c r="O435" i="1"/>
  <c r="O436" i="1"/>
  <c r="O437" i="1"/>
  <c r="O438" i="1"/>
  <c r="O439" i="1"/>
  <c r="O440" i="1"/>
  <c r="O441" i="1"/>
  <c r="O442" i="1"/>
  <c r="O443" i="1"/>
  <c r="O444" i="1"/>
  <c r="O447" i="1"/>
  <c r="O448" i="1"/>
  <c r="O449" i="1"/>
  <c r="O450" i="1"/>
  <c r="O451" i="1"/>
  <c r="O452"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14" i="1"/>
  <c r="O615" i="1"/>
  <c r="O616" i="1"/>
  <c r="O617" i="1"/>
  <c r="O618" i="1"/>
  <c r="O619" i="1"/>
  <c r="O620" i="1"/>
  <c r="K8" i="1"/>
  <c r="N621" i="1" l="1"/>
  <c r="N622" i="1"/>
  <c r="N623" i="1"/>
  <c r="N624" i="1"/>
  <c r="N625" i="1"/>
  <c r="N626"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627" i="1"/>
  <c r="M298" i="1" l="1"/>
  <c r="U298" i="1"/>
  <c r="M299" i="1"/>
  <c r="U299" i="1"/>
  <c r="M300" i="1"/>
  <c r="U300" i="1"/>
  <c r="M301" i="1"/>
  <c r="U301" i="1"/>
  <c r="M302" i="1"/>
  <c r="U302" i="1"/>
  <c r="M303" i="1"/>
  <c r="U303" i="1"/>
  <c r="M304" i="1"/>
  <c r="U304" i="1"/>
  <c r="M305" i="1"/>
  <c r="U305" i="1"/>
  <c r="M306" i="1"/>
  <c r="U306" i="1"/>
  <c r="M307" i="1"/>
  <c r="U307" i="1"/>
  <c r="M308" i="1"/>
  <c r="U308" i="1"/>
  <c r="M309" i="1"/>
  <c r="U309" i="1"/>
  <c r="M310" i="1"/>
  <c r="U310" i="1"/>
  <c r="M311" i="1"/>
  <c r="U311" i="1"/>
  <c r="M312" i="1"/>
  <c r="U312" i="1"/>
  <c r="M313" i="1"/>
  <c r="U313" i="1"/>
  <c r="M314" i="1"/>
  <c r="U314" i="1"/>
  <c r="M315" i="1"/>
  <c r="U315" i="1"/>
  <c r="M316" i="1"/>
  <c r="U316" i="1"/>
  <c r="M317" i="1"/>
  <c r="U317" i="1"/>
  <c r="Q80" i="10"/>
  <c r="Q81" i="10"/>
  <c r="Q82" i="10"/>
  <c r="Q83" i="10"/>
  <c r="Q84" i="10"/>
  <c r="Q85" i="10"/>
  <c r="Q86" i="10"/>
  <c r="Q87" i="10"/>
  <c r="Q88" i="10"/>
  <c r="Q89" i="10"/>
  <c r="Q90" i="10"/>
  <c r="Q91" i="10"/>
  <c r="Q92" i="10"/>
  <c r="Q93" i="10"/>
  <c r="Q94" i="10"/>
  <c r="Q95" i="10"/>
  <c r="Q96" i="10"/>
  <c r="Q97" i="10"/>
  <c r="Q99" i="10"/>
  <c r="Q100" i="10"/>
  <c r="Q101" i="10"/>
  <c r="Q102" i="10"/>
  <c r="Q103" i="10"/>
  <c r="Q104" i="10"/>
  <c r="Q105" i="10"/>
  <c r="Q106" i="10"/>
  <c r="Q107" i="10"/>
  <c r="Q108" i="10"/>
  <c r="Q109" i="10"/>
  <c r="Q110" i="10"/>
  <c r="Q111" i="10"/>
  <c r="Q112" i="10"/>
  <c r="Q113" i="10"/>
  <c r="Q114" i="10"/>
  <c r="Q115" i="10"/>
  <c r="Q116" i="10"/>
  <c r="R80" i="10"/>
  <c r="R81" i="10"/>
  <c r="R82" i="10"/>
  <c r="R83" i="10"/>
  <c r="R84" i="10"/>
  <c r="R85" i="10"/>
  <c r="R86" i="10"/>
  <c r="R87" i="10"/>
  <c r="R88" i="10"/>
  <c r="R89" i="10"/>
  <c r="R90" i="10"/>
  <c r="R91" i="10"/>
  <c r="R92" i="10"/>
  <c r="R93" i="10"/>
  <c r="R94" i="10"/>
  <c r="R95" i="10"/>
  <c r="R96" i="10"/>
  <c r="R97" i="10"/>
  <c r="R99" i="10"/>
  <c r="R100" i="10"/>
  <c r="R101" i="10"/>
  <c r="R102" i="10"/>
  <c r="R103" i="10"/>
  <c r="R104" i="10"/>
  <c r="R105" i="10"/>
  <c r="R106" i="10"/>
  <c r="R107" i="10"/>
  <c r="R108" i="10"/>
  <c r="R109" i="10"/>
  <c r="R110" i="10"/>
  <c r="R111" i="10"/>
  <c r="R112" i="10"/>
  <c r="R113" i="10"/>
  <c r="R114" i="10"/>
  <c r="R115" i="10"/>
  <c r="R116" i="10"/>
  <c r="S80" i="10"/>
  <c r="S81" i="10"/>
  <c r="S82" i="10"/>
  <c r="S83" i="10"/>
  <c r="S84" i="10"/>
  <c r="S85" i="10"/>
  <c r="S86" i="10"/>
  <c r="S87" i="10"/>
  <c r="S88" i="10"/>
  <c r="S89" i="10"/>
  <c r="S90" i="10"/>
  <c r="S91" i="10"/>
  <c r="S92" i="10"/>
  <c r="S93" i="10"/>
  <c r="S94" i="10"/>
  <c r="S95" i="10"/>
  <c r="S96" i="10"/>
  <c r="S97" i="10"/>
  <c r="S99" i="10"/>
  <c r="S100" i="10"/>
  <c r="S101" i="10"/>
  <c r="S102" i="10"/>
  <c r="S103" i="10"/>
  <c r="S104" i="10"/>
  <c r="S105" i="10"/>
  <c r="S106" i="10"/>
  <c r="S107" i="10"/>
  <c r="S108" i="10"/>
  <c r="S109" i="10"/>
  <c r="S110" i="10"/>
  <c r="S111" i="10"/>
  <c r="S112" i="10"/>
  <c r="S113" i="10"/>
  <c r="S114" i="10"/>
  <c r="S115" i="10"/>
  <c r="S116" i="10"/>
  <c r="R57" i="10"/>
  <c r="S57" i="10"/>
  <c r="R58" i="10"/>
  <c r="S58" i="10"/>
  <c r="R59" i="10"/>
  <c r="S59" i="10"/>
  <c r="R60" i="10"/>
  <c r="S60" i="10"/>
  <c r="R61" i="10"/>
  <c r="S61" i="10"/>
  <c r="R62" i="10"/>
  <c r="S62" i="10"/>
  <c r="R63" i="10"/>
  <c r="S63" i="10"/>
  <c r="R64" i="10"/>
  <c r="S64" i="10"/>
  <c r="Q65" i="10"/>
  <c r="R65" i="10"/>
  <c r="S65" i="10"/>
  <c r="Q66" i="10"/>
  <c r="R66" i="10"/>
  <c r="S66" i="10"/>
  <c r="Q67" i="10"/>
  <c r="R67" i="10"/>
  <c r="S67" i="10"/>
  <c r="Q68" i="10"/>
  <c r="R68" i="10"/>
  <c r="S68" i="10"/>
  <c r="Q69" i="10"/>
  <c r="R69" i="10"/>
  <c r="S69" i="10"/>
  <c r="Q70" i="10"/>
  <c r="R70" i="10"/>
  <c r="S70" i="10"/>
  <c r="Q71" i="10"/>
  <c r="R71" i="10"/>
  <c r="S71" i="10"/>
  <c r="Q72" i="10"/>
  <c r="R72" i="10"/>
  <c r="S72" i="10"/>
  <c r="Q73" i="10"/>
  <c r="R73" i="10"/>
  <c r="S73" i="10"/>
  <c r="Q74" i="10"/>
  <c r="R74" i="10"/>
  <c r="S74" i="10"/>
  <c r="Q75" i="10"/>
  <c r="R75" i="10"/>
  <c r="S75" i="10"/>
  <c r="Q76" i="10"/>
  <c r="R76" i="10"/>
  <c r="S76" i="10"/>
  <c r="Q77" i="10"/>
  <c r="R77" i="10"/>
  <c r="S77" i="10"/>
  <c r="Q78" i="10"/>
  <c r="R78" i="10"/>
  <c r="S78" i="10"/>
  <c r="Q79" i="10"/>
  <c r="R79" i="10"/>
  <c r="S79" i="10"/>
  <c r="M366" i="1"/>
  <c r="U366" i="1"/>
  <c r="M408" i="1"/>
  <c r="U408" i="1"/>
  <c r="M409" i="1"/>
  <c r="U409" i="1"/>
  <c r="M267" i="1" l="1"/>
  <c r="U267" i="1"/>
  <c r="M268" i="1"/>
  <c r="U268" i="1"/>
  <c r="M269" i="1"/>
  <c r="U269" i="1"/>
  <c r="M270" i="1"/>
  <c r="U270" i="1"/>
  <c r="M271" i="1"/>
  <c r="U271" i="1"/>
  <c r="M272" i="1"/>
  <c r="U272" i="1"/>
  <c r="M273" i="1"/>
  <c r="U273" i="1"/>
  <c r="M274" i="1"/>
  <c r="U274" i="1"/>
  <c r="M276" i="1"/>
  <c r="U276" i="1"/>
  <c r="M278" i="1"/>
  <c r="U278" i="1"/>
  <c r="M279" i="1"/>
  <c r="U279" i="1"/>
  <c r="M280" i="1"/>
  <c r="U280" i="1"/>
  <c r="M281" i="1"/>
  <c r="U281" i="1"/>
  <c r="M284" i="1"/>
  <c r="U284" i="1"/>
  <c r="M285" i="1"/>
  <c r="U285" i="1"/>
  <c r="M287" i="1"/>
  <c r="U287" i="1"/>
  <c r="M288" i="1"/>
  <c r="U288" i="1"/>
  <c r="M289" i="1"/>
  <c r="U289" i="1"/>
  <c r="M291" i="1"/>
  <c r="U291" i="1"/>
  <c r="M292" i="1"/>
  <c r="U292" i="1"/>
  <c r="M293" i="1"/>
  <c r="U293" i="1"/>
  <c r="M294" i="1"/>
  <c r="U294" i="1"/>
  <c r="M295" i="1"/>
  <c r="U295" i="1"/>
  <c r="M296" i="1"/>
  <c r="U296" i="1"/>
  <c r="A11" i="1"/>
  <c r="M482" i="1"/>
  <c r="R482" i="1"/>
  <c r="U482" i="1"/>
  <c r="M483" i="1"/>
  <c r="U483" i="1"/>
  <c r="M484" i="1"/>
  <c r="U484" i="1"/>
  <c r="C8" i="10"/>
  <c r="O3" i="8"/>
  <c r="Q923" i="8"/>
  <c r="R923" i="8"/>
  <c r="S923" i="8"/>
  <c r="Q924" i="8"/>
  <c r="R924" i="8"/>
  <c r="S924" i="8"/>
  <c r="Q925" i="8"/>
  <c r="R925" i="8"/>
  <c r="S925" i="8"/>
  <c r="Q926" i="8"/>
  <c r="R926" i="8"/>
  <c r="S926" i="8"/>
  <c r="Q927" i="8"/>
  <c r="R927" i="8"/>
  <c r="S927" i="8"/>
  <c r="Q928" i="8"/>
  <c r="R928" i="8"/>
  <c r="S928" i="8"/>
  <c r="Q929" i="8"/>
  <c r="R929" i="8"/>
  <c r="S929" i="8"/>
  <c r="Q930" i="8"/>
  <c r="R930" i="8"/>
  <c r="S930" i="8"/>
  <c r="Q931" i="8"/>
  <c r="R931" i="8"/>
  <c r="S931" i="8"/>
  <c r="Q932" i="8"/>
  <c r="R932" i="8"/>
  <c r="S932" i="8"/>
  <c r="Q933" i="8"/>
  <c r="R933" i="8"/>
  <c r="S933" i="8"/>
  <c r="Q934" i="8"/>
  <c r="R934" i="8"/>
  <c r="S934" i="8"/>
  <c r="Q935" i="8"/>
  <c r="R935" i="8"/>
  <c r="S935" i="8"/>
  <c r="Q936" i="8"/>
  <c r="R936" i="8"/>
  <c r="S936" i="8"/>
  <c r="Q937" i="8"/>
  <c r="R937" i="8"/>
  <c r="S937" i="8"/>
  <c r="Q938" i="8"/>
  <c r="R938" i="8"/>
  <c r="S938" i="8"/>
  <c r="Q939" i="8"/>
  <c r="R939" i="8"/>
  <c r="S939" i="8"/>
  <c r="Q940" i="8"/>
  <c r="R940" i="8"/>
  <c r="S940" i="8"/>
  <c r="Q941" i="8"/>
  <c r="R941" i="8"/>
  <c r="S941" i="8"/>
  <c r="Q942" i="8"/>
  <c r="R942" i="8"/>
  <c r="S942" i="8"/>
  <c r="Q943" i="8"/>
  <c r="R943" i="8"/>
  <c r="S943" i="8"/>
  <c r="Q944" i="8"/>
  <c r="R944" i="8"/>
  <c r="S944" i="8"/>
  <c r="Q945" i="8"/>
  <c r="R945" i="8"/>
  <c r="S945" i="8"/>
  <c r="Q946" i="8"/>
  <c r="R946" i="8"/>
  <c r="S946" i="8"/>
  <c r="Q947" i="8"/>
  <c r="R947" i="8"/>
  <c r="S947" i="8"/>
  <c r="Q948" i="8"/>
  <c r="R948" i="8"/>
  <c r="S948" i="8"/>
  <c r="Q949" i="8"/>
  <c r="R949" i="8"/>
  <c r="S949" i="8"/>
  <c r="Q950" i="8"/>
  <c r="R950" i="8"/>
  <c r="S950" i="8"/>
  <c r="Q951" i="8"/>
  <c r="R951" i="8"/>
  <c r="S951" i="8"/>
  <c r="Q952" i="8"/>
  <c r="R952" i="8"/>
  <c r="S952" i="8"/>
  <c r="Q953" i="8"/>
  <c r="R953" i="8"/>
  <c r="S953" i="8"/>
  <c r="Q954" i="8"/>
  <c r="R954" i="8"/>
  <c r="S954" i="8"/>
  <c r="Q955" i="8"/>
  <c r="R955" i="8"/>
  <c r="S955" i="8"/>
  <c r="Q956" i="8"/>
  <c r="R956" i="8"/>
  <c r="S956" i="8"/>
  <c r="Q957" i="8"/>
  <c r="R957" i="8"/>
  <c r="S957" i="8"/>
  <c r="Q958" i="8"/>
  <c r="R958" i="8"/>
  <c r="S958" i="8"/>
  <c r="Q959" i="8"/>
  <c r="R959" i="8"/>
  <c r="S959" i="8"/>
  <c r="Q960" i="8"/>
  <c r="R960" i="8"/>
  <c r="S960" i="8"/>
  <c r="Q961" i="8"/>
  <c r="R961" i="8"/>
  <c r="S961" i="8"/>
  <c r="Q962" i="8"/>
  <c r="R962" i="8"/>
  <c r="S962" i="8"/>
  <c r="Q963" i="8"/>
  <c r="R963" i="8"/>
  <c r="S963" i="8"/>
  <c r="Q964" i="8"/>
  <c r="R964" i="8"/>
  <c r="S964" i="8"/>
  <c r="Q965" i="8"/>
  <c r="R965" i="8"/>
  <c r="S965" i="8"/>
  <c r="Q966" i="8"/>
  <c r="R966" i="8"/>
  <c r="S966" i="8"/>
  <c r="Q967" i="8"/>
  <c r="R967" i="8"/>
  <c r="S967" i="8"/>
  <c r="Q968" i="8"/>
  <c r="R968" i="8"/>
  <c r="S968" i="8"/>
  <c r="Q969" i="8"/>
  <c r="R969" i="8"/>
  <c r="S969" i="8"/>
  <c r="Q970" i="8"/>
  <c r="R970" i="8"/>
  <c r="S970" i="8"/>
  <c r="Q971" i="8"/>
  <c r="R971" i="8"/>
  <c r="S971" i="8"/>
  <c r="Q972" i="8"/>
  <c r="R972" i="8"/>
  <c r="S972" i="8"/>
  <c r="Q973" i="8"/>
  <c r="R973" i="8"/>
  <c r="S973" i="8"/>
  <c r="Q974" i="8"/>
  <c r="R974" i="8"/>
  <c r="S974" i="8"/>
  <c r="Q975" i="8"/>
  <c r="R975" i="8"/>
  <c r="S975" i="8"/>
  <c r="Q976" i="8"/>
  <c r="R976" i="8"/>
  <c r="S976" i="8"/>
  <c r="Q977" i="8"/>
  <c r="R977" i="8"/>
  <c r="S977" i="8"/>
  <c r="Q978" i="8"/>
  <c r="R978" i="8"/>
  <c r="S978" i="8"/>
  <c r="Q979" i="8"/>
  <c r="R979" i="8"/>
  <c r="S979" i="8"/>
  <c r="Q980" i="8"/>
  <c r="R980" i="8"/>
  <c r="S980" i="8"/>
  <c r="Q981" i="8"/>
  <c r="R981" i="8"/>
  <c r="S981" i="8"/>
  <c r="Q982" i="8"/>
  <c r="R982" i="8"/>
  <c r="S982" i="8"/>
  <c r="Q983" i="8"/>
  <c r="R983" i="8"/>
  <c r="S983" i="8"/>
  <c r="Q984" i="8"/>
  <c r="R984" i="8"/>
  <c r="S984" i="8"/>
  <c r="Q985" i="8"/>
  <c r="R985" i="8"/>
  <c r="S985" i="8"/>
  <c r="Q986" i="8"/>
  <c r="R986" i="8"/>
  <c r="S986" i="8"/>
  <c r="Q987" i="8"/>
  <c r="R987" i="8"/>
  <c r="S987" i="8"/>
  <c r="Q988" i="8"/>
  <c r="R988" i="8"/>
  <c r="S988" i="8"/>
  <c r="Q989" i="8"/>
  <c r="R989" i="8"/>
  <c r="S989" i="8"/>
  <c r="Q990" i="8"/>
  <c r="R990" i="8"/>
  <c r="S990" i="8"/>
  <c r="Q991" i="8"/>
  <c r="R991" i="8"/>
  <c r="S991" i="8"/>
  <c r="Q992" i="8"/>
  <c r="R992" i="8"/>
  <c r="S992" i="8"/>
  <c r="Q993" i="8"/>
  <c r="R993" i="8"/>
  <c r="S993" i="8"/>
  <c r="Q994" i="8"/>
  <c r="R994" i="8"/>
  <c r="S994" i="8"/>
  <c r="Q995" i="8"/>
  <c r="R995" i="8"/>
  <c r="S995" i="8"/>
  <c r="Q996" i="8"/>
  <c r="R996" i="8"/>
  <c r="S996" i="8"/>
  <c r="Q997" i="8"/>
  <c r="R997" i="8"/>
  <c r="S997" i="8"/>
  <c r="Q998" i="8"/>
  <c r="R998" i="8"/>
  <c r="S998" i="8"/>
  <c r="Q999" i="8"/>
  <c r="R999" i="8"/>
  <c r="S999" i="8"/>
  <c r="Q1000" i="8"/>
  <c r="R1000" i="8"/>
  <c r="S1000" i="8"/>
  <c r="Q1001" i="8"/>
  <c r="R1001" i="8"/>
  <c r="S1001" i="8"/>
  <c r="Q1002" i="8"/>
  <c r="R1002" i="8"/>
  <c r="S1002" i="8"/>
  <c r="Q1003" i="8"/>
  <c r="R1003" i="8"/>
  <c r="S1003" i="8"/>
  <c r="Q1004" i="8"/>
  <c r="R1004" i="8"/>
  <c r="S1004" i="8"/>
  <c r="Q1005" i="8"/>
  <c r="R1005" i="8"/>
  <c r="S1005" i="8"/>
  <c r="Q1006" i="8"/>
  <c r="R1006" i="8"/>
  <c r="S1006" i="8"/>
  <c r="Q1007" i="8"/>
  <c r="R1007" i="8"/>
  <c r="S1007" i="8"/>
  <c r="Q1008" i="8"/>
  <c r="R1008" i="8"/>
  <c r="S1008" i="8"/>
  <c r="Q1009" i="8"/>
  <c r="R1009" i="8"/>
  <c r="S1009" i="8"/>
  <c r="Q1010" i="8"/>
  <c r="R1010" i="8"/>
  <c r="S1010" i="8"/>
  <c r="Q1011" i="8"/>
  <c r="R1011" i="8"/>
  <c r="S1011" i="8"/>
  <c r="Q1012" i="8"/>
  <c r="R1012" i="8"/>
  <c r="S1012" i="8"/>
  <c r="Q1013" i="8"/>
  <c r="R1013" i="8"/>
  <c r="S1013" i="8"/>
  <c r="Q1014" i="8"/>
  <c r="R1014" i="8"/>
  <c r="S1014" i="8"/>
  <c r="Q159" i="10"/>
  <c r="R159" i="10"/>
  <c r="S159" i="10"/>
  <c r="Q160" i="10"/>
  <c r="R160" i="10"/>
  <c r="S160" i="10"/>
  <c r="Q161" i="10"/>
  <c r="R161" i="10"/>
  <c r="S161" i="10"/>
  <c r="Q162" i="10"/>
  <c r="R162" i="10"/>
  <c r="S162" i="10"/>
  <c r="Q163" i="10"/>
  <c r="R163" i="10"/>
  <c r="S163" i="10"/>
  <c r="Q164" i="10"/>
  <c r="R164" i="10"/>
  <c r="S164" i="10"/>
  <c r="Q165" i="10"/>
  <c r="R165" i="10"/>
  <c r="S165" i="10"/>
  <c r="Q166" i="10"/>
  <c r="R166" i="10"/>
  <c r="S166" i="10"/>
  <c r="Q167" i="10"/>
  <c r="R167" i="10"/>
  <c r="S167" i="10"/>
  <c r="Q168" i="10"/>
  <c r="R168" i="10"/>
  <c r="S168" i="10"/>
  <c r="Q169" i="10"/>
  <c r="R169" i="10"/>
  <c r="S169" i="10"/>
  <c r="Q170" i="10"/>
  <c r="R170" i="10"/>
  <c r="S170" i="10"/>
  <c r="Q171" i="10"/>
  <c r="R171" i="10"/>
  <c r="S171" i="10"/>
  <c r="Q172" i="10"/>
  <c r="R172" i="10"/>
  <c r="S172" i="10"/>
  <c r="Q173" i="10"/>
  <c r="R173" i="10"/>
  <c r="S173" i="10"/>
  <c r="Q174" i="10"/>
  <c r="R174" i="10"/>
  <c r="S174" i="10"/>
  <c r="Q175" i="10"/>
  <c r="R175" i="10"/>
  <c r="S175" i="10"/>
  <c r="Q176" i="10"/>
  <c r="R176" i="10"/>
  <c r="S176" i="10"/>
  <c r="Q177" i="10"/>
  <c r="R177" i="10"/>
  <c r="S177" i="10"/>
  <c r="Q178" i="10"/>
  <c r="R178" i="10"/>
  <c r="S178" i="10"/>
  <c r="Q179" i="10"/>
  <c r="R179" i="10"/>
  <c r="S179" i="10"/>
  <c r="Q180" i="10"/>
  <c r="R180" i="10"/>
  <c r="S180" i="10"/>
  <c r="Q181" i="10"/>
  <c r="R181" i="10"/>
  <c r="S181" i="10"/>
  <c r="Q182" i="10"/>
  <c r="R182" i="10"/>
  <c r="S182" i="10"/>
  <c r="Q183" i="10"/>
  <c r="R183" i="10"/>
  <c r="S183" i="10"/>
  <c r="Q184" i="10"/>
  <c r="R184" i="10"/>
  <c r="S184" i="10"/>
  <c r="Q185" i="10"/>
  <c r="R185" i="10"/>
  <c r="S185" i="10"/>
  <c r="Q186" i="10"/>
  <c r="R186" i="10"/>
  <c r="S186" i="10"/>
  <c r="Q187" i="10"/>
  <c r="R187" i="10"/>
  <c r="S187" i="10"/>
  <c r="Q188" i="10"/>
  <c r="R188" i="10"/>
  <c r="S188" i="10"/>
  <c r="Q189" i="10"/>
  <c r="R189" i="10"/>
  <c r="S189" i="10"/>
  <c r="Q190" i="10"/>
  <c r="R190" i="10"/>
  <c r="S190" i="10"/>
  <c r="Q191" i="10"/>
  <c r="R191" i="10"/>
  <c r="S191" i="10"/>
  <c r="Q192" i="10"/>
  <c r="R192" i="10"/>
  <c r="S192" i="10"/>
  <c r="Q193" i="10"/>
  <c r="R193" i="10"/>
  <c r="S193" i="10"/>
  <c r="Q194" i="10"/>
  <c r="R194" i="10"/>
  <c r="S194" i="10"/>
  <c r="Q195" i="10"/>
  <c r="R195" i="10"/>
  <c r="S195" i="10"/>
  <c r="Q196" i="10"/>
  <c r="R196" i="10"/>
  <c r="S196" i="10"/>
  <c r="Q197" i="10"/>
  <c r="R197" i="10"/>
  <c r="S197" i="10"/>
  <c r="Q198" i="10"/>
  <c r="R198" i="10"/>
  <c r="S198" i="10"/>
  <c r="Q199" i="10"/>
  <c r="R199" i="10"/>
  <c r="S199" i="10"/>
  <c r="Q200" i="10"/>
  <c r="R200" i="10"/>
  <c r="S200" i="10"/>
  <c r="Q201" i="10"/>
  <c r="R201" i="10"/>
  <c r="S201" i="10"/>
  <c r="Q202" i="10"/>
  <c r="R202" i="10"/>
  <c r="S202" i="10"/>
  <c r="Q203" i="10"/>
  <c r="R203" i="10"/>
  <c r="S203" i="10"/>
  <c r="Q204" i="10"/>
  <c r="R204" i="10"/>
  <c r="S204" i="10"/>
  <c r="Q205" i="10"/>
  <c r="R205" i="10"/>
  <c r="S205" i="10"/>
  <c r="Q206" i="10"/>
  <c r="R206" i="10"/>
  <c r="S206" i="10"/>
  <c r="Q207" i="10"/>
  <c r="R207" i="10"/>
  <c r="S207" i="10"/>
  <c r="Q208" i="10"/>
  <c r="R208" i="10"/>
  <c r="S208" i="10"/>
  <c r="Q209" i="10"/>
  <c r="R209" i="10"/>
  <c r="S209" i="10"/>
  <c r="Q210" i="10"/>
  <c r="R210" i="10"/>
  <c r="S210" i="10"/>
  <c r="Q211" i="10"/>
  <c r="R211" i="10"/>
  <c r="S211" i="10"/>
  <c r="Q212" i="10"/>
  <c r="R212" i="10"/>
  <c r="S212" i="10"/>
  <c r="Q213" i="10"/>
  <c r="R213" i="10"/>
  <c r="S213" i="10"/>
  <c r="Q214" i="10"/>
  <c r="R214" i="10"/>
  <c r="S214" i="10"/>
  <c r="Q215" i="10"/>
  <c r="R215" i="10"/>
  <c r="S215" i="10"/>
  <c r="Q216" i="10"/>
  <c r="R216" i="10"/>
  <c r="S216" i="10"/>
  <c r="Q217" i="10"/>
  <c r="R217" i="10"/>
  <c r="S217" i="10"/>
  <c r="Q218" i="10"/>
  <c r="R218" i="10"/>
  <c r="S218" i="10"/>
  <c r="Q219" i="10"/>
  <c r="R219" i="10"/>
  <c r="S219" i="10"/>
  <c r="Q220" i="10"/>
  <c r="R220" i="10"/>
  <c r="S220" i="10"/>
  <c r="Q221" i="10"/>
  <c r="R221" i="10"/>
  <c r="S221" i="10"/>
  <c r="Q222" i="10"/>
  <c r="R222" i="10"/>
  <c r="S222" i="10"/>
  <c r="Q223" i="10"/>
  <c r="R223" i="10"/>
  <c r="S223" i="10"/>
  <c r="Q224" i="10"/>
  <c r="R224" i="10"/>
  <c r="S224" i="10"/>
  <c r="Q225" i="10"/>
  <c r="R225" i="10"/>
  <c r="S225" i="10"/>
  <c r="Q226" i="10"/>
  <c r="R226" i="10"/>
  <c r="S226" i="10"/>
  <c r="Q227" i="10"/>
  <c r="R227" i="10"/>
  <c r="S227" i="10"/>
  <c r="Q228" i="10"/>
  <c r="R228" i="10"/>
  <c r="S228" i="10"/>
  <c r="Q229" i="10"/>
  <c r="R229" i="10"/>
  <c r="S229" i="10"/>
  <c r="Q230" i="10"/>
  <c r="R230" i="10"/>
  <c r="S230" i="10"/>
  <c r="Q231" i="10"/>
  <c r="R231" i="10"/>
  <c r="S231" i="10"/>
  <c r="Q232" i="10"/>
  <c r="R232" i="10"/>
  <c r="S232" i="10"/>
  <c r="Q233" i="10"/>
  <c r="R233" i="10"/>
  <c r="S233" i="10"/>
  <c r="Q234" i="10"/>
  <c r="R234" i="10"/>
  <c r="S234" i="10"/>
  <c r="Q235" i="10"/>
  <c r="R235" i="10"/>
  <c r="S235" i="10"/>
  <c r="Q236" i="10"/>
  <c r="R236" i="10"/>
  <c r="S236" i="10"/>
  <c r="Q237" i="10"/>
  <c r="R237" i="10"/>
  <c r="S237" i="10"/>
  <c r="Q238" i="10"/>
  <c r="R238" i="10"/>
  <c r="S238" i="10"/>
  <c r="Q239" i="10"/>
  <c r="R239" i="10"/>
  <c r="S239" i="10"/>
  <c r="Q240" i="10"/>
  <c r="R240" i="10"/>
  <c r="S240" i="10"/>
  <c r="Q241" i="10"/>
  <c r="R241" i="10"/>
  <c r="S241" i="10"/>
  <c r="Q242" i="10"/>
  <c r="R242" i="10"/>
  <c r="S242" i="10"/>
  <c r="Q243" i="10"/>
  <c r="R243" i="10"/>
  <c r="S243" i="10"/>
  <c r="Q244" i="10"/>
  <c r="R244" i="10"/>
  <c r="S244" i="10"/>
  <c r="Q245" i="10"/>
  <c r="R245" i="10"/>
  <c r="S245" i="10"/>
  <c r="Q246" i="10"/>
  <c r="R246" i="10"/>
  <c r="S246" i="10"/>
  <c r="Q247" i="10"/>
  <c r="R247" i="10"/>
  <c r="S247" i="10"/>
  <c r="Q248" i="10"/>
  <c r="R248" i="10"/>
  <c r="S248" i="10"/>
  <c r="Q249" i="10"/>
  <c r="R249" i="10"/>
  <c r="S249" i="10"/>
  <c r="Q250" i="10"/>
  <c r="R250" i="10"/>
  <c r="S250" i="10"/>
  <c r="Q251" i="10"/>
  <c r="R251" i="10"/>
  <c r="S251" i="10"/>
  <c r="Q252" i="10"/>
  <c r="R252" i="10"/>
  <c r="S252" i="10"/>
  <c r="Q253" i="10"/>
  <c r="R253" i="10"/>
  <c r="S253" i="10"/>
  <c r="P254" i="10"/>
  <c r="Q254" i="10"/>
  <c r="R254" i="10"/>
  <c r="S254" i="10"/>
  <c r="P255" i="10"/>
  <c r="Q255" i="10"/>
  <c r="R255" i="10"/>
  <c r="S255" i="10"/>
  <c r="P256" i="10"/>
  <c r="Q256" i="10"/>
  <c r="R256" i="10"/>
  <c r="S256" i="10"/>
  <c r="P257" i="10"/>
  <c r="Q257" i="10"/>
  <c r="R257" i="10"/>
  <c r="S257" i="10"/>
  <c r="P258" i="10"/>
  <c r="Q258" i="10"/>
  <c r="R258" i="10"/>
  <c r="S258" i="10"/>
  <c r="P259" i="10"/>
  <c r="Q259" i="10"/>
  <c r="R259" i="10"/>
  <c r="S259" i="10"/>
  <c r="P260" i="10"/>
  <c r="Q260" i="10"/>
  <c r="R260" i="10"/>
  <c r="S260" i="10"/>
  <c r="P261" i="10"/>
  <c r="Q261" i="10"/>
  <c r="R261" i="10"/>
  <c r="S261" i="10"/>
  <c r="P262" i="10"/>
  <c r="Q262" i="10"/>
  <c r="R262" i="10"/>
  <c r="S262" i="10"/>
  <c r="P263" i="10"/>
  <c r="Q263" i="10"/>
  <c r="R263" i="10"/>
  <c r="S263" i="10"/>
  <c r="P264" i="10"/>
  <c r="Q264" i="10"/>
  <c r="R264" i="10"/>
  <c r="S264" i="10"/>
  <c r="P265" i="10"/>
  <c r="Q265" i="10"/>
  <c r="R265" i="10"/>
  <c r="S265" i="10"/>
  <c r="P266" i="10"/>
  <c r="Q266" i="10"/>
  <c r="R266" i="10"/>
  <c r="S266" i="10"/>
  <c r="P267" i="10"/>
  <c r="Q267" i="10"/>
  <c r="R267" i="10"/>
  <c r="S267" i="10"/>
  <c r="P268" i="10"/>
  <c r="Q268" i="10"/>
  <c r="R268" i="10"/>
  <c r="S268" i="10"/>
  <c r="P269" i="10"/>
  <c r="Q269" i="10"/>
  <c r="R269" i="10"/>
  <c r="S269" i="10"/>
  <c r="P270" i="10"/>
  <c r="Q270" i="10"/>
  <c r="R270" i="10"/>
  <c r="S270" i="10"/>
  <c r="P271" i="10"/>
  <c r="Q271" i="10"/>
  <c r="R271" i="10"/>
  <c r="S271" i="10"/>
  <c r="P272" i="10"/>
  <c r="Q272" i="10"/>
  <c r="R272" i="10"/>
  <c r="S272" i="10"/>
  <c r="P273" i="10"/>
  <c r="Q273" i="10"/>
  <c r="R273" i="10"/>
  <c r="S273" i="10"/>
  <c r="P274" i="10"/>
  <c r="Q274" i="10"/>
  <c r="R274" i="10"/>
  <c r="S274" i="10"/>
  <c r="P275" i="10"/>
  <c r="Q275" i="10"/>
  <c r="R275" i="10"/>
  <c r="S275" i="10"/>
  <c r="P276" i="10"/>
  <c r="Q276" i="10"/>
  <c r="R276" i="10"/>
  <c r="S276" i="10"/>
  <c r="P277" i="10"/>
  <c r="Q277" i="10"/>
  <c r="R277" i="10"/>
  <c r="S277" i="10"/>
  <c r="P278" i="10"/>
  <c r="Q278" i="10"/>
  <c r="R278" i="10"/>
  <c r="S278" i="10"/>
  <c r="P279" i="10"/>
  <c r="Q279" i="10"/>
  <c r="R279" i="10"/>
  <c r="S279" i="10"/>
  <c r="P280" i="10"/>
  <c r="Q280" i="10"/>
  <c r="R280" i="10"/>
  <c r="S280" i="10"/>
  <c r="P281" i="10"/>
  <c r="Q281" i="10"/>
  <c r="R281" i="10"/>
  <c r="S281" i="10"/>
  <c r="P282" i="10"/>
  <c r="Q282" i="10"/>
  <c r="R282" i="10"/>
  <c r="S282" i="10"/>
  <c r="P283" i="10"/>
  <c r="Q283" i="10"/>
  <c r="R283" i="10"/>
  <c r="S283" i="10"/>
  <c r="P284" i="10"/>
  <c r="Q284" i="10"/>
  <c r="R284" i="10"/>
  <c r="S284" i="10"/>
  <c r="P285" i="10"/>
  <c r="Q285" i="10"/>
  <c r="R285" i="10"/>
  <c r="S285" i="10"/>
  <c r="P286" i="10"/>
  <c r="Q286" i="10"/>
  <c r="R286" i="10"/>
  <c r="S286" i="10"/>
  <c r="P287" i="10"/>
  <c r="Q287" i="10"/>
  <c r="R287" i="10"/>
  <c r="S287" i="10"/>
  <c r="P288" i="10"/>
  <c r="Q288" i="10"/>
  <c r="R288" i="10"/>
  <c r="S288" i="10"/>
  <c r="P289" i="10"/>
  <c r="Q289" i="10"/>
  <c r="R289" i="10"/>
  <c r="S289" i="10"/>
  <c r="P290" i="10"/>
  <c r="Q290" i="10"/>
  <c r="R290" i="10"/>
  <c r="S290" i="10"/>
  <c r="P291" i="10"/>
  <c r="Q291" i="10"/>
  <c r="R291" i="10"/>
  <c r="S291" i="10"/>
  <c r="P292" i="10"/>
  <c r="Q292" i="10"/>
  <c r="R292" i="10"/>
  <c r="S292" i="10"/>
  <c r="P293" i="10"/>
  <c r="Q293" i="10"/>
  <c r="R293" i="10"/>
  <c r="S293" i="10"/>
  <c r="P294" i="10"/>
  <c r="Q294" i="10"/>
  <c r="R294" i="10"/>
  <c r="S294" i="10"/>
  <c r="P295" i="10"/>
  <c r="Q295" i="10"/>
  <c r="R295" i="10"/>
  <c r="S295" i="10"/>
  <c r="P296" i="10"/>
  <c r="Q296" i="10"/>
  <c r="R296" i="10"/>
  <c r="S296" i="10"/>
  <c r="P297" i="10"/>
  <c r="Q297" i="10"/>
  <c r="R297" i="10"/>
  <c r="S297" i="10"/>
  <c r="P298" i="10"/>
  <c r="Q298" i="10"/>
  <c r="R298" i="10"/>
  <c r="S298" i="10"/>
  <c r="P299" i="10"/>
  <c r="Q299" i="10"/>
  <c r="R299" i="10"/>
  <c r="S299" i="10"/>
  <c r="P300" i="10"/>
  <c r="Q300" i="10"/>
  <c r="R300" i="10"/>
  <c r="S300" i="10"/>
  <c r="P301" i="10"/>
  <c r="Q301" i="10"/>
  <c r="R301" i="10"/>
  <c r="S301" i="10"/>
  <c r="P302" i="10"/>
  <c r="Q302" i="10"/>
  <c r="R302" i="10"/>
  <c r="S302" i="10"/>
  <c r="P303" i="10"/>
  <c r="Q303" i="10"/>
  <c r="R303" i="10"/>
  <c r="S303" i="10"/>
  <c r="P304" i="10"/>
  <c r="Q304" i="10"/>
  <c r="R304" i="10"/>
  <c r="S304" i="10"/>
  <c r="P305" i="10"/>
  <c r="Q305" i="10"/>
  <c r="R305" i="10"/>
  <c r="S305" i="10"/>
  <c r="O3" i="10"/>
  <c r="Q2" i="10"/>
  <c r="P2" i="10"/>
  <c r="Q2" i="8"/>
  <c r="P2" i="8"/>
  <c r="Q5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3" i="10"/>
  <c r="Q55" i="10"/>
  <c r="Q56" i="10"/>
  <c r="Q139" i="10"/>
  <c r="Q140" i="10"/>
  <c r="Q141" i="10"/>
  <c r="Q142" i="10"/>
  <c r="Q143" i="10"/>
  <c r="Q144" i="10"/>
  <c r="Q145" i="10"/>
  <c r="Q146" i="10"/>
  <c r="Q147" i="10"/>
  <c r="Q148" i="10"/>
  <c r="Q149" i="10"/>
  <c r="Q150" i="10"/>
  <c r="Q151" i="10"/>
  <c r="Q152" i="10"/>
  <c r="Q153" i="10"/>
  <c r="Q154" i="10"/>
  <c r="Q155" i="10"/>
  <c r="Q156" i="10"/>
  <c r="Q157" i="10"/>
  <c r="Q158" i="10"/>
  <c r="S483" i="1" l="1"/>
  <c r="R483" i="1"/>
  <c r="S482" i="1"/>
  <c r="S484" i="1"/>
  <c r="R484" i="1"/>
  <c r="U11" i="1"/>
  <c r="U12" i="1"/>
  <c r="U13" i="1"/>
  <c r="U15" i="1"/>
  <c r="U16" i="1"/>
  <c r="U17"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9" i="1"/>
  <c r="U50" i="1"/>
  <c r="U51" i="1"/>
  <c r="U52" i="1"/>
  <c r="U53" i="1"/>
  <c r="U54" i="1"/>
  <c r="U55" i="1"/>
  <c r="U56" i="1"/>
  <c r="U57" i="1"/>
  <c r="U58" i="1"/>
  <c r="U59" i="1"/>
  <c r="U60" i="1"/>
  <c r="U61" i="1"/>
  <c r="U62" i="1"/>
  <c r="U63" i="1"/>
  <c r="U64" i="1"/>
  <c r="U65" i="1"/>
  <c r="U66" i="1"/>
  <c r="U68" i="1"/>
  <c r="U69" i="1"/>
  <c r="U71" i="1"/>
  <c r="U72" i="1"/>
  <c r="U73" i="1"/>
  <c r="U74" i="1"/>
  <c r="U75" i="1"/>
  <c r="U76" i="1"/>
  <c r="U77" i="1"/>
  <c r="U78" i="1"/>
  <c r="U79" i="1"/>
  <c r="U80" i="1"/>
  <c r="U81" i="1"/>
  <c r="U83" i="1"/>
  <c r="U84" i="1"/>
  <c r="U85" i="1"/>
  <c r="U86" i="1"/>
  <c r="U88" i="1"/>
  <c r="U89" i="1"/>
  <c r="U90" i="1"/>
  <c r="U91" i="1"/>
  <c r="U92" i="1"/>
  <c r="U93" i="1"/>
  <c r="U94" i="1"/>
  <c r="U104" i="1"/>
  <c r="U105" i="1"/>
  <c r="U111" i="1"/>
  <c r="U112" i="1"/>
  <c r="U113" i="1"/>
  <c r="U114" i="1"/>
  <c r="U115" i="1"/>
  <c r="U123" i="1"/>
  <c r="U124" i="1"/>
  <c r="U125" i="1"/>
  <c r="U126" i="1"/>
  <c r="U127" i="1"/>
  <c r="U136" i="1"/>
  <c r="U137" i="1"/>
  <c r="U138" i="1"/>
  <c r="U139" i="1"/>
  <c r="U140" i="1"/>
  <c r="U141" i="1"/>
  <c r="U142" i="1"/>
  <c r="U143" i="1"/>
  <c r="U144" i="1"/>
  <c r="U145" i="1"/>
  <c r="U146" i="1"/>
  <c r="U147" i="1"/>
  <c r="U148" i="1"/>
  <c r="U149" i="1"/>
  <c r="U150" i="1"/>
  <c r="U151" i="1"/>
  <c r="U152" i="1"/>
  <c r="U153" i="1"/>
  <c r="U154" i="1"/>
  <c r="U155" i="1"/>
  <c r="U156" i="1"/>
  <c r="U158" i="1"/>
  <c r="U159" i="1"/>
  <c r="U160" i="1"/>
  <c r="U161" i="1"/>
  <c r="U162" i="1"/>
  <c r="U163" i="1"/>
  <c r="U164" i="1"/>
  <c r="U165" i="1"/>
  <c r="U166" i="1"/>
  <c r="U167" i="1"/>
  <c r="U168" i="1"/>
  <c r="U169" i="1"/>
  <c r="U170" i="1"/>
  <c r="U171" i="1"/>
  <c r="U172" i="1"/>
  <c r="U181" i="1"/>
  <c r="U182" i="1"/>
  <c r="U184" i="1"/>
  <c r="U186" i="1"/>
  <c r="U187" i="1"/>
  <c r="U188" i="1"/>
  <c r="U189" i="1"/>
  <c r="U190" i="1"/>
  <c r="U191" i="1"/>
  <c r="U192" i="1"/>
  <c r="U193" i="1"/>
  <c r="U194" i="1"/>
  <c r="U202" i="1"/>
  <c r="U203" i="1"/>
  <c r="U204" i="1"/>
  <c r="U206" i="1"/>
  <c r="U207" i="1"/>
  <c r="U209" i="1"/>
  <c r="U210" i="1"/>
  <c r="U211" i="1"/>
  <c r="U212" i="1"/>
  <c r="U213" i="1"/>
  <c r="U214" i="1"/>
  <c r="U216" i="1"/>
  <c r="U217" i="1"/>
  <c r="U219" i="1"/>
  <c r="U220" i="1"/>
  <c r="U221" i="1"/>
  <c r="U222" i="1"/>
  <c r="U223" i="1"/>
  <c r="U224" i="1"/>
  <c r="U225" i="1"/>
  <c r="U226" i="1"/>
  <c r="U227" i="1"/>
  <c r="U228" i="1"/>
  <c r="U229" i="1"/>
  <c r="U230" i="1"/>
  <c r="U231" i="1"/>
  <c r="U234" i="1"/>
  <c r="U235" i="1"/>
  <c r="U236" i="1"/>
  <c r="U239" i="1"/>
  <c r="U240" i="1"/>
  <c r="U241" i="1"/>
  <c r="U242" i="1"/>
  <c r="U243" i="1"/>
  <c r="U244" i="1"/>
  <c r="U246" i="1"/>
  <c r="U247" i="1"/>
  <c r="U248" i="1"/>
  <c r="U250" i="1"/>
  <c r="U254" i="1"/>
  <c r="U255" i="1"/>
  <c r="U256" i="1"/>
  <c r="U264" i="1"/>
  <c r="U266" i="1"/>
  <c r="U322" i="1"/>
  <c r="U323" i="1"/>
  <c r="U324" i="1"/>
  <c r="U325" i="1"/>
  <c r="U327" i="1"/>
  <c r="U332" i="1"/>
  <c r="U333" i="1"/>
  <c r="U336" i="1"/>
  <c r="U342" i="1"/>
  <c r="U343" i="1"/>
  <c r="U345" i="1"/>
  <c r="U346" i="1"/>
  <c r="U347" i="1"/>
  <c r="U348" i="1"/>
  <c r="U349" i="1"/>
  <c r="U355" i="1"/>
  <c r="U356" i="1"/>
  <c r="U357" i="1"/>
  <c r="U358" i="1"/>
  <c r="U359" i="1"/>
  <c r="U360" i="1"/>
  <c r="U363" i="1"/>
  <c r="U364" i="1"/>
  <c r="U365" i="1"/>
  <c r="U368" i="1"/>
  <c r="U369" i="1"/>
  <c r="U370" i="1"/>
  <c r="U371" i="1"/>
  <c r="U374" i="1"/>
  <c r="U375" i="1"/>
  <c r="U380" i="1"/>
  <c r="U381" i="1"/>
  <c r="U382" i="1"/>
  <c r="U383" i="1"/>
  <c r="U384" i="1"/>
  <c r="U386" i="1"/>
  <c r="U389" i="1"/>
  <c r="U390" i="1"/>
  <c r="U391" i="1"/>
  <c r="U392" i="1"/>
  <c r="U393" i="1"/>
  <c r="U394" i="1"/>
  <c r="U395" i="1"/>
  <c r="U396" i="1"/>
  <c r="U397" i="1"/>
  <c r="U398" i="1"/>
  <c r="U399" i="1"/>
  <c r="U367" i="1"/>
  <c r="U403" i="1"/>
  <c r="U404" i="1"/>
  <c r="U405" i="1"/>
  <c r="U406" i="1"/>
  <c r="U407" i="1"/>
  <c r="U429" i="1"/>
  <c r="U430" i="1"/>
  <c r="U431" i="1"/>
  <c r="U432" i="1"/>
  <c r="U433" i="1"/>
  <c r="U434" i="1"/>
  <c r="U435" i="1"/>
  <c r="U436" i="1"/>
  <c r="U437" i="1"/>
  <c r="U438" i="1"/>
  <c r="U439" i="1"/>
  <c r="U440" i="1"/>
  <c r="U441" i="1"/>
  <c r="U442" i="1"/>
  <c r="U443" i="1"/>
  <c r="U444" i="1"/>
  <c r="U447" i="1"/>
  <c r="U448" i="1"/>
  <c r="U449" i="1"/>
  <c r="U450" i="1"/>
  <c r="U451" i="1"/>
  <c r="U452"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C8" i="8"/>
  <c r="C7" i="8"/>
  <c r="C6" i="8"/>
  <c r="C5" i="8"/>
  <c r="C4" i="8"/>
  <c r="C3" i="8"/>
  <c r="C7" i="10"/>
  <c r="C6" i="10"/>
  <c r="C5" i="10"/>
  <c r="C4" i="10"/>
  <c r="C3" i="10"/>
  <c r="A138" i="10" l="1"/>
  <c r="A137" i="10"/>
  <c r="M137" i="10"/>
  <c r="M138" i="10"/>
  <c r="M54" i="10"/>
  <c r="M63" i="8"/>
  <c r="M663" i="8"/>
  <c r="A98" i="10"/>
  <c r="A54" i="10"/>
  <c r="A55" i="10"/>
  <c r="A363" i="8"/>
  <c r="A63" i="8"/>
  <c r="M363" i="8"/>
  <c r="M98" i="10"/>
  <c r="A35" i="8"/>
  <c r="A664" i="8"/>
  <c r="M35" i="8"/>
  <c r="M664" i="8"/>
  <c r="M119" i="10"/>
  <c r="M120" i="10"/>
  <c r="M128" i="10"/>
  <c r="M136" i="10"/>
  <c r="M121" i="10"/>
  <c r="M129" i="10"/>
  <c r="M135" i="10"/>
  <c r="M122" i="10"/>
  <c r="M130" i="10"/>
  <c r="M126" i="10"/>
  <c r="M132" i="10"/>
  <c r="M133" i="10"/>
  <c r="M123" i="10"/>
  <c r="M131" i="10"/>
  <c r="M117" i="10"/>
  <c r="M118" i="10"/>
  <c r="M127" i="10"/>
  <c r="M124" i="10"/>
  <c r="M125" i="10"/>
  <c r="M134" i="10"/>
  <c r="A130" i="10"/>
  <c r="A131" i="10"/>
  <c r="A132" i="10"/>
  <c r="A117" i="10"/>
  <c r="A133" i="10"/>
  <c r="A118" i="10"/>
  <c r="A134" i="10"/>
  <c r="A123" i="10"/>
  <c r="A119" i="10"/>
  <c r="A135" i="10"/>
  <c r="A125" i="10"/>
  <c r="A129" i="10"/>
  <c r="A120" i="10"/>
  <c r="A136" i="10"/>
  <c r="A124" i="10"/>
  <c r="A126" i="10"/>
  <c r="A127" i="10"/>
  <c r="A128" i="10"/>
  <c r="A121" i="10"/>
  <c r="A122" i="10"/>
  <c r="A57" i="10"/>
  <c r="A73" i="10"/>
  <c r="A89" i="10"/>
  <c r="A106" i="10"/>
  <c r="A143" i="10"/>
  <c r="A159" i="10"/>
  <c r="A175" i="10"/>
  <c r="A191" i="10"/>
  <c r="A206" i="10"/>
  <c r="A222" i="10"/>
  <c r="A238" i="10"/>
  <c r="A253" i="10"/>
  <c r="A256" i="10"/>
  <c r="A272" i="10"/>
  <c r="A288" i="10"/>
  <c r="A304" i="10"/>
  <c r="A58" i="10"/>
  <c r="A74" i="10"/>
  <c r="A90" i="10"/>
  <c r="A107" i="10"/>
  <c r="A144" i="10"/>
  <c r="A160" i="10"/>
  <c r="A176" i="10"/>
  <c r="A192" i="10"/>
  <c r="A207" i="10"/>
  <c r="A223" i="10"/>
  <c r="A239" i="10"/>
  <c r="A257" i="10"/>
  <c r="A273" i="10"/>
  <c r="A289" i="10"/>
  <c r="A305" i="10"/>
  <c r="A59" i="10"/>
  <c r="A75" i="10"/>
  <c r="A91" i="10"/>
  <c r="A108" i="10"/>
  <c r="A145" i="10"/>
  <c r="A161" i="10"/>
  <c r="A177" i="10"/>
  <c r="A193" i="10"/>
  <c r="A208" i="10"/>
  <c r="A224" i="10"/>
  <c r="A240" i="10"/>
  <c r="A258" i="10"/>
  <c r="A274" i="10"/>
  <c r="A290" i="10"/>
  <c r="A60" i="10"/>
  <c r="A76" i="10"/>
  <c r="A92" i="10"/>
  <c r="A109" i="10"/>
  <c r="A146" i="10"/>
  <c r="A162" i="10"/>
  <c r="A178" i="10"/>
  <c r="A194" i="10"/>
  <c r="A209" i="10"/>
  <c r="A225" i="10"/>
  <c r="A241" i="10"/>
  <c r="A259" i="10"/>
  <c r="A275" i="10"/>
  <c r="A291" i="10"/>
  <c r="A61" i="10"/>
  <c r="A77" i="10"/>
  <c r="A93" i="10"/>
  <c r="A110" i="10"/>
  <c r="A147" i="10"/>
  <c r="A163" i="10"/>
  <c r="A179" i="10"/>
  <c r="A195" i="10"/>
  <c r="A210" i="10"/>
  <c r="A226" i="10"/>
  <c r="A242" i="10"/>
  <c r="A260" i="10"/>
  <c r="A276" i="10"/>
  <c r="A292" i="10"/>
  <c r="A62" i="10"/>
  <c r="A78" i="10"/>
  <c r="A94" i="10"/>
  <c r="A111" i="10"/>
  <c r="A148" i="10"/>
  <c r="A164" i="10"/>
  <c r="A180" i="10"/>
  <c r="A196" i="10"/>
  <c r="A211" i="10"/>
  <c r="A227" i="10"/>
  <c r="A243" i="10"/>
  <c r="A261" i="10"/>
  <c r="A277" i="10"/>
  <c r="A293" i="10"/>
  <c r="A81" i="10"/>
  <c r="A63" i="10"/>
  <c r="A79" i="10"/>
  <c r="A95" i="10"/>
  <c r="A112" i="10"/>
  <c r="A149" i="10"/>
  <c r="A165" i="10"/>
  <c r="A181" i="10"/>
  <c r="A197" i="10"/>
  <c r="A212" i="10"/>
  <c r="A228" i="10"/>
  <c r="A244" i="10"/>
  <c r="A262" i="10"/>
  <c r="A278" i="10"/>
  <c r="A294" i="10"/>
  <c r="A183" i="10"/>
  <c r="A245" i="10"/>
  <c r="A264" i="10"/>
  <c r="A296" i="10"/>
  <c r="A64" i="10"/>
  <c r="A80" i="10"/>
  <c r="A96" i="10"/>
  <c r="A113" i="10"/>
  <c r="A150" i="10"/>
  <c r="A166" i="10"/>
  <c r="A182" i="10"/>
  <c r="A213" i="10"/>
  <c r="A229" i="10"/>
  <c r="A263" i="10"/>
  <c r="A279" i="10"/>
  <c r="A295" i="10"/>
  <c r="A65" i="10"/>
  <c r="A97" i="10"/>
  <c r="A114" i="10"/>
  <c r="A151" i="10"/>
  <c r="A167" i="10"/>
  <c r="A198" i="10"/>
  <c r="A214" i="10"/>
  <c r="A230" i="10"/>
  <c r="A280" i="10"/>
  <c r="A66" i="10"/>
  <c r="A82" i="10"/>
  <c r="A99" i="10"/>
  <c r="A115" i="10"/>
  <c r="A152" i="10"/>
  <c r="A168" i="10"/>
  <c r="A184" i="10"/>
  <c r="A199" i="10"/>
  <c r="A215" i="10"/>
  <c r="A231" i="10"/>
  <c r="A246" i="10"/>
  <c r="A265" i="10"/>
  <c r="A281" i="10"/>
  <c r="A297" i="10"/>
  <c r="A72" i="10"/>
  <c r="A221" i="10"/>
  <c r="A287" i="10"/>
  <c r="A67" i="10"/>
  <c r="A83" i="10"/>
  <c r="A100" i="10"/>
  <c r="A116" i="10"/>
  <c r="A153" i="10"/>
  <c r="A169" i="10"/>
  <c r="A185" i="10"/>
  <c r="A200" i="10"/>
  <c r="A216" i="10"/>
  <c r="A232" i="10"/>
  <c r="A247" i="10"/>
  <c r="A266" i="10"/>
  <c r="A282" i="10"/>
  <c r="A298" i="10"/>
  <c r="A220" i="10"/>
  <c r="A302" i="10"/>
  <c r="A252" i="10"/>
  <c r="A68" i="10"/>
  <c r="A84" i="10"/>
  <c r="A101" i="10"/>
  <c r="A139" i="10"/>
  <c r="A154" i="10"/>
  <c r="A170" i="10"/>
  <c r="A186" i="10"/>
  <c r="A201" i="10"/>
  <c r="A217" i="10"/>
  <c r="A233" i="10"/>
  <c r="A248" i="10"/>
  <c r="A267" i="10"/>
  <c r="A283" i="10"/>
  <c r="A299" i="10"/>
  <c r="A158" i="10"/>
  <c r="A237" i="10"/>
  <c r="A255" i="10"/>
  <c r="A69" i="10"/>
  <c r="A85" i="10"/>
  <c r="A102" i="10"/>
  <c r="A140" i="10"/>
  <c r="A155" i="10"/>
  <c r="A171" i="10"/>
  <c r="A187" i="10"/>
  <c r="A202" i="10"/>
  <c r="A218" i="10"/>
  <c r="A234" i="10"/>
  <c r="A249" i="10"/>
  <c r="A268" i="10"/>
  <c r="A284" i="10"/>
  <c r="A300" i="10"/>
  <c r="A157" i="10"/>
  <c r="A204" i="10"/>
  <c r="A251" i="10"/>
  <c r="A254" i="10"/>
  <c r="A286" i="10"/>
  <c r="A105" i="10"/>
  <c r="A174" i="10"/>
  <c r="A205" i="10"/>
  <c r="A303" i="10"/>
  <c r="A70" i="10"/>
  <c r="A86" i="10"/>
  <c r="A103" i="10"/>
  <c r="A141" i="10"/>
  <c r="A156" i="10"/>
  <c r="A172" i="10"/>
  <c r="A188" i="10"/>
  <c r="A203" i="10"/>
  <c r="A219" i="10"/>
  <c r="A235" i="10"/>
  <c r="A250" i="10"/>
  <c r="A269" i="10"/>
  <c r="A285" i="10"/>
  <c r="A301" i="10"/>
  <c r="A71" i="10"/>
  <c r="A87" i="10"/>
  <c r="A104" i="10"/>
  <c r="A142" i="10"/>
  <c r="A173" i="10"/>
  <c r="A189" i="10"/>
  <c r="A236" i="10"/>
  <c r="A270" i="10"/>
  <c r="A88" i="10"/>
  <c r="A190" i="10"/>
  <c r="A271" i="10"/>
  <c r="M51" i="10"/>
  <c r="M68" i="10"/>
  <c r="M84" i="10"/>
  <c r="M101" i="10"/>
  <c r="M52" i="10"/>
  <c r="M69" i="10"/>
  <c r="M85" i="10"/>
  <c r="M102" i="10"/>
  <c r="M53" i="10"/>
  <c r="M70" i="10"/>
  <c r="M86" i="10"/>
  <c r="M103" i="10"/>
  <c r="M55" i="10"/>
  <c r="M71" i="10"/>
  <c r="M87" i="10"/>
  <c r="M104" i="10"/>
  <c r="M56" i="10"/>
  <c r="M72" i="10"/>
  <c r="M88" i="10"/>
  <c r="M105" i="10"/>
  <c r="M57" i="10"/>
  <c r="M73" i="10"/>
  <c r="M89" i="10"/>
  <c r="M106" i="10"/>
  <c r="M58" i="10"/>
  <c r="M74" i="10"/>
  <c r="M90" i="10"/>
  <c r="M107" i="10"/>
  <c r="M76" i="10"/>
  <c r="M59" i="10"/>
  <c r="M75" i="10"/>
  <c r="M91" i="10"/>
  <c r="M108" i="10"/>
  <c r="M60" i="10"/>
  <c r="M92" i="10"/>
  <c r="M109" i="10"/>
  <c r="M61" i="10"/>
  <c r="M77" i="10"/>
  <c r="M93" i="10"/>
  <c r="M110" i="10"/>
  <c r="M62" i="10"/>
  <c r="M78" i="10"/>
  <c r="M94" i="10"/>
  <c r="M111" i="10"/>
  <c r="M99" i="10"/>
  <c r="M116" i="10"/>
  <c r="M63" i="10"/>
  <c r="M79" i="10"/>
  <c r="M95" i="10"/>
  <c r="M112" i="10"/>
  <c r="M67" i="10"/>
  <c r="M64" i="10"/>
  <c r="M80" i="10"/>
  <c r="M96" i="10"/>
  <c r="M113" i="10"/>
  <c r="M82" i="10"/>
  <c r="M100" i="10"/>
  <c r="M65" i="10"/>
  <c r="M81" i="10"/>
  <c r="M97" i="10"/>
  <c r="M114" i="10"/>
  <c r="M66" i="10"/>
  <c r="M115" i="10"/>
  <c r="M83" i="10"/>
  <c r="A929" i="8"/>
  <c r="A945" i="8"/>
  <c r="A961" i="8"/>
  <c r="A977" i="8"/>
  <c r="A993" i="8"/>
  <c r="A1009" i="8"/>
  <c r="A926" i="8"/>
  <c r="A942" i="8"/>
  <c r="A958" i="8"/>
  <c r="A974" i="8"/>
  <c r="A990" i="8"/>
  <c r="A1006" i="8"/>
  <c r="A923" i="8"/>
  <c r="A939" i="8"/>
  <c r="A955" i="8"/>
  <c r="A971" i="8"/>
  <c r="A987" i="8"/>
  <c r="A1003" i="8"/>
  <c r="A936" i="8"/>
  <c r="A952" i="8"/>
  <c r="A968" i="8"/>
  <c r="A984" i="8"/>
  <c r="A1000" i="8"/>
  <c r="A933" i="8"/>
  <c r="A949" i="8"/>
  <c r="A965" i="8"/>
  <c r="A981" i="8"/>
  <c r="A997" i="8"/>
  <c r="A1013" i="8"/>
  <c r="A930" i="8"/>
  <c r="A946" i="8"/>
  <c r="A962" i="8"/>
  <c r="A978" i="8"/>
  <c r="A994" i="8"/>
  <c r="A1010" i="8"/>
  <c r="A927" i="8"/>
  <c r="A943" i="8"/>
  <c r="A959" i="8"/>
  <c r="A975" i="8"/>
  <c r="A991" i="8"/>
  <c r="A1007" i="8"/>
  <c r="A924" i="8"/>
  <c r="A940" i="8"/>
  <c r="A956" i="8"/>
  <c r="A972" i="8"/>
  <c r="A988" i="8"/>
  <c r="A1004" i="8"/>
  <c r="A937" i="8"/>
  <c r="A953" i="8"/>
  <c r="A969" i="8"/>
  <c r="A985" i="8"/>
  <c r="A1001" i="8"/>
  <c r="A970" i="8"/>
  <c r="A986" i="8"/>
  <c r="A1002" i="8"/>
  <c r="A934" i="8"/>
  <c r="A950" i="8"/>
  <c r="A966" i="8"/>
  <c r="A982" i="8"/>
  <c r="A998" i="8"/>
  <c r="A1014" i="8"/>
  <c r="A931" i="8"/>
  <c r="A947" i="8"/>
  <c r="A963" i="8"/>
  <c r="A979" i="8"/>
  <c r="A995" i="8"/>
  <c r="A1011" i="8"/>
  <c r="A928" i="8"/>
  <c r="A944" i="8"/>
  <c r="A960" i="8"/>
  <c r="A976" i="8"/>
  <c r="A992" i="8"/>
  <c r="A1008" i="8"/>
  <c r="A954" i="8"/>
  <c r="A925" i="8"/>
  <c r="A941" i="8"/>
  <c r="A957" i="8"/>
  <c r="A973" i="8"/>
  <c r="A989" i="8"/>
  <c r="A1005" i="8"/>
  <c r="A938" i="8"/>
  <c r="A935" i="8"/>
  <c r="A951" i="8"/>
  <c r="A967" i="8"/>
  <c r="A983" i="8"/>
  <c r="A999" i="8"/>
  <c r="A932" i="8"/>
  <c r="A948" i="8"/>
  <c r="A964" i="8"/>
  <c r="A980" i="8"/>
  <c r="A996" i="8"/>
  <c r="A1012" i="8"/>
  <c r="M928" i="8"/>
  <c r="M936" i="8"/>
  <c r="M944" i="8"/>
  <c r="M952" i="8"/>
  <c r="M960" i="8"/>
  <c r="M968" i="8"/>
  <c r="M976" i="8"/>
  <c r="M984" i="8"/>
  <c r="M992" i="8"/>
  <c r="M1000" i="8"/>
  <c r="M1008" i="8"/>
  <c r="M1002" i="8"/>
  <c r="M925" i="8"/>
  <c r="M923" i="8"/>
  <c r="M931" i="8"/>
  <c r="M939" i="8"/>
  <c r="M947" i="8"/>
  <c r="M955" i="8"/>
  <c r="M963" i="8"/>
  <c r="M971" i="8"/>
  <c r="M979" i="8"/>
  <c r="M987" i="8"/>
  <c r="M995" i="8"/>
  <c r="M1003" i="8"/>
  <c r="M1011" i="8"/>
  <c r="M935" i="8"/>
  <c r="M930" i="8"/>
  <c r="M933" i="8"/>
  <c r="M926" i="8"/>
  <c r="M934" i="8"/>
  <c r="M942" i="8"/>
  <c r="M950" i="8"/>
  <c r="M958" i="8"/>
  <c r="M966" i="8"/>
  <c r="M974" i="8"/>
  <c r="M982" i="8"/>
  <c r="M990" i="8"/>
  <c r="M998" i="8"/>
  <c r="M1006" i="8"/>
  <c r="M1014" i="8"/>
  <c r="M929" i="8"/>
  <c r="M945" i="8"/>
  <c r="M953" i="8"/>
  <c r="M961" i="8"/>
  <c r="M969" i="8"/>
  <c r="M977" i="8"/>
  <c r="M985" i="8"/>
  <c r="M993" i="8"/>
  <c r="M1001" i="8"/>
  <c r="M1009" i="8"/>
  <c r="M924" i="8"/>
  <c r="M932" i="8"/>
  <c r="M940" i="8"/>
  <c r="M948" i="8"/>
  <c r="M956" i="8"/>
  <c r="M964" i="8"/>
  <c r="M972" i="8"/>
  <c r="M980" i="8"/>
  <c r="M988" i="8"/>
  <c r="M996" i="8"/>
  <c r="M1004" i="8"/>
  <c r="M1012" i="8"/>
  <c r="M943" i="8"/>
  <c r="M951" i="8"/>
  <c r="M959" i="8"/>
  <c r="M967" i="8"/>
  <c r="M975" i="8"/>
  <c r="M983" i="8"/>
  <c r="M991" i="8"/>
  <c r="M999" i="8"/>
  <c r="M1007" i="8"/>
  <c r="M938" i="8"/>
  <c r="M946" i="8"/>
  <c r="M954" i="8"/>
  <c r="M962" i="8"/>
  <c r="M970" i="8"/>
  <c r="M978" i="8"/>
  <c r="M986" i="8"/>
  <c r="M994" i="8"/>
  <c r="M1010" i="8"/>
  <c r="M941" i="8"/>
  <c r="M949" i="8"/>
  <c r="M957" i="8"/>
  <c r="M965" i="8"/>
  <c r="M973" i="8"/>
  <c r="M981" i="8"/>
  <c r="M989" i="8"/>
  <c r="M997" i="8"/>
  <c r="M1005" i="8"/>
  <c r="M1013" i="8"/>
  <c r="M937" i="8"/>
  <c r="M927" i="8"/>
  <c r="M159" i="10"/>
  <c r="M167" i="10"/>
  <c r="M175" i="10"/>
  <c r="M183" i="10"/>
  <c r="M191" i="10"/>
  <c r="M198" i="10"/>
  <c r="M206" i="10"/>
  <c r="M214" i="10"/>
  <c r="M222" i="10"/>
  <c r="M230" i="10"/>
  <c r="M238" i="10"/>
  <c r="M245" i="10"/>
  <c r="M253" i="10"/>
  <c r="M162" i="10"/>
  <c r="M170" i="10"/>
  <c r="M178" i="10"/>
  <c r="M186" i="10"/>
  <c r="M194" i="10"/>
  <c r="M201" i="10"/>
  <c r="M209" i="10"/>
  <c r="M217" i="10"/>
  <c r="M225" i="10"/>
  <c r="M233" i="10"/>
  <c r="M241" i="10"/>
  <c r="M248" i="10"/>
  <c r="M200" i="10"/>
  <c r="M215" i="10"/>
  <c r="M221" i="10"/>
  <c r="M227" i="10"/>
  <c r="M236" i="10"/>
  <c r="M242" i="10"/>
  <c r="M259" i="10"/>
  <c r="M267" i="10"/>
  <c r="M275" i="10"/>
  <c r="M283" i="10"/>
  <c r="M291" i="10"/>
  <c r="M299" i="10"/>
  <c r="M239" i="10"/>
  <c r="M250" i="10"/>
  <c r="M286" i="10"/>
  <c r="M192" i="10"/>
  <c r="M224" i="10"/>
  <c r="M254" i="10"/>
  <c r="M262" i="10"/>
  <c r="M270" i="10"/>
  <c r="M294" i="10"/>
  <c r="M163" i="10"/>
  <c r="M247" i="10"/>
  <c r="M278" i="10"/>
  <c r="M302" i="10"/>
  <c r="M166" i="10"/>
  <c r="M172" i="10"/>
  <c r="M181" i="10"/>
  <c r="M187" i="10"/>
  <c r="M160" i="10"/>
  <c r="M169" i="10"/>
  <c r="M184" i="10"/>
  <c r="M190" i="10"/>
  <c r="M196" i="10"/>
  <c r="M204" i="10"/>
  <c r="M210" i="10"/>
  <c r="M257" i="10"/>
  <c r="M265" i="10"/>
  <c r="M273" i="10"/>
  <c r="M281" i="10"/>
  <c r="M289" i="10"/>
  <c r="M297" i="10"/>
  <c r="M305" i="10"/>
  <c r="M193" i="10"/>
  <c r="M207" i="10"/>
  <c r="M213" i="10"/>
  <c r="M219" i="10"/>
  <c r="M228" i="10"/>
  <c r="M234" i="10"/>
  <c r="M216" i="10"/>
  <c r="M231" i="10"/>
  <c r="M237" i="10"/>
  <c r="M243" i="10"/>
  <c r="M251" i="10"/>
  <c r="M260" i="10"/>
  <c r="M268" i="10"/>
  <c r="M276" i="10"/>
  <c r="M284" i="10"/>
  <c r="M292" i="10"/>
  <c r="M300" i="10"/>
  <c r="M240" i="10"/>
  <c r="M164" i="10"/>
  <c r="M173" i="10"/>
  <c r="M179" i="10"/>
  <c r="M255" i="10"/>
  <c r="M263" i="10"/>
  <c r="M271" i="10"/>
  <c r="M279" i="10"/>
  <c r="M287" i="10"/>
  <c r="M295" i="10"/>
  <c r="M303" i="10"/>
  <c r="M161" i="10"/>
  <c r="M176" i="10"/>
  <c r="M182" i="10"/>
  <c r="M188" i="10"/>
  <c r="M197" i="10"/>
  <c r="M202" i="10"/>
  <c r="M177" i="10"/>
  <c r="M203" i="10"/>
  <c r="M212" i="10"/>
  <c r="M218" i="10"/>
  <c r="M185" i="10"/>
  <c r="M199" i="10"/>
  <c r="M205" i="10"/>
  <c r="M211" i="10"/>
  <c r="M220" i="10"/>
  <c r="M226" i="10"/>
  <c r="M258" i="10"/>
  <c r="M266" i="10"/>
  <c r="M274" i="10"/>
  <c r="M282" i="10"/>
  <c r="M290" i="10"/>
  <c r="M298" i="10"/>
  <c r="M165" i="10"/>
  <c r="M168" i="10"/>
  <c r="M195" i="10"/>
  <c r="M288" i="10"/>
  <c r="M208" i="10"/>
  <c r="M223" i="10"/>
  <c r="M229" i="10"/>
  <c r="M235" i="10"/>
  <c r="M244" i="10"/>
  <c r="M249" i="10"/>
  <c r="M171" i="10"/>
  <c r="M174" i="10"/>
  <c r="M180" i="10"/>
  <c r="M189" i="10"/>
  <c r="M256" i="10"/>
  <c r="M264" i="10"/>
  <c r="M280" i="10"/>
  <c r="M232" i="10"/>
  <c r="M246" i="10"/>
  <c r="M252" i="10"/>
  <c r="M261" i="10"/>
  <c r="M269" i="10"/>
  <c r="M277" i="10"/>
  <c r="M285" i="10"/>
  <c r="M293" i="10"/>
  <c r="M301" i="10"/>
  <c r="M272" i="10"/>
  <c r="M296" i="10"/>
  <c r="M304" i="10"/>
  <c r="M149" i="1" l="1"/>
  <c r="M126" i="1"/>
  <c r="M172" i="1"/>
  <c r="M114" i="1" l="1"/>
  <c r="M115" i="1"/>
  <c r="M17" i="1"/>
  <c r="M124" i="1"/>
  <c r="M105" i="1"/>
  <c r="M448" i="1"/>
  <c r="M449" i="1"/>
  <c r="M450" i="1"/>
  <c r="M451" i="1"/>
  <c r="M452" i="1"/>
  <c r="S451" i="1" l="1"/>
  <c r="R451" i="1"/>
  <c r="S449" i="1"/>
  <c r="R449" i="1"/>
  <c r="S452" i="1"/>
  <c r="S450" i="1"/>
  <c r="S448" i="1"/>
  <c r="R452" i="1"/>
  <c r="R450" i="1"/>
  <c r="R448" i="1"/>
  <c r="M85" i="1" l="1"/>
  <c r="M266" i="1"/>
  <c r="R151" i="10"/>
  <c r="S148" i="10"/>
  <c r="S147" i="10"/>
  <c r="S142" i="10"/>
  <c r="R56" i="10"/>
  <c r="S55" i="10"/>
  <c r="A53" i="10"/>
  <c r="S48" i="10"/>
  <c r="S44" i="10"/>
  <c r="S43" i="10"/>
  <c r="R33" i="10"/>
  <c r="R32" i="10"/>
  <c r="A30" i="10"/>
  <c r="R29" i="10"/>
  <c r="S27" i="10"/>
  <c r="S16" i="10"/>
  <c r="S14" i="10"/>
  <c r="S13" i="10"/>
  <c r="S922" i="8"/>
  <c r="S919" i="8"/>
  <c r="Q917" i="8"/>
  <c r="S916" i="8"/>
  <c r="S914" i="8"/>
  <c r="S913" i="8"/>
  <c r="S912" i="8"/>
  <c r="S909" i="8"/>
  <c r="R908" i="8"/>
  <c r="S906" i="8"/>
  <c r="Q905" i="8"/>
  <c r="Q902" i="8"/>
  <c r="S901" i="8"/>
  <c r="S890" i="8"/>
  <c r="S887" i="8"/>
  <c r="S885" i="8"/>
  <c r="S883" i="8"/>
  <c r="S881" i="8"/>
  <c r="S877" i="8"/>
  <c r="R876" i="8"/>
  <c r="S874" i="8"/>
  <c r="S873" i="8"/>
  <c r="Q871" i="8"/>
  <c r="Q870" i="8"/>
  <c r="S869" i="8"/>
  <c r="S866" i="8"/>
  <c r="S865" i="8"/>
  <c r="S864" i="8"/>
  <c r="S862" i="8"/>
  <c r="S861" i="8"/>
  <c r="S859" i="8"/>
  <c r="S858" i="8"/>
  <c r="Q857" i="8"/>
  <c r="Q855" i="8"/>
  <c r="Q854" i="8"/>
  <c r="S851" i="8"/>
  <c r="R849" i="8"/>
  <c r="Q846" i="8"/>
  <c r="S845" i="8"/>
  <c r="R844" i="8"/>
  <c r="S842" i="8"/>
  <c r="Q839" i="8"/>
  <c r="Q838" i="8"/>
  <c r="R836" i="8"/>
  <c r="S834" i="8"/>
  <c r="S833" i="8"/>
  <c r="S832" i="8"/>
  <c r="S826" i="8"/>
  <c r="Q825" i="8"/>
  <c r="Q822" i="8"/>
  <c r="Q821" i="8"/>
  <c r="S820" i="8"/>
  <c r="S819" i="8"/>
  <c r="S818" i="8"/>
  <c r="S817" i="8"/>
  <c r="S816" i="8"/>
  <c r="Q813" i="8"/>
  <c r="R812" i="8"/>
  <c r="R811" i="8"/>
  <c r="R807" i="8"/>
  <c r="Q806" i="8"/>
  <c r="S804" i="8"/>
  <c r="S803" i="8"/>
  <c r="R802" i="8"/>
  <c r="S801" i="8"/>
  <c r="S797" i="8"/>
  <c r="R796" i="8"/>
  <c r="S787" i="8"/>
  <c r="S785" i="8"/>
  <c r="R780" i="8"/>
  <c r="S778" i="8"/>
  <c r="S777" i="8"/>
  <c r="A776" i="8"/>
  <c r="S775" i="8"/>
  <c r="Q773" i="8"/>
  <c r="Q772" i="8"/>
  <c r="R765" i="8"/>
  <c r="A765" i="8"/>
  <c r="R764" i="8"/>
  <c r="R754" i="8"/>
  <c r="S753" i="8"/>
  <c r="S751" i="8"/>
  <c r="S749" i="8"/>
  <c r="R748" i="8"/>
  <c r="Q747" i="8"/>
  <c r="R746" i="8"/>
  <c r="R744" i="8"/>
  <c r="S743" i="8"/>
  <c r="Q741" i="8"/>
  <c r="S740" i="8"/>
  <c r="R739" i="8"/>
  <c r="R738" i="8"/>
  <c r="S733" i="8"/>
  <c r="R729" i="8"/>
  <c r="R728" i="8"/>
  <c r="Q727" i="8"/>
  <c r="R726" i="8"/>
  <c r="Q724" i="8"/>
  <c r="R723" i="8"/>
  <c r="S721" i="8"/>
  <c r="Q720" i="8"/>
  <c r="Q717" i="8"/>
  <c r="Q716" i="8"/>
  <c r="S715" i="8"/>
  <c r="R714" i="8"/>
  <c r="R713" i="8"/>
  <c r="S708" i="8"/>
  <c r="R707" i="8"/>
  <c r="Q700" i="8"/>
  <c r="S697" i="8"/>
  <c r="S695" i="8"/>
  <c r="S693" i="8"/>
  <c r="A692" i="8"/>
  <c r="S691" i="8"/>
  <c r="R687" i="8"/>
  <c r="A683" i="8"/>
  <c r="R682" i="8"/>
  <c r="S674" i="8"/>
  <c r="Q673" i="8"/>
  <c r="Q672" i="8"/>
  <c r="R671" i="8"/>
  <c r="S668" i="8"/>
  <c r="R663" i="8"/>
  <c r="S662" i="8"/>
  <c r="S660" i="8"/>
  <c r="A660" i="8"/>
  <c r="S658" i="8"/>
  <c r="S657" i="8"/>
  <c r="S656" i="8"/>
  <c r="Q655" i="8"/>
  <c r="Q651" i="8"/>
  <c r="S650" i="8"/>
  <c r="Q648" i="8"/>
  <c r="R646" i="8"/>
  <c r="S643" i="8"/>
  <c r="S639" i="8"/>
  <c r="S635" i="8"/>
  <c r="Q634" i="8"/>
  <c r="Q633" i="8"/>
  <c r="S631" i="8"/>
  <c r="S626" i="8"/>
  <c r="A625" i="8"/>
  <c r="Q624" i="8"/>
  <c r="S622" i="8"/>
  <c r="Q618" i="8"/>
  <c r="S616" i="8"/>
  <c r="R615" i="8"/>
  <c r="Q614" i="8"/>
  <c r="R612" i="8"/>
  <c r="S611" i="8"/>
  <c r="R610" i="8"/>
  <c r="S609" i="8"/>
  <c r="S608" i="8"/>
  <c r="Q607" i="8"/>
  <c r="S606" i="8"/>
  <c r="Q603" i="8"/>
  <c r="A602" i="8"/>
  <c r="Q601" i="8"/>
  <c r="R599" i="8"/>
  <c r="S598" i="8"/>
  <c r="A595" i="8"/>
  <c r="Q594" i="8"/>
  <c r="S593" i="8"/>
  <c r="Q592" i="8"/>
  <c r="Q587" i="8"/>
  <c r="Q583" i="8"/>
  <c r="S582" i="8"/>
  <c r="S581" i="8"/>
  <c r="S580" i="8"/>
  <c r="R579" i="8"/>
  <c r="R578" i="8"/>
  <c r="S577" i="8"/>
  <c r="R575" i="8"/>
  <c r="S574" i="8"/>
  <c r="R572" i="8"/>
  <c r="Q571" i="8"/>
  <c r="R569" i="8"/>
  <c r="S566" i="8"/>
  <c r="A563" i="8"/>
  <c r="R562" i="8"/>
  <c r="Q560" i="8"/>
  <c r="Q558" i="8"/>
  <c r="S556" i="8"/>
  <c r="R553" i="8"/>
  <c r="A548" i="8"/>
  <c r="A547" i="8"/>
  <c r="Q542" i="8"/>
  <c r="A541" i="8"/>
  <c r="S540" i="8"/>
  <c r="Q535" i="8"/>
  <c r="R533" i="8"/>
  <c r="A532" i="8"/>
  <c r="S528" i="8"/>
  <c r="Q526" i="8"/>
  <c r="A525" i="8"/>
  <c r="S524" i="8"/>
  <c r="S519" i="8"/>
  <c r="R517" i="8"/>
  <c r="A515" i="8"/>
  <c r="R514" i="8"/>
  <c r="R512" i="8"/>
  <c r="S508" i="8"/>
  <c r="Q505" i="8"/>
  <c r="A504" i="8"/>
  <c r="A497" i="8"/>
  <c r="Q496" i="8"/>
  <c r="S490" i="8"/>
  <c r="S487" i="8"/>
  <c r="A487" i="8"/>
  <c r="S486" i="8"/>
  <c r="R481" i="8"/>
  <c r="Q480" i="8"/>
  <c r="A477" i="8"/>
  <c r="S475" i="8"/>
  <c r="A473" i="8"/>
  <c r="R472" i="8"/>
  <c r="A471" i="8"/>
  <c r="S469" i="8"/>
  <c r="R468" i="8"/>
  <c r="S467" i="8"/>
  <c r="S466" i="8"/>
  <c r="R460" i="8"/>
  <c r="R459" i="8"/>
  <c r="S457" i="8"/>
  <c r="A456" i="8"/>
  <c r="Q455" i="8"/>
  <c r="S453" i="8"/>
  <c r="S451" i="8"/>
  <c r="S450" i="8"/>
  <c r="S447" i="8"/>
  <c r="S446" i="8"/>
  <c r="A443" i="8"/>
  <c r="A440" i="8"/>
  <c r="S438" i="8"/>
  <c r="Q437" i="8"/>
  <c r="S435" i="8"/>
  <c r="S434" i="8"/>
  <c r="A434" i="8"/>
  <c r="A432" i="8"/>
  <c r="S430" i="8"/>
  <c r="R428" i="8"/>
  <c r="A427" i="8"/>
  <c r="R425" i="8"/>
  <c r="A423" i="8"/>
  <c r="R422" i="8"/>
  <c r="A421" i="8"/>
  <c r="S414" i="8"/>
  <c r="S412" i="8"/>
  <c r="R411" i="8"/>
  <c r="A409" i="8"/>
  <c r="A407" i="8"/>
  <c r="R405" i="8"/>
  <c r="A404" i="8"/>
  <c r="R403" i="8"/>
  <c r="A403" i="8"/>
  <c r="S402" i="8"/>
  <c r="R401" i="8"/>
  <c r="S400" i="8"/>
  <c r="R399" i="8"/>
  <c r="S398" i="8"/>
  <c r="R395" i="8"/>
  <c r="Q394" i="8"/>
  <c r="S393" i="8"/>
  <c r="Q392" i="8"/>
  <c r="R390" i="8"/>
  <c r="R389" i="8"/>
  <c r="Q388" i="8"/>
  <c r="A386" i="8"/>
  <c r="A384" i="8"/>
  <c r="S382" i="8"/>
  <c r="S380" i="8"/>
  <c r="R379" i="8"/>
  <c r="R377" i="8"/>
  <c r="A377" i="8"/>
  <c r="S376" i="8"/>
  <c r="A376" i="8"/>
  <c r="R375" i="8"/>
  <c r="A375" i="8"/>
  <c r="R374" i="8"/>
  <c r="A371" i="8"/>
  <c r="S370" i="8"/>
  <c r="S368" i="8"/>
  <c r="S367" i="8"/>
  <c r="S366" i="8"/>
  <c r="R364" i="8"/>
  <c r="R362" i="8"/>
  <c r="A362" i="8"/>
  <c r="R361" i="8"/>
  <c r="S360" i="8"/>
  <c r="S359" i="8"/>
  <c r="Q357" i="8"/>
  <c r="A351" i="8"/>
  <c r="R350" i="8"/>
  <c r="A349" i="8"/>
  <c r="A348" i="8"/>
  <c r="A346" i="8"/>
  <c r="S345" i="8"/>
  <c r="S344" i="8"/>
  <c r="Q340" i="8"/>
  <c r="A340" i="8"/>
  <c r="Q339" i="8"/>
  <c r="A338" i="8"/>
  <c r="S337" i="8"/>
  <c r="A334" i="8"/>
  <c r="R333" i="8"/>
  <c r="S331" i="8"/>
  <c r="A331" i="8"/>
  <c r="A329" i="8"/>
  <c r="S327" i="8"/>
  <c r="Q325" i="8"/>
  <c r="R324" i="8"/>
  <c r="A324" i="8"/>
  <c r="Q320" i="8"/>
  <c r="A320" i="8"/>
  <c r="S319" i="8"/>
  <c r="R317" i="8"/>
  <c r="A317" i="8"/>
  <c r="Q316" i="8"/>
  <c r="S315" i="8"/>
  <c r="A315" i="8"/>
  <c r="R314" i="8"/>
  <c r="A313" i="8"/>
  <c r="Q309" i="8"/>
  <c r="R308" i="8"/>
  <c r="A308" i="8"/>
  <c r="Q307" i="8"/>
  <c r="S303" i="8"/>
  <c r="S302" i="8"/>
  <c r="A301" i="8"/>
  <c r="S299" i="8"/>
  <c r="A299" i="8"/>
  <c r="S295" i="8"/>
  <c r="R293" i="8"/>
  <c r="A293" i="8"/>
  <c r="S291" i="8"/>
  <c r="A288" i="8"/>
  <c r="S287" i="8"/>
  <c r="A286" i="8"/>
  <c r="Q285" i="8"/>
  <c r="Q283" i="8"/>
  <c r="S282" i="8"/>
  <c r="A281" i="8"/>
  <c r="S280" i="8"/>
  <c r="S279" i="8"/>
  <c r="A279" i="8"/>
  <c r="R277" i="8"/>
  <c r="A277" i="8"/>
  <c r="S275" i="8"/>
  <c r="R272" i="8"/>
  <c r="A270" i="8"/>
  <c r="A265" i="8"/>
  <c r="Q264" i="8"/>
  <c r="S263" i="8"/>
  <c r="A263" i="8"/>
  <c r="Q262" i="8"/>
  <c r="A261" i="8"/>
  <c r="Q258" i="8"/>
  <c r="R256" i="8"/>
  <c r="S255" i="8"/>
  <c r="S254" i="8"/>
  <c r="A254" i="8"/>
  <c r="Q253" i="8"/>
  <c r="Q252" i="8"/>
  <c r="A252" i="8"/>
  <c r="A249" i="8"/>
  <c r="S247" i="8"/>
  <c r="A247" i="8"/>
  <c r="Q245" i="8"/>
  <c r="A245" i="8"/>
  <c r="S244" i="8"/>
  <c r="R241" i="8"/>
  <c r="S240" i="8"/>
  <c r="S239" i="8"/>
  <c r="A239" i="8"/>
  <c r="Q238" i="8"/>
  <c r="A237" i="8"/>
  <c r="S235" i="8"/>
  <c r="S232" i="8"/>
  <c r="A231" i="8"/>
  <c r="A229" i="8"/>
  <c r="R228" i="8"/>
  <c r="Q227" i="8"/>
  <c r="R224" i="8"/>
  <c r="S223" i="8"/>
  <c r="A223" i="8"/>
  <c r="S222" i="8"/>
  <c r="A221" i="8"/>
  <c r="Q220" i="8"/>
  <c r="S219" i="8"/>
  <c r="A219" i="8"/>
  <c r="R218" i="8"/>
  <c r="R217" i="8"/>
  <c r="S216" i="8"/>
  <c r="S215" i="8"/>
  <c r="Q214" i="8"/>
  <c r="S213" i="8"/>
  <c r="R212" i="8"/>
  <c r="A211" i="8"/>
  <c r="A209" i="8"/>
  <c r="R208" i="8"/>
  <c r="A207" i="8"/>
  <c r="R206" i="8"/>
  <c r="Q205" i="8"/>
  <c r="A205" i="8"/>
  <c r="A203" i="8"/>
  <c r="S202" i="8"/>
  <c r="Q201" i="8"/>
  <c r="A201" i="8"/>
  <c r="A200" i="8"/>
  <c r="S199" i="8"/>
  <c r="A199" i="8"/>
  <c r="Q197" i="8"/>
  <c r="A197" i="8"/>
  <c r="R196" i="8"/>
  <c r="A196" i="8"/>
  <c r="A195" i="8"/>
  <c r="S194" i="8"/>
  <c r="A194" i="8"/>
  <c r="Q192" i="8"/>
  <c r="A192" i="8"/>
  <c r="S190" i="8"/>
  <c r="A190" i="8"/>
  <c r="Q189" i="8"/>
  <c r="S188" i="8"/>
  <c r="A188" i="8"/>
  <c r="A184" i="8"/>
  <c r="S183" i="8"/>
  <c r="Q181" i="8"/>
  <c r="A181" i="8"/>
  <c r="R179" i="8"/>
  <c r="A179" i="8"/>
  <c r="R178" i="8"/>
  <c r="A177" i="8"/>
  <c r="Q176" i="8"/>
  <c r="S175" i="8"/>
  <c r="A175" i="8"/>
  <c r="Q173" i="8"/>
  <c r="A173" i="8"/>
  <c r="R172" i="8"/>
  <c r="A172" i="8"/>
  <c r="S171" i="8"/>
  <c r="A171" i="8"/>
  <c r="R170" i="8"/>
  <c r="A168" i="8"/>
  <c r="R166" i="8"/>
  <c r="R165" i="8"/>
  <c r="A164" i="8"/>
  <c r="S163" i="8"/>
  <c r="A163" i="8"/>
  <c r="R162" i="8"/>
  <c r="Q160" i="8"/>
  <c r="A159" i="8"/>
  <c r="S158" i="8"/>
  <c r="A157" i="8"/>
  <c r="S156" i="8"/>
  <c r="Q155" i="8"/>
  <c r="A155" i="8"/>
  <c r="Q153" i="8"/>
  <c r="A153" i="8"/>
  <c r="R152" i="8"/>
  <c r="S151" i="8"/>
  <c r="S149" i="8"/>
  <c r="A148" i="8"/>
  <c r="S147" i="8"/>
  <c r="A147" i="8"/>
  <c r="A146" i="8"/>
  <c r="S145" i="8"/>
  <c r="R144" i="8"/>
  <c r="A144" i="8"/>
  <c r="S142" i="8"/>
  <c r="A142" i="8"/>
  <c r="Q141" i="8"/>
  <c r="A140" i="8"/>
  <c r="R139" i="8"/>
  <c r="Q138" i="8"/>
  <c r="Q137" i="8"/>
  <c r="A136" i="8"/>
  <c r="Q133" i="8"/>
  <c r="A132" i="8"/>
  <c r="A130" i="8"/>
  <c r="Q129" i="8"/>
  <c r="A128" i="8"/>
  <c r="Q127" i="8"/>
  <c r="A126" i="8"/>
  <c r="Q124" i="8"/>
  <c r="A124" i="8"/>
  <c r="S123" i="8"/>
  <c r="S122" i="8"/>
  <c r="S120" i="8"/>
  <c r="A120" i="8"/>
  <c r="Q119" i="8"/>
  <c r="Q116" i="8"/>
  <c r="A116" i="8"/>
  <c r="A115" i="8"/>
  <c r="A114" i="8"/>
  <c r="S113" i="8"/>
  <c r="A113" i="8"/>
  <c r="S112" i="8"/>
  <c r="A112" i="8"/>
  <c r="R111" i="8"/>
  <c r="A111" i="8"/>
  <c r="S110" i="8"/>
  <c r="A109" i="8"/>
  <c r="A107" i="8"/>
  <c r="S105" i="8"/>
  <c r="A105" i="8"/>
  <c r="S104" i="8"/>
  <c r="A104" i="8"/>
  <c r="Q103" i="8"/>
  <c r="S102" i="8"/>
  <c r="A102" i="8"/>
  <c r="A100" i="8"/>
  <c r="R99" i="8"/>
  <c r="S98" i="8"/>
  <c r="A98" i="8"/>
  <c r="Q97" i="8"/>
  <c r="A97" i="8"/>
  <c r="S96" i="8"/>
  <c r="A96" i="8"/>
  <c r="S95" i="8"/>
  <c r="A95" i="8"/>
  <c r="Q94" i="8"/>
  <c r="A93" i="8"/>
  <c r="S92" i="8"/>
  <c r="A91" i="8"/>
  <c r="A89" i="8"/>
  <c r="S88" i="8"/>
  <c r="A88" i="8"/>
  <c r="R87" i="8"/>
  <c r="S86" i="8"/>
  <c r="A86" i="8"/>
  <c r="R85" i="8"/>
  <c r="A84" i="8"/>
  <c r="S82" i="8"/>
  <c r="A82" i="8"/>
  <c r="A81" i="8"/>
  <c r="R80" i="8"/>
  <c r="A80" i="8"/>
  <c r="A79" i="8"/>
  <c r="Q78" i="8"/>
  <c r="A77" i="8"/>
  <c r="Q75" i="8"/>
  <c r="A75" i="8"/>
  <c r="A73" i="8"/>
  <c r="S72" i="8"/>
  <c r="A72" i="8"/>
  <c r="S71" i="8"/>
  <c r="S70" i="8"/>
  <c r="A70" i="8"/>
  <c r="S69" i="8"/>
  <c r="A68" i="8"/>
  <c r="S67" i="8"/>
  <c r="S66" i="8"/>
  <c r="A66" i="8"/>
  <c r="Q65" i="8"/>
  <c r="A65" i="8"/>
  <c r="A64" i="8"/>
  <c r="S62" i="8"/>
  <c r="A62" i="8"/>
  <c r="R61" i="8"/>
  <c r="A60" i="8"/>
  <c r="A58" i="8"/>
  <c r="Q57" i="8"/>
  <c r="Q56" i="8"/>
  <c r="A56" i="8"/>
  <c r="S55" i="8"/>
  <c r="A55" i="8"/>
  <c r="S54" i="8"/>
  <c r="S53" i="8"/>
  <c r="A53" i="8"/>
  <c r="S52" i="8"/>
  <c r="A51" i="8"/>
  <c r="Q50" i="8"/>
  <c r="A49" i="8"/>
  <c r="Q48" i="8"/>
  <c r="A48" i="8"/>
  <c r="Q47" i="8"/>
  <c r="A47" i="8"/>
  <c r="S46" i="8"/>
  <c r="A46" i="8"/>
  <c r="A44" i="8"/>
  <c r="Q43" i="8"/>
  <c r="A42" i="8"/>
  <c r="S41" i="8"/>
  <c r="R40" i="8"/>
  <c r="A40" i="8"/>
  <c r="S39" i="8"/>
  <c r="A39" i="8"/>
  <c r="S38" i="8"/>
  <c r="A37" i="8"/>
  <c r="R36" i="8"/>
  <c r="A34" i="8"/>
  <c r="S32" i="8"/>
  <c r="A32" i="8"/>
  <c r="Q31" i="8"/>
  <c r="A31" i="8"/>
  <c r="S30" i="8"/>
  <c r="A30" i="8"/>
  <c r="S29" i="8"/>
  <c r="A29" i="8"/>
  <c r="S28" i="8"/>
  <c r="A27" i="8"/>
  <c r="Q26" i="8"/>
  <c r="A25" i="8"/>
  <c r="Q23" i="8"/>
  <c r="A23" i="8"/>
  <c r="S22" i="8"/>
  <c r="A22" i="8"/>
  <c r="Q21" i="8"/>
  <c r="Q20" i="8"/>
  <c r="A20" i="8"/>
  <c r="S19" i="8"/>
  <c r="A18" i="8"/>
  <c r="S16" i="8"/>
  <c r="A16" i="8"/>
  <c r="Q15" i="8"/>
  <c r="A15" i="8"/>
  <c r="A14" i="8"/>
  <c r="S13" i="8"/>
  <c r="A13" i="8"/>
  <c r="A11" i="8"/>
  <c r="A916" i="8"/>
  <c r="M563" i="8"/>
  <c r="A25" i="10" l="1"/>
  <c r="M431" i="8"/>
  <c r="M34" i="10"/>
  <c r="A40" i="10"/>
  <c r="M140" i="10"/>
  <c r="M14" i="10"/>
  <c r="M40" i="10"/>
  <c r="M156" i="10"/>
  <c r="M25" i="10"/>
  <c r="M30" i="10"/>
  <c r="A48" i="10"/>
  <c r="M151" i="10"/>
  <c r="M48" i="10"/>
  <c r="M157" i="10"/>
  <c r="M21" i="10"/>
  <c r="A36" i="10"/>
  <c r="A16" i="10"/>
  <c r="M26" i="10"/>
  <c r="A31" i="10"/>
  <c r="M36" i="10"/>
  <c r="A11" i="10"/>
  <c r="M16" i="10"/>
  <c r="M31" i="10"/>
  <c r="M152" i="10"/>
  <c r="M158" i="10"/>
  <c r="M11" i="10"/>
  <c r="A22" i="10"/>
  <c r="A56" i="10"/>
  <c r="M147" i="10"/>
  <c r="M20" i="10"/>
  <c r="M22" i="10"/>
  <c r="A27" i="10"/>
  <c r="M50" i="10"/>
  <c r="M27" i="10"/>
  <c r="A32" i="10"/>
  <c r="M12" i="10"/>
  <c r="M38" i="10"/>
  <c r="A18" i="10"/>
  <c r="M23" i="10"/>
  <c r="M139" i="10"/>
  <c r="M143" i="10"/>
  <c r="M730" i="8"/>
  <c r="M18" i="10"/>
  <c r="A13" i="10"/>
  <c r="M46" i="10"/>
  <c r="A52" i="10"/>
  <c r="M149" i="10"/>
  <c r="A24" i="10"/>
  <c r="M29" i="10"/>
  <c r="A34" i="10"/>
  <c r="M144" i="10"/>
  <c r="A19" i="10"/>
  <c r="M28" i="10"/>
  <c r="M32" i="10"/>
  <c r="M37" i="10"/>
  <c r="M154" i="10"/>
  <c r="M145" i="10"/>
  <c r="M24" i="10"/>
  <c r="M150" i="10"/>
  <c r="A20" i="10"/>
  <c r="A29" i="10"/>
  <c r="A33" i="10"/>
  <c r="A38" i="10"/>
  <c r="M44" i="10"/>
  <c r="A50" i="10"/>
  <c r="M142" i="10"/>
  <c r="M144" i="8"/>
  <c r="M207" i="8"/>
  <c r="M29" i="8"/>
  <c r="M249" i="8"/>
  <c r="M398" i="8"/>
  <c r="M290" i="8"/>
  <c r="M34" i="8"/>
  <c r="M471" i="8"/>
  <c r="M695" i="8"/>
  <c r="M80" i="8"/>
  <c r="M58" i="8"/>
  <c r="M77" i="8"/>
  <c r="M150" i="8"/>
  <c r="M11" i="8"/>
  <c r="M95" i="8"/>
  <c r="M340" i="8"/>
  <c r="M84" i="8"/>
  <c r="M102" i="8"/>
  <c r="M371" i="8"/>
  <c r="M38" i="8"/>
  <c r="M179" i="8"/>
  <c r="M82" i="8"/>
  <c r="M105" i="8"/>
  <c r="M130" i="8"/>
  <c r="M246" i="8"/>
  <c r="M226" i="8"/>
  <c r="M315" i="8"/>
  <c r="M233" i="8"/>
  <c r="M260" i="8"/>
  <c r="M443" i="8"/>
  <c r="R25" i="10"/>
  <c r="S25" i="10"/>
  <c r="R41" i="10"/>
  <c r="S41" i="10"/>
  <c r="R140" i="10"/>
  <c r="R14" i="10"/>
  <c r="R146" i="10"/>
  <c r="R27" i="10"/>
  <c r="R31" i="10"/>
  <c r="R49" i="10"/>
  <c r="S146" i="10"/>
  <c r="S31" i="10"/>
  <c r="S49" i="10"/>
  <c r="R37" i="10"/>
  <c r="R51" i="10"/>
  <c r="S37" i="10"/>
  <c r="S33" i="10"/>
  <c r="S23" i="10"/>
  <c r="R47" i="10"/>
  <c r="R145" i="10"/>
  <c r="R34" i="10"/>
  <c r="R19" i="10"/>
  <c r="S34" i="10"/>
  <c r="R142" i="10"/>
  <c r="S19" i="10"/>
  <c r="R157" i="10"/>
  <c r="R139" i="10"/>
  <c r="R17" i="10"/>
  <c r="R43" i="10"/>
  <c r="S47" i="10"/>
  <c r="S145" i="10"/>
  <c r="R155" i="10"/>
  <c r="S17" i="10"/>
  <c r="S155" i="10"/>
  <c r="S32" i="10"/>
  <c r="R35" i="10"/>
  <c r="R53" i="10"/>
  <c r="S51" i="10"/>
  <c r="S140" i="10"/>
  <c r="R40" i="10"/>
  <c r="R13" i="10"/>
  <c r="R23" i="10"/>
  <c r="S35" i="10"/>
  <c r="S53" i="10"/>
  <c r="S151" i="10"/>
  <c r="R11" i="10"/>
  <c r="R21" i="10"/>
  <c r="S11" i="10"/>
  <c r="S21" i="10"/>
  <c r="S40" i="10"/>
  <c r="R44" i="10"/>
  <c r="S56" i="10"/>
  <c r="R153" i="10"/>
  <c r="S157" i="10"/>
  <c r="S139" i="10"/>
  <c r="S153" i="10"/>
  <c r="R38" i="10"/>
  <c r="S38" i="10"/>
  <c r="S141" i="10"/>
  <c r="R141" i="10"/>
  <c r="S154" i="10"/>
  <c r="R154" i="10"/>
  <c r="S12" i="10"/>
  <c r="R12" i="10"/>
  <c r="R22" i="10"/>
  <c r="S22" i="10"/>
  <c r="S24" i="10"/>
  <c r="R24" i="10"/>
  <c r="R144" i="10"/>
  <c r="S150" i="10"/>
  <c r="R150" i="10"/>
  <c r="S52" i="10"/>
  <c r="R52" i="10"/>
  <c r="S144" i="10"/>
  <c r="S156" i="10"/>
  <c r="R156" i="10"/>
  <c r="S50" i="10"/>
  <c r="R50" i="10"/>
  <c r="S42" i="10"/>
  <c r="R42" i="10"/>
  <c r="R15" i="10"/>
  <c r="S149" i="10"/>
  <c r="R149" i="10"/>
  <c r="S26" i="10"/>
  <c r="R26" i="10"/>
  <c r="R48" i="10"/>
  <c r="R46" i="10"/>
  <c r="R147" i="10"/>
  <c r="S46" i="10"/>
  <c r="R16" i="10"/>
  <c r="S30" i="10"/>
  <c r="R30" i="10"/>
  <c r="S28" i="10"/>
  <c r="R28" i="10"/>
  <c r="R39" i="10"/>
  <c r="S45" i="10"/>
  <c r="R45" i="10"/>
  <c r="S39" i="10"/>
  <c r="R20" i="10"/>
  <c r="S20" i="10"/>
  <c r="S152" i="10"/>
  <c r="R152" i="10"/>
  <c r="S15" i="10"/>
  <c r="S158" i="10"/>
  <c r="R158" i="10"/>
  <c r="R55" i="10"/>
  <c r="S18" i="10"/>
  <c r="R18" i="10"/>
  <c r="S36" i="10"/>
  <c r="R36" i="10"/>
  <c r="M148" i="10"/>
  <c r="M35" i="10"/>
  <c r="M19" i="10"/>
  <c r="M155" i="10"/>
  <c r="M141" i="10"/>
  <c r="M42" i="10"/>
  <c r="M146" i="10"/>
  <c r="M49" i="10"/>
  <c r="M33" i="10"/>
  <c r="M153" i="10"/>
  <c r="M13" i="10"/>
  <c r="A15" i="10"/>
  <c r="A47" i="10"/>
  <c r="S143" i="10"/>
  <c r="R143" i="10"/>
  <c r="M15" i="10"/>
  <c r="A17" i="10"/>
  <c r="A39" i="10"/>
  <c r="A45" i="10"/>
  <c r="M47" i="10"/>
  <c r="A49" i="10"/>
  <c r="M17" i="10"/>
  <c r="A21" i="10"/>
  <c r="A23" i="10"/>
  <c r="A37" i="10"/>
  <c r="M39" i="10"/>
  <c r="A41" i="10"/>
  <c r="A43" i="10"/>
  <c r="M45" i="10"/>
  <c r="R148" i="10"/>
  <c r="M41" i="10"/>
  <c r="M43" i="10"/>
  <c r="A44" i="10"/>
  <c r="A28" i="10"/>
  <c r="A12" i="10"/>
  <c r="A51" i="10"/>
  <c r="A35" i="10"/>
  <c r="A42" i="10"/>
  <c r="A26" i="10"/>
  <c r="A14" i="10"/>
  <c r="S29" i="10"/>
  <c r="A46" i="10"/>
  <c r="R614" i="8"/>
  <c r="R496" i="8"/>
  <c r="S496" i="8"/>
  <c r="R696" i="8"/>
  <c r="S696" i="8"/>
  <c r="S613" i="8"/>
  <c r="R608" i="8"/>
  <c r="S253" i="8"/>
  <c r="Q788" i="8"/>
  <c r="Q396" i="8"/>
  <c r="R662" i="8"/>
  <c r="S189" i="8"/>
  <c r="R609" i="8"/>
  <c r="R189" i="8"/>
  <c r="Q608" i="8"/>
  <c r="Q763" i="8"/>
  <c r="S15" i="8"/>
  <c r="Q98" i="8"/>
  <c r="Q575" i="8"/>
  <c r="S763" i="8"/>
  <c r="S855" i="8"/>
  <c r="R15" i="8"/>
  <c r="Q466" i="8"/>
  <c r="R466" i="8"/>
  <c r="S575" i="8"/>
  <c r="S756" i="8"/>
  <c r="R763" i="8"/>
  <c r="R855" i="8"/>
  <c r="Q446" i="8"/>
  <c r="Q696" i="8"/>
  <c r="S270" i="8"/>
  <c r="R270" i="8"/>
  <c r="Q270" i="8"/>
  <c r="S878" i="8"/>
  <c r="R47" i="8"/>
  <c r="Q615" i="8"/>
  <c r="Q569" i="8"/>
  <c r="Q670" i="8"/>
  <c r="S647" i="8"/>
  <c r="Q647" i="8"/>
  <c r="R647" i="8"/>
  <c r="Q483" i="8"/>
  <c r="S321" i="8"/>
  <c r="S480" i="8"/>
  <c r="R480" i="8"/>
  <c r="R530" i="8"/>
  <c r="S422" i="8"/>
  <c r="Q42" i="8"/>
  <c r="R193" i="8"/>
  <c r="S615" i="8"/>
  <c r="S444" i="8"/>
  <c r="R444" i="8"/>
  <c r="Q444" i="8"/>
  <c r="S569" i="8"/>
  <c r="R828" i="8"/>
  <c r="S828" i="8"/>
  <c r="R535" i="8"/>
  <c r="Q790" i="8"/>
  <c r="R315" i="8"/>
  <c r="S64" i="8"/>
  <c r="Q467" i="8"/>
  <c r="S770" i="8"/>
  <c r="R770" i="8"/>
  <c r="R463" i="8"/>
  <c r="Q463" i="8"/>
  <c r="R871" i="8"/>
  <c r="S871" i="8"/>
  <c r="S47" i="8"/>
  <c r="S59" i="8"/>
  <c r="R59" i="8"/>
  <c r="Q59" i="8"/>
  <c r="R430" i="8"/>
  <c r="S610" i="8"/>
  <c r="Q605" i="8"/>
  <c r="R624" i="8"/>
  <c r="S624" i="8"/>
  <c r="Q828" i="8"/>
  <c r="Q315" i="8"/>
  <c r="S535" i="8"/>
  <c r="S152" i="8"/>
  <c r="R64" i="8"/>
  <c r="Q115" i="8"/>
  <c r="S115" i="8"/>
  <c r="R467" i="8"/>
  <c r="Q196" i="8"/>
  <c r="Q219" i="8"/>
  <c r="R312" i="8"/>
  <c r="S111" i="8"/>
  <c r="R219" i="8"/>
  <c r="Q721" i="8"/>
  <c r="Q837" i="8"/>
  <c r="R202" i="8"/>
  <c r="R207" i="8"/>
  <c r="Q844" i="8"/>
  <c r="S207" i="8"/>
  <c r="S350" i="8"/>
  <c r="R715" i="8"/>
  <c r="S837" i="8"/>
  <c r="S844" i="8"/>
  <c r="Q83" i="8"/>
  <c r="Q411" i="8"/>
  <c r="S750" i="8"/>
  <c r="Q785" i="8"/>
  <c r="R887" i="8"/>
  <c r="S83" i="8"/>
  <c r="Q207" i="8"/>
  <c r="S312" i="8"/>
  <c r="Q657" i="8"/>
  <c r="Q406" i="8"/>
  <c r="S406" i="8"/>
  <c r="Q779" i="8"/>
  <c r="R837" i="8"/>
  <c r="Q802" i="8"/>
  <c r="S802" i="8"/>
  <c r="Q889" i="8"/>
  <c r="R558" i="8"/>
  <c r="S558" i="8"/>
  <c r="Q312" i="8"/>
  <c r="Q458" i="8"/>
  <c r="Q663" i="8"/>
  <c r="S196" i="8"/>
  <c r="S364" i="8"/>
  <c r="S458" i="8"/>
  <c r="S89" i="8"/>
  <c r="Q331" i="8"/>
  <c r="S338" i="8"/>
  <c r="R338" i="8"/>
  <c r="R860" i="8"/>
  <c r="S860" i="8"/>
  <c r="S476" i="8"/>
  <c r="R26" i="8"/>
  <c r="S43" i="8"/>
  <c r="R114" i="8"/>
  <c r="S26" i="8"/>
  <c r="S114" i="8"/>
  <c r="S401" i="8"/>
  <c r="S587" i="8"/>
  <c r="Q259" i="8"/>
  <c r="R594" i="8"/>
  <c r="R816" i="8"/>
  <c r="R230" i="8"/>
  <c r="Q862" i="8"/>
  <c r="Q910" i="8"/>
  <c r="S601" i="8"/>
  <c r="Q91" i="8"/>
  <c r="S137" i="8"/>
  <c r="R642" i="8"/>
  <c r="S917" i="8"/>
  <c r="R127" i="8"/>
  <c r="S585" i="8"/>
  <c r="R585" i="8"/>
  <c r="R905" i="8"/>
  <c r="Q118" i="8"/>
  <c r="S127" i="8"/>
  <c r="R354" i="8"/>
  <c r="S905" i="8"/>
  <c r="S206" i="8"/>
  <c r="R210" i="8"/>
  <c r="Q637" i="8"/>
  <c r="S729" i="8"/>
  <c r="R845" i="8"/>
  <c r="S210" i="8"/>
  <c r="R298" i="8"/>
  <c r="S374" i="8"/>
  <c r="S428" i="8"/>
  <c r="R450" i="8"/>
  <c r="Q472" i="8"/>
  <c r="Q478" i="8"/>
  <c r="S481" i="8"/>
  <c r="R680" i="8"/>
  <c r="S724" i="8"/>
  <c r="Q780" i="8"/>
  <c r="Q833" i="8"/>
  <c r="S852" i="8"/>
  <c r="Q121" i="8"/>
  <c r="S121" i="8"/>
  <c r="R121" i="8"/>
  <c r="S746" i="8"/>
  <c r="Q190" i="8"/>
  <c r="Q402" i="8"/>
  <c r="R76" i="8"/>
  <c r="R711" i="8"/>
  <c r="S711" i="8"/>
  <c r="Q817" i="8"/>
  <c r="Q225" i="8"/>
  <c r="R278" i="8"/>
  <c r="Q308" i="8"/>
  <c r="S512" i="8"/>
  <c r="R648" i="8"/>
  <c r="Q24" i="8"/>
  <c r="Q898" i="8"/>
  <c r="Q359" i="8"/>
  <c r="S655" i="8"/>
  <c r="R672" i="8"/>
  <c r="R123" i="8"/>
  <c r="Q852" i="8"/>
  <c r="Q298" i="8"/>
  <c r="R486" i="8"/>
  <c r="R724" i="8"/>
  <c r="R852" i="8"/>
  <c r="S298" i="8"/>
  <c r="R325" i="8"/>
  <c r="R478" i="8"/>
  <c r="S680" i="8"/>
  <c r="Q775" i="8"/>
  <c r="S780" i="8"/>
  <c r="S800" i="8"/>
  <c r="Q800" i="8"/>
  <c r="R800" i="8"/>
  <c r="R833" i="8"/>
  <c r="R316" i="8"/>
  <c r="Q230" i="8"/>
  <c r="S316" i="8"/>
  <c r="S425" i="8"/>
  <c r="S683" i="8"/>
  <c r="S722" i="8"/>
  <c r="R722" i="8"/>
  <c r="Q722" i="8"/>
  <c r="R753" i="8"/>
  <c r="R917" i="8"/>
  <c r="Q28" i="8"/>
  <c r="S910" i="8"/>
  <c r="S308" i="8"/>
  <c r="R798" i="8"/>
  <c r="R24" i="8"/>
  <c r="S50" i="8"/>
  <c r="Q255" i="8"/>
  <c r="S386" i="8"/>
  <c r="R386" i="8"/>
  <c r="Q386" i="8"/>
  <c r="S798" i="8"/>
  <c r="Q374" i="8"/>
  <c r="S305" i="8"/>
  <c r="R305" i="8"/>
  <c r="Q305" i="8"/>
  <c r="S325" i="8"/>
  <c r="S478" i="8"/>
  <c r="S482" i="8"/>
  <c r="R482" i="8"/>
  <c r="Q482" i="8"/>
  <c r="S614" i="8"/>
  <c r="Q662" i="8"/>
  <c r="R775" i="8"/>
  <c r="S853" i="8"/>
  <c r="R853" i="8"/>
  <c r="Q853" i="8"/>
  <c r="Q658" i="8"/>
  <c r="S882" i="8"/>
  <c r="S390" i="8"/>
  <c r="R443" i="8"/>
  <c r="S443" i="8"/>
  <c r="Q443" i="8"/>
  <c r="S526" i="8"/>
  <c r="R526" i="8"/>
  <c r="Q544" i="8"/>
  <c r="S544" i="8"/>
  <c r="R544" i="8"/>
  <c r="R190" i="8"/>
  <c r="S76" i="8"/>
  <c r="Q798" i="8"/>
  <c r="S741" i="8"/>
  <c r="S191" i="8"/>
  <c r="Q191" i="8"/>
  <c r="Q215" i="8"/>
  <c r="S590" i="8"/>
  <c r="S24" i="8"/>
  <c r="Q210" i="8"/>
  <c r="R359" i="8"/>
  <c r="R631" i="8"/>
  <c r="S672" i="8"/>
  <c r="S354" i="8"/>
  <c r="Q481" i="8"/>
  <c r="S500" i="8"/>
  <c r="R500" i="8"/>
  <c r="Q500" i="8"/>
  <c r="Q585" i="8"/>
  <c r="Q680" i="8"/>
  <c r="S74" i="8"/>
  <c r="R83" i="8"/>
  <c r="Q125" i="8"/>
  <c r="S125" i="8"/>
  <c r="R129" i="8"/>
  <c r="S129" i="8"/>
  <c r="Q193" i="8"/>
  <c r="Q287" i="8"/>
  <c r="R331" i="8"/>
  <c r="Q344" i="8"/>
  <c r="S356" i="8"/>
  <c r="R356" i="8"/>
  <c r="Q395" i="8"/>
  <c r="Q434" i="8"/>
  <c r="R568" i="8"/>
  <c r="Q568" i="8"/>
  <c r="S568" i="8"/>
  <c r="Q894" i="8"/>
  <c r="S894" i="8"/>
  <c r="R894" i="8"/>
  <c r="R658" i="8"/>
  <c r="R716" i="8"/>
  <c r="S716" i="8"/>
  <c r="Q830" i="8"/>
  <c r="S830" i="8"/>
  <c r="R830" i="8"/>
  <c r="R137" i="8"/>
  <c r="Q512" i="8"/>
  <c r="S659" i="8"/>
  <c r="R659" i="8"/>
  <c r="Q659" i="8"/>
  <c r="R910" i="8"/>
  <c r="R741" i="8"/>
  <c r="Q123" i="8"/>
  <c r="Q631" i="8"/>
  <c r="Q729" i="8"/>
  <c r="R66" i="8"/>
  <c r="Q486" i="8"/>
  <c r="R434" i="8"/>
  <c r="S479" i="8"/>
  <c r="R479" i="8"/>
  <c r="Q479" i="8"/>
  <c r="R657" i="8"/>
  <c r="R670" i="8"/>
  <c r="S670" i="8"/>
  <c r="Q770" i="8"/>
  <c r="Q300" i="8"/>
  <c r="S300" i="8"/>
  <c r="R300" i="8"/>
  <c r="Q390" i="8"/>
  <c r="Q204" i="8"/>
  <c r="R204" i="8"/>
  <c r="S204" i="8"/>
  <c r="R289" i="8"/>
  <c r="Q289" i="8"/>
  <c r="S289" i="8"/>
  <c r="S594" i="8"/>
  <c r="Q76" i="8"/>
  <c r="S352" i="8"/>
  <c r="R352" i="8"/>
  <c r="Q352" i="8"/>
  <c r="R583" i="8"/>
  <c r="R601" i="8"/>
  <c r="Q635" i="8"/>
  <c r="Q278" i="8"/>
  <c r="R402" i="8"/>
  <c r="R607" i="8"/>
  <c r="S607" i="8"/>
  <c r="Q195" i="8"/>
  <c r="S195" i="8"/>
  <c r="R50" i="8"/>
  <c r="R195" i="8"/>
  <c r="S571" i="8"/>
  <c r="S648" i="8"/>
  <c r="R655" i="8"/>
  <c r="Q206" i="8"/>
  <c r="R215" i="8"/>
  <c r="R255" i="8"/>
  <c r="R118" i="8"/>
  <c r="Q450" i="8"/>
  <c r="S553" i="8"/>
  <c r="R43" i="8"/>
  <c r="Q64" i="8"/>
  <c r="Q111" i="8"/>
  <c r="R115" i="8"/>
  <c r="R125" i="8"/>
  <c r="S193" i="8"/>
  <c r="S241" i="8"/>
  <c r="R253" i="8"/>
  <c r="Q356" i="8"/>
  <c r="Q401" i="8"/>
  <c r="R406" i="8"/>
  <c r="S411" i="8"/>
  <c r="Q430" i="8"/>
  <c r="R446" i="8"/>
  <c r="R458" i="8"/>
  <c r="S463" i="8"/>
  <c r="S530" i="8"/>
  <c r="R587" i="8"/>
  <c r="S663" i="8"/>
  <c r="Q715" i="8"/>
  <c r="Q789" i="8"/>
  <c r="R789" i="8"/>
  <c r="S789" i="8"/>
  <c r="Q602" i="8"/>
  <c r="Q612" i="8"/>
  <c r="Q628" i="8"/>
  <c r="Q706" i="8"/>
  <c r="S766" i="8"/>
  <c r="S795" i="8"/>
  <c r="Q812" i="8"/>
  <c r="R706" i="8"/>
  <c r="Q743" i="8"/>
  <c r="S812" i="8"/>
  <c r="R825" i="8"/>
  <c r="R913" i="8"/>
  <c r="Q200" i="8"/>
  <c r="R117" i="8"/>
  <c r="R279" i="8"/>
  <c r="S285" i="8"/>
  <c r="R310" i="8"/>
  <c r="Q370" i="8"/>
  <c r="Q616" i="8"/>
  <c r="R628" i="8"/>
  <c r="R651" i="8"/>
  <c r="Q656" i="8"/>
  <c r="Q67" i="8"/>
  <c r="S117" i="8"/>
  <c r="S141" i="8"/>
  <c r="Q152" i="8"/>
  <c r="S200" i="8"/>
  <c r="Q208" i="8"/>
  <c r="R223" i="8"/>
  <c r="S310" i="8"/>
  <c r="S324" i="8"/>
  <c r="R370" i="8"/>
  <c r="Q422" i="8"/>
  <c r="R616" i="8"/>
  <c r="S628" i="8"/>
  <c r="S651" i="8"/>
  <c r="R656" i="8"/>
  <c r="R700" i="8"/>
  <c r="S706" i="8"/>
  <c r="R727" i="8"/>
  <c r="S738" i="8"/>
  <c r="R743" i="8"/>
  <c r="R749" i="8"/>
  <c r="R819" i="8"/>
  <c r="S825" i="8"/>
  <c r="Q849" i="8"/>
  <c r="Q877" i="8"/>
  <c r="Q117" i="8"/>
  <c r="R285" i="8"/>
  <c r="Q310" i="8"/>
  <c r="R381" i="8"/>
  <c r="S562" i="8"/>
  <c r="R200" i="8"/>
  <c r="Q223" i="8"/>
  <c r="Q324" i="8"/>
  <c r="S381" i="8"/>
  <c r="R67" i="8"/>
  <c r="Q275" i="8"/>
  <c r="S700" i="8"/>
  <c r="S727" i="8"/>
  <c r="R756" i="8"/>
  <c r="S796" i="8"/>
  <c r="Q860" i="8"/>
  <c r="Q865" i="8"/>
  <c r="R877" i="8"/>
  <c r="R883" i="8"/>
  <c r="R865" i="8"/>
  <c r="S251" i="8"/>
  <c r="R251" i="8"/>
  <c r="Q251" i="8"/>
  <c r="S131" i="8"/>
  <c r="R131" i="8"/>
  <c r="Q131" i="8"/>
  <c r="Q436" i="8"/>
  <c r="R436" i="8"/>
  <c r="R358" i="8"/>
  <c r="Q358" i="8"/>
  <c r="S358" i="8"/>
  <c r="R427" i="8"/>
  <c r="S427" i="8"/>
  <c r="Q427" i="8"/>
  <c r="R521" i="8"/>
  <c r="S521" i="8"/>
  <c r="R712" i="8"/>
  <c r="S712" i="8"/>
  <c r="Q712" i="8"/>
  <c r="Q81" i="8"/>
  <c r="R81" i="8"/>
  <c r="S81" i="8"/>
  <c r="S555" i="8"/>
  <c r="Q555" i="8"/>
  <c r="R555" i="8"/>
  <c r="Q185" i="8"/>
  <c r="S185" i="8"/>
  <c r="R185" i="8"/>
  <c r="S418" i="8"/>
  <c r="R418" i="8"/>
  <c r="Q418" i="8"/>
  <c r="S246" i="8"/>
  <c r="S442" i="8"/>
  <c r="R442" i="8"/>
  <c r="Q442" i="8"/>
  <c r="S119" i="8"/>
  <c r="R119" i="8"/>
  <c r="Q246" i="8"/>
  <c r="Q452" i="8"/>
  <c r="R452" i="8"/>
  <c r="S452" i="8"/>
  <c r="R148" i="8"/>
  <c r="Q148" i="8"/>
  <c r="R431" i="8"/>
  <c r="S431" i="8"/>
  <c r="Q431" i="8"/>
  <c r="Q725" i="8"/>
  <c r="R725" i="8"/>
  <c r="R549" i="8"/>
  <c r="S549" i="8"/>
  <c r="R108" i="8"/>
  <c r="S108" i="8"/>
  <c r="Q108" i="8"/>
  <c r="Q383" i="8"/>
  <c r="S383" i="8"/>
  <c r="R383" i="8"/>
  <c r="S135" i="8"/>
  <c r="R135" i="8"/>
  <c r="Q135" i="8"/>
  <c r="S203" i="8"/>
  <c r="R203" i="8"/>
  <c r="Q203" i="8"/>
  <c r="S33" i="8"/>
  <c r="R33" i="8"/>
  <c r="Q33" i="8"/>
  <c r="S159" i="8"/>
  <c r="R159" i="8"/>
  <c r="Q159" i="8"/>
  <c r="S436" i="8"/>
  <c r="Q341" i="8"/>
  <c r="S341" i="8"/>
  <c r="R341" i="8"/>
  <c r="S725" i="8"/>
  <c r="Q301" i="8"/>
  <c r="S301" i="8"/>
  <c r="R301" i="8"/>
  <c r="Q314" i="8"/>
  <c r="S314" i="8"/>
  <c r="S21" i="8"/>
  <c r="R21" i="8"/>
  <c r="R326" i="8"/>
  <c r="Q326" i="8"/>
  <c r="S326" i="8"/>
  <c r="Q387" i="8"/>
  <c r="S387" i="8"/>
  <c r="R387" i="8"/>
  <c r="Q317" i="8"/>
  <c r="S317" i="8"/>
  <c r="R391" i="8"/>
  <c r="S391" i="8"/>
  <c r="Q391" i="8"/>
  <c r="R246" i="8"/>
  <c r="Q336" i="8"/>
  <c r="Q294" i="8"/>
  <c r="S294" i="8"/>
  <c r="R294" i="8"/>
  <c r="S565" i="8"/>
  <c r="Q565" i="8"/>
  <c r="Q600" i="8"/>
  <c r="S600" i="8"/>
  <c r="R600" i="8"/>
  <c r="R850" i="8"/>
  <c r="Q850" i="8"/>
  <c r="S850" i="8"/>
  <c r="Q649" i="8"/>
  <c r="R649" i="8"/>
  <c r="S649" i="8"/>
  <c r="S684" i="8"/>
  <c r="Q684" i="8"/>
  <c r="R684" i="8"/>
  <c r="Q99" i="8"/>
  <c r="S243" i="8"/>
  <c r="R243" i="8"/>
  <c r="S267" i="8"/>
  <c r="R267" i="8"/>
  <c r="Q267" i="8"/>
  <c r="R498" i="8"/>
  <c r="S498" i="8"/>
  <c r="R238" i="8"/>
  <c r="R211" i="8"/>
  <c r="S211" i="8"/>
  <c r="Q243" i="8"/>
  <c r="R262" i="8"/>
  <c r="S437" i="8"/>
  <c r="R846" i="8"/>
  <c r="Q299" i="8"/>
  <c r="Q487" i="8"/>
  <c r="S494" i="8"/>
  <c r="R494" i="8"/>
  <c r="Q494" i="8"/>
  <c r="S517" i="8"/>
  <c r="R546" i="8"/>
  <c r="S546" i="8"/>
  <c r="Q572" i="8"/>
  <c r="Q591" i="8"/>
  <c r="R618" i="8"/>
  <c r="S704" i="8"/>
  <c r="Q748" i="8"/>
  <c r="S841" i="8"/>
  <c r="R841" i="8"/>
  <c r="Q841" i="8"/>
  <c r="R903" i="8"/>
  <c r="Q903" i="8"/>
  <c r="Q908" i="8"/>
  <c r="Q919" i="8"/>
  <c r="R41" i="8"/>
  <c r="R45" i="8"/>
  <c r="S79" i="8"/>
  <c r="R92" i="8"/>
  <c r="Q96" i="8"/>
  <c r="S146" i="8"/>
  <c r="Q273" i="8"/>
  <c r="Q282" i="8"/>
  <c r="R295" i="8"/>
  <c r="R299" i="8"/>
  <c r="R303" i="8"/>
  <c r="Q303" i="8"/>
  <c r="Q333" i="8"/>
  <c r="S375" i="8"/>
  <c r="Q380" i="8"/>
  <c r="Q408" i="8"/>
  <c r="R408" i="8"/>
  <c r="S408" i="8"/>
  <c r="Q420" i="8"/>
  <c r="S420" i="8"/>
  <c r="R420" i="8"/>
  <c r="R471" i="8"/>
  <c r="R487" i="8"/>
  <c r="S542" i="8"/>
  <c r="R542" i="8"/>
  <c r="S618" i="8"/>
  <c r="Q640" i="8"/>
  <c r="S640" i="8"/>
  <c r="R640" i="8"/>
  <c r="Q704" i="8"/>
  <c r="R732" i="8"/>
  <c r="S732" i="8"/>
  <c r="Q732" i="8"/>
  <c r="S748" i="8"/>
  <c r="R862" i="8"/>
  <c r="S867" i="8"/>
  <c r="R867" i="8"/>
  <c r="S903" i="8"/>
  <c r="S908" i="8"/>
  <c r="R919" i="8"/>
  <c r="S471" i="8"/>
  <c r="S592" i="8"/>
  <c r="S676" i="8"/>
  <c r="Q676" i="8"/>
  <c r="Q693" i="8"/>
  <c r="R704" i="8"/>
  <c r="S794" i="8"/>
  <c r="R821" i="8"/>
  <c r="S560" i="8"/>
  <c r="R560" i="8"/>
  <c r="S633" i="8"/>
  <c r="Q318" i="8"/>
  <c r="Q379" i="8"/>
  <c r="S737" i="8"/>
  <c r="Q737" i="8"/>
  <c r="R839" i="8"/>
  <c r="R65" i="8"/>
  <c r="S379" i="8"/>
  <c r="S433" i="8"/>
  <c r="R433" i="8"/>
  <c r="R809" i="8"/>
  <c r="S809" i="8"/>
  <c r="Q809" i="8"/>
  <c r="Q171" i="8"/>
  <c r="S634" i="8"/>
  <c r="R634" i="8"/>
  <c r="Q52" i="8"/>
  <c r="S99" i="8"/>
  <c r="Q146" i="8"/>
  <c r="R171" i="8"/>
  <c r="R220" i="8"/>
  <c r="S238" i="8"/>
  <c r="S505" i="8"/>
  <c r="R505" i="8"/>
  <c r="Q41" i="8"/>
  <c r="R52" i="8"/>
  <c r="R146" i="8"/>
  <c r="S220" i="8"/>
  <c r="Q471" i="8"/>
  <c r="R273" i="8"/>
  <c r="R282" i="8"/>
  <c r="S49" i="8"/>
  <c r="R49" i="8"/>
  <c r="R197" i="8"/>
  <c r="R235" i="8"/>
  <c r="S273" i="8"/>
  <c r="Q330" i="8"/>
  <c r="S330" i="8"/>
  <c r="S399" i="8"/>
  <c r="S403" i="8"/>
  <c r="R699" i="8"/>
  <c r="S699" i="8"/>
  <c r="Q805" i="8"/>
  <c r="R805" i="8"/>
  <c r="S805" i="8"/>
  <c r="S821" i="8"/>
  <c r="S827" i="8"/>
  <c r="R880" i="8"/>
  <c r="S880" i="8"/>
  <c r="Q880" i="8"/>
  <c r="R892" i="8"/>
  <c r="S892" i="8"/>
  <c r="Q892" i="8"/>
  <c r="R503" i="8"/>
  <c r="S503" i="8"/>
  <c r="Q503" i="8"/>
  <c r="S261" i="8"/>
  <c r="S673" i="8"/>
  <c r="R673" i="8"/>
  <c r="S17" i="8"/>
  <c r="R17" i="8"/>
  <c r="S510" i="8"/>
  <c r="R510" i="8"/>
  <c r="Q337" i="8"/>
  <c r="S846" i="8"/>
  <c r="S759" i="8"/>
  <c r="Q759" i="8"/>
  <c r="R759" i="8"/>
  <c r="S884" i="8"/>
  <c r="R884" i="8"/>
  <c r="R366" i="8"/>
  <c r="Q295" i="8"/>
  <c r="S45" i="8"/>
  <c r="Q235" i="8"/>
  <c r="R380" i="8"/>
  <c r="R23" i="8"/>
  <c r="R133" i="8"/>
  <c r="Q71" i="8"/>
  <c r="Q89" i="8"/>
  <c r="S133" i="8"/>
  <c r="Q177" i="8"/>
  <c r="Q188" i="8"/>
  <c r="R194" i="8"/>
  <c r="S197" i="8"/>
  <c r="S208" i="8"/>
  <c r="S230" i="8"/>
  <c r="S264" i="8"/>
  <c r="R264" i="8"/>
  <c r="S278" i="8"/>
  <c r="S283" i="8"/>
  <c r="R283" i="8"/>
  <c r="R287" i="8"/>
  <c r="Q361" i="8"/>
  <c r="S409" i="8"/>
  <c r="R409" i="8"/>
  <c r="Q459" i="8"/>
  <c r="S468" i="8"/>
  <c r="S578" i="8"/>
  <c r="S583" i="8"/>
  <c r="R592" i="8"/>
  <c r="Q784" i="8"/>
  <c r="R784" i="8"/>
  <c r="Q827" i="8"/>
  <c r="R857" i="8"/>
  <c r="R898" i="8"/>
  <c r="Q915" i="8"/>
  <c r="R915" i="8"/>
  <c r="S915" i="8"/>
  <c r="S839" i="8"/>
  <c r="S73" i="8"/>
  <c r="Q73" i="8"/>
  <c r="S271" i="8"/>
  <c r="R271" i="8"/>
  <c r="Q271" i="8"/>
  <c r="Q323" i="8"/>
  <c r="S323" i="8"/>
  <c r="R323" i="8"/>
  <c r="S328" i="8"/>
  <c r="R328" i="8"/>
  <c r="Q17" i="8"/>
  <c r="S318" i="8"/>
  <c r="Q328" i="8"/>
  <c r="R337" i="8"/>
  <c r="R437" i="8"/>
  <c r="S686" i="8"/>
  <c r="R48" i="8"/>
  <c r="R175" i="8"/>
  <c r="S551" i="8"/>
  <c r="R551" i="8"/>
  <c r="Q551" i="8"/>
  <c r="S576" i="8"/>
  <c r="S48" i="8"/>
  <c r="Q92" i="8"/>
  <c r="S167" i="8"/>
  <c r="R167" i="8"/>
  <c r="Q167" i="8"/>
  <c r="Q366" i="8"/>
  <c r="R239" i="8"/>
  <c r="Q239" i="8"/>
  <c r="R143" i="8"/>
  <c r="Q143" i="8"/>
  <c r="R296" i="8"/>
  <c r="S296" i="8"/>
  <c r="Q296" i="8"/>
  <c r="S23" i="8"/>
  <c r="R31" i="8"/>
  <c r="S31" i="8"/>
  <c r="R71" i="8"/>
  <c r="R89" i="8"/>
  <c r="S143" i="8"/>
  <c r="R188" i="8"/>
  <c r="Q202" i="8"/>
  <c r="S218" i="8"/>
  <c r="R236" i="8"/>
  <c r="Q236" i="8"/>
  <c r="S236" i="8"/>
  <c r="R292" i="8"/>
  <c r="S292" i="8"/>
  <c r="Q292" i="8"/>
  <c r="R321" i="8"/>
  <c r="Q321" i="8"/>
  <c r="R330" i="8"/>
  <c r="R357" i="8"/>
  <c r="S361" i="8"/>
  <c r="Q367" i="8"/>
  <c r="Q447" i="8"/>
  <c r="Q451" i="8"/>
  <c r="S459" i="8"/>
  <c r="R484" i="8"/>
  <c r="Q484" i="8"/>
  <c r="S484" i="8"/>
  <c r="S642" i="8"/>
  <c r="Q642" i="8"/>
  <c r="R689" i="8"/>
  <c r="S689" i="8"/>
  <c r="Q689" i="8"/>
  <c r="S784" i="8"/>
  <c r="R827" i="8"/>
  <c r="S849" i="8"/>
  <c r="S857" i="8"/>
  <c r="R869" i="8"/>
  <c r="Q869" i="8"/>
  <c r="Q887" i="8"/>
  <c r="S898" i="8"/>
  <c r="R346" i="8"/>
  <c r="S57" i="8"/>
  <c r="S262" i="8"/>
  <c r="R318" i="8"/>
  <c r="Q510" i="8"/>
  <c r="Q576" i="8"/>
  <c r="S907" i="8"/>
  <c r="R907" i="8"/>
  <c r="Q907" i="8"/>
  <c r="Q175" i="8"/>
  <c r="S493" i="8"/>
  <c r="Q493" i="8"/>
  <c r="R576" i="8"/>
  <c r="Q581" i="8"/>
  <c r="R639" i="8"/>
  <c r="Q639" i="8"/>
  <c r="R247" i="8"/>
  <c r="Q375" i="8"/>
  <c r="S424" i="8"/>
  <c r="R424" i="8"/>
  <c r="Q424" i="8"/>
  <c r="Q169" i="8"/>
  <c r="S169" i="8"/>
  <c r="R169" i="8"/>
  <c r="R198" i="8"/>
  <c r="S357" i="8"/>
  <c r="R367" i="8"/>
  <c r="R426" i="8"/>
  <c r="S426" i="8"/>
  <c r="R447" i="8"/>
  <c r="R451" i="8"/>
  <c r="R469" i="8"/>
  <c r="R501" i="8"/>
  <c r="S501" i="8"/>
  <c r="R507" i="8"/>
  <c r="S507" i="8"/>
  <c r="Q507" i="8"/>
  <c r="R537" i="8"/>
  <c r="S537" i="8"/>
  <c r="Q653" i="8"/>
  <c r="S653" i="8"/>
  <c r="R653" i="8"/>
  <c r="S813" i="8"/>
  <c r="R813" i="8"/>
  <c r="R116" i="8"/>
  <c r="S116" i="8"/>
  <c r="S311" i="8"/>
  <c r="Q311" i="8"/>
  <c r="S707" i="8"/>
  <c r="S155" i="8"/>
  <c r="R155" i="8"/>
  <c r="Q346" i="8"/>
  <c r="Q713" i="8"/>
  <c r="S713" i="8"/>
  <c r="S781" i="8"/>
  <c r="Q781" i="8"/>
  <c r="S835" i="8"/>
  <c r="R835" i="8"/>
  <c r="S65" i="8"/>
  <c r="Q257" i="8"/>
  <c r="R311" i="8"/>
  <c r="Q433" i="8"/>
  <c r="S523" i="8"/>
  <c r="Q523" i="8"/>
  <c r="R523" i="8"/>
  <c r="R737" i="8"/>
  <c r="R57" i="8"/>
  <c r="R257" i="8"/>
  <c r="R731" i="8"/>
  <c r="S731" i="8"/>
  <c r="Q45" i="8"/>
  <c r="S257" i="8"/>
  <c r="Q269" i="8"/>
  <c r="S269" i="8"/>
  <c r="R269" i="8"/>
  <c r="S333" i="8"/>
  <c r="S139" i="8"/>
  <c r="Q139" i="8"/>
  <c r="R191" i="8"/>
  <c r="S198" i="8"/>
  <c r="R344" i="8"/>
  <c r="Q350" i="8"/>
  <c r="Q354" i="8"/>
  <c r="S395" i="8"/>
  <c r="Q426" i="8"/>
  <c r="Q460" i="8"/>
  <c r="S460" i="8"/>
  <c r="Q469" i="8"/>
  <c r="S472" i="8"/>
  <c r="S599" i="8"/>
  <c r="S612" i="8"/>
  <c r="R668" i="8"/>
  <c r="Q668" i="8"/>
  <c r="S678" i="8"/>
  <c r="R768" i="8"/>
  <c r="S768" i="8"/>
  <c r="Q768" i="8"/>
  <c r="S807" i="8"/>
  <c r="Q807" i="8"/>
  <c r="S899" i="8"/>
  <c r="R899" i="8"/>
  <c r="S597" i="8"/>
  <c r="Q597" i="8"/>
  <c r="S791" i="8"/>
  <c r="R791" i="8"/>
  <c r="Q791" i="8"/>
  <c r="S889" i="8"/>
  <c r="R889" i="8"/>
  <c r="R570" i="8"/>
  <c r="S570" i="8"/>
  <c r="Q570" i="8"/>
  <c r="Q666" i="8"/>
  <c r="S705" i="8"/>
  <c r="R705" i="8"/>
  <c r="S754" i="8"/>
  <c r="Q764" i="8"/>
  <c r="S782" i="8"/>
  <c r="S814" i="8"/>
  <c r="R814" i="8"/>
  <c r="R851" i="8"/>
  <c r="S646" i="8"/>
  <c r="S661" i="8"/>
  <c r="R666" i="8"/>
  <c r="Q782" i="8"/>
  <c r="Q814" i="8"/>
  <c r="Q876" i="8"/>
  <c r="R470" i="8"/>
  <c r="Q470" i="8"/>
  <c r="S405" i="8"/>
  <c r="S347" i="8"/>
  <c r="R347" i="8"/>
  <c r="Q519" i="8"/>
  <c r="Q528" i="8"/>
  <c r="R245" i="8"/>
  <c r="S284" i="8"/>
  <c r="Q319" i="8"/>
  <c r="S343" i="8"/>
  <c r="R343" i="8"/>
  <c r="R397" i="8"/>
  <c r="R438" i="8"/>
  <c r="Q454" i="8"/>
  <c r="R385" i="8"/>
  <c r="Q385" i="8"/>
  <c r="R709" i="8"/>
  <c r="S709" i="8"/>
  <c r="R240" i="8"/>
  <c r="Q240" i="8"/>
  <c r="R368" i="8"/>
  <c r="Q368" i="8"/>
  <c r="S385" i="8"/>
  <c r="Q438" i="8"/>
  <c r="S533" i="8"/>
  <c r="Q714" i="8"/>
  <c r="Q726" i="8"/>
  <c r="S764" i="8"/>
  <c r="R90" i="8"/>
  <c r="S187" i="8"/>
  <c r="Q187" i="8"/>
  <c r="Q389" i="8"/>
  <c r="S392" i="8"/>
  <c r="R392" i="8"/>
  <c r="S823" i="8"/>
  <c r="R823" i="8"/>
  <c r="Q823" i="8"/>
  <c r="Q90" i="8"/>
  <c r="S181" i="8"/>
  <c r="S470" i="8"/>
  <c r="Q705" i="8"/>
  <c r="Q158" i="8"/>
  <c r="Q280" i="8"/>
  <c r="Q335" i="8"/>
  <c r="Q435" i="8"/>
  <c r="R519" i="8"/>
  <c r="R528" i="8"/>
  <c r="Q598" i="8"/>
  <c r="S666" i="8"/>
  <c r="Q690" i="8"/>
  <c r="S714" i="8"/>
  <c r="S726" i="8"/>
  <c r="Q736" i="8"/>
  <c r="R736" i="8"/>
  <c r="S769" i="8"/>
  <c r="R769" i="8"/>
  <c r="R773" i="8"/>
  <c r="R782" i="8"/>
  <c r="Q797" i="8"/>
  <c r="Q801" i="8"/>
  <c r="S810" i="8"/>
  <c r="S848" i="8"/>
  <c r="R848" i="8"/>
  <c r="S876" i="8"/>
  <c r="Q885" i="8"/>
  <c r="Q901" i="8"/>
  <c r="Q74" i="8"/>
  <c r="S90" i="8"/>
  <c r="R94" i="8"/>
  <c r="R97" i="8"/>
  <c r="R106" i="8"/>
  <c r="Q106" i="8"/>
  <c r="R158" i="8"/>
  <c r="R181" i="8"/>
  <c r="R187" i="8"/>
  <c r="S245" i="8"/>
  <c r="R280" i="8"/>
  <c r="R319" i="8"/>
  <c r="R335" i="8"/>
  <c r="R339" i="8"/>
  <c r="Q347" i="8"/>
  <c r="S377" i="8"/>
  <c r="S389" i="8"/>
  <c r="R393" i="8"/>
  <c r="S397" i="8"/>
  <c r="Q428" i="8"/>
  <c r="R435" i="8"/>
  <c r="R454" i="8"/>
  <c r="S514" i="8"/>
  <c r="S539" i="8"/>
  <c r="R539" i="8"/>
  <c r="Q539" i="8"/>
  <c r="R598" i="8"/>
  <c r="Q610" i="8"/>
  <c r="R641" i="8"/>
  <c r="S641" i="8"/>
  <c r="S736" i="8"/>
  <c r="Q750" i="8"/>
  <c r="S773" i="8"/>
  <c r="S793" i="8"/>
  <c r="R793" i="8"/>
  <c r="R797" i="8"/>
  <c r="R885" i="8"/>
  <c r="S897" i="8"/>
  <c r="R897" i="8"/>
  <c r="R901" i="8"/>
  <c r="Q66" i="8"/>
  <c r="R74" i="8"/>
  <c r="S94" i="8"/>
  <c r="S97" i="8"/>
  <c r="R101" i="8"/>
  <c r="S101" i="8"/>
  <c r="S106" i="8"/>
  <c r="R141" i="8"/>
  <c r="R163" i="8"/>
  <c r="S335" i="8"/>
  <c r="S339" i="8"/>
  <c r="Q343" i="8"/>
  <c r="Q439" i="8"/>
  <c r="S454" i="8"/>
  <c r="Q490" i="8"/>
  <c r="R571" i="8"/>
  <c r="R637" i="8"/>
  <c r="S637" i="8"/>
  <c r="R750" i="8"/>
  <c r="Q769" i="8"/>
  <c r="Q793" i="8"/>
  <c r="Q811" i="8"/>
  <c r="S811" i="8"/>
  <c r="R834" i="8"/>
  <c r="Q848" i="8"/>
  <c r="R881" i="8"/>
  <c r="Q277" i="8"/>
  <c r="S277" i="8"/>
  <c r="S396" i="8"/>
  <c r="R396" i="8"/>
  <c r="Q579" i="8"/>
  <c r="S579" i="8"/>
  <c r="S762" i="8"/>
  <c r="Q114" i="8"/>
  <c r="Q404" i="8"/>
  <c r="S682" i="8"/>
  <c r="Q682" i="8"/>
  <c r="Q757" i="8"/>
  <c r="S757" i="8"/>
  <c r="R757" i="8"/>
  <c r="Q766" i="8"/>
  <c r="Q820" i="8"/>
  <c r="Q878" i="8"/>
  <c r="Q882" i="8"/>
  <c r="Q695" i="8"/>
  <c r="Q749" i="8"/>
  <c r="Q753" i="8"/>
  <c r="R766" i="8"/>
  <c r="Q796" i="8"/>
  <c r="Q816" i="8"/>
  <c r="R820" i="8"/>
  <c r="Q845" i="8"/>
  <c r="Q873" i="8"/>
  <c r="R878" i="8"/>
  <c r="R882" i="8"/>
  <c r="R378" i="8"/>
  <c r="Q378" i="8"/>
  <c r="S378" i="8"/>
  <c r="R107" i="8"/>
  <c r="S107" i="8"/>
  <c r="M56" i="8"/>
  <c r="R69" i="8"/>
  <c r="Q112" i="8"/>
  <c r="M159" i="8"/>
  <c r="S249" i="8"/>
  <c r="Q249" i="8"/>
  <c r="R249" i="8"/>
  <c r="S464" i="8"/>
  <c r="R464" i="8"/>
  <c r="Q464" i="8"/>
  <c r="R14" i="8"/>
  <c r="R34" i="8"/>
  <c r="Q34" i="8"/>
  <c r="S34" i="8"/>
  <c r="M103" i="8"/>
  <c r="M595" i="8"/>
  <c r="S14" i="8"/>
  <c r="S87" i="8"/>
  <c r="M100" i="8"/>
  <c r="Q136" i="8"/>
  <c r="S136" i="8"/>
  <c r="R136" i="8"/>
  <c r="S293" i="8"/>
  <c r="M532" i="8"/>
  <c r="M54" i="8"/>
  <c r="Q80" i="8"/>
  <c r="Q165" i="8"/>
  <c r="M174" i="8"/>
  <c r="S268" i="8"/>
  <c r="Q268" i="8"/>
  <c r="R268" i="8"/>
  <c r="R365" i="8"/>
  <c r="R412" i="8"/>
  <c r="M98" i="8"/>
  <c r="S688" i="8"/>
  <c r="R688" i="8"/>
  <c r="R56" i="8"/>
  <c r="M134" i="8"/>
  <c r="S174" i="8"/>
  <c r="Q174" i="8"/>
  <c r="R183" i="8"/>
  <c r="R213" i="8"/>
  <c r="M228" i="8"/>
  <c r="Q254" i="8"/>
  <c r="R291" i="8"/>
  <c r="S334" i="8"/>
  <c r="R334" i="8"/>
  <c r="Q334" i="8"/>
  <c r="S351" i="8"/>
  <c r="R351" i="8"/>
  <c r="Q351" i="8"/>
  <c r="M579" i="8"/>
  <c r="S675" i="8"/>
  <c r="R675" i="8"/>
  <c r="Q675" i="8"/>
  <c r="M692" i="8"/>
  <c r="Q804" i="8"/>
  <c r="M906" i="8"/>
  <c r="M20" i="8"/>
  <c r="M23" i="8"/>
  <c r="R30" i="8"/>
  <c r="R32" i="8"/>
  <c r="Q36" i="8"/>
  <c r="M47" i="8"/>
  <c r="M49" i="8"/>
  <c r="Q51" i="8"/>
  <c r="S51" i="8"/>
  <c r="R51" i="8"/>
  <c r="S56" i="8"/>
  <c r="M62" i="8"/>
  <c r="R78" i="8"/>
  <c r="S85" i="8"/>
  <c r="S93" i="8"/>
  <c r="R93" i="8"/>
  <c r="Q93" i="8"/>
  <c r="R103" i="8"/>
  <c r="M140" i="8"/>
  <c r="R142" i="8"/>
  <c r="M151" i="8"/>
  <c r="Q154" i="8"/>
  <c r="R177" i="8"/>
  <c r="S177" i="8"/>
  <c r="Q194" i="8"/>
  <c r="M200" i="8"/>
  <c r="M211" i="8"/>
  <c r="R254" i="8"/>
  <c r="M272" i="8"/>
  <c r="R307" i="8"/>
  <c r="M325" i="8"/>
  <c r="Q345" i="8"/>
  <c r="M462" i="8"/>
  <c r="R476" i="8"/>
  <c r="Q476" i="8"/>
  <c r="Q688" i="8"/>
  <c r="S771" i="8"/>
  <c r="R771" i="8"/>
  <c r="Q771" i="8"/>
  <c r="M801" i="8"/>
  <c r="R804" i="8"/>
  <c r="S60" i="8"/>
  <c r="R60" i="8"/>
  <c r="Q60" i="8"/>
  <c r="Q69" i="8"/>
  <c r="R58" i="8"/>
  <c r="S58" i="8"/>
  <c r="Q107" i="8"/>
  <c r="M120" i="8"/>
  <c r="Q256" i="8"/>
  <c r="M453" i="8"/>
  <c r="S161" i="8"/>
  <c r="M168" i="8"/>
  <c r="Q179" i="8"/>
  <c r="Q216" i="8"/>
  <c r="M268" i="8"/>
  <c r="M386" i="8"/>
  <c r="M497" i="8"/>
  <c r="Q156" i="8"/>
  <c r="S274" i="8"/>
  <c r="R274" i="8"/>
  <c r="M351" i="8"/>
  <c r="R12" i="8"/>
  <c r="Q100" i="8"/>
  <c r="S100" i="8"/>
  <c r="R100" i="8"/>
  <c r="M118" i="8"/>
  <c r="M148" i="8"/>
  <c r="Q183" i="8"/>
  <c r="M126" i="8"/>
  <c r="S25" i="8"/>
  <c r="R25" i="8"/>
  <c r="Q54" i="8"/>
  <c r="M71" i="8"/>
  <c r="S78" i="8"/>
  <c r="M91" i="8"/>
  <c r="S103" i="8"/>
  <c r="R126" i="8"/>
  <c r="S126" i="8"/>
  <c r="R134" i="8"/>
  <c r="S134" i="8"/>
  <c r="R154" i="8"/>
  <c r="M166" i="8"/>
  <c r="R174" i="8"/>
  <c r="M181" i="8"/>
  <c r="R214" i="8"/>
  <c r="S214" i="8"/>
  <c r="M231" i="8"/>
  <c r="M265" i="8"/>
  <c r="S288" i="8"/>
  <c r="R288" i="8"/>
  <c r="Q288" i="8"/>
  <c r="S307" i="8"/>
  <c r="R345" i="8"/>
  <c r="M384" i="8"/>
  <c r="S644" i="8"/>
  <c r="R644" i="8"/>
  <c r="Q644" i="8"/>
  <c r="S473" i="8"/>
  <c r="R473" i="8"/>
  <c r="Q473" i="8"/>
  <c r="S547" i="8"/>
  <c r="R547" i="8"/>
  <c r="Q547" i="8"/>
  <c r="Q110" i="8"/>
  <c r="M921" i="8"/>
  <c r="M905" i="8"/>
  <c r="M889" i="8"/>
  <c r="M873" i="8"/>
  <c r="M857" i="8"/>
  <c r="M841" i="8"/>
  <c r="M825" i="8"/>
  <c r="M809" i="8"/>
  <c r="M793" i="8"/>
  <c r="M777" i="8"/>
  <c r="M761" i="8"/>
  <c r="M745" i="8"/>
  <c r="M729" i="8"/>
  <c r="M912" i="8"/>
  <c r="M896" i="8"/>
  <c r="M880" i="8"/>
  <c r="M864" i="8"/>
  <c r="M848" i="8"/>
  <c r="M832" i="8"/>
  <c r="M816" i="8"/>
  <c r="M800" i="8"/>
  <c r="M784" i="8"/>
  <c r="M768" i="8"/>
  <c r="M752" i="8"/>
  <c r="M919" i="8"/>
  <c r="M903" i="8"/>
  <c r="M887" i="8"/>
  <c r="M871" i="8"/>
  <c r="M855" i="8"/>
  <c r="M839" i="8"/>
  <c r="M823" i="8"/>
  <c r="M807" i="8"/>
  <c r="M791" i="8"/>
  <c r="M775" i="8"/>
  <c r="M759" i="8"/>
  <c r="M743" i="8"/>
  <c r="M727" i="8"/>
  <c r="M910" i="8"/>
  <c r="M894" i="8"/>
  <c r="M878" i="8"/>
  <c r="M862" i="8"/>
  <c r="M846" i="8"/>
  <c r="M830" i="8"/>
  <c r="M814" i="8"/>
  <c r="M798" i="8"/>
  <c r="M782" i="8"/>
  <c r="M766" i="8"/>
  <c r="M750" i="8"/>
  <c r="M734" i="8"/>
  <c r="M718" i="8"/>
  <c r="M917" i="8"/>
  <c r="M901" i="8"/>
  <c r="M885" i="8"/>
  <c r="M869" i="8"/>
  <c r="M853" i="8"/>
  <c r="M837" i="8"/>
  <c r="M821" i="8"/>
  <c r="M805" i="8"/>
  <c r="M789" i="8"/>
  <c r="M908" i="8"/>
  <c r="M892" i="8"/>
  <c r="M876" i="8"/>
  <c r="M860" i="8"/>
  <c r="M844" i="8"/>
  <c r="M828" i="8"/>
  <c r="M812" i="8"/>
  <c r="M796" i="8"/>
  <c r="M780" i="8"/>
  <c r="M764" i="8"/>
  <c r="M748" i="8"/>
  <c r="M915" i="8"/>
  <c r="M899" i="8"/>
  <c r="M883" i="8"/>
  <c r="M867" i="8"/>
  <c r="M851" i="8"/>
  <c r="M835" i="8"/>
  <c r="M819" i="8"/>
  <c r="M803" i="8"/>
  <c r="M787" i="8"/>
  <c r="M771" i="8"/>
  <c r="M755" i="8"/>
  <c r="M739" i="8"/>
  <c r="M723" i="8"/>
  <c r="M900" i="8"/>
  <c r="M895" i="8"/>
  <c r="M872" i="8"/>
  <c r="M865" i="8"/>
  <c r="M850" i="8"/>
  <c r="M902" i="8"/>
  <c r="M875" i="8"/>
  <c r="M842" i="8"/>
  <c r="M922" i="8"/>
  <c r="M852" i="8"/>
  <c r="M847" i="8"/>
  <c r="M877" i="8"/>
  <c r="M904" i="8"/>
  <c r="M897" i="8"/>
  <c r="M786" i="8"/>
  <c r="M754" i="8"/>
  <c r="M907" i="8"/>
  <c r="M882" i="8"/>
  <c r="M874" i="8"/>
  <c r="M884" i="8"/>
  <c r="M879" i="8"/>
  <c r="M909" i="8"/>
  <c r="M886" i="8"/>
  <c r="M859" i="8"/>
  <c r="M826" i="8"/>
  <c r="M788" i="8"/>
  <c r="M756" i="8"/>
  <c r="M751" i="8"/>
  <c r="M735" i="8"/>
  <c r="M722" i="8"/>
  <c r="M707" i="8"/>
  <c r="M691" i="8"/>
  <c r="M675" i="8"/>
  <c r="M658" i="8"/>
  <c r="M642" i="8"/>
  <c r="M626" i="8"/>
  <c r="M610" i="8"/>
  <c r="M836" i="8"/>
  <c r="M831" i="8"/>
  <c r="M811" i="8"/>
  <c r="M808" i="8"/>
  <c r="M758" i="8"/>
  <c r="M737" i="8"/>
  <c r="M714" i="8"/>
  <c r="M698" i="8"/>
  <c r="M682" i="8"/>
  <c r="M666" i="8"/>
  <c r="M649" i="8"/>
  <c r="M633" i="8"/>
  <c r="M617" i="8"/>
  <c r="M838" i="8"/>
  <c r="M829" i="8"/>
  <c r="M817" i="8"/>
  <c r="M762" i="8"/>
  <c r="M746" i="8"/>
  <c r="M741" i="8"/>
  <c r="M720" i="8"/>
  <c r="M688" i="8"/>
  <c r="M686" i="8"/>
  <c r="M684" i="8"/>
  <c r="M680" i="8"/>
  <c r="M678" i="8"/>
  <c r="M676" i="8"/>
  <c r="M674" i="8"/>
  <c r="M596" i="8"/>
  <c r="M918" i="8"/>
  <c r="M911" i="8"/>
  <c r="M891" i="8"/>
  <c r="M820" i="8"/>
  <c r="M783" i="8"/>
  <c r="M767" i="8"/>
  <c r="M630" i="8"/>
  <c r="M628" i="8"/>
  <c r="M624" i="8"/>
  <c r="M622" i="8"/>
  <c r="M620" i="8"/>
  <c r="M618" i="8"/>
  <c r="M603" i="8"/>
  <c r="M587" i="8"/>
  <c r="M571" i="8"/>
  <c r="M881" i="8"/>
  <c r="M863" i="8"/>
  <c r="M856" i="8"/>
  <c r="M797" i="8"/>
  <c r="M672" i="8"/>
  <c r="M670" i="8"/>
  <c r="M668" i="8"/>
  <c r="M661" i="8"/>
  <c r="M659" i="8"/>
  <c r="M657" i="8"/>
  <c r="M616" i="8"/>
  <c r="M594" i="8"/>
  <c r="M578" i="8"/>
  <c r="M562" i="8"/>
  <c r="M898" i="8"/>
  <c r="M870" i="8"/>
  <c r="M840" i="8"/>
  <c r="M794" i="8"/>
  <c r="M772" i="8"/>
  <c r="M717" i="8"/>
  <c r="M715" i="8"/>
  <c r="M601" i="8"/>
  <c r="M585" i="8"/>
  <c r="M822" i="8"/>
  <c r="M769" i="8"/>
  <c r="M753" i="8"/>
  <c r="M736" i="8"/>
  <c r="M719" i="8"/>
  <c r="M713" i="8"/>
  <c r="M655" i="8"/>
  <c r="M653" i="8"/>
  <c r="M651" i="8"/>
  <c r="M614" i="8"/>
  <c r="M612" i="8"/>
  <c r="M608" i="8"/>
  <c r="M592" i="8"/>
  <c r="M890" i="8"/>
  <c r="M799" i="8"/>
  <c r="M785" i="8"/>
  <c r="M738" i="8"/>
  <c r="M731" i="8"/>
  <c r="M726" i="8"/>
  <c r="M724" i="8"/>
  <c r="M711" i="8"/>
  <c r="M709" i="8"/>
  <c r="M705" i="8"/>
  <c r="M703" i="8"/>
  <c r="M701" i="8"/>
  <c r="M699" i="8"/>
  <c r="M647" i="8"/>
  <c r="M645" i="8"/>
  <c r="M643" i="8"/>
  <c r="M641" i="8"/>
  <c r="M599" i="8"/>
  <c r="M583" i="8"/>
  <c r="M567" i="8"/>
  <c r="M920" i="8"/>
  <c r="M914" i="8"/>
  <c r="M833" i="8"/>
  <c r="M815" i="8"/>
  <c r="M806" i="8"/>
  <c r="M781" i="8"/>
  <c r="M694" i="8"/>
  <c r="M681" i="8"/>
  <c r="M667" i="8"/>
  <c r="M639" i="8"/>
  <c r="M632" i="8"/>
  <c r="M621" i="8"/>
  <c r="M611" i="8"/>
  <c r="M604" i="8"/>
  <c r="M597" i="8"/>
  <c r="M546" i="8"/>
  <c r="M530" i="8"/>
  <c r="M514" i="8"/>
  <c r="M498" i="8"/>
  <c r="M482" i="8"/>
  <c r="M843" i="8"/>
  <c r="M790" i="8"/>
  <c r="M689" i="8"/>
  <c r="M644" i="8"/>
  <c r="M570" i="8"/>
  <c r="M566" i="8"/>
  <c r="M564" i="8"/>
  <c r="M553" i="8"/>
  <c r="M537" i="8"/>
  <c r="M521" i="8"/>
  <c r="M505" i="8"/>
  <c r="M489" i="8"/>
  <c r="M473" i="8"/>
  <c r="M868" i="8"/>
  <c r="M732" i="8"/>
  <c r="M706" i="8"/>
  <c r="M634" i="8"/>
  <c r="M629" i="8"/>
  <c r="M613" i="8"/>
  <c r="M572" i="8"/>
  <c r="M568" i="8"/>
  <c r="M560" i="8"/>
  <c r="M544" i="8"/>
  <c r="M528" i="8"/>
  <c r="M512" i="8"/>
  <c r="M496" i="8"/>
  <c r="M480" i="8"/>
  <c r="M818" i="8"/>
  <c r="M716" i="8"/>
  <c r="M704" i="8"/>
  <c r="M696" i="8"/>
  <c r="M574" i="8"/>
  <c r="M551" i="8"/>
  <c r="M535" i="8"/>
  <c r="M519" i="8"/>
  <c r="M503" i="8"/>
  <c r="M913" i="8"/>
  <c r="M824" i="8"/>
  <c r="M792" i="8"/>
  <c r="M776" i="8"/>
  <c r="M770" i="8"/>
  <c r="M760" i="8"/>
  <c r="M669" i="8"/>
  <c r="M648" i="8"/>
  <c r="M615" i="8"/>
  <c r="M606" i="8"/>
  <c r="M576" i="8"/>
  <c r="M558" i="8"/>
  <c r="M542" i="8"/>
  <c r="M526" i="8"/>
  <c r="M510" i="8"/>
  <c r="M631" i="8"/>
  <c r="M609" i="8"/>
  <c r="M586" i="8"/>
  <c r="M549" i="8"/>
  <c r="M533" i="8"/>
  <c r="M517" i="8"/>
  <c r="M804" i="8"/>
  <c r="M712" i="8"/>
  <c r="M636" i="8"/>
  <c r="M598" i="8"/>
  <c r="M573" i="8"/>
  <c r="M565" i="8"/>
  <c r="M490" i="8"/>
  <c r="M488" i="8"/>
  <c r="M474" i="8"/>
  <c r="M465" i="8"/>
  <c r="M449" i="8"/>
  <c r="M433" i="8"/>
  <c r="M810" i="8"/>
  <c r="M757" i="8"/>
  <c r="M747" i="8"/>
  <c r="M721" i="8"/>
  <c r="M700" i="8"/>
  <c r="M662" i="8"/>
  <c r="M589" i="8"/>
  <c r="M580" i="8"/>
  <c r="M492" i="8"/>
  <c r="M484" i="8"/>
  <c r="M472" i="8"/>
  <c r="M456" i="8"/>
  <c r="M440" i="8"/>
  <c r="M424" i="8"/>
  <c r="M408" i="8"/>
  <c r="M392" i="8"/>
  <c r="M376" i="8"/>
  <c r="M359" i="8"/>
  <c r="M343" i="8"/>
  <c r="M893" i="8"/>
  <c r="M813" i="8"/>
  <c r="M774" i="8"/>
  <c r="M656" i="8"/>
  <c r="M627" i="8"/>
  <c r="M494" i="8"/>
  <c r="M486" i="8"/>
  <c r="M778" i="8"/>
  <c r="M728" i="8"/>
  <c r="M693" i="8"/>
  <c r="M690" i="8"/>
  <c r="M687" i="8"/>
  <c r="M671" i="8"/>
  <c r="M650" i="8"/>
  <c r="M575" i="8"/>
  <c r="M470" i="8"/>
  <c r="M454" i="8"/>
  <c r="M438" i="8"/>
  <c r="M888" i="8"/>
  <c r="M677" i="8"/>
  <c r="M665" i="8"/>
  <c r="M623" i="8"/>
  <c r="M588" i="8"/>
  <c r="M577" i="8"/>
  <c r="M461" i="8"/>
  <c r="M445" i="8"/>
  <c r="M429" i="8"/>
  <c r="M413" i="8"/>
  <c r="M397" i="8"/>
  <c r="M742" i="8"/>
  <c r="M708" i="8"/>
  <c r="M638" i="8"/>
  <c r="M619" i="8"/>
  <c r="M600" i="8"/>
  <c r="M582" i="8"/>
  <c r="M468" i="8"/>
  <c r="M452" i="8"/>
  <c r="M436" i="8"/>
  <c r="M420" i="8"/>
  <c r="M404" i="8"/>
  <c r="M388" i="8"/>
  <c r="M849" i="8"/>
  <c r="M702" i="8"/>
  <c r="M540" i="8"/>
  <c r="M527" i="8"/>
  <c r="M518" i="8"/>
  <c r="M508" i="8"/>
  <c r="M464" i="8"/>
  <c r="M455" i="8"/>
  <c r="M444" i="8"/>
  <c r="M412" i="8"/>
  <c r="M374" i="8"/>
  <c r="M358" i="8"/>
  <c r="M345" i="8"/>
  <c r="M323" i="8"/>
  <c r="M307" i="8"/>
  <c r="M291" i="8"/>
  <c r="M275" i="8"/>
  <c r="M259" i="8"/>
  <c r="M744" i="8"/>
  <c r="M740" i="8"/>
  <c r="M524" i="8"/>
  <c r="M511" i="8"/>
  <c r="M502" i="8"/>
  <c r="M491" i="8"/>
  <c r="M442" i="8"/>
  <c r="M416" i="8"/>
  <c r="M414" i="8"/>
  <c r="M410" i="8"/>
  <c r="M372" i="8"/>
  <c r="M330" i="8"/>
  <c r="M314" i="8"/>
  <c r="M298" i="8"/>
  <c r="M282" i="8"/>
  <c r="M266" i="8"/>
  <c r="M697" i="8"/>
  <c r="M607" i="8"/>
  <c r="M591" i="8"/>
  <c r="M552" i="8"/>
  <c r="M499" i="8"/>
  <c r="M485" i="8"/>
  <c r="M457" i="8"/>
  <c r="M446" i="8"/>
  <c r="M437" i="8"/>
  <c r="M435" i="8"/>
  <c r="M418" i="8"/>
  <c r="M370" i="8"/>
  <c r="M356" i="8"/>
  <c r="M341" i="8"/>
  <c r="M321" i="8"/>
  <c r="M305" i="8"/>
  <c r="M289" i="8"/>
  <c r="M273" i="8"/>
  <c r="M257" i="8"/>
  <c r="M241" i="8"/>
  <c r="M225" i="8"/>
  <c r="M209" i="8"/>
  <c r="M193" i="8"/>
  <c r="M177" i="8"/>
  <c r="M161" i="8"/>
  <c r="M145" i="8"/>
  <c r="M129" i="8"/>
  <c r="M113" i="8"/>
  <c r="M854" i="8"/>
  <c r="M802" i="8"/>
  <c r="M795" i="8"/>
  <c r="M779" i="8"/>
  <c r="M673" i="8"/>
  <c r="M561" i="8"/>
  <c r="M536" i="8"/>
  <c r="M475" i="8"/>
  <c r="M466" i="8"/>
  <c r="M448" i="8"/>
  <c r="M439" i="8"/>
  <c r="M422" i="8"/>
  <c r="M393" i="8"/>
  <c r="M391" i="8"/>
  <c r="M368" i="8"/>
  <c r="M354" i="8"/>
  <c r="M339" i="8"/>
  <c r="M328" i="8"/>
  <c r="M312" i="8"/>
  <c r="M296" i="8"/>
  <c r="M280" i="8"/>
  <c r="M264" i="8"/>
  <c r="M248" i="8"/>
  <c r="M232" i="8"/>
  <c r="M866" i="8"/>
  <c r="M845" i="8"/>
  <c r="M725" i="8"/>
  <c r="M646" i="8"/>
  <c r="M635" i="8"/>
  <c r="M545" i="8"/>
  <c r="M520" i="8"/>
  <c r="M478" i="8"/>
  <c r="M428" i="8"/>
  <c r="M395" i="8"/>
  <c r="M389" i="8"/>
  <c r="M387" i="8"/>
  <c r="M352" i="8"/>
  <c r="M337" i="8"/>
  <c r="M319" i="8"/>
  <c r="M303" i="8"/>
  <c r="M287" i="8"/>
  <c r="M271" i="8"/>
  <c r="M255" i="8"/>
  <c r="M555" i="8"/>
  <c r="M529" i="8"/>
  <c r="M459" i="8"/>
  <c r="M441" i="8"/>
  <c r="M430" i="8"/>
  <c r="M426" i="8"/>
  <c r="M385" i="8"/>
  <c r="M383" i="8"/>
  <c r="M381" i="8"/>
  <c r="M379" i="8"/>
  <c r="M366" i="8"/>
  <c r="M350" i="8"/>
  <c r="M335" i="8"/>
  <c r="M326" i="8"/>
  <c r="M310" i="8"/>
  <c r="M294" i="8"/>
  <c r="M916" i="8"/>
  <c r="M861" i="8"/>
  <c r="M683" i="8"/>
  <c r="M652" i="8"/>
  <c r="M602" i="8"/>
  <c r="M593" i="8"/>
  <c r="M548" i="8"/>
  <c r="M539" i="8"/>
  <c r="M513" i="8"/>
  <c r="M504" i="8"/>
  <c r="M450" i="8"/>
  <c r="M432" i="8"/>
  <c r="M407" i="8"/>
  <c r="M405" i="8"/>
  <c r="M403" i="8"/>
  <c r="M399" i="8"/>
  <c r="M377" i="8"/>
  <c r="M364" i="8"/>
  <c r="M348" i="8"/>
  <c r="M317" i="8"/>
  <c r="M301" i="8"/>
  <c r="M285" i="8"/>
  <c r="M269" i="8"/>
  <c r="M253" i="8"/>
  <c r="M237" i="8"/>
  <c r="M221" i="8"/>
  <c r="M205" i="8"/>
  <c r="M189" i="8"/>
  <c r="M173" i="8"/>
  <c r="M157" i="8"/>
  <c r="M141" i="8"/>
  <c r="M125" i="8"/>
  <c r="M679" i="8"/>
  <c r="M554" i="8"/>
  <c r="M493" i="8"/>
  <c r="M467" i="8"/>
  <c r="M304" i="8"/>
  <c r="M297" i="8"/>
  <c r="M605" i="8"/>
  <c r="M531" i="8"/>
  <c r="M516" i="8"/>
  <c r="M417" i="8"/>
  <c r="M390" i="8"/>
  <c r="M378" i="8"/>
  <c r="M365" i="8"/>
  <c r="M357" i="8"/>
  <c r="M342" i="8"/>
  <c r="M309" i="8"/>
  <c r="M283" i="8"/>
  <c r="M276" i="8"/>
  <c r="M240" i="8"/>
  <c r="M236" i="8"/>
  <c r="M222" i="8"/>
  <c r="M220" i="8"/>
  <c r="M163" i="8"/>
  <c r="M590" i="8"/>
  <c r="M550" i="8"/>
  <c r="M425" i="8"/>
  <c r="M316" i="8"/>
  <c r="M311" i="8"/>
  <c r="M242" i="8"/>
  <c r="M238" i="8"/>
  <c r="M234" i="8"/>
  <c r="M218" i="8"/>
  <c r="M216" i="8"/>
  <c r="M214" i="8"/>
  <c r="M212" i="8"/>
  <c r="M210" i="8"/>
  <c r="M208" i="8"/>
  <c r="M834" i="8"/>
  <c r="M733" i="8"/>
  <c r="M685" i="8"/>
  <c r="M557" i="8"/>
  <c r="M483" i="8"/>
  <c r="M447" i="8"/>
  <c r="M400" i="8"/>
  <c r="M380" i="8"/>
  <c r="M367" i="8"/>
  <c r="M347" i="8"/>
  <c r="M318" i="8"/>
  <c r="M306" i="8"/>
  <c r="M244" i="8"/>
  <c r="M206" i="8"/>
  <c r="M204" i="8"/>
  <c r="M147" i="8"/>
  <c r="M143" i="8"/>
  <c r="M139" i="8"/>
  <c r="M137" i="8"/>
  <c r="M495" i="8"/>
  <c r="M469" i="8"/>
  <c r="M458" i="8"/>
  <c r="M375" i="8"/>
  <c r="M320" i="8"/>
  <c r="M313" i="8"/>
  <c r="M299" i="8"/>
  <c r="M292" i="8"/>
  <c r="M262" i="8"/>
  <c r="M625" i="8"/>
  <c r="M538" i="8"/>
  <c r="M515" i="8"/>
  <c r="M501" i="8"/>
  <c r="M559" i="8"/>
  <c r="M523" i="8"/>
  <c r="M479" i="8"/>
  <c r="M419" i="8"/>
  <c r="M361" i="8"/>
  <c r="M353" i="8"/>
  <c r="M322" i="8"/>
  <c r="M295" i="8"/>
  <c r="M267" i="8"/>
  <c r="M256" i="8"/>
  <c r="M251" i="8"/>
  <c r="M183" i="8"/>
  <c r="M176" i="8"/>
  <c r="M165" i="8"/>
  <c r="M152" i="8"/>
  <c r="M110" i="8"/>
  <c r="M94" i="8"/>
  <c r="M78" i="8"/>
  <c r="M61" i="8"/>
  <c r="M45" i="8"/>
  <c r="M28" i="8"/>
  <c r="M12" i="8"/>
  <c r="M182" i="8"/>
  <c r="M164" i="8"/>
  <c r="M749" i="8"/>
  <c r="M229" i="8"/>
  <c r="M637" i="8"/>
  <c r="M581" i="8"/>
  <c r="M476" i="8"/>
  <c r="M415" i="8"/>
  <c r="M336" i="8"/>
  <c r="M333" i="8"/>
  <c r="M327" i="8"/>
  <c r="M274" i="8"/>
  <c r="M185" i="8"/>
  <c r="M156" i="8"/>
  <c r="M154" i="8"/>
  <c r="M101" i="8"/>
  <c r="M85" i="8"/>
  <c r="M69" i="8"/>
  <c r="M52" i="8"/>
  <c r="M36" i="8"/>
  <c r="M19" i="8"/>
  <c r="M31" i="8"/>
  <c r="M39" i="8"/>
  <c r="M22" i="8"/>
  <c r="M261" i="8"/>
  <c r="M219" i="8"/>
  <c r="M506" i="8"/>
  <c r="M460" i="8"/>
  <c r="M402" i="8"/>
  <c r="M382" i="8"/>
  <c r="M243" i="8"/>
  <c r="M215" i="8"/>
  <c r="M178" i="8"/>
  <c r="M167" i="8"/>
  <c r="M160" i="8"/>
  <c r="M158" i="8"/>
  <c r="M135" i="8"/>
  <c r="M133" i="8"/>
  <c r="M108" i="8"/>
  <c r="M92" i="8"/>
  <c r="M76" i="8"/>
  <c r="M59" i="8"/>
  <c r="M43" i="8"/>
  <c r="M26" i="8"/>
  <c r="M41" i="8"/>
  <c r="M24" i="8"/>
  <c r="M281" i="8"/>
  <c r="M765" i="8"/>
  <c r="M541" i="8"/>
  <c r="M302" i="8"/>
  <c r="M763" i="8"/>
  <c r="M640" i="8"/>
  <c r="M481" i="8"/>
  <c r="M396" i="8"/>
  <c r="M355" i="8"/>
  <c r="M258" i="8"/>
  <c r="M235" i="8"/>
  <c r="M230" i="8"/>
  <c r="M191" i="8"/>
  <c r="M187" i="8"/>
  <c r="M169" i="8"/>
  <c r="M131" i="8"/>
  <c r="M127" i="8"/>
  <c r="M123" i="8"/>
  <c r="M121" i="8"/>
  <c r="M99" i="8"/>
  <c r="M83" i="8"/>
  <c r="M67" i="8"/>
  <c r="M50" i="8"/>
  <c r="M33" i="8"/>
  <c r="M17" i="8"/>
  <c r="M369" i="8"/>
  <c r="M329" i="8"/>
  <c r="M710" i="8"/>
  <c r="M534" i="8"/>
  <c r="M522" i="8"/>
  <c r="M463" i="8"/>
  <c r="M451" i="8"/>
  <c r="M411" i="8"/>
  <c r="M344" i="8"/>
  <c r="M300" i="8"/>
  <c r="M227" i="8"/>
  <c r="M217" i="8"/>
  <c r="M180" i="8"/>
  <c r="M162" i="8"/>
  <c r="M119" i="8"/>
  <c r="M117" i="8"/>
  <c r="M106" i="8"/>
  <c r="M90" i="8"/>
  <c r="M74" i="8"/>
  <c r="M57" i="8"/>
  <c r="M373" i="8"/>
  <c r="M346" i="8"/>
  <c r="M88" i="8"/>
  <c r="M224" i="8"/>
  <c r="M773" i="8"/>
  <c r="M487" i="8"/>
  <c r="M427" i="8"/>
  <c r="M421" i="8"/>
  <c r="M338" i="8"/>
  <c r="M332" i="8"/>
  <c r="M308" i="8"/>
  <c r="M279" i="8"/>
  <c r="M277" i="8"/>
  <c r="M250" i="8"/>
  <c r="M247" i="8"/>
  <c r="M245" i="8"/>
  <c r="M197" i="8"/>
  <c r="M195" i="8"/>
  <c r="M171" i="8"/>
  <c r="M115" i="8"/>
  <c r="M97" i="8"/>
  <c r="M81" i="8"/>
  <c r="M65" i="8"/>
  <c r="M48" i="8"/>
  <c r="M15" i="8"/>
  <c r="M349" i="8"/>
  <c r="M324" i="8"/>
  <c r="M199" i="8"/>
  <c r="M104" i="8"/>
  <c r="M72" i="8"/>
  <c r="M55" i="8"/>
  <c r="M569" i="8"/>
  <c r="M660" i="8"/>
  <c r="M584" i="8"/>
  <c r="M525" i="8"/>
  <c r="M509" i="8"/>
  <c r="M201" i="8"/>
  <c r="M284" i="8"/>
  <c r="Q87" i="8"/>
  <c r="R110" i="8"/>
  <c r="M196" i="8"/>
  <c r="M202" i="8"/>
  <c r="M223" i="8"/>
  <c r="S260" i="8"/>
  <c r="R260" i="8"/>
  <c r="Q260" i="8"/>
  <c r="Q293" i="8"/>
  <c r="M434" i="8"/>
  <c r="S531" i="8"/>
  <c r="R531" i="8"/>
  <c r="Q531" i="8"/>
  <c r="S40" i="8"/>
  <c r="M27" i="8"/>
  <c r="Q58" i="8"/>
  <c r="Q150" i="8"/>
  <c r="S234" i="8"/>
  <c r="R234" i="8"/>
  <c r="Q412" i="8"/>
  <c r="R38" i="8"/>
  <c r="Q144" i="8"/>
  <c r="R186" i="8"/>
  <c r="S186" i="8"/>
  <c r="S309" i="8"/>
  <c r="M409" i="8"/>
  <c r="S595" i="8"/>
  <c r="R595" i="8"/>
  <c r="Q595" i="8"/>
  <c r="R75" i="8"/>
  <c r="S75" i="8"/>
  <c r="M111" i="8"/>
  <c r="Q291" i="8"/>
  <c r="S497" i="8"/>
  <c r="R497" i="8"/>
  <c r="Q497" i="8"/>
  <c r="S815" i="8"/>
  <c r="R815" i="8"/>
  <c r="Q815" i="8"/>
  <c r="Q32" i="8"/>
  <c r="Q142" i="8"/>
  <c r="S165" i="8"/>
  <c r="M44" i="8"/>
  <c r="R54" i="8"/>
  <c r="M68" i="8"/>
  <c r="M116" i="8"/>
  <c r="Q134" i="8"/>
  <c r="Q157" i="8"/>
  <c r="S157" i="8"/>
  <c r="R157" i="8"/>
  <c r="M184" i="8"/>
  <c r="M203" i="8"/>
  <c r="S304" i="8"/>
  <c r="R304" i="8"/>
  <c r="Q304" i="8"/>
  <c r="S342" i="8"/>
  <c r="R342" i="8"/>
  <c r="Q342" i="8"/>
  <c r="M423" i="8"/>
  <c r="S462" i="8"/>
  <c r="Q462" i="8"/>
  <c r="R462" i="8"/>
  <c r="S559" i="8"/>
  <c r="R559" i="8"/>
  <c r="Q559" i="8"/>
  <c r="S449" i="8"/>
  <c r="R449" i="8"/>
  <c r="S734" i="8"/>
  <c r="R734" i="8"/>
  <c r="Q734" i="8"/>
  <c r="S353" i="8"/>
  <c r="R353" i="8"/>
  <c r="S417" i="8"/>
  <c r="R417" i="8"/>
  <c r="R161" i="8"/>
  <c r="S226" i="8"/>
  <c r="R226" i="8"/>
  <c r="Q417" i="8"/>
  <c r="M30" i="8"/>
  <c r="M32" i="8"/>
  <c r="Q61" i="8"/>
  <c r="M254" i="8"/>
  <c r="S371" i="8"/>
  <c r="R371" i="8"/>
  <c r="Q371" i="8"/>
  <c r="Q105" i="8"/>
  <c r="M128" i="8"/>
  <c r="R216" i="8"/>
  <c r="M406" i="8"/>
  <c r="Q82" i="8"/>
  <c r="R105" i="8"/>
  <c r="R150" i="8"/>
  <c r="M73" i="8"/>
  <c r="M96" i="8"/>
  <c r="Q234" i="8"/>
  <c r="S365" i="8"/>
  <c r="M288" i="8"/>
  <c r="M331" i="8"/>
  <c r="M13" i="8"/>
  <c r="S36" i="8"/>
  <c r="R140" i="8"/>
  <c r="S140" i="8"/>
  <c r="S154" i="8"/>
  <c r="M21" i="8"/>
  <c r="Q25" i="8"/>
  <c r="R28" i="8"/>
  <c r="S44" i="8"/>
  <c r="R44" i="8"/>
  <c r="Q44" i="8"/>
  <c r="R73" i="8"/>
  <c r="M86" i="8"/>
  <c r="M89" i="8"/>
  <c r="R91" i="8"/>
  <c r="S91" i="8"/>
  <c r="R96" i="8"/>
  <c r="R98" i="8"/>
  <c r="Q101" i="8"/>
  <c r="M109" i="8"/>
  <c r="M114" i="8"/>
  <c r="S118" i="8"/>
  <c r="M124" i="8"/>
  <c r="Q126" i="8"/>
  <c r="M146" i="8"/>
  <c r="S148" i="8"/>
  <c r="Q163" i="8"/>
  <c r="M172" i="8"/>
  <c r="M175" i="8"/>
  <c r="M192" i="8"/>
  <c r="Q218" i="8"/>
  <c r="Q228" i="8"/>
  <c r="S231" i="8"/>
  <c r="R231" i="8"/>
  <c r="Q231" i="8"/>
  <c r="M252" i="8"/>
  <c r="M270" i="8"/>
  <c r="R275" i="8"/>
  <c r="S322" i="8"/>
  <c r="R322" i="8"/>
  <c r="Q322" i="8"/>
  <c r="S415" i="8"/>
  <c r="R415" i="8"/>
  <c r="Q415" i="8"/>
  <c r="Q84" i="8"/>
  <c r="S84" i="8"/>
  <c r="R84" i="8"/>
  <c r="M53" i="8"/>
  <c r="R130" i="8"/>
  <c r="S130" i="8"/>
  <c r="M136" i="8"/>
  <c r="M153" i="8"/>
  <c r="S290" i="8"/>
  <c r="R290" i="8"/>
  <c r="Q290" i="8"/>
  <c r="R16" i="8"/>
  <c r="R112" i="8"/>
  <c r="Q130" i="8"/>
  <c r="R176" i="8"/>
  <c r="S176" i="8"/>
  <c r="M186" i="8"/>
  <c r="S388" i="8"/>
  <c r="R19" i="8"/>
  <c r="M75" i="8"/>
  <c r="S61" i="8"/>
  <c r="R168" i="8"/>
  <c r="S168" i="8"/>
  <c r="Q168" i="8"/>
  <c r="S179" i="8"/>
  <c r="M51" i="8"/>
  <c r="M70" i="8"/>
  <c r="Q120" i="8"/>
  <c r="S150" i="8"/>
  <c r="Q30" i="8"/>
  <c r="S80" i="8"/>
  <c r="R120" i="8"/>
  <c r="M18" i="8"/>
  <c r="M42" i="8"/>
  <c r="Q49" i="8"/>
  <c r="M64" i="8"/>
  <c r="M66" i="8"/>
  <c r="Q68" i="8"/>
  <c r="S68" i="8"/>
  <c r="R68" i="8"/>
  <c r="M79" i="8"/>
  <c r="M132" i="8"/>
  <c r="M138" i="8"/>
  <c r="Q140" i="8"/>
  <c r="M155" i="8"/>
  <c r="M190" i="8"/>
  <c r="Q211" i="8"/>
  <c r="S228" i="8"/>
  <c r="M239" i="8"/>
  <c r="Q241" i="8"/>
  <c r="Q272" i="8"/>
  <c r="M286" i="8"/>
  <c r="M362" i="8"/>
  <c r="S423" i="8"/>
  <c r="R423" i="8"/>
  <c r="Q423" i="8"/>
  <c r="S455" i="8"/>
  <c r="R455" i="8"/>
  <c r="M507" i="8"/>
  <c r="S511" i="8"/>
  <c r="R511" i="8"/>
  <c r="Q511" i="8"/>
  <c r="M543" i="8"/>
  <c r="S394" i="8"/>
  <c r="R394" i="8"/>
  <c r="Q40" i="8"/>
  <c r="Q161" i="8"/>
  <c r="Q449" i="8"/>
  <c r="S170" i="8"/>
  <c r="Q19" i="8"/>
  <c r="S77" i="8"/>
  <c r="R77" i="8"/>
  <c r="Q77" i="8"/>
  <c r="R122" i="8"/>
  <c r="M142" i="8"/>
  <c r="Q226" i="8"/>
  <c r="S256" i="8"/>
  <c r="M360" i="8"/>
  <c r="M278" i="8"/>
  <c r="R309" i="8"/>
  <c r="Q365" i="8"/>
  <c r="S679" i="8"/>
  <c r="R679" i="8"/>
  <c r="Q679" i="8"/>
  <c r="M827" i="8"/>
  <c r="Q27" i="8"/>
  <c r="R27" i="8"/>
  <c r="S27" i="8"/>
  <c r="Q85" i="8"/>
  <c r="R128" i="8"/>
  <c r="S128" i="8"/>
  <c r="Q128" i="8"/>
  <c r="S144" i="8"/>
  <c r="M194" i="8"/>
  <c r="S465" i="8"/>
  <c r="R465" i="8"/>
  <c r="Q465" i="8"/>
  <c r="S12" i="8"/>
  <c r="M37" i="8"/>
  <c r="M40" i="8"/>
  <c r="M60" i="8"/>
  <c r="S109" i="8"/>
  <c r="R109" i="8"/>
  <c r="Q109" i="8"/>
  <c r="R124" i="8"/>
  <c r="S124" i="8"/>
  <c r="M149" i="8"/>
  <c r="M170" i="8"/>
  <c r="S172" i="8"/>
  <c r="Q172" i="8"/>
  <c r="R192" i="8"/>
  <c r="S192" i="8"/>
  <c r="S225" i="8"/>
  <c r="R225" i="8"/>
  <c r="S248" i="8"/>
  <c r="R248" i="8"/>
  <c r="Q248" i="8"/>
  <c r="S259" i="8"/>
  <c r="R259" i="8"/>
  <c r="S272" i="8"/>
  <c r="M401" i="8"/>
  <c r="M477" i="8"/>
  <c r="M556" i="8"/>
  <c r="M654" i="8"/>
  <c r="Q209" i="8"/>
  <c r="S209" i="8"/>
  <c r="R209" i="8"/>
  <c r="R11" i="8"/>
  <c r="S11" i="8"/>
  <c r="Q170" i="8"/>
  <c r="Q233" i="8"/>
  <c r="S233" i="8"/>
  <c r="R233" i="8"/>
  <c r="Q16" i="8"/>
  <c r="Q122" i="8"/>
  <c r="M213" i="8"/>
  <c r="Q353" i="8"/>
  <c r="R388" i="8"/>
  <c r="Q38" i="8"/>
  <c r="M46" i="8"/>
  <c r="S488" i="8"/>
  <c r="R488" i="8"/>
  <c r="Q488" i="8"/>
  <c r="M334" i="8"/>
  <c r="S440" i="8"/>
  <c r="R440" i="8"/>
  <c r="Q440" i="8"/>
  <c r="R82" i="8"/>
  <c r="M93" i="8"/>
  <c r="R156" i="8"/>
  <c r="Q186" i="8"/>
  <c r="Q213" i="8"/>
  <c r="Q274" i="8"/>
  <c r="S489" i="8"/>
  <c r="R489" i="8"/>
  <c r="Q489" i="8"/>
  <c r="M858" i="8"/>
  <c r="M25" i="8"/>
  <c r="M14" i="8"/>
  <c r="M16" i="8"/>
  <c r="S18" i="8"/>
  <c r="R18" i="8"/>
  <c r="Q18" i="8"/>
  <c r="S42" i="8"/>
  <c r="R42" i="8"/>
  <c r="M87" i="8"/>
  <c r="M107" i="8"/>
  <c r="M112" i="8"/>
  <c r="M122" i="8"/>
  <c r="R132" i="8"/>
  <c r="S132" i="8"/>
  <c r="Q132" i="8"/>
  <c r="S138" i="8"/>
  <c r="R138" i="8"/>
  <c r="M188" i="8"/>
  <c r="M198" i="8"/>
  <c r="Q221" i="8"/>
  <c r="S221" i="8"/>
  <c r="R221" i="8"/>
  <c r="M263" i="8"/>
  <c r="Q286" i="8"/>
  <c r="S286" i="8"/>
  <c r="R286" i="8"/>
  <c r="M293" i="8"/>
  <c r="S336" i="8"/>
  <c r="R336" i="8"/>
  <c r="M394" i="8"/>
  <c r="R416" i="8"/>
  <c r="Q416" i="8"/>
  <c r="S416" i="8"/>
  <c r="Q445" i="8"/>
  <c r="S445" i="8"/>
  <c r="R445" i="8"/>
  <c r="M500" i="8"/>
  <c r="S543" i="8"/>
  <c r="R543" i="8"/>
  <c r="Q543" i="8"/>
  <c r="M547" i="8"/>
  <c r="S265" i="8"/>
  <c r="Q265" i="8"/>
  <c r="S410" i="8"/>
  <c r="R410" i="8"/>
  <c r="Q410" i="8"/>
  <c r="Q654" i="8"/>
  <c r="R184" i="8"/>
  <c r="S242" i="8"/>
  <c r="A914" i="8"/>
  <c r="A898" i="8"/>
  <c r="A882" i="8"/>
  <c r="A866" i="8"/>
  <c r="A850" i="8"/>
  <c r="A834" i="8"/>
  <c r="A818" i="8"/>
  <c r="A802" i="8"/>
  <c r="A786" i="8"/>
  <c r="A770" i="8"/>
  <c r="A754" i="8"/>
  <c r="A738" i="8"/>
  <c r="A722" i="8"/>
  <c r="A921" i="8"/>
  <c r="A905" i="8"/>
  <c r="A889" i="8"/>
  <c r="A873" i="8"/>
  <c r="A857" i="8"/>
  <c r="A841" i="8"/>
  <c r="A825" i="8"/>
  <c r="A809" i="8"/>
  <c r="A793" i="8"/>
  <c r="A777" i="8"/>
  <c r="A761" i="8"/>
  <c r="A745" i="8"/>
  <c r="A912" i="8"/>
  <c r="A896" i="8"/>
  <c r="A880" i="8"/>
  <c r="A864" i="8"/>
  <c r="A848" i="8"/>
  <c r="A832" i="8"/>
  <c r="A816" i="8"/>
  <c r="A800" i="8"/>
  <c r="A784" i="8"/>
  <c r="A768" i="8"/>
  <c r="A752" i="8"/>
  <c r="A736" i="8"/>
  <c r="A720" i="8"/>
  <c r="A919" i="8"/>
  <c r="A903" i="8"/>
  <c r="A887" i="8"/>
  <c r="A871" i="8"/>
  <c r="A855" i="8"/>
  <c r="A839" i="8"/>
  <c r="A823" i="8"/>
  <c r="A807" i="8"/>
  <c r="A791" i="8"/>
  <c r="A775" i="8"/>
  <c r="A759" i="8"/>
  <c r="A743" i="8"/>
  <c r="A727" i="8"/>
  <c r="A910" i="8"/>
  <c r="A894" i="8"/>
  <c r="A878" i="8"/>
  <c r="A862" i="8"/>
  <c r="A846" i="8"/>
  <c r="A830" i="8"/>
  <c r="A814" i="8"/>
  <c r="A798" i="8"/>
  <c r="A782" i="8"/>
  <c r="A917" i="8"/>
  <c r="A901" i="8"/>
  <c r="A885" i="8"/>
  <c r="A869" i="8"/>
  <c r="A853" i="8"/>
  <c r="A837" i="8"/>
  <c r="A821" i="8"/>
  <c r="A805" i="8"/>
  <c r="A789" i="8"/>
  <c r="A773" i="8"/>
  <c r="A757" i="8"/>
  <c r="A741" i="8"/>
  <c r="A908" i="8"/>
  <c r="A892" i="8"/>
  <c r="A876" i="8"/>
  <c r="A860" i="8"/>
  <c r="A844" i="8"/>
  <c r="A828" i="8"/>
  <c r="A812" i="8"/>
  <c r="A796" i="8"/>
  <c r="A780" i="8"/>
  <c r="A764" i="8"/>
  <c r="A748" i="8"/>
  <c r="A732" i="8"/>
  <c r="A890" i="8"/>
  <c r="A845" i="8"/>
  <c r="A822" i="8"/>
  <c r="A915" i="8"/>
  <c r="A900" i="8"/>
  <c r="A895" i="8"/>
  <c r="A872" i="8"/>
  <c r="A865" i="8"/>
  <c r="A902" i="8"/>
  <c r="A875" i="8"/>
  <c r="A867" i="8"/>
  <c r="A842" i="8"/>
  <c r="A922" i="8"/>
  <c r="A877" i="8"/>
  <c r="A854" i="8"/>
  <c r="A827" i="8"/>
  <c r="A819" i="8"/>
  <c r="A804" i="8"/>
  <c r="A904" i="8"/>
  <c r="A897" i="8"/>
  <c r="A907" i="8"/>
  <c r="A874" i="8"/>
  <c r="A899" i="8"/>
  <c r="A884" i="8"/>
  <c r="A879" i="8"/>
  <c r="A856" i="8"/>
  <c r="A849" i="8"/>
  <c r="A744" i="8"/>
  <c r="A733" i="8"/>
  <c r="A731" i="8"/>
  <c r="A716" i="8"/>
  <c r="A700" i="8"/>
  <c r="A684" i="8"/>
  <c r="A668" i="8"/>
  <c r="A651" i="8"/>
  <c r="A635" i="8"/>
  <c r="A619" i="8"/>
  <c r="A909" i="8"/>
  <c r="A886" i="8"/>
  <c r="A859" i="8"/>
  <c r="A851" i="8"/>
  <c r="A826" i="8"/>
  <c r="A803" i="8"/>
  <c r="A788" i="8"/>
  <c r="A756" i="8"/>
  <c r="A751" i="8"/>
  <c r="A735" i="8"/>
  <c r="A707" i="8"/>
  <c r="A691" i="8"/>
  <c r="A675" i="8"/>
  <c r="A658" i="8"/>
  <c r="A642" i="8"/>
  <c r="A626" i="8"/>
  <c r="A610" i="8"/>
  <c r="A868" i="8"/>
  <c r="A778" i="8"/>
  <c r="A734" i="8"/>
  <c r="A682" i="8"/>
  <c r="A632" i="8"/>
  <c r="A605" i="8"/>
  <c r="A589" i="8"/>
  <c r="A838" i="8"/>
  <c r="A829" i="8"/>
  <c r="A817" i="8"/>
  <c r="A762" i="8"/>
  <c r="A746" i="8"/>
  <c r="A688" i="8"/>
  <c r="A686" i="8"/>
  <c r="A680" i="8"/>
  <c r="A678" i="8"/>
  <c r="A676" i="8"/>
  <c r="A674" i="8"/>
  <c r="A596" i="8"/>
  <c r="A580" i="8"/>
  <c r="A564" i="8"/>
  <c r="A918" i="8"/>
  <c r="A911" i="8"/>
  <c r="A891" i="8"/>
  <c r="A835" i="8"/>
  <c r="A820" i="8"/>
  <c r="A808" i="8"/>
  <c r="A783" i="8"/>
  <c r="A767" i="8"/>
  <c r="A729" i="8"/>
  <c r="A666" i="8"/>
  <c r="A630" i="8"/>
  <c r="A628" i="8"/>
  <c r="A624" i="8"/>
  <c r="A622" i="8"/>
  <c r="A620" i="8"/>
  <c r="A618" i="8"/>
  <c r="A603" i="8"/>
  <c r="A587" i="8"/>
  <c r="A571" i="8"/>
  <c r="A881" i="8"/>
  <c r="A863" i="8"/>
  <c r="A847" i="8"/>
  <c r="A811" i="8"/>
  <c r="A797" i="8"/>
  <c r="A672" i="8"/>
  <c r="A670" i="8"/>
  <c r="A663" i="8"/>
  <c r="A661" i="8"/>
  <c r="A659" i="8"/>
  <c r="A657" i="8"/>
  <c r="A616" i="8"/>
  <c r="A594" i="8"/>
  <c r="A870" i="8"/>
  <c r="A840" i="8"/>
  <c r="A794" i="8"/>
  <c r="A772" i="8"/>
  <c r="A717" i="8"/>
  <c r="A715" i="8"/>
  <c r="A649" i="8"/>
  <c r="A601" i="8"/>
  <c r="A585" i="8"/>
  <c r="A769" i="8"/>
  <c r="A753" i="8"/>
  <c r="A719" i="8"/>
  <c r="A713" i="8"/>
  <c r="A655" i="8"/>
  <c r="A653" i="8"/>
  <c r="A614" i="8"/>
  <c r="A612" i="8"/>
  <c r="A608" i="8"/>
  <c r="A592" i="8"/>
  <c r="A576" i="8"/>
  <c r="A906" i="8"/>
  <c r="A787" i="8"/>
  <c r="A836" i="8"/>
  <c r="A833" i="8"/>
  <c r="A815" i="8"/>
  <c r="A774" i="8"/>
  <c r="A749" i="8"/>
  <c r="A742" i="8"/>
  <c r="A714" i="8"/>
  <c r="A709" i="8"/>
  <c r="A702" i="8"/>
  <c r="A656" i="8"/>
  <c r="A590" i="8"/>
  <c r="A555" i="8"/>
  <c r="A539" i="8"/>
  <c r="A523" i="8"/>
  <c r="A507" i="8"/>
  <c r="A491" i="8"/>
  <c r="A806" i="8"/>
  <c r="A781" i="8"/>
  <c r="A694" i="8"/>
  <c r="A681" i="8"/>
  <c r="A667" i="8"/>
  <c r="A641" i="8"/>
  <c r="A639" i="8"/>
  <c r="A621" i="8"/>
  <c r="A611" i="8"/>
  <c r="A604" i="8"/>
  <c r="A597" i="8"/>
  <c r="A562" i="8"/>
  <c r="A546" i="8"/>
  <c r="A530" i="8"/>
  <c r="A514" i="8"/>
  <c r="A498" i="8"/>
  <c r="A482" i="8"/>
  <c r="A883" i="8"/>
  <c r="A843" i="8"/>
  <c r="A790" i="8"/>
  <c r="A689" i="8"/>
  <c r="A644" i="8"/>
  <c r="A599" i="8"/>
  <c r="A570" i="8"/>
  <c r="A566" i="8"/>
  <c r="A553" i="8"/>
  <c r="A537" i="8"/>
  <c r="A521" i="8"/>
  <c r="A505" i="8"/>
  <c r="A489" i="8"/>
  <c r="A711" i="8"/>
  <c r="A706" i="8"/>
  <c r="A701" i="8"/>
  <c r="A634" i="8"/>
  <c r="A629" i="8"/>
  <c r="A613" i="8"/>
  <c r="A572" i="8"/>
  <c r="A568" i="8"/>
  <c r="A560" i="8"/>
  <c r="A544" i="8"/>
  <c r="A528" i="8"/>
  <c r="A512" i="8"/>
  <c r="A496" i="8"/>
  <c r="A920" i="8"/>
  <c r="A799" i="8"/>
  <c r="A724" i="8"/>
  <c r="A704" i="8"/>
  <c r="A696" i="8"/>
  <c r="A574" i="8"/>
  <c r="A551" i="8"/>
  <c r="A535" i="8"/>
  <c r="A519" i="8"/>
  <c r="A503" i="8"/>
  <c r="A861" i="8"/>
  <c r="A801" i="8"/>
  <c r="A779" i="8"/>
  <c r="A771" i="8"/>
  <c r="A669" i="8"/>
  <c r="A648" i="8"/>
  <c r="A607" i="8"/>
  <c r="A556" i="8"/>
  <c r="A540" i="8"/>
  <c r="A524" i="8"/>
  <c r="A501" i="8"/>
  <c r="A703" i="8"/>
  <c r="A645" i="8"/>
  <c r="A631" i="8"/>
  <c r="A609" i="8"/>
  <c r="A586" i="8"/>
  <c r="A549" i="8"/>
  <c r="A533" i="8"/>
  <c r="A517" i="8"/>
  <c r="A510" i="8"/>
  <c r="A478" i="8"/>
  <c r="A476" i="8"/>
  <c r="A458" i="8"/>
  <c r="A442" i="8"/>
  <c r="A824" i="8"/>
  <c r="A760" i="8"/>
  <c r="A750" i="8"/>
  <c r="A712" i="8"/>
  <c r="A636" i="8"/>
  <c r="A633" i="8"/>
  <c r="A598" i="8"/>
  <c r="A583" i="8"/>
  <c r="A573" i="8"/>
  <c r="A565" i="8"/>
  <c r="A558" i="8"/>
  <c r="A542" i="8"/>
  <c r="A526" i="8"/>
  <c r="A490" i="8"/>
  <c r="A488" i="8"/>
  <c r="A474" i="8"/>
  <c r="A465" i="8"/>
  <c r="A449" i="8"/>
  <c r="A433" i="8"/>
  <c r="A417" i="8"/>
  <c r="A401" i="8"/>
  <c r="A385" i="8"/>
  <c r="A369" i="8"/>
  <c r="A352" i="8"/>
  <c r="A336" i="8"/>
  <c r="A810" i="8"/>
  <c r="A785" i="8"/>
  <c r="A747" i="8"/>
  <c r="A726" i="8"/>
  <c r="A721" i="8"/>
  <c r="A662" i="8"/>
  <c r="A492" i="8"/>
  <c r="A484" i="8"/>
  <c r="A893" i="8"/>
  <c r="A813" i="8"/>
  <c r="A739" i="8"/>
  <c r="A627" i="8"/>
  <c r="A606" i="8"/>
  <c r="A494" i="8"/>
  <c r="A486" i="8"/>
  <c r="A463" i="8"/>
  <c r="A447" i="8"/>
  <c r="A431" i="8"/>
  <c r="A913" i="8"/>
  <c r="A831" i="8"/>
  <c r="A728" i="8"/>
  <c r="A693" i="8"/>
  <c r="A690" i="8"/>
  <c r="A687" i="8"/>
  <c r="A671" i="8"/>
  <c r="A650" i="8"/>
  <c r="A575" i="8"/>
  <c r="A567" i="8"/>
  <c r="A470" i="8"/>
  <c r="A454" i="8"/>
  <c r="A438" i="8"/>
  <c r="A422" i="8"/>
  <c r="A406" i="8"/>
  <c r="A888" i="8"/>
  <c r="A792" i="8"/>
  <c r="A723" i="8"/>
  <c r="A699" i="8"/>
  <c r="A677" i="8"/>
  <c r="A665" i="8"/>
  <c r="A623" i="8"/>
  <c r="A588" i="8"/>
  <c r="A577" i="8"/>
  <c r="A461" i="8"/>
  <c r="A445" i="8"/>
  <c r="A429" i="8"/>
  <c r="A413" i="8"/>
  <c r="A397" i="8"/>
  <c r="A381" i="8"/>
  <c r="A858" i="8"/>
  <c r="A852" i="8"/>
  <c r="A584" i="8"/>
  <c r="A569" i="8"/>
  <c r="A543" i="8"/>
  <c r="A534" i="8"/>
  <c r="A483" i="8"/>
  <c r="A462" i="8"/>
  <c r="A453" i="8"/>
  <c r="A451" i="8"/>
  <c r="A408" i="8"/>
  <c r="A360" i="8"/>
  <c r="A347" i="8"/>
  <c r="A332" i="8"/>
  <c r="A316" i="8"/>
  <c r="A300" i="8"/>
  <c r="A284" i="8"/>
  <c r="A268" i="8"/>
  <c r="A527" i="8"/>
  <c r="A518" i="8"/>
  <c r="A508" i="8"/>
  <c r="A464" i="8"/>
  <c r="A455" i="8"/>
  <c r="A444" i="8"/>
  <c r="A412" i="8"/>
  <c r="A374" i="8"/>
  <c r="A358" i="8"/>
  <c r="A345" i="8"/>
  <c r="A343" i="8"/>
  <c r="A323" i="8"/>
  <c r="A307" i="8"/>
  <c r="A291" i="8"/>
  <c r="A275" i="8"/>
  <c r="A259" i="8"/>
  <c r="A740" i="8"/>
  <c r="A718" i="8"/>
  <c r="A511" i="8"/>
  <c r="A502" i="8"/>
  <c r="A420" i="8"/>
  <c r="A416" i="8"/>
  <c r="A414" i="8"/>
  <c r="A410" i="8"/>
  <c r="A372" i="8"/>
  <c r="A330" i="8"/>
  <c r="A314" i="8"/>
  <c r="A298" i="8"/>
  <c r="A282" i="8"/>
  <c r="A266" i="8"/>
  <c r="A250" i="8"/>
  <c r="A234" i="8"/>
  <c r="A218" i="8"/>
  <c r="A202" i="8"/>
  <c r="A186" i="8"/>
  <c r="A170" i="8"/>
  <c r="A154" i="8"/>
  <c r="A138" i="8"/>
  <c r="A122" i="8"/>
  <c r="A697" i="8"/>
  <c r="A591" i="8"/>
  <c r="A552" i="8"/>
  <c r="A499" i="8"/>
  <c r="A485" i="8"/>
  <c r="A457" i="8"/>
  <c r="A446" i="8"/>
  <c r="A437" i="8"/>
  <c r="A435" i="8"/>
  <c r="A418" i="8"/>
  <c r="A370" i="8"/>
  <c r="A356" i="8"/>
  <c r="A341" i="8"/>
  <c r="A321" i="8"/>
  <c r="A305" i="8"/>
  <c r="A289" i="8"/>
  <c r="A273" i="8"/>
  <c r="A257" i="8"/>
  <c r="A241" i="8"/>
  <c r="A795" i="8"/>
  <c r="A708" i="8"/>
  <c r="A673" i="8"/>
  <c r="A600" i="8"/>
  <c r="A561" i="8"/>
  <c r="A536" i="8"/>
  <c r="A475" i="8"/>
  <c r="A468" i="8"/>
  <c r="A466" i="8"/>
  <c r="A448" i="8"/>
  <c r="A439" i="8"/>
  <c r="A424" i="8"/>
  <c r="A393" i="8"/>
  <c r="A391" i="8"/>
  <c r="A368" i="8"/>
  <c r="A354" i="8"/>
  <c r="A339" i="8"/>
  <c r="A328" i="8"/>
  <c r="A312" i="8"/>
  <c r="A296" i="8"/>
  <c r="A280" i="8"/>
  <c r="A264" i="8"/>
  <c r="A248" i="8"/>
  <c r="A755" i="8"/>
  <c r="A725" i="8"/>
  <c r="A705" i="8"/>
  <c r="A646" i="8"/>
  <c r="A545" i="8"/>
  <c r="A520" i="8"/>
  <c r="A428" i="8"/>
  <c r="A395" i="8"/>
  <c r="A389" i="8"/>
  <c r="A387" i="8"/>
  <c r="A337" i="8"/>
  <c r="A319" i="8"/>
  <c r="A303" i="8"/>
  <c r="A638" i="8"/>
  <c r="A615" i="8"/>
  <c r="A529" i="8"/>
  <c r="A480" i="8"/>
  <c r="A459" i="8"/>
  <c r="A441" i="8"/>
  <c r="A430" i="8"/>
  <c r="A426" i="8"/>
  <c r="A383" i="8"/>
  <c r="A379" i="8"/>
  <c r="A366" i="8"/>
  <c r="A350" i="8"/>
  <c r="A335" i="8"/>
  <c r="A326" i="8"/>
  <c r="A310" i="8"/>
  <c r="A294" i="8"/>
  <c r="A278" i="8"/>
  <c r="A262" i="8"/>
  <c r="A246" i="8"/>
  <c r="A230" i="8"/>
  <c r="A214" i="8"/>
  <c r="A198" i="8"/>
  <c r="A182" i="8"/>
  <c r="A166" i="8"/>
  <c r="A150" i="8"/>
  <c r="A134" i="8"/>
  <c r="A118" i="8"/>
  <c r="A730" i="8"/>
  <c r="A654" i="8"/>
  <c r="A582" i="8"/>
  <c r="A579" i="8"/>
  <c r="A509" i="8"/>
  <c r="A411" i="8"/>
  <c r="A398" i="8"/>
  <c r="A373" i="8"/>
  <c r="A302" i="8"/>
  <c r="A290" i="8"/>
  <c r="A679" i="8"/>
  <c r="A647" i="8"/>
  <c r="A554" i="8"/>
  <c r="A493" i="8"/>
  <c r="A467" i="8"/>
  <c r="A450" i="8"/>
  <c r="A304" i="8"/>
  <c r="A297" i="8"/>
  <c r="A267" i="8"/>
  <c r="A260" i="8"/>
  <c r="A253" i="8"/>
  <c r="A251" i="8"/>
  <c r="A232" i="8"/>
  <c r="A228" i="8"/>
  <c r="A226" i="8"/>
  <c r="A224" i="8"/>
  <c r="A167" i="8"/>
  <c r="A165" i="8"/>
  <c r="A161" i="8"/>
  <c r="A531" i="8"/>
  <c r="A516" i="8"/>
  <c r="A390" i="8"/>
  <c r="A378" i="8"/>
  <c r="A365" i="8"/>
  <c r="A357" i="8"/>
  <c r="A342" i="8"/>
  <c r="A309" i="8"/>
  <c r="A283" i="8"/>
  <c r="A276" i="8"/>
  <c r="A269" i="8"/>
  <c r="A240" i="8"/>
  <c r="A236" i="8"/>
  <c r="A222" i="8"/>
  <c r="A220" i="8"/>
  <c r="A550" i="8"/>
  <c r="A452" i="8"/>
  <c r="A425" i="8"/>
  <c r="A405" i="8"/>
  <c r="A359" i="8"/>
  <c r="A311" i="8"/>
  <c r="A285" i="8"/>
  <c r="A255" i="8"/>
  <c r="A242" i="8"/>
  <c r="A238" i="8"/>
  <c r="A216" i="8"/>
  <c r="A212" i="8"/>
  <c r="A210" i="8"/>
  <c r="A208" i="8"/>
  <c r="A151" i="8"/>
  <c r="A149" i="8"/>
  <c r="A145" i="8"/>
  <c r="A141" i="8"/>
  <c r="A685" i="8"/>
  <c r="A617" i="8"/>
  <c r="A593" i="8"/>
  <c r="A557" i="8"/>
  <c r="A400" i="8"/>
  <c r="A392" i="8"/>
  <c r="A380" i="8"/>
  <c r="A367" i="8"/>
  <c r="A318" i="8"/>
  <c r="A306" i="8"/>
  <c r="A271" i="8"/>
  <c r="A244" i="8"/>
  <c r="A578" i="8"/>
  <c r="A495" i="8"/>
  <c r="A41" i="8"/>
  <c r="A57" i="8"/>
  <c r="A74" i="8"/>
  <c r="A90" i="8"/>
  <c r="A106" i="8"/>
  <c r="A117" i="8"/>
  <c r="A119" i="8"/>
  <c r="A143" i="8"/>
  <c r="A162" i="8"/>
  <c r="Q166" i="8"/>
  <c r="A180" i="8"/>
  <c r="Q184" i="8"/>
  <c r="A217" i="8"/>
  <c r="A227" i="8"/>
  <c r="S229" i="8"/>
  <c r="R229" i="8"/>
  <c r="Q229" i="8"/>
  <c r="Q242" i="8"/>
  <c r="R265" i="8"/>
  <c r="A292" i="8"/>
  <c r="A344" i="8"/>
  <c r="Q362" i="8"/>
  <c r="Q398" i="8"/>
  <c r="R429" i="8"/>
  <c r="S456" i="8"/>
  <c r="R456" i="8"/>
  <c r="A469" i="8"/>
  <c r="A513" i="8"/>
  <c r="A522" i="8"/>
  <c r="S541" i="8"/>
  <c r="R541" i="8"/>
  <c r="Q541" i="8"/>
  <c r="R654" i="8"/>
  <c r="A710" i="8"/>
  <c r="S765" i="8"/>
  <c r="Q765" i="8"/>
  <c r="S340" i="8"/>
  <c r="R340" i="8"/>
  <c r="Q429" i="8"/>
  <c r="A33" i="8"/>
  <c r="Q37" i="8"/>
  <c r="A50" i="8"/>
  <c r="Q53" i="8"/>
  <c r="A67" i="8"/>
  <c r="Q70" i="8"/>
  <c r="A83" i="8"/>
  <c r="Q86" i="8"/>
  <c r="A99" i="8"/>
  <c r="Q102" i="8"/>
  <c r="A121" i="8"/>
  <c r="A123" i="8"/>
  <c r="A127" i="8"/>
  <c r="A131" i="8"/>
  <c r="Q151" i="8"/>
  <c r="R153" i="8"/>
  <c r="R164" i="8"/>
  <c r="S164" i="8"/>
  <c r="A169" i="8"/>
  <c r="S182" i="8"/>
  <c r="Q182" i="8"/>
  <c r="S184" i="8"/>
  <c r="A187" i="8"/>
  <c r="A191" i="8"/>
  <c r="A193" i="8"/>
  <c r="R205" i="8"/>
  <c r="Q232" i="8"/>
  <c r="A235" i="8"/>
  <c r="Q237" i="8"/>
  <c r="R242" i="8"/>
  <c r="A258" i="8"/>
  <c r="Q263" i="8"/>
  <c r="S281" i="8"/>
  <c r="Q281" i="8"/>
  <c r="S329" i="8"/>
  <c r="R329" i="8"/>
  <c r="Q329" i="8"/>
  <c r="S349" i="8"/>
  <c r="R349" i="8"/>
  <c r="Q349" i="8"/>
  <c r="A355" i="8"/>
  <c r="Q360" i="8"/>
  <c r="S362" i="8"/>
  <c r="S373" i="8"/>
  <c r="R373" i="8"/>
  <c r="Q373" i="8"/>
  <c r="A396" i="8"/>
  <c r="R398" i="8"/>
  <c r="Q414" i="8"/>
  <c r="S429" i="8"/>
  <c r="Q453" i="8"/>
  <c r="A481" i="8"/>
  <c r="S491" i="8"/>
  <c r="R491" i="8"/>
  <c r="S509" i="8"/>
  <c r="R509" i="8"/>
  <c r="Q509" i="8"/>
  <c r="S518" i="8"/>
  <c r="R518" i="8"/>
  <c r="Q518" i="8"/>
  <c r="S525" i="8"/>
  <c r="R525" i="8"/>
  <c r="Q525" i="8"/>
  <c r="A538" i="8"/>
  <c r="S584" i="8"/>
  <c r="R584" i="8"/>
  <c r="Q584" i="8"/>
  <c r="A640" i="8"/>
  <c r="S654" i="8"/>
  <c r="A737" i="8"/>
  <c r="A758" i="8"/>
  <c r="A763" i="8"/>
  <c r="S252" i="8"/>
  <c r="R252" i="8"/>
  <c r="R20" i="8"/>
  <c r="A26" i="8"/>
  <c r="Q29" i="8"/>
  <c r="R37" i="8"/>
  <c r="A43" i="8"/>
  <c r="Q46" i="8"/>
  <c r="R53" i="8"/>
  <c r="A59" i="8"/>
  <c r="Q62" i="8"/>
  <c r="R70" i="8"/>
  <c r="A76" i="8"/>
  <c r="Q79" i="8"/>
  <c r="R86" i="8"/>
  <c r="A92" i="8"/>
  <c r="Q95" i="8"/>
  <c r="R102" i="8"/>
  <c r="A108" i="8"/>
  <c r="A125" i="8"/>
  <c r="A129" i="8"/>
  <c r="A133" i="8"/>
  <c r="A135" i="8"/>
  <c r="A139" i="8"/>
  <c r="Q147" i="8"/>
  <c r="Q149" i="8"/>
  <c r="R151" i="8"/>
  <c r="S153" i="8"/>
  <c r="A158" i="8"/>
  <c r="A160" i="8"/>
  <c r="R173" i="8"/>
  <c r="A178" i="8"/>
  <c r="R182" i="8"/>
  <c r="A189" i="8"/>
  <c r="S205" i="8"/>
  <c r="Q212" i="8"/>
  <c r="A215" i="8"/>
  <c r="Q224" i="8"/>
  <c r="R232" i="8"/>
  <c r="R237" i="8"/>
  <c r="A243" i="8"/>
  <c r="S250" i="8"/>
  <c r="R250" i="8"/>
  <c r="Q261" i="8"/>
  <c r="R263" i="8"/>
  <c r="S266" i="8"/>
  <c r="R266" i="8"/>
  <c r="Q284" i="8"/>
  <c r="A287" i="8"/>
  <c r="S297" i="8"/>
  <c r="R297" i="8"/>
  <c r="Q297" i="8"/>
  <c r="Q302" i="8"/>
  <c r="R360" i="8"/>
  <c r="A382" i="8"/>
  <c r="A399" i="8"/>
  <c r="A402" i="8"/>
  <c r="R404" i="8"/>
  <c r="R414" i="8"/>
  <c r="S421" i="8"/>
  <c r="R421" i="8"/>
  <c r="Q421" i="8"/>
  <c r="R453" i="8"/>
  <c r="Q456" i="8"/>
  <c r="A460" i="8"/>
  <c r="A506" i="8"/>
  <c r="S554" i="8"/>
  <c r="R554" i="8"/>
  <c r="Q554" i="8"/>
  <c r="S702" i="8"/>
  <c r="R702" i="8"/>
  <c r="Q702" i="8"/>
  <c r="A766" i="8"/>
  <c r="S166" i="8"/>
  <c r="R13" i="8"/>
  <c r="A19" i="8"/>
  <c r="S20" i="8"/>
  <c r="R29" i="8"/>
  <c r="A36" i="8"/>
  <c r="S37" i="8"/>
  <c r="Q39" i="8"/>
  <c r="R46" i="8"/>
  <c r="A52" i="8"/>
  <c r="Q55" i="8"/>
  <c r="R62" i="8"/>
  <c r="A69" i="8"/>
  <c r="Q72" i="8"/>
  <c r="R79" i="8"/>
  <c r="A85" i="8"/>
  <c r="Q88" i="8"/>
  <c r="R95" i="8"/>
  <c r="A101" i="8"/>
  <c r="Q104" i="8"/>
  <c r="Q113" i="8"/>
  <c r="A137" i="8"/>
  <c r="Q145" i="8"/>
  <c r="R147" i="8"/>
  <c r="R149" i="8"/>
  <c r="A156" i="8"/>
  <c r="S162" i="8"/>
  <c r="Q164" i="8"/>
  <c r="S173" i="8"/>
  <c r="R180" i="8"/>
  <c r="S180" i="8"/>
  <c r="A185" i="8"/>
  <c r="Q199" i="8"/>
  <c r="R201" i="8"/>
  <c r="S212" i="8"/>
  <c r="Q217" i="8"/>
  <c r="S217" i="8"/>
  <c r="Q222" i="8"/>
  <c r="S224" i="8"/>
  <c r="S227" i="8"/>
  <c r="R227" i="8"/>
  <c r="S237" i="8"/>
  <c r="R261" i="8"/>
  <c r="A274" i="8"/>
  <c r="R281" i="8"/>
  <c r="R284" i="8"/>
  <c r="R302" i="8"/>
  <c r="A327" i="8"/>
  <c r="A333" i="8"/>
  <c r="A364" i="8"/>
  <c r="Q376" i="8"/>
  <c r="S404" i="8"/>
  <c r="A415" i="8"/>
  <c r="Q491" i="8"/>
  <c r="S522" i="8"/>
  <c r="R522" i="8"/>
  <c r="Q522" i="8"/>
  <c r="Q566" i="8"/>
  <c r="A581" i="8"/>
  <c r="A637" i="8"/>
  <c r="A643" i="8"/>
  <c r="A698" i="8"/>
  <c r="R710" i="8"/>
  <c r="Q710" i="8"/>
  <c r="S710" i="8"/>
  <c r="A17" i="8"/>
  <c r="A12" i="8"/>
  <c r="R22" i="8"/>
  <c r="A28" i="8"/>
  <c r="R39" i="8"/>
  <c r="A45" i="8"/>
  <c r="R55" i="8"/>
  <c r="A61" i="8"/>
  <c r="R72" i="8"/>
  <c r="A78" i="8"/>
  <c r="R88" i="8"/>
  <c r="A94" i="8"/>
  <c r="R104" i="8"/>
  <c r="A110" i="8"/>
  <c r="R113" i="8"/>
  <c r="R145" i="8"/>
  <c r="A152" i="8"/>
  <c r="Q162" i="8"/>
  <c r="A176" i="8"/>
  <c r="Q180" i="8"/>
  <c r="A183" i="8"/>
  <c r="R199" i="8"/>
  <c r="S201" i="8"/>
  <c r="A206" i="8"/>
  <c r="R222" i="8"/>
  <c r="Q247" i="8"/>
  <c r="Q250" i="8"/>
  <c r="A256" i="8"/>
  <c r="S258" i="8"/>
  <c r="R258" i="8"/>
  <c r="Q266" i="8"/>
  <c r="Q279" i="8"/>
  <c r="A295" i="8"/>
  <c r="A322" i="8"/>
  <c r="Q338" i="8"/>
  <c r="A353" i="8"/>
  <c r="Q355" i="8"/>
  <c r="S355" i="8"/>
  <c r="R355" i="8"/>
  <c r="A361" i="8"/>
  <c r="R376" i="8"/>
  <c r="A419" i="8"/>
  <c r="A472" i="8"/>
  <c r="A479" i="8"/>
  <c r="A559" i="8"/>
  <c r="R566" i="8"/>
  <c r="A652" i="8"/>
  <c r="S276" i="8"/>
  <c r="R276" i="8"/>
  <c r="Q276" i="8"/>
  <c r="Q372" i="8"/>
  <c r="S372" i="8"/>
  <c r="R372" i="8"/>
  <c r="Q384" i="8"/>
  <c r="S384" i="8"/>
  <c r="R384" i="8"/>
  <c r="A24" i="8"/>
  <c r="A21" i="8"/>
  <c r="A38" i="8"/>
  <c r="A54" i="8"/>
  <c r="A71" i="8"/>
  <c r="A87" i="8"/>
  <c r="A103" i="8"/>
  <c r="R160" i="8"/>
  <c r="S160" i="8"/>
  <c r="A174" i="8"/>
  <c r="S178" i="8"/>
  <c r="Q178" i="8"/>
  <c r="A204" i="8"/>
  <c r="A213" i="8"/>
  <c r="A225" i="8"/>
  <c r="A233" i="8"/>
  <c r="A272" i="8"/>
  <c r="A325" i="8"/>
  <c r="A388" i="8"/>
  <c r="A394" i="8"/>
  <c r="A436" i="8"/>
  <c r="A500" i="8"/>
  <c r="S506" i="8"/>
  <c r="R506" i="8"/>
  <c r="Q506" i="8"/>
  <c r="S573" i="8"/>
  <c r="R573" i="8"/>
  <c r="Q573" i="8"/>
  <c r="S605" i="8"/>
  <c r="R605" i="8"/>
  <c r="A695" i="8"/>
  <c r="S698" i="8"/>
  <c r="R698" i="8"/>
  <c r="Q698" i="8"/>
  <c r="S534" i="8"/>
  <c r="R534" i="8"/>
  <c r="Q534" i="8"/>
  <c r="S621" i="8"/>
  <c r="R621" i="8"/>
  <c r="S630" i="8"/>
  <c r="R630" i="8"/>
  <c r="Q630" i="8"/>
  <c r="S369" i="8"/>
  <c r="R369" i="8"/>
  <c r="S563" i="8"/>
  <c r="R563" i="8"/>
  <c r="Q563" i="8"/>
  <c r="S692" i="8"/>
  <c r="R692" i="8"/>
  <c r="Q332" i="8"/>
  <c r="S419" i="8"/>
  <c r="R419" i="8"/>
  <c r="Q419" i="8"/>
  <c r="S474" i="8"/>
  <c r="R474" i="8"/>
  <c r="S515" i="8"/>
  <c r="R515" i="8"/>
  <c r="Q515" i="8"/>
  <c r="S538" i="8"/>
  <c r="R538" i="8"/>
  <c r="Q538" i="8"/>
  <c r="Q621" i="8"/>
  <c r="S829" i="8"/>
  <c r="R829" i="8"/>
  <c r="Q829" i="8"/>
  <c r="S313" i="8"/>
  <c r="R313" i="8"/>
  <c r="Q313" i="8"/>
  <c r="S320" i="8"/>
  <c r="R320" i="8"/>
  <c r="Q327" i="8"/>
  <c r="R332" i="8"/>
  <c r="Q369" i="8"/>
  <c r="Q382" i="8"/>
  <c r="S495" i="8"/>
  <c r="R495" i="8"/>
  <c r="Q495" i="8"/>
  <c r="S604" i="8"/>
  <c r="R604" i="8"/>
  <c r="Q604" i="8"/>
  <c r="S667" i="8"/>
  <c r="R667" i="8"/>
  <c r="Q667" i="8"/>
  <c r="Q692" i="8"/>
  <c r="S720" i="8"/>
  <c r="R720" i="8"/>
  <c r="Q198" i="8"/>
  <c r="R244" i="8"/>
  <c r="Q244" i="8"/>
  <c r="S306" i="8"/>
  <c r="R306" i="8"/>
  <c r="Q306" i="8"/>
  <c r="R327" i="8"/>
  <c r="S332" i="8"/>
  <c r="R382" i="8"/>
  <c r="R400" i="8"/>
  <c r="Q400" i="8"/>
  <c r="S413" i="8"/>
  <c r="R413" i="8"/>
  <c r="Q413" i="8"/>
  <c r="Q474" i="8"/>
  <c r="S527" i="8"/>
  <c r="R527" i="8"/>
  <c r="Q527" i="8"/>
  <c r="S557" i="8"/>
  <c r="R557" i="8"/>
  <c r="Q557" i="8"/>
  <c r="Q425" i="8"/>
  <c r="S502" i="8"/>
  <c r="R502" i="8"/>
  <c r="Q502" i="8"/>
  <c r="S550" i="8"/>
  <c r="R550" i="8"/>
  <c r="Q550" i="8"/>
  <c r="R477" i="8"/>
  <c r="Q477" i="8"/>
  <c r="S516" i="8"/>
  <c r="R516" i="8"/>
  <c r="Q516" i="8"/>
  <c r="Q622" i="8"/>
  <c r="S625" i="8"/>
  <c r="R625" i="8"/>
  <c r="Q625" i="8"/>
  <c r="S895" i="8"/>
  <c r="R895" i="8"/>
  <c r="Q895" i="8"/>
  <c r="Q409" i="8"/>
  <c r="S477" i="8"/>
  <c r="S532" i="8"/>
  <c r="R532" i="8"/>
  <c r="Q532" i="8"/>
  <c r="S586" i="8"/>
  <c r="R586" i="8"/>
  <c r="Q586" i="8"/>
  <c r="R622" i="8"/>
  <c r="S407" i="8"/>
  <c r="R407" i="8"/>
  <c r="S432" i="8"/>
  <c r="R432" i="8"/>
  <c r="Q432" i="8"/>
  <c r="Q461" i="8"/>
  <c r="S504" i="8"/>
  <c r="R504" i="8"/>
  <c r="Q504" i="8"/>
  <c r="S513" i="8"/>
  <c r="R513" i="8"/>
  <c r="Q513" i="8"/>
  <c r="S548" i="8"/>
  <c r="R548" i="8"/>
  <c r="Q548" i="8"/>
  <c r="S564" i="8"/>
  <c r="R564" i="8"/>
  <c r="Q564" i="8"/>
  <c r="S596" i="8"/>
  <c r="R596" i="8"/>
  <c r="S652" i="8"/>
  <c r="R652" i="8"/>
  <c r="Q652" i="8"/>
  <c r="S786" i="8"/>
  <c r="R786" i="8"/>
  <c r="Q786" i="8"/>
  <c r="Q348" i="8"/>
  <c r="R441" i="8"/>
  <c r="Q441" i="8"/>
  <c r="R461" i="8"/>
  <c r="S529" i="8"/>
  <c r="R529" i="8"/>
  <c r="Q529" i="8"/>
  <c r="R694" i="8"/>
  <c r="Q694" i="8"/>
  <c r="S875" i="8"/>
  <c r="R875" i="8"/>
  <c r="Q875" i="8"/>
  <c r="S891" i="8"/>
  <c r="R891" i="8"/>
  <c r="Q891" i="8"/>
  <c r="S896" i="8"/>
  <c r="R896" i="8"/>
  <c r="Q896" i="8"/>
  <c r="S346" i="8"/>
  <c r="R348" i="8"/>
  <c r="Q364" i="8"/>
  <c r="Q377" i="8"/>
  <c r="Q381" i="8"/>
  <c r="Q397" i="8"/>
  <c r="Q399" i="8"/>
  <c r="Q403" i="8"/>
  <c r="Q405" i="8"/>
  <c r="Q407" i="8"/>
  <c r="S441" i="8"/>
  <c r="S461" i="8"/>
  <c r="R490" i="8"/>
  <c r="R493" i="8"/>
  <c r="S520" i="8"/>
  <c r="R520" i="8"/>
  <c r="Q520" i="8"/>
  <c r="S545" i="8"/>
  <c r="R545" i="8"/>
  <c r="Q545" i="8"/>
  <c r="Q593" i="8"/>
  <c r="Q596" i="8"/>
  <c r="R676" i="8"/>
  <c r="S348" i="8"/>
  <c r="Q393" i="8"/>
  <c r="S439" i="8"/>
  <c r="R439" i="8"/>
  <c r="S448" i="8"/>
  <c r="R448" i="8"/>
  <c r="Q448" i="8"/>
  <c r="R475" i="8"/>
  <c r="Q475" i="8"/>
  <c r="S536" i="8"/>
  <c r="R536" i="8"/>
  <c r="Q536" i="8"/>
  <c r="S561" i="8"/>
  <c r="R561" i="8"/>
  <c r="Q561" i="8"/>
  <c r="R593" i="8"/>
  <c r="Q609" i="8"/>
  <c r="S694" i="8"/>
  <c r="S779" i="8"/>
  <c r="R779" i="8"/>
  <c r="R795" i="8"/>
  <c r="Q795" i="8"/>
  <c r="R457" i="8"/>
  <c r="Q457" i="8"/>
  <c r="R485" i="8"/>
  <c r="Q485" i="8"/>
  <c r="S485" i="8"/>
  <c r="S499" i="8"/>
  <c r="R499" i="8"/>
  <c r="Q499" i="8"/>
  <c r="S552" i="8"/>
  <c r="R552" i="8"/>
  <c r="Q552" i="8"/>
  <c r="S632" i="8"/>
  <c r="R632" i="8"/>
  <c r="Q632" i="8"/>
  <c r="S718" i="8"/>
  <c r="R718" i="8"/>
  <c r="Q718" i="8"/>
  <c r="S752" i="8"/>
  <c r="R752" i="8"/>
  <c r="Q752" i="8"/>
  <c r="S483" i="8"/>
  <c r="R483" i="8"/>
  <c r="S591" i="8"/>
  <c r="R591" i="8"/>
  <c r="R730" i="8"/>
  <c r="Q730" i="8"/>
  <c r="S730" i="8"/>
  <c r="S602" i="8"/>
  <c r="R602" i="8"/>
  <c r="S806" i="8"/>
  <c r="R806" i="8"/>
  <c r="S900" i="8"/>
  <c r="R900" i="8"/>
  <c r="Q900" i="8"/>
  <c r="S619" i="8"/>
  <c r="R619" i="8"/>
  <c r="Q638" i="8"/>
  <c r="S638" i="8"/>
  <c r="R638" i="8"/>
  <c r="S723" i="8"/>
  <c r="Q723" i="8"/>
  <c r="S742" i="8"/>
  <c r="R742" i="8"/>
  <c r="Q742" i="8"/>
  <c r="Q567" i="8"/>
  <c r="S588" i="8"/>
  <c r="R588" i="8"/>
  <c r="Q588" i="8"/>
  <c r="S665" i="8"/>
  <c r="R665" i="8"/>
  <c r="S872" i="8"/>
  <c r="R872" i="8"/>
  <c r="Q872" i="8"/>
  <c r="Q468" i="8"/>
  <c r="Q498" i="8"/>
  <c r="Q514" i="8"/>
  <c r="Q530" i="8"/>
  <c r="Q546" i="8"/>
  <c r="Q562" i="8"/>
  <c r="R567" i="8"/>
  <c r="Q619" i="8"/>
  <c r="Q671" i="8"/>
  <c r="S671" i="8"/>
  <c r="S681" i="8"/>
  <c r="R681" i="8"/>
  <c r="Q681" i="8"/>
  <c r="S690" i="8"/>
  <c r="R690" i="8"/>
  <c r="R781" i="8"/>
  <c r="Q521" i="8"/>
  <c r="Q537" i="8"/>
  <c r="Q553" i="8"/>
  <c r="S567" i="8"/>
  <c r="Q577" i="8"/>
  <c r="S603" i="8"/>
  <c r="R603" i="8"/>
  <c r="Q611" i="8"/>
  <c r="S627" i="8"/>
  <c r="R627" i="8"/>
  <c r="Q627" i="8"/>
  <c r="Q665" i="8"/>
  <c r="S492" i="8"/>
  <c r="R492" i="8"/>
  <c r="Q492" i="8"/>
  <c r="R577" i="8"/>
  <c r="S589" i="8"/>
  <c r="R589" i="8"/>
  <c r="Q589" i="8"/>
  <c r="R611" i="8"/>
  <c r="S620" i="8"/>
  <c r="R620" i="8"/>
  <c r="Q620" i="8"/>
  <c r="S747" i="8"/>
  <c r="R747" i="8"/>
  <c r="S617" i="8"/>
  <c r="R617" i="8"/>
  <c r="S744" i="8"/>
  <c r="Q744" i="8"/>
  <c r="S783" i="8"/>
  <c r="R783" i="8"/>
  <c r="Q783" i="8"/>
  <c r="S623" i="8"/>
  <c r="R623" i="8"/>
  <c r="S636" i="8"/>
  <c r="R636" i="8"/>
  <c r="S677" i="8"/>
  <c r="R677" i="8"/>
  <c r="Q677" i="8"/>
  <c r="R767" i="8"/>
  <c r="Q767" i="8"/>
  <c r="Q508" i="8"/>
  <c r="Q524" i="8"/>
  <c r="Q540" i="8"/>
  <c r="Q556" i="8"/>
  <c r="Q580" i="8"/>
  <c r="Q582" i="8"/>
  <c r="Q617" i="8"/>
  <c r="Q626" i="8"/>
  <c r="Q650" i="8"/>
  <c r="Q660" i="8"/>
  <c r="S669" i="8"/>
  <c r="R669" i="8"/>
  <c r="Q669" i="8"/>
  <c r="Q674" i="8"/>
  <c r="Q686" i="8"/>
  <c r="Q708" i="8"/>
  <c r="Q735" i="8"/>
  <c r="S735" i="8"/>
  <c r="R751" i="8"/>
  <c r="Q751" i="8"/>
  <c r="S776" i="8"/>
  <c r="R776" i="8"/>
  <c r="Q776" i="8"/>
  <c r="S792" i="8"/>
  <c r="R792" i="8"/>
  <c r="Q792" i="8"/>
  <c r="Q501" i="8"/>
  <c r="R508" i="8"/>
  <c r="Q517" i="8"/>
  <c r="R524" i="8"/>
  <c r="Q533" i="8"/>
  <c r="R540" i="8"/>
  <c r="Q549" i="8"/>
  <c r="R556" i="8"/>
  <c r="R574" i="8"/>
  <c r="Q574" i="8"/>
  <c r="Q578" i="8"/>
  <c r="R580" i="8"/>
  <c r="R582" i="8"/>
  <c r="Q623" i="8"/>
  <c r="R626" i="8"/>
  <c r="Q636" i="8"/>
  <c r="Q646" i="8"/>
  <c r="R650" i="8"/>
  <c r="R660" i="8"/>
  <c r="R674" i="8"/>
  <c r="R686" i="8"/>
  <c r="R708" i="8"/>
  <c r="S745" i="8"/>
  <c r="R745" i="8"/>
  <c r="Q745" i="8"/>
  <c r="Q754" i="8"/>
  <c r="S767" i="8"/>
  <c r="R818" i="8"/>
  <c r="Q818" i="8"/>
  <c r="S572" i="8"/>
  <c r="R613" i="8"/>
  <c r="Q613" i="8"/>
  <c r="R629" i="8"/>
  <c r="Q629" i="8"/>
  <c r="S629" i="8"/>
  <c r="R678" i="8"/>
  <c r="Q678" i="8"/>
  <c r="R735" i="8"/>
  <c r="S761" i="8"/>
  <c r="R761" i="8"/>
  <c r="Q761" i="8"/>
  <c r="S868" i="8"/>
  <c r="R868" i="8"/>
  <c r="Q868" i="8"/>
  <c r="S902" i="8"/>
  <c r="R902" i="8"/>
  <c r="S843" i="8"/>
  <c r="R843" i="8"/>
  <c r="Q843" i="8"/>
  <c r="S836" i="8"/>
  <c r="Q836" i="8"/>
  <c r="S893" i="8"/>
  <c r="R893" i="8"/>
  <c r="S685" i="8"/>
  <c r="R685" i="8"/>
  <c r="Q687" i="8"/>
  <c r="S755" i="8"/>
  <c r="R755" i="8"/>
  <c r="Q755" i="8"/>
  <c r="S758" i="8"/>
  <c r="R758" i="8"/>
  <c r="Q758" i="8"/>
  <c r="S831" i="8"/>
  <c r="R831" i="8"/>
  <c r="Q831" i="8"/>
  <c r="S774" i="8"/>
  <c r="R774" i="8"/>
  <c r="Q893" i="8"/>
  <c r="S920" i="8"/>
  <c r="R920" i="8"/>
  <c r="Q920" i="8"/>
  <c r="R645" i="8"/>
  <c r="Q645" i="8"/>
  <c r="Q683" i="8"/>
  <c r="Q685" i="8"/>
  <c r="S687" i="8"/>
  <c r="Q691" i="8"/>
  <c r="S701" i="8"/>
  <c r="R701" i="8"/>
  <c r="Q703" i="8"/>
  <c r="Q733" i="8"/>
  <c r="Q740" i="8"/>
  <c r="S799" i="8"/>
  <c r="R799" i="8"/>
  <c r="Q799" i="8"/>
  <c r="R565" i="8"/>
  <c r="R581" i="8"/>
  <c r="Q590" i="8"/>
  <c r="R597" i="8"/>
  <c r="Q606" i="8"/>
  <c r="R633" i="8"/>
  <c r="R635" i="8"/>
  <c r="R683" i="8"/>
  <c r="R691" i="8"/>
  <c r="R693" i="8"/>
  <c r="R695" i="8"/>
  <c r="Q697" i="8"/>
  <c r="R703" i="8"/>
  <c r="Q719" i="8"/>
  <c r="S719" i="8"/>
  <c r="R719" i="8"/>
  <c r="R733" i="8"/>
  <c r="R740" i="8"/>
  <c r="Q774" i="8"/>
  <c r="Q777" i="8"/>
  <c r="R788" i="8"/>
  <c r="S822" i="8"/>
  <c r="R822" i="8"/>
  <c r="R832" i="8"/>
  <c r="Q832" i="8"/>
  <c r="R873" i="8"/>
  <c r="S921" i="8"/>
  <c r="R921" i="8"/>
  <c r="Q921" i="8"/>
  <c r="R590" i="8"/>
  <c r="Q599" i="8"/>
  <c r="R606" i="8"/>
  <c r="Q641" i="8"/>
  <c r="Q643" i="8"/>
  <c r="S645" i="8"/>
  <c r="R697" i="8"/>
  <c r="Q699" i="8"/>
  <c r="Q701" i="8"/>
  <c r="S703" i="8"/>
  <c r="Q707" i="8"/>
  <c r="Q709" i="8"/>
  <c r="Q711" i="8"/>
  <c r="S717" i="8"/>
  <c r="R717" i="8"/>
  <c r="Q731" i="8"/>
  <c r="Q738" i="8"/>
  <c r="Q756" i="8"/>
  <c r="S772" i="8"/>
  <c r="R772" i="8"/>
  <c r="R777" i="8"/>
  <c r="S788" i="8"/>
  <c r="S840" i="8"/>
  <c r="R840" i="8"/>
  <c r="Q840" i="8"/>
  <c r="S870" i="8"/>
  <c r="R870" i="8"/>
  <c r="R643" i="8"/>
  <c r="R661" i="8"/>
  <c r="Q661" i="8"/>
  <c r="S808" i="8"/>
  <c r="R808" i="8"/>
  <c r="Q808" i="8"/>
  <c r="S863" i="8"/>
  <c r="R863" i="8"/>
  <c r="Q863" i="8"/>
  <c r="S728" i="8"/>
  <c r="S760" i="8"/>
  <c r="Q760" i="8"/>
  <c r="S888" i="8"/>
  <c r="R888" i="8"/>
  <c r="Q888" i="8"/>
  <c r="S911" i="8"/>
  <c r="R911" i="8"/>
  <c r="Q911" i="8"/>
  <c r="S918" i="8"/>
  <c r="R918" i="8"/>
  <c r="Q728" i="8"/>
  <c r="S739" i="8"/>
  <c r="Q739" i="8"/>
  <c r="R760" i="8"/>
  <c r="S790" i="8"/>
  <c r="R790" i="8"/>
  <c r="S838" i="8"/>
  <c r="R838" i="8"/>
  <c r="Q866" i="8"/>
  <c r="Q918" i="8"/>
  <c r="Q861" i="8"/>
  <c r="Q864" i="8"/>
  <c r="R866" i="8"/>
  <c r="S886" i="8"/>
  <c r="R886" i="8"/>
  <c r="Q914" i="8"/>
  <c r="Q916" i="8"/>
  <c r="S856" i="8"/>
  <c r="R856" i="8"/>
  <c r="Q856" i="8"/>
  <c r="R861" i="8"/>
  <c r="R864" i="8"/>
  <c r="S879" i="8"/>
  <c r="R879" i="8"/>
  <c r="Q879" i="8"/>
  <c r="R914" i="8"/>
  <c r="R916" i="8"/>
  <c r="Q859" i="8"/>
  <c r="Q886" i="8"/>
  <c r="Q909" i="8"/>
  <c r="Q912" i="8"/>
  <c r="Q834" i="8"/>
  <c r="R859" i="8"/>
  <c r="Q884" i="8"/>
  <c r="S904" i="8"/>
  <c r="R904" i="8"/>
  <c r="Q904" i="8"/>
  <c r="R909" i="8"/>
  <c r="R912" i="8"/>
  <c r="S854" i="8"/>
  <c r="R854" i="8"/>
  <c r="S824" i="8"/>
  <c r="R824" i="8"/>
  <c r="Q824" i="8"/>
  <c r="S847" i="8"/>
  <c r="R847" i="8"/>
  <c r="Q847" i="8"/>
  <c r="Q881" i="8"/>
  <c r="Q897" i="8"/>
  <c r="Q913" i="8"/>
  <c r="R721" i="8"/>
  <c r="Q746" i="8"/>
  <c r="Q762" i="8"/>
  <c r="Q778" i="8"/>
  <c r="R785" i="8"/>
  <c r="Q794" i="8"/>
  <c r="R801" i="8"/>
  <c r="Q810" i="8"/>
  <c r="R817" i="8"/>
  <c r="Q826" i="8"/>
  <c r="Q842" i="8"/>
  <c r="Q858" i="8"/>
  <c r="Q874" i="8"/>
  <c r="Q890" i="8"/>
  <c r="Q906" i="8"/>
  <c r="Q922" i="8"/>
  <c r="R762" i="8"/>
  <c r="R778" i="8"/>
  <c r="Q787" i="8"/>
  <c r="R794" i="8"/>
  <c r="Q803" i="8"/>
  <c r="R810" i="8"/>
  <c r="Q819" i="8"/>
  <c r="R826" i="8"/>
  <c r="Q835" i="8"/>
  <c r="R842" i="8"/>
  <c r="Q851" i="8"/>
  <c r="R858" i="8"/>
  <c r="Q867" i="8"/>
  <c r="R874" i="8"/>
  <c r="Q883" i="8"/>
  <c r="R890" i="8"/>
  <c r="Q899" i="8"/>
  <c r="R906" i="8"/>
  <c r="R922" i="8"/>
  <c r="R787" i="8"/>
  <c r="R803" i="8"/>
  <c r="B5" i="7"/>
  <c r="C5" i="7" s="1"/>
  <c r="M375" i="1" l="1"/>
  <c r="M380" i="1"/>
  <c r="M51" i="1" l="1"/>
  <c r="M164" i="1"/>
  <c r="M90" i="1" l="1"/>
  <c r="A1" i="4"/>
  <c r="O298" i="1"/>
  <c r="O202" i="1"/>
  <c r="O263" i="1"/>
  <c r="O280" i="1"/>
  <c r="O150" i="1"/>
  <c r="O355" i="1"/>
  <c r="O405" i="1"/>
  <c r="O679" i="1"/>
  <c r="N262" i="1"/>
  <c r="O633" i="1"/>
  <c r="O315" i="1"/>
  <c r="O255" i="1"/>
  <c r="N134" i="10"/>
  <c r="O772" i="1"/>
  <c r="O625" i="1"/>
  <c r="O760" i="1"/>
  <c r="N124" i="10"/>
  <c r="O648" i="1"/>
  <c r="O302" i="1"/>
  <c r="O396" i="1"/>
  <c r="O389" i="1"/>
  <c r="O51" i="1"/>
  <c r="O207" i="1"/>
  <c r="O266" i="1"/>
  <c r="O364" i="1"/>
  <c r="O72" i="1"/>
  <c r="O663" i="1"/>
  <c r="O206" i="1"/>
  <c r="O307" i="1"/>
  <c r="O55" i="1"/>
  <c r="O660" i="1"/>
  <c r="O139" i="1"/>
  <c r="O710" i="1"/>
  <c r="O646" i="1"/>
  <c r="O321" i="1"/>
  <c r="O27" i="1"/>
  <c r="O74" i="1"/>
  <c r="O654" i="1"/>
  <c r="O69" i="1"/>
  <c r="O248" i="1"/>
  <c r="O243" i="1"/>
  <c r="O745" i="1"/>
  <c r="O363" i="1"/>
  <c r="O342" i="1"/>
  <c r="O747" i="1"/>
  <c r="O50" i="1"/>
  <c r="O300" i="1"/>
  <c r="N275" i="1"/>
  <c r="O303" i="1"/>
  <c r="O287" i="1"/>
  <c r="O695" i="1"/>
  <c r="N118" i="10"/>
  <c r="O653" i="1"/>
  <c r="O261" i="1"/>
  <c r="O778" i="1"/>
  <c r="O750" i="1"/>
  <c r="O317" i="1"/>
  <c r="O26" i="1"/>
  <c r="O73" i="1"/>
  <c r="O86" i="1"/>
  <c r="O274" i="1"/>
  <c r="O45" i="1"/>
  <c r="O640" i="1"/>
  <c r="O743" i="1"/>
  <c r="O161" i="1"/>
  <c r="O359" i="1"/>
  <c r="O239" i="1"/>
  <c r="O724" i="1"/>
  <c r="O391" i="1"/>
  <c r="O386" i="1"/>
  <c r="O769" i="1"/>
  <c r="O295" i="1"/>
  <c r="O214" i="1"/>
  <c r="O54" i="1"/>
  <c r="O155" i="1"/>
  <c r="O721" i="1"/>
  <c r="O153" i="1"/>
  <c r="O768" i="1"/>
  <c r="O59" i="1"/>
  <c r="O216" i="1"/>
  <c r="O285" i="1"/>
  <c r="O366" i="1"/>
  <c r="O677" i="1"/>
  <c r="O30" i="1"/>
  <c r="N321" i="1"/>
  <c r="O394" i="1"/>
  <c r="O751" i="1"/>
  <c r="O776" i="1"/>
  <c r="O741" i="1"/>
  <c r="O282" i="1"/>
  <c r="O651" i="1"/>
  <c r="O145" i="1"/>
  <c r="O688" i="1"/>
  <c r="O694" i="1"/>
  <c r="O404" i="1"/>
  <c r="O398" i="1"/>
  <c r="O305" i="1"/>
  <c r="O408" i="1"/>
  <c r="O244" i="1"/>
  <c r="O755" i="1"/>
  <c r="O36" i="1"/>
  <c r="O757" i="1"/>
  <c r="O765" i="1"/>
  <c r="O291" i="1"/>
  <c r="O686" i="1"/>
  <c r="O713" i="1"/>
  <c r="O312" i="1"/>
  <c r="N263" i="1"/>
  <c r="O382" i="1"/>
  <c r="O696" i="1"/>
  <c r="O345" i="1"/>
  <c r="O12" i="1"/>
  <c r="O224" i="1"/>
  <c r="O636" i="1"/>
  <c r="O187" i="1"/>
  <c r="N136" i="10"/>
  <c r="N261" i="1"/>
  <c r="O28" i="1"/>
  <c r="O78" i="1"/>
  <c r="O624" i="1"/>
  <c r="O43" i="1"/>
  <c r="O664" i="1"/>
  <c r="O712" i="1"/>
  <c r="O279" i="1"/>
  <c r="O212" i="1"/>
  <c r="N260" i="1"/>
  <c r="O639" i="1"/>
  <c r="O647" i="1"/>
  <c r="O125" i="1"/>
  <c r="O17" i="1"/>
  <c r="N119" i="10"/>
  <c r="O260" i="1"/>
  <c r="O681" i="1"/>
  <c r="O123" i="1"/>
  <c r="O348" i="1"/>
  <c r="O189" i="1"/>
  <c r="O638" i="1"/>
  <c r="O221" i="1"/>
  <c r="O181" i="1"/>
  <c r="O627" i="1"/>
  <c r="O761" i="1"/>
  <c r="O267" i="1"/>
  <c r="O16" i="1"/>
  <c r="O154" i="1"/>
  <c r="O91" i="1"/>
  <c r="O349" i="1"/>
  <c r="O327" i="1"/>
  <c r="O699" i="1"/>
  <c r="O367" i="1"/>
  <c r="O316" i="1"/>
  <c r="O409" i="1"/>
  <c r="O53" i="1"/>
  <c r="O634" i="1"/>
  <c r="O705" i="1"/>
  <c r="N54" i="10"/>
  <c r="N363" i="8"/>
  <c r="O104" i="1"/>
  <c r="O748" i="1"/>
  <c r="O182" i="1"/>
  <c r="O758" i="1"/>
  <c r="O621" i="1"/>
  <c r="O360" i="1"/>
  <c r="O333" i="1"/>
  <c r="O107" i="1"/>
  <c r="O151" i="1"/>
  <c r="O314" i="1"/>
  <c r="O728" i="1"/>
  <c r="O192" i="1"/>
  <c r="O732" i="1"/>
  <c r="O220" i="1"/>
  <c r="O162" i="1"/>
  <c r="O94" i="1"/>
  <c r="O165" i="1"/>
  <c r="O188" i="1"/>
  <c r="O228" i="1"/>
  <c r="O193" i="1"/>
  <c r="O397" i="1"/>
  <c r="O374" i="1"/>
  <c r="O40" i="1"/>
  <c r="O782" i="1"/>
  <c r="O325" i="1"/>
  <c r="O137" i="1"/>
  <c r="O739" i="1"/>
  <c r="O142" i="1"/>
  <c r="O693" i="1"/>
  <c r="O375" i="1"/>
  <c r="O708" i="1"/>
  <c r="O217" i="1"/>
  <c r="O629" i="1"/>
  <c r="O736" i="1"/>
  <c r="O29" i="1"/>
  <c r="O643" i="1"/>
  <c r="O237" i="1"/>
  <c r="O42" i="1"/>
  <c r="O770" i="1"/>
  <c r="N130" i="10"/>
  <c r="O23" i="1"/>
  <c r="O687" i="1"/>
  <c r="O247" i="1"/>
  <c r="O659" i="1"/>
  <c r="O211" i="1"/>
  <c r="N319" i="1"/>
  <c r="O143" i="1"/>
  <c r="O717" i="1"/>
  <c r="O759" i="1"/>
  <c r="O381" i="1"/>
  <c r="O185" i="1"/>
  <c r="O631" i="1"/>
  <c r="O773" i="1"/>
  <c r="O661" i="1"/>
  <c r="O240" i="1"/>
  <c r="N107" i="1"/>
  <c r="O702" i="1"/>
  <c r="O124" i="1"/>
  <c r="O722" i="1"/>
  <c r="O270" i="1"/>
  <c r="O105" i="1"/>
  <c r="N123" i="10"/>
  <c r="O762" i="1"/>
  <c r="O324" i="1"/>
  <c r="O649" i="1"/>
  <c r="O692" i="1"/>
  <c r="N128" i="10"/>
  <c r="O226" i="1"/>
  <c r="O222" i="1"/>
  <c r="O685" i="1"/>
  <c r="O262" i="1"/>
  <c r="N270" i="1"/>
  <c r="O242" i="1"/>
  <c r="O771" i="1"/>
  <c r="O734" i="1"/>
  <c r="O141" i="1"/>
  <c r="O682" i="1"/>
  <c r="O703" i="1"/>
  <c r="N122" i="10"/>
  <c r="O63" i="1"/>
  <c r="O384" i="1"/>
  <c r="O365" i="1"/>
  <c r="O399" i="1"/>
  <c r="O158" i="1"/>
  <c r="O740" i="1"/>
  <c r="O13" i="1"/>
  <c r="O641" i="1"/>
  <c r="O735" i="1"/>
  <c r="O241" i="1"/>
  <c r="O310" i="1"/>
  <c r="N131" i="10"/>
  <c r="O764" i="1"/>
  <c r="O306" i="1"/>
  <c r="O276" i="1"/>
  <c r="O781" i="1"/>
  <c r="O92" i="1"/>
  <c r="O665" i="1"/>
  <c r="O169" i="1"/>
  <c r="O752" i="1"/>
  <c r="O22" i="1"/>
  <c r="O697" i="1"/>
  <c r="O85" i="1"/>
  <c r="O726" i="1"/>
  <c r="O320" i="1"/>
  <c r="O33" i="1"/>
  <c r="N237" i="1"/>
  <c r="O38" i="1"/>
  <c r="O667" i="1"/>
  <c r="O678" i="1"/>
  <c r="O209" i="1"/>
  <c r="O140" i="1"/>
  <c r="O749" i="1"/>
  <c r="O407" i="1"/>
  <c r="O41" i="1"/>
  <c r="O112" i="1"/>
  <c r="O754" i="1"/>
  <c r="O148" i="1"/>
  <c r="O775" i="1"/>
  <c r="O204" i="1"/>
  <c r="N185" i="1"/>
  <c r="O371" i="1"/>
  <c r="O680" i="1"/>
  <c r="O61" i="1"/>
  <c r="O698" i="1"/>
  <c r="O278" i="1"/>
  <c r="O733" i="1"/>
  <c r="O689" i="1"/>
  <c r="O730" i="1"/>
  <c r="O159" i="1"/>
  <c r="O406" i="1"/>
  <c r="O756" i="1"/>
  <c r="O172" i="1"/>
  <c r="O668" i="1"/>
  <c r="O136" i="1"/>
  <c r="N127" i="10"/>
  <c r="O60" i="1"/>
  <c r="O719" i="1"/>
  <c r="O19" i="1"/>
  <c r="O666" i="1"/>
  <c r="O138" i="1"/>
  <c r="O234" i="1"/>
  <c r="N320" i="1"/>
  <c r="O223" i="1"/>
  <c r="O281" i="1"/>
  <c r="O628" i="1"/>
  <c r="O347" i="1"/>
  <c r="O358" i="1"/>
  <c r="O168" i="1"/>
  <c r="N121" i="10"/>
  <c r="O269" i="1"/>
  <c r="O84" i="1"/>
  <c r="O11" i="1"/>
  <c r="O219" i="1"/>
  <c r="O164" i="1"/>
  <c r="O346" i="1"/>
  <c r="N238" i="1"/>
  <c r="O393" i="1"/>
  <c r="O691" i="1"/>
  <c r="O170" i="1"/>
  <c r="O236" i="1"/>
  <c r="O79" i="1"/>
  <c r="O296" i="1"/>
  <c r="O66" i="1"/>
  <c r="O68" i="1"/>
  <c r="O343" i="1"/>
  <c r="O294" i="1"/>
  <c r="O246" i="1"/>
  <c r="O273" i="1"/>
  <c r="O304" i="1"/>
  <c r="O75" i="1"/>
  <c r="O672" i="1"/>
  <c r="N129" i="10"/>
  <c r="O15" i="1"/>
  <c r="O626" i="1"/>
  <c r="O80" i="1"/>
  <c r="N133" i="10"/>
  <c r="O763" i="1"/>
  <c r="O186" i="1"/>
  <c r="O390" i="1"/>
  <c r="O46" i="1"/>
  <c r="O71" i="1"/>
  <c r="O203" i="1"/>
  <c r="O146" i="1"/>
  <c r="O115" i="1"/>
  <c r="O707" i="1"/>
  <c r="O383" i="1"/>
  <c r="O194" i="1"/>
  <c r="O160" i="1"/>
  <c r="O184" i="1"/>
  <c r="O637" i="1"/>
  <c r="O235" i="1"/>
  <c r="O669" i="1"/>
  <c r="O25" i="1"/>
  <c r="O690" i="1"/>
  <c r="O284" i="1"/>
  <c r="O111" i="1"/>
  <c r="O720" i="1"/>
  <c r="O229" i="1"/>
  <c r="O729" i="1"/>
  <c r="O90" i="1"/>
  <c r="O293" i="1"/>
  <c r="O81" i="1"/>
  <c r="O742" i="1"/>
  <c r="O288" i="1"/>
  <c r="O256" i="1"/>
  <c r="O731" i="1"/>
  <c r="O744" i="1"/>
  <c r="O727" i="1"/>
  <c r="O380" i="1"/>
  <c r="O779" i="1"/>
  <c r="N282" i="1"/>
  <c r="O277" i="1"/>
  <c r="O753" i="1"/>
  <c r="O704" i="1"/>
  <c r="O357" i="1"/>
  <c r="O655" i="1"/>
  <c r="O644" i="1"/>
  <c r="N132" i="10"/>
  <c r="O127" i="1"/>
  <c r="O166" i="1"/>
  <c r="O32" i="1"/>
  <c r="O370" i="1"/>
  <c r="O191" i="1"/>
  <c r="N117" i="10"/>
  <c r="O167" i="1"/>
  <c r="O309" i="1"/>
  <c r="O227" i="1"/>
  <c r="O676" i="1"/>
  <c r="O289" i="1"/>
  <c r="O780" i="1"/>
  <c r="O210" i="1"/>
  <c r="O766" i="1"/>
  <c r="O213" i="1"/>
  <c r="N63" i="8"/>
  <c r="O65" i="1"/>
  <c r="N98" i="10"/>
  <c r="O254" i="1"/>
  <c r="O49" i="1"/>
  <c r="O725" i="1"/>
  <c r="O718" i="1"/>
  <c r="O57" i="1"/>
  <c r="N126" i="10"/>
  <c r="O623" i="1"/>
  <c r="O645" i="1"/>
  <c r="O715" i="1"/>
  <c r="O76" i="1"/>
  <c r="O706" i="1"/>
  <c r="O20" i="1"/>
  <c r="O657" i="1"/>
  <c r="O77" i="1"/>
  <c r="O652" i="1"/>
  <c r="O83" i="1"/>
  <c r="O369" i="1"/>
  <c r="O642" i="1"/>
  <c r="O716" i="1"/>
  <c r="O62" i="1"/>
  <c r="O673" i="1"/>
  <c r="O723" i="1"/>
  <c r="O271" i="1"/>
  <c r="O336" i="1"/>
  <c r="O113" i="1"/>
  <c r="O264" i="1"/>
  <c r="O322" i="1"/>
  <c r="O93" i="1"/>
  <c r="O37" i="1"/>
  <c r="O356" i="1"/>
  <c r="O144" i="1"/>
  <c r="O683" i="1"/>
  <c r="O777" i="1"/>
  <c r="O126" i="1"/>
  <c r="O709" i="1"/>
  <c r="O403" i="1"/>
  <c r="O323" i="1"/>
  <c r="O24" i="1"/>
  <c r="O711" i="1"/>
  <c r="O650" i="1"/>
  <c r="O230" i="1"/>
  <c r="O308" i="1"/>
  <c r="O635" i="1"/>
  <c r="O31" i="1"/>
  <c r="O392" i="1"/>
  <c r="O701" i="1"/>
  <c r="O114" i="1"/>
  <c r="O231" i="1"/>
  <c r="O89" i="1"/>
  <c r="O738" i="1"/>
  <c r="O301" i="1"/>
  <c r="O152" i="1"/>
  <c r="O313" i="1"/>
  <c r="O656" i="1"/>
  <c r="O675" i="1"/>
  <c r="O671" i="1"/>
  <c r="O171" i="1"/>
  <c r="O774" i="1"/>
  <c r="O44" i="1"/>
  <c r="O238" i="1"/>
  <c r="O319" i="1"/>
  <c r="O163" i="1"/>
  <c r="O767" i="1"/>
  <c r="O684" i="1"/>
  <c r="O56" i="1"/>
  <c r="O662" i="1"/>
  <c r="O630" i="1"/>
  <c r="O311" i="1"/>
  <c r="O674" i="1"/>
  <c r="O39" i="1"/>
  <c r="O700" i="1"/>
  <c r="O292" i="1"/>
  <c r="O746" i="1"/>
  <c r="O299" i="1"/>
  <c r="O64" i="1"/>
  <c r="O88" i="1"/>
  <c r="O250" i="1"/>
  <c r="N120" i="10"/>
  <c r="O368" i="1"/>
  <c r="O35" i="1"/>
  <c r="O737" i="1"/>
  <c r="O149" i="1"/>
  <c r="N125" i="10"/>
  <c r="O622" i="1"/>
  <c r="O52" i="1"/>
  <c r="N135" i="10"/>
  <c r="O275" i="1"/>
  <c r="O395" i="1"/>
  <c r="O156" i="1"/>
  <c r="O147" i="1"/>
  <c r="O332" i="1"/>
  <c r="O268" i="1"/>
  <c r="O670" i="1"/>
  <c r="O190" i="1"/>
  <c r="O632" i="1"/>
  <c r="O34" i="1"/>
  <c r="O58" i="1"/>
  <c r="O658" i="1"/>
  <c r="O714" i="1"/>
  <c r="O272" i="1"/>
  <c r="O21" i="1"/>
  <c r="O225" i="1"/>
  <c r="N277" i="1"/>
  <c r="P54" i="10" l="1"/>
  <c r="P363" i="8"/>
  <c r="P63" i="8"/>
  <c r="S282" i="1"/>
  <c r="R282" i="1"/>
  <c r="Q282" i="1"/>
  <c r="P282" i="1"/>
  <c r="Q277" i="1"/>
  <c r="P277" i="1"/>
  <c r="S277" i="1"/>
  <c r="R277" i="1"/>
  <c r="Q263" i="1"/>
  <c r="P263" i="1"/>
  <c r="R263" i="1"/>
  <c r="S263" i="1"/>
  <c r="P262" i="1"/>
  <c r="S262" i="1"/>
  <c r="R262" i="1"/>
  <c r="Q262" i="1"/>
  <c r="R261" i="1"/>
  <c r="P261" i="1"/>
  <c r="S261" i="1"/>
  <c r="Q261" i="1"/>
  <c r="P260" i="1"/>
  <c r="R260" i="1"/>
  <c r="Q260" i="1"/>
  <c r="S260" i="1"/>
  <c r="Q237" i="1"/>
  <c r="R237" i="1"/>
  <c r="P237" i="1"/>
  <c r="S237" i="1"/>
  <c r="P107" i="1"/>
  <c r="S107" i="1"/>
  <c r="Q107" i="1"/>
  <c r="R107" i="1"/>
  <c r="Q275" i="1"/>
  <c r="S275" i="1"/>
  <c r="R275" i="1"/>
  <c r="P275" i="1"/>
  <c r="S321" i="1"/>
  <c r="R321" i="1"/>
  <c r="P321" i="1"/>
  <c r="Q321" i="1"/>
  <c r="Q319" i="1"/>
  <c r="P319" i="1"/>
  <c r="S319" i="1"/>
  <c r="R319" i="1"/>
  <c r="R185" i="1"/>
  <c r="Q185" i="1"/>
  <c r="S185" i="1"/>
  <c r="P185" i="1"/>
  <c r="P320" i="1"/>
  <c r="R320" i="1"/>
  <c r="S320" i="1"/>
  <c r="Q320" i="1"/>
  <c r="P119" i="10"/>
  <c r="P136" i="10"/>
  <c r="P117" i="10"/>
  <c r="P130" i="10"/>
  <c r="P135" i="10"/>
  <c r="P121" i="10"/>
  <c r="P120" i="10"/>
  <c r="P128" i="10"/>
  <c r="P125" i="10"/>
  <c r="P118" i="10"/>
  <c r="P122" i="10"/>
  <c r="P129" i="10"/>
  <c r="P131" i="10"/>
  <c r="P127" i="10"/>
  <c r="P132" i="10"/>
  <c r="P126" i="10"/>
  <c r="P124" i="10"/>
  <c r="P133" i="10"/>
  <c r="P123" i="10"/>
  <c r="P98" i="10"/>
  <c r="P134" i="10"/>
  <c r="S238" i="1"/>
  <c r="R238" i="1"/>
  <c r="Q238" i="1"/>
  <c r="P238" i="1"/>
  <c r="Q409" i="1"/>
  <c r="P409" i="1"/>
  <c r="S409" i="1"/>
  <c r="P308" i="1"/>
  <c r="Q308" i="1"/>
  <c r="S308" i="1"/>
  <c r="Q301" i="1"/>
  <c r="P301" i="1"/>
  <c r="S301" i="1"/>
  <c r="S310" i="1"/>
  <c r="P310" i="1"/>
  <c r="Q310" i="1"/>
  <c r="Q317" i="1"/>
  <c r="S317" i="1"/>
  <c r="P317" i="1"/>
  <c r="Q311" i="1"/>
  <c r="S311" i="1"/>
  <c r="P311" i="1"/>
  <c r="P316" i="1"/>
  <c r="Q316" i="1"/>
  <c r="S316" i="1"/>
  <c r="S305" i="1"/>
  <c r="P305" i="1"/>
  <c r="Q305" i="1"/>
  <c r="S307" i="1"/>
  <c r="Q307" i="1"/>
  <c r="P307" i="1"/>
  <c r="Q408" i="1"/>
  <c r="S408" i="1"/>
  <c r="P408" i="1"/>
  <c r="S298" i="1"/>
  <c r="P298" i="1"/>
  <c r="Q298" i="1"/>
  <c r="S313" i="1"/>
  <c r="P313" i="1"/>
  <c r="Q313" i="1"/>
  <c r="Q302" i="1"/>
  <c r="S302" i="1"/>
  <c r="P302" i="1"/>
  <c r="P303" i="1"/>
  <c r="Q303" i="1"/>
  <c r="S303" i="1"/>
  <c r="S366" i="1"/>
  <c r="Q366" i="1"/>
  <c r="P366" i="1"/>
  <c r="S300" i="1"/>
  <c r="P300" i="1"/>
  <c r="Q300" i="1"/>
  <c r="S312" i="1"/>
  <c r="P312" i="1"/>
  <c r="Q312" i="1"/>
  <c r="P304" i="1"/>
  <c r="S304" i="1"/>
  <c r="Q304" i="1"/>
  <c r="S306" i="1"/>
  <c r="P306" i="1"/>
  <c r="Q306" i="1"/>
  <c r="Q309" i="1"/>
  <c r="S309" i="1"/>
  <c r="P309" i="1"/>
  <c r="S299" i="1"/>
  <c r="P299" i="1"/>
  <c r="Q299" i="1"/>
  <c r="Q314" i="1"/>
  <c r="P314" i="1"/>
  <c r="S314" i="1"/>
  <c r="S315" i="1"/>
  <c r="P315" i="1"/>
  <c r="Q315" i="1"/>
  <c r="S272" i="1"/>
  <c r="R272" i="1"/>
  <c r="S294" i="1"/>
  <c r="R294" i="1"/>
  <c r="Q294" i="1"/>
  <c r="Q285" i="1"/>
  <c r="S285" i="1"/>
  <c r="R285" i="1"/>
  <c r="Q295" i="1"/>
  <c r="S295" i="1"/>
  <c r="R295" i="1"/>
  <c r="R269" i="1"/>
  <c r="S269" i="1"/>
  <c r="Q292" i="1"/>
  <c r="R292" i="1"/>
  <c r="S292" i="1"/>
  <c r="R267" i="1"/>
  <c r="S267" i="1"/>
  <c r="R281" i="1"/>
  <c r="S281" i="1"/>
  <c r="Q281" i="1"/>
  <c r="Q291" i="1"/>
  <c r="R291" i="1"/>
  <c r="S291" i="1"/>
  <c r="Q274" i="1"/>
  <c r="S274" i="1"/>
  <c r="R274" i="1"/>
  <c r="S271" i="1"/>
  <c r="R271" i="1"/>
  <c r="Q273" i="1"/>
  <c r="S273" i="1"/>
  <c r="R273" i="1"/>
  <c r="S268" i="1"/>
  <c r="R268" i="1"/>
  <c r="S293" i="1"/>
  <c r="R293" i="1"/>
  <c r="Q293" i="1"/>
  <c r="S284" i="1"/>
  <c r="R284" i="1"/>
  <c r="Q284" i="1"/>
  <c r="Q296" i="1"/>
  <c r="S296" i="1"/>
  <c r="R296" i="1"/>
  <c r="S279" i="1"/>
  <c r="R279" i="1"/>
  <c r="Q279" i="1"/>
  <c r="R289" i="1"/>
  <c r="Q289" i="1"/>
  <c r="S289" i="1"/>
  <c r="R276" i="1"/>
  <c r="Q276" i="1"/>
  <c r="S276" i="1"/>
  <c r="R278" i="1"/>
  <c r="Q278" i="1"/>
  <c r="S278" i="1"/>
  <c r="R270" i="1"/>
  <c r="S270" i="1"/>
  <c r="R280" i="1"/>
  <c r="Q280" i="1"/>
  <c r="S280" i="1"/>
  <c r="S288" i="1"/>
  <c r="R288" i="1"/>
  <c r="Q288" i="1"/>
  <c r="Q287" i="1"/>
  <c r="S287" i="1"/>
  <c r="R287" i="1"/>
  <c r="D221" i="4"/>
  <c r="D220" i="4"/>
  <c r="D219" i="4"/>
  <c r="D218" i="4"/>
  <c r="D217" i="4"/>
  <c r="N663" i="8"/>
  <c r="N508" i="1"/>
  <c r="N614" i="1"/>
  <c r="N583" i="1"/>
  <c r="N477" i="1"/>
  <c r="N486" i="1"/>
  <c r="N544" i="1"/>
  <c r="N595" i="1"/>
  <c r="N575" i="1"/>
  <c r="N542" i="1"/>
  <c r="N525" i="1"/>
  <c r="N613" i="1"/>
  <c r="N559" i="1"/>
  <c r="N510" i="1"/>
  <c r="N493" i="1"/>
  <c r="N496" i="1"/>
  <c r="N589" i="1"/>
  <c r="N617" i="1"/>
  <c r="N539" i="1"/>
  <c r="N485" i="1"/>
  <c r="N459" i="1"/>
  <c r="N443" i="1"/>
  <c r="N478" i="1"/>
  <c r="N551" i="1"/>
  <c r="N567" i="1"/>
  <c r="N483" i="1"/>
  <c r="N598" i="1"/>
  <c r="N441" i="1"/>
  <c r="N523" i="1"/>
  <c r="N599" i="1"/>
  <c r="N590" i="1"/>
  <c r="N442" i="1"/>
  <c r="N472" i="1"/>
  <c r="N512" i="1"/>
  <c r="N511" i="1"/>
  <c r="N534" i="1"/>
  <c r="N515" i="1"/>
  <c r="N545" i="1"/>
  <c r="N482" i="1"/>
  <c r="N563" i="1"/>
  <c r="N573" i="1"/>
  <c r="N476" i="1"/>
  <c r="N436" i="1"/>
  <c r="N603" i="1"/>
  <c r="N601" i="1"/>
  <c r="N503" i="1"/>
  <c r="N568" i="1"/>
  <c r="N470" i="1"/>
  <c r="N556" i="1"/>
  <c r="N491" i="1"/>
  <c r="N495" i="1"/>
  <c r="N612" i="1"/>
  <c r="N451" i="1"/>
  <c r="N546" i="1"/>
  <c r="N439" i="1"/>
  <c r="N452" i="1"/>
  <c r="N433" i="1"/>
  <c r="N581" i="1"/>
  <c r="N504" i="1"/>
  <c r="N550" i="1"/>
  <c r="N619" i="1"/>
  <c r="N447" i="1"/>
  <c r="N578" i="1"/>
  <c r="N591" i="1"/>
  <c r="N467" i="1"/>
  <c r="N606" i="1"/>
  <c r="N529" i="1"/>
  <c r="N584" i="1"/>
  <c r="N541" i="1"/>
  <c r="N540" i="1"/>
  <c r="N600" i="1"/>
  <c r="N509" i="1"/>
  <c r="N566" i="1"/>
  <c r="N527" i="1"/>
  <c r="N616" i="1"/>
  <c r="N429" i="1"/>
  <c r="N474" i="1"/>
  <c r="N585" i="1"/>
  <c r="N537" i="1"/>
  <c r="N587" i="1"/>
  <c r="N548" i="1"/>
  <c r="N444" i="1"/>
  <c r="N535" i="1"/>
  <c r="N521" i="1"/>
  <c r="N532" i="1"/>
  <c r="N449" i="1"/>
  <c r="N457" i="1"/>
  <c r="N438" i="1"/>
  <c r="N468" i="1"/>
  <c r="N440" i="1"/>
  <c r="N530" i="1"/>
  <c r="N475" i="1"/>
  <c r="N455" i="1"/>
  <c r="N586" i="1"/>
  <c r="N518" i="1"/>
  <c r="N547" i="1"/>
  <c r="N522" i="1"/>
  <c r="N437" i="1"/>
  <c r="N543" i="1"/>
  <c r="N469" i="1"/>
  <c r="N524" i="1"/>
  <c r="N620" i="1"/>
  <c r="N608" i="1"/>
  <c r="N602" i="1"/>
  <c r="N597" i="1"/>
  <c r="N497" i="1"/>
  <c r="N596" i="1"/>
  <c r="N564" i="1"/>
  <c r="N466" i="1"/>
  <c r="N531" i="1"/>
  <c r="N506" i="1"/>
  <c r="N557" i="1"/>
  <c r="N579" i="1"/>
  <c r="N594" i="1"/>
  <c r="N615" i="1"/>
  <c r="N492" i="1"/>
  <c r="N505" i="1"/>
  <c r="N533" i="1"/>
  <c r="N500" i="1"/>
  <c r="N574" i="1"/>
  <c r="N536" i="1"/>
  <c r="N552" i="1"/>
  <c r="N560" i="1"/>
  <c r="N555" i="1"/>
  <c r="N558" i="1"/>
  <c r="N570" i="1"/>
  <c r="N456" i="1"/>
  <c r="N450" i="1"/>
  <c r="N582" i="1"/>
  <c r="N526" i="1"/>
  <c r="N454" i="1"/>
  <c r="N490" i="1"/>
  <c r="N611" i="1"/>
  <c r="N462" i="1"/>
  <c r="N458" i="1"/>
  <c r="N538" i="1"/>
  <c r="N514" i="1"/>
  <c r="N516" i="1"/>
  <c r="N609" i="1"/>
  <c r="N605" i="1"/>
  <c r="N588" i="1"/>
  <c r="N607" i="1"/>
  <c r="N592" i="1"/>
  <c r="N528" i="1"/>
  <c r="N499" i="1"/>
  <c r="N580" i="1"/>
  <c r="N473" i="1"/>
  <c r="N430" i="1"/>
  <c r="N484" i="1"/>
  <c r="N507" i="1"/>
  <c r="N565" i="1"/>
  <c r="N562" i="1"/>
  <c r="N604" i="1"/>
  <c r="N460" i="1"/>
  <c r="N471" i="1"/>
  <c r="N489" i="1"/>
  <c r="N571" i="1"/>
  <c r="N487" i="1"/>
  <c r="N561" i="1"/>
  <c r="N513" i="1"/>
  <c r="N610" i="1"/>
  <c r="N502" i="1"/>
  <c r="N498" i="1"/>
  <c r="N520" i="1"/>
  <c r="N434" i="1"/>
  <c r="N431" i="1"/>
  <c r="N432" i="1"/>
  <c r="N517" i="1"/>
  <c r="N461" i="1"/>
  <c r="N519" i="1"/>
  <c r="N488" i="1"/>
  <c r="N569" i="1"/>
  <c r="N572" i="1"/>
  <c r="N577" i="1"/>
  <c r="N494" i="1"/>
  <c r="N448" i="1"/>
  <c r="N464" i="1"/>
  <c r="N465" i="1"/>
  <c r="N435" i="1"/>
  <c r="N618" i="1"/>
  <c r="N549" i="1"/>
  <c r="N576" i="1"/>
  <c r="N463" i="1"/>
  <c r="N593" i="1"/>
  <c r="N501" i="1"/>
  <c r="P613" i="1" l="1"/>
  <c r="P609" i="1"/>
  <c r="P610" i="1"/>
  <c r="P607" i="1"/>
  <c r="P608" i="1"/>
  <c r="P612" i="1"/>
  <c r="P611" i="1"/>
  <c r="P606" i="1"/>
  <c r="Q482" i="1"/>
  <c r="Q484" i="1"/>
  <c r="Q452" i="1"/>
  <c r="Q451" i="1"/>
  <c r="Q450" i="1"/>
  <c r="Q449" i="1"/>
  <c r="Q22" i="8"/>
  <c r="P484" i="1"/>
  <c r="P482" i="1"/>
  <c r="Q272" i="1"/>
  <c r="Q271" i="1"/>
  <c r="Q268" i="1"/>
  <c r="Q269" i="1"/>
  <c r="P270" i="1"/>
  <c r="Q270" i="1"/>
  <c r="Q267" i="1"/>
  <c r="P663" i="8"/>
  <c r="Q61" i="10"/>
  <c r="Q63" i="10"/>
  <c r="Q57" i="10"/>
  <c r="Q62" i="10"/>
  <c r="Q58" i="10"/>
  <c r="Q60" i="10"/>
  <c r="Q64" i="10"/>
  <c r="Q59" i="10"/>
  <c r="Q483" i="1"/>
  <c r="P483" i="1"/>
  <c r="Q14" i="8"/>
  <c r="Q448" i="1"/>
  <c r="P452" i="1"/>
  <c r="P450" i="1"/>
  <c r="P449" i="1"/>
  <c r="S777" i="1"/>
  <c r="R777" i="1"/>
  <c r="Q777" i="1"/>
  <c r="P777" i="1"/>
  <c r="Q775" i="1"/>
  <c r="P775" i="1"/>
  <c r="S775" i="1"/>
  <c r="R775" i="1"/>
  <c r="P647" i="1"/>
  <c r="Q647" i="1"/>
  <c r="R647" i="1"/>
  <c r="S647" i="1"/>
  <c r="P712" i="1"/>
  <c r="R712" i="1"/>
  <c r="Q712" i="1"/>
  <c r="S712" i="1"/>
  <c r="S691" i="1"/>
  <c r="R691" i="1"/>
  <c r="P691" i="1"/>
  <c r="Q691" i="1"/>
  <c r="P694" i="1"/>
  <c r="R694" i="1"/>
  <c r="Q694" i="1"/>
  <c r="S694" i="1"/>
  <c r="S635" i="1"/>
  <c r="P635" i="1"/>
  <c r="R635" i="1"/>
  <c r="Q635" i="1"/>
  <c r="Q727" i="1"/>
  <c r="P727" i="1"/>
  <c r="S727" i="1"/>
  <c r="R727" i="1"/>
  <c r="S676" i="1"/>
  <c r="R676" i="1"/>
  <c r="Q676" i="1"/>
  <c r="P676" i="1"/>
  <c r="Q774" i="1"/>
  <c r="R774" i="1"/>
  <c r="P774" i="1"/>
  <c r="S774" i="1"/>
  <c r="R683" i="1"/>
  <c r="P683" i="1"/>
  <c r="S683" i="1"/>
  <c r="Q683" i="1"/>
  <c r="Q649" i="1"/>
  <c r="S649" i="1"/>
  <c r="R649" i="1"/>
  <c r="P649" i="1"/>
  <c r="R663" i="1"/>
  <c r="S663" i="1"/>
  <c r="Q663" i="1"/>
  <c r="P663" i="1"/>
  <c r="R745" i="1"/>
  <c r="Q745" i="1"/>
  <c r="S745" i="1"/>
  <c r="P745" i="1"/>
  <c r="P737" i="1"/>
  <c r="Q737" i="1"/>
  <c r="S737" i="1"/>
  <c r="R737" i="1"/>
  <c r="R679" i="1"/>
  <c r="Q679" i="1"/>
  <c r="S679" i="1"/>
  <c r="P679" i="1"/>
  <c r="P664" i="1"/>
  <c r="Q664" i="1"/>
  <c r="S664" i="1"/>
  <c r="R664" i="1"/>
  <c r="S731" i="1"/>
  <c r="Q731" i="1"/>
  <c r="R731" i="1"/>
  <c r="P731" i="1"/>
  <c r="S659" i="1"/>
  <c r="P659" i="1"/>
  <c r="R659" i="1"/>
  <c r="Q659" i="1"/>
  <c r="R697" i="1"/>
  <c r="S697" i="1"/>
  <c r="P697" i="1"/>
  <c r="Q697" i="1"/>
  <c r="R667" i="1"/>
  <c r="Q667" i="1"/>
  <c r="P667" i="1"/>
  <c r="S667" i="1"/>
  <c r="P634" i="1"/>
  <c r="R634" i="1"/>
  <c r="Q634" i="1"/>
  <c r="S634" i="1"/>
  <c r="R650" i="1"/>
  <c r="S650" i="1"/>
  <c r="Q650" i="1"/>
  <c r="P650" i="1"/>
  <c r="R782" i="1"/>
  <c r="S782" i="1"/>
  <c r="P782" i="1"/>
  <c r="Q782" i="1"/>
  <c r="S713" i="1"/>
  <c r="P713" i="1"/>
  <c r="R713" i="1"/>
  <c r="Q713" i="1"/>
  <c r="P630" i="1"/>
  <c r="R630" i="1"/>
  <c r="S630" i="1"/>
  <c r="Q630" i="1"/>
  <c r="Q716" i="1"/>
  <c r="S716" i="1"/>
  <c r="P716" i="1"/>
  <c r="R716" i="1"/>
  <c r="P725" i="1"/>
  <c r="S725" i="1"/>
  <c r="R725" i="1"/>
  <c r="Q725" i="1"/>
  <c r="R660" i="1"/>
  <c r="Q660" i="1"/>
  <c r="S660" i="1"/>
  <c r="P660" i="1"/>
  <c r="S380" i="1"/>
  <c r="R380" i="1"/>
  <c r="Q380" i="1"/>
  <c r="S690" i="1"/>
  <c r="P690" i="1"/>
  <c r="R690" i="1"/>
  <c r="Q690" i="1"/>
  <c r="Q710" i="1"/>
  <c r="P710" i="1"/>
  <c r="S710" i="1"/>
  <c r="R710" i="1"/>
  <c r="S693" i="1"/>
  <c r="Q693" i="1"/>
  <c r="R693" i="1"/>
  <c r="P693" i="1"/>
  <c r="Q674" i="1"/>
  <c r="S674" i="1"/>
  <c r="R674" i="1"/>
  <c r="P674" i="1"/>
  <c r="S673" i="1"/>
  <c r="R673" i="1"/>
  <c r="Q673" i="1"/>
  <c r="P673" i="1"/>
  <c r="R633" i="1"/>
  <c r="S633" i="1"/>
  <c r="Q633" i="1"/>
  <c r="P633" i="1"/>
  <c r="P755" i="1"/>
  <c r="S755" i="1"/>
  <c r="R755" i="1"/>
  <c r="Q755" i="1"/>
  <c r="R756" i="1"/>
  <c r="S756" i="1"/>
  <c r="P756" i="1"/>
  <c r="Q756" i="1"/>
  <c r="R105" i="1"/>
  <c r="S105" i="1"/>
  <c r="Q105" i="1"/>
  <c r="R655" i="1"/>
  <c r="P655" i="1"/>
  <c r="S655" i="1"/>
  <c r="Q655" i="1"/>
  <c r="Q12" i="10"/>
  <c r="S759" i="1"/>
  <c r="P759" i="1"/>
  <c r="R759" i="1"/>
  <c r="Q759" i="1"/>
  <c r="P671" i="1"/>
  <c r="S671" i="1"/>
  <c r="R671" i="1"/>
  <c r="Q671" i="1"/>
  <c r="R640" i="1"/>
  <c r="S640" i="1"/>
  <c r="Q640" i="1"/>
  <c r="P640" i="1"/>
  <c r="P754" i="1"/>
  <c r="Q754" i="1"/>
  <c r="R754" i="1"/>
  <c r="S754" i="1"/>
  <c r="P685" i="1"/>
  <c r="Q685" i="1"/>
  <c r="S685" i="1"/>
  <c r="R685" i="1"/>
  <c r="S666" i="1"/>
  <c r="R666" i="1"/>
  <c r="P666" i="1"/>
  <c r="Q666" i="1"/>
  <c r="Q741" i="1"/>
  <c r="P741" i="1"/>
  <c r="R741" i="1"/>
  <c r="S741" i="1"/>
  <c r="P772" i="1"/>
  <c r="Q772" i="1"/>
  <c r="R772" i="1"/>
  <c r="S772" i="1"/>
  <c r="R743" i="1"/>
  <c r="S743" i="1"/>
  <c r="Q743" i="1"/>
  <c r="P743" i="1"/>
  <c r="Q735" i="1"/>
  <c r="S735" i="1"/>
  <c r="P735" i="1"/>
  <c r="R735" i="1"/>
  <c r="R706" i="1"/>
  <c r="P706" i="1"/>
  <c r="Q706" i="1"/>
  <c r="S706" i="1"/>
  <c r="R114" i="1"/>
  <c r="Q114" i="1"/>
  <c r="S114" i="1"/>
  <c r="S723" i="1"/>
  <c r="Q723" i="1"/>
  <c r="R723" i="1"/>
  <c r="P723" i="1"/>
  <c r="S17" i="1"/>
  <c r="P17" i="1"/>
  <c r="Q17" i="1"/>
  <c r="R778" i="1"/>
  <c r="S778" i="1"/>
  <c r="Q778" i="1"/>
  <c r="P778" i="1"/>
  <c r="R771" i="1"/>
  <c r="P771" i="1"/>
  <c r="S771" i="1"/>
  <c r="Q771" i="1"/>
  <c r="R638" i="1"/>
  <c r="S638" i="1"/>
  <c r="P638" i="1"/>
  <c r="Q638" i="1"/>
  <c r="P680" i="1"/>
  <c r="Q680" i="1"/>
  <c r="S680" i="1"/>
  <c r="R680" i="1"/>
  <c r="R657" i="1"/>
  <c r="S657" i="1"/>
  <c r="P657" i="1"/>
  <c r="Q657" i="1"/>
  <c r="P672" i="1"/>
  <c r="S672" i="1"/>
  <c r="Q672" i="1"/>
  <c r="R672" i="1"/>
  <c r="R719" i="1"/>
  <c r="S719" i="1"/>
  <c r="Q719" i="1"/>
  <c r="P719" i="1"/>
  <c r="Q124" i="1"/>
  <c r="R124" i="1"/>
  <c r="S124" i="1"/>
  <c r="Q149" i="1"/>
  <c r="S149" i="1"/>
  <c r="R149" i="1"/>
  <c r="S689" i="1"/>
  <c r="P689" i="1"/>
  <c r="Q689" i="1"/>
  <c r="R689" i="1"/>
  <c r="P686" i="1"/>
  <c r="R686" i="1"/>
  <c r="Q686" i="1"/>
  <c r="S686" i="1"/>
  <c r="R769" i="1"/>
  <c r="Q769" i="1"/>
  <c r="P769" i="1"/>
  <c r="S769" i="1"/>
  <c r="S703" i="1"/>
  <c r="P703" i="1"/>
  <c r="Q703" i="1"/>
  <c r="R703" i="1"/>
  <c r="Q652" i="1"/>
  <c r="S652" i="1"/>
  <c r="P652" i="1"/>
  <c r="R652" i="1"/>
  <c r="Q758" i="1"/>
  <c r="R758" i="1"/>
  <c r="S758" i="1"/>
  <c r="P758" i="1"/>
  <c r="Q639" i="1"/>
  <c r="P639" i="1"/>
  <c r="R639" i="1"/>
  <c r="S639" i="1"/>
  <c r="P688" i="1"/>
  <c r="Q688" i="1"/>
  <c r="R688" i="1"/>
  <c r="S688" i="1"/>
  <c r="P780" i="1"/>
  <c r="Q780" i="1"/>
  <c r="R780" i="1"/>
  <c r="S780" i="1"/>
  <c r="P720" i="1"/>
  <c r="R720" i="1"/>
  <c r="S720" i="1"/>
  <c r="Q720" i="1"/>
  <c r="S746" i="1"/>
  <c r="P746" i="1"/>
  <c r="R746" i="1"/>
  <c r="Q746" i="1"/>
  <c r="P709" i="1"/>
  <c r="S709" i="1"/>
  <c r="Q709" i="1"/>
  <c r="R709" i="1"/>
  <c r="P651" i="1"/>
  <c r="Q651" i="1"/>
  <c r="S651" i="1"/>
  <c r="R651" i="1"/>
  <c r="R695" i="1"/>
  <c r="Q695" i="1"/>
  <c r="S695" i="1"/>
  <c r="P695" i="1"/>
  <c r="R715" i="1"/>
  <c r="P715" i="1"/>
  <c r="Q715" i="1"/>
  <c r="S715" i="1"/>
  <c r="P677" i="1"/>
  <c r="R677" i="1"/>
  <c r="S677" i="1"/>
  <c r="Q677" i="1"/>
  <c r="S698" i="1"/>
  <c r="R698" i="1"/>
  <c r="Q698" i="1"/>
  <c r="P698" i="1"/>
  <c r="P707" i="1"/>
  <c r="S707" i="1"/>
  <c r="Q707" i="1"/>
  <c r="R707" i="1"/>
  <c r="P752" i="1"/>
  <c r="Q752" i="1"/>
  <c r="S752" i="1"/>
  <c r="R752" i="1"/>
  <c r="S765" i="1"/>
  <c r="P765" i="1"/>
  <c r="R765" i="1"/>
  <c r="Q765" i="1"/>
  <c r="R115" i="1"/>
  <c r="S115" i="1"/>
  <c r="Q115" i="1"/>
  <c r="R696" i="1"/>
  <c r="Q696" i="1"/>
  <c r="P696" i="1"/>
  <c r="S696" i="1"/>
  <c r="R776" i="1"/>
  <c r="P776" i="1"/>
  <c r="S776" i="1"/>
  <c r="Q776" i="1"/>
  <c r="P642" i="1"/>
  <c r="Q642" i="1"/>
  <c r="S642" i="1"/>
  <c r="R642" i="1"/>
  <c r="P717" i="1"/>
  <c r="Q717" i="1"/>
  <c r="R717" i="1"/>
  <c r="S717" i="1"/>
  <c r="Q757" i="1"/>
  <c r="S757" i="1"/>
  <c r="R757" i="1"/>
  <c r="P757" i="1"/>
  <c r="S668" i="1"/>
  <c r="Q668" i="1"/>
  <c r="R668" i="1"/>
  <c r="P668" i="1"/>
  <c r="P669" i="1"/>
  <c r="Q669" i="1"/>
  <c r="R669" i="1"/>
  <c r="S669" i="1"/>
  <c r="R701" i="1"/>
  <c r="Q701" i="1"/>
  <c r="S701" i="1"/>
  <c r="P701" i="1"/>
  <c r="S773" i="1"/>
  <c r="R773" i="1"/>
  <c r="Q773" i="1"/>
  <c r="P773" i="1"/>
  <c r="P636" i="1"/>
  <c r="S636" i="1"/>
  <c r="Q636" i="1"/>
  <c r="R636" i="1"/>
  <c r="S631" i="1"/>
  <c r="P631" i="1"/>
  <c r="Q631" i="1"/>
  <c r="R631" i="1"/>
  <c r="P749" i="1"/>
  <c r="Q749" i="1"/>
  <c r="S749" i="1"/>
  <c r="R749" i="1"/>
  <c r="Q648" i="1"/>
  <c r="S648" i="1"/>
  <c r="P648" i="1"/>
  <c r="R648" i="1"/>
  <c r="S768" i="1"/>
  <c r="P768" i="1"/>
  <c r="Q768" i="1"/>
  <c r="R768" i="1"/>
  <c r="Q704" i="1"/>
  <c r="P704" i="1"/>
  <c r="R704" i="1"/>
  <c r="S704" i="1"/>
  <c r="S781" i="1"/>
  <c r="R781" i="1"/>
  <c r="P781" i="1"/>
  <c r="Q781" i="1"/>
  <c r="Q654" i="1"/>
  <c r="S654" i="1"/>
  <c r="P654" i="1"/>
  <c r="R654" i="1"/>
  <c r="R665" i="1"/>
  <c r="S665" i="1"/>
  <c r="P665" i="1"/>
  <c r="Q665" i="1"/>
  <c r="S733" i="1"/>
  <c r="R733" i="1"/>
  <c r="Q733" i="1"/>
  <c r="P733" i="1"/>
  <c r="Q11" i="10"/>
  <c r="Q711" i="1"/>
  <c r="P711" i="1"/>
  <c r="S711" i="1"/>
  <c r="R711" i="1"/>
  <c r="Q12" i="8"/>
  <c r="S721" i="1"/>
  <c r="Q721" i="1"/>
  <c r="P721" i="1"/>
  <c r="R721" i="1"/>
  <c r="Q13" i="8"/>
  <c r="S739" i="1"/>
  <c r="P739" i="1"/>
  <c r="Q739" i="1"/>
  <c r="R739" i="1"/>
  <c r="Q767" i="1"/>
  <c r="S767" i="1"/>
  <c r="R767" i="1"/>
  <c r="P767" i="1"/>
  <c r="S732" i="1"/>
  <c r="Q732" i="1"/>
  <c r="R732" i="1"/>
  <c r="P732" i="1"/>
  <c r="S700" i="1"/>
  <c r="R700" i="1"/>
  <c r="P700" i="1"/>
  <c r="Q700" i="1"/>
  <c r="Q766" i="1"/>
  <c r="R766" i="1"/>
  <c r="P766" i="1"/>
  <c r="S766" i="1"/>
  <c r="P678" i="1"/>
  <c r="Q678" i="1"/>
  <c r="S678" i="1"/>
  <c r="R678" i="1"/>
  <c r="R658" i="1"/>
  <c r="S658" i="1"/>
  <c r="Q658" i="1"/>
  <c r="P658" i="1"/>
  <c r="Q11" i="8"/>
  <c r="R708" i="1"/>
  <c r="Q708" i="1"/>
  <c r="P708" i="1"/>
  <c r="S708" i="1"/>
  <c r="Q740" i="1"/>
  <c r="R740" i="1"/>
  <c r="S740" i="1"/>
  <c r="P740" i="1"/>
  <c r="S85" i="1"/>
  <c r="Q85" i="1"/>
  <c r="P85" i="1"/>
  <c r="S645" i="1"/>
  <c r="P645" i="1"/>
  <c r="Q645" i="1"/>
  <c r="R645" i="1"/>
  <c r="P681" i="1"/>
  <c r="S681" i="1"/>
  <c r="Q681" i="1"/>
  <c r="R681" i="1"/>
  <c r="S682" i="1"/>
  <c r="P682" i="1"/>
  <c r="Q682" i="1"/>
  <c r="R682" i="1"/>
  <c r="P628" i="1"/>
  <c r="Q628" i="1"/>
  <c r="S628" i="1"/>
  <c r="R628" i="1"/>
  <c r="Q653" i="1"/>
  <c r="P653" i="1"/>
  <c r="S653" i="1"/>
  <c r="R653" i="1"/>
  <c r="Q51" i="1"/>
  <c r="P51" i="1"/>
  <c r="S51" i="1"/>
  <c r="S126" i="1"/>
  <c r="R126" i="1"/>
  <c r="Q126" i="1"/>
  <c r="R662" i="1"/>
  <c r="Q662" i="1"/>
  <c r="P662" i="1"/>
  <c r="S662" i="1"/>
  <c r="Q644" i="1"/>
  <c r="P644" i="1"/>
  <c r="R644" i="1"/>
  <c r="S644" i="1"/>
  <c r="S764" i="1"/>
  <c r="P764" i="1"/>
  <c r="Q764" i="1"/>
  <c r="R764" i="1"/>
  <c r="P656" i="1"/>
  <c r="S656" i="1"/>
  <c r="R656" i="1"/>
  <c r="Q656" i="1"/>
  <c r="R629" i="1"/>
  <c r="P629" i="1"/>
  <c r="S629" i="1"/>
  <c r="Q629" i="1"/>
  <c r="P736" i="1"/>
  <c r="Q736" i="1"/>
  <c r="R736" i="1"/>
  <c r="S736" i="1"/>
  <c r="Q728" i="1"/>
  <c r="R728" i="1"/>
  <c r="P728" i="1"/>
  <c r="S728" i="1"/>
  <c r="P760" i="1"/>
  <c r="Q760" i="1"/>
  <c r="R760" i="1"/>
  <c r="S760" i="1"/>
  <c r="S643" i="1"/>
  <c r="R643" i="1"/>
  <c r="Q643" i="1"/>
  <c r="P643" i="1"/>
  <c r="S747" i="1"/>
  <c r="R747" i="1"/>
  <c r="Q747" i="1"/>
  <c r="P747" i="1"/>
  <c r="R744" i="1"/>
  <c r="S744" i="1"/>
  <c r="Q744" i="1"/>
  <c r="P744" i="1"/>
  <c r="P375" i="1"/>
  <c r="S375" i="1"/>
  <c r="Q375" i="1"/>
  <c r="S729" i="1"/>
  <c r="Q729" i="1"/>
  <c r="P729" i="1"/>
  <c r="R729" i="1"/>
  <c r="S750" i="1"/>
  <c r="Q750" i="1"/>
  <c r="R750" i="1"/>
  <c r="P750" i="1"/>
  <c r="S632" i="1"/>
  <c r="P632" i="1"/>
  <c r="R632" i="1"/>
  <c r="Q632" i="1"/>
  <c r="S751" i="1"/>
  <c r="P751" i="1"/>
  <c r="Q751" i="1"/>
  <c r="R751" i="1"/>
  <c r="S692" i="1"/>
  <c r="P692" i="1"/>
  <c r="R692" i="1"/>
  <c r="Q692" i="1"/>
  <c r="Q761" i="1"/>
  <c r="S761" i="1"/>
  <c r="R761" i="1"/>
  <c r="P761" i="1"/>
  <c r="Q699" i="1"/>
  <c r="P699" i="1"/>
  <c r="S699" i="1"/>
  <c r="R699" i="1"/>
  <c r="R641" i="1"/>
  <c r="P641" i="1"/>
  <c r="S641" i="1"/>
  <c r="Q641" i="1"/>
  <c r="S763" i="1"/>
  <c r="Q763" i="1"/>
  <c r="P763" i="1"/>
  <c r="R763" i="1"/>
  <c r="R705" i="1"/>
  <c r="Q705" i="1"/>
  <c r="S705" i="1"/>
  <c r="P705" i="1"/>
  <c r="P646" i="1"/>
  <c r="S646" i="1"/>
  <c r="Q646" i="1"/>
  <c r="R646" i="1"/>
  <c r="R742" i="1"/>
  <c r="S742" i="1"/>
  <c r="P742" i="1"/>
  <c r="Q742" i="1"/>
  <c r="R90" i="1"/>
  <c r="Q90" i="1"/>
  <c r="S90" i="1"/>
  <c r="Q172" i="1"/>
  <c r="S172" i="1"/>
  <c r="R172" i="1"/>
  <c r="R724" i="1"/>
  <c r="Q724" i="1"/>
  <c r="P724" i="1"/>
  <c r="S724" i="1"/>
  <c r="P675" i="1"/>
  <c r="S675" i="1"/>
  <c r="Q675" i="1"/>
  <c r="R675" i="1"/>
  <c r="P722" i="1"/>
  <c r="R722" i="1"/>
  <c r="Q722" i="1"/>
  <c r="S722" i="1"/>
  <c r="R770" i="1"/>
  <c r="P770" i="1"/>
  <c r="Q770" i="1"/>
  <c r="S770" i="1"/>
  <c r="Q762" i="1"/>
  <c r="P762" i="1"/>
  <c r="R762" i="1"/>
  <c r="S762" i="1"/>
  <c r="P702" i="1"/>
  <c r="S702" i="1"/>
  <c r="R702" i="1"/>
  <c r="Q702" i="1"/>
  <c r="P687" i="1"/>
  <c r="R687" i="1"/>
  <c r="S687" i="1"/>
  <c r="Q687" i="1"/>
  <c r="S726" i="1"/>
  <c r="R726" i="1"/>
  <c r="Q726" i="1"/>
  <c r="P726" i="1"/>
  <c r="Q266" i="1"/>
  <c r="S266" i="1"/>
  <c r="R266" i="1"/>
  <c r="Q753" i="1"/>
  <c r="R753" i="1"/>
  <c r="S753" i="1"/>
  <c r="P753" i="1"/>
  <c r="S714" i="1"/>
  <c r="P714" i="1"/>
  <c r="Q714" i="1"/>
  <c r="R714" i="1"/>
  <c r="S637" i="1"/>
  <c r="Q637" i="1"/>
  <c r="R637" i="1"/>
  <c r="P637" i="1"/>
  <c r="R748" i="1"/>
  <c r="P748" i="1"/>
  <c r="S748" i="1"/>
  <c r="Q748" i="1"/>
  <c r="R718" i="1"/>
  <c r="P718" i="1"/>
  <c r="S718" i="1"/>
  <c r="Q718" i="1"/>
  <c r="S684" i="1"/>
  <c r="Q684" i="1"/>
  <c r="P684" i="1"/>
  <c r="R684" i="1"/>
  <c r="Q738" i="1"/>
  <c r="R738" i="1"/>
  <c r="P738" i="1"/>
  <c r="S738" i="1"/>
  <c r="R734" i="1"/>
  <c r="S734" i="1"/>
  <c r="P734" i="1"/>
  <c r="Q734" i="1"/>
  <c r="S661" i="1"/>
  <c r="P661" i="1"/>
  <c r="Q661" i="1"/>
  <c r="R661" i="1"/>
  <c r="S670" i="1"/>
  <c r="Q670" i="1"/>
  <c r="R670" i="1"/>
  <c r="P670" i="1"/>
  <c r="S779" i="1"/>
  <c r="P779" i="1"/>
  <c r="Q779" i="1"/>
  <c r="R779" i="1"/>
  <c r="Q164" i="1"/>
  <c r="S164" i="1"/>
  <c r="R164" i="1"/>
  <c r="P730" i="1"/>
  <c r="Q730" i="1"/>
  <c r="R730" i="1"/>
  <c r="S730" i="1"/>
  <c r="P448" i="1"/>
  <c r="P451" i="1"/>
  <c r="Q3" i="10" l="1"/>
  <c r="Q4" i="10" s="1"/>
  <c r="Q3" i="8"/>
  <c r="Q4" i="8" s="1"/>
  <c r="M163" i="1"/>
  <c r="M165" i="1"/>
  <c r="M166" i="1"/>
  <c r="M167" i="1"/>
  <c r="M168" i="1"/>
  <c r="P205" i="10" l="1"/>
  <c r="P228" i="10"/>
  <c r="P202" i="10"/>
  <c r="P173" i="10"/>
  <c r="P141" i="10"/>
  <c r="P231" i="10"/>
  <c r="R315" i="1"/>
  <c r="P148" i="10"/>
  <c r="P90" i="1"/>
  <c r="P203" i="10"/>
  <c r="P219" i="10"/>
  <c r="P126" i="1"/>
  <c r="P287" i="1"/>
  <c r="P146" i="10"/>
  <c r="P222" i="10"/>
  <c r="P201" i="10"/>
  <c r="P182" i="10"/>
  <c r="P176" i="10"/>
  <c r="P177" i="10"/>
  <c r="P267" i="1"/>
  <c r="R375" i="1"/>
  <c r="P213" i="10"/>
  <c r="P214" i="10"/>
  <c r="P246" i="10"/>
  <c r="P142" i="10"/>
  <c r="P235" i="10"/>
  <c r="P233" i="10"/>
  <c r="P149" i="1"/>
  <c r="P160" i="10"/>
  <c r="P204" i="10"/>
  <c r="R312" i="1"/>
  <c r="P236" i="10"/>
  <c r="P225" i="10"/>
  <c r="P266" i="1"/>
  <c r="P253" i="10"/>
  <c r="P208" i="10"/>
  <c r="P150" i="10"/>
  <c r="P218" i="10"/>
  <c r="P168" i="10"/>
  <c r="P158" i="10"/>
  <c r="P223" i="10"/>
  <c r="P240" i="10"/>
  <c r="P197" i="10"/>
  <c r="P229" i="10"/>
  <c r="P250" i="10"/>
  <c r="R300" i="1"/>
  <c r="P268" i="1"/>
  <c r="R85" i="1"/>
  <c r="P232" i="10"/>
  <c r="P209" i="10"/>
  <c r="P185" i="10"/>
  <c r="R303" i="1"/>
  <c r="R51" i="1"/>
  <c r="P164" i="10"/>
  <c r="P252" i="10"/>
  <c r="R317" i="1"/>
  <c r="P285" i="1"/>
  <c r="R302" i="1"/>
  <c r="R310" i="1"/>
  <c r="P226" i="10"/>
  <c r="P172" i="1"/>
  <c r="P152" i="10"/>
  <c r="P269" i="1"/>
  <c r="P247" i="10"/>
  <c r="R301" i="1"/>
  <c r="P165" i="10"/>
  <c r="P195" i="10"/>
  <c r="P380" i="1"/>
  <c r="P196" i="10"/>
  <c r="R306" i="1"/>
  <c r="P114" i="1"/>
  <c r="P191" i="10"/>
  <c r="P199" i="10"/>
  <c r="P221" i="10"/>
  <c r="P284" i="1"/>
  <c r="P295" i="1"/>
  <c r="P296" i="1"/>
  <c r="P157" i="10"/>
  <c r="P271" i="1"/>
  <c r="P292" i="1"/>
  <c r="P210" i="10"/>
  <c r="P294" i="1"/>
  <c r="R409" i="1"/>
  <c r="P220" i="10"/>
  <c r="P238" i="10"/>
  <c r="P147" i="10"/>
  <c r="P143" i="10"/>
  <c r="P293" i="1"/>
  <c r="P272" i="1"/>
  <c r="P164" i="1"/>
  <c r="R308" i="1"/>
  <c r="P198" i="10"/>
  <c r="P178" i="10"/>
  <c r="R313" i="1"/>
  <c r="P161" i="10"/>
  <c r="P162" i="10"/>
  <c r="P144" i="10"/>
  <c r="P211" i="10"/>
  <c r="P291" i="1"/>
  <c r="P249" i="10"/>
  <c r="P289" i="1"/>
  <c r="P145" i="10"/>
  <c r="P230" i="10"/>
  <c r="R314" i="1"/>
  <c r="R298" i="1"/>
  <c r="R408" i="1"/>
  <c r="P183" i="10"/>
  <c r="P242" i="10"/>
  <c r="P180" i="10"/>
  <c r="P279" i="1"/>
  <c r="P153" i="10"/>
  <c r="P194" i="10"/>
  <c r="P163" i="10"/>
  <c r="R305" i="1"/>
  <c r="P206" i="10"/>
  <c r="P251" i="10"/>
  <c r="P193" i="10"/>
  <c r="P174" i="10"/>
  <c r="P278" i="1"/>
  <c r="P105" i="1"/>
  <c r="P187" i="10"/>
  <c r="P280" i="1"/>
  <c r="P172" i="10"/>
  <c r="P166" i="10"/>
  <c r="P169" i="10"/>
  <c r="P248" i="10"/>
  <c r="R17" i="1"/>
  <c r="P243" i="10"/>
  <c r="P124" i="1"/>
  <c r="P217" i="10"/>
  <c r="R299" i="1"/>
  <c r="P171" i="10"/>
  <c r="P288" i="1"/>
  <c r="P170" i="10"/>
  <c r="R307" i="1"/>
  <c r="R366" i="1"/>
  <c r="P239" i="10"/>
  <c r="P179" i="10"/>
  <c r="P273" i="1"/>
  <c r="P159" i="10"/>
  <c r="P188" i="10"/>
  <c r="P276" i="1"/>
  <c r="P149" i="10"/>
  <c r="P234" i="10"/>
  <c r="R309" i="1"/>
  <c r="P200" i="10"/>
  <c r="R316" i="1"/>
  <c r="P281" i="1"/>
  <c r="P207" i="10"/>
  <c r="P241" i="10"/>
  <c r="P190" i="10"/>
  <c r="P274" i="1"/>
  <c r="P154" i="10"/>
  <c r="P192" i="10"/>
  <c r="P245" i="10"/>
  <c r="P155" i="10"/>
  <c r="P115" i="1"/>
  <c r="P227" i="10"/>
  <c r="P181" i="10"/>
  <c r="P184" i="10"/>
  <c r="P216" i="10"/>
  <c r="R311" i="1"/>
  <c r="P167" i="10"/>
  <c r="P244" i="10"/>
  <c r="P237" i="10"/>
  <c r="P224" i="10"/>
  <c r="R304" i="1"/>
  <c r="P215" i="10"/>
  <c r="P186" i="10"/>
  <c r="P189" i="10"/>
  <c r="P156" i="10"/>
  <c r="P212" i="10"/>
  <c r="P151" i="10"/>
  <c r="P175" i="10"/>
  <c r="M227" i="1"/>
  <c r="M228" i="1"/>
  <c r="M229" i="1"/>
  <c r="M230" i="1"/>
  <c r="M231" i="1"/>
  <c r="M234" i="1"/>
  <c r="M186" i="1"/>
  <c r="M187" i="1"/>
  <c r="M188" i="1"/>
  <c r="M189" i="1"/>
  <c r="M374" i="1"/>
  <c r="M89" i="1"/>
  <c r="M88" i="1"/>
  <c r="M148" i="1"/>
  <c r="M150" i="1"/>
  <c r="M151" i="1"/>
  <c r="M152" i="1"/>
  <c r="M153" i="1"/>
  <c r="M154" i="1"/>
  <c r="M155" i="1"/>
  <c r="M156" i="1"/>
  <c r="M146" i="1"/>
  <c r="M136" i="1"/>
  <c r="M137" i="1"/>
  <c r="M138" i="1"/>
  <c r="M139" i="1"/>
  <c r="M140" i="1"/>
  <c r="M141" i="1"/>
  <c r="M142" i="1"/>
  <c r="M143" i="1"/>
  <c r="M144" i="1"/>
  <c r="M145" i="1"/>
  <c r="M147" i="1"/>
  <c r="M13" i="1"/>
  <c r="M57" i="1"/>
  <c r="M58" i="1"/>
  <c r="M59" i="1"/>
  <c r="M60" i="1"/>
  <c r="M81" i="1"/>
  <c r="N175" i="10"/>
  <c r="N89" i="1"/>
  <c r="N224" i="10"/>
  <c r="N176" i="8"/>
  <c r="N905" i="8"/>
  <c r="N184" i="10"/>
  <c r="N763" i="8"/>
  <c r="N805" i="8"/>
  <c r="N477" i="8"/>
  <c r="N125" i="8"/>
  <c r="N503" i="8"/>
  <c r="N192" i="10"/>
  <c r="N11" i="8"/>
  <c r="N823" i="8"/>
  <c r="N200" i="10"/>
  <c r="N263" i="10"/>
  <c r="N179" i="10"/>
  <c r="N366" i="1"/>
  <c r="N297" i="10"/>
  <c r="N536" i="8"/>
  <c r="N458" i="8"/>
  <c r="N568" i="8"/>
  <c r="N304" i="8"/>
  <c r="N213" i="8"/>
  <c r="N725" i="8"/>
  <c r="N280" i="1"/>
  <c r="N730" i="8"/>
  <c r="N706" i="8"/>
  <c r="N671" i="8"/>
  <c r="N267" i="10"/>
  <c r="N163" i="10"/>
  <c r="N660" i="8"/>
  <c r="N28" i="10"/>
  <c r="P28" i="10" s="1"/>
  <c r="N149" i="8"/>
  <c r="N841" i="8"/>
  <c r="N298" i="1"/>
  <c r="N709" i="8"/>
  <c r="N207" i="8"/>
  <c r="N496" i="8"/>
  <c r="N273" i="10"/>
  <c r="N973" i="8"/>
  <c r="N382" i="8"/>
  <c r="N683" i="8"/>
  <c r="N898" i="8"/>
  <c r="N414" i="8"/>
  <c r="N402" i="8"/>
  <c r="N702" i="8"/>
  <c r="N55" i="10"/>
  <c r="P55" i="10" s="1"/>
  <c r="N73" i="1"/>
  <c r="N647" i="8"/>
  <c r="N828" i="8"/>
  <c r="N138" i="1"/>
  <c r="N210" i="10"/>
  <c r="N739" i="8"/>
  <c r="N280" i="8"/>
  <c r="N871" i="8"/>
  <c r="N270" i="10"/>
  <c r="N295" i="1"/>
  <c r="N221" i="10"/>
  <c r="N104" i="1"/>
  <c r="N428" i="8"/>
  <c r="N175" i="8"/>
  <c r="N196" i="10"/>
  <c r="N103" i="8"/>
  <c r="N215" i="8"/>
  <c r="N474" i="8"/>
  <c r="N193" i="1"/>
  <c r="N346" i="8"/>
  <c r="N285" i="1"/>
  <c r="N100" i="8"/>
  <c r="N962" i="8"/>
  <c r="N796" i="8"/>
  <c r="N622" i="8"/>
  <c r="N998" i="8"/>
  <c r="N909" i="8"/>
  <c r="N291" i="10"/>
  <c r="N23" i="10"/>
  <c r="P23" i="10" s="1"/>
  <c r="N158" i="10"/>
  <c r="N69" i="8"/>
  <c r="N837" i="8"/>
  <c r="N602" i="8"/>
  <c r="N43" i="1"/>
  <c r="N35" i="10"/>
  <c r="P35" i="10" s="1"/>
  <c r="N861" i="8"/>
  <c r="N298" i="8"/>
  <c r="N214" i="10"/>
  <c r="N43" i="10"/>
  <c r="P43" i="10" s="1"/>
  <c r="N969" i="8"/>
  <c r="N201" i="10"/>
  <c r="N161" i="8"/>
  <c r="N481" i="8"/>
  <c r="N498" i="8"/>
  <c r="N189" i="1"/>
  <c r="N300" i="10"/>
  <c r="N45" i="1"/>
  <c r="N281" i="10"/>
  <c r="N506" i="8"/>
  <c r="N746" i="8"/>
  <c r="N293" i="1"/>
  <c r="N88" i="8"/>
  <c r="N787" i="8"/>
  <c r="N822" i="8"/>
  <c r="N270" i="8"/>
  <c r="N45" i="8"/>
  <c r="N225" i="1"/>
  <c r="N906" i="8"/>
  <c r="N696" i="8"/>
  <c r="N590" i="8"/>
  <c r="N376" i="8"/>
  <c r="N456" i="8"/>
  <c r="N224" i="1"/>
  <c r="N329" i="8"/>
  <c r="N57" i="1"/>
  <c r="N138" i="8"/>
  <c r="N776" i="8"/>
  <c r="N983" i="8"/>
  <c r="N794" i="8"/>
  <c r="N216" i="10"/>
  <c r="N42" i="8"/>
  <c r="N234" i="8"/>
  <c r="N155" i="10"/>
  <c r="N427" i="8"/>
  <c r="N72" i="1"/>
  <c r="N460" i="8"/>
  <c r="N321" i="8"/>
  <c r="N360" i="8"/>
  <c r="N171" i="8"/>
  <c r="N324" i="1"/>
  <c r="N770" i="8"/>
  <c r="N617" i="8"/>
  <c r="N603" i="8"/>
  <c r="N582" i="8"/>
  <c r="N384" i="8"/>
  <c r="N494" i="8"/>
  <c r="N497" i="8"/>
  <c r="N395" i="8"/>
  <c r="N62" i="8"/>
  <c r="N1005" i="8"/>
  <c r="N68" i="10"/>
  <c r="P68" i="10" s="1"/>
  <c r="N147" i="8"/>
  <c r="N174" i="10"/>
  <c r="N193" i="10"/>
  <c r="N62" i="10"/>
  <c r="P62" i="10" s="1"/>
  <c r="N462" i="8"/>
  <c r="N229" i="1"/>
  <c r="N914" i="8"/>
  <c r="N210" i="8"/>
  <c r="N852" i="8"/>
  <c r="N83" i="10"/>
  <c r="P83" i="10" s="1"/>
  <c r="N109" i="10"/>
  <c r="P109" i="10" s="1"/>
  <c r="N136" i="1"/>
  <c r="N399" i="1"/>
  <c r="N47" i="8"/>
  <c r="N595" i="8"/>
  <c r="N600" i="8"/>
  <c r="N913" i="8"/>
  <c r="N944" i="8"/>
  <c r="N227" i="8"/>
  <c r="N313" i="1"/>
  <c r="N105" i="10"/>
  <c r="P105" i="10" s="1"/>
  <c r="N877" i="8"/>
  <c r="N92" i="8"/>
  <c r="N238" i="10"/>
  <c r="N16" i="8"/>
  <c r="N259" i="8"/>
  <c r="N108" i="10"/>
  <c r="P108" i="10" s="1"/>
  <c r="N239" i="1"/>
  <c r="N186" i="1"/>
  <c r="N809" i="8"/>
  <c r="N26" i="10"/>
  <c r="P26" i="10" s="1"/>
  <c r="N345" i="1"/>
  <c r="N800" i="8"/>
  <c r="N294" i="10"/>
  <c r="N83" i="8"/>
  <c r="N900" i="8"/>
  <c r="N750" i="8"/>
  <c r="N20" i="10"/>
  <c r="P20" i="10" s="1"/>
  <c r="N269" i="1"/>
  <c r="N90" i="10"/>
  <c r="P90" i="10" s="1"/>
  <c r="N226" i="10"/>
  <c r="N269" i="10"/>
  <c r="N953" i="8"/>
  <c r="N355" i="8"/>
  <c r="N560" i="8"/>
  <c r="N475" i="8"/>
  <c r="N148" i="8"/>
  <c r="N342" i="8"/>
  <c r="N416" i="8"/>
  <c r="N441" i="8"/>
  <c r="N648" i="8"/>
  <c r="N15" i="1"/>
  <c r="N347" i="8"/>
  <c r="N54" i="8"/>
  <c r="N685" i="8"/>
  <c r="N577" i="8"/>
  <c r="N17" i="10"/>
  <c r="P17" i="10" s="1"/>
  <c r="N149" i="1"/>
  <c r="N186" i="8"/>
  <c r="N317" i="8"/>
  <c r="N811" i="8"/>
  <c r="N222" i="10"/>
  <c r="N100" i="10"/>
  <c r="P100" i="10" s="1"/>
  <c r="N655" i="8"/>
  <c r="N471" i="8"/>
  <c r="N695" i="8"/>
  <c r="N866" i="8"/>
  <c r="N974" i="8"/>
  <c r="N290" i="10"/>
  <c r="N667" i="8"/>
  <c r="N350" i="8"/>
  <c r="N315" i="8"/>
  <c r="N220" i="10"/>
  <c r="N816" i="8"/>
  <c r="N346" i="1"/>
  <c r="N729" i="8"/>
  <c r="N191" i="10"/>
  <c r="N169" i="8"/>
  <c r="N261" i="8"/>
  <c r="N236" i="8"/>
  <c r="N32" i="1"/>
  <c r="N139" i="10"/>
  <c r="P139" i="10" s="1"/>
  <c r="N303" i="1"/>
  <c r="N262" i="8"/>
  <c r="N151" i="10"/>
  <c r="N197" i="8"/>
  <c r="N880" i="8"/>
  <c r="N241" i="1"/>
  <c r="N520" i="8"/>
  <c r="N689" i="8"/>
  <c r="N33" i="8"/>
  <c r="N579" i="8"/>
  <c r="N78" i="10"/>
  <c r="P78" i="10" s="1"/>
  <c r="N43" i="8"/>
  <c r="N928" i="8"/>
  <c r="N391" i="8"/>
  <c r="N190" i="10"/>
  <c r="N207" i="10"/>
  <c r="N167" i="1"/>
  <c r="N40" i="8"/>
  <c r="N902" i="8"/>
  <c r="N56" i="10"/>
  <c r="P56" i="10" s="1"/>
  <c r="N102" i="10"/>
  <c r="P102" i="10" s="1"/>
  <c r="N492" i="8"/>
  <c r="N984" i="8"/>
  <c r="N17" i="1"/>
  <c r="N58" i="10"/>
  <c r="P58" i="10" s="1"/>
  <c r="N367" i="8"/>
  <c r="N693" i="8"/>
  <c r="N390" i="8"/>
  <c r="N38" i="1"/>
  <c r="N166" i="8"/>
  <c r="N482" i="8"/>
  <c r="N364" i="1"/>
  <c r="N875" i="8"/>
  <c r="N180" i="10"/>
  <c r="N958" i="8"/>
  <c r="N357" i="1"/>
  <c r="N238" i="8"/>
  <c r="N556" i="8"/>
  <c r="N104" i="8"/>
  <c r="N203" i="8"/>
  <c r="N825" i="8"/>
  <c r="N219" i="1"/>
  <c r="N211" i="10"/>
  <c r="N157" i="8"/>
  <c r="N445" i="8"/>
  <c r="N897" i="8"/>
  <c r="N515" i="8"/>
  <c r="N247" i="8"/>
  <c r="N76" i="8"/>
  <c r="N210" i="1"/>
  <c r="N106" i="8"/>
  <c r="N448" i="8"/>
  <c r="N94" i="10"/>
  <c r="P94" i="10" s="1"/>
  <c r="N77" i="8"/>
  <c r="N195" i="10"/>
  <c r="N95" i="10"/>
  <c r="P95" i="10" s="1"/>
  <c r="N13" i="1"/>
  <c r="N265" i="8"/>
  <c r="N160" i="1"/>
  <c r="N296" i="8"/>
  <c r="N258" i="8"/>
  <c r="N599" i="8"/>
  <c r="N779" i="8"/>
  <c r="N233" i="10"/>
  <c r="N26" i="1"/>
  <c r="N240" i="8"/>
  <c r="N61" i="10"/>
  <c r="P61" i="10" s="1"/>
  <c r="N57" i="8"/>
  <c r="N279" i="10"/>
  <c r="N967" i="8"/>
  <c r="N268" i="1"/>
  <c r="N759" i="8"/>
  <c r="N1008" i="8"/>
  <c r="N190" i="8"/>
  <c r="N65" i="10"/>
  <c r="P65" i="10" s="1"/>
  <c r="N509" i="8"/>
  <c r="N36" i="10"/>
  <c r="P36" i="10" s="1"/>
  <c r="N429" i="8"/>
  <c r="N145" i="1"/>
  <c r="N84" i="8"/>
  <c r="N75" i="8"/>
  <c r="N79" i="1"/>
  <c r="N96" i="8"/>
  <c r="N159" i="8"/>
  <c r="N241" i="10"/>
  <c r="N281" i="1"/>
  <c r="N309" i="1"/>
  <c r="N553" i="8"/>
  <c r="N177" i="8"/>
  <c r="N152" i="8"/>
  <c r="N170" i="10"/>
  <c r="N792" i="8"/>
  <c r="N224" i="8"/>
  <c r="N22" i="8"/>
  <c r="N367" i="1"/>
  <c r="N97" i="8"/>
  <c r="N60" i="1"/>
  <c r="N187" i="10"/>
  <c r="N369" i="1"/>
  <c r="N404" i="1"/>
  <c r="N343" i="8"/>
  <c r="N393" i="8"/>
  <c r="N314" i="8"/>
  <c r="N260" i="8"/>
  <c r="N236" i="1"/>
  <c r="N50" i="1"/>
  <c r="N139" i="8"/>
  <c r="N103" i="10"/>
  <c r="P103" i="10" s="1"/>
  <c r="N371" i="1"/>
  <c r="N268" i="8"/>
  <c r="N87" i="10"/>
  <c r="P87" i="10" s="1"/>
  <c r="N64" i="8"/>
  <c r="N259" i="10"/>
  <c r="N21" i="10"/>
  <c r="P21" i="10" s="1"/>
  <c r="N947" i="8"/>
  <c r="N375" i="8"/>
  <c r="N517" i="8"/>
  <c r="N274" i="10"/>
  <c r="N584" i="8"/>
  <c r="N164" i="1"/>
  <c r="N363" i="1"/>
  <c r="N826" i="8"/>
  <c r="N332" i="1"/>
  <c r="N921" i="8"/>
  <c r="N39" i="1"/>
  <c r="N740" i="8"/>
  <c r="N56" i="8"/>
  <c r="N807" i="8"/>
  <c r="N704" i="8"/>
  <c r="N80" i="1"/>
  <c r="N16" i="10"/>
  <c r="P16" i="10" s="1"/>
  <c r="N251" i="8"/>
  <c r="N430" i="8"/>
  <c r="N626" i="8"/>
  <c r="N778" i="8"/>
  <c r="N918" i="8"/>
  <c r="N684" i="8"/>
  <c r="N50" i="10"/>
  <c r="P50" i="10" s="1"/>
  <c r="N929" i="8"/>
  <c r="N528" i="8"/>
  <c r="N254" i="1"/>
  <c r="N516" i="8"/>
  <c r="N834" i="8"/>
  <c r="N105" i="8"/>
  <c r="N418" i="8"/>
  <c r="N250" i="10"/>
  <c r="N548" i="8"/>
  <c r="N587" i="8"/>
  <c r="N67" i="10"/>
  <c r="P67" i="10" s="1"/>
  <c r="N623" i="8"/>
  <c r="N167" i="10"/>
  <c r="N296" i="10"/>
  <c r="N915" i="8"/>
  <c r="N336" i="8"/>
  <c r="N407" i="1"/>
  <c r="N15" i="10"/>
  <c r="P15" i="10" s="1"/>
  <c r="N879" i="8"/>
  <c r="N466" i="8"/>
  <c r="N244" i="8"/>
  <c r="N305" i="10"/>
  <c r="N12" i="10"/>
  <c r="P12" i="10" s="1"/>
  <c r="N196" i="8"/>
  <c r="N923" i="8"/>
  <c r="N242" i="1"/>
  <c r="N653" i="8"/>
  <c r="N349" i="8"/>
  <c r="N754" i="8"/>
  <c r="N112" i="10"/>
  <c r="P112" i="10" s="1"/>
  <c r="N645" i="8"/>
  <c r="N936" i="8"/>
  <c r="N731" i="8"/>
  <c r="N25" i="8"/>
  <c r="N61" i="1"/>
  <c r="N405" i="8"/>
  <c r="N531" i="8"/>
  <c r="N53" i="1"/>
  <c r="N927" i="8"/>
  <c r="N975" i="8"/>
  <c r="N1000" i="8"/>
  <c r="N1001" i="8"/>
  <c r="N965" i="8"/>
  <c r="N50" i="8"/>
  <c r="N314" i="1"/>
  <c r="N662" i="8"/>
  <c r="N864" i="8"/>
  <c r="N417" i="8"/>
  <c r="N264" i="8"/>
  <c r="N797" i="8"/>
  <c r="N94" i="8"/>
  <c r="N717" i="8"/>
  <c r="N713" i="8"/>
  <c r="N919" i="8"/>
  <c r="N678" i="8"/>
  <c r="N29" i="10"/>
  <c r="P29" i="10" s="1"/>
  <c r="N964" i="8"/>
  <c r="N143" i="10"/>
  <c r="N955" i="8"/>
  <c r="N56" i="1"/>
  <c r="N331" i="8"/>
  <c r="N243" i="8"/>
  <c r="N161" i="1"/>
  <c r="N234" i="1"/>
  <c r="N488" i="8"/>
  <c r="N284" i="1"/>
  <c r="N386" i="8"/>
  <c r="N93" i="10"/>
  <c r="P93" i="10" s="1"/>
  <c r="N527" i="8"/>
  <c r="N855" i="8"/>
  <c r="N380" i="1"/>
  <c r="N403" i="1"/>
  <c r="N806" i="8"/>
  <c r="N37" i="10"/>
  <c r="P37" i="10" s="1"/>
  <c r="N235" i="8"/>
  <c r="N84" i="1"/>
  <c r="N951" i="8"/>
  <c r="N786" i="8"/>
  <c r="N758" i="8"/>
  <c r="N19" i="10"/>
  <c r="P19" i="10" s="1"/>
  <c r="N288" i="8"/>
  <c r="N285" i="10"/>
  <c r="N117" i="8"/>
  <c r="N197" i="10"/>
  <c r="N106" i="10"/>
  <c r="P106" i="10" s="1"/>
  <c r="N218" i="10"/>
  <c r="N297" i="8"/>
  <c r="N641" i="8"/>
  <c r="N963" i="8"/>
  <c r="N364" i="8"/>
  <c r="N44" i="1"/>
  <c r="N142" i="10"/>
  <c r="N375" i="1"/>
  <c r="N453" i="8"/>
  <c r="N694" i="8"/>
  <c r="N1009" i="8"/>
  <c r="N635" i="8"/>
  <c r="N102" i="8"/>
  <c r="N203" i="10"/>
  <c r="N801" i="8"/>
  <c r="N173" i="8"/>
  <c r="N682" i="8"/>
  <c r="N1004" i="8"/>
  <c r="N538" i="8"/>
  <c r="N637" i="8"/>
  <c r="N70" i="8"/>
  <c r="N182" i="8"/>
  <c r="N32" i="8"/>
  <c r="N202" i="10"/>
  <c r="N422" i="8"/>
  <c r="N365" i="8"/>
  <c r="N82" i="10"/>
  <c r="P82" i="10" s="1"/>
  <c r="N230" i="8"/>
  <c r="N546" i="8"/>
  <c r="N73" i="8"/>
  <c r="N137" i="1"/>
  <c r="N24" i="1"/>
  <c r="N40" i="1"/>
  <c r="N996" i="8"/>
  <c r="N165" i="10"/>
  <c r="N299" i="8"/>
  <c r="N142" i="1"/>
  <c r="N727" i="8"/>
  <c r="N291" i="8"/>
  <c r="N624" i="8"/>
  <c r="N597" i="8"/>
  <c r="N212" i="10"/>
  <c r="N688" i="8"/>
  <c r="N726" i="8"/>
  <c r="N310" i="8"/>
  <c r="N510" i="8"/>
  <c r="N181" i="10"/>
  <c r="N18" i="8"/>
  <c r="N121" i="8"/>
  <c r="N634" i="8"/>
  <c r="N150" i="1"/>
  <c r="N140" i="1"/>
  <c r="N891" i="8"/>
  <c r="N557" i="8"/>
  <c r="N316" i="1"/>
  <c r="N440" i="8"/>
  <c r="N412" i="8"/>
  <c r="N141" i="8"/>
  <c r="N307" i="1"/>
  <c r="N170" i="8"/>
  <c r="N89" i="8"/>
  <c r="N255" i="1"/>
  <c r="N262" i="10"/>
  <c r="N614" i="8"/>
  <c r="N489" i="8"/>
  <c r="N166" i="10"/>
  <c r="N777" i="8"/>
  <c r="N628" i="8"/>
  <c r="N386" i="1"/>
  <c r="N88" i="10"/>
  <c r="P88" i="10" s="1"/>
  <c r="N609" i="8"/>
  <c r="N749" i="8"/>
  <c r="N333" i="8"/>
  <c r="N57" i="10"/>
  <c r="P57" i="10" s="1"/>
  <c r="N242" i="10"/>
  <c r="N209" i="1"/>
  <c r="N710" i="8"/>
  <c r="N572" i="8"/>
  <c r="N397" i="8"/>
  <c r="N591" i="8"/>
  <c r="N289" i="1"/>
  <c r="N464" i="8"/>
  <c r="N213" i="1"/>
  <c r="N895" i="8"/>
  <c r="N94" i="1"/>
  <c r="N49" i="10"/>
  <c r="P49" i="10" s="1"/>
  <c r="N327" i="8"/>
  <c r="N358" i="8"/>
  <c r="N81" i="10"/>
  <c r="P81" i="10" s="1"/>
  <c r="N992" i="8"/>
  <c r="N1006" i="8"/>
  <c r="N341" i="8"/>
  <c r="N396" i="1"/>
  <c r="N561" i="8"/>
  <c r="N500" i="8"/>
  <c r="N293" i="8"/>
  <c r="N29" i="8"/>
  <c r="N122" i="8"/>
  <c r="N524" i="8"/>
  <c r="N233" i="8"/>
  <c r="N222" i="8"/>
  <c r="N323" i="8"/>
  <c r="N79" i="10"/>
  <c r="P79" i="10" s="1"/>
  <c r="N890" i="8"/>
  <c r="N483" i="8"/>
  <c r="N352" i="8"/>
  <c r="N566" i="8"/>
  <c r="N310" i="1"/>
  <c r="N317" i="1"/>
  <c r="N206" i="1"/>
  <c r="N851" i="8"/>
  <c r="N846" i="8"/>
  <c r="N209" i="10"/>
  <c r="N708" i="8"/>
  <c r="N300" i="1"/>
  <c r="N843" i="8"/>
  <c r="N20" i="8"/>
  <c r="N435" i="8"/>
  <c r="N767" i="8"/>
  <c r="N277" i="8"/>
  <c r="N916" i="8"/>
  <c r="N716" i="8"/>
  <c r="N392" i="1"/>
  <c r="N24" i="10"/>
  <c r="P24" i="10" s="1"/>
  <c r="N847" i="8"/>
  <c r="N369" i="8"/>
  <c r="N257" i="10"/>
  <c r="N248" i="1"/>
  <c r="N613" i="8"/>
  <c r="N126" i="1"/>
  <c r="N989" i="8"/>
  <c r="N93" i="1"/>
  <c r="N156" i="10"/>
  <c r="N752" i="8"/>
  <c r="N289" i="10"/>
  <c r="N81" i="8"/>
  <c r="N204" i="1"/>
  <c r="N884" i="8"/>
  <c r="N793" i="8"/>
  <c r="N260" i="10"/>
  <c r="N765" i="8"/>
  <c r="N552" i="8"/>
  <c r="N38" i="8"/>
  <c r="N129" i="8"/>
  <c r="N525" i="8"/>
  <c r="N124" i="8"/>
  <c r="N39" i="10"/>
  <c r="P39" i="10" s="1"/>
  <c r="N303" i="10"/>
  <c r="N61" i="8"/>
  <c r="N257" i="8"/>
  <c r="N373" i="8"/>
  <c r="N114" i="10"/>
  <c r="P114" i="10" s="1"/>
  <c r="N356" i="8"/>
  <c r="N292" i="8"/>
  <c r="N34" i="10"/>
  <c r="P34" i="10" s="1"/>
  <c r="N585" i="8"/>
  <c r="N537" i="8"/>
  <c r="N657" i="8"/>
  <c r="N529" i="8"/>
  <c r="N242" i="8"/>
  <c r="N41" i="1"/>
  <c r="N438" i="8"/>
  <c r="N72" i="8"/>
  <c r="N312" i="8"/>
  <c r="N153" i="10"/>
  <c r="N60" i="8"/>
  <c r="N66" i="1"/>
  <c r="N146" i="8"/>
  <c r="N241" i="8"/>
  <c r="N555" i="8"/>
  <c r="N237" i="8"/>
  <c r="N580" i="8"/>
  <c r="N301" i="10"/>
  <c r="N804" i="8"/>
  <c r="N512" i="8"/>
  <c r="N377" i="8"/>
  <c r="N562" i="8"/>
  <c r="N815" i="8"/>
  <c r="N827" i="8"/>
  <c r="N15" i="8"/>
  <c r="N785" i="8"/>
  <c r="N83" i="1"/>
  <c r="N189" i="8"/>
  <c r="N281" i="8"/>
  <c r="N818" i="8"/>
  <c r="N84" i="10"/>
  <c r="P84" i="10" s="1"/>
  <c r="N957" i="8"/>
  <c r="N22" i="1"/>
  <c r="N275" i="8"/>
  <c r="N845" i="8"/>
  <c r="N207" i="1"/>
  <c r="N142" i="8"/>
  <c r="N415" i="8"/>
  <c r="N490" i="8"/>
  <c r="N742" i="8"/>
  <c r="N62" i="1"/>
  <c r="N295" i="8"/>
  <c r="N191" i="1"/>
  <c r="N59" i="10"/>
  <c r="P59" i="10" s="1"/>
  <c r="N44" i="10"/>
  <c r="P44" i="10" s="1"/>
  <c r="N154" i="10"/>
  <c r="N112" i="8"/>
  <c r="N949" i="8"/>
  <c r="N234" i="10"/>
  <c r="N30" i="10"/>
  <c r="P30" i="10" s="1"/>
  <c r="N239" i="10"/>
  <c r="N266" i="8"/>
  <c r="N36" i="1"/>
  <c r="N288" i="1"/>
  <c r="N217" i="10"/>
  <c r="N798" i="8"/>
  <c r="N867" i="8"/>
  <c r="N223" i="8"/>
  <c r="N172" i="10"/>
  <c r="N518" i="8"/>
  <c r="N282" i="10"/>
  <c r="N554" i="8"/>
  <c r="N32" i="10"/>
  <c r="P32" i="10" s="1"/>
  <c r="N90" i="8"/>
  <c r="N812" i="8"/>
  <c r="N37" i="1"/>
  <c r="N294" i="8"/>
  <c r="N924" i="8"/>
  <c r="N204" i="8"/>
  <c r="N245" i="8"/>
  <c r="N748" i="8"/>
  <c r="N878" i="8"/>
  <c r="N799" i="8"/>
  <c r="N741" i="8"/>
  <c r="N284" i="10"/>
  <c r="N565" i="8"/>
  <c r="N335" i="8"/>
  <c r="N71" i="10"/>
  <c r="P71" i="10" s="1"/>
  <c r="N44" i="8"/>
  <c r="N718" i="8"/>
  <c r="N941" i="8"/>
  <c r="N143" i="8"/>
  <c r="N19" i="1"/>
  <c r="N449" i="8"/>
  <c r="N76" i="10"/>
  <c r="P76" i="10" s="1"/>
  <c r="N130" i="8"/>
  <c r="N887" i="8"/>
  <c r="N271" i="1"/>
  <c r="N30" i="1"/>
  <c r="N296" i="1"/>
  <c r="N384" i="1"/>
  <c r="N199" i="10"/>
  <c r="N355" i="1"/>
  <c r="N395" i="1"/>
  <c r="N96" i="10"/>
  <c r="P96" i="10" s="1"/>
  <c r="N631" i="8"/>
  <c r="N194" i="1"/>
  <c r="N990" i="8"/>
  <c r="N239" i="8"/>
  <c r="N795" i="8"/>
  <c r="N393" i="1"/>
  <c r="N154" i="8"/>
  <c r="N586" i="8"/>
  <c r="N753" i="8"/>
  <c r="N756" i="8"/>
  <c r="N564" i="8"/>
  <c r="N405" i="1"/>
  <c r="N461" i="8"/>
  <c r="N421" i="8"/>
  <c r="N541" i="8"/>
  <c r="N780" i="8"/>
  <c r="N403" i="8"/>
  <c r="N670" i="8"/>
  <c r="N225" i="10"/>
  <c r="N368" i="8"/>
  <c r="N36" i="8"/>
  <c r="N301" i="8"/>
  <c r="N188" i="1"/>
  <c r="N712" i="8"/>
  <c r="N479" i="8"/>
  <c r="N169" i="1"/>
  <c r="N397" i="1"/>
  <c r="N172" i="8"/>
  <c r="N13" i="10"/>
  <c r="P13" i="10" s="1"/>
  <c r="N226" i="1"/>
  <c r="N931" i="8"/>
  <c r="N12" i="8"/>
  <c r="N186" i="10"/>
  <c r="N443" i="8"/>
  <c r="N644" i="8"/>
  <c r="N16" i="1"/>
  <c r="N856" i="8"/>
  <c r="N58" i="1"/>
  <c r="N29" i="1"/>
  <c r="N42" i="10"/>
  <c r="P42" i="10" s="1"/>
  <c r="N981" i="8"/>
  <c r="N113" i="1"/>
  <c r="N604" i="8"/>
  <c r="N782" i="8"/>
  <c r="N287" i="8"/>
  <c r="N79" i="8"/>
  <c r="N276" i="1"/>
  <c r="N344" i="8"/>
  <c r="N218" i="8"/>
  <c r="N922" i="8"/>
  <c r="N970" i="8"/>
  <c r="N625" i="8"/>
  <c r="N92" i="10"/>
  <c r="P92" i="10" s="1"/>
  <c r="N824" i="8"/>
  <c r="N216" i="8"/>
  <c r="N908" i="8"/>
  <c r="N550" i="8"/>
  <c r="N167" i="8"/>
  <c r="N454" i="8"/>
  <c r="N251" i="10"/>
  <c r="N615" i="8"/>
  <c r="N848" i="8"/>
  <c r="N1010" i="8"/>
  <c r="N487" i="8"/>
  <c r="N987" i="8"/>
  <c r="N183" i="10"/>
  <c r="N621" i="8"/>
  <c r="N277" i="10"/>
  <c r="N115" i="8"/>
  <c r="N700" i="8"/>
  <c r="N596" i="8"/>
  <c r="N249" i="10"/>
  <c r="N165" i="8"/>
  <c r="N394" i="1"/>
  <c r="N656" i="8"/>
  <c r="N290" i="8"/>
  <c r="N642" i="8"/>
  <c r="N333" i="1"/>
  <c r="N399" i="8"/>
  <c r="N514" i="8"/>
  <c r="N158" i="1"/>
  <c r="N339" i="8"/>
  <c r="N311" i="8"/>
  <c r="N986" i="8"/>
  <c r="N292" i="1"/>
  <c r="N781" i="8"/>
  <c r="N832" i="8"/>
  <c r="N26" i="8"/>
  <c r="N817" i="8"/>
  <c r="N163" i="1"/>
  <c r="N772" i="8"/>
  <c r="N911" i="8"/>
  <c r="N747" i="8"/>
  <c r="N98" i="8"/>
  <c r="N788" i="8"/>
  <c r="N140" i="10"/>
  <c r="P140" i="10" s="1"/>
  <c r="N123" i="8"/>
  <c r="N309" i="8"/>
  <c r="N854" i="8"/>
  <c r="N194" i="8"/>
  <c r="N426" i="8"/>
  <c r="N318" i="8"/>
  <c r="N179" i="8"/>
  <c r="N163" i="8"/>
  <c r="N279" i="8"/>
  <c r="N227" i="10"/>
  <c r="N743" i="8"/>
  <c r="N306" i="8"/>
  <c r="N943" i="8"/>
  <c r="N991" i="8"/>
  <c r="N338" i="8"/>
  <c r="N374" i="1"/>
  <c r="N193" i="8"/>
  <c r="N658" i="8"/>
  <c r="N69" i="1"/>
  <c r="N136" i="8"/>
  <c r="N358" i="1"/>
  <c r="N299" i="10"/>
  <c r="N334" i="8"/>
  <c r="N68" i="8"/>
  <c r="N607" i="8"/>
  <c r="N256" i="10"/>
  <c r="N761" i="8"/>
  <c r="N248" i="10"/>
  <c r="N455" i="8"/>
  <c r="N33" i="10"/>
  <c r="P33" i="10" s="1"/>
  <c r="N38" i="10"/>
  <c r="P38" i="10" s="1"/>
  <c r="N650" i="8"/>
  <c r="N762" i="8"/>
  <c r="N925" i="8"/>
  <c r="N904" i="8"/>
  <c r="N404" i="8"/>
  <c r="N857" i="8"/>
  <c r="N728" i="8"/>
  <c r="N470" i="8"/>
  <c r="N408" i="8"/>
  <c r="N158" i="8"/>
  <c r="N48" i="10"/>
  <c r="P48" i="10" s="1"/>
  <c r="N145" i="10"/>
  <c r="N181" i="8"/>
  <c r="N17" i="8"/>
  <c r="N819" i="8"/>
  <c r="N469" i="8"/>
  <c r="N540" i="8"/>
  <c r="N112" i="1"/>
  <c r="N155" i="1"/>
  <c r="N107" i="10"/>
  <c r="P107" i="10" s="1"/>
  <c r="N141" i="1"/>
  <c r="N791" i="8"/>
  <c r="N156" i="8"/>
  <c r="N389" i="8"/>
  <c r="N907" i="8"/>
  <c r="N935" i="8"/>
  <c r="N652" i="8"/>
  <c r="N677" i="8"/>
  <c r="N157" i="10"/>
  <c r="N858" i="8"/>
  <c r="N305" i="8"/>
  <c r="N212" i="8"/>
  <c r="N450" i="8"/>
  <c r="N420" i="8"/>
  <c r="N892" i="8"/>
  <c r="N976" i="8"/>
  <c r="N381" i="1"/>
  <c r="N51" i="10"/>
  <c r="P51" i="10" s="1"/>
  <c r="N152" i="10"/>
  <c r="N744" i="8"/>
  <c r="N499" i="8"/>
  <c r="N598" i="8"/>
  <c r="N183" i="8"/>
  <c r="N345" i="8"/>
  <c r="N868" i="8"/>
  <c r="N659" i="8"/>
  <c r="N592" i="8"/>
  <c r="N148" i="1"/>
  <c r="N254" i="8"/>
  <c r="N240" i="10"/>
  <c r="N25" i="1"/>
  <c r="N153" i="1"/>
  <c r="N253" i="10"/>
  <c r="N452" i="8"/>
  <c r="N672" i="8"/>
  <c r="N849" i="8"/>
  <c r="N46" i="1"/>
  <c r="N379" i="8"/>
  <c r="N398" i="8"/>
  <c r="N274" i="8"/>
  <c r="N11" i="10"/>
  <c r="P11" i="10" s="1"/>
  <c r="N434" i="8"/>
  <c r="N690" i="8"/>
  <c r="N720" i="8"/>
  <c r="N90" i="1"/>
  <c r="N476" i="8"/>
  <c r="N141" i="10"/>
  <c r="N385" i="8"/>
  <c r="N219" i="8"/>
  <c r="N387" i="8"/>
  <c r="N505" i="8"/>
  <c r="N649" i="8"/>
  <c r="N300" i="8"/>
  <c r="N182" i="10"/>
  <c r="N49" i="8"/>
  <c r="N357" i="8"/>
  <c r="N534" i="8"/>
  <c r="N255" i="10"/>
  <c r="N228" i="1"/>
  <c r="N327" i="1"/>
  <c r="N203" i="1"/>
  <c r="N204" i="10"/>
  <c r="N432" i="8"/>
  <c r="N632" i="8"/>
  <c r="N391" i="1"/>
  <c r="N177" i="10"/>
  <c r="N75" i="1"/>
  <c r="N315" i="1"/>
  <c r="N478" i="8"/>
  <c r="N173" i="10"/>
  <c r="N34" i="8"/>
  <c r="N768" i="8"/>
  <c r="N229" i="10"/>
  <c r="N715" i="8"/>
  <c r="N150" i="10"/>
  <c r="N437" i="8"/>
  <c r="N223" i="1"/>
  <c r="N486" i="8"/>
  <c r="N559" i="8"/>
  <c r="N950" i="8"/>
  <c r="N189" i="10"/>
  <c r="N444" i="8"/>
  <c r="N732" i="8"/>
  <c r="N451" i="8"/>
  <c r="N41" i="10"/>
  <c r="P41" i="10" s="1"/>
  <c r="N665" i="8"/>
  <c r="N687" i="8"/>
  <c r="N222" i="1"/>
  <c r="N192" i="1"/>
  <c r="N99" i="8"/>
  <c r="N433" i="8"/>
  <c r="N31" i="10"/>
  <c r="P31" i="10" s="1"/>
  <c r="N959" i="8"/>
  <c r="N691" i="8"/>
  <c r="N938" i="8"/>
  <c r="N188" i="10"/>
  <c r="N680" i="8"/>
  <c r="N643" i="8"/>
  <c r="N162" i="1"/>
  <c r="N264" i="1"/>
  <c r="N719" i="8"/>
  <c r="N507" i="8"/>
  <c r="N978" i="8"/>
  <c r="N169" i="10"/>
  <c r="N899" i="8"/>
  <c r="N289" i="8"/>
  <c r="N111" i="10"/>
  <c r="P111" i="10" s="1"/>
  <c r="N844" i="8"/>
  <c r="N966" i="8"/>
  <c r="N362" i="8"/>
  <c r="N119" i="8"/>
  <c r="N250" i="1"/>
  <c r="N473" i="8"/>
  <c r="N292" i="10"/>
  <c r="N993" i="8"/>
  <c r="N870" i="8"/>
  <c r="N601" i="8"/>
  <c r="N266" i="10"/>
  <c r="N63" i="1"/>
  <c r="N563" i="8"/>
  <c r="N668" i="8"/>
  <c r="N651" i="8"/>
  <c r="N406" i="1"/>
  <c r="N882" i="8"/>
  <c r="N118" i="8"/>
  <c r="N459" i="8"/>
  <c r="N70" i="10"/>
  <c r="P70" i="10" s="1"/>
  <c r="N192" i="8"/>
  <c r="N272" i="1"/>
  <c r="N78" i="8"/>
  <c r="N932" i="8"/>
  <c r="N701" i="8"/>
  <c r="N221" i="8"/>
  <c r="N545" i="8"/>
  <c r="N71" i="8"/>
  <c r="N231" i="1"/>
  <c r="N168" i="1"/>
  <c r="N307" i="8"/>
  <c r="N733" i="8"/>
  <c r="N669" i="8"/>
  <c r="N673" i="8"/>
  <c r="N114" i="1"/>
  <c r="N168" i="8"/>
  <c r="N272" i="8"/>
  <c r="N337" i="8"/>
  <c r="N423" i="8"/>
  <c r="N172" i="1"/>
  <c r="N457" i="8"/>
  <c r="N86" i="1"/>
  <c r="N78" i="1"/>
  <c r="N110" i="8"/>
  <c r="N64" i="1"/>
  <c r="N66" i="10"/>
  <c r="P66" i="10" s="1"/>
  <c r="N336" i="1"/>
  <c r="N85" i="8"/>
  <c r="N276" i="10"/>
  <c r="N285" i="8"/>
  <c r="N831" i="8"/>
  <c r="N757" i="8"/>
  <c r="N155" i="8"/>
  <c r="N264" i="10"/>
  <c r="N154" i="1"/>
  <c r="N182" i="1"/>
  <c r="N325" i="1"/>
  <c r="N724" i="8"/>
  <c r="N526" i="8"/>
  <c r="N170" i="1"/>
  <c r="N977" i="8"/>
  <c r="N616" i="8"/>
  <c r="N853" i="8"/>
  <c r="N439" i="8"/>
  <c r="N508" i="8"/>
  <c r="N146" i="10"/>
  <c r="N52" i="10"/>
  <c r="P52" i="10" s="1"/>
  <c r="N380" i="8"/>
  <c r="N711" i="8"/>
  <c r="N237" i="10"/>
  <c r="N311" i="1"/>
  <c r="N502" i="8"/>
  <c r="N127" i="8"/>
  <c r="N134" i="8"/>
  <c r="N836" i="8"/>
  <c r="N1003" i="8"/>
  <c r="N66" i="8"/>
  <c r="N245" i="10"/>
  <c r="N723" i="8"/>
  <c r="N139" i="1"/>
  <c r="N253" i="8"/>
  <c r="N153" i="8"/>
  <c r="N235" i="1"/>
  <c r="N330" i="8"/>
  <c r="N530" i="8"/>
  <c r="N159" i="1"/>
  <c r="N171" i="10"/>
  <c r="N87" i="8"/>
  <c r="N124" i="1"/>
  <c r="N47" i="10"/>
  <c r="P47" i="10" s="1"/>
  <c r="N398" i="1"/>
  <c r="N65" i="1"/>
  <c r="N60" i="10"/>
  <c r="P60" i="10" s="1"/>
  <c r="N105" i="1"/>
  <c r="N35" i="1"/>
  <c r="N342" i="1"/>
  <c r="N305" i="1"/>
  <c r="N194" i="10"/>
  <c r="N225" i="8"/>
  <c r="N293" i="10"/>
  <c r="N343" i="1"/>
  <c r="N396" i="8"/>
  <c r="N447" i="8"/>
  <c r="N191" i="8"/>
  <c r="N322" i="1"/>
  <c r="N303" i="8"/>
  <c r="N82" i="8"/>
  <c r="N859" i="8"/>
  <c r="N256" i="1"/>
  <c r="N200" i="8"/>
  <c r="N25" i="10"/>
  <c r="P25" i="10" s="1"/>
  <c r="N161" i="10"/>
  <c r="N661" i="8"/>
  <c r="N686" i="8"/>
  <c r="N803" i="8"/>
  <c r="N185" i="8"/>
  <c r="N126" i="8"/>
  <c r="N188" i="8"/>
  <c r="N323" i="1"/>
  <c r="N698" i="8"/>
  <c r="N304" i="10"/>
  <c r="N850" i="8"/>
  <c r="N930" i="8"/>
  <c r="N543" i="8"/>
  <c r="N893" i="8"/>
  <c r="N127" i="1"/>
  <c r="N873" i="8"/>
  <c r="N995" i="8"/>
  <c r="N306" i="1"/>
  <c r="N268" i="10"/>
  <c r="N997" i="8"/>
  <c r="N247" i="10"/>
  <c r="N144" i="8"/>
  <c r="N247" i="1"/>
  <c r="N302" i="1"/>
  <c r="N162" i="8"/>
  <c r="N244" i="1"/>
  <c r="N51" i="1"/>
  <c r="N86" i="8"/>
  <c r="N985" i="8"/>
  <c r="N147" i="1"/>
  <c r="N28" i="8"/>
  <c r="N960" i="8"/>
  <c r="N286" i="10"/>
  <c r="N842" i="8"/>
  <c r="N519" i="8"/>
  <c r="N920" i="8"/>
  <c r="N280" i="10"/>
  <c r="N22" i="10"/>
  <c r="P22" i="10" s="1"/>
  <c r="N872" i="8"/>
  <c r="N101" i="10"/>
  <c r="P101" i="10" s="1"/>
  <c r="N994" i="8"/>
  <c r="N146" i="1"/>
  <c r="N883" i="8"/>
  <c r="N769" i="8"/>
  <c r="N267" i="1"/>
  <c r="N389" i="1"/>
  <c r="N365" i="1"/>
  <c r="N215" i="10"/>
  <c r="N419" i="8"/>
  <c r="N212" i="1"/>
  <c r="N263" i="8"/>
  <c r="N863" i="8"/>
  <c r="N63" i="10"/>
  <c r="P63" i="10" s="1"/>
  <c r="N493" i="8"/>
  <c r="N366" i="8"/>
  <c r="N381" i="8"/>
  <c r="N821" i="8"/>
  <c r="N933" i="8"/>
  <c r="N504" i="8"/>
  <c r="N149" i="10"/>
  <c r="N431" i="8"/>
  <c r="N93" i="8"/>
  <c r="N705" i="8"/>
  <c r="N934" i="8"/>
  <c r="N77" i="1"/>
  <c r="N88" i="1"/>
  <c r="N140" i="8"/>
  <c r="N59" i="8"/>
  <c r="N156" i="1"/>
  <c r="N131" i="8"/>
  <c r="N214" i="1"/>
  <c r="N945" i="8"/>
  <c r="N764" i="8"/>
  <c r="N64" i="10"/>
  <c r="P64" i="10" s="1"/>
  <c r="N612" i="8"/>
  <c r="N81" i="1"/>
  <c r="N901" i="8"/>
  <c r="N86" i="10"/>
  <c r="P86" i="10" s="1"/>
  <c r="N220" i="1"/>
  <c r="N692" i="8"/>
  <c r="N77" i="10"/>
  <c r="P77" i="10" s="1"/>
  <c r="N206" i="8"/>
  <c r="N783" i="8"/>
  <c r="N30" i="8"/>
  <c r="N208" i="8"/>
  <c r="N291" i="1"/>
  <c r="N348" i="1"/>
  <c r="N295" i="10"/>
  <c r="N144" i="10"/>
  <c r="N956" i="8"/>
  <c r="N272" i="10"/>
  <c r="N178" i="10"/>
  <c r="N325" i="8"/>
  <c r="N48" i="8"/>
  <c r="N1013" i="8"/>
  <c r="N320" i="8"/>
  <c r="N467" i="8"/>
  <c r="N542" i="8"/>
  <c r="N348" i="8"/>
  <c r="N926" i="8"/>
  <c r="N522" i="8"/>
  <c r="N370" i="8"/>
  <c r="N326" i="8"/>
  <c r="N535" i="8"/>
  <c r="N495" i="8"/>
  <c r="N240" i="1"/>
  <c r="N571" i="8"/>
  <c r="N301" i="1"/>
  <c r="N12" i="1"/>
  <c r="N472" i="8"/>
  <c r="N968" i="8"/>
  <c r="N226" i="8"/>
  <c r="N839" i="8"/>
  <c r="N912" i="8"/>
  <c r="N630" i="8"/>
  <c r="N608" i="8"/>
  <c r="N46" i="10"/>
  <c r="P46" i="10" s="1"/>
  <c r="N184" i="1"/>
  <c r="N250" i="8"/>
  <c r="N610" i="8"/>
  <c r="N267" i="8"/>
  <c r="N244" i="10"/>
  <c r="N354" i="8"/>
  <c r="N115" i="10"/>
  <c r="P115" i="10" s="1"/>
  <c r="N654" i="8"/>
  <c r="N271" i="10"/>
  <c r="N120" i="8"/>
  <c r="N21" i="1"/>
  <c r="N840" i="8"/>
  <c r="N383" i="8"/>
  <c r="N274" i="1"/>
  <c r="N532" i="8"/>
  <c r="N521" i="8"/>
  <c r="N133" i="8"/>
  <c r="N159" i="10"/>
  <c r="N1011" i="8"/>
  <c r="N249" i="8"/>
  <c r="N152" i="1"/>
  <c r="N299" i="1"/>
  <c r="N353" i="8"/>
  <c r="N903" i="8"/>
  <c r="N340" i="8"/>
  <c r="N20" i="1"/>
  <c r="N937" i="8"/>
  <c r="N101" i="8"/>
  <c r="N581" i="8"/>
  <c r="N835" i="8"/>
  <c r="N144" i="1"/>
  <c r="N388" i="8"/>
  <c r="N114" i="8"/>
  <c r="N874" i="8"/>
  <c r="N332" i="8"/>
  <c r="N382" i="1"/>
  <c r="N408" i="1"/>
  <c r="N125" i="1"/>
  <c r="N939" i="8"/>
  <c r="N181" i="1"/>
  <c r="N371" i="8"/>
  <c r="N383" i="1"/>
  <c r="N80" i="10"/>
  <c r="P80" i="10" s="1"/>
  <c r="N174" i="8"/>
  <c r="N67" i="8"/>
  <c r="N162" i="10"/>
  <c r="N640" i="8"/>
  <c r="N888" i="8"/>
  <c r="N372" i="8"/>
  <c r="N116" i="10"/>
  <c r="P116" i="10" s="1"/>
  <c r="N468" i="8"/>
  <c r="N147" i="10"/>
  <c r="N409" i="1"/>
  <c r="N681" i="8"/>
  <c r="N89" i="10"/>
  <c r="P89" i="10" s="1"/>
  <c r="N675" i="8"/>
  <c r="N814" i="8"/>
  <c r="N810" i="8"/>
  <c r="N360" i="1"/>
  <c r="N28" i="1"/>
  <c r="N699" i="8"/>
  <c r="N31" i="1"/>
  <c r="N620" i="8"/>
  <c r="N59" i="1"/>
  <c r="N137" i="8"/>
  <c r="N308" i="8"/>
  <c r="N11" i="1"/>
  <c r="N74" i="10"/>
  <c r="P74" i="10" s="1"/>
  <c r="N265" i="10"/>
  <c r="N53" i="10"/>
  <c r="P53" i="10" s="1"/>
  <c r="N13" i="8"/>
  <c r="N1002" i="8"/>
  <c r="N115" i="1"/>
  <c r="N485" i="8"/>
  <c r="N258" i="10"/>
  <c r="N578" i="8"/>
  <c r="N349" i="1"/>
  <c r="N217" i="1"/>
  <c r="N27" i="1"/>
  <c r="N65" i="8"/>
  <c r="N1007" i="8"/>
  <c r="N273" i="1"/>
  <c r="N766" i="8"/>
  <c r="N574" i="8"/>
  <c r="N230" i="1"/>
  <c r="N46" i="8"/>
  <c r="N202" i="1"/>
  <c r="N243" i="10"/>
  <c r="N735" i="8"/>
  <c r="N199" i="8"/>
  <c r="N411" i="8"/>
  <c r="N278" i="1"/>
  <c r="N558" i="8"/>
  <c r="N206" i="10"/>
  <c r="N446" i="8"/>
  <c r="N41" i="8"/>
  <c r="N85" i="10"/>
  <c r="P85" i="10" s="1"/>
  <c r="N180" i="8"/>
  <c r="N734" i="8"/>
  <c r="N99" i="10"/>
  <c r="P99" i="10" s="1"/>
  <c r="N948" i="8"/>
  <c r="N722" i="8"/>
  <c r="N230" i="10"/>
  <c r="N166" i="1"/>
  <c r="N361" i="8"/>
  <c r="N286" i="8"/>
  <c r="N261" i="10"/>
  <c r="N588" i="8"/>
  <c r="N424" i="8"/>
  <c r="N283" i="8"/>
  <c r="N573" i="8"/>
  <c r="N406" i="8"/>
  <c r="N308" i="1"/>
  <c r="N298" i="10"/>
  <c r="N248" i="8"/>
  <c r="N760" i="8"/>
  <c r="N294" i="1"/>
  <c r="N511" i="8"/>
  <c r="N738" i="8"/>
  <c r="N679" i="8"/>
  <c r="N49" i="1"/>
  <c r="N755" i="8"/>
  <c r="N132" i="8"/>
  <c r="N319" i="8"/>
  <c r="N275" i="10"/>
  <c r="N946" i="8"/>
  <c r="N442" i="8"/>
  <c r="N409" i="8"/>
  <c r="N862" i="8"/>
  <c r="N940" i="8"/>
  <c r="N27" i="10"/>
  <c r="P27" i="10" s="1"/>
  <c r="N952" i="8"/>
  <c r="N1012" i="8"/>
  <c r="N304" i="1"/>
  <c r="N979" i="8"/>
  <c r="N627" i="8"/>
  <c r="N284" i="8"/>
  <c r="N27" i="8"/>
  <c r="N982" i="8"/>
  <c r="N187" i="8"/>
  <c r="N111" i="1"/>
  <c r="N205" i="8"/>
  <c r="N91" i="8"/>
  <c r="N618" i="8"/>
  <c r="N368" i="1"/>
  <c r="N636" i="8"/>
  <c r="N151" i="1"/>
  <c r="N569" i="8"/>
  <c r="N359" i="1"/>
  <c r="N75" i="10"/>
  <c r="P75" i="10" s="1"/>
  <c r="N347" i="1"/>
  <c r="N52" i="1"/>
  <c r="N980" i="8"/>
  <c r="N53" i="8"/>
  <c r="N74" i="8"/>
  <c r="N575" i="8"/>
  <c r="N666" i="8"/>
  <c r="N988" i="8"/>
  <c r="N593" i="8"/>
  <c r="N917" i="8"/>
  <c r="N246" i="8"/>
  <c r="N942" i="8"/>
  <c r="N164" i="8"/>
  <c r="N279" i="1"/>
  <c r="N322" i="8"/>
  <c r="N150" i="8"/>
  <c r="N594" i="8"/>
  <c r="N184" i="8"/>
  <c r="N221" i="1"/>
  <c r="N39" i="8"/>
  <c r="N278" i="8"/>
  <c r="N820" i="8"/>
  <c r="N737" i="8"/>
  <c r="N407" i="8"/>
  <c r="N1014" i="8"/>
  <c r="N865" i="8"/>
  <c r="N198" i="10"/>
  <c r="N45" i="10"/>
  <c r="P45" i="10" s="1"/>
  <c r="N425" i="8"/>
  <c r="N276" i="8"/>
  <c r="N703" i="8"/>
  <c r="N195" i="8"/>
  <c r="N316" i="8"/>
  <c r="N269" i="8"/>
  <c r="N394" i="8"/>
  <c r="N135" i="8"/>
  <c r="N813" i="8"/>
  <c r="N21" i="8"/>
  <c r="N971" i="8"/>
  <c r="N910" i="8"/>
  <c r="N583" i="8"/>
  <c r="N104" i="10"/>
  <c r="P104" i="10" s="1"/>
  <c r="N751" i="8"/>
  <c r="N829" i="8"/>
  <c r="N576" i="8"/>
  <c r="N356" i="1"/>
  <c r="N567" i="8"/>
  <c r="N638" i="8"/>
  <c r="N91" i="10"/>
  <c r="P91" i="10" s="1"/>
  <c r="N252" i="8"/>
  <c r="N999" i="8"/>
  <c r="N370" i="1"/>
  <c r="N282" i="8"/>
  <c r="N773" i="8"/>
  <c r="N51" i="8"/>
  <c r="N123" i="1"/>
  <c r="N236" i="10"/>
  <c r="N288" i="10"/>
  <c r="N491" i="8"/>
  <c r="N19" i="8"/>
  <c r="N721" i="8"/>
  <c r="N231" i="10"/>
  <c r="N228" i="10"/>
  <c r="N302" i="8"/>
  <c r="N185" i="10"/>
  <c r="N302" i="10"/>
  <c r="N190" i="1"/>
  <c r="N54" i="1"/>
  <c r="N23" i="1"/>
  <c r="N771" i="8"/>
  <c r="N606" i="8"/>
  <c r="N187" i="1"/>
  <c r="N73" i="10"/>
  <c r="P73" i="10" s="1"/>
  <c r="N110" i="10"/>
  <c r="P110" i="10" s="1"/>
  <c r="N539" i="8"/>
  <c r="N232" i="8"/>
  <c r="N629" i="8"/>
  <c r="N287" i="10"/>
  <c r="N894" i="8"/>
  <c r="N160" i="10"/>
  <c r="N830" i="8"/>
  <c r="N287" i="1"/>
  <c r="N390" i="1"/>
  <c r="N328" i="8"/>
  <c r="N92" i="1"/>
  <c r="N228" i="8"/>
  <c r="N869" i="8"/>
  <c r="N229" i="8"/>
  <c r="N91" i="1"/>
  <c r="N271" i="8"/>
  <c r="N961" i="8"/>
  <c r="N217" i="8"/>
  <c r="N208" i="10"/>
  <c r="N436" i="8"/>
  <c r="N707" i="8"/>
  <c r="N860" i="8"/>
  <c r="N351" i="8"/>
  <c r="N789" i="8"/>
  <c r="N639" i="8"/>
  <c r="N42" i="1"/>
  <c r="N219" i="10"/>
  <c r="N676" i="8"/>
  <c r="N745" i="8"/>
  <c r="N232" i="10"/>
  <c r="N714" i="8"/>
  <c r="N513" i="8"/>
  <c r="N278" i="10"/>
  <c r="N227" i="1"/>
  <c r="N72" i="10"/>
  <c r="P72" i="10" s="1"/>
  <c r="N881" i="8"/>
  <c r="N896" i="8"/>
  <c r="N790" i="8"/>
  <c r="N551" i="8"/>
  <c r="N972" i="8"/>
  <c r="N886" i="8"/>
  <c r="N774" i="8"/>
  <c r="N97" i="10"/>
  <c r="P97" i="10" s="1"/>
  <c r="N148" i="10"/>
  <c r="N255" i="8"/>
  <c r="N178" i="8"/>
  <c r="N885" i="8"/>
  <c r="N619" i="8"/>
  <c r="N533" i="8"/>
  <c r="N838" i="8"/>
  <c r="N235" i="10"/>
  <c r="N784" i="8"/>
  <c r="N202" i="8"/>
  <c r="N52" i="8"/>
  <c r="N198" i="8"/>
  <c r="N209" i="8"/>
  <c r="N254" i="10"/>
  <c r="N833" i="8"/>
  <c r="N80" i="8"/>
  <c r="N374" i="8"/>
  <c r="N324" i="8"/>
  <c r="N954" i="8"/>
  <c r="N359" i="8"/>
  <c r="N85" i="1"/>
  <c r="N283" i="10"/>
  <c r="N23" i="8"/>
  <c r="N808" i="8"/>
  <c r="N223" i="10"/>
  <c r="N74" i="1"/>
  <c r="N312" i="1"/>
  <c r="N246" i="10"/>
  <c r="N176" i="10"/>
  <c r="N549" i="8"/>
  <c r="N231" i="8"/>
  <c r="N674" i="8"/>
  <c r="N205" i="10"/>
  <c r="N71" i="1"/>
  <c r="N611" i="8"/>
  <c r="N164" i="10"/>
  <c r="N113" i="8"/>
  <c r="N143" i="1"/>
  <c r="N266" i="1"/>
  <c r="N392" i="8"/>
  <c r="N544" i="8"/>
  <c r="N410" i="8"/>
  <c r="N108" i="8"/>
  <c r="N646" i="8"/>
  <c r="N463" i="8"/>
  <c r="N128" i="8"/>
  <c r="N58" i="8"/>
  <c r="N34" i="1"/>
  <c r="N24" i="8"/>
  <c r="N211" i="1"/>
  <c r="N33" i="1"/>
  <c r="N14" i="8"/>
  <c r="N37" i="8"/>
  <c r="N736" i="8"/>
  <c r="N68" i="1"/>
  <c r="N480" i="8"/>
  <c r="N401" i="8"/>
  <c r="N31" i="8"/>
  <c r="N151" i="8"/>
  <c r="N889" i="8"/>
  <c r="N214" i="8"/>
  <c r="N465" i="8"/>
  <c r="N113" i="10"/>
  <c r="P113" i="10" s="1"/>
  <c r="N243" i="1"/>
  <c r="N109" i="8"/>
  <c r="N55" i="8"/>
  <c r="N69" i="10"/>
  <c r="P69" i="10" s="1"/>
  <c r="N413" i="8"/>
  <c r="N216" i="1"/>
  <c r="N165" i="1"/>
  <c r="N378" i="8"/>
  <c r="N213" i="10"/>
  <c r="N256" i="8"/>
  <c r="N313" i="8"/>
  <c r="N570" i="8"/>
  <c r="N547" i="8"/>
  <c r="N775" i="8"/>
  <c r="N246" i="1"/>
  <c r="N201" i="8"/>
  <c r="N107" i="8"/>
  <c r="N145" i="8"/>
  <c r="N273" i="8"/>
  <c r="N18" i="10"/>
  <c r="P18" i="10" s="1"/>
  <c r="N116" i="8"/>
  <c r="N876" i="8"/>
  <c r="N252" i="10"/>
  <c r="N160" i="8"/>
  <c r="N168" i="10"/>
  <c r="N523" i="8"/>
  <c r="N211" i="8"/>
  <c r="N76" i="1"/>
  <c r="N589" i="8"/>
  <c r="N95" i="8"/>
  <c r="N633" i="8"/>
  <c r="N697" i="8"/>
  <c r="N55" i="1"/>
  <c r="N484" i="8"/>
  <c r="N220" i="8"/>
  <c r="N14" i="10"/>
  <c r="P14" i="10" s="1"/>
  <c r="N802" i="8"/>
  <c r="N40" i="10"/>
  <c r="P40" i="10" s="1"/>
  <c r="N501" i="8"/>
  <c r="N171" i="1"/>
  <c r="N111" i="8"/>
  <c r="N400" i="8"/>
  <c r="N605" i="8"/>
  <c r="P605" i="8" l="1"/>
  <c r="P400" i="8"/>
  <c r="P111" i="8"/>
  <c r="P501" i="8"/>
  <c r="P802" i="8"/>
  <c r="P220" i="8"/>
  <c r="P484" i="8"/>
  <c r="P697" i="8"/>
  <c r="P633" i="8"/>
  <c r="P95" i="8"/>
  <c r="P589" i="8"/>
  <c r="P211" i="8"/>
  <c r="P523" i="8"/>
  <c r="P160" i="8"/>
  <c r="P876" i="8"/>
  <c r="P116" i="8"/>
  <c r="P273" i="8"/>
  <c r="P145" i="8"/>
  <c r="P107" i="8"/>
  <c r="P201" i="8"/>
  <c r="P775" i="8"/>
  <c r="P547" i="8"/>
  <c r="P570" i="8"/>
  <c r="P313" i="8"/>
  <c r="P256" i="8"/>
  <c r="P378" i="8"/>
  <c r="P413" i="8"/>
  <c r="P55" i="8"/>
  <c r="P109" i="8"/>
  <c r="P465" i="8"/>
  <c r="P214" i="8"/>
  <c r="P889" i="8"/>
  <c r="P151" i="8"/>
  <c r="P31" i="8"/>
  <c r="P401" i="8"/>
  <c r="P480" i="8"/>
  <c r="P736" i="8"/>
  <c r="P37" i="8"/>
  <c r="P14" i="8"/>
  <c r="P24" i="8"/>
  <c r="P58" i="8"/>
  <c r="P128" i="8"/>
  <c r="P463" i="8"/>
  <c r="P646" i="8"/>
  <c r="P108" i="8"/>
  <c r="P410" i="8"/>
  <c r="P544" i="8"/>
  <c r="P392" i="8"/>
  <c r="P113" i="8"/>
  <c r="P611" i="8"/>
  <c r="P674" i="8"/>
  <c r="P231" i="8"/>
  <c r="P549" i="8"/>
  <c r="P808" i="8"/>
  <c r="P23" i="8"/>
  <c r="P359" i="8"/>
  <c r="P954" i="8"/>
  <c r="P324" i="8"/>
  <c r="P374" i="8"/>
  <c r="P80" i="8"/>
  <c r="P833" i="8"/>
  <c r="P209" i="8"/>
  <c r="P198" i="8"/>
  <c r="P52" i="8"/>
  <c r="P202" i="8"/>
  <c r="P784" i="8"/>
  <c r="P838" i="8"/>
  <c r="P533" i="8"/>
  <c r="P619" i="8"/>
  <c r="P885" i="8"/>
  <c r="P178" i="8"/>
  <c r="P255" i="8"/>
  <c r="P774" i="8"/>
  <c r="P886" i="8"/>
  <c r="P972" i="8"/>
  <c r="P551" i="8"/>
  <c r="P790" i="8"/>
  <c r="P896" i="8"/>
  <c r="P881" i="8"/>
  <c r="P513" i="8"/>
  <c r="P714" i="8"/>
  <c r="P745" i="8"/>
  <c r="P676" i="8"/>
  <c r="P639" i="8"/>
  <c r="P789" i="8"/>
  <c r="P351" i="8"/>
  <c r="P860" i="8"/>
  <c r="P707" i="8"/>
  <c r="P436" i="8"/>
  <c r="P217" i="8"/>
  <c r="P961" i="8"/>
  <c r="P271" i="8"/>
  <c r="P229" i="8"/>
  <c r="P869" i="8"/>
  <c r="P228" i="8"/>
  <c r="P328" i="8"/>
  <c r="P830" i="8"/>
  <c r="P894" i="8"/>
  <c r="P629" i="8"/>
  <c r="P232" i="8"/>
  <c r="P539" i="8"/>
  <c r="P606" i="8"/>
  <c r="P771" i="8"/>
  <c r="P302" i="8"/>
  <c r="P721" i="8"/>
  <c r="P19" i="8"/>
  <c r="P491" i="8"/>
  <c r="P51" i="8"/>
  <c r="P773" i="8"/>
  <c r="P282" i="8"/>
  <c r="P999" i="8"/>
  <c r="P252" i="8"/>
  <c r="P638" i="8"/>
  <c r="P567" i="8"/>
  <c r="P576" i="8"/>
  <c r="P829" i="8"/>
  <c r="P751" i="8"/>
  <c r="P583" i="8"/>
  <c r="P910" i="8"/>
  <c r="P971" i="8"/>
  <c r="P21" i="8"/>
  <c r="P813" i="8"/>
  <c r="P135" i="8"/>
  <c r="P394" i="8"/>
  <c r="P269" i="8"/>
  <c r="P316" i="8"/>
  <c r="P195" i="8"/>
  <c r="P703" i="8"/>
  <c r="P276" i="8"/>
  <c r="P425" i="8"/>
  <c r="P865" i="8"/>
  <c r="P1014" i="8"/>
  <c r="P407" i="8"/>
  <c r="P737" i="8"/>
  <c r="P820" i="8"/>
  <c r="P278" i="8"/>
  <c r="P39" i="8"/>
  <c r="P184" i="8"/>
  <c r="P594" i="8"/>
  <c r="P150" i="8"/>
  <c r="P322" i="8"/>
  <c r="P164" i="8"/>
  <c r="P942" i="8"/>
  <c r="P246" i="8"/>
  <c r="P917" i="8"/>
  <c r="P593" i="8"/>
  <c r="P988" i="8"/>
  <c r="P666" i="8"/>
  <c r="P575" i="8"/>
  <c r="P74" i="8"/>
  <c r="P53" i="8"/>
  <c r="P980" i="8"/>
  <c r="P569" i="8"/>
  <c r="P636" i="8"/>
  <c r="P618" i="8"/>
  <c r="P91" i="8"/>
  <c r="P205" i="8"/>
  <c r="P187" i="8"/>
  <c r="P982" i="8"/>
  <c r="P27" i="8"/>
  <c r="P284" i="8"/>
  <c r="P627" i="8"/>
  <c r="P979" i="8"/>
  <c r="P1012" i="8"/>
  <c r="P952" i="8"/>
  <c r="P940" i="8"/>
  <c r="P862" i="8"/>
  <c r="P409" i="8"/>
  <c r="P442" i="8"/>
  <c r="P946" i="8"/>
  <c r="P319" i="8"/>
  <c r="P132" i="8"/>
  <c r="P755" i="8"/>
  <c r="P679" i="8"/>
  <c r="P738" i="8"/>
  <c r="P511" i="8"/>
  <c r="P760" i="8"/>
  <c r="P248" i="8"/>
  <c r="P406" i="8"/>
  <c r="P573" i="8"/>
  <c r="P283" i="8"/>
  <c r="P424" i="8"/>
  <c r="P588" i="8"/>
  <c r="P286" i="8"/>
  <c r="P361" i="8"/>
  <c r="P722" i="8"/>
  <c r="P948" i="8"/>
  <c r="P734" i="8"/>
  <c r="P180" i="8"/>
  <c r="P41" i="8"/>
  <c r="P446" i="8"/>
  <c r="P558" i="8"/>
  <c r="P411" i="8"/>
  <c r="P199" i="8"/>
  <c r="P735" i="8"/>
  <c r="P46" i="8"/>
  <c r="P574" i="8"/>
  <c r="P766" i="8"/>
  <c r="P1007" i="8"/>
  <c r="P65" i="8"/>
  <c r="P578" i="8"/>
  <c r="P485" i="8"/>
  <c r="P1002" i="8"/>
  <c r="P13" i="8"/>
  <c r="P308" i="8"/>
  <c r="P137" i="8"/>
  <c r="P620" i="8"/>
  <c r="P699" i="8"/>
  <c r="P810" i="8"/>
  <c r="P814" i="8"/>
  <c r="P675" i="8"/>
  <c r="P681" i="8"/>
  <c r="P468" i="8"/>
  <c r="P372" i="8"/>
  <c r="P888" i="8"/>
  <c r="P640" i="8"/>
  <c r="P67" i="8"/>
  <c r="P174" i="8"/>
  <c r="P371" i="8"/>
  <c r="P939" i="8"/>
  <c r="P332" i="8"/>
  <c r="P874" i="8"/>
  <c r="P114" i="8"/>
  <c r="P388" i="8"/>
  <c r="P835" i="8"/>
  <c r="P581" i="8"/>
  <c r="P101" i="8"/>
  <c r="P937" i="8"/>
  <c r="P340" i="8"/>
  <c r="P903" i="8"/>
  <c r="P353" i="8"/>
  <c r="P249" i="8"/>
  <c r="P1011" i="8"/>
  <c r="P133" i="8"/>
  <c r="P521" i="8"/>
  <c r="P532" i="8"/>
  <c r="P383" i="8"/>
  <c r="P840" i="8"/>
  <c r="P120" i="8"/>
  <c r="P654" i="8"/>
  <c r="P354" i="8"/>
  <c r="P267" i="8"/>
  <c r="P610" i="8"/>
  <c r="P250" i="8"/>
  <c r="P608" i="8"/>
  <c r="P630" i="8"/>
  <c r="P912" i="8"/>
  <c r="P839" i="8"/>
  <c r="P226" i="8"/>
  <c r="P968" i="8"/>
  <c r="P472" i="8"/>
  <c r="P571" i="8"/>
  <c r="P495" i="8"/>
  <c r="P535" i="8"/>
  <c r="P326" i="8"/>
  <c r="P370" i="8"/>
  <c r="P522" i="8"/>
  <c r="P926" i="8"/>
  <c r="P348" i="8"/>
  <c r="P542" i="8"/>
  <c r="P467" i="8"/>
  <c r="P320" i="8"/>
  <c r="P1013" i="8"/>
  <c r="P48" i="8"/>
  <c r="P325" i="8"/>
  <c r="P956" i="8"/>
  <c r="P208" i="8"/>
  <c r="P30" i="8"/>
  <c r="P783" i="8"/>
  <c r="P206" i="8"/>
  <c r="P692" i="8"/>
  <c r="P901" i="8"/>
  <c r="P612" i="8"/>
  <c r="P764" i="8"/>
  <c r="P945" i="8"/>
  <c r="P131" i="8"/>
  <c r="P59" i="8"/>
  <c r="P140" i="8"/>
  <c r="P934" i="8"/>
  <c r="P705" i="8"/>
  <c r="P93" i="8"/>
  <c r="P431" i="8"/>
  <c r="P504" i="8"/>
  <c r="P933" i="8"/>
  <c r="P821" i="8"/>
  <c r="P381" i="8"/>
  <c r="P366" i="8"/>
  <c r="P493" i="8"/>
  <c r="P863" i="8"/>
  <c r="P263" i="8"/>
  <c r="P419" i="8"/>
  <c r="P769" i="8"/>
  <c r="P883" i="8"/>
  <c r="P994" i="8"/>
  <c r="P872" i="8"/>
  <c r="P920" i="8"/>
  <c r="P519" i="8"/>
  <c r="P842" i="8"/>
  <c r="P960" i="8"/>
  <c r="P28" i="8"/>
  <c r="P985" i="8"/>
  <c r="P86" i="8"/>
  <c r="P162" i="8"/>
  <c r="P144" i="8"/>
  <c r="P997" i="8"/>
  <c r="P995" i="8"/>
  <c r="P873" i="8"/>
  <c r="P893" i="8"/>
  <c r="P543" i="8"/>
  <c r="P930" i="8"/>
  <c r="P850" i="8"/>
  <c r="P698" i="8"/>
  <c r="P188" i="8"/>
  <c r="P126" i="8"/>
  <c r="P185" i="8"/>
  <c r="P803" i="8"/>
  <c r="P686" i="8"/>
  <c r="P661" i="8"/>
  <c r="P200" i="8"/>
  <c r="P859" i="8"/>
  <c r="P82" i="8"/>
  <c r="P303" i="8"/>
  <c r="P191" i="8"/>
  <c r="P447" i="8"/>
  <c r="P396" i="8"/>
  <c r="P225" i="8"/>
  <c r="P87" i="8"/>
  <c r="P530" i="8"/>
  <c r="P330" i="8"/>
  <c r="P153" i="8"/>
  <c r="P253" i="8"/>
  <c r="P723" i="8"/>
  <c r="P66" i="8"/>
  <c r="P1003" i="8"/>
  <c r="P836" i="8"/>
  <c r="P134" i="8"/>
  <c r="P127" i="8"/>
  <c r="P502" i="8"/>
  <c r="P711" i="8"/>
  <c r="P380" i="8"/>
  <c r="P508" i="8"/>
  <c r="P439" i="8"/>
  <c r="P853" i="8"/>
  <c r="P616" i="8"/>
  <c r="P977" i="8"/>
  <c r="P526" i="8"/>
  <c r="P724" i="8"/>
  <c r="P155" i="8"/>
  <c r="P757" i="8"/>
  <c r="P831" i="8"/>
  <c r="P285" i="8"/>
  <c r="P85" i="8"/>
  <c r="P110" i="8"/>
  <c r="P457" i="8"/>
  <c r="P423" i="8"/>
  <c r="P337" i="8"/>
  <c r="P272" i="8"/>
  <c r="P168" i="8"/>
  <c r="P673" i="8"/>
  <c r="P669" i="8"/>
  <c r="P733" i="8"/>
  <c r="P307" i="8"/>
  <c r="P71" i="8"/>
  <c r="P545" i="8"/>
  <c r="P221" i="8"/>
  <c r="P701" i="8"/>
  <c r="P932" i="8"/>
  <c r="P78" i="8"/>
  <c r="P192" i="8"/>
  <c r="P459" i="8"/>
  <c r="P118" i="8"/>
  <c r="P882" i="8"/>
  <c r="P651" i="8"/>
  <c r="P668" i="8"/>
  <c r="P563" i="8"/>
  <c r="P601" i="8"/>
  <c r="P870" i="8"/>
  <c r="P993" i="8"/>
  <c r="P473" i="8"/>
  <c r="P119" i="8"/>
  <c r="P362" i="8"/>
  <c r="P966" i="8"/>
  <c r="P844" i="8"/>
  <c r="P289" i="8"/>
  <c r="P899" i="8"/>
  <c r="P978" i="8"/>
  <c r="P507" i="8"/>
  <c r="P719" i="8"/>
  <c r="P643" i="8"/>
  <c r="P680" i="8"/>
  <c r="P938" i="8"/>
  <c r="P691" i="8"/>
  <c r="P959" i="8"/>
  <c r="P433" i="8"/>
  <c r="P99" i="8"/>
  <c r="P687" i="8"/>
  <c r="P665" i="8"/>
  <c r="P451" i="8"/>
  <c r="P732" i="8"/>
  <c r="P444" i="8"/>
  <c r="P950" i="8"/>
  <c r="P559" i="8"/>
  <c r="P486" i="8"/>
  <c r="P437" i="8"/>
  <c r="P715" i="8"/>
  <c r="P768" i="8"/>
  <c r="P34" i="8"/>
  <c r="P478" i="8"/>
  <c r="P632" i="8"/>
  <c r="P432" i="8"/>
  <c r="P534" i="8"/>
  <c r="P357" i="8"/>
  <c r="P49" i="8"/>
  <c r="P300" i="8"/>
  <c r="P649" i="8"/>
  <c r="P505" i="8"/>
  <c r="P387" i="8"/>
  <c r="P219" i="8"/>
  <c r="P385" i="8"/>
  <c r="P476" i="8"/>
  <c r="P720" i="8"/>
  <c r="P690" i="8"/>
  <c r="P434" i="8"/>
  <c r="P274" i="8"/>
  <c r="P398" i="8"/>
  <c r="P379" i="8"/>
  <c r="P849" i="8"/>
  <c r="P672" i="8"/>
  <c r="P452" i="8"/>
  <c r="P254" i="8"/>
  <c r="P592" i="8"/>
  <c r="P659" i="8"/>
  <c r="P868" i="8"/>
  <c r="P345" i="8"/>
  <c r="P183" i="8"/>
  <c r="P598" i="8"/>
  <c r="P499" i="8"/>
  <c r="P744" i="8"/>
  <c r="P976" i="8"/>
  <c r="P892" i="8"/>
  <c r="P420" i="8"/>
  <c r="P450" i="8"/>
  <c r="P212" i="8"/>
  <c r="P305" i="8"/>
  <c r="P858" i="8"/>
  <c r="P677" i="8"/>
  <c r="P652" i="8"/>
  <c r="P935" i="8"/>
  <c r="P907" i="8"/>
  <c r="P389" i="8"/>
  <c r="P156" i="8"/>
  <c r="P791" i="8"/>
  <c r="P540" i="8"/>
  <c r="P469" i="8"/>
  <c r="P819" i="8"/>
  <c r="P17" i="8"/>
  <c r="P181" i="8"/>
  <c r="P158" i="8"/>
  <c r="P408" i="8"/>
  <c r="P470" i="8"/>
  <c r="P728" i="8"/>
  <c r="P857" i="8"/>
  <c r="P404" i="8"/>
  <c r="P904" i="8"/>
  <c r="P925" i="8"/>
  <c r="P762" i="8"/>
  <c r="P650" i="8"/>
  <c r="P455" i="8"/>
  <c r="P761" i="8"/>
  <c r="P607" i="8"/>
  <c r="P68" i="8"/>
  <c r="P334" i="8"/>
  <c r="P136" i="8"/>
  <c r="P658" i="8"/>
  <c r="P193" i="8"/>
  <c r="P338" i="8"/>
  <c r="P991" i="8"/>
  <c r="P943" i="8"/>
  <c r="P306" i="8"/>
  <c r="P743" i="8"/>
  <c r="P279" i="8"/>
  <c r="P163" i="8"/>
  <c r="P179" i="8"/>
  <c r="P318" i="8"/>
  <c r="P426" i="8"/>
  <c r="P194" i="8"/>
  <c r="P854" i="8"/>
  <c r="P309" i="8"/>
  <c r="P123" i="8"/>
  <c r="P788" i="8"/>
  <c r="P98" i="8"/>
  <c r="P747" i="8"/>
  <c r="P911" i="8"/>
  <c r="P772" i="8"/>
  <c r="P817" i="8"/>
  <c r="P26" i="8"/>
  <c r="P832" i="8"/>
  <c r="P781" i="8"/>
  <c r="P986" i="8"/>
  <c r="P311" i="8"/>
  <c r="P339" i="8"/>
  <c r="P514" i="8"/>
  <c r="P399" i="8"/>
  <c r="P642" i="8"/>
  <c r="P290" i="8"/>
  <c r="P656" i="8"/>
  <c r="P165" i="8"/>
  <c r="P596" i="8"/>
  <c r="P700" i="8"/>
  <c r="P115" i="8"/>
  <c r="P621" i="8"/>
  <c r="P987" i="8"/>
  <c r="P487" i="8"/>
  <c r="P1010" i="8"/>
  <c r="P848" i="8"/>
  <c r="P615" i="8"/>
  <c r="P454" i="8"/>
  <c r="P167" i="8"/>
  <c r="P550" i="8"/>
  <c r="P908" i="8"/>
  <c r="P216" i="8"/>
  <c r="P824" i="8"/>
  <c r="P625" i="8"/>
  <c r="P970" i="8"/>
  <c r="P922" i="8"/>
  <c r="P218" i="8"/>
  <c r="P344" i="8"/>
  <c r="P79" i="8"/>
  <c r="P287" i="8"/>
  <c r="P782" i="8"/>
  <c r="P604" i="8"/>
  <c r="P981" i="8"/>
  <c r="P856" i="8"/>
  <c r="P644" i="8"/>
  <c r="P443" i="8"/>
  <c r="P12" i="8"/>
  <c r="P931" i="8"/>
  <c r="P172" i="8"/>
  <c r="P479" i="8"/>
  <c r="P712" i="8"/>
  <c r="P301" i="8"/>
  <c r="P36" i="8"/>
  <c r="P368" i="8"/>
  <c r="P670" i="8"/>
  <c r="P403" i="8"/>
  <c r="P780" i="8"/>
  <c r="P541" i="8"/>
  <c r="P421" i="8"/>
  <c r="P461" i="8"/>
  <c r="P564" i="8"/>
  <c r="P756" i="8"/>
  <c r="P753" i="8"/>
  <c r="P586" i="8"/>
  <c r="P154" i="8"/>
  <c r="P795" i="8"/>
  <c r="P239" i="8"/>
  <c r="P990" i="8"/>
  <c r="P631" i="8"/>
  <c r="P887" i="8"/>
  <c r="P130" i="8"/>
  <c r="P449" i="8"/>
  <c r="P143" i="8"/>
  <c r="P941" i="8"/>
  <c r="P718" i="8"/>
  <c r="P44" i="8"/>
  <c r="P335" i="8"/>
  <c r="P565" i="8"/>
  <c r="P741" i="8"/>
  <c r="P799" i="8"/>
  <c r="P878" i="8"/>
  <c r="P748" i="8"/>
  <c r="P245" i="8"/>
  <c r="P204" i="8"/>
  <c r="P924" i="8"/>
  <c r="P294" i="8"/>
  <c r="P812" i="8"/>
  <c r="P90" i="8"/>
  <c r="P554" i="8"/>
  <c r="P518" i="8"/>
  <c r="P223" i="8"/>
  <c r="P867" i="8"/>
  <c r="P798" i="8"/>
  <c r="P266" i="8"/>
  <c r="P949" i="8"/>
  <c r="P112" i="8"/>
  <c r="P295" i="8"/>
  <c r="P742" i="8"/>
  <c r="P490" i="8"/>
  <c r="P415" i="8"/>
  <c r="P142" i="8"/>
  <c r="P845" i="8"/>
  <c r="P275" i="8"/>
  <c r="P957" i="8"/>
  <c r="P818" i="8"/>
  <c r="P281" i="8"/>
  <c r="P189" i="8"/>
  <c r="P785" i="8"/>
  <c r="P15" i="8"/>
  <c r="P827" i="8"/>
  <c r="P815" i="8"/>
  <c r="P562" i="8"/>
  <c r="P377" i="8"/>
  <c r="P512" i="8"/>
  <c r="P804" i="8"/>
  <c r="P580" i="8"/>
  <c r="P237" i="8"/>
  <c r="P555" i="8"/>
  <c r="P241" i="8"/>
  <c r="P146" i="8"/>
  <c r="P60" i="8"/>
  <c r="P312" i="8"/>
  <c r="P72" i="8"/>
  <c r="P438" i="8"/>
  <c r="P242" i="8"/>
  <c r="P529" i="8"/>
  <c r="P657" i="8"/>
  <c r="P537" i="8"/>
  <c r="P585" i="8"/>
  <c r="P292" i="8"/>
  <c r="P356" i="8"/>
  <c r="P373" i="8"/>
  <c r="P257" i="8"/>
  <c r="P61" i="8"/>
  <c r="P124" i="8"/>
  <c r="P525" i="8"/>
  <c r="P129" i="8"/>
  <c r="P38" i="8"/>
  <c r="P552" i="8"/>
  <c r="P765" i="8"/>
  <c r="P793" i="8"/>
  <c r="P884" i="8"/>
  <c r="P81" i="8"/>
  <c r="P752" i="8"/>
  <c r="P989" i="8"/>
  <c r="P613" i="8"/>
  <c r="P369" i="8"/>
  <c r="P847" i="8"/>
  <c r="P716" i="8"/>
  <c r="P916" i="8"/>
  <c r="P277" i="8"/>
  <c r="P767" i="8"/>
  <c r="P435" i="8"/>
  <c r="P20" i="8"/>
  <c r="P843" i="8"/>
  <c r="P708" i="8"/>
  <c r="P846" i="8"/>
  <c r="P851" i="8"/>
  <c r="P566" i="8"/>
  <c r="P352" i="8"/>
  <c r="P483" i="8"/>
  <c r="P890" i="8"/>
  <c r="P323" i="8"/>
  <c r="P222" i="8"/>
  <c r="P233" i="8"/>
  <c r="P524" i="8"/>
  <c r="P122" i="8"/>
  <c r="P29" i="8"/>
  <c r="P293" i="8"/>
  <c r="P500" i="8"/>
  <c r="P561" i="8"/>
  <c r="P341" i="8"/>
  <c r="P1006" i="8"/>
  <c r="P992" i="8"/>
  <c r="P358" i="8"/>
  <c r="P327" i="8"/>
  <c r="P895" i="8"/>
  <c r="P464" i="8"/>
  <c r="P591" i="8"/>
  <c r="P397" i="8"/>
  <c r="P572" i="8"/>
  <c r="P710" i="8"/>
  <c r="P333" i="8"/>
  <c r="P749" i="8"/>
  <c r="P609" i="8"/>
  <c r="P628" i="8"/>
  <c r="P777" i="8"/>
  <c r="P489" i="8"/>
  <c r="P614" i="8"/>
  <c r="P89" i="8"/>
  <c r="P170" i="8"/>
  <c r="P141" i="8"/>
  <c r="P412" i="8"/>
  <c r="P440" i="8"/>
  <c r="P557" i="8"/>
  <c r="P891" i="8"/>
  <c r="P634" i="8"/>
  <c r="P121" i="8"/>
  <c r="P18" i="8"/>
  <c r="P510" i="8"/>
  <c r="P310" i="8"/>
  <c r="P726" i="8"/>
  <c r="P688" i="8"/>
  <c r="P597" i="8"/>
  <c r="P624" i="8"/>
  <c r="P291" i="8"/>
  <c r="P727" i="8"/>
  <c r="P299" i="8"/>
  <c r="P996" i="8"/>
  <c r="P73" i="8"/>
  <c r="P546" i="8"/>
  <c r="P230" i="8"/>
  <c r="P365" i="8"/>
  <c r="P422" i="8"/>
  <c r="P32" i="8"/>
  <c r="P182" i="8"/>
  <c r="P70" i="8"/>
  <c r="P637" i="8"/>
  <c r="P538" i="8"/>
  <c r="P1004" i="8"/>
  <c r="P682" i="8"/>
  <c r="P173" i="8"/>
  <c r="P801" i="8"/>
  <c r="P102" i="8"/>
  <c r="P635" i="8"/>
  <c r="P1009" i="8"/>
  <c r="P694" i="8"/>
  <c r="P453" i="8"/>
  <c r="P364" i="8"/>
  <c r="P963" i="8"/>
  <c r="P641" i="8"/>
  <c r="P297" i="8"/>
  <c r="P117" i="8"/>
  <c r="P288" i="8"/>
  <c r="P758" i="8"/>
  <c r="P786" i="8"/>
  <c r="P951" i="8"/>
  <c r="P235" i="8"/>
  <c r="P806" i="8"/>
  <c r="P855" i="8"/>
  <c r="P527" i="8"/>
  <c r="P386" i="8"/>
  <c r="P488" i="8"/>
  <c r="P243" i="8"/>
  <c r="P331" i="8"/>
  <c r="P955" i="8"/>
  <c r="P964" i="8"/>
  <c r="P678" i="8"/>
  <c r="P919" i="8"/>
  <c r="P713" i="8"/>
  <c r="P717" i="8"/>
  <c r="P94" i="8"/>
  <c r="P797" i="8"/>
  <c r="P264" i="8"/>
  <c r="P417" i="8"/>
  <c r="P864" i="8"/>
  <c r="P662" i="8"/>
  <c r="P50" i="8"/>
  <c r="P965" i="8"/>
  <c r="P1001" i="8"/>
  <c r="P1000" i="8"/>
  <c r="P975" i="8"/>
  <c r="P927" i="8"/>
  <c r="P531" i="8"/>
  <c r="P405" i="8"/>
  <c r="P25" i="8"/>
  <c r="P731" i="8"/>
  <c r="P936" i="8"/>
  <c r="P645" i="8"/>
  <c r="P754" i="8"/>
  <c r="P349" i="8"/>
  <c r="P653" i="8"/>
  <c r="P923" i="8"/>
  <c r="P196" i="8"/>
  <c r="P244" i="8"/>
  <c r="P466" i="8"/>
  <c r="P879" i="8"/>
  <c r="P336" i="8"/>
  <c r="P915" i="8"/>
  <c r="P623" i="8"/>
  <c r="P587" i="8"/>
  <c r="P548" i="8"/>
  <c r="P418" i="8"/>
  <c r="P105" i="8"/>
  <c r="P834" i="8"/>
  <c r="P516" i="8"/>
  <c r="P528" i="8"/>
  <c r="P929" i="8"/>
  <c r="P684" i="8"/>
  <c r="P918" i="8"/>
  <c r="P778" i="8"/>
  <c r="P626" i="8"/>
  <c r="P430" i="8"/>
  <c r="P251" i="8"/>
  <c r="P704" i="8"/>
  <c r="P807" i="8"/>
  <c r="P56" i="8"/>
  <c r="P740" i="8"/>
  <c r="P921" i="8"/>
  <c r="P826" i="8"/>
  <c r="P584" i="8"/>
  <c r="P517" i="8"/>
  <c r="P375" i="8"/>
  <c r="P947" i="8"/>
  <c r="P64" i="8"/>
  <c r="P268" i="8"/>
  <c r="P139" i="8"/>
  <c r="P260" i="8"/>
  <c r="P314" i="8"/>
  <c r="P393" i="8"/>
  <c r="P343" i="8"/>
  <c r="P97" i="8"/>
  <c r="P22" i="8"/>
  <c r="P224" i="8"/>
  <c r="P792" i="8"/>
  <c r="P152" i="8"/>
  <c r="P177" i="8"/>
  <c r="P553" i="8"/>
  <c r="P159" i="8"/>
  <c r="P96" i="8"/>
  <c r="P75" i="8"/>
  <c r="P84" i="8"/>
  <c r="P429" i="8"/>
  <c r="P509" i="8"/>
  <c r="P190" i="8"/>
  <c r="P1008" i="8"/>
  <c r="P759" i="8"/>
  <c r="P967" i="8"/>
  <c r="P57" i="8"/>
  <c r="P240" i="8"/>
  <c r="P779" i="8"/>
  <c r="P599" i="8"/>
  <c r="P258" i="8"/>
  <c r="P296" i="8"/>
  <c r="P265" i="8"/>
  <c r="P77" i="8"/>
  <c r="P448" i="8"/>
  <c r="P106" i="8"/>
  <c r="P76" i="8"/>
  <c r="P247" i="8"/>
  <c r="P515" i="8"/>
  <c r="P897" i="8"/>
  <c r="P445" i="8"/>
  <c r="P157" i="8"/>
  <c r="P825" i="8"/>
  <c r="P203" i="8"/>
  <c r="P104" i="8"/>
  <c r="P556" i="8"/>
  <c r="P238" i="8"/>
  <c r="P958" i="8"/>
  <c r="P875" i="8"/>
  <c r="P482" i="8"/>
  <c r="P166" i="8"/>
  <c r="P390" i="8"/>
  <c r="P693" i="8"/>
  <c r="P367" i="8"/>
  <c r="P984" i="8"/>
  <c r="P492" i="8"/>
  <c r="P902" i="8"/>
  <c r="P40" i="8"/>
  <c r="P391" i="8"/>
  <c r="P928" i="8"/>
  <c r="P43" i="8"/>
  <c r="P579" i="8"/>
  <c r="P33" i="8"/>
  <c r="P689" i="8"/>
  <c r="P520" i="8"/>
  <c r="P880" i="8"/>
  <c r="P197" i="8"/>
  <c r="P262" i="8"/>
  <c r="P236" i="8"/>
  <c r="P261" i="8"/>
  <c r="P169" i="8"/>
  <c r="P729" i="8"/>
  <c r="P816" i="8"/>
  <c r="P315" i="8"/>
  <c r="P350" i="8"/>
  <c r="P667" i="8"/>
  <c r="P974" i="8"/>
  <c r="P866" i="8"/>
  <c r="P695" i="8"/>
  <c r="P471" i="8"/>
  <c r="P655" i="8"/>
  <c r="P811" i="8"/>
  <c r="P317" i="8"/>
  <c r="P186" i="8"/>
  <c r="P577" i="8"/>
  <c r="P685" i="8"/>
  <c r="P54" i="8"/>
  <c r="P347" i="8"/>
  <c r="P648" i="8"/>
  <c r="P441" i="8"/>
  <c r="P416" i="8"/>
  <c r="P342" i="8"/>
  <c r="P148" i="8"/>
  <c r="P475" i="8"/>
  <c r="P560" i="8"/>
  <c r="P355" i="8"/>
  <c r="P953" i="8"/>
  <c r="P750" i="8"/>
  <c r="P900" i="8"/>
  <c r="P83" i="8"/>
  <c r="P800" i="8"/>
  <c r="P809" i="8"/>
  <c r="P259" i="8"/>
  <c r="P16" i="8"/>
  <c r="P92" i="8"/>
  <c r="P877" i="8"/>
  <c r="P227" i="8"/>
  <c r="P944" i="8"/>
  <c r="P913" i="8"/>
  <c r="P600" i="8"/>
  <c r="P595" i="8"/>
  <c r="P47" i="8"/>
  <c r="P852" i="8"/>
  <c r="P210" i="8"/>
  <c r="P914" i="8"/>
  <c r="P462" i="8"/>
  <c r="P147" i="8"/>
  <c r="P1005" i="8"/>
  <c r="P62" i="8"/>
  <c r="P395" i="8"/>
  <c r="P497" i="8"/>
  <c r="P494" i="8"/>
  <c r="P384" i="8"/>
  <c r="P582" i="8"/>
  <c r="P603" i="8"/>
  <c r="P617" i="8"/>
  <c r="P770" i="8"/>
  <c r="P171" i="8"/>
  <c r="P360" i="8"/>
  <c r="P321" i="8"/>
  <c r="P460" i="8"/>
  <c r="P427" i="8"/>
  <c r="P234" i="8"/>
  <c r="P42" i="8"/>
  <c r="P794" i="8"/>
  <c r="P983" i="8"/>
  <c r="P776" i="8"/>
  <c r="P138" i="8"/>
  <c r="P329" i="8"/>
  <c r="P456" i="8"/>
  <c r="P376" i="8"/>
  <c r="P590" i="8"/>
  <c r="P696" i="8"/>
  <c r="P906" i="8"/>
  <c r="P45" i="8"/>
  <c r="P270" i="8"/>
  <c r="P822" i="8"/>
  <c r="P787" i="8"/>
  <c r="P88" i="8"/>
  <c r="P746" i="8"/>
  <c r="P506" i="8"/>
  <c r="P498" i="8"/>
  <c r="P481" i="8"/>
  <c r="P161" i="8"/>
  <c r="P969" i="8"/>
  <c r="P298" i="8"/>
  <c r="P861" i="8"/>
  <c r="P602" i="8"/>
  <c r="P837" i="8"/>
  <c r="P69" i="8"/>
  <c r="P909" i="8"/>
  <c r="P998" i="8"/>
  <c r="P622" i="8"/>
  <c r="P796" i="8"/>
  <c r="P962" i="8"/>
  <c r="P100" i="8"/>
  <c r="P346" i="8"/>
  <c r="P474" i="8"/>
  <c r="P215" i="8"/>
  <c r="P103" i="8"/>
  <c r="P175" i="8"/>
  <c r="P428" i="8"/>
  <c r="P871" i="8"/>
  <c r="P280" i="8"/>
  <c r="P739" i="8"/>
  <c r="P828" i="8"/>
  <c r="P647" i="8"/>
  <c r="P702" i="8"/>
  <c r="P402" i="8"/>
  <c r="P414" i="8"/>
  <c r="P898" i="8"/>
  <c r="P683" i="8"/>
  <c r="P382" i="8"/>
  <c r="P973" i="8"/>
  <c r="P496" i="8"/>
  <c r="P207" i="8"/>
  <c r="P709" i="8"/>
  <c r="P841" i="8"/>
  <c r="P149" i="8"/>
  <c r="P660" i="8"/>
  <c r="P671" i="8"/>
  <c r="P706" i="8"/>
  <c r="P730" i="8"/>
  <c r="P725" i="8"/>
  <c r="P213" i="8"/>
  <c r="P304" i="8"/>
  <c r="P568" i="8"/>
  <c r="P458" i="8"/>
  <c r="P536" i="8"/>
  <c r="P823" i="8"/>
  <c r="P11" i="8"/>
  <c r="P503" i="8"/>
  <c r="P125" i="8"/>
  <c r="P477" i="8"/>
  <c r="P805" i="8"/>
  <c r="P763" i="8"/>
  <c r="P905" i="8"/>
  <c r="P176" i="8"/>
  <c r="P3" i="10"/>
  <c r="P4" i="10" s="1"/>
  <c r="M20" i="1"/>
  <c r="M21" i="1"/>
  <c r="M22" i="1"/>
  <c r="M23" i="1"/>
  <c r="M91" i="1"/>
  <c r="M160" i="1"/>
  <c r="M162" i="1"/>
  <c r="M19" i="1"/>
  <c r="M29" i="1"/>
  <c r="M80" i="1"/>
  <c r="M52" i="1"/>
  <c r="P3" i="8" l="1"/>
  <c r="P4" i="8" s="1"/>
  <c r="O222" i="4"/>
  <c r="J222" i="4"/>
  <c r="M210" i="1" l="1"/>
  <c r="M211" i="1" l="1"/>
  <c r="E1" i="4" l="1"/>
  <c r="J221" i="4"/>
  <c r="J220" i="4"/>
  <c r="J219" i="4"/>
  <c r="J218" i="4"/>
  <c r="D1" i="4"/>
  <c r="T480" i="1"/>
  <c r="T479" i="1"/>
  <c r="T481" i="1"/>
  <c r="P518" i="1" l="1"/>
  <c r="R518" i="1"/>
  <c r="Q518" i="1"/>
  <c r="S518" i="1"/>
  <c r="R566" i="1"/>
  <c r="P566" i="1"/>
  <c r="S566" i="1"/>
  <c r="Q566" i="1"/>
  <c r="Q406" i="1"/>
  <c r="S406" i="1"/>
  <c r="R406" i="1"/>
  <c r="P406" i="1"/>
  <c r="P462" i="1"/>
  <c r="Q462" i="1"/>
  <c r="R462" i="1"/>
  <c r="S462" i="1"/>
  <c r="P86" i="1"/>
  <c r="S86" i="1"/>
  <c r="R86" i="1"/>
  <c r="Q86" i="1"/>
  <c r="S214" i="1"/>
  <c r="R214" i="1"/>
  <c r="Q214" i="1"/>
  <c r="P214" i="1"/>
  <c r="P231" i="1"/>
  <c r="R231" i="1"/>
  <c r="Q231" i="1"/>
  <c r="S231" i="1"/>
  <c r="P429" i="1"/>
  <c r="S429" i="1"/>
  <c r="R429" i="1"/>
  <c r="Q429" i="1"/>
  <c r="S500" i="1"/>
  <c r="R500" i="1"/>
  <c r="Q500" i="1"/>
  <c r="P500" i="1"/>
  <c r="P592" i="1"/>
  <c r="S592" i="1"/>
  <c r="Q592" i="1"/>
  <c r="R592" i="1"/>
  <c r="Q239" i="1"/>
  <c r="R239" i="1"/>
  <c r="S239" i="1"/>
  <c r="P239" i="1"/>
  <c r="P542" i="1"/>
  <c r="R542" i="1"/>
  <c r="Q542" i="1"/>
  <c r="S542" i="1"/>
  <c r="P125" i="1"/>
  <c r="R125" i="1"/>
  <c r="S125" i="1"/>
  <c r="Q125" i="1"/>
  <c r="R235" i="1"/>
  <c r="P235" i="1"/>
  <c r="Q235" i="1"/>
  <c r="S235" i="1"/>
  <c r="P520" i="1"/>
  <c r="R520" i="1"/>
  <c r="S520" i="1"/>
  <c r="Q520" i="1"/>
  <c r="S153" i="1"/>
  <c r="R153" i="1"/>
  <c r="Q153" i="1"/>
  <c r="P153" i="1"/>
  <c r="S508" i="1"/>
  <c r="P508" i="1"/>
  <c r="Q508" i="1"/>
  <c r="R508" i="1"/>
  <c r="P519" i="1"/>
  <c r="S519" i="1"/>
  <c r="R519" i="1"/>
  <c r="Q519" i="1"/>
  <c r="S61" i="1"/>
  <c r="R61" i="1"/>
  <c r="Q61" i="1"/>
  <c r="P61" i="1"/>
  <c r="Q167" i="1"/>
  <c r="R167" i="1"/>
  <c r="S167" i="1"/>
  <c r="P167" i="1"/>
  <c r="P564" i="1"/>
  <c r="S564" i="1"/>
  <c r="R564" i="1"/>
  <c r="Q564" i="1"/>
  <c r="P169" i="1"/>
  <c r="S169" i="1"/>
  <c r="R169" i="1"/>
  <c r="Q169" i="1"/>
  <c r="S476" i="1"/>
  <c r="R476" i="1"/>
  <c r="P476" i="1"/>
  <c r="Q476" i="1"/>
  <c r="S30" i="1"/>
  <c r="Q30" i="1"/>
  <c r="P30" i="1"/>
  <c r="R30" i="1"/>
  <c r="R538" i="1"/>
  <c r="P538" i="1"/>
  <c r="S538" i="1"/>
  <c r="Q538" i="1"/>
  <c r="S617" i="1"/>
  <c r="Q617" i="1"/>
  <c r="P617" i="1"/>
  <c r="R617" i="1"/>
  <c r="Q324" i="1"/>
  <c r="S324" i="1"/>
  <c r="P324" i="1"/>
  <c r="R324" i="1"/>
  <c r="P547" i="1"/>
  <c r="R547" i="1"/>
  <c r="S547" i="1"/>
  <c r="Q547" i="1"/>
  <c r="S349" i="1"/>
  <c r="P349" i="1"/>
  <c r="R349" i="1"/>
  <c r="Q349" i="1"/>
  <c r="S535" i="1"/>
  <c r="R535" i="1"/>
  <c r="P535" i="1"/>
  <c r="Q535" i="1"/>
  <c r="Q221" i="1"/>
  <c r="R221" i="1"/>
  <c r="S221" i="1"/>
  <c r="P221" i="1"/>
  <c r="Q182" i="1"/>
  <c r="R182" i="1"/>
  <c r="P182" i="1"/>
  <c r="S182" i="1"/>
  <c r="S443" i="1"/>
  <c r="Q443" i="1"/>
  <c r="P443" i="1"/>
  <c r="R443" i="1"/>
  <c r="R431" i="1"/>
  <c r="Q431" i="1"/>
  <c r="S431" i="1"/>
  <c r="P431" i="1"/>
  <c r="Q395" i="1"/>
  <c r="S395" i="1"/>
  <c r="P395" i="1"/>
  <c r="R395" i="1"/>
  <c r="Q73" i="1"/>
  <c r="S73" i="1"/>
  <c r="R73" i="1"/>
  <c r="P73" i="1"/>
  <c r="S397" i="1"/>
  <c r="P397" i="1"/>
  <c r="R397" i="1"/>
  <c r="Q397" i="1"/>
  <c r="P155" i="1"/>
  <c r="S155" i="1"/>
  <c r="Q155" i="1"/>
  <c r="R155" i="1"/>
  <c r="S521" i="1"/>
  <c r="R521" i="1"/>
  <c r="P521" i="1"/>
  <c r="Q521" i="1"/>
  <c r="S534" i="1"/>
  <c r="R534" i="1"/>
  <c r="P534" i="1"/>
  <c r="Q534" i="1"/>
  <c r="P524" i="1"/>
  <c r="Q524" i="1"/>
  <c r="R524" i="1"/>
  <c r="S524" i="1"/>
  <c r="S75" i="1"/>
  <c r="Q75" i="1"/>
  <c r="P75" i="1"/>
  <c r="R75" i="1"/>
  <c r="R548" i="1"/>
  <c r="S548" i="1"/>
  <c r="P548" i="1"/>
  <c r="Q548" i="1"/>
  <c r="Q504" i="1"/>
  <c r="P504" i="1"/>
  <c r="R504" i="1"/>
  <c r="S504" i="1"/>
  <c r="P599" i="1"/>
  <c r="R599" i="1"/>
  <c r="S599" i="1"/>
  <c r="Q599" i="1"/>
  <c r="P37" i="1"/>
  <c r="S37" i="1"/>
  <c r="R37" i="1"/>
  <c r="Q37" i="1"/>
  <c r="R69" i="1"/>
  <c r="Q69" i="1"/>
  <c r="P69" i="1"/>
  <c r="S69" i="1"/>
  <c r="S558" i="1"/>
  <c r="Q558" i="1"/>
  <c r="R558" i="1"/>
  <c r="P558" i="1"/>
  <c r="P514" i="1"/>
  <c r="Q514" i="1"/>
  <c r="S514" i="1"/>
  <c r="R514" i="1"/>
  <c r="P211" i="1"/>
  <c r="R211" i="1"/>
  <c r="Q211" i="1"/>
  <c r="S211" i="1"/>
  <c r="S190" i="1"/>
  <c r="Q190" i="1"/>
  <c r="P190" i="1"/>
  <c r="R190" i="1"/>
  <c r="Q390" i="1"/>
  <c r="R390" i="1"/>
  <c r="S390" i="1"/>
  <c r="P390" i="1"/>
  <c r="Q15" i="1"/>
  <c r="P15" i="1"/>
  <c r="R15" i="1"/>
  <c r="S15" i="1"/>
  <c r="Q370" i="1"/>
  <c r="R370" i="1"/>
  <c r="S370" i="1"/>
  <c r="P370" i="1"/>
  <c r="R399" i="1"/>
  <c r="P399" i="1"/>
  <c r="S399" i="1"/>
  <c r="Q399" i="1"/>
  <c r="S50" i="1"/>
  <c r="Q50" i="1"/>
  <c r="R50" i="1"/>
  <c r="P50" i="1"/>
  <c r="Q465" i="1"/>
  <c r="P465" i="1"/>
  <c r="R465" i="1"/>
  <c r="S465" i="1"/>
  <c r="Q407" i="1"/>
  <c r="S407" i="1"/>
  <c r="P407" i="1"/>
  <c r="R407" i="1"/>
  <c r="Q604" i="1"/>
  <c r="R604" i="1"/>
  <c r="S604" i="1"/>
  <c r="P604" i="1"/>
  <c r="P343" i="1"/>
  <c r="Q343" i="1"/>
  <c r="R343" i="1"/>
  <c r="S343" i="1"/>
  <c r="P53" i="1"/>
  <c r="R53" i="1"/>
  <c r="S53" i="1"/>
  <c r="Q53" i="1"/>
  <c r="R467" i="1"/>
  <c r="S467" i="1"/>
  <c r="P467" i="1"/>
  <c r="Q467" i="1"/>
  <c r="P255" i="1"/>
  <c r="R255" i="1"/>
  <c r="Q255" i="1"/>
  <c r="S255" i="1"/>
  <c r="Q43" i="1"/>
  <c r="R43" i="1"/>
  <c r="S43" i="1"/>
  <c r="P43" i="1"/>
  <c r="P81" i="1"/>
  <c r="Q81" i="1"/>
  <c r="S81" i="1"/>
  <c r="R81" i="1"/>
  <c r="R513" i="1"/>
  <c r="Q513" i="1"/>
  <c r="P513" i="1"/>
  <c r="S513" i="1"/>
  <c r="Q322" i="1"/>
  <c r="S322" i="1"/>
  <c r="R322" i="1"/>
  <c r="P322" i="1"/>
  <c r="Q227" i="1"/>
  <c r="P227" i="1"/>
  <c r="S227" i="1"/>
  <c r="R227" i="1"/>
  <c r="P140" i="1"/>
  <c r="R140" i="1"/>
  <c r="S140" i="1"/>
  <c r="Q140" i="1"/>
  <c r="R104" i="1"/>
  <c r="P104" i="1"/>
  <c r="Q104" i="1"/>
  <c r="S104" i="1"/>
  <c r="S225" i="1"/>
  <c r="Q225" i="1"/>
  <c r="R225" i="1"/>
  <c r="P225" i="1"/>
  <c r="P527" i="1"/>
  <c r="Q527" i="1"/>
  <c r="S527" i="1"/>
  <c r="R527" i="1"/>
  <c r="P45" i="1"/>
  <c r="S45" i="1"/>
  <c r="R45" i="1"/>
  <c r="Q45" i="1"/>
  <c r="R454" i="1"/>
  <c r="Q454" i="1"/>
  <c r="P454" i="1"/>
  <c r="S454" i="1"/>
  <c r="Q556" i="1"/>
  <c r="P556" i="1"/>
  <c r="S556" i="1"/>
  <c r="R556" i="1"/>
  <c r="P537" i="1"/>
  <c r="S537" i="1"/>
  <c r="Q537" i="1"/>
  <c r="R537" i="1"/>
  <c r="P333" i="1"/>
  <c r="Q333" i="1"/>
  <c r="S333" i="1"/>
  <c r="R333" i="1"/>
  <c r="P209" i="1"/>
  <c r="Q209" i="1"/>
  <c r="R209" i="1"/>
  <c r="S209" i="1"/>
  <c r="Q68" i="1"/>
  <c r="S68" i="1"/>
  <c r="R68" i="1"/>
  <c r="P68" i="1"/>
  <c r="P78" i="1"/>
  <c r="Q78" i="1"/>
  <c r="R78" i="1"/>
  <c r="S78" i="1"/>
  <c r="Q549" i="1"/>
  <c r="P549" i="1"/>
  <c r="S549" i="1"/>
  <c r="R549" i="1"/>
  <c r="S555" i="1"/>
  <c r="R555" i="1"/>
  <c r="P555" i="1"/>
  <c r="Q555" i="1"/>
  <c r="Q123" i="1"/>
  <c r="S123" i="1"/>
  <c r="R123" i="1"/>
  <c r="P123" i="1"/>
  <c r="Q568" i="1"/>
  <c r="P568" i="1"/>
  <c r="R568" i="1"/>
  <c r="S568" i="1"/>
  <c r="P32" i="1"/>
  <c r="Q32" i="1"/>
  <c r="R32" i="1"/>
  <c r="S32" i="1"/>
  <c r="Q515" i="1"/>
  <c r="P515" i="1"/>
  <c r="S515" i="1"/>
  <c r="R515" i="1"/>
  <c r="Q595" i="1"/>
  <c r="S595" i="1"/>
  <c r="P595" i="1"/>
  <c r="R595" i="1"/>
  <c r="S228" i="1"/>
  <c r="R228" i="1"/>
  <c r="Q228" i="1"/>
  <c r="P228" i="1"/>
  <c r="Q20" i="1"/>
  <c r="P20" i="1"/>
  <c r="S20" i="1"/>
  <c r="R20" i="1"/>
  <c r="P152" i="1"/>
  <c r="S152" i="1"/>
  <c r="Q152" i="1"/>
  <c r="R152" i="1"/>
  <c r="P561" i="1"/>
  <c r="R561" i="1"/>
  <c r="Q561" i="1"/>
  <c r="S561" i="1"/>
  <c r="Q597" i="1"/>
  <c r="P597" i="1"/>
  <c r="S597" i="1"/>
  <c r="R597" i="1"/>
  <c r="P544" i="1"/>
  <c r="S544" i="1"/>
  <c r="Q544" i="1"/>
  <c r="R544" i="1"/>
  <c r="S79" i="1"/>
  <c r="Q79" i="1"/>
  <c r="R79" i="1"/>
  <c r="P79" i="1"/>
  <c r="P145" i="1"/>
  <c r="Q145" i="1"/>
  <c r="S145" i="1"/>
  <c r="R145" i="1"/>
  <c r="P478" i="1"/>
  <c r="R478" i="1"/>
  <c r="S478" i="1"/>
  <c r="Q478" i="1"/>
  <c r="Q212" i="1"/>
  <c r="R212" i="1"/>
  <c r="P212" i="1"/>
  <c r="S212" i="1"/>
  <c r="P510" i="1"/>
  <c r="Q510" i="1"/>
  <c r="S510" i="1"/>
  <c r="R510" i="1"/>
  <c r="P358" i="1"/>
  <c r="S358" i="1"/>
  <c r="Q358" i="1"/>
  <c r="R358" i="1"/>
  <c r="S216" i="1"/>
  <c r="Q216" i="1"/>
  <c r="P216" i="1"/>
  <c r="R216" i="1"/>
  <c r="R529" i="1"/>
  <c r="Q529" i="1"/>
  <c r="P529" i="1"/>
  <c r="S529" i="1"/>
  <c r="Q146" i="1"/>
  <c r="P146" i="1"/>
  <c r="S146" i="1"/>
  <c r="R146" i="1"/>
  <c r="P584" i="1"/>
  <c r="R584" i="1"/>
  <c r="Q584" i="1"/>
  <c r="S584" i="1"/>
  <c r="P158" i="1"/>
  <c r="R158" i="1"/>
  <c r="Q158" i="1"/>
  <c r="S158" i="1"/>
  <c r="Q144" i="1"/>
  <c r="S144" i="1"/>
  <c r="P144" i="1"/>
  <c r="R144" i="1"/>
  <c r="Q65" i="1"/>
  <c r="P65" i="1"/>
  <c r="S65" i="1"/>
  <c r="R65" i="1"/>
  <c r="R160" i="1"/>
  <c r="Q160" i="1"/>
  <c r="S160" i="1"/>
  <c r="P160" i="1"/>
  <c r="P76" i="1"/>
  <c r="S76" i="1"/>
  <c r="Q76" i="1"/>
  <c r="R76" i="1"/>
  <c r="P327" i="1"/>
  <c r="S327" i="1"/>
  <c r="R327" i="1"/>
  <c r="Q327" i="1"/>
  <c r="P355" i="1"/>
  <c r="R355" i="1"/>
  <c r="S355" i="1"/>
  <c r="Q355" i="1"/>
  <c r="R383" i="1"/>
  <c r="S383" i="1"/>
  <c r="Q383" i="1"/>
  <c r="P383" i="1"/>
  <c r="S485" i="1"/>
  <c r="P485" i="1"/>
  <c r="R485" i="1"/>
  <c r="Q485" i="1"/>
  <c r="R336" i="1"/>
  <c r="Q336" i="1"/>
  <c r="S336" i="1"/>
  <c r="P336" i="1"/>
  <c r="P403" i="1"/>
  <c r="S403" i="1"/>
  <c r="R403" i="1"/>
  <c r="Q403" i="1"/>
  <c r="Q166" i="1"/>
  <c r="S166" i="1"/>
  <c r="R166" i="1"/>
  <c r="P166" i="1"/>
  <c r="S487" i="1"/>
  <c r="Q487" i="1"/>
  <c r="R487" i="1"/>
  <c r="P487" i="1"/>
  <c r="Q356" i="1"/>
  <c r="S356" i="1"/>
  <c r="R356" i="1"/>
  <c r="P356" i="1"/>
  <c r="Q475" i="1"/>
  <c r="S475" i="1"/>
  <c r="P475" i="1"/>
  <c r="R475" i="1"/>
  <c r="P332" i="1"/>
  <c r="R332" i="1"/>
  <c r="S332" i="1"/>
  <c r="Q332" i="1"/>
  <c r="R616" i="1"/>
  <c r="Q616" i="1"/>
  <c r="P616" i="1"/>
  <c r="S616" i="1"/>
  <c r="R499" i="1"/>
  <c r="P499" i="1"/>
  <c r="S499" i="1"/>
  <c r="Q499" i="1"/>
  <c r="P464" i="1"/>
  <c r="R464" i="1"/>
  <c r="S464" i="1"/>
  <c r="Q464" i="1"/>
  <c r="S213" i="1"/>
  <c r="R213" i="1"/>
  <c r="Q213" i="1"/>
  <c r="P213" i="1"/>
  <c r="R236" i="1"/>
  <c r="Q236" i="1"/>
  <c r="S236" i="1"/>
  <c r="P236" i="1"/>
  <c r="P26" i="1"/>
  <c r="R26" i="1"/>
  <c r="S26" i="1"/>
  <c r="Q26" i="1"/>
  <c r="R618" i="1"/>
  <c r="S618" i="1"/>
  <c r="P618" i="1"/>
  <c r="Q618" i="1"/>
  <c r="P460" i="1"/>
  <c r="Q460" i="1"/>
  <c r="S460" i="1"/>
  <c r="R460" i="1"/>
  <c r="R163" i="1"/>
  <c r="S163" i="1"/>
  <c r="P163" i="1"/>
  <c r="Q163" i="1"/>
  <c r="Q41" i="1"/>
  <c r="P41" i="1"/>
  <c r="R41" i="1"/>
  <c r="S41" i="1"/>
  <c r="Q436" i="1"/>
  <c r="R436" i="1"/>
  <c r="S436" i="1"/>
  <c r="P436" i="1"/>
  <c r="S620" i="1"/>
  <c r="R620" i="1"/>
  <c r="P620" i="1"/>
  <c r="Q620" i="1"/>
  <c r="P569" i="1"/>
  <c r="S569" i="1"/>
  <c r="R569" i="1"/>
  <c r="Q569" i="1"/>
  <c r="R605" i="1"/>
  <c r="P605" i="1"/>
  <c r="Q605" i="1"/>
  <c r="S605" i="1"/>
  <c r="R54" i="1"/>
  <c r="P54" i="1"/>
  <c r="S54" i="1"/>
  <c r="Q54" i="1"/>
  <c r="Q525" i="1"/>
  <c r="P525" i="1"/>
  <c r="S525" i="1"/>
  <c r="R525" i="1"/>
  <c r="P505" i="1"/>
  <c r="Q505" i="1"/>
  <c r="S505" i="1"/>
  <c r="R505" i="1"/>
  <c r="R594" i="1"/>
  <c r="S594" i="1"/>
  <c r="P594" i="1"/>
  <c r="Q594" i="1"/>
  <c r="S139" i="1"/>
  <c r="P139" i="1"/>
  <c r="Q139" i="1"/>
  <c r="R139" i="1"/>
  <c r="Q159" i="1"/>
  <c r="R159" i="1"/>
  <c r="P159" i="1"/>
  <c r="S159" i="1"/>
  <c r="R590" i="1"/>
  <c r="Q590" i="1"/>
  <c r="P590" i="1"/>
  <c r="S590" i="1"/>
  <c r="P434" i="1"/>
  <c r="S434" i="1"/>
  <c r="R434" i="1"/>
  <c r="Q434" i="1"/>
  <c r="S77" i="1"/>
  <c r="Q77" i="1"/>
  <c r="R77" i="1"/>
  <c r="P77" i="1"/>
  <c r="Q161" i="1"/>
  <c r="R161" i="1"/>
  <c r="S161" i="1"/>
  <c r="P161" i="1"/>
  <c r="R184" i="1"/>
  <c r="S184" i="1"/>
  <c r="Q184" i="1"/>
  <c r="P184" i="1"/>
  <c r="R495" i="1"/>
  <c r="Q495" i="1"/>
  <c r="S495" i="1"/>
  <c r="P495" i="1"/>
  <c r="R552" i="1"/>
  <c r="P552" i="1"/>
  <c r="Q552" i="1"/>
  <c r="S552" i="1"/>
  <c r="P91" i="1"/>
  <c r="R91" i="1"/>
  <c r="S91" i="1"/>
  <c r="Q91" i="1"/>
  <c r="R347" i="1"/>
  <c r="Q347" i="1"/>
  <c r="P347" i="1"/>
  <c r="S347" i="1"/>
  <c r="S522" i="1"/>
  <c r="P522" i="1"/>
  <c r="R522" i="1"/>
  <c r="Q522" i="1"/>
  <c r="S217" i="1"/>
  <c r="R217" i="1"/>
  <c r="Q217" i="1"/>
  <c r="P217" i="1"/>
  <c r="P392" i="1"/>
  <c r="S392" i="1"/>
  <c r="R392" i="1"/>
  <c r="Q392" i="1"/>
  <c r="P458" i="1"/>
  <c r="R458" i="1"/>
  <c r="S458" i="1"/>
  <c r="Q458" i="1"/>
  <c r="S574" i="1"/>
  <c r="P574" i="1"/>
  <c r="Q574" i="1"/>
  <c r="R574" i="1"/>
  <c r="R222" i="1"/>
  <c r="S222" i="1"/>
  <c r="Q222" i="1"/>
  <c r="P222" i="1"/>
  <c r="Q578" i="1"/>
  <c r="S578" i="1"/>
  <c r="R578" i="1"/>
  <c r="P578" i="1"/>
  <c r="Q430" i="1"/>
  <c r="R430" i="1"/>
  <c r="P430" i="1"/>
  <c r="S430" i="1"/>
  <c r="P473" i="1"/>
  <c r="S473" i="1"/>
  <c r="R473" i="1"/>
  <c r="Q473" i="1"/>
  <c r="P240" i="1"/>
  <c r="R240" i="1"/>
  <c r="Q240" i="1"/>
  <c r="S240" i="1"/>
  <c r="Q28" i="1"/>
  <c r="R28" i="1"/>
  <c r="S28" i="1"/>
  <c r="P28" i="1"/>
  <c r="Q432" i="1"/>
  <c r="R432" i="1"/>
  <c r="P432" i="1"/>
  <c r="S432" i="1"/>
  <c r="Q444" i="1"/>
  <c r="R444" i="1"/>
  <c r="S444" i="1"/>
  <c r="P444" i="1"/>
  <c r="R576" i="1"/>
  <c r="S576" i="1"/>
  <c r="P576" i="1"/>
  <c r="Q576" i="1"/>
  <c r="P368" i="1"/>
  <c r="S368" i="1"/>
  <c r="R368" i="1"/>
  <c r="Q368" i="1"/>
  <c r="P488" i="1"/>
  <c r="Q488" i="1"/>
  <c r="S488" i="1"/>
  <c r="R488" i="1"/>
  <c r="R348" i="1"/>
  <c r="P348" i="1"/>
  <c r="Q348" i="1"/>
  <c r="S348" i="1"/>
  <c r="P492" i="1"/>
  <c r="Q492" i="1"/>
  <c r="S492" i="1"/>
  <c r="R492" i="1"/>
  <c r="P219" i="1"/>
  <c r="S219" i="1"/>
  <c r="R219" i="1"/>
  <c r="Q219" i="1"/>
  <c r="R439" i="1"/>
  <c r="P439" i="1"/>
  <c r="S439" i="1"/>
  <c r="Q439" i="1"/>
  <c r="S363" i="1"/>
  <c r="R363" i="1"/>
  <c r="P363" i="1"/>
  <c r="Q363" i="1"/>
  <c r="R206" i="1"/>
  <c r="Q206" i="1"/>
  <c r="S206" i="1"/>
  <c r="P206" i="1"/>
  <c r="P563" i="1"/>
  <c r="S563" i="1"/>
  <c r="Q563" i="1"/>
  <c r="R563" i="1"/>
  <c r="P141" i="1"/>
  <c r="S141" i="1"/>
  <c r="R141" i="1"/>
  <c r="Q141" i="1"/>
  <c r="P57" i="1"/>
  <c r="R57" i="1"/>
  <c r="S57" i="1"/>
  <c r="Q57" i="1"/>
  <c r="Q588" i="1"/>
  <c r="S588" i="1"/>
  <c r="R588" i="1"/>
  <c r="P588" i="1"/>
  <c r="R603" i="1"/>
  <c r="S603" i="1"/>
  <c r="P603" i="1"/>
  <c r="Q603" i="1"/>
  <c r="R181" i="1"/>
  <c r="Q181" i="1"/>
  <c r="S181" i="1"/>
  <c r="P181" i="1"/>
  <c r="R52" i="1"/>
  <c r="S52" i="1"/>
  <c r="Q52" i="1"/>
  <c r="P52" i="1"/>
  <c r="P88" i="1"/>
  <c r="S88" i="1"/>
  <c r="R88" i="1"/>
  <c r="Q88" i="1"/>
  <c r="Q170" i="1"/>
  <c r="R170" i="1"/>
  <c r="P170" i="1"/>
  <c r="S170" i="1"/>
  <c r="P621" i="1"/>
  <c r="Q621" i="1"/>
  <c r="S621" i="1"/>
  <c r="R621" i="1"/>
  <c r="S21" i="1"/>
  <c r="Q21" i="1"/>
  <c r="P21" i="1"/>
  <c r="R21" i="1"/>
  <c r="S625" i="1"/>
  <c r="P625" i="1"/>
  <c r="Q625" i="1"/>
  <c r="R625" i="1"/>
  <c r="Q557" i="1"/>
  <c r="P557" i="1"/>
  <c r="R557" i="1"/>
  <c r="S557" i="1"/>
  <c r="R575" i="1"/>
  <c r="P575" i="1"/>
  <c r="Q575" i="1"/>
  <c r="S575" i="1"/>
  <c r="Q29" i="1"/>
  <c r="S29" i="1"/>
  <c r="R29" i="1"/>
  <c r="P29" i="1"/>
  <c r="Q461" i="1"/>
  <c r="P461" i="1"/>
  <c r="R461" i="1"/>
  <c r="S461" i="1"/>
  <c r="R526" i="1"/>
  <c r="Q526" i="1"/>
  <c r="S526" i="1"/>
  <c r="P526" i="1"/>
  <c r="P384" i="1"/>
  <c r="S384" i="1"/>
  <c r="R384" i="1"/>
  <c r="Q384" i="1"/>
  <c r="S165" i="1"/>
  <c r="Q165" i="1"/>
  <c r="P165" i="1"/>
  <c r="R165" i="1"/>
  <c r="Q229" i="1"/>
  <c r="P229" i="1"/>
  <c r="R229" i="1"/>
  <c r="S229" i="1"/>
  <c r="S490" i="1"/>
  <c r="Q490" i="1"/>
  <c r="R490" i="1"/>
  <c r="P490" i="1"/>
  <c r="R437" i="1"/>
  <c r="S437" i="1"/>
  <c r="Q437" i="1"/>
  <c r="P437" i="1"/>
  <c r="S528" i="1"/>
  <c r="Q528" i="1"/>
  <c r="P528" i="1"/>
  <c r="R528" i="1"/>
  <c r="P404" i="1"/>
  <c r="Q404" i="1"/>
  <c r="R404" i="1"/>
  <c r="S404" i="1"/>
  <c r="R38" i="1"/>
  <c r="P38" i="1"/>
  <c r="S38" i="1"/>
  <c r="Q38" i="1"/>
  <c r="P532" i="1"/>
  <c r="S532" i="1"/>
  <c r="Q532" i="1"/>
  <c r="R532" i="1"/>
  <c r="Q345" i="1"/>
  <c r="P345" i="1"/>
  <c r="S345" i="1"/>
  <c r="R345" i="1"/>
  <c r="R572" i="1"/>
  <c r="P572" i="1"/>
  <c r="S572" i="1"/>
  <c r="Q572" i="1"/>
  <c r="S13" i="1"/>
  <c r="P13" i="1"/>
  <c r="Q13" i="1"/>
  <c r="R13" i="1"/>
  <c r="S365" i="1"/>
  <c r="Q365" i="1"/>
  <c r="P365" i="1"/>
  <c r="R365" i="1"/>
  <c r="S559" i="1"/>
  <c r="Q559" i="1"/>
  <c r="P559" i="1"/>
  <c r="R559" i="1"/>
  <c r="P244" i="1"/>
  <c r="R244" i="1"/>
  <c r="S244" i="1"/>
  <c r="Q244" i="1"/>
  <c r="R523" i="1"/>
  <c r="P523" i="1"/>
  <c r="S523" i="1"/>
  <c r="Q523" i="1"/>
  <c r="P19" i="1"/>
  <c r="R19" i="1"/>
  <c r="S19" i="1"/>
  <c r="Q19" i="1"/>
  <c r="Q23" i="1"/>
  <c r="S23" i="1"/>
  <c r="P23" i="1"/>
  <c r="R23" i="1"/>
  <c r="S493" i="1"/>
  <c r="R493" i="1"/>
  <c r="Q493" i="1"/>
  <c r="P493" i="1"/>
  <c r="S468" i="1"/>
  <c r="R468" i="1"/>
  <c r="P468" i="1"/>
  <c r="Q468" i="1"/>
  <c r="Q442" i="1"/>
  <c r="R442" i="1"/>
  <c r="S442" i="1"/>
  <c r="P442" i="1"/>
  <c r="S58" i="1"/>
  <c r="R58" i="1"/>
  <c r="Q58" i="1"/>
  <c r="P58" i="1"/>
  <c r="P364" i="1"/>
  <c r="S364" i="1"/>
  <c r="R364" i="1"/>
  <c r="Q364" i="1"/>
  <c r="Q440" i="1"/>
  <c r="S440" i="1"/>
  <c r="R440" i="1"/>
  <c r="P440" i="1"/>
  <c r="P193" i="1"/>
  <c r="R193" i="1"/>
  <c r="Q193" i="1"/>
  <c r="S193" i="1"/>
  <c r="S503" i="1"/>
  <c r="P503" i="1"/>
  <c r="Q503" i="1"/>
  <c r="R503" i="1"/>
  <c r="Q89" i="1"/>
  <c r="S89" i="1"/>
  <c r="P89" i="1"/>
  <c r="R89" i="1"/>
  <c r="P393" i="1"/>
  <c r="R393" i="1"/>
  <c r="Q393" i="1"/>
  <c r="S393" i="1"/>
  <c r="R223" i="1"/>
  <c r="S223" i="1"/>
  <c r="P223" i="1"/>
  <c r="Q223" i="1"/>
  <c r="P56" i="1"/>
  <c r="S56" i="1"/>
  <c r="Q56" i="1"/>
  <c r="R56" i="1"/>
  <c r="Q435" i="1"/>
  <c r="P435" i="1"/>
  <c r="S435" i="1"/>
  <c r="R435" i="1"/>
  <c r="S623" i="1"/>
  <c r="R623" i="1"/>
  <c r="P623" i="1"/>
  <c r="Q623" i="1"/>
  <c r="Q550" i="1"/>
  <c r="R550" i="1"/>
  <c r="S550" i="1"/>
  <c r="P550" i="1"/>
  <c r="Q188" i="1"/>
  <c r="R188" i="1"/>
  <c r="S188" i="1"/>
  <c r="P188" i="1"/>
  <c r="P507" i="1"/>
  <c r="Q507" i="1"/>
  <c r="R507" i="1"/>
  <c r="S507" i="1"/>
  <c r="Q127" i="1"/>
  <c r="P127" i="1"/>
  <c r="S127" i="1"/>
  <c r="R127" i="1"/>
  <c r="P247" i="1"/>
  <c r="R247" i="1"/>
  <c r="Q247" i="1"/>
  <c r="S247" i="1"/>
  <c r="P34" i="1"/>
  <c r="R34" i="1"/>
  <c r="S34" i="1"/>
  <c r="Q34" i="1"/>
  <c r="P626" i="1"/>
  <c r="Q626" i="1"/>
  <c r="S626" i="1"/>
  <c r="R626" i="1"/>
  <c r="Q598" i="1"/>
  <c r="R598" i="1"/>
  <c r="S598" i="1"/>
  <c r="P598" i="1"/>
  <c r="R486" i="1"/>
  <c r="Q486" i="1"/>
  <c r="S486" i="1"/>
  <c r="P486" i="1"/>
  <c r="S250" i="1"/>
  <c r="R250" i="1"/>
  <c r="Q250" i="1"/>
  <c r="P250" i="1"/>
  <c r="P36" i="1"/>
  <c r="S36" i="1"/>
  <c r="R36" i="1"/>
  <c r="Q36" i="1"/>
  <c r="P191" i="1"/>
  <c r="Q191" i="1"/>
  <c r="R191" i="1"/>
  <c r="S191" i="1"/>
  <c r="R562" i="1"/>
  <c r="Q562" i="1"/>
  <c r="S562" i="1"/>
  <c r="P562" i="1"/>
  <c r="R113" i="1"/>
  <c r="Q113" i="1"/>
  <c r="S113" i="1"/>
  <c r="P113" i="1"/>
  <c r="R84" i="1"/>
  <c r="Q84" i="1"/>
  <c r="S84" i="1"/>
  <c r="P84" i="1"/>
  <c r="S243" i="1"/>
  <c r="R243" i="1"/>
  <c r="P243" i="1"/>
  <c r="Q243" i="1"/>
  <c r="Q246" i="1"/>
  <c r="R246" i="1"/>
  <c r="P246" i="1"/>
  <c r="S246" i="1"/>
  <c r="P540" i="1"/>
  <c r="Q540" i="1"/>
  <c r="R540" i="1"/>
  <c r="S540" i="1"/>
  <c r="P470" i="1"/>
  <c r="Q470" i="1"/>
  <c r="S470" i="1"/>
  <c r="R470" i="1"/>
  <c r="P46" i="1"/>
  <c r="S46" i="1"/>
  <c r="R46" i="1"/>
  <c r="Q46" i="1"/>
  <c r="S80" i="1"/>
  <c r="P80" i="1"/>
  <c r="Q80" i="1"/>
  <c r="R80" i="1"/>
  <c r="Q565" i="1"/>
  <c r="P565" i="1"/>
  <c r="R565" i="1"/>
  <c r="S565" i="1"/>
  <c r="R224" i="1"/>
  <c r="S224" i="1"/>
  <c r="Q224" i="1"/>
  <c r="P224" i="1"/>
  <c r="P25" i="1"/>
  <c r="S25" i="1"/>
  <c r="Q25" i="1"/>
  <c r="R25" i="1"/>
  <c r="Q386" i="1"/>
  <c r="R386" i="1"/>
  <c r="P386" i="1"/>
  <c r="S386" i="1"/>
  <c r="S543" i="1"/>
  <c r="Q543" i="1"/>
  <c r="R543" i="1"/>
  <c r="P543" i="1"/>
  <c r="R455" i="1"/>
  <c r="S455" i="1"/>
  <c r="P455" i="1"/>
  <c r="Q455" i="1"/>
  <c r="Q168" i="1"/>
  <c r="P168" i="1"/>
  <c r="S168" i="1"/>
  <c r="R168" i="1"/>
  <c r="P619" i="1"/>
  <c r="S619" i="1"/>
  <c r="Q619" i="1"/>
  <c r="R619" i="1"/>
  <c r="P66" i="1"/>
  <c r="Q66" i="1"/>
  <c r="S66" i="1"/>
  <c r="R66" i="1"/>
  <c r="R112" i="1"/>
  <c r="S112" i="1"/>
  <c r="P112" i="1"/>
  <c r="Q112" i="1"/>
  <c r="Q189" i="1"/>
  <c r="P189" i="1"/>
  <c r="S189" i="1"/>
  <c r="R189" i="1"/>
  <c r="S583" i="1"/>
  <c r="P583" i="1"/>
  <c r="R583" i="1"/>
  <c r="Q583" i="1"/>
  <c r="R382" i="1"/>
  <c r="Q382" i="1"/>
  <c r="S382" i="1"/>
  <c r="P382" i="1"/>
  <c r="S496" i="1"/>
  <c r="P496" i="1"/>
  <c r="Q496" i="1"/>
  <c r="R496" i="1"/>
  <c r="R360" i="1"/>
  <c r="S360" i="1"/>
  <c r="Q360" i="1"/>
  <c r="P360" i="1"/>
  <c r="S93" i="1"/>
  <c r="R93" i="1"/>
  <c r="Q93" i="1"/>
  <c r="P93" i="1"/>
  <c r="P533" i="1"/>
  <c r="Q533" i="1"/>
  <c r="R533" i="1"/>
  <c r="S533" i="1"/>
  <c r="S142" i="1"/>
  <c r="R142" i="1"/>
  <c r="Q142" i="1"/>
  <c r="P142" i="1"/>
  <c r="R600" i="1"/>
  <c r="Q600" i="1"/>
  <c r="P600" i="1"/>
  <c r="S600" i="1"/>
  <c r="P186" i="1"/>
  <c r="S186" i="1"/>
  <c r="Q186" i="1"/>
  <c r="R186" i="1"/>
  <c r="R162" i="1"/>
  <c r="Q162" i="1"/>
  <c r="S162" i="1"/>
  <c r="P162" i="1"/>
  <c r="Q357" i="1"/>
  <c r="P357" i="1"/>
  <c r="R357" i="1"/>
  <c r="S357" i="1"/>
  <c r="Q579" i="1"/>
  <c r="R579" i="1"/>
  <c r="S579" i="1"/>
  <c r="P579" i="1"/>
  <c r="Q111" i="1"/>
  <c r="S111" i="1"/>
  <c r="P111" i="1"/>
  <c r="R111" i="1"/>
  <c r="P83" i="1"/>
  <c r="S83" i="1"/>
  <c r="Q83" i="1"/>
  <c r="R83" i="1"/>
  <c r="Q530" i="1"/>
  <c r="R530" i="1"/>
  <c r="P530" i="1"/>
  <c r="S530" i="1"/>
  <c r="P226" i="1"/>
  <c r="S226" i="1"/>
  <c r="R226" i="1"/>
  <c r="Q226" i="1"/>
  <c r="P16" i="1"/>
  <c r="R16" i="1"/>
  <c r="Q16" i="1"/>
  <c r="S16" i="1"/>
  <c r="Q40" i="1"/>
  <c r="S40" i="1"/>
  <c r="P40" i="1"/>
  <c r="R40" i="1"/>
  <c r="P147" i="1"/>
  <c r="S147" i="1"/>
  <c r="Q147" i="1"/>
  <c r="R147" i="1"/>
  <c r="P466" i="1"/>
  <c r="Q466" i="1"/>
  <c r="R466" i="1"/>
  <c r="S466" i="1"/>
  <c r="Q581" i="1"/>
  <c r="P581" i="1"/>
  <c r="R581" i="1"/>
  <c r="S581" i="1"/>
  <c r="R230" i="1"/>
  <c r="S230" i="1"/>
  <c r="P230" i="1"/>
  <c r="Q230" i="1"/>
  <c r="Q585" i="1"/>
  <c r="S585" i="1"/>
  <c r="P585" i="1"/>
  <c r="R585" i="1"/>
  <c r="Q438" i="1"/>
  <c r="S438" i="1"/>
  <c r="R438" i="1"/>
  <c r="P438" i="1"/>
  <c r="P31" i="1"/>
  <c r="S31" i="1"/>
  <c r="R31" i="1"/>
  <c r="Q31" i="1"/>
  <c r="S501" i="1"/>
  <c r="P501" i="1"/>
  <c r="Q501" i="1"/>
  <c r="R501" i="1"/>
  <c r="S494" i="1"/>
  <c r="P494" i="1"/>
  <c r="R494" i="1"/>
  <c r="Q494" i="1"/>
  <c r="P325" i="1"/>
  <c r="S325" i="1"/>
  <c r="Q325" i="1"/>
  <c r="R325" i="1"/>
  <c r="Q44" i="1"/>
  <c r="R44" i="1"/>
  <c r="S44" i="1"/>
  <c r="P44" i="1"/>
  <c r="P374" i="1"/>
  <c r="Q374" i="1"/>
  <c r="S374" i="1"/>
  <c r="R374" i="1"/>
  <c r="R241" i="1"/>
  <c r="S241" i="1"/>
  <c r="Q241" i="1"/>
  <c r="P241" i="1"/>
  <c r="P498" i="1"/>
  <c r="Q498" i="1"/>
  <c r="R498" i="1"/>
  <c r="S498" i="1"/>
  <c r="Q536" i="1"/>
  <c r="P536" i="1"/>
  <c r="S536" i="1"/>
  <c r="R536" i="1"/>
  <c r="R433" i="1"/>
  <c r="S433" i="1"/>
  <c r="P433" i="1"/>
  <c r="Q433" i="1"/>
  <c r="P477" i="1"/>
  <c r="Q477" i="1"/>
  <c r="R477" i="1"/>
  <c r="S477" i="1"/>
  <c r="R560" i="1"/>
  <c r="Q560" i="1"/>
  <c r="P560" i="1"/>
  <c r="S560" i="1"/>
  <c r="R371" i="1"/>
  <c r="Q371" i="1"/>
  <c r="S371" i="1"/>
  <c r="P371" i="1"/>
  <c r="R359" i="1"/>
  <c r="S359" i="1"/>
  <c r="Q359" i="1"/>
  <c r="P359" i="1"/>
  <c r="R457" i="1"/>
  <c r="P457" i="1"/>
  <c r="Q457" i="1"/>
  <c r="S457" i="1"/>
  <c r="S596" i="1"/>
  <c r="P596" i="1"/>
  <c r="R596" i="1"/>
  <c r="Q596" i="1"/>
  <c r="S27" i="1"/>
  <c r="R27" i="1"/>
  <c r="P27" i="1"/>
  <c r="Q27" i="1"/>
  <c r="R614" i="1"/>
  <c r="Q614" i="1"/>
  <c r="P614" i="1"/>
  <c r="S614" i="1"/>
  <c r="P627" i="1"/>
  <c r="Q627" i="1"/>
  <c r="S627" i="1"/>
  <c r="R627" i="1"/>
  <c r="P207" i="1"/>
  <c r="S207" i="1"/>
  <c r="R207" i="1"/>
  <c r="Q207" i="1"/>
  <c r="S210" i="1"/>
  <c r="R210" i="1"/>
  <c r="P210" i="1"/>
  <c r="Q210" i="1"/>
  <c r="P511" i="1"/>
  <c r="R511" i="1"/>
  <c r="Q511" i="1"/>
  <c r="S511" i="1"/>
  <c r="Q24" i="1"/>
  <c r="P24" i="1"/>
  <c r="S24" i="1"/>
  <c r="R24" i="1"/>
  <c r="S381" i="1"/>
  <c r="P381" i="1"/>
  <c r="R381" i="1"/>
  <c r="Q381" i="1"/>
  <c r="Q567" i="1"/>
  <c r="P567" i="1"/>
  <c r="S567" i="1"/>
  <c r="R567" i="1"/>
  <c r="P472" i="1"/>
  <c r="Q472" i="1"/>
  <c r="S472" i="1"/>
  <c r="R472" i="1"/>
  <c r="R587" i="1"/>
  <c r="S587" i="1"/>
  <c r="P587" i="1"/>
  <c r="Q587" i="1"/>
  <c r="P220" i="1"/>
  <c r="R220" i="1"/>
  <c r="S220" i="1"/>
  <c r="Q220" i="1"/>
  <c r="P62" i="1"/>
  <c r="Q62" i="1"/>
  <c r="R62" i="1"/>
  <c r="S62" i="1"/>
  <c r="S531" i="1"/>
  <c r="P531" i="1"/>
  <c r="R531" i="1"/>
  <c r="Q531" i="1"/>
  <c r="R64" i="1"/>
  <c r="S64" i="1"/>
  <c r="Q64" i="1"/>
  <c r="P64" i="1"/>
  <c r="R463" i="1"/>
  <c r="P463" i="1"/>
  <c r="Q463" i="1"/>
  <c r="S463" i="1"/>
  <c r="Q187" i="1"/>
  <c r="S187" i="1"/>
  <c r="P187" i="1"/>
  <c r="R187" i="1"/>
  <c r="Q39" i="1"/>
  <c r="R39" i="1"/>
  <c r="P39" i="1"/>
  <c r="S39" i="1"/>
  <c r="Q509" i="1"/>
  <c r="R509" i="1"/>
  <c r="S509" i="1"/>
  <c r="P509" i="1"/>
  <c r="S489" i="1"/>
  <c r="R489" i="1"/>
  <c r="Q489" i="1"/>
  <c r="P489" i="1"/>
  <c r="R74" i="1"/>
  <c r="Q74" i="1"/>
  <c r="S74" i="1"/>
  <c r="P74" i="1"/>
  <c r="S63" i="1"/>
  <c r="P63" i="1"/>
  <c r="Q63" i="1"/>
  <c r="R63" i="1"/>
  <c r="P546" i="1"/>
  <c r="Q546" i="1"/>
  <c r="R546" i="1"/>
  <c r="S546" i="1"/>
  <c r="P506" i="1"/>
  <c r="S506" i="1"/>
  <c r="Q506" i="1"/>
  <c r="R506" i="1"/>
  <c r="S194" i="1"/>
  <c r="R194" i="1"/>
  <c r="Q194" i="1"/>
  <c r="P194" i="1"/>
  <c r="Q369" i="1"/>
  <c r="R369" i="1"/>
  <c r="S369" i="1"/>
  <c r="P369" i="1"/>
  <c r="P580" i="1"/>
  <c r="S580" i="1"/>
  <c r="R580" i="1"/>
  <c r="Q580" i="1"/>
  <c r="P602" i="1"/>
  <c r="Q602" i="1"/>
  <c r="S602" i="1"/>
  <c r="R602" i="1"/>
  <c r="Q264" i="1"/>
  <c r="S264" i="1"/>
  <c r="R264" i="1"/>
  <c r="P264" i="1"/>
  <c r="Q143" i="1"/>
  <c r="R143" i="1"/>
  <c r="P143" i="1"/>
  <c r="S143" i="1"/>
  <c r="Q323" i="1"/>
  <c r="R323" i="1"/>
  <c r="S323" i="1"/>
  <c r="P323" i="1"/>
  <c r="Q42" i="1"/>
  <c r="S42" i="1"/>
  <c r="R42" i="1"/>
  <c r="P42" i="1"/>
  <c r="S459" i="1"/>
  <c r="Q459" i="1"/>
  <c r="P459" i="1"/>
  <c r="R459" i="1"/>
  <c r="P593" i="1"/>
  <c r="R593" i="1"/>
  <c r="Q593" i="1"/>
  <c r="S593" i="1"/>
  <c r="R622" i="1"/>
  <c r="Q622" i="1"/>
  <c r="S622" i="1"/>
  <c r="P622" i="1"/>
  <c r="S502" i="1"/>
  <c r="R502" i="1"/>
  <c r="Q502" i="1"/>
  <c r="P502" i="1"/>
  <c r="S346" i="1"/>
  <c r="Q346" i="1"/>
  <c r="R346" i="1"/>
  <c r="P346" i="1"/>
  <c r="P55" i="1"/>
  <c r="Q55" i="1"/>
  <c r="S55" i="1"/>
  <c r="R55" i="1"/>
  <c r="R138" i="1"/>
  <c r="P138" i="1"/>
  <c r="Q138" i="1"/>
  <c r="S138" i="1"/>
  <c r="Q204" i="1"/>
  <c r="S204" i="1"/>
  <c r="P204" i="1"/>
  <c r="R204" i="1"/>
  <c r="R545" i="1"/>
  <c r="S545" i="1"/>
  <c r="P545" i="1"/>
  <c r="Q545" i="1"/>
  <c r="R570" i="1"/>
  <c r="Q570" i="1"/>
  <c r="S570" i="1"/>
  <c r="P570" i="1"/>
  <c r="Q577" i="1"/>
  <c r="R577" i="1"/>
  <c r="P577" i="1"/>
  <c r="S577" i="1"/>
  <c r="S148" i="1"/>
  <c r="Q148" i="1"/>
  <c r="R148" i="1"/>
  <c r="P148" i="1"/>
  <c r="P136" i="1"/>
  <c r="Q136" i="1"/>
  <c r="S136" i="1"/>
  <c r="R136" i="1"/>
  <c r="P151" i="1"/>
  <c r="S151" i="1"/>
  <c r="Q151" i="1"/>
  <c r="R151" i="1"/>
  <c r="Q59" i="1"/>
  <c r="P59" i="1"/>
  <c r="S59" i="1"/>
  <c r="R59" i="1"/>
  <c r="P71" i="1"/>
  <c r="R71" i="1"/>
  <c r="S71" i="1"/>
  <c r="Q71" i="1"/>
  <c r="S541" i="1"/>
  <c r="Q541" i="1"/>
  <c r="P541" i="1"/>
  <c r="R541" i="1"/>
  <c r="Q441" i="1"/>
  <c r="S441" i="1"/>
  <c r="R441" i="1"/>
  <c r="P441" i="1"/>
  <c r="S491" i="1"/>
  <c r="P491" i="1"/>
  <c r="R491" i="1"/>
  <c r="Q491" i="1"/>
  <c r="R456" i="1"/>
  <c r="Q456" i="1"/>
  <c r="P456" i="1"/>
  <c r="S456" i="1"/>
  <c r="Q573" i="1"/>
  <c r="S573" i="1"/>
  <c r="P573" i="1"/>
  <c r="R573" i="1"/>
  <c r="P203" i="1"/>
  <c r="R203" i="1"/>
  <c r="S203" i="1"/>
  <c r="Q203" i="1"/>
  <c r="Q234" i="1"/>
  <c r="S234" i="1"/>
  <c r="P234" i="1"/>
  <c r="R234" i="1"/>
  <c r="R447" i="1"/>
  <c r="S447" i="1"/>
  <c r="Q447" i="1"/>
  <c r="P447" i="1"/>
  <c r="P154" i="1"/>
  <c r="Q154" i="1"/>
  <c r="R154" i="1"/>
  <c r="S154" i="1"/>
  <c r="Q33" i="1"/>
  <c r="S33" i="1"/>
  <c r="R33" i="1"/>
  <c r="P33" i="1"/>
  <c r="R394" i="1"/>
  <c r="S394" i="1"/>
  <c r="P394" i="1"/>
  <c r="Q394" i="1"/>
  <c r="S551" i="1"/>
  <c r="P551" i="1"/>
  <c r="R551" i="1"/>
  <c r="Q551" i="1"/>
  <c r="P589" i="1"/>
  <c r="Q589" i="1"/>
  <c r="S589" i="1"/>
  <c r="R589" i="1"/>
  <c r="S242" i="1"/>
  <c r="Q242" i="1"/>
  <c r="R242" i="1"/>
  <c r="P242" i="1"/>
  <c r="P35" i="1"/>
  <c r="R35" i="1"/>
  <c r="S35" i="1"/>
  <c r="Q35" i="1"/>
  <c r="Q471" i="1"/>
  <c r="S471" i="1"/>
  <c r="P471" i="1"/>
  <c r="R471" i="1"/>
  <c r="R202" i="1"/>
  <c r="P202" i="1"/>
  <c r="Q202" i="1"/>
  <c r="S202" i="1"/>
  <c r="P391" i="1"/>
  <c r="S391" i="1"/>
  <c r="R391" i="1"/>
  <c r="Q391" i="1"/>
  <c r="P615" i="1"/>
  <c r="S615" i="1"/>
  <c r="Q615" i="1"/>
  <c r="R615" i="1"/>
  <c r="Q92" i="1"/>
  <c r="P92" i="1"/>
  <c r="R92" i="1"/>
  <c r="S92" i="1"/>
  <c r="Q256" i="1"/>
  <c r="R256" i="1"/>
  <c r="P256" i="1"/>
  <c r="S256" i="1"/>
  <c r="P171" i="1"/>
  <c r="R171" i="1"/>
  <c r="Q171" i="1"/>
  <c r="S171" i="1"/>
  <c r="P591" i="1"/>
  <c r="S591" i="1"/>
  <c r="Q591" i="1"/>
  <c r="R591" i="1"/>
  <c r="Q469" i="1"/>
  <c r="R469" i="1"/>
  <c r="S469" i="1"/>
  <c r="P469" i="1"/>
  <c r="R398" i="1"/>
  <c r="S398" i="1"/>
  <c r="Q398" i="1"/>
  <c r="P398" i="1"/>
  <c r="S512" i="1"/>
  <c r="Q512" i="1"/>
  <c r="P512" i="1"/>
  <c r="R512" i="1"/>
  <c r="R389" i="1"/>
  <c r="P389" i="1"/>
  <c r="S389" i="1"/>
  <c r="Q389" i="1"/>
  <c r="P22" i="1"/>
  <c r="Q22" i="1"/>
  <c r="S22" i="1"/>
  <c r="R22" i="1"/>
  <c r="R516" i="1"/>
  <c r="Q516" i="1"/>
  <c r="P516" i="1"/>
  <c r="S516" i="1"/>
  <c r="Q248" i="1"/>
  <c r="P248" i="1"/>
  <c r="R248" i="1"/>
  <c r="S248" i="1"/>
  <c r="S539" i="1"/>
  <c r="P539" i="1"/>
  <c r="Q539" i="1"/>
  <c r="R539" i="1"/>
  <c r="P367" i="1"/>
  <c r="R367" i="1"/>
  <c r="Q367" i="1"/>
  <c r="S367" i="1"/>
  <c r="Q192" i="1"/>
  <c r="P192" i="1"/>
  <c r="S192" i="1"/>
  <c r="R192" i="1"/>
  <c r="Q254" i="1"/>
  <c r="P254" i="1"/>
  <c r="R254" i="1"/>
  <c r="S254" i="1"/>
  <c r="P342" i="1"/>
  <c r="R342" i="1"/>
  <c r="Q342" i="1"/>
  <c r="S342" i="1"/>
  <c r="S624" i="1"/>
  <c r="P624" i="1"/>
  <c r="Q624" i="1"/>
  <c r="R624" i="1"/>
  <c r="Q586" i="1"/>
  <c r="R586" i="1"/>
  <c r="S586" i="1"/>
  <c r="P586" i="1"/>
  <c r="S137" i="1"/>
  <c r="P137" i="1"/>
  <c r="R137" i="1"/>
  <c r="Q137" i="1"/>
  <c r="Q94" i="1"/>
  <c r="P94" i="1"/>
  <c r="R94" i="1"/>
  <c r="S94" i="1"/>
  <c r="P571" i="1"/>
  <c r="Q571" i="1"/>
  <c r="R571" i="1"/>
  <c r="S571" i="1"/>
  <c r="P150" i="1"/>
  <c r="R150" i="1"/>
  <c r="Q150" i="1"/>
  <c r="S150" i="1"/>
  <c r="R582" i="1"/>
  <c r="S582" i="1"/>
  <c r="P582" i="1"/>
  <c r="Q582" i="1"/>
  <c r="S405" i="1"/>
  <c r="R405" i="1"/>
  <c r="Q405" i="1"/>
  <c r="P405" i="1"/>
  <c r="R156" i="1"/>
  <c r="S156" i="1"/>
  <c r="P156" i="1"/>
  <c r="Q156" i="1"/>
  <c r="S474" i="1"/>
  <c r="P474" i="1"/>
  <c r="Q474" i="1"/>
  <c r="R474" i="1"/>
  <c r="P72" i="1"/>
  <c r="S72" i="1"/>
  <c r="R72" i="1"/>
  <c r="Q72" i="1"/>
  <c r="P60" i="1"/>
  <c r="R60" i="1"/>
  <c r="S60" i="1"/>
  <c r="Q60" i="1"/>
  <c r="P396" i="1"/>
  <c r="R396" i="1"/>
  <c r="S396" i="1"/>
  <c r="Q396" i="1"/>
  <c r="S601" i="1"/>
  <c r="R601" i="1"/>
  <c r="P601" i="1"/>
  <c r="Q601" i="1"/>
  <c r="R49" i="1"/>
  <c r="Q49" i="1"/>
  <c r="P49" i="1"/>
  <c r="S49" i="1"/>
  <c r="S517" i="1"/>
  <c r="Q517" i="1"/>
  <c r="P517" i="1"/>
  <c r="R517" i="1"/>
  <c r="R497" i="1"/>
  <c r="P497" i="1"/>
  <c r="Q497" i="1"/>
  <c r="S497" i="1"/>
  <c r="M11" i="1"/>
  <c r="M12" i="1"/>
  <c r="M15" i="1"/>
  <c r="M16" i="1"/>
  <c r="M24" i="1"/>
  <c r="M25" i="1"/>
  <c r="M26" i="1"/>
  <c r="M27" i="1"/>
  <c r="M28" i="1"/>
  <c r="M30" i="1"/>
  <c r="M31" i="1"/>
  <c r="M32" i="1"/>
  <c r="M33" i="1"/>
  <c r="M34" i="1"/>
  <c r="M35" i="1"/>
  <c r="M36" i="1"/>
  <c r="M37" i="1"/>
  <c r="M38" i="1"/>
  <c r="M39" i="1"/>
  <c r="M40" i="1"/>
  <c r="M41" i="1"/>
  <c r="M42" i="1"/>
  <c r="M43" i="1"/>
  <c r="M44" i="1"/>
  <c r="M45" i="1"/>
  <c r="M46" i="1"/>
  <c r="M49" i="1"/>
  <c r="M50" i="1"/>
  <c r="M53" i="1"/>
  <c r="M54" i="1"/>
  <c r="M55" i="1"/>
  <c r="M56" i="1"/>
  <c r="M61" i="1"/>
  <c r="M62" i="1"/>
  <c r="M63" i="1"/>
  <c r="M64" i="1"/>
  <c r="M65" i="1"/>
  <c r="M66" i="1"/>
  <c r="M68" i="1"/>
  <c r="M69" i="1"/>
  <c r="M71" i="1"/>
  <c r="M72" i="1"/>
  <c r="M73" i="1"/>
  <c r="M74" i="1"/>
  <c r="M75" i="1"/>
  <c r="M76" i="1"/>
  <c r="M77" i="1"/>
  <c r="M78" i="1"/>
  <c r="M79" i="1"/>
  <c r="M83" i="1"/>
  <c r="M84" i="1"/>
  <c r="M92" i="1"/>
  <c r="M93" i="1"/>
  <c r="M94" i="1"/>
  <c r="M104" i="1"/>
  <c r="M111" i="1"/>
  <c r="M112" i="1"/>
  <c r="M113" i="1"/>
  <c r="M123" i="1"/>
  <c r="M125" i="1"/>
  <c r="M127" i="1"/>
  <c r="M86" i="1"/>
  <c r="M158" i="1"/>
  <c r="M159" i="1"/>
  <c r="M161" i="1"/>
  <c r="M169" i="1"/>
  <c r="M170" i="1"/>
  <c r="M171" i="1"/>
  <c r="M181" i="1"/>
  <c r="M182" i="1"/>
  <c r="M184" i="1"/>
  <c r="M190" i="1"/>
  <c r="M191" i="1"/>
  <c r="M192" i="1"/>
  <c r="M193" i="1"/>
  <c r="M217" i="1"/>
  <c r="M219" i="1"/>
  <c r="M220" i="1"/>
  <c r="M221" i="1"/>
  <c r="M222" i="1"/>
  <c r="M223" i="1"/>
  <c r="M224" i="1"/>
  <c r="M225" i="1"/>
  <c r="M235" i="1"/>
  <c r="M236" i="1"/>
  <c r="M239" i="1"/>
  <c r="M240" i="1"/>
  <c r="M241" i="1"/>
  <c r="M242" i="1"/>
  <c r="M243" i="1"/>
  <c r="M244" i="1"/>
  <c r="M246" i="1"/>
  <c r="M247" i="1"/>
  <c r="M248" i="1"/>
  <c r="M250" i="1"/>
  <c r="M254" i="1"/>
  <c r="M255" i="1"/>
  <c r="M256" i="1"/>
  <c r="M264" i="1"/>
  <c r="M322" i="1"/>
  <c r="M323" i="1"/>
  <c r="M324" i="1"/>
  <c r="M325" i="1"/>
  <c r="M327" i="1"/>
  <c r="M332" i="1"/>
  <c r="M333" i="1"/>
  <c r="M336" i="1"/>
  <c r="M342" i="1"/>
  <c r="M343" i="1"/>
  <c r="M345" i="1"/>
  <c r="M346" i="1"/>
  <c r="M347" i="1"/>
  <c r="M348" i="1"/>
  <c r="M349" i="1"/>
  <c r="M355" i="1"/>
  <c r="M356" i="1"/>
  <c r="M357" i="1"/>
  <c r="M358" i="1"/>
  <c r="M359" i="1"/>
  <c r="M360" i="1"/>
  <c r="M363" i="1"/>
  <c r="M364" i="1"/>
  <c r="M365" i="1"/>
  <c r="M368" i="1"/>
  <c r="M369" i="1"/>
  <c r="M370" i="1"/>
  <c r="M371" i="1"/>
  <c r="M381" i="1"/>
  <c r="M382" i="1"/>
  <c r="M383" i="1"/>
  <c r="M384" i="1"/>
  <c r="M386" i="1"/>
  <c r="M389" i="1"/>
  <c r="M390" i="1"/>
  <c r="M391" i="1"/>
  <c r="M392" i="1"/>
  <c r="M393" i="1"/>
  <c r="M394" i="1"/>
  <c r="M395" i="1"/>
  <c r="M396" i="1"/>
  <c r="M397" i="1"/>
  <c r="M398" i="1"/>
  <c r="M399" i="1"/>
  <c r="M367" i="1"/>
  <c r="M403" i="1"/>
  <c r="M404" i="1"/>
  <c r="M405" i="1"/>
  <c r="M406" i="1"/>
  <c r="M407" i="1"/>
  <c r="M429" i="1"/>
  <c r="M430" i="1"/>
  <c r="M431" i="1"/>
  <c r="M432" i="1"/>
  <c r="M433" i="1"/>
  <c r="M434" i="1"/>
  <c r="M435" i="1"/>
  <c r="M436" i="1"/>
  <c r="M437" i="1"/>
  <c r="M438" i="1"/>
  <c r="M439" i="1"/>
  <c r="M440" i="1"/>
  <c r="M441" i="1"/>
  <c r="M442" i="1"/>
  <c r="M443" i="1"/>
  <c r="M444" i="1"/>
  <c r="M447"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5" i="1"/>
  <c r="M556" i="1"/>
  <c r="M557"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558" i="1"/>
  <c r="M212" i="1"/>
  <c r="M194" i="1"/>
  <c r="M202" i="1"/>
  <c r="M203" i="1"/>
  <c r="M204" i="1"/>
  <c r="M207" i="1"/>
  <c r="M209" i="1"/>
  <c r="M206" i="1"/>
  <c r="M226" i="1"/>
  <c r="M213" i="1"/>
  <c r="M214" i="1"/>
  <c r="M216" i="1"/>
  <c r="T268" i="1"/>
  <c r="T102" i="1"/>
  <c r="T651" i="1"/>
  <c r="T707" i="1"/>
  <c r="T733" i="1"/>
  <c r="T173" i="1"/>
  <c r="T273" i="1"/>
  <c r="T649" i="1"/>
  <c r="T738" i="1"/>
  <c r="T17" i="1"/>
  <c r="T752" i="1"/>
  <c r="T276" i="1"/>
  <c r="T378" i="1"/>
  <c r="T401" i="1"/>
  <c r="T728" i="1"/>
  <c r="T638" i="1"/>
  <c r="T630" i="1"/>
  <c r="T777" i="1"/>
  <c r="T98" i="1"/>
  <c r="T659" i="1"/>
  <c r="F6" i="1"/>
  <c r="P6" i="8"/>
  <c r="T765" i="1"/>
  <c r="T379" i="1"/>
  <c r="R2" i="8"/>
  <c r="T418" i="1"/>
  <c r="T320" i="1"/>
  <c r="T695" i="1"/>
  <c r="T352" i="1"/>
  <c r="T642" i="1"/>
  <c r="T761" i="1"/>
  <c r="T134" i="1"/>
  <c r="T645" i="1"/>
  <c r="T715" i="1"/>
  <c r="G8" i="1"/>
  <c r="T238" i="1"/>
  <c r="T663" i="1"/>
  <c r="T252" i="1"/>
  <c r="T419" i="1"/>
  <c r="T639" i="1"/>
  <c r="T730" i="1"/>
  <c r="T771" i="1"/>
  <c r="T114" i="1"/>
  <c r="T762" i="1"/>
  <c r="T685" i="1"/>
  <c r="T704" i="1"/>
  <c r="T416" i="1"/>
  <c r="T285" i="1"/>
  <c r="T718" i="1"/>
  <c r="T118" i="1"/>
  <c r="T109" i="1"/>
  <c r="F8" i="1"/>
  <c r="T233" i="1"/>
  <c r="O6" i="8"/>
  <c r="T305" i="1"/>
  <c r="T361" i="1"/>
  <c r="T724" i="1"/>
  <c r="T205" i="1"/>
  <c r="T85" i="1"/>
  <c r="T351" i="1"/>
  <c r="T122" i="1"/>
  <c r="T661" i="1"/>
  <c r="T329" i="1"/>
  <c r="T97" i="1"/>
  <c r="T689" i="1"/>
  <c r="T301" i="1"/>
  <c r="T686" i="1"/>
  <c r="T362" i="1"/>
  <c r="T713" i="1"/>
  <c r="T197" i="1"/>
  <c r="T759" i="1"/>
  <c r="T636" i="1"/>
  <c r="T483" i="1"/>
  <c r="T743" i="1"/>
  <c r="M3" i="1" a="1"/>
  <c r="T750" i="1"/>
  <c r="T757" i="1"/>
  <c r="T690" i="1"/>
  <c r="T133" i="1"/>
  <c r="T753" i="1"/>
  <c r="T692" i="1"/>
  <c r="T339" i="1"/>
  <c r="T769" i="1"/>
  <c r="T372" i="1"/>
  <c r="T321" i="1"/>
  <c r="T451" i="1"/>
  <c r="T326" i="1"/>
  <c r="T90" i="1"/>
  <c r="T271" i="1"/>
  <c r="T696" i="1"/>
  <c r="T183" i="1"/>
  <c r="T705" i="1"/>
  <c r="T629" i="1"/>
  <c r="T664" i="1"/>
  <c r="T656" i="1"/>
  <c r="G7" i="1"/>
  <c r="T613" i="1"/>
  <c r="T51" i="1"/>
  <c r="Q1" i="10"/>
  <c r="T270" i="1"/>
  <c r="T108" i="1"/>
  <c r="T308" i="1"/>
  <c r="T291" i="1"/>
  <c r="T99" i="1"/>
  <c r="T284" i="1"/>
  <c r="T652" i="1"/>
  <c r="T742" i="1"/>
  <c r="T737" i="1"/>
  <c r="T655" i="1"/>
  <c r="T266" i="1"/>
  <c r="T174" i="1"/>
  <c r="T628" i="1"/>
  <c r="T676" i="1"/>
  <c r="T282" i="1"/>
  <c r="T774" i="1"/>
  <c r="R3" i="10"/>
  <c r="T340" i="1"/>
  <c r="E7" i="1"/>
  <c r="T449" i="1"/>
  <c r="T632" i="1"/>
  <c r="T267" i="1"/>
  <c r="T758" i="1"/>
  <c r="T128" i="1"/>
  <c r="T653" i="1"/>
  <c r="T693" i="1"/>
  <c r="T312" i="1"/>
  <c r="T729" i="1"/>
  <c r="T337" i="1"/>
  <c r="T115" i="1"/>
  <c r="T748" i="1"/>
  <c r="T736" i="1"/>
  <c r="T296" i="1"/>
  <c r="T667" i="1"/>
  <c r="T770" i="1"/>
  <c r="T716" i="1"/>
  <c r="T283" i="1"/>
  <c r="T350" i="1"/>
  <c r="T701" i="1"/>
  <c r="T623" i="1"/>
  <c r="T679" i="1"/>
  <c r="T608" i="1"/>
  <c r="T775" i="1"/>
  <c r="T280" i="1"/>
  <c r="T319" i="1"/>
  <c r="T609" i="1"/>
  <c r="T452" i="1"/>
  <c r="T644" i="1"/>
  <c r="T299" i="1"/>
  <c r="T731" i="1"/>
  <c r="T377" i="1"/>
  <c r="T428" i="1"/>
  <c r="T749" i="1"/>
  <c r="T772" i="1"/>
  <c r="T117" i="1"/>
  <c r="O4" i="8"/>
  <c r="Q6" i="10"/>
  <c r="T650" i="1"/>
  <c r="T375" i="1"/>
  <c r="T179" i="1"/>
  <c r="T648" i="1"/>
  <c r="T338" i="1"/>
  <c r="T647" i="1"/>
  <c r="T553" i="1"/>
  <c r="E6" i="1"/>
  <c r="T712" i="1"/>
  <c r="T665" i="1"/>
  <c r="P6" i="10"/>
  <c r="T309" i="1"/>
  <c r="T100" i="1"/>
  <c r="T417" i="1"/>
  <c r="T735" i="1"/>
  <c r="O7" i="10"/>
  <c r="T95" i="1"/>
  <c r="T260" i="1"/>
  <c r="T669" i="1"/>
  <c r="T625" i="1"/>
  <c r="T307" i="1"/>
  <c r="T196" i="1"/>
  <c r="T101" i="1"/>
  <c r="T617" i="1"/>
  <c r="T453" i="1"/>
  <c r="T660" i="1"/>
  <c r="T426" i="1"/>
  <c r="T708" i="1"/>
  <c r="T48" i="1"/>
  <c r="T315" i="1"/>
  <c r="T621" i="1"/>
  <c r="T387" i="1"/>
  <c r="T745" i="1"/>
  <c r="T782" i="1"/>
  <c r="T700" i="1"/>
  <c r="T180" i="1"/>
  <c r="T281" i="1"/>
  <c r="T314" i="1"/>
  <c r="T289" i="1"/>
  <c r="T300" i="1"/>
  <c r="T727" i="1"/>
  <c r="T420" i="1"/>
  <c r="T427" i="1"/>
  <c r="T694" i="1"/>
  <c r="T119" i="1"/>
  <c r="T714" i="1"/>
  <c r="T720" i="1"/>
  <c r="T776" i="1"/>
  <c r="T448" i="1"/>
  <c r="T643" i="1"/>
  <c r="T341" i="1"/>
  <c r="T298" i="1"/>
  <c r="T616" i="1"/>
  <c r="T400" i="1"/>
  <c r="T725" i="1"/>
  <c r="T450" i="1"/>
  <c r="E8" i="1"/>
  <c r="T744" i="1"/>
  <c r="T706" i="1"/>
  <c r="T120" i="1"/>
  <c r="T422" i="1"/>
  <c r="T402" i="1"/>
  <c r="T107" i="1"/>
  <c r="T263" i="1"/>
  <c r="T670" i="1"/>
  <c r="T637" i="1"/>
  <c r="T124" i="1"/>
  <c r="T671" i="1"/>
  <c r="T126" i="1"/>
  <c r="T702" i="1"/>
  <c r="T446" i="1"/>
  <c r="T265" i="1"/>
  <c r="T631" i="1"/>
  <c r="T780" i="1"/>
  <c r="T746" i="1"/>
  <c r="T259" i="1"/>
  <c r="T262" i="1"/>
  <c r="T311" i="1"/>
  <c r="T773" i="1"/>
  <c r="T200" i="1"/>
  <c r="T185" i="1"/>
  <c r="T253" i="1"/>
  <c r="T688" i="1"/>
  <c r="T14" i="1"/>
  <c r="T110" i="1"/>
  <c r="T662" i="1"/>
  <c r="G6" i="1"/>
  <c r="T699" i="1"/>
  <c r="Q1" i="8"/>
  <c r="T67" i="1"/>
  <c r="T678" i="1"/>
  <c r="T684" i="1"/>
  <c r="T274" i="1"/>
  <c r="T624" i="1"/>
  <c r="T132" i="1"/>
  <c r="T484" i="1"/>
  <c r="T680" i="1"/>
  <c r="T423" i="1"/>
  <c r="T641" i="1"/>
  <c r="T747" i="1"/>
  <c r="O7" i="8"/>
  <c r="T411" i="1"/>
  <c r="T622" i="1"/>
  <c r="T778" i="1"/>
  <c r="T380" i="1"/>
  <c r="T131" i="1"/>
  <c r="T385" i="1"/>
  <c r="T687" i="1"/>
  <c r="T721" i="1"/>
  <c r="T697" i="1"/>
  <c r="T275" i="1"/>
  <c r="T640" i="1"/>
  <c r="T627" i="1"/>
  <c r="T657" i="1"/>
  <c r="T116" i="1"/>
  <c r="T218" i="1"/>
  <c r="T135" i="1"/>
  <c r="T318" i="1"/>
  <c r="T366" i="1"/>
  <c r="T681" i="1"/>
  <c r="T726" i="1"/>
  <c r="T294" i="1"/>
  <c r="T654" i="1"/>
  <c r="T335" i="1"/>
  <c r="T388" i="1"/>
  <c r="T766" i="1"/>
  <c r="T620" i="1"/>
  <c r="T353" i="1"/>
  <c r="R3" i="8"/>
  <c r="T691" i="1"/>
  <c r="T149" i="1"/>
  <c r="T328" i="1"/>
  <c r="T208" i="1"/>
  <c r="T199" i="1"/>
  <c r="T666" i="1"/>
  <c r="T421" i="1"/>
  <c r="T711" i="1"/>
  <c r="T121" i="1"/>
  <c r="T157" i="1"/>
  <c r="T261" i="1"/>
  <c r="T739" i="1"/>
  <c r="T482" i="1"/>
  <c r="T313" i="1"/>
  <c r="T751" i="1"/>
  <c r="T414" i="1"/>
  <c r="T668" i="1"/>
  <c r="T619" i="1"/>
  <c r="T612" i="1"/>
  <c r="T105" i="1"/>
  <c r="T129" i="1"/>
  <c r="T646" i="1"/>
  <c r="T306" i="1"/>
  <c r="T709" i="1"/>
  <c r="T755" i="1"/>
  <c r="T626" i="1"/>
  <c r="T673" i="1"/>
  <c r="T279" i="1"/>
  <c r="T683" i="1"/>
  <c r="T258" i="1"/>
  <c r="T175" i="1"/>
  <c r="T606" i="1"/>
  <c r="T297" i="1"/>
  <c r="T710" i="1"/>
  <c r="T257" i="1"/>
  <c r="T177" i="1"/>
  <c r="T87" i="1"/>
  <c r="T611" i="1"/>
  <c r="T734" i="1"/>
  <c r="T176" i="1"/>
  <c r="T288" i="1"/>
  <c r="T269" i="1"/>
  <c r="T334" i="1"/>
  <c r="T82" i="1"/>
  <c r="T292" i="1"/>
  <c r="T634" i="1"/>
  <c r="T610" i="1"/>
  <c r="T719" i="1"/>
  <c r="T295" i="1"/>
  <c r="T70" i="1"/>
  <c r="T425" i="1"/>
  <c r="T376" i="1"/>
  <c r="T373" i="1"/>
  <c r="T554" i="1"/>
  <c r="T779" i="1"/>
  <c r="T658" i="1"/>
  <c r="T96" i="1"/>
  <c r="T635" i="1"/>
  <c r="T215" i="1"/>
  <c r="T304" i="1"/>
  <c r="T768" i="1"/>
  <c r="T251" i="1"/>
  <c r="T413" i="1"/>
  <c r="T232" i="1"/>
  <c r="T618" i="1"/>
  <c r="T764" i="1"/>
  <c r="T354" i="1"/>
  <c r="T331" i="1"/>
  <c r="T763" i="1"/>
  <c r="T287" i="1"/>
  <c r="T675" i="1"/>
  <c r="T293" i="1"/>
  <c r="T767" i="1"/>
  <c r="T410" i="1"/>
  <c r="T756" i="1"/>
  <c r="Q6" i="8"/>
  <c r="T677" i="1"/>
  <c r="P1" i="10"/>
  <c r="T754" i="1"/>
  <c r="O4" i="10"/>
  <c r="F7" i="1"/>
  <c r="T278" i="1"/>
  <c r="T741" i="1"/>
  <c r="T703" i="1"/>
  <c r="T106" i="1"/>
  <c r="O6" i="10"/>
  <c r="T717" i="1"/>
  <c r="T344" i="1"/>
  <c r="T201" i="1"/>
  <c r="T633" i="1"/>
  <c r="T408" i="1"/>
  <c r="T310" i="1"/>
  <c r="T317" i="1"/>
  <c r="T303" i="1"/>
  <c r="T698" i="1"/>
  <c r="T290" i="1"/>
  <c r="T198" i="1"/>
  <c r="T18" i="1"/>
  <c r="T424" i="1"/>
  <c r="T760" i="1"/>
  <c r="P1" i="8"/>
  <c r="T237" i="1"/>
  <c r="T277" i="1"/>
  <c r="T674" i="1"/>
  <c r="T732" i="1"/>
  <c r="T723" i="1"/>
  <c r="T607" i="1"/>
  <c r="T172" i="1"/>
  <c r="E5" i="1"/>
  <c r="R2" i="10"/>
  <c r="T178" i="1"/>
  <c r="T302" i="1"/>
  <c r="T164" i="1"/>
  <c r="T722" i="1"/>
  <c r="T272" i="1"/>
  <c r="T781" i="1"/>
  <c r="T103" i="1"/>
  <c r="T740" i="1"/>
  <c r="T330" i="1"/>
  <c r="T682" i="1"/>
  <c r="T195" i="1"/>
  <c r="T412" i="1"/>
  <c r="T316" i="1"/>
  <c r="T286" i="1"/>
  <c r="T409" i="1"/>
  <c r="T672" i="1"/>
  <c r="T445" i="1"/>
  <c r="M3" i="1" l="1"/>
  <c r="P7" i="10"/>
  <c r="Q7" i="10"/>
  <c r="Q7" i="8"/>
  <c r="P7" i="8"/>
  <c r="I3" i="1"/>
  <c r="J3" i="1"/>
  <c r="J4" i="1" s="1"/>
  <c r="I5" i="1"/>
  <c r="J5" i="1"/>
  <c r="K5" i="1" l="1"/>
  <c r="K3" i="1"/>
  <c r="J6" i="1"/>
  <c r="I4" i="1"/>
  <c r="K4" i="1" s="1"/>
  <c r="I6" i="1" l="1"/>
  <c r="K6" i="1" s="1"/>
  <c r="O221" i="4"/>
  <c r="O220" i="4"/>
  <c r="O219" i="4"/>
  <c r="O218" i="4"/>
  <c r="R12" i="1" l="1"/>
  <c r="S12" i="1"/>
  <c r="Q12" i="1"/>
  <c r="P12" i="1"/>
  <c r="S11" i="1"/>
  <c r="Q11" i="1"/>
  <c r="P11" i="1"/>
  <c r="R11" i="1"/>
  <c r="T52" i="1"/>
  <c r="T254" i="1"/>
  <c r="T550" i="1"/>
  <c r="T191" i="1"/>
  <c r="T71" i="1"/>
  <c r="T30" i="1"/>
  <c r="T151" i="1"/>
  <c r="T593" i="1"/>
  <c r="T455" i="1"/>
  <c r="T494" i="1"/>
  <c r="T73" i="1"/>
  <c r="T148" i="1"/>
  <c r="T152" i="1"/>
  <c r="T78" i="1"/>
  <c r="T569" i="1"/>
  <c r="T386" i="1"/>
  <c r="T136" i="1"/>
  <c r="T160" i="1"/>
  <c r="T142" i="1"/>
  <c r="T382" i="1"/>
  <c r="T437" i="1"/>
  <c r="T68" i="1"/>
  <c r="T36" i="1"/>
  <c r="T506" i="1"/>
  <c r="T575" i="1"/>
  <c r="T55" i="1"/>
  <c r="T189" i="1"/>
  <c r="T485" i="1"/>
  <c r="T539" i="1"/>
  <c r="T163" i="1"/>
  <c r="T256" i="1"/>
  <c r="T46" i="1"/>
  <c r="T144" i="1"/>
  <c r="T64" i="1"/>
  <c r="T433" i="1"/>
  <c r="T229" i="1"/>
  <c r="T475" i="1"/>
  <c r="T227" i="1"/>
  <c r="T470" i="1"/>
  <c r="T45" i="1"/>
  <c r="T459" i="1"/>
  <c r="T549" i="1"/>
  <c r="T571" i="1"/>
  <c r="T72" i="1"/>
  <c r="T476" i="1"/>
  <c r="T462" i="1"/>
  <c r="T58" i="1"/>
  <c r="T531" i="1"/>
  <c r="T240" i="1"/>
  <c r="T594" i="1"/>
  <c r="T219" i="1"/>
  <c r="T442" i="1"/>
  <c r="T541" i="1"/>
  <c r="T510" i="1"/>
  <c r="T602" i="1"/>
  <c r="T556" i="1"/>
  <c r="T89" i="1"/>
  <c r="T209" i="1"/>
  <c r="T500" i="1"/>
  <c r="T438" i="1"/>
  <c r="T432" i="1"/>
  <c r="T32" i="1"/>
  <c r="T600" i="1"/>
  <c r="T193" i="1"/>
  <c r="T19" i="1"/>
  <c r="T225" i="1"/>
  <c r="T153" i="1"/>
  <c r="T441" i="1"/>
  <c r="T76" i="1"/>
  <c r="T332" i="1"/>
  <c r="T84" i="1"/>
  <c r="T457" i="1"/>
  <c r="T403" i="1"/>
  <c r="T22" i="1"/>
  <c r="T495" i="1"/>
  <c r="T374" i="1"/>
  <c r="T472" i="1"/>
  <c r="T20" i="1"/>
  <c r="T583" i="1"/>
  <c r="T395" i="1"/>
  <c r="T60" i="1"/>
  <c r="T521" i="1"/>
  <c r="T381" i="1"/>
  <c r="T396" i="1"/>
  <c r="T139" i="1"/>
  <c r="T518" i="1"/>
  <c r="T27" i="1"/>
  <c r="T390" i="1"/>
  <c r="T167" i="1"/>
  <c r="T384" i="1"/>
  <c r="T325" i="1"/>
  <c r="T29" i="1"/>
  <c r="T360" i="1"/>
  <c r="T65" i="1"/>
  <c r="T323" i="1"/>
  <c r="T226" i="1"/>
  <c r="T241" i="1"/>
  <c r="T530" i="1"/>
  <c r="T123" i="1"/>
  <c r="T239" i="1"/>
  <c r="T406" i="1"/>
  <c r="T358" i="1"/>
  <c r="T165" i="1"/>
  <c r="T207" i="1"/>
  <c r="T568" i="1"/>
  <c r="T478" i="1"/>
  <c r="T75" i="1"/>
  <c r="T561" i="1"/>
  <c r="T190" i="1"/>
  <c r="T514" i="1"/>
  <c r="T551" i="1"/>
  <c r="T511" i="1"/>
  <c r="T91" i="1"/>
  <c r="T489" i="1"/>
  <c r="T111" i="1"/>
  <c r="T184" i="1"/>
  <c r="T520" i="1"/>
  <c r="T439" i="1"/>
  <c r="T429" i="1"/>
  <c r="T230" i="1"/>
  <c r="T264" i="1"/>
  <c r="T43" i="1"/>
  <c r="T443" i="1"/>
  <c r="T192" i="1"/>
  <c r="T537" i="1"/>
  <c r="T217" i="1"/>
  <c r="T141" i="1"/>
  <c r="T231" i="1"/>
  <c r="T23" i="1"/>
  <c r="T349" i="1"/>
  <c r="T578" i="1"/>
  <c r="T391" i="1"/>
  <c r="T454" i="1"/>
  <c r="T368" i="1"/>
  <c r="T234" i="1"/>
  <c r="T255" i="1"/>
  <c r="T538" i="1"/>
  <c r="T436" i="1"/>
  <c r="T188" i="1"/>
  <c r="E3" i="1"/>
  <c r="T526" i="1"/>
  <c r="T496" i="1"/>
  <c r="T242" i="1"/>
  <c r="T21" i="1"/>
  <c r="T601" i="1"/>
  <c r="T25" i="1"/>
  <c r="T392" i="1"/>
  <c r="T534" i="1"/>
  <c r="T69" i="1"/>
  <c r="T34" i="1"/>
  <c r="T585" i="1"/>
  <c r="T581" i="1"/>
  <c r="T248" i="1"/>
  <c r="T113" i="1"/>
  <c r="T370" i="1"/>
  <c r="T155" i="1"/>
  <c r="T342" i="1"/>
  <c r="T61" i="1"/>
  <c r="T15" i="1"/>
  <c r="T168" i="1"/>
  <c r="T93" i="1"/>
  <c r="T62" i="1"/>
  <c r="T562" i="1"/>
  <c r="T211" i="1"/>
  <c r="T140" i="1"/>
  <c r="T447" i="1"/>
  <c r="T488" i="1"/>
  <c r="T104" i="1"/>
  <c r="T54" i="1"/>
  <c r="T365" i="1"/>
  <c r="T548" i="1"/>
  <c r="T44" i="1"/>
  <c r="T570" i="1"/>
  <c r="T393" i="1"/>
  <c r="T458" i="1"/>
  <c r="T577" i="1"/>
  <c r="T513" i="1"/>
  <c r="T555" i="1"/>
  <c r="T525" i="1"/>
  <c r="T81" i="1"/>
  <c r="T407" i="1"/>
  <c r="T186" i="1"/>
  <c r="T498" i="1"/>
  <c r="T31" i="1"/>
  <c r="T222" i="1"/>
  <c r="T371" i="1"/>
  <c r="T434" i="1"/>
  <c r="T202" i="1"/>
  <c r="T492" i="1"/>
  <c r="T557" i="1"/>
  <c r="T80" i="1"/>
  <c r="T405" i="1"/>
  <c r="T16" i="1"/>
  <c r="T502" i="1"/>
  <c r="T223" i="1"/>
  <c r="T357" i="1"/>
  <c r="T404" i="1"/>
  <c r="T24" i="1"/>
  <c r="T603" i="1"/>
  <c r="T566" i="1"/>
  <c r="T467" i="1"/>
  <c r="T213" i="1"/>
  <c r="T468" i="1"/>
  <c r="T533" i="1"/>
  <c r="T35" i="1"/>
  <c r="T169" i="1"/>
  <c r="T206" i="1"/>
  <c r="T560" i="1"/>
  <c r="T572" i="1"/>
  <c r="T181" i="1"/>
  <c r="T565" i="1"/>
  <c r="T598" i="1"/>
  <c r="T586" i="1"/>
  <c r="T56" i="1"/>
  <c r="T63" i="1"/>
  <c r="T333" i="1"/>
  <c r="T466" i="1"/>
  <c r="T542" i="1"/>
  <c r="T536" i="1"/>
  <c r="T324" i="1"/>
  <c r="T367" i="1"/>
  <c r="T39" i="1"/>
  <c r="T182" i="1"/>
  <c r="T12" i="1"/>
  <c r="T516" i="1"/>
  <c r="T592" i="1"/>
  <c r="T456" i="1"/>
  <c r="T389" i="1"/>
  <c r="T41" i="1"/>
  <c r="T250" i="1"/>
  <c r="T224" i="1"/>
  <c r="T588" i="1"/>
  <c r="T493" i="1"/>
  <c r="T127" i="1"/>
  <c r="T491" i="1"/>
  <c r="T469" i="1"/>
  <c r="T26" i="1"/>
  <c r="T383" i="1"/>
  <c r="T515" i="1"/>
  <c r="T59" i="1"/>
  <c r="T343" i="1"/>
  <c r="T474" i="1"/>
  <c r="T214" i="1"/>
  <c r="T497" i="1"/>
  <c r="T57" i="1"/>
  <c r="T524" i="1"/>
  <c r="T461" i="1"/>
  <c r="T355" i="1"/>
  <c r="T599" i="1"/>
  <c r="T247" i="1"/>
  <c r="T40" i="1"/>
  <c r="T509" i="1"/>
  <c r="T576" i="1"/>
  <c r="T363" i="1"/>
  <c r="T221" i="1"/>
  <c r="T522" i="1"/>
  <c r="T591" i="1"/>
  <c r="G5" i="1"/>
  <c r="T154" i="1"/>
  <c r="T369" i="1"/>
  <c r="T435" i="1"/>
  <c r="T471" i="1"/>
  <c r="T589" i="1"/>
  <c r="T540" i="1"/>
  <c r="T399" i="1"/>
  <c r="T501" i="1"/>
  <c r="T523" i="1"/>
  <c r="T364" i="1"/>
  <c r="T66" i="1"/>
  <c r="T504" i="1"/>
  <c r="T431" i="1"/>
  <c r="T170" i="1"/>
  <c r="T563" i="1"/>
  <c r="T74" i="1"/>
  <c r="T94" i="1"/>
  <c r="T487" i="1"/>
  <c r="T574" i="1"/>
  <c r="T158" i="1"/>
  <c r="T573" i="1"/>
  <c r="T597" i="1"/>
  <c r="T532" i="1"/>
  <c r="T567" i="1"/>
  <c r="T345" i="1"/>
  <c r="T13" i="1"/>
  <c r="T49" i="1"/>
  <c r="G3" i="1"/>
  <c r="F5" i="1"/>
  <c r="T595" i="1"/>
  <c r="T216" i="1"/>
  <c r="T582" i="1"/>
  <c r="T50" i="1"/>
  <c r="T159" i="1"/>
  <c r="T356" i="1"/>
  <c r="T125" i="1"/>
  <c r="T440" i="1"/>
  <c r="T580" i="1"/>
  <c r="T465" i="1"/>
  <c r="T543" i="1"/>
  <c r="T28" i="1"/>
  <c r="T161" i="1"/>
  <c r="T162" i="1"/>
  <c r="T615" i="1"/>
  <c r="T579" i="1"/>
  <c r="T11" i="1"/>
  <c r="T137" i="1"/>
  <c r="T33" i="1"/>
  <c r="T194" i="1"/>
  <c r="T397" i="1"/>
  <c r="T527" i="1"/>
  <c r="T79" i="1"/>
  <c r="T210" i="1"/>
  <c r="T398" i="1"/>
  <c r="T53" i="1"/>
  <c r="T327" i="1"/>
  <c r="T547" i="1"/>
  <c r="T150" i="1"/>
  <c r="T212" i="1"/>
  <c r="T512" i="1"/>
  <c r="T156" i="1"/>
  <c r="T145" i="1"/>
  <c r="T166" i="1"/>
  <c r="T187" i="1"/>
  <c r="T112" i="1"/>
  <c r="T138" i="1"/>
  <c r="T552" i="1"/>
  <c r="T503" i="1"/>
  <c r="T444" i="1"/>
  <c r="T77" i="1"/>
  <c r="T143" i="1"/>
  <c r="T477" i="1"/>
  <c r="T490" i="1"/>
  <c r="T42" i="1"/>
  <c r="T147" i="1"/>
  <c r="T517" i="1"/>
  <c r="T246" i="1"/>
  <c r="T508" i="1"/>
  <c r="F3" i="1"/>
  <c r="T359" i="1"/>
  <c r="T322" i="1"/>
  <c r="T505" i="1"/>
  <c r="T228" i="1"/>
  <c r="T558" i="1"/>
  <c r="T519" i="1"/>
  <c r="T394" i="1"/>
  <c r="T92" i="1"/>
  <c r="T235" i="1"/>
  <c r="T544" i="1"/>
  <c r="T564" i="1"/>
  <c r="T204" i="1"/>
  <c r="T171" i="1"/>
  <c r="T347" i="1"/>
  <c r="T38" i="1"/>
  <c r="T587" i="1"/>
  <c r="T559" i="1"/>
  <c r="T244" i="1"/>
  <c r="T605" i="1"/>
  <c r="T243" i="1"/>
  <c r="T546" i="1"/>
  <c r="T464" i="1"/>
  <c r="T220" i="1"/>
  <c r="T203" i="1"/>
  <c r="T528" i="1"/>
  <c r="T463" i="1"/>
  <c r="T83" i="1"/>
  <c r="T37" i="1"/>
  <c r="T460" i="1"/>
  <c r="T604" i="1"/>
  <c r="T346" i="1"/>
  <c r="T507" i="1"/>
  <c r="T348" i="1"/>
  <c r="T430" i="1"/>
  <c r="T584" i="1"/>
  <c r="T146" i="1"/>
  <c r="T499" i="1"/>
  <c r="T614" i="1"/>
  <c r="T473" i="1"/>
  <c r="T236" i="1"/>
  <c r="T535" i="1"/>
  <c r="T590" i="1"/>
  <c r="T545" i="1"/>
  <c r="T88" i="1"/>
  <c r="T486" i="1"/>
  <c r="T336" i="1"/>
  <c r="T596" i="1"/>
  <c r="T86" i="1"/>
  <c r="T529" i="1"/>
  <c r="O5" i="1" l="1"/>
  <c r="O3" i="1"/>
  <c r="P3" i="1"/>
  <c r="P5" i="1"/>
  <c r="O4" i="1"/>
  <c r="P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Todorovic</author>
  </authors>
  <commentList>
    <comment ref="C6" authorId="0" shapeId="0" xr:uid="{61F38C9E-5AEC-4C45-AA4A-15D7D57E3BCB}">
      <text>
        <r>
          <rPr>
            <b/>
            <sz val="9"/>
            <color indexed="81"/>
            <rFont val="Tahoma"/>
            <family val="2"/>
          </rPr>
          <t>First letter U - Upgrade or N - New Site
+ one letter for each sector size (S,M,L)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Todorovic</author>
  </authors>
  <commentList>
    <comment ref="C6" authorId="0" shapeId="0" xr:uid="{72900215-1C86-403D-BF33-A78570076008}">
      <text>
        <r>
          <rPr>
            <b/>
            <sz val="9"/>
            <color indexed="81"/>
            <rFont val="Tahoma"/>
            <family val="2"/>
          </rPr>
          <t>First letter U - Upgrade or N - New Site
+ one letter for each sector size (S,M,L)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Todorovic</author>
  </authors>
  <commentList>
    <comment ref="C6" authorId="0" shapeId="0" xr:uid="{0036F80D-F610-4118-BAD9-C352DD173A60}">
      <text>
        <r>
          <rPr>
            <b/>
            <sz val="9"/>
            <color indexed="81"/>
            <rFont val="Tahoma"/>
            <family val="2"/>
          </rPr>
          <t>First letter U - Upgrade or N - New Site
+ one letter for each sector size (S,M,L)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<sst xmlns="http://schemas.openxmlformats.org/spreadsheetml/2006/main" count="14118" uniqueCount="3870">
  <si>
    <t>Yellow cells to be filled by contractor</t>
  </si>
  <si>
    <t>Show budget (Y/N):</t>
  </si>
  <si>
    <t>BoQ_v4.01</t>
  </si>
  <si>
    <t>Budget</t>
  </si>
  <si>
    <t>ACT_cost</t>
  </si>
  <si>
    <t>ACT - Budget</t>
  </si>
  <si>
    <t>Pricing file ver:</t>
  </si>
  <si>
    <t>v6</t>
  </si>
  <si>
    <t>CW/TI contractor</t>
  </si>
  <si>
    <t>OneCo Networks AS</t>
  </si>
  <si>
    <t>TSSR price NOK:</t>
  </si>
  <si>
    <t>Site Id:</t>
  </si>
  <si>
    <t>AKH12345</t>
  </si>
  <si>
    <t>Contractor implementation price NOK:</t>
  </si>
  <si>
    <t>Site Name:</t>
  </si>
  <si>
    <t>Storgata (example)</t>
  </si>
  <si>
    <t>Add. services (all 3rd part) &amp; add. mat. price NOK:</t>
  </si>
  <si>
    <t>Site Config./Size:</t>
  </si>
  <si>
    <t>UMML_ (example)</t>
  </si>
  <si>
    <t>Work Order price NOK:</t>
  </si>
  <si>
    <t>Site Type:</t>
  </si>
  <si>
    <t>Responsible SPL:</t>
  </si>
  <si>
    <t>Number of heli flights:</t>
  </si>
  <si>
    <t>Site id</t>
  </si>
  <si>
    <t>Product code</t>
  </si>
  <si>
    <t>Description</t>
  </si>
  <si>
    <t>Quantity</t>
  </si>
  <si>
    <t>Comments</t>
  </si>
  <si>
    <t>ACT_Qty</t>
  </si>
  <si>
    <t>ACT_Comment</t>
  </si>
  <si>
    <t>Ordering hints</t>
  </si>
  <si>
    <t>Product category</t>
  </si>
  <si>
    <t>Product subcategory</t>
  </si>
  <si>
    <t>Source of ordering</t>
  </si>
  <si>
    <t>Vendor</t>
  </si>
  <si>
    <t>Contractor name</t>
  </si>
  <si>
    <t>Unit Price</t>
  </si>
  <si>
    <t>Currency</t>
  </si>
  <si>
    <t>Total Price NOK</t>
  </si>
  <si>
    <t>Total ACT Price NOK</t>
  </si>
  <si>
    <t>Total Price EUR</t>
  </si>
  <si>
    <t>Total ACT Price EUR</t>
  </si>
  <si>
    <t>Type of work</t>
  </si>
  <si>
    <t>Act-Est Qty</t>
  </si>
  <si>
    <t>Aux1</t>
  </si>
  <si>
    <t>Aux2</t>
  </si>
  <si>
    <t>Aux3</t>
  </si>
  <si>
    <t>475266B.102</t>
  </si>
  <si>
    <t>ABIO AirScale Capacity .102</t>
  </si>
  <si>
    <t>Capacity board - Kjerag project (1 for small and medium, 2 for large site and one extra in case 450MHz system on site); replacement 475266A.107</t>
  </si>
  <si>
    <t>System module</t>
  </si>
  <si>
    <t>ABIO</t>
  </si>
  <si>
    <t>Lyse Tele</t>
  </si>
  <si>
    <t>Nokia</t>
  </si>
  <si>
    <t>473764A.102</t>
  </si>
  <si>
    <t>ASIB AirScale Common .102</t>
  </si>
  <si>
    <t>Common board  - Kjerag project (1 for all sites)</t>
  </si>
  <si>
    <t>ASIB</t>
  </si>
  <si>
    <t>087590A</t>
  </si>
  <si>
    <t>BLIND_ABIA</t>
  </si>
  <si>
    <t>To be ordered for existing AMIA system modules where additional blind plate is needed after upgrade with new ABIO board</t>
  </si>
  <si>
    <t>ABIA</t>
  </si>
  <si>
    <t>087588A</t>
  </si>
  <si>
    <t>BLIND_ASIA</t>
  </si>
  <si>
    <t>To be ordered for existing AMIA system modules where additional blind power board plate is needed</t>
  </si>
  <si>
    <t>ASIA</t>
  </si>
  <si>
    <t>473096A_reuse</t>
  </si>
  <si>
    <t>ABIA Airscale Capacity Card for reuse</t>
  </si>
  <si>
    <t>Capacity board, 1 pc to be ordered for 450MHz layer when swapping FSMF to AMIA</t>
  </si>
  <si>
    <t>473098A.205</t>
  </si>
  <si>
    <t>AMIA AirScale Subrack .205</t>
  </si>
  <si>
    <t>Subrack (1 for all sites if not already existing one on site); replacement for version .203, 204</t>
  </si>
  <si>
    <t>AMIA</t>
  </si>
  <si>
    <t>475587A.103</t>
  </si>
  <si>
    <t>ASOE AirScale Core</t>
  </si>
  <si>
    <t>All-in-One Core unit (Common+Capacity), no additional boards required, reduced depth 365mm, special cases only</t>
  </si>
  <si>
    <t xml:space="preserve">Baseband </t>
  </si>
  <si>
    <t>476147A.101</t>
  </si>
  <si>
    <t>ASOF AirScale Outdoor Core DC</t>
  </si>
  <si>
    <t>476359A.101</t>
  </si>
  <si>
    <t>ASAL EAC cable 19PIN - peeled end 10m</t>
  </si>
  <si>
    <t xml:space="preserve">HDMI External alarm cable for connection alarms to AMIA AirScale subrack, </t>
  </si>
  <si>
    <t>476394A.101</t>
  </si>
  <si>
    <t>ASAN EAC cable 19PIN - peeled end 50m [for 10-15m]</t>
  </si>
  <si>
    <t xml:space="preserve">HDMI External alarm cable for connection alarms to AMIA AirScale subrack, ETA </t>
  </si>
  <si>
    <t>474288A.101</t>
  </si>
  <si>
    <t>ASAA AirScale 2 MDR26-open EAC cable 5 m</t>
  </si>
  <si>
    <t>MDR26 External alarm cable for connection alarms to RRH, to be used with HVDC solution</t>
  </si>
  <si>
    <t>RRH</t>
  </si>
  <si>
    <t>External alarm cable RRH</t>
  </si>
  <si>
    <t>476422A</t>
  </si>
  <si>
    <t>ASAO Airscale2 MDR26-peeled end EAC 4a+1c cable 15m</t>
  </si>
  <si>
    <t>475206A.101</t>
  </si>
  <si>
    <t>ASAE MDR26-open EAC 4a+1c cable 50M</t>
  </si>
  <si>
    <t>475207A.101</t>
  </si>
  <si>
    <t>ASAF MDR26-OPEN EAC CABLE 4A+1C 70M</t>
  </si>
  <si>
    <t>474090A.101</t>
  </si>
  <si>
    <t>AHEGB AIRSCALE DUAL RRH 4T4R B13 320W</t>
  </si>
  <si>
    <t>RRH 18/21 - Kjerag project</t>
  </si>
  <si>
    <t>Radios</t>
  </si>
  <si>
    <t>475000A.101</t>
  </si>
  <si>
    <t>AHPMDB AirScale RRH 2T4R B82028 240W</t>
  </si>
  <si>
    <t>RRH 07/08/09 - Kjerag project</t>
  </si>
  <si>
    <t>475573A.103</t>
  </si>
  <si>
    <t>AQQY AIRSCALE MAA 32T32R 128AE N78 240W .103</t>
  </si>
  <si>
    <t xml:space="preserve">MAA 35/36 Kjerag project </t>
  </si>
  <si>
    <t>MAA Module</t>
  </si>
  <si>
    <t>475188A.102</t>
  </si>
  <si>
    <t>AMPF bracket 20 degree tilt</t>
  </si>
  <si>
    <t>Always order 1 pcs pr AQQY, even if mech tilt is zero.</t>
  </si>
  <si>
    <t>Down tilt kit for MAA units (only for AQQY antennas)</t>
  </si>
  <si>
    <t>Downtilt kit</t>
  </si>
  <si>
    <t>475151A.102</t>
  </si>
  <si>
    <t>AOPC SFP Weatherproofing Boot Kit</t>
  </si>
  <si>
    <t>Fiber protection kit - 1 pc to be ordered for each fiber for RRH/AQQY installed outside</t>
  </si>
  <si>
    <t>SFP</t>
  </si>
  <si>
    <t>Fiber boot kit</t>
  </si>
  <si>
    <t>475573A.204</t>
  </si>
  <si>
    <t>AQQY for IPAA AIRSCALE MAA 32T32R 128AE N78 240W</t>
  </si>
  <si>
    <t>!!!Special MAA 35/36 Kjerag project, to be installed only behind  PFAA 2.1M 2L6H FOR IPAA+ antenna; replacement 475573A.103</t>
  </si>
  <si>
    <t>For IPAA+ ONLY</t>
  </si>
  <si>
    <t>474282A.101</t>
  </si>
  <si>
    <t>APPB AirScale2  55A  DC plug 3.3-10 mm2</t>
  </si>
  <si>
    <t>RRH DC plug</t>
  </si>
  <si>
    <t>DC connector</t>
  </si>
  <si>
    <t>474283A.101</t>
  </si>
  <si>
    <t>APPC Airscale2  55A DC plug 10-16mm2</t>
  </si>
  <si>
    <t>RRH DC plug; replacement 474283B.101</t>
  </si>
  <si>
    <t>471649A.303</t>
  </si>
  <si>
    <t>FPKA Flexi Pole Kit</t>
  </si>
  <si>
    <t>RRH/6 pipe pole mounting bracket, 2 pcs to be ordered</t>
  </si>
  <si>
    <t>RRH mounting kit</t>
  </si>
  <si>
    <t>472821A.101</t>
  </si>
  <si>
    <t>FPKC FLEXI POLE KIT</t>
  </si>
  <si>
    <t>RRH/6 pipe pole mounting bracket, 2 pcs to be ordered for installation with pole close to the wall</t>
  </si>
  <si>
    <t>473246A.101</t>
  </si>
  <si>
    <t>FSEP Flexi System External OVP</t>
  </si>
  <si>
    <t>80A OVP for 6 pipe (3 sectors) to be installed on rectifier side only - sites with total 1-2 RRHs</t>
  </si>
  <si>
    <t>OVP</t>
  </si>
  <si>
    <t>475163A.101</t>
  </si>
  <si>
    <t>ATOA Airscale Optical Distribution Unit</t>
  </si>
  <si>
    <t>To be ordered for rooftops only</t>
  </si>
  <si>
    <t>Nokia Fiber distribution box  Multi Mode 12 pairs - for Nokia fiber only on far end</t>
  </si>
  <si>
    <t>FTTA box</t>
  </si>
  <si>
    <t>Distribution boxes</t>
  </si>
  <si>
    <t>471767A.203</t>
  </si>
  <si>
    <t>FPIA FLEXI POLE INSTALLATION KIT</t>
  </si>
  <si>
    <t>Pole installation kit for ATOA</t>
  </si>
  <si>
    <t>SLFDU005-12</t>
  </si>
  <si>
    <t>FTTA Fiber Distribution Unit 12 pairs</t>
  </si>
  <si>
    <t>To be ordered for towers only</t>
  </si>
  <si>
    <t>Rosenber FTTA box, singlemode 12 pairs + metal clamps</t>
  </si>
  <si>
    <t>Rosenberger</t>
  </si>
  <si>
    <t>SLFCS500-022</t>
  </si>
  <si>
    <t>2HU Excess Cable Storage Box</t>
  </si>
  <si>
    <t>2U Fiber excess box for installation in 19’’ rack. Can handle up to 40m G24</t>
  </si>
  <si>
    <t>Fiber</t>
  </si>
  <si>
    <t>474580A.101</t>
  </si>
  <si>
    <t>AMRA AIRSCALE ONE CLIP BRACKET 51-125</t>
  </si>
  <si>
    <t>ATOA on clip rail</t>
  </si>
  <si>
    <t>one clip bracket for units width 51-125 - to be used when ATOA placed on rail</t>
  </si>
  <si>
    <t>474581A.102</t>
  </si>
  <si>
    <t>AMRB AirScale one clip bracket 126-200</t>
  </si>
  <si>
    <t>RRHs on clip rail</t>
  </si>
  <si>
    <t>one clip bracket for units width 126-200</t>
  </si>
  <si>
    <t>474583A.102</t>
  </si>
  <si>
    <t>AMRC AirScale one clip rail 600mm .102</t>
  </si>
  <si>
    <t>Rail</t>
  </si>
  <si>
    <t>one clip rail</t>
  </si>
  <si>
    <t>471605A.102</t>
  </si>
  <si>
    <t>FYMA GPS MOUNTING KIT</t>
  </si>
  <si>
    <t>Only if Large config</t>
  </si>
  <si>
    <t>to be ordered for Large configurations only</t>
  </si>
  <si>
    <t>Antenna system</t>
  </si>
  <si>
    <t>GPS system item</t>
  </si>
  <si>
    <t>472577A.103</t>
  </si>
  <si>
    <t>FTSH GPS cable assembly 100m</t>
  </si>
  <si>
    <t>475647A.101</t>
  </si>
  <si>
    <t>AYGE GNSS Dual Band Receiver w Antenna</t>
  </si>
  <si>
    <t>471812A.105</t>
  </si>
  <si>
    <t>FYEA GPS Surge Protector Kit</t>
  </si>
  <si>
    <t>476423A.101</t>
  </si>
  <si>
    <t>AASU Antenna Monitoring Module</t>
  </si>
  <si>
    <t>Nokia GPS module for panel antennas, AISG connector</t>
  </si>
  <si>
    <t>476533A.101</t>
  </si>
  <si>
    <t>AMSA mounting kit for AASU</t>
  </si>
  <si>
    <t>Altibox SFP+, 10G Ethernet, DDM</t>
  </si>
  <si>
    <t>Order 2pcs when ordering Cisco NSC</t>
  </si>
  <si>
    <t>Single mode SFP, 2 pcs to be ordered for sites when Altibox BSA installation is ordered with site implementation</t>
  </si>
  <si>
    <t>Altibox CSR equipment</t>
  </si>
  <si>
    <t>Cisco</t>
  </si>
  <si>
    <t>Cisco NCS 540 DC 48V</t>
  </si>
  <si>
    <t>Cisco NCS 540 DC Router for sites when Altibox BSA installation is ordered with site implementation</t>
  </si>
  <si>
    <t>Router</t>
  </si>
  <si>
    <t>Cisco NCS 540 AC 220V</t>
  </si>
  <si>
    <t>Cisco NCS 540 AC Router for sites when Altibox BSA installation is ordered with site implementation</t>
  </si>
  <si>
    <t>475336A.101</t>
  </si>
  <si>
    <t>AOME 10G SFP+ 850nm 300m MM I-temp</t>
  </si>
  <si>
    <t>Multimode SFP 10G - to be ordered with AHEGB, AHPMDB (2pcs per RRH) and with AQQY (6 pcs per 3 fibers per one AQQY, from 70m to 300m FO length)</t>
  </si>
  <si>
    <t>MM SFP 10G</t>
  </si>
  <si>
    <t>474900A.101</t>
  </si>
  <si>
    <t>AOMC SFP28 70m MM I-temp RS</t>
  </si>
  <si>
    <t>Multimode SFP 28G - to be ordered with AQQY (4 pcs per two fiber per one AQQY, up to 70m FO length)</t>
  </si>
  <si>
    <t>MM SFP 28G</t>
  </si>
  <si>
    <t>474901A.101</t>
  </si>
  <si>
    <t>AOSC  SFP28 2Km SM I-temp RS</t>
  </si>
  <si>
    <t>Singlemode SFP 28G - to be ordered with AQQY (4 pcs per two fiber per one AQQY, above 300m FO length)</t>
  </si>
  <si>
    <t>SM SFP 28G</t>
  </si>
  <si>
    <t>475338A.101</t>
  </si>
  <si>
    <t>AOSI 10G SFP+ 1316 NM 1.4KM SM I-TEMP</t>
  </si>
  <si>
    <t>Only on New Sites! Order 1 if Viken Fiber/Global Connect/Istad Fiber etc provides transmission. (When ordering Cisco NCS also order 1 pc). To be installed in Airscale.</t>
  </si>
  <si>
    <t>Singlemode SFP 10G - 1pc to be ordered for BSA (TRS) connection on each site and for RRH/AQQY in case of reusing exisitng SM fiber/using SM fiber (G24/G48) with availability of 3 pairs of fibers per AQQY</t>
  </si>
  <si>
    <t>SM SFP 10G</t>
  </si>
  <si>
    <t>471880A.101</t>
  </si>
  <si>
    <t>FOSC Optical SFP 1000Base-LX 1310nm SM</t>
  </si>
  <si>
    <t>Only on New Sites! Order 1 if Telenor provides transmission. To be installed in Airscale.</t>
  </si>
  <si>
    <t>Singlemode SFP 1G - 1pc to be ordered for BSA (TRS) connection on each site, used on new sites with transmission from Telenor</t>
  </si>
  <si>
    <t>Telenor CSS SFP 1310nm 1.25GB 10km</t>
  </si>
  <si>
    <t>Only on New Sites! If Telenor provides transmission. To be ordered in case there is no available SFP during TSS visit when CSR is already upgraded. Ice recommand to keep 2 pcs as spare in the car-kit. To be installed in Telenor CSS/CSR.
Can be replaced by this SFP: FOSC Optical SFP 1000Base-LX 1310nm SM - click cell to see all</t>
  </si>
  <si>
    <t>1pc to be ordered for Telenor CSS when missing in CSS TX port; replacement 02315200</t>
  </si>
  <si>
    <t>Telenor SFP</t>
  </si>
  <si>
    <t>Telenor</t>
  </si>
  <si>
    <t>L98D-471-20000</t>
  </si>
  <si>
    <t>PreCONNECT® - 24 FO BOX, OM3, 7,3mm, 12xLCC-12xLCC - 20m</t>
  </si>
  <si>
    <t>Multimode trunk fiber, System Module - ATOA, replacement for ATDE 475224A.101</t>
  </si>
  <si>
    <t>Fibers</t>
  </si>
  <si>
    <t>MM Trunk fiber</t>
  </si>
  <si>
    <t>L98D-471-40000</t>
  </si>
  <si>
    <t>PreCONNECT® - 24 FO BOX, OM3, 7,3mm, 12xLCC-12xLCC - 40m</t>
  </si>
  <si>
    <t>Multimode trunk fiber, System Module - ATOA, replacement for ATDF 475225A.101</t>
  </si>
  <si>
    <t>L98D-471-60000</t>
  </si>
  <si>
    <t>PreCONNECT® - 24 FO BOX, OM3, 7,3mm, 12xLCC-12xLCC - 60m</t>
  </si>
  <si>
    <t>Multimode trunk fiber, System Module - ATOA, replacement for ATDG</t>
  </si>
  <si>
    <t>L98D-471-80000</t>
  </si>
  <si>
    <t>PreCONNECT® - 24 FO BOX, OM3, 7,3mm, 12xLCC-12xLCC - 80m</t>
  </si>
  <si>
    <t xml:space="preserve">Multimode trunk fiber, System Module - ATOA, </t>
  </si>
  <si>
    <t>L98D-471-100000</t>
  </si>
  <si>
    <t>PreCONNECT® - 24 FO BOX, OM3, 7,3mm, 12xLCC-12xLCC - 100m</t>
  </si>
  <si>
    <t>Multimode trunk fiber, System Module - ATOA, replacement for ATDH</t>
  </si>
  <si>
    <t>L98D-471-150000</t>
  </si>
  <si>
    <t>PreCONNECT® - 24 FO BOX, OM3, 7,3mm, 12xLCC-12xLCC - 150m</t>
  </si>
  <si>
    <t>L98D-471-200000</t>
  </si>
  <si>
    <t>PreCONNECT® - 24 FO BOX, OM3, 7,3mm, 12xLCC-12xLCC - 200m</t>
  </si>
  <si>
    <t>Multimode trunk fiber, System Module - ATOA, replacement for ATDI 475228A.101</t>
  </si>
  <si>
    <t>L98D-A0007-2000</t>
  </si>
  <si>
    <t>PreCONNECT® - 2 FO, OM3, 4,8mm FRNC, LCC IP-Seal-LCC AOPC 2m</t>
  </si>
  <si>
    <t>Fiber patch with AOPC. ATOA-RRH</t>
  </si>
  <si>
    <t>Patch multimode dual fiber with AOPC connector pre-installed, outdoor to outdoor, ATOA-RRH, SM-RRH</t>
  </si>
  <si>
    <t>MM Patch fiber OD-OD</t>
  </si>
  <si>
    <t>L98D-A0007-5000</t>
  </si>
  <si>
    <t>PreCONNECT® - 2 FO, OM3, 4,8mm FRNC, LCC IP-Seal-LCC AOPC 5m</t>
  </si>
  <si>
    <t>473287A.203</t>
  </si>
  <si>
    <t>FUFAR MM OD fiber LC OD-LC  OD dual 5m</t>
  </si>
  <si>
    <t>Order AOPC in addition! Patch multimode dual fiber, outdoor to outdoor, ATOA-RRH, SM-RRH. Order AOPC in addition! Replacement: 473287A.102</t>
  </si>
  <si>
    <t>473305A.203</t>
  </si>
  <si>
    <t>FUFBC MM OD fiber LC OD-LC OD dual 10m .203</t>
  </si>
  <si>
    <t>Order AOPC in addition! Patch multimode dual fiber, outdoor to outdoor, ATOA-RRH, SM-RRH. Order AOPC in addition! Replacement : 473305A.101</t>
  </si>
  <si>
    <t>473302A.203</t>
  </si>
  <si>
    <t>FUFAY MM OD fiber LC OD-LC OD dual 100m .203</t>
  </si>
  <si>
    <t>Patch multimode dual fiber, outdoor to outdoor, ATOA-RRH, SM-RRH; replacement 473302A.102</t>
  </si>
  <si>
    <t>473306A.204</t>
  </si>
  <si>
    <t>FUFBD MM OM3 OD FO LC OD-LC OD DUAL 200M</t>
  </si>
  <si>
    <t>Patch multimode dual fiber, outdoor to outdoor, ATOA-RRH, SM-RRH; replacement:473306A.103</t>
  </si>
  <si>
    <t>475687A.101</t>
  </si>
  <si>
    <t>ATMK OM3 OD fiber LC ODv2-LC ID dual 30m</t>
  </si>
  <si>
    <t>Dual multimode fiber, indoor to outdoor, SM-RRH; Replacement: 473303A.203</t>
  </si>
  <si>
    <t>MM Patch fiber OD-ID</t>
  </si>
  <si>
    <t>475688A.101</t>
  </si>
  <si>
    <t>ATML OM3 OD fiber LC ODV2-LC ID dual 50m</t>
  </si>
  <si>
    <t>Dual multimode fiber, indoor to outdoor, SM-RRH</t>
  </si>
  <si>
    <t>475689A.101</t>
  </si>
  <si>
    <t>ATMM OM3 OD fiber LC ODV2-LC ID dual 70m</t>
  </si>
  <si>
    <t>475690A.101</t>
  </si>
  <si>
    <t>ATMN OM3 OD fiber LC ODV2-LC ID dual 100m</t>
  </si>
  <si>
    <t>473277A.101</t>
  </si>
  <si>
    <t>FUFAH SM ID fiber LC ID- LC ID dual 5M</t>
  </si>
  <si>
    <t>Dual singlemode fiber for transmission connection (BSA), indoor to indoor</t>
  </si>
  <si>
    <t>SM Patch fiber ID-ID</t>
  </si>
  <si>
    <t>473279A.203</t>
  </si>
  <si>
    <t>FUFAJ SM OD FIBER LC OD-LC OD DUAL 5M</t>
  </si>
  <si>
    <t>Patch dual singlemode fiber, outdoor to outdoor; FTTA-RRH, SM-RRH; BSA</t>
  </si>
  <si>
    <t>SM Patch Fiber OD-OD</t>
  </si>
  <si>
    <t>473309A.203</t>
  </si>
  <si>
    <t>FUFBG SM OD fiber LC OD-LC OD dual 10m</t>
  </si>
  <si>
    <t>473307A.203</t>
  </si>
  <si>
    <t>FUFBE SM OD fiber LC OD-LC OD dual 30m</t>
  </si>
  <si>
    <t>473292A.204</t>
  </si>
  <si>
    <t>FUTDG SM OD fiber LCu ID-LC ID dual 50m</t>
  </si>
  <si>
    <t>Patch dual singlemode fiber, indoor to indoor with outdoor shield; BSA</t>
  </si>
  <si>
    <t>SM Patch fiber OD-ID</t>
  </si>
  <si>
    <t>473293A.203</t>
  </si>
  <si>
    <t>FUTDH SM OD Fiber LCu ID-LC ID dual 80m</t>
  </si>
  <si>
    <t>473295A.204</t>
  </si>
  <si>
    <t>FUTDJ SM OD fiber LCu ID-LC ID dual 100m</t>
  </si>
  <si>
    <t>Patch dual singlemode fiber, indoor to indoor with outdoor shield; BSA; replacement L98B-A0899-100000</t>
  </si>
  <si>
    <t>L98B-A0899-100000</t>
  </si>
  <si>
    <t>SM fiber LC ID- LC ID dual G2 - 100m</t>
  </si>
  <si>
    <t>L98B-A0899-150000</t>
  </si>
  <si>
    <t>SM fiber LC ID- LC ID dual G2 - 150m</t>
  </si>
  <si>
    <t>L98B-A0899-200000</t>
  </si>
  <si>
    <t>SM fiber LC ID- LC ID dual G2 - 200m</t>
  </si>
  <si>
    <t>SLZ0072-DN-97602</t>
  </si>
  <si>
    <t>19" Cable Routing Panel, 5 Cable Holders, Black</t>
  </si>
  <si>
    <t>1U panel for routing cables and fibers</t>
  </si>
  <si>
    <t>Fibers routing panel</t>
  </si>
  <si>
    <t>CTE31243.4001</t>
  </si>
  <si>
    <t>FP2 48V 24kW 3x3p230V IFC Indoor 2m (no door)</t>
  </si>
  <si>
    <t>Eltek indoor 2m rectifier cabinet without door, 3 pcs of SHE included, 19inch flat bracket included with 14U space for UE, bat. shelves &amp; cables for 2 strings. included</t>
  </si>
  <si>
    <t>Cabinets</t>
  </si>
  <si>
    <t>Power cabinet</t>
  </si>
  <si>
    <t>Delta</t>
  </si>
  <si>
    <t>Door kit for CTE31243.4001</t>
  </si>
  <si>
    <t>Door kit for Eltek indoor 2m rectifier, to be always ordered with item above</t>
  </si>
  <si>
    <t>CTE31242.4019</t>
  </si>
  <si>
    <t>FP2 48V 24kW 3x3p230V FPC Indoor 2m (with door!)</t>
  </si>
  <si>
    <t>Eltek indoor 2m rectifier cabinet with door, 3 pcs of SHE included, 19inch flat bracket included with 14U space for UE, bat. shelves &amp; cables for 2 strings. included</t>
  </si>
  <si>
    <t>CTE31237.4001</t>
  </si>
  <si>
    <t>FP2 48V 24KW 2X3D230V BD FPC 1.8M (with door)</t>
  </si>
  <si>
    <t>Eltek 24kW 1.8m ID rectifier with door</t>
  </si>
  <si>
    <t>CTE31239.4004</t>
  </si>
  <si>
    <t>FP2 48V 24kW 2x3p230V T3 Outdoor 2m</t>
  </si>
  <si>
    <t xml:space="preserve">
Eltek outdoor 2m rectifier cabinet with door, 3 pcs of SHE, 19inch bracket included with 11U space for UE, battery shelves and cables for 2 strings included</t>
  </si>
  <si>
    <t>CTE31231.4000</t>
  </si>
  <si>
    <t>FP2 48V 21kW 2x3p230V IFC Indoor 1,5m (no door)</t>
  </si>
  <si>
    <t>Eltek indoor 1.5 m cabinet without door, 3 pcs of SHE, no space for UE, battery shelves and cables for 2 strings included</t>
  </si>
  <si>
    <t>CTE31228.4000</t>
  </si>
  <si>
    <t>FP2 48V 21kW 3x3p230V T3 Outdoor 1,5m</t>
  </si>
  <si>
    <t>Eltek outdoor 1.5m cabinet with door, 3 pcs of SHE, no space for UE, battery shelves and cables for 2 strings included</t>
  </si>
  <si>
    <t>CTE31239.4005</t>
  </si>
  <si>
    <t>FP2 48V 24kW 2x3p230V T3 AirCon Outdoor 2m</t>
  </si>
  <si>
    <t>Only special cases where AirCon is needed. Normally we order without AirCon.</t>
  </si>
  <si>
    <t xml:space="preserve">
Eltek outdoor 2m rectifier cabinet with AirCon, 3 pcs of SHE, 19inch bracket included with 12U space for UE, battery shelves and cables for 2 strings included</t>
  </si>
  <si>
    <t>CTE31211.1000</t>
  </si>
  <si>
    <t>FP2 48V 24KW 2X400V+N BD LD Power core</t>
  </si>
  <si>
    <t>Power core for installation inside 3rd party 19" rack, to be ordered with batt monitor set, 7U with 19" mounting bracket included</t>
  </si>
  <si>
    <t>Power cabinets</t>
  </si>
  <si>
    <t>G-101320</t>
  </si>
  <si>
    <t>ICE STREET CABINET</t>
  </si>
  <si>
    <t xml:space="preserve">Outdoor cabinet incl 24kW rectifier, rail and cables prepared for 6RRH, FP2 SHE modules and ROOT KIT to be ordered seperately, </t>
  </si>
  <si>
    <t>Andrew</t>
  </si>
  <si>
    <t>A-101919</t>
  </si>
  <si>
    <t>ICE NORWAY STREET CAB W EXP ROOT KIT</t>
  </si>
  <si>
    <t>Root kit for street cabinet, to be digged in to the ground </t>
  </si>
  <si>
    <t>G-101330</t>
  </si>
  <si>
    <t>ICE RRH INDOOR RACK 0.8X0.6X2.0M</t>
  </si>
  <si>
    <t xml:space="preserve">Indoor 2m open cabinet for 6xRRH, 4U 19" space in top; </t>
  </si>
  <si>
    <t>RRH cabinet</t>
  </si>
  <si>
    <t>CS7130020.00</t>
  </si>
  <si>
    <t>16KW 400V+N SPD BD FPC</t>
  </si>
  <si>
    <t>Phase 4 Eltek cabinet, indoor with door</t>
  </si>
  <si>
    <t>CS7140010.00</t>
  </si>
  <si>
    <t>16KW OD COMBO COOLING (2KW) CABINET 1,5M</t>
  </si>
  <si>
    <t>Phase 4 Eltek cabinet, outdoor with Air Conditioning unit</t>
  </si>
  <si>
    <t>CTE20838.1002</t>
  </si>
  <si>
    <t>FP2 48V 16kW 2x3p230V IFC XP</t>
  </si>
  <si>
    <t>CTE20842.4008</t>
  </si>
  <si>
    <t>FP2 48V 16kW 400V+N SPD BD FPC</t>
  </si>
  <si>
    <t>CTE22442.4011</t>
  </si>
  <si>
    <t>FP2 48V 48KW 400V+N FPC</t>
  </si>
  <si>
    <t>CTEZDX0037.1001</t>
  </si>
  <si>
    <t>FPC 2M W/DOOR&amp; RRU MOUPL&amp; STD PACK</t>
  </si>
  <si>
    <t>392E30000500</t>
  </si>
  <si>
    <t>Battery Monitoring kit</t>
  </si>
  <si>
    <t>Batteries monitoring kit for FP2 48V 24KW 2X400V+N BD LD Power core and 16KW Phase 4 cabinets; 1 set supports up to 4 strings of batteries</t>
  </si>
  <si>
    <t>Batteries</t>
  </si>
  <si>
    <t>Battery accessories</t>
  </si>
  <si>
    <t>CTEX00ZZ.1000</t>
  </si>
  <si>
    <t>Kit: Box IO monitor - can</t>
  </si>
  <si>
    <t xml:space="preserve">Eltek I/O monitoring kit, </t>
  </si>
  <si>
    <t>242100.502</t>
  </si>
  <si>
    <t>I/O Monitor Type 2</t>
  </si>
  <si>
    <t>Eltek I/O monitoring module, to be ordered in case of faulty module on site</t>
  </si>
  <si>
    <t>241122.900</t>
  </si>
  <si>
    <t>FLATPACK S PS 1U/1C+5R 19"</t>
  </si>
  <si>
    <t>1U Controller for klimatcontrol coloc UTILITY cabinet, no Smartpack S Controller 242100.410 included</t>
  </si>
  <si>
    <t>242100.410</t>
  </si>
  <si>
    <t>Smartpack S Controller</t>
  </si>
  <si>
    <t xml:space="preserve">Smartpack S control module </t>
  </si>
  <si>
    <t>242100.415</t>
  </si>
  <si>
    <t>SMARTPACK S PANEL WB</t>
  </si>
  <si>
    <t>Smartpack S</t>
  </si>
  <si>
    <t>338E34126500</t>
  </si>
  <si>
    <t>Plastic cover for mcbs 10x27 ABB</t>
  </si>
  <si>
    <t>Spare cover plate</t>
  </si>
  <si>
    <t>CTE00031.1000</t>
  </si>
  <si>
    <t>IFC Utility Indoor cabinet 1,5m (1 bat. shelf + 21U)</t>
  </si>
  <si>
    <t>Empty equipment rack; no door</t>
  </si>
  <si>
    <t>CTE00028.1000</t>
  </si>
  <si>
    <t>T3 Utility Outdoor cabinet 1,5m with (1 bat. shelf + 18U)</t>
  </si>
  <si>
    <t>Empty equipment rack; with door</t>
  </si>
  <si>
    <t>CTE00031.1001</t>
  </si>
  <si>
    <t>Flexi BTS skap - 600x1500x600</t>
  </si>
  <si>
    <t>150cm Eltek Utillity rack. With door and terminal blocks in top. Use on Telia and Telenor coloc</t>
  </si>
  <si>
    <t>1,5m indoor 19" rack with door</t>
  </si>
  <si>
    <t>Flexi cabinet</t>
  </si>
  <si>
    <t>VX IT std 600x1200x600, glassdør i frontstål bak</t>
  </si>
  <si>
    <t>Rittal 1.2 indoor cabinet with door,m to be used whent normal 1.5m cabinet doesn't fit</t>
  </si>
  <si>
    <t>Rittal cabinet 1.2m item</t>
  </si>
  <si>
    <t>Rittal</t>
  </si>
  <si>
    <t>Sidevegger stålplate VX 1200x600</t>
  </si>
  <si>
    <t xml:space="preserve">Side walls for Rittal 1.2 indoor cabinet </t>
  </si>
  <si>
    <t>XSEVXR606VXIT</t>
  </si>
  <si>
    <t>VXIT Open frame 19" 600x2000x600</t>
  </si>
  <si>
    <t>Rittal 2m cabinet</t>
  </si>
  <si>
    <t xml:space="preserve">Rittal cabinet 2m </t>
  </si>
  <si>
    <t>Tverrstag 19" profilskinner VX IT - 2stk</t>
  </si>
  <si>
    <t>Rittal 2m cabinet - accessories to be ordered always with cabinet XSEVXR606VXIT</t>
  </si>
  <si>
    <t>Glideskinner 80kg dyb 400-600mm - 2stk</t>
  </si>
  <si>
    <t>Nivåføtter for PC-skap - 4stk</t>
  </si>
  <si>
    <t>Jordingsskinne 450MM, 20 TILKOBL.</t>
  </si>
  <si>
    <t>SESKRUVKIT20</t>
  </si>
  <si>
    <t>Sett med skruer og burmutter- 20 stk</t>
  </si>
  <si>
    <t>Kabelføringsbøyle 120X60 - 10stk</t>
  </si>
  <si>
    <t>DK ADAPTOR 19" 3U</t>
  </si>
  <si>
    <t>Comes in pairs. 2-3 pcs is normally enough per site. Order when reuse of Alcatel Lucent cabs.</t>
  </si>
  <si>
    <t>3 pcs to be ordered. Set includes 2 pcs of 19" 3U depth adaptor with screws and nuts for Alcatel cabinets. For system module, DCDU and BSA equipment installation</t>
  </si>
  <si>
    <t>10116-100-01</t>
  </si>
  <si>
    <t>MECH 1923 6U RECESS D60MM</t>
  </si>
  <si>
    <t>23" to 19" 6U bracket for IFC and FPC 16kW  cabinets and cases where battery shelf must be occupied with equipment, 4 pcs to be ordered per cabinet, for installation of AMIA system module and TRS HW</t>
  </si>
  <si>
    <t>Joco</t>
  </si>
  <si>
    <t>364E25816002</t>
  </si>
  <si>
    <t>Temp Sense 470K NTC 3m G1</t>
  </si>
  <si>
    <t xml:space="preserve">1 pcs per site where ICE owns indoor Eltek. High/low temp sensor in same unit. </t>
  </si>
  <si>
    <t>For sites with Eltek indoor rectifier (new and existing) owned by ICE</t>
  </si>
  <si>
    <t>NTC</t>
  </si>
  <si>
    <t>308E29760600</t>
  </si>
  <si>
    <t>CAN BUSCABLE 2.0M 1XRJ4590°FLAT AN LSZH</t>
  </si>
  <si>
    <t>LAN cable for Phase 4 Eltek cabinets</t>
  </si>
  <si>
    <t>390E34380300</t>
  </si>
  <si>
    <t>KIT BATT SHELF-MCB-SYM.LOOMS WPACKING</t>
  </si>
  <si>
    <t>shelf kit with battery cables for one string</t>
  </si>
  <si>
    <t>390E31132100</t>
  </si>
  <si>
    <t>19" mounting rail: Kit with 2 mounting rails and screws</t>
  </si>
  <si>
    <t>Cabinet accessories</t>
  </si>
  <si>
    <t>390E25204000</t>
  </si>
  <si>
    <t>Depth bracket</t>
  </si>
  <si>
    <t>390E32741800</t>
  </si>
  <si>
    <t>Support shelf</t>
  </si>
  <si>
    <t>390E27080700</t>
  </si>
  <si>
    <t>KIT MOUNTING 19IN TO 23IN 5U</t>
  </si>
  <si>
    <t>CS7110076.00</t>
  </si>
  <si>
    <t>KIT: 19INCH MOUNTING, 9U</t>
  </si>
  <si>
    <t>Phase 4 Eltek cabinet bracket</t>
  </si>
  <si>
    <t>CS7120023.00</t>
  </si>
  <si>
    <t>KIT:3-PHASE 230V IT FOR 16/24KW SYSTEMS</t>
  </si>
  <si>
    <t>Phase 4 Eltek cabinet TN to IT converstion kit</t>
  </si>
  <si>
    <t>390E27319100</t>
  </si>
  <si>
    <t>KIT:SIDE SUPPORT BRACK.MP/FP2 T3 G1</t>
  </si>
  <si>
    <t>KITS CBB LOAD 2&amp;3-150A 4UD STD</t>
  </si>
  <si>
    <t>379E22031800</t>
  </si>
  <si>
    <t>BATTERY CABLES 50MM2 1.8M M8</t>
  </si>
  <si>
    <t>Battery cables for Eltek cabinet for one stirng</t>
  </si>
  <si>
    <t>Kit: CBB LOAD2&amp;3-150A wPACK STD</t>
  </si>
  <si>
    <t>fuses extension kit for Eltek cabinets up to 4x125A, fuses to be ordered separately</t>
  </si>
  <si>
    <t>Kit: CB LOAD2-300A LD wPACK STD</t>
  </si>
  <si>
    <t xml:space="preserve">fuses extension kit for Eltek cabinets up to 6x63A fuses, fuses to be ordered separately, </t>
  </si>
  <si>
    <t>241115.106</t>
  </si>
  <si>
    <t>FLATPACK2 482000 SHE</t>
  </si>
  <si>
    <t>To be ordered for all Eltek rectifiers (3 pcs are included with new Eltek cabinets)</t>
  </si>
  <si>
    <t>Rectifier module</t>
  </si>
  <si>
    <t>PDU FP2 1UDIST 2 X 14A MCB DCDC SPD</t>
  </si>
  <si>
    <t>HVDC central unit (1 pc can supply up to 2 remote units)</t>
  </si>
  <si>
    <t>HVDC 400V</t>
  </si>
  <si>
    <t>DC-DC solution</t>
  </si>
  <si>
    <t>CTZ00000.1302</t>
  </si>
  <si>
    <t>FPS 48V 4,5 KW 40V DCDC SPD00</t>
  </si>
  <si>
    <t>HVDC remote unit (order additional fuses if needed)</t>
  </si>
  <si>
    <t>241115.615</t>
  </si>
  <si>
    <t>FP2 DCDC 42 – 75V 3801350</t>
  </si>
  <si>
    <t>rectifying module for HVDC central unit  (up to 4 pcs per 1 remote unit, up to 8 pcs per 2 remote units)</t>
  </si>
  <si>
    <t>241122.185</t>
  </si>
  <si>
    <t>FLATPACK S DCDC 38054 750</t>
  </si>
  <si>
    <t>rectifying module for HVDC remote unit  (up to 6 pcs per remote unit)</t>
  </si>
  <si>
    <t>M12V190FT</t>
  </si>
  <si>
    <t>MARATHON 12V 190AH</t>
  </si>
  <si>
    <t>See SAD and table 9 in ICE main spec guideline to determine pcs of batteries</t>
  </si>
  <si>
    <t>190Ah Marathon batteries, 8 pcs to be ordered for each site, 2 battery connection sets to be ordered seperately</t>
  </si>
  <si>
    <t>Battery</t>
  </si>
  <si>
    <t>Marathon</t>
  </si>
  <si>
    <t>MT_BATT_CONNECT_SET</t>
  </si>
  <si>
    <t>Battery connection set MARATHON</t>
  </si>
  <si>
    <t>1 pcs per battery string</t>
  </si>
  <si>
    <t>Marathon interconnection set for 4 batteries ( 3 connection plates, nuts, washers)</t>
  </si>
  <si>
    <t>COO11501324PP</t>
  </si>
  <si>
    <t>Marathon Battery 190Ah Spare Plastic cover, grey 8x2x2cm</t>
  </si>
  <si>
    <t>Spare plastic cover for 190Ah Marathon battery terminals, to be ordered only in case of damaged covers during installation</t>
  </si>
  <si>
    <t>244045.900T</t>
  </si>
  <si>
    <t>Battery Rack for 4 pcs FT 12v60-180190Ah</t>
  </si>
  <si>
    <t>Batteri rack: HxBxD 370x600x600mm maks vekt 216kg pr hylle. Maks 4 hyller i høyden</t>
  </si>
  <si>
    <t>331E34434200</t>
  </si>
  <si>
    <t>BOTTOM PLATE FLOOR SUPPORT</t>
  </si>
  <si>
    <t>size: 600x600mm</t>
  </si>
  <si>
    <t>Floor support plate to be placed under battery/rectifier cabinet on sites with weak floor construction</t>
  </si>
  <si>
    <t>Battery cabinet</t>
  </si>
  <si>
    <t>BB0438.004</t>
  </si>
  <si>
    <t>BATCAB 1.8M 4XSHELF 8U FPC STD</t>
  </si>
  <si>
    <t xml:space="preserve">Indoor battery cabinet 1.8m with door, batery fuses 2p 4x200A, battery shelfs 4x8U, </t>
  </si>
  <si>
    <t>CTEBB0842.1003</t>
  </si>
  <si>
    <t>BATT CAB FPC 4XSH TE - Indoor</t>
  </si>
  <si>
    <t>Indoor battery cabinet 2m with door for lithium batteries, baterry fuses 8x200A, battery shelfs 4x 8U, Max capacity 8x 250Ah @ 48VDC</t>
  </si>
  <si>
    <t>BB0434.004</t>
  </si>
  <si>
    <t>BattCab T3 4xsh DC heater</t>
  </si>
  <si>
    <t>Outdoor battery cabinet 1.8m with door, baterry fuses 4x100A, battery shelfs 3x 8U and 1x 10U, battery cables x4 , I/O monitor, temp sensor for batteries and DC heater</t>
  </si>
  <si>
    <t>BREAKER 200A 80VDC AS 2P</t>
  </si>
  <si>
    <t>Battery breaker for additional battery cabinet</t>
  </si>
  <si>
    <t>IT-230V-1A</t>
  </si>
  <si>
    <t>IT-230V-1A EDP IT Indoor with DCDU</t>
  </si>
  <si>
    <t>ACDB</t>
  </si>
  <si>
    <t>Use case: New+upgrade sites with new rectifier, EDP located close to rectifier</t>
  </si>
  <si>
    <t>ACDB w DCDU w OVP indoor</t>
  </si>
  <si>
    <t>Stansefabrikken</t>
  </si>
  <si>
    <t>IT-230V-2A</t>
  </si>
  <si>
    <t>IT-230V-2A EDP IT Outdoor with DCDU</t>
  </si>
  <si>
    <t>ACDB w DCDU w OVP outdoor</t>
  </si>
  <si>
    <t>TN-400V-1B</t>
  </si>
  <si>
    <t>TN-400V-1B EDP TN Indoor with DCDU</t>
  </si>
  <si>
    <t>TN-400V-2B</t>
  </si>
  <si>
    <t>TN-400V-2B EDP TN Outdoor with DCDU</t>
  </si>
  <si>
    <t>IT-230V-3A</t>
  </si>
  <si>
    <t>IT-230V-3A EDP IT Indoor</t>
  </si>
  <si>
    <t>Use case: New+upgrade sites with new rectifier, EDP far from rectifier</t>
  </si>
  <si>
    <t>ACDB indoor</t>
  </si>
  <si>
    <t>IT-230V-3A-GF</t>
  </si>
  <si>
    <t>EDP IT Indoor for greenfield sites</t>
  </si>
  <si>
    <t>TN-400V-3B-GF</t>
  </si>
  <si>
    <t>EDP TN Indoor for greenfield sites</t>
  </si>
  <si>
    <t>IT-230V-4A</t>
  </si>
  <si>
    <t>IT-230V-4A EDP TI Outdoor</t>
  </si>
  <si>
    <t>ACDB outdoor</t>
  </si>
  <si>
    <t>TN-400V-4B</t>
  </si>
  <si>
    <t>TN-400V-4B EDP TN Outdoor</t>
  </si>
  <si>
    <t>48V DC-5C</t>
  </si>
  <si>
    <t>DCDU 48V Indoor separate chassis</t>
  </si>
  <si>
    <t>Use case: Small cells, tunnel sites without possibility to install DCDU in ice own 19" rack</t>
  </si>
  <si>
    <t>DCDU</t>
  </si>
  <si>
    <t>DCDU w OVP indoor</t>
  </si>
  <si>
    <t>48V DC-6C</t>
  </si>
  <si>
    <t>DCDU 48V Outdoor separate chassis</t>
  </si>
  <si>
    <t>DCDU w OVP outdoor</t>
  </si>
  <si>
    <t>48V DC-7C4U</t>
  </si>
  <si>
    <t>DCDU 48V for 19"" rack 4U</t>
  </si>
  <si>
    <t>2x125A input</t>
  </si>
  <si>
    <t xml:space="preserve">Use case: Exisiting sites with no need for new AC EDP, shared sites with own ice cabinet, </t>
  </si>
  <si>
    <t>48V DC-7C3U</t>
  </si>
  <si>
    <t>DCDU 48V for 19" rack - reduced height to 3U</t>
  </si>
  <si>
    <t>Use case: Shared sites with limited rack space</t>
  </si>
  <si>
    <t>48V DC-7C450</t>
  </si>
  <si>
    <t>DCDU 48V for 19" rack 450Mhz part add on without split feed</t>
  </si>
  <si>
    <t>2x125A + 63A input</t>
  </si>
  <si>
    <t>Use case: Shared sites with L04 band with single DC fuse available from site owner</t>
  </si>
  <si>
    <t>48V DC-7C3US</t>
  </si>
  <si>
    <t>"DCDU 48V for 19"" rack 3U with split feed"</t>
  </si>
  <si>
    <t>4x63A input</t>
  </si>
  <si>
    <t>Use case: Shared sites with limited rack space, split feed for connetion to single and double feed fuses</t>
  </si>
  <si>
    <t>48V DC-7C4US</t>
  </si>
  <si>
    <t>DCDU 48V for 19" rack 4U with split feed</t>
  </si>
  <si>
    <t>Use case: Shared sites with normal rack space, split feed for connection to single and double feed fuses</t>
  </si>
  <si>
    <t>48V DC-7C450S</t>
  </si>
  <si>
    <t>DCDU 48V for 19" rack 450Mhz part add on with split feed</t>
  </si>
  <si>
    <t>5x63A input</t>
  </si>
  <si>
    <t>Use case: Exisiting Shared sites with L04 band</t>
  </si>
  <si>
    <t>OAO-25010</t>
  </si>
  <si>
    <t>UTS komplett 230V IT 80A Grå</t>
  </si>
  <si>
    <t>Use case: Green fields, New sites with cabinet on ground, replacement of old TKS</t>
  </si>
  <si>
    <t>TN-400V-TKS-B</t>
  </si>
  <si>
    <t>TKS komplett 400V TN 63A Grå</t>
  </si>
  <si>
    <t>Use case: Green fields, New sites with cabinet on ground</t>
  </si>
  <si>
    <t>Fundament høy Tilknytningsskap 150 lys</t>
  </si>
  <si>
    <t>Fundament for TKS ksap</t>
  </si>
  <si>
    <t>ACDB accessories</t>
  </si>
  <si>
    <t>ICE-DAC1-13S-31-320</t>
  </si>
  <si>
    <t>Overspenningsvern TN Type 1+2</t>
  </si>
  <si>
    <t>Spare, to be ordered only if faulty</t>
  </si>
  <si>
    <t>ICE-DAC50S-30-440</t>
  </si>
  <si>
    <t>Overspenningsvern IT Type 2</t>
  </si>
  <si>
    <t>ICE-DAC50S-30-320</t>
  </si>
  <si>
    <t>Overspenningsvern TN Type 2</t>
  </si>
  <si>
    <t>ICE-1654910</t>
  </si>
  <si>
    <t>3x25A 100mA kombiautomat</t>
  </si>
  <si>
    <t>ICE-09916199</t>
  </si>
  <si>
    <t>DLS6I Elementautomat C06-1</t>
  </si>
  <si>
    <t>ICE-09916201</t>
  </si>
  <si>
    <t>DLS6I Elementautomat C10-1</t>
  </si>
  <si>
    <t>INDUSTRIAUT. 16A 4P/C FAZ-C16/4</t>
  </si>
  <si>
    <t>SLZ0113-00</t>
  </si>
  <si>
    <t>Adaptor | Inline connector 3-pin cable adaptor up to 35mm²</t>
  </si>
  <si>
    <t>DC step-down connector for reducing cable dimension, for 1 dc cable up to 35sq mm</t>
  </si>
  <si>
    <t>SLPDU059-P6</t>
  </si>
  <si>
    <t>PTTA Box</t>
  </si>
  <si>
    <t>3 "channel" PTTA box. See spec and guidelines folder on Teams for details</t>
  </si>
  <si>
    <t>Replacement of ICE-PTTA-1,  Use case: Power distribution box for bigger cables dimensions, NOTE 10mm2 output to RRH</t>
  </si>
  <si>
    <t>ICE-PTTA-2</t>
  </si>
  <si>
    <t>PTTA 19" Rack mounted ICE</t>
  </si>
  <si>
    <t>See spec and guidelines folder on Teams for details</t>
  </si>
  <si>
    <t>Use case: Power distribution box for bigger cables dimensions to be used inside 19" rack on colocation sites</t>
  </si>
  <si>
    <t>V25-H01168</t>
  </si>
  <si>
    <t>Trekantskrue for PTTA boks ICE - 4stk.</t>
  </si>
  <si>
    <t>Spare screws for Stansefarbikken outdoor PTTA boxes</t>
  </si>
  <si>
    <t>Ice-v1</t>
  </si>
  <si>
    <t>Smart meter kit</t>
  </si>
  <si>
    <t>Smart meter IoT modem to be installed instead of normal sub-meter. Special lease agreement required with LL for installation of serial meter/smart meter</t>
  </si>
  <si>
    <t>IoT Solutions</t>
  </si>
  <si>
    <t>ICE-SMART-KIT</t>
  </si>
  <si>
    <t>ICE-Smart Meter installation kit</t>
  </si>
  <si>
    <t>To be ordered when smart meter is installed inside Stansefabrikken ACDB.</t>
  </si>
  <si>
    <t>Use case: Installation frame/kit for Smartmeter in Stansefabrikken EDP</t>
  </si>
  <si>
    <t>5763400RG</t>
  </si>
  <si>
    <t>Nodeline 8-port | 2m Quad Band, 8-Port, 65°</t>
  </si>
  <si>
    <t>2 meters antenna    (Andrew to be used as default)</t>
  </si>
  <si>
    <t>Antenna</t>
  </si>
  <si>
    <t>Amphenol</t>
  </si>
  <si>
    <t>5765400RG</t>
  </si>
  <si>
    <t>1,4m Quad Band, 8-Port, 65°, XPOL, Panel Antenna, 1403 mm</t>
  </si>
  <si>
    <t>1.4 meters antenna     (Andrew to be used as default)</t>
  </si>
  <si>
    <t>5767400RG</t>
  </si>
  <si>
    <t>Panel Antenna Variable Tilt Nodeline 0,9m</t>
  </si>
  <si>
    <t>0.9 meters antenna</t>
  </si>
  <si>
    <t>R1339</t>
  </si>
  <si>
    <t>Downtilt kit for Amphenol antennas</t>
  </si>
  <si>
    <t>Down tilt kit for Amphenol antennas</t>
  </si>
  <si>
    <t>Antenna accessories</t>
  </si>
  <si>
    <t>RRZZ-65B-R4N39-V1</t>
  </si>
  <si>
    <t>ANTENNA Andrew - 4LB, 4HB, 65DEG, 4RET, 2100 MM (wo DT)</t>
  </si>
  <si>
    <t>Mech tilt kit not included! Do not install mech tilt if mech tilt is zero in radio plan.</t>
  </si>
  <si>
    <t>2.1  meters antenna with brackets without downtilt kit bracket,</t>
  </si>
  <si>
    <t>Antenna 2.1m</t>
  </si>
  <si>
    <t>RRZZ-65A-R4N39F</t>
  </si>
  <si>
    <t>ANTENNA Andrew - 4LB, 4HB, 65DEG, 4RET, 1499 MM (wo DT)</t>
  </si>
  <si>
    <t>1.5  meters antenna with brackets and downtilt kit, no additional brackets needed</t>
  </si>
  <si>
    <t>Antenna 1.5m</t>
  </si>
  <si>
    <t>BSA-DT-34</t>
  </si>
  <si>
    <t>Downtilt Kit_Andrew</t>
  </si>
  <si>
    <t>To be ordered when mech tilt. Wide Profile Antenna Downtilt Mounting Kit for 2.4 - 4.5 in (60 - 115 mm) OD round members. Kit contains one scissor top bracket set and one bottom bracket set.</t>
  </si>
  <si>
    <t>Down tilt kit for Andrew antenna RRZZ-65B-R4N39-V1; to be ordered only when positive/negative mechanical tilt required</t>
  </si>
  <si>
    <t>SMALL-CAPKIT</t>
  </si>
  <si>
    <t>protection cap for not used antenna ports, to be ordered for Small configurations</t>
  </si>
  <si>
    <t>VVSSP-65S-R1BV2-V4</t>
  </si>
  <si>
    <t>10-port small cell antenna, 4x 1695–2690, 4x 3300-4200 and 2x 5150-5925 MHz</t>
  </si>
  <si>
    <t>0.6 meter antenna</t>
  </si>
  <si>
    <t>6818388NG</t>
  </si>
  <si>
    <t>1-Band, 2-Port, 65°, XPOL, Panel Antenna, Variable Tilt, 1987 mm</t>
  </si>
  <si>
    <t>5829308NG</t>
  </si>
  <si>
    <t>2-Band | 4-Port | XPOL | Panel Antenna | Variable Tilt | 1397 mm</t>
  </si>
  <si>
    <t>A3213131-V00</t>
  </si>
  <si>
    <t>2-Port Indoor Omni 2xMIMO 698-960/1425-4000MHz 3/5dBi 4.3-10</t>
  </si>
  <si>
    <t>Kantenna</t>
  </si>
  <si>
    <t>DB654DG65A-C</t>
  </si>
  <si>
    <t>2-port sector antenna, 2x 410–512 MHz, 65° HPBW, fixed electrical tilt</t>
  </si>
  <si>
    <t>AW4046-E-F</t>
  </si>
  <si>
    <t>6-Port | 380-470/698- 960MHz | 13/15dBi 4.3- 10f | 2.0m</t>
  </si>
  <si>
    <t>Alfa Wireless</t>
  </si>
  <si>
    <t>RRZZ-65B-R4N39V3</t>
  </si>
  <si>
    <t>ANTENNA Andrew High Gain - 4LB, 4HB, 65DEG, 4RET, 2100 MM</t>
  </si>
  <si>
    <t>APXVLL14H_43-C</t>
  </si>
  <si>
    <t>High Band 4-Port Antenna</t>
  </si>
  <si>
    <t>4-Ports, X-Pol, Panel Antenna, 1.4m, 2x 1695-2690MHz, 65deg, Integrated RET</t>
  </si>
  <si>
    <t>476103A.101</t>
  </si>
  <si>
    <t>PFAA 2.1M 2L6H FOR IPAA+</t>
  </si>
  <si>
    <t>Interleaved Passive Active Antenna+</t>
  </si>
  <si>
    <t>Antenna IPAA+</t>
  </si>
  <si>
    <t>476260A.101</t>
  </si>
  <si>
    <t>AMMA AIRSCALE IPAA AQQX SLIDE-IN FRAME C</t>
  </si>
  <si>
    <t>Slide-in Frame for installation of special release  AQQY on back of IPAA</t>
  </si>
  <si>
    <t>476386A.101</t>
  </si>
  <si>
    <t>PFAX M DT/UT KIT 76-140MM</t>
  </si>
  <si>
    <t>Down/Up tilt kit for PFAA 2.1M antennas only!!!</t>
  </si>
  <si>
    <t>NHK800MAC</t>
  </si>
  <si>
    <t>Empty Hybrid Kit for active antennas</t>
  </si>
  <si>
    <t>Amphenol radom for AQQY and 0.9m antenna</t>
  </si>
  <si>
    <t>L99-C197-500</t>
  </si>
  <si>
    <t>RET CONTROL CABLE AISG 8-PIN FM HALOGEN FREE 0,5M</t>
  </si>
  <si>
    <t>Replacement 472157A.105</t>
  </si>
  <si>
    <t>RET cable</t>
  </si>
  <si>
    <t>L99-C197-1000</t>
  </si>
  <si>
    <t>RET cable 1m</t>
  </si>
  <si>
    <t>L99-C197-1500</t>
  </si>
  <si>
    <t>RET Cable, outdoor, halogen free - 1,5m</t>
  </si>
  <si>
    <t>L99-C197-2000</t>
  </si>
  <si>
    <t>RET Cable 2m</t>
  </si>
  <si>
    <t>L99-C197-3000</t>
  </si>
  <si>
    <t>RET Cable 3m</t>
  </si>
  <si>
    <t>L99-C197-5000</t>
  </si>
  <si>
    <t>RET Cable 5m</t>
  </si>
  <si>
    <t>L99-C197-10000</t>
  </si>
  <si>
    <t>RET Cable 10m</t>
  </si>
  <si>
    <t>L99-C197-20000</t>
  </si>
  <si>
    <t>RET CONTROL CABLE 20M</t>
  </si>
  <si>
    <t>SLJ12SP-64M64M-1.0m</t>
  </si>
  <si>
    <t>Jumper 1.0m 4.3-10m - 4.3-10m 12" Super flexible PE (S)</t>
  </si>
  <si>
    <t>Jumper with 4.3-10 male straight to male straight connector; Replacement: AAS-12HF-43SMSM-1M</t>
  </si>
  <si>
    <t>Jumper cable</t>
  </si>
  <si>
    <t>SLJ12SP-64M64M-1.5m</t>
  </si>
  <si>
    <t>Jumper 1.5m 4.3-10m - 4.3-10m, 1/2" Super Flexible PE (S)</t>
  </si>
  <si>
    <t>Jumper with 4.3-10 male straight to male straight connector</t>
  </si>
  <si>
    <t>SLJ12SP-64M64M-2.0m</t>
  </si>
  <si>
    <t>Jumper 2.0m 4.3-10m - 4.3-10m 12" Super flexible PE (S)</t>
  </si>
  <si>
    <t>Jumper with 4.3-10 male straight to male straight connector; Replacement: AAS-12HF-43SMSM-2M; F4A-HMHM-2M-P</t>
  </si>
  <si>
    <t>SLJ12SP-64M64M-3.0m</t>
  </si>
  <si>
    <t>Jumper 3.0m 4.3-10m - 4.3-10m 12" Super flexible PE (S)</t>
  </si>
  <si>
    <t>Jumper with 4.3-10 male straight to male straight connector; Replacement: F4A-HMHM-3M-P ; AAS-12HF-43SMSM-3M</t>
  </si>
  <si>
    <t>SLJ12SP-64M64M-4.0m</t>
  </si>
  <si>
    <t>Jumper 4.0m 4.3-10m - 4.3-10m 1/2" Super flexible PE (S)</t>
  </si>
  <si>
    <t>SLJ12SP-64M64M-5.0m</t>
  </si>
  <si>
    <t>Jumper 5.0m 4.3-10m - 4.3-10m 12" Super flexible PE (S)</t>
  </si>
  <si>
    <t>Jumper with 4.3-10 male straight to male straight connector; Replacement: AAS-12HF-43SMSM-5M; F4A-HMHM-5M-P</t>
  </si>
  <si>
    <t>SLJ12SP-64M64M-6.0m</t>
  </si>
  <si>
    <t>Jumper 6.0m 4.3-10m - 4.3-10m 12" Super flexible PE (S)</t>
  </si>
  <si>
    <t>AAS-12HF-43SMSM-7M</t>
  </si>
  <si>
    <t>Jumper | 7m | 4.3-10m - 4.3-10m | 1/2" Superf PE</t>
  </si>
  <si>
    <t>Jumper with 4.3-10 male straight to male straight connector; Replacement: F4A-HMHM-7M-P</t>
  </si>
  <si>
    <t>AAS-12HF-43-SMSM-10M</t>
  </si>
  <si>
    <t>Jumper | 10m | 4.3-10m - 4.3-10m | 1/2" Superf PE</t>
  </si>
  <si>
    <t>SLGK004-C05-060</t>
  </si>
  <si>
    <t>Grounding Kit 7/8" R Flexible cable IP67</t>
  </si>
  <si>
    <t>Grounding Kit 7/8" for Rosenberger feeders</t>
  </si>
  <si>
    <t>Coax accessories</t>
  </si>
  <si>
    <t>SLGK004-C03-060</t>
  </si>
  <si>
    <t>Grounding Kit 1/2" R Flexible cable IP67</t>
  </si>
  <si>
    <t>Grounding Kit 1/2" for Rosenberger feeders</t>
  </si>
  <si>
    <t>SL012R-PE-20</t>
  </si>
  <si>
    <t>1/2" Corrugated Coax Cable, PE, 20m</t>
  </si>
  <si>
    <t>Rosenberger feeder pre-cut, lenght 20m</t>
  </si>
  <si>
    <t>SL012R-PE-30</t>
  </si>
  <si>
    <t>1/2" Corrugated Coax Cable, PE, 30m</t>
  </si>
  <si>
    <t>Rosenberger feeder pre-cut, lenght 30m</t>
  </si>
  <si>
    <t>SL078R-L-PE-35</t>
  </si>
  <si>
    <t>7/8" Corrugated Coax Cable, PE, 35m</t>
  </si>
  <si>
    <t>Rosenberger feeder pre-cut, lenght 35m</t>
  </si>
  <si>
    <t>SL078R-L-PE-45</t>
  </si>
  <si>
    <t>7/8" Corrugated Coax Cable, PE, 45m</t>
  </si>
  <si>
    <t>Rosenberger feeder pre-cut, lenght 45m</t>
  </si>
  <si>
    <t>64S1C7-C03N1</t>
  </si>
  <si>
    <t>RF Connector | 4.3-10 | 1/2" |  Straight Male</t>
  </si>
  <si>
    <t>Connector for Rosenberger Feeder</t>
  </si>
  <si>
    <t>64K1C7-C03B1</t>
  </si>
  <si>
    <t>RF Connector | 4.3-10 | 1/2" |  Straight Female</t>
  </si>
  <si>
    <t>64K1C7-CX5B1</t>
  </si>
  <si>
    <t>RF Connector | 4.3-10 | 7/8" |  Straight Female</t>
  </si>
  <si>
    <t>60W107-C03</t>
  </si>
  <si>
    <t>Trimming tool for RB coax connector 1/2"</t>
  </si>
  <si>
    <t>Trimming tool for Rosenberger coax connector, to be order max one per team</t>
  </si>
  <si>
    <t>60W107-C05</t>
  </si>
  <si>
    <t>Trimming tool for RB coax connector 7/8"</t>
  </si>
  <si>
    <t>L5111004-V06</t>
  </si>
  <si>
    <t>Termination Load 50ohm DC-4000 100W</t>
  </si>
  <si>
    <t>Termination load for VSWR/PIM troubleshooting 100W</t>
  </si>
  <si>
    <t>Accessories</t>
  </si>
  <si>
    <t>L5112004-V06</t>
  </si>
  <si>
    <t>Termination Load 50ohm DC-4000 200W</t>
  </si>
  <si>
    <t>Termination load for VSWR/PIM troubleshooting 200W</t>
  </si>
  <si>
    <t>W0030007-V01</t>
  </si>
  <si>
    <t>SBT 340-3800MHz 500W P1-Male P2- Female 4.3-10</t>
  </si>
  <si>
    <t>Smart Bias-T for RET, to be orderd for feeder sites with distance &gt;20meters</t>
  </si>
  <si>
    <t>E14R00P4201</t>
  </si>
  <si>
    <t>CS-TMA E708 F12DB 2:2 1AISG22</t>
  </si>
  <si>
    <t>Tower Mounted Amplifier (TMA), to be used on LB freq above 25m length</t>
  </si>
  <si>
    <t>SL2C2.5MM2FRNC-S-BK-</t>
  </si>
  <si>
    <t>Power Cable 2x2,5mm², diameter kabel, 7,7mm</t>
  </si>
  <si>
    <t>Power cable for CSR</t>
  </si>
  <si>
    <t>Rosenberger DC cable 2x2,5mm</t>
  </si>
  <si>
    <t>DC cables</t>
  </si>
  <si>
    <t>DC cable</t>
  </si>
  <si>
    <t>SL2C6MM2FRNC-S-BK-N</t>
  </si>
  <si>
    <t xml:space="preserve">Power Cable 2x6mm², diameter kabel, 9,4mm </t>
  </si>
  <si>
    <t>DC cables for RRHs/Airscale/DCDU feeds</t>
  </si>
  <si>
    <t>Rosenberger DC cable 2x6mm, replacement for MPT-A2A-BB-NN-500M</t>
  </si>
  <si>
    <t>SL2C10MM2FRNC-S-BK-N</t>
  </si>
  <si>
    <t xml:space="preserve">Power Cable 2x10mm², diameter kabel, 10,7mm 
 </t>
  </si>
  <si>
    <t>Rosenberger DC cables 2x10mm, replacement for MPT-A2B-BB-NN-500M</t>
  </si>
  <si>
    <t>SL2C16MM2FRNC-S-BK-N</t>
  </si>
  <si>
    <t xml:space="preserve">Power Cable 2x16mm², diameter kabel, 12,5mm </t>
  </si>
  <si>
    <t>Rosenberger DC cables 2x16mm, replacement for MPT-A2C-BB-NN-500M</t>
  </si>
  <si>
    <t>SL2C25MM2FRNC-S-BK-N</t>
  </si>
  <si>
    <t xml:space="preserve">Power Cable 2x25mm², diameter kabel, 18,6mm </t>
  </si>
  <si>
    <t>Rosenberger DC cables 2x25mm, replacement for MPT-A2D-BB-NN-500M</t>
  </si>
  <si>
    <t>SL2C35MM2FRNC-S-BK-N</t>
  </si>
  <si>
    <t xml:space="preserve">Power Cable 2x35mm², diameter kabel, 19,8mm </t>
  </si>
  <si>
    <t>Rosenberger DC cables 2x35mm, replacement for MPT-A2E-BB-NN-500M</t>
  </si>
  <si>
    <t>SL2C50MM2FRNC-S-BK-N</t>
  </si>
  <si>
    <t>Power Cable 2x50mm², diameter kabel, 25,6mm</t>
  </si>
  <si>
    <t>Rosenberger DC cables 2x50mm, replacement for MPT-A2F-BB-NN-500M</t>
  </si>
  <si>
    <t>UEK 2, UNIVERSAL GROUND 12-30MM</t>
  </si>
  <si>
    <t>DC cable and coax grounding kit</t>
  </si>
  <si>
    <t>Fimo</t>
  </si>
  <si>
    <t>GK-SUNV</t>
  </si>
  <si>
    <t xml:space="preserve">Universal Grounding Kit </t>
  </si>
  <si>
    <t>for 3mm  through 16mm cables</t>
  </si>
  <si>
    <t>Grounding kit</t>
  </si>
  <si>
    <t>SLCC152</t>
  </si>
  <si>
    <t>Cable clamp 22mm, 3xDC, 2xFO, C-Rail 40 x 22 mm</t>
  </si>
  <si>
    <t>Ø 3xDC 08-19mm, 1xFO 07mm, 1x FO 08mm</t>
  </si>
  <si>
    <t>Cable clamps</t>
  </si>
  <si>
    <t>C-Rail</t>
  </si>
  <si>
    <t>SLCC15H</t>
  </si>
  <si>
    <t>Cable clamp 22mm, 3xDC, 2xFO, Flatround bars 8-25mm</t>
  </si>
  <si>
    <t>Flatround bars</t>
  </si>
  <si>
    <t>6015160258-01</t>
  </si>
  <si>
    <t>OX M/3x22+SAT 2x8/2</t>
  </si>
  <si>
    <t>Ø 3xDC 08-22mm, 2x FO 08mm</t>
  </si>
  <si>
    <t>SLCC15I</t>
  </si>
  <si>
    <t>Cable clamp 22mm, 3xDC, 2xFO, Angles 40x40mm</t>
  </si>
  <si>
    <t>Also allowed on Telia sites, even though Telia MU tells us to use FIMO.</t>
  </si>
  <si>
    <t>Angels</t>
  </si>
  <si>
    <t>SLCC16I</t>
  </si>
  <si>
    <t>Cable clamp 3xDC, 2xFO, 1xRG Angles 40x40mm</t>
  </si>
  <si>
    <t>SLCC162</t>
  </si>
  <si>
    <t>Cable clamp 3xDC, 2xFO, 1xRG C-Rail 40x22mm</t>
  </si>
  <si>
    <t>SLCC16H</t>
  </si>
  <si>
    <t>Cable clamp 3xDC, 2xFO, 1xRG Flatround bars 8-25mm</t>
  </si>
  <si>
    <t>SLCC322</t>
  </si>
  <si>
    <t>Cable clamp 32mm, 3xDC, 2xFO, C-Rail 40 x 22 mm</t>
  </si>
  <si>
    <t>Ø 3xDC 14-32mm, 1xFO 06-07mm, 1x FO 07-08mm</t>
  </si>
  <si>
    <t>SLCC32H</t>
  </si>
  <si>
    <t>Cable clamp 32mm, 3xDC, 2xFO, Flatround bars 8-25mm</t>
  </si>
  <si>
    <t>SLCC32I</t>
  </si>
  <si>
    <t>Cable clamp 32mm, 3xDC, 2xFO, Angles 40x40mm</t>
  </si>
  <si>
    <t>SLCC112-C03</t>
  </si>
  <si>
    <t>Cable clamp 22mm, Hybrid, C-Rail 40 x 22 mm</t>
  </si>
  <si>
    <t>cable clamp for single hybrid cable for radiolinje</t>
  </si>
  <si>
    <t>SLCC11H-C03</t>
  </si>
  <si>
    <t>Cable clamp 22mm, Hybrid, Flat/Round bars</t>
  </si>
  <si>
    <t>SLCC11I-C03</t>
  </si>
  <si>
    <t>Cable clamp 22mm, Hybrid, Angles 40x40mm</t>
  </si>
  <si>
    <t>FIMO sRF M 4x1/2" (16-17mm) Cable clamp</t>
  </si>
  <si>
    <t>Order by pc, minimum quantity of 50 pcs</t>
  </si>
  <si>
    <t>Coax Cable clamps for roundbar 1/2</t>
  </si>
  <si>
    <t>FIMO sRF A4 4x7/8 (28mm) Cable clamps</t>
  </si>
  <si>
    <t>Coax Cable clamps for angel bar up to 40mm 7/8</t>
  </si>
  <si>
    <t>FIMO sRF M 2x7/8 (28mm) Cable clamps</t>
  </si>
  <si>
    <t>Coax Cable clamps for roundbar 7/8</t>
  </si>
  <si>
    <t>FIMO sRF M 3x7/8 (28mm) Cable clamps</t>
  </si>
  <si>
    <t>Gummimatte Sort 600x600x10mm</t>
  </si>
  <si>
    <t>Use this, not Griptel rubber matt</t>
  </si>
  <si>
    <t>Under grav. mount foots and cable bridge blocks, to be always used instead Griptel gummiate</t>
  </si>
  <si>
    <t>Rooftop cover</t>
  </si>
  <si>
    <t>Gravitational Mount</t>
  </si>
  <si>
    <t>Bauhaus</t>
  </si>
  <si>
    <t>ice_stickers_small</t>
  </si>
  <si>
    <t>ICE equipment stickers</t>
  </si>
  <si>
    <t>On a normal site, order 1. 30 pcs per box.</t>
  </si>
  <si>
    <t>Set of 20 pcs of ice equipment small stickers,  Failure report template</t>
  </si>
  <si>
    <t>Stickers</t>
  </si>
  <si>
    <t>EMF_stickers</t>
  </si>
  <si>
    <t>EMF stickers</t>
  </si>
  <si>
    <t>5 pcs of EMF stickers to be ordered only when stated in TSSR</t>
  </si>
  <si>
    <t>FS 1 Sector S/M Gen 2</t>
  </si>
  <si>
    <t>MAFI full configuration</t>
  </si>
  <si>
    <t>Steel</t>
  </si>
  <si>
    <t>MAFi</t>
  </si>
  <si>
    <t>FS 2 Sector S/M Gen 2</t>
  </si>
  <si>
    <t>FS 1 Sector Large Gen 2</t>
  </si>
  <si>
    <t>FS 2 Sector Large Gen 2</t>
  </si>
  <si>
    <t>TO 1 sect SMALL/MEDIUM Light</t>
  </si>
  <si>
    <t>TO 1 sect SMALL/MEDIUM Heavy</t>
  </si>
  <si>
    <t>WB 1 sector SMALL/MEDIUM</t>
  </si>
  <si>
    <t>WB 1 Sector Large</t>
  </si>
  <si>
    <t>Free Stander Medium</t>
  </si>
  <si>
    <t>free stander for up to 4 pcs RRH, 6 pcs of balast blocks (42072) to be ordered seperately</t>
  </si>
  <si>
    <t>Add-on kit 4612</t>
  </si>
  <si>
    <t>Mafi product to be ordered according to Esics BoM</t>
  </si>
  <si>
    <t>Half 3273 offset bracket</t>
  </si>
  <si>
    <t>Concrete ballast block MAFi 500 x 500 x 50</t>
  </si>
  <si>
    <t>WHOLE THREADED ROD M16x1000 class 8 HDG (1 pc)</t>
  </si>
  <si>
    <t>NUT M6M M16 BH8 FZV ISO (1 pc)</t>
  </si>
  <si>
    <t>WASHER BRB 17x30x3 FZV HV 200 ISO 7089 (1 pc)</t>
  </si>
  <si>
    <t>GT76129-20</t>
  </si>
  <si>
    <t>TUBE 76,1*2,9 FZV L=2000 mm</t>
  </si>
  <si>
    <t>GT76129-30</t>
  </si>
  <si>
    <t>TUBE 76,1*2,9 FZV L=3000 mm</t>
  </si>
  <si>
    <t>GT114350-30</t>
  </si>
  <si>
    <t>TUBE 114,3*5,0  FZV L=3000 mm</t>
  </si>
  <si>
    <t>GT114350-40</t>
  </si>
  <si>
    <t>TUBE 114,3*5,0 FZV L=4000 mm</t>
  </si>
  <si>
    <t>GT114350-53</t>
  </si>
  <si>
    <t>TUBE 114,3*5,0 FZV L=5300 mm</t>
  </si>
  <si>
    <t>GT114350-60</t>
  </si>
  <si>
    <t>TUBE 114,3*5,0 FZV L=6000 mm</t>
  </si>
  <si>
    <t>Heavy duty wall mount</t>
  </si>
  <si>
    <t>Wall bracket support kit</t>
  </si>
  <si>
    <t>Wall bracket support kit 2</t>
  </si>
  <si>
    <t>Single high torque offset bracket</t>
  </si>
  <si>
    <t>order 3 pcs + 1m 114mm tube for RL in mast. Mastleg: 40-140mm. U bolt=76mm. Smaller mastleg? see bottom</t>
  </si>
  <si>
    <t>Antenna offset short hig load</t>
  </si>
  <si>
    <t>Adaptor CS</t>
  </si>
  <si>
    <t>Nokia Dual</t>
  </si>
  <si>
    <t>Joint plate kit 25-35 mm</t>
  </si>
  <si>
    <t>Crossover plate</t>
  </si>
  <si>
    <t>Footstep 76-114mm</t>
  </si>
  <si>
    <t>Footstep for antenna pols, to be ordered for HMS improvement</t>
  </si>
  <si>
    <t>Am-2-18/80-DP/SP-MT</t>
  </si>
  <si>
    <t>ANT,2FT,DP/SP,18/80GHz,RFU-C/UG387/U-MTI</t>
  </si>
  <si>
    <t>1 disk + 1 tube mount (one unit) MULTIBAND</t>
  </si>
  <si>
    <t xml:space="preserve">Radio link equipment, To be ordered when installation of Altibox radio link in scope </t>
  </si>
  <si>
    <t>Radiolinje</t>
  </si>
  <si>
    <t>Ceragon</t>
  </si>
  <si>
    <t>Am-B3-2-18/80-DP/DP</t>
  </si>
  <si>
    <t>ANT,2FT,MB,17.7-19.7,DP,CIRC,71.0-86.0GHz,DP,CIRCULAR</t>
  </si>
  <si>
    <t>IP-20C_3xGlands_kit</t>
  </si>
  <si>
    <t>IP-20C M28 Glands Kit, 3-pack</t>
  </si>
  <si>
    <t>Only to be ordered if hybrid trunk is too short (over 70m distance)</t>
  </si>
  <si>
    <t>IP-20C_DC_CONN</t>
  </si>
  <si>
    <t>IP-20C DC Connector</t>
  </si>
  <si>
    <t>Only to be ordered if missing or broken. (Included in bundle)</t>
  </si>
  <si>
    <t>LT-SC05_80_18H-0</t>
  </si>
  <si>
    <t>Bundle for Multiband 18High Band/80Ghz with IDU 10Gbps</t>
  </si>
  <si>
    <t>Bundle: 4 ODUs, 4 power plugs, 6 SFPs + 2 OMTs (ODU/antenna adapter) 4 GND cables (not to be used)</t>
  </si>
  <si>
    <t>N000082L019A</t>
  </si>
  <si>
    <t>Outdoor DC Cable 2x18AWG, Drum 305m</t>
  </si>
  <si>
    <t>LT-SC02_38H-0</t>
  </si>
  <si>
    <t>Bundle for DualCore 38 GHz High Band 2+0 2 Gbps</t>
  </si>
  <si>
    <t>Bundle: 2 ODUs, 2 DC plugs, 2 SFPs + 2 OMTs (ODU/antenna adapter) 2 GND cables (not to be used)</t>
  </si>
  <si>
    <t>Am-B3-2-38-CIRC-A</t>
  </si>
  <si>
    <t>Ant,2FT,38GHz,DP,Circular,Both,CL3,RL17.7,XPD30</t>
  </si>
  <si>
    <t>1 disk + 1 tube mount (one unit)</t>
  </si>
  <si>
    <t>Am-1-38-CIRC-A</t>
  </si>
  <si>
    <t>ANT,1FT,37.000-40.000GHz,DP,RFU-C TYPE/CIRCULAR</t>
  </si>
  <si>
    <t>Am-4-18-CIRC-A</t>
  </si>
  <si>
    <t>ANT,4FT,17.700-19.700GHz,DP,RFU-C TYPE/CIRCULAR</t>
  </si>
  <si>
    <t>1 disk + 1 tube mount (one unit) Order A-3_6-STRT-INBRD-A in addition</t>
  </si>
  <si>
    <t>Am-3-18-CIRC-A</t>
  </si>
  <si>
    <t>ANT,3FT,17.700-19.700GHz,DP,RFU-C TYPE/CIRCULAR</t>
  </si>
  <si>
    <t>LT-SC02_18H-0</t>
  </si>
  <si>
    <t>Bundle for DualCore 18 GHz High Band 2+0 2 Gbps</t>
  </si>
  <si>
    <t>Am-4-11W-CIRC-A</t>
  </si>
  <si>
    <t>ANT,4FT,10.125-11.700GHz,DP,RFU-C TYPE/CIRCULAR</t>
  </si>
  <si>
    <t>A-3_6-STRT-INBRD-A</t>
  </si>
  <si>
    <t>Strut for VL/PL 4_6 ft TMW and VL3</t>
  </si>
  <si>
    <t>To be ordered for 3 and 4 feet disks/antennas</t>
  </si>
  <si>
    <t>Am-3-11W-CIRC-A</t>
  </si>
  <si>
    <t>ANT,3FT,10.125-11.700GHz,DP,RFU-C TYPE/CIRCULAR</t>
  </si>
  <si>
    <t>LT-SC01_10-0</t>
  </si>
  <si>
    <t>Bundle for DualCore 10 GHz 2+0 1 Gbps</t>
  </si>
  <si>
    <t>L98Y-C0429-30000</t>
  </si>
  <si>
    <t>PreCONNECT® |30m|- Hybrid Trunk FO/DC/LAN</t>
  </si>
  <si>
    <t>RL</t>
  </si>
  <si>
    <t>L98Y-C0429-70000</t>
  </si>
  <si>
    <t>PreCONNECT® |70m|- Hybrid Trunk FO/DC/LAN</t>
  </si>
  <si>
    <t>L98Y-C0429-50000</t>
  </si>
  <si>
    <t>PreCONNECT® |50m|- Hybrid Trunk FO/DC/LAN</t>
  </si>
  <si>
    <t>SLHDU100-06-02-A</t>
  </si>
  <si>
    <t>19" 1HU Hybrid Distribution Panel up to 6 radios / 3x LCQ /4x RJ45</t>
  </si>
  <si>
    <t>SLSPD203-05-FM</t>
  </si>
  <si>
    <t>SPD for Rosenberger SLHDU (spare)</t>
  </si>
  <si>
    <t>Spare SPD for SLHDU100-06-02-A, to be ordered only if faulty</t>
  </si>
  <si>
    <t>H50S.331.60.H</t>
  </si>
  <si>
    <t>Hengelås iLOQ S50 KL2 8/60mm låses m/nøkke</t>
  </si>
  <si>
    <t>iLOQ Padlock</t>
  </si>
  <si>
    <t>iLOQ Padlook to be used on climbing fence, ladders, etc</t>
  </si>
  <si>
    <t>Lock</t>
  </si>
  <si>
    <t>iLOQ</t>
  </si>
  <si>
    <t>C50S.111.SD</t>
  </si>
  <si>
    <t>iLOQ Sylinder S50 oval Lav NFC-antenne</t>
  </si>
  <si>
    <t>iLOQ normal door</t>
  </si>
  <si>
    <t xml:space="preserve">iLOQ to be used on Lyse Tele cabins, equipment rooms, </t>
  </si>
  <si>
    <t>D50S.531.SD</t>
  </si>
  <si>
    <t>iLOQ DIN-Sylinder S50 Halv Lav NFC 30/10mm Rustfri, smekklås</t>
  </si>
  <si>
    <t>iLOQ Eltek Outdoor cab and HVDC RU</t>
  </si>
  <si>
    <t>iLOQ to be used on eltek OD</t>
  </si>
  <si>
    <t>H3111424-V05</t>
  </si>
  <si>
    <t>3dB Coupler HYB 2:2 698-4000MHz 160dBi 500W 4.3-10F</t>
  </si>
  <si>
    <t>To be ordered for Ninja project sites only</t>
  </si>
  <si>
    <t>Ninja Project reserved</t>
  </si>
  <si>
    <t>DAS passive equipment</t>
  </si>
  <si>
    <t>H8115464-V05</t>
  </si>
  <si>
    <t>HYB Combiner 2:1 698-3800MHz 160dBi 150W 4.3-10-F</t>
  </si>
  <si>
    <t>H8114424-V06</t>
  </si>
  <si>
    <t>HYB Combiner 3:3 698-3800MHz 160dBi 500W 4.3-10F</t>
  </si>
  <si>
    <t>H8112424-V05</t>
  </si>
  <si>
    <t>HYB Combiner4:4 698-3800MHz 160dBi 500W 4.3-10F</t>
  </si>
  <si>
    <t>G1325020-V04</t>
  </si>
  <si>
    <t>Triple Band Combiner | 380-960 / 1427-1880 / 1920-2690</t>
  </si>
  <si>
    <t>L5720024-V06</t>
  </si>
  <si>
    <t>Termination Load 2W 50ohm 0-4000MHz 4.3-10M</t>
  </si>
  <si>
    <t>L5710024-V06</t>
  </si>
  <si>
    <t>L5720054-V06</t>
  </si>
  <si>
    <t>Termination Load 5W 50ohm 0-4000MHz 4.3-10M</t>
  </si>
  <si>
    <t>L5710054-V06</t>
  </si>
  <si>
    <t>L5111004-V03</t>
  </si>
  <si>
    <t>Termination Load 50ohm DC-4000 100W -V03</t>
  </si>
  <si>
    <t>L5710104-V06</t>
  </si>
  <si>
    <t>Termination Load 10W 50ohm 0-4000MHz 4.3-10M</t>
  </si>
  <si>
    <t>L5720104-V06</t>
  </si>
  <si>
    <t>L5110504-V06</t>
  </si>
  <si>
    <t>Termination Load 50W 50ohm 0-4000MHz 4.3-10F</t>
  </si>
  <si>
    <t>L5113004-V06</t>
  </si>
  <si>
    <t>Termination Load 300W PIM-160 DC-4000MHz 4.3-10F</t>
  </si>
  <si>
    <t>L5114004-V06</t>
  </si>
  <si>
    <t>Termination Load 400W PIM-160 DC-4000MHz 4.3-10F</t>
  </si>
  <si>
    <t>T7110513-V06</t>
  </si>
  <si>
    <t>Tapper 5dB 380-6000MHz 500W 4.3-10f</t>
  </si>
  <si>
    <t>T7110613-V06</t>
  </si>
  <si>
    <t>Tapper 6dB 380-6000MHz 500W 4.3-10f</t>
  </si>
  <si>
    <t>T7110713-V06</t>
  </si>
  <si>
    <t>Tapper 7dB 380-6000MHz 500W 4.3-10f</t>
  </si>
  <si>
    <t>T7111013-V06</t>
  </si>
  <si>
    <t>Tapper 10dB 380-6000MHz 500W 4.3-10f</t>
  </si>
  <si>
    <t>T7111313-V06</t>
  </si>
  <si>
    <t>Tapper 13dB 380-6000MHz 500W 4.3-10f</t>
  </si>
  <si>
    <t>T7111513-V06</t>
  </si>
  <si>
    <t>Tapper 15dB 380-6000MHz 500W 4.3-10f</t>
  </si>
  <si>
    <t>T7112013-V06</t>
  </si>
  <si>
    <t>Tapper 20dB 380-6000MHz 500W 4.3-10f</t>
  </si>
  <si>
    <t>S3112024-V03</t>
  </si>
  <si>
    <t>2-Way Splitter 698-4000MHz 4.3-10F</t>
  </si>
  <si>
    <t>S3112224-V06</t>
  </si>
  <si>
    <t>Splitter 2-Way 698-4000MHz 4.3-10F</t>
  </si>
  <si>
    <t>S3113224-V06</t>
  </si>
  <si>
    <t>Splitter 3-Way 698-4000MHz 4.3-10F</t>
  </si>
  <si>
    <t>S3114224-V06</t>
  </si>
  <si>
    <t>Splitter 4-Way 698-4000MHz 4.3-10F</t>
  </si>
  <si>
    <t>G1225019-V04</t>
  </si>
  <si>
    <t>DBC HB HB 1427-18801920-2690MHz DU 4.3-10f</t>
  </si>
  <si>
    <t>G1213025-V04</t>
  </si>
  <si>
    <t>DBC LB HB 380-9601710-2700MHz SINGLE UNIT t 4.3-10f</t>
  </si>
  <si>
    <t>E5611025-V05</t>
  </si>
  <si>
    <t>Attenuator 10W 10dB DC-4000MHz 4.3-10 f/m</t>
  </si>
  <si>
    <t>E5611525-V05</t>
  </si>
  <si>
    <t>Attenuator 10W 15dB DC-4000MHz  4.3-10 f/m</t>
  </si>
  <si>
    <t>E5612025-V05</t>
  </si>
  <si>
    <t>Attenuator 10W 20dB DC-4000MHz 4.3-10 f/m</t>
  </si>
  <si>
    <t>E2110644-V05</t>
  </si>
  <si>
    <t>Attenuator 50W 6dB 698-4000MHz PIM-160 4.3-10 fm</t>
  </si>
  <si>
    <t>E2110654-V06</t>
  </si>
  <si>
    <t>Attenuator 100W 6dB 698-4000MHz PIM-160 4.3-10 fm</t>
  </si>
  <si>
    <t>E2111054-V05</t>
  </si>
  <si>
    <t>Attenuator 100W 10dB 698-4000MHz 4.3-10 fm</t>
  </si>
  <si>
    <t>E2111554-V05</t>
  </si>
  <si>
    <t>Attenuator 100W 15dB 698-4000MHz 4.3-10 fm</t>
  </si>
  <si>
    <t>E2111044-V05</t>
  </si>
  <si>
    <t>Attenuator 50W 10dB 698-4000MHz PIM-160 4.3-10 fm</t>
  </si>
  <si>
    <t>E2111544-V05</t>
  </si>
  <si>
    <t>Attenuator 50W 15dB 698-4000MHz PIM-160 4.3-10 fm</t>
  </si>
  <si>
    <t>A2115210-V00</t>
  </si>
  <si>
    <t>Omni indoor 698-6000 26dBi 4.3-10</t>
  </si>
  <si>
    <t>A5213130-V00</t>
  </si>
  <si>
    <t>2-Port Indoor MIMO Panel Div 698-960/1425-4000MHz 4.3-10F</t>
  </si>
  <si>
    <t>5863308NG</t>
  </si>
  <si>
    <t>2-Band | 4-Port | XPOL | Panel Antenna | Variable Tilt | 1997 mm</t>
  </si>
  <si>
    <t>Amphenol 2m antenna L/H band, built-in RET, 4.3-10 connectors</t>
  </si>
  <si>
    <t>A5113110</t>
  </si>
  <si>
    <t>Indoor Directional Panel Antenna</t>
  </si>
  <si>
    <t>3X-KVVSS-65A-R9</t>
  </si>
  <si>
    <t>30-ports tri-sector antenna</t>
  </si>
  <si>
    <t>C3313000-V03</t>
  </si>
  <si>
    <t>RF Adaptor 7/16 Female to 4.3-10 Male Straight DC-6GHz</t>
  </si>
  <si>
    <t>C3312000-V03</t>
  </si>
  <si>
    <t>RF Adaptor 7/16 Male to 4.3-10 Female Straight DC-6GHz</t>
  </si>
  <si>
    <t>32S164-K00N1</t>
  </si>
  <si>
    <t>Adaptor 4.3-10-female to SMA-male</t>
  </si>
  <si>
    <t>53S164-K00N1</t>
  </si>
  <si>
    <t>Adaptor 4.3-10 jack – N plug</t>
  </si>
  <si>
    <t>GA222010-V05</t>
  </si>
  <si>
    <t>DBC HB HB 1710-22002300-2700MHz DU 4.3-10f</t>
  </si>
  <si>
    <t>H811024-V03</t>
  </si>
  <si>
    <t>3dB Coupler HYB 2:2 698-3800MHz 4.3-10F</t>
  </si>
  <si>
    <t>472858A.102</t>
  </si>
  <si>
    <t>FMWA FZ Wall and Pole Mounting Bracket</t>
  </si>
  <si>
    <t>mounting bracket for FWEA</t>
  </si>
  <si>
    <t>Micro RRH - Flexi Zone</t>
  </si>
  <si>
    <t>300-99-027</t>
  </si>
  <si>
    <t>Medieomformersfp slot-1000Mbps</t>
  </si>
  <si>
    <t>for small cell TRS connection when only ethernet (no fiber) is available</t>
  </si>
  <si>
    <t>Converter</t>
  </si>
  <si>
    <t>TP-Link</t>
  </si>
  <si>
    <t>474406A.305</t>
  </si>
  <si>
    <t>FWEA3 FZ BTS 2T2R 1800</t>
  </si>
  <si>
    <t>Small cell 1800GHz</t>
  </si>
  <si>
    <t>Small cell</t>
  </si>
  <si>
    <t>473255A.102</t>
  </si>
  <si>
    <t>FPWC FZ AC Power Cable, 10m, EU</t>
  </si>
  <si>
    <t>Power cable with connector for FWEA3 FZ BTS 2T2R 1800</t>
  </si>
  <si>
    <t>473855A.105</t>
  </si>
  <si>
    <t>FW2EA FZ BTS B3 2x20W</t>
  </si>
  <si>
    <t xml:space="preserve">L18 small cell 20W, 2x 4.3-10 connectors; to be ordered with FPW1 MBO AC Power Cable 10m EU 18AWG; FMWA FZ Wall and Pole Mounting Bracket; </t>
  </si>
  <si>
    <t>473162A.101</t>
  </si>
  <si>
    <t>FPW1 MBO AC Power Cable 10m EU 18AWG</t>
  </si>
  <si>
    <t>AC power cable 10m for FW2EA</t>
  </si>
  <si>
    <t>Small cell accessories</t>
  </si>
  <si>
    <t>473721A.101</t>
  </si>
  <si>
    <t>FW2EHA FZ ID BTS B3 + B7</t>
  </si>
  <si>
    <t>473705A.101</t>
  </si>
  <si>
    <t>FPWL 1-port Indoor PoE ++ (M)</t>
  </si>
  <si>
    <t xml:space="preserve"> </t>
  </si>
  <si>
    <t>474192A.101</t>
  </si>
  <si>
    <t>FPWI FZ ID Power Adapter EU</t>
  </si>
  <si>
    <t>ER707-M2</t>
  </si>
  <si>
    <t>Omada Multi-Gigabit VPN Router</t>
  </si>
  <si>
    <t>VPN router</t>
  </si>
  <si>
    <t>TP-link</t>
  </si>
  <si>
    <t>MFGS0208.001</t>
  </si>
  <si>
    <t>Flatpack S Wallbox</t>
  </si>
  <si>
    <t>PoE 90W 1GE</t>
  </si>
  <si>
    <t>241122.105</t>
  </si>
  <si>
    <t>Flatpack S 48V / 1000W HE</t>
  </si>
  <si>
    <t>Rectifier module: 1kW fro FlatpackS</t>
  </si>
  <si>
    <t>CTE30810.4002</t>
  </si>
  <si>
    <t>FP2 48V 16kW Powercore w/top dist</t>
  </si>
  <si>
    <t xml:space="preserve">16kW powercore with top distr. </t>
  </si>
  <si>
    <t>Power core</t>
  </si>
  <si>
    <t>CTES0502.1009</t>
  </si>
  <si>
    <t>FPS 48V 9kW Powercore BD LD STD</t>
  </si>
  <si>
    <t>9kW Power core rectifier, 2U height, 3pcs 1800W FlatpakS included; Priority load Breakers 5x 10A, 2x 15A, 3x 30A; Non Priority load Breakers:2x 80A, Battery breakers with LVBD 2x 80A; 2U x 19" x ca 400mm (19" 
mounting brackets included)</t>
  </si>
  <si>
    <t>CTES0201.1011</t>
  </si>
  <si>
    <t>FPS 48V 2kW Powercore 230VAC BD</t>
  </si>
  <si>
    <t>2 kW Power core rectifier, 2U height, 2pcs 1000W included; Priority load Breakers 2x 20A, 3x 15A, 2x 5A; Non Priority load Breakers:NA, Battery breakers with LVBD 2x 40A; dimension 44,45(1U) x 19" rack x 400mm
(19" mounting brackets included)</t>
  </si>
  <si>
    <t>475664A.101</t>
  </si>
  <si>
    <t>AZQS AirScale RRH 8T8R B32/N78 320W</t>
  </si>
  <si>
    <t>RRH for 14-1500GHz and 35-3600 Ghz</t>
  </si>
  <si>
    <t>475766A.101</t>
  </si>
  <si>
    <t>APAM AirScale AC-DC Power Unit 2300W</t>
  </si>
  <si>
    <t>singel phase power supply  for AHEGB/AHPMDB/AHPMDH/AHZN (can support 2 RRH)</t>
  </si>
  <si>
    <t>Micro RRH - Accessories</t>
  </si>
  <si>
    <t>476232A.101</t>
  </si>
  <si>
    <t>AHPMDH AirScale RRH 4T4R B8/20/28 320W</t>
  </si>
  <si>
    <t>RRH low band, to be used mainly in tunnels and split sectors</t>
  </si>
  <si>
    <t>474582A.101</t>
  </si>
  <si>
    <t>AMRD AirScale one clip bracket over 200</t>
  </si>
  <si>
    <t>one clip for AHPMDH</t>
  </si>
  <si>
    <t>474513A.102</t>
  </si>
  <si>
    <t>AHEJ AirScale Micro RRH 4T4R B3 20W</t>
  </si>
  <si>
    <t>Micro RRH with NEX-10 Connector</t>
  </si>
  <si>
    <t>Micro RRH</t>
  </si>
  <si>
    <t>474514A.102</t>
  </si>
  <si>
    <t>AHGB AirScale Micro RRH 4T4R B1 20W</t>
  </si>
  <si>
    <t>475880A.101</t>
  </si>
  <si>
    <t>AMJB Rack installation kit</t>
  </si>
  <si>
    <t>Use AMJB rack installation kit (475880A) for installing ASOE in a rack, cabinet or a casing.</t>
  </si>
  <si>
    <t>475815A.102</t>
  </si>
  <si>
    <t>AMJA Outdoor Cable Entry</t>
  </si>
  <si>
    <t>Outdoor kit for ASOE</t>
  </si>
  <si>
    <t>System module - Accessories</t>
  </si>
  <si>
    <t>475883A.101</t>
  </si>
  <si>
    <t>AMJP Power cable, 2m</t>
  </si>
  <si>
    <t>Power cable with connector for ASOE</t>
  </si>
  <si>
    <t>474130A.102</t>
  </si>
  <si>
    <t>APAB AirScale Micro AC PSU</t>
  </si>
  <si>
    <t>Power supply for AHEJ/AHEG</t>
  </si>
  <si>
    <t>474183A.101</t>
  </si>
  <si>
    <t>OCTIS Plug Kit SFP</t>
  </si>
  <si>
    <t>for AHEJ/AHGB (plug for fiber)</t>
  </si>
  <si>
    <t>Micro RRH - SFP</t>
  </si>
  <si>
    <t>474184A.101</t>
  </si>
  <si>
    <t>OCTIS Plug Kit DC Power</t>
  </si>
  <si>
    <t>for AHEJ/AHGB (plug for DC cable)</t>
  </si>
  <si>
    <t>Micro RRH - Power accessories</t>
  </si>
  <si>
    <t>474244A.101</t>
  </si>
  <si>
    <t>OCTIS Plug Kit AC Power</t>
  </si>
  <si>
    <t>for AHEJ/AHGB (plug for AC cable)</t>
  </si>
  <si>
    <t>474182A.101</t>
  </si>
  <si>
    <t>AMBA AirScale Micro Bracket Assembly Kit</t>
  </si>
  <si>
    <t>AMBA AirScale micro bracket assembly kit (474182A) supports all installation configurations of specific AirScale micro radios. Only one module is allowed on each side of the AMBA bracket in pole and wall installation. Each module requires its own AMBA bracket.</t>
  </si>
  <si>
    <t>474484A.101</t>
  </si>
  <si>
    <t>ASFC AirScale 2 fan unit 600</t>
  </si>
  <si>
    <t>Fan unit for Airscale 2 RRH</t>
  </si>
  <si>
    <t>System unit</t>
  </si>
  <si>
    <t>475893A.103</t>
  </si>
  <si>
    <t>ACOC AirScale outdoor cabinet</t>
  </si>
  <si>
    <t>Nokia outdoor cabinet for ASOE subrack</t>
  </si>
  <si>
    <t>Cabinet</t>
  </si>
  <si>
    <t>475972A.101</t>
  </si>
  <si>
    <t>AMJE Cable entry cover for ACOC</t>
  </si>
  <si>
    <t>Nokia outdoor cabinet accesories</t>
  </si>
  <si>
    <t>476089A.101</t>
  </si>
  <si>
    <t>AMJH ACOC Inst. kit for 19in rack / FCOA</t>
  </si>
  <si>
    <t>SLJ14SP-64M64M-0,5m</t>
  </si>
  <si>
    <t>Jumper | 0.5m | 4.3-10m - 4.3-10m | 14" Super flexible (S)</t>
  </si>
  <si>
    <t>Jumper</t>
  </si>
  <si>
    <t>SLJ14SP-64M64M-1.0m</t>
  </si>
  <si>
    <t>Jumper | 1.0m | 4.3-10m - 4.3-10m | 14" Super flexible (S)</t>
  </si>
  <si>
    <t>SLJ14SP-64M64M-2.0m</t>
  </si>
  <si>
    <t>Jumper | 2.0m | 4.3-10m - 4.3-10m | 14" Super flexible (S)</t>
  </si>
  <si>
    <t>SLJ14SP-64M64M-3.0m</t>
  </si>
  <si>
    <t>Jumper | 3.0m | 4.3-10m - 4.3-10m | 14" Super flexible (S)</t>
  </si>
  <si>
    <t>SLJ14SP-64M64M-5.0m</t>
  </si>
  <si>
    <t>Jumper | 5.0m |  4.3-10m - 4.3-10m | 14" Super flexible (S)</t>
  </si>
  <si>
    <t>SLJ14SP-64M89M-0.5m</t>
  </si>
  <si>
    <t>Jumper | 0,5m | 4.3-10m - NEX10m | 14" Super flexible (S)</t>
  </si>
  <si>
    <t>To be used with Micro RRH</t>
  </si>
  <si>
    <t>SLJ14SP-64M89M-1.0m</t>
  </si>
  <si>
    <t>Jumper | 1,0m | 4.3-10m - NEX10m | 14" Super flexible (S)</t>
  </si>
  <si>
    <t>MLOC-4-LS2XMHM-15M</t>
  </si>
  <si>
    <t>HELIAX® MLOC cluster, SureFlex® D-CLASS, dynamic PIM | 15m</t>
  </si>
  <si>
    <t>MLOC-4-LS2XMHM-1M</t>
  </si>
  <si>
    <t>M-LOC MALE 4x TO 4.3-10 MALE ASSY 1M</t>
  </si>
  <si>
    <t>474803A.101</t>
  </si>
  <si>
    <t>ARMA AIRSCALE RFM 6T6R B20 360W</t>
  </si>
  <si>
    <t>To be used only as a replacement for faulty units on site</t>
  </si>
  <si>
    <t>FLM spares</t>
  </si>
  <si>
    <t>RFM</t>
  </si>
  <si>
    <t>SLJ12SP-64M64R-4.0m</t>
  </si>
  <si>
    <t>Jumper 4.3-10m - 4.3-10m RA, 12" Super Flexible PE (S)</t>
  </si>
  <si>
    <t>SLJ12SP-64M64R-5.0m</t>
  </si>
  <si>
    <t>Jumper | 5.0m |Right Angel 4.3-10m - 4.3-10m | 12" Super flexible (S)</t>
  </si>
  <si>
    <t>SLJ12SP-60R64M-4.0m</t>
  </si>
  <si>
    <t>Jumper 7/16m - 4.3-10m RA, 1/2" Super Flexible PE (S)</t>
  </si>
  <si>
    <t>CTE20839.1000</t>
  </si>
  <si>
    <t xml:space="preserve">FP2 48V 16KW 3P230V SPD BD T3 </t>
  </si>
  <si>
    <t>2m Eltek cabinet with AirCon unit</t>
  </si>
  <si>
    <t>BREAKER 125A 230/400VAC C 1P</t>
  </si>
  <si>
    <t>Additional fuse for CBB load</t>
  </si>
  <si>
    <t>Fuse</t>
  </si>
  <si>
    <t>331E23640800</t>
  </si>
  <si>
    <t>CASE BLIND PANEL FP2 HE 109*43*17.2 BLK</t>
  </si>
  <si>
    <t>Rectifier and DC -48</t>
  </si>
  <si>
    <t>DX5442.1000</t>
  </si>
  <si>
    <t>DC DIST 24XTPS00 LD IFC TE XP - LASTSKAP</t>
  </si>
  <si>
    <t>Core distribution unit 24 fuses</t>
  </si>
  <si>
    <t>MIDON110470</t>
  </si>
  <si>
    <t>Filter Don60:160x1500 mflatsydd bunn M6</t>
  </si>
  <si>
    <t>Deltamaster ventiltion filter for Air-site</t>
  </si>
  <si>
    <t>Filter</t>
  </si>
  <si>
    <t>Air-site</t>
  </si>
  <si>
    <t>473881A.101</t>
  </si>
  <si>
    <t>AMLA FLAT MOUNT ADAPTER BRACKET KIT</t>
  </si>
  <si>
    <t>Can be used for 450MHz FRAA RRH</t>
  </si>
  <si>
    <t>473879A.102</t>
  </si>
  <si>
    <t>AMPA Pole Mountin Kit (30mm to 120mm) .102</t>
  </si>
  <si>
    <t>472797A.101</t>
  </si>
  <si>
    <t>FBBC L1800 SYSTEMKORT FOR SYSTEMMODUL</t>
  </si>
  <si>
    <t>Capacity board</t>
  </si>
  <si>
    <t>241122.125</t>
  </si>
  <si>
    <t>Flatpack S 48V/1800W HE Likerettermodul</t>
  </si>
  <si>
    <t>472579A.101</t>
  </si>
  <si>
    <t>FOSH INTERNFIBER MULTIMODUS SFP</t>
  </si>
  <si>
    <t>472811A.101</t>
  </si>
  <si>
    <t>FOSN Optical SFP N 1310nm 6Gb 2km SM</t>
  </si>
  <si>
    <t>473842A.101</t>
  </si>
  <si>
    <t>FOUC OPTICAL SFP 850NM 9.8 GBPS 300M MM</t>
  </si>
  <si>
    <t>472924A.203_reuse</t>
  </si>
  <si>
    <t>FXED FLEXI RF MODULE 6TX 1800</t>
  </si>
  <si>
    <t>ice_PM_001</t>
  </si>
  <si>
    <t>Telecom technician</t>
  </si>
  <si>
    <t xml:space="preserve">per hour per resource, additional fee when ordered separately </t>
  </si>
  <si>
    <t>Service items</t>
  </si>
  <si>
    <t>Project Management</t>
  </si>
  <si>
    <t>TI contractor</t>
  </si>
  <si>
    <t>ice_PM_002</t>
  </si>
  <si>
    <t>Electrician</t>
  </si>
  <si>
    <t>per hour per resource, additional fee when ordered separately</t>
  </si>
  <si>
    <t>ice_PM_003</t>
  </si>
  <si>
    <t>Project manager</t>
  </si>
  <si>
    <t>ice_PM_004</t>
  </si>
  <si>
    <t>Walk test, 2 frequency per sector</t>
  </si>
  <si>
    <t>Equals number of lines with LTE in RNP.</t>
  </si>
  <si>
    <t>basic test to confirm correct installation as per SSV (single Site verification) MOP (no cross-feeder, cross-sector, no pim, no vswr), test phones will be provided by customer</t>
  </si>
  <si>
    <t>ice_PM_005</t>
  </si>
  <si>
    <t>Project management</t>
  </si>
  <si>
    <t>fee for coordination all work per site</t>
  </si>
  <si>
    <t>ice_PM_006</t>
  </si>
  <si>
    <t>Project management - small config/upgrade</t>
  </si>
  <si>
    <t xml:space="preserve">small config sites, small cell sites, band additions, excluding big CW, power delivery, </t>
  </si>
  <si>
    <t>ice_PM_007</t>
  </si>
  <si>
    <t>Power ordering (new subscription and upgrade)</t>
  </si>
  <si>
    <t>For all sites with own power subscription. Also if new or upgrade of OV (application needed). Even if house electrician sends application.</t>
  </si>
  <si>
    <t>power order, follow up with power grid owners, design of new and upgrade power connection, getting quotes from power grid and 3rd parties if required, this package do not apply when serial meter connection is required,</t>
  </si>
  <si>
    <t>ice_PM_008</t>
  </si>
  <si>
    <t>Logistic management</t>
  </si>
  <si>
    <t>ordering all sites materials in suppliers systems, follow up and coordination of material delivery, Site clean-up and delivery of trash to recycling center</t>
  </si>
  <si>
    <t>ice_PM_009</t>
  </si>
  <si>
    <t>Logistic management - small config/upgrade</t>
  </si>
  <si>
    <t>ordering all sites materials in suppliers systems, follow up and coordination of material delivery, Site clean-up and delivery of trash (packing material etc.) to recycling center</t>
  </si>
  <si>
    <t>ice_PM_010</t>
  </si>
  <si>
    <t>As-built documentation to ice</t>
  </si>
  <si>
    <t>delivery to ice database (documaster)</t>
  </si>
  <si>
    <t>ice_PM_011</t>
  </si>
  <si>
    <t>As-built documentation for Site Sharing Owner</t>
  </si>
  <si>
    <t>delivery to  Site Sharing Owner database and follow up of approval ( Telia, Telenor, Bane Nor, Nodnet, SSV)</t>
  </si>
  <si>
    <t>ice_PM_012</t>
  </si>
  <si>
    <t>AutoCAD drawings</t>
  </si>
  <si>
    <t>additional fee for preparation of detailed drawings (AutoCAD drawings) for permitting purpose</t>
  </si>
  <si>
    <t>ice_PM_013</t>
  </si>
  <si>
    <t>Telecom technician 50% overtime</t>
  </si>
  <si>
    <t>ice_PM_014</t>
  </si>
  <si>
    <t>Telecom technician 100% overtime</t>
  </si>
  <si>
    <t>ice_PM_015</t>
  </si>
  <si>
    <t>Electrician 50% overtime</t>
  </si>
  <si>
    <t>ice_PM_016</t>
  </si>
  <si>
    <t>Electrician100% overtime</t>
  </si>
  <si>
    <t>ice_PM_030</t>
  </si>
  <si>
    <t>As-built documentation to ice per MW HOP</t>
  </si>
  <si>
    <t>Per HOP</t>
  </si>
  <si>
    <t>ice_PM_031</t>
  </si>
  <si>
    <t>As-built documentation for Site Sharing Owner for MW Link. Per site</t>
  </si>
  <si>
    <t>Per site</t>
  </si>
  <si>
    <t>Ice_PM_28</t>
  </si>
  <si>
    <t>Coordination of Helicopter services</t>
  </si>
  <si>
    <t>When heli: charge 1 here and put number of flights in cell I8 (normally 2 flights per site)</t>
  </si>
  <si>
    <t>ice_TSS_001</t>
  </si>
  <si>
    <t>TSS report on new RT site</t>
  </si>
  <si>
    <t>excluding  travel, including Technical Site Survey, 
arranging access with LL, 
collection of keys, 
collection of  all required information(radio, power, according to TSSR template), 
creation of BoQ,   
design of detailed construction, 
mechanical and electrical details, 
telecom installation design, 
Antenna direction photos, 
power supply and grounding system design,
foundation design if required, 
preparation of documents and simplified drawings ( with usage of commonly available graphic design tools like word, PowerPoint, paint etc.), 
upload of final report to customer database, 
package applicable only to new Rooftop (RT) sites;</t>
  </si>
  <si>
    <t>TSSR</t>
  </si>
  <si>
    <t>ice_TSS_002</t>
  </si>
  <si>
    <t>TSS report on new GF site</t>
  </si>
  <si>
    <t>excluding  travel, including Technical Site Survey, arranging access with LL, collection of keys, collection of  all required information(radio, power, according to TSSR template), creation of BoQ,   design of detailed construction, mechanical and electrical details, telecom installation design, Antenna direction photos, power supply and grounding system design, foundation design if required, topographical design, ground investigation if required; preparation of documents and simplified drawings ( with usage of commonly available graphic design tools like word, PowerPoint, paint etc.), upload of final report to customer database, package applicable only to new Greenfield (GF) sites;</t>
  </si>
  <si>
    <t>ice_TSS_003</t>
  </si>
  <si>
    <t>TSS report on existing RT Site (Band addition/upgrade)</t>
  </si>
  <si>
    <t>excluding  travel, including Technical Site Survey, arranging access with LL, collection of keys, collection of  all required information (radio, power, according to TSSR template), creation of BoQ,  design of detailed construction which must be upgraded only, mechanical and electrical details, telecom installation design, Antenna direction photos, power supply and grounding system upgrade, foundation design if required, preparation of documents and simplified drawings ( with usage of commonly available graphic design tools like word, PowerPoint, paint etc.), upload of final report to customer database, package applicable only to existing Rooftop (RT) sites;  as-built documentation of existing installation could be available for supplier before TSS visit for majority of sites</t>
  </si>
  <si>
    <t>ice_TSS_004</t>
  </si>
  <si>
    <t>TSS report on existing GF/Shared Site (Band addition/upgrade)</t>
  </si>
  <si>
    <t>excluding  travel, including Technical Site Survey, arranging access with LL, collection of keys, collection of  all required information (radio, power, according to TSSR template), creation of BoQ,  design of detailed construction which must be upgraded only, mechanical and electrical details, telecom installation design, Antenna direction photos,  power supply and grounding system upgrade, preparation of documents and simplified drawings ( with usage of commonly available graphic design tools like word, PowerPoint, paint etc.) for permitting purpose  if required, upload of final report to customer database, package applicable only to existing Greenfield (GF)/Shared sites;  as-built documentation of existing installation could be available for supplier before TSS visit for majority of sites</t>
  </si>
  <si>
    <t>ice_TSS_005</t>
  </si>
  <si>
    <t>TSS report on new small cell/indoor DAS/Tunnel site</t>
  </si>
  <si>
    <t>excluding  travel, including Technical Site Survey, arranging access with LL, collection of keys, collection of  all required information(radio, power, according to TSSR template), creation of BoQ,   design of detailed construction, mechanical and electrical details, telecom installation design, Antenna direction photos,  power supply and grounding system design, preparation of documents and simplified drawings ( with usage of commonly available graphic design tools like word, PowerPoint, paint etc.), upload of final report to customer database, package applicable only to new small cell/DAS sites;</t>
  </si>
  <si>
    <t>ice_TSS_006</t>
  </si>
  <si>
    <t xml:space="preserve">Lyse Tele RL TSS report on existing/new GF/Shared Site/Rooftop </t>
  </si>
  <si>
    <t>excluding  travel, Technical Site Survey, arranging access with LL, collection of keys, collection of  all required information, power, creation of BoQ,  design of detailed construction which must be upgraded only, mechanical and electrical details, telecom installation design, Antenna direction photos,  power supply and grounding system upgrade, preparation of documents and simplified drawings ( with usage of commonly available graphic design tools like word, PowerPoint, paint etc.)  as-built documentation of existing installation could be available for supplier before TSS visit for majority of sites</t>
  </si>
  <si>
    <t>ice_T&amp;T_001</t>
  </si>
  <si>
    <t>Travel (1 man) within region 01</t>
  </si>
  <si>
    <t>including travel to and from Site including accommodation and all necessary arrangements for Site implementation</t>
  </si>
  <si>
    <t>Travel&amp;Transport</t>
  </si>
  <si>
    <t>ice_T&amp;T_002</t>
  </si>
  <si>
    <t>Travel (1 man) within region 02</t>
  </si>
  <si>
    <t>ice_T&amp;T_003</t>
  </si>
  <si>
    <t>Travel (1 man) within region 03</t>
  </si>
  <si>
    <t>ice_T&amp;T_004</t>
  </si>
  <si>
    <t>Travel (1 man) within region 04</t>
  </si>
  <si>
    <t>ice_T&amp;T_005</t>
  </si>
  <si>
    <t>Travel (1 man) within region 05</t>
  </si>
  <si>
    <t>ice_T&amp;T_006</t>
  </si>
  <si>
    <t>Travel (team) within region 01</t>
  </si>
  <si>
    <t xml:space="preserve">including travel to and from Site including accommodation and all necessary arrangements for Site implementation </t>
  </si>
  <si>
    <t>ice_T&amp;T_007</t>
  </si>
  <si>
    <t>Travel (team) within region 02</t>
  </si>
  <si>
    <t>ice_T&amp;T_008</t>
  </si>
  <si>
    <t>Travel (team) within region 03</t>
  </si>
  <si>
    <t>ice_T&amp;T_009</t>
  </si>
  <si>
    <t>Travel (team) within region 04</t>
  </si>
  <si>
    <t>ice_T&amp;T_010</t>
  </si>
  <si>
    <t>Travel (team) within region 05</t>
  </si>
  <si>
    <t>ice_T&amp;T_011</t>
  </si>
  <si>
    <t>Transportation local DOP to Site - up to 3.5t - region 01</t>
  </si>
  <si>
    <t>pick up and transportation of materials from DOP to site, including check delivery notes, reporting of missing material (if any)</t>
  </si>
  <si>
    <t>ice_T&amp;T_012</t>
  </si>
  <si>
    <t>Transportation local DOP to Site - up to 3.5t - region 02</t>
  </si>
  <si>
    <t>ice_T&amp;T_013</t>
  </si>
  <si>
    <t>Transportation local DOP to Site - up to 3.5t - region 03</t>
  </si>
  <si>
    <t>ice_T&amp;T_014</t>
  </si>
  <si>
    <t>Transportation local DOP to Site - up to 3.5t - region 04</t>
  </si>
  <si>
    <t>ice_T&amp;T_015</t>
  </si>
  <si>
    <t>Transportation local DOP to Site - up to 3.5t - region 05</t>
  </si>
  <si>
    <t>ice_T&amp;T_016</t>
  </si>
  <si>
    <t>Transportation local DOP to Site - above 3.5t - region 01</t>
  </si>
  <si>
    <t>ice_T&amp;T_017</t>
  </si>
  <si>
    <t>Transportation local DOP to Site - above 3.5t - region 02</t>
  </si>
  <si>
    <t>ice_T&amp;T_018</t>
  </si>
  <si>
    <t>Transportation local DOP to Site - above 3.5t - region 03</t>
  </si>
  <si>
    <t>ice_T&amp;T_019</t>
  </si>
  <si>
    <t>Transportation local DOP to Site - above 3.5t - region 04</t>
  </si>
  <si>
    <t>ice_T&amp;T_020</t>
  </si>
  <si>
    <t>Transportation local DOP to Site - above 3.5t - region 05</t>
  </si>
  <si>
    <t>ice_T&amp;T_021</t>
  </si>
  <si>
    <t>ATV/Snow scooter</t>
  </si>
  <si>
    <t>price per day including rental costs, transportation to Site area and driving time(up to 2 hours in total included per installation day)</t>
  </si>
  <si>
    <t>ice_T&amp;T_022</t>
  </si>
  <si>
    <t xml:space="preserve">Lifting of equipment and material </t>
  </si>
  <si>
    <t>If crane or lift, charge 1 here</t>
  </si>
  <si>
    <t xml:space="preserve">additional fee per Site preparation of rigging stance, securing lifting area, lifting supervision, </t>
  </si>
  <si>
    <t>ice_Basic_M_001</t>
  </si>
  <si>
    <t>Labeling New sites, Band Addition and Site upgrades</t>
  </si>
  <si>
    <t>according to ice guideline</t>
  </si>
  <si>
    <t>Site Labeling/Basic Installation Material</t>
  </si>
  <si>
    <t>ice_Basic_M_003</t>
  </si>
  <si>
    <t>Labeling small cell site and Tunnell</t>
  </si>
  <si>
    <t>ice_Basic_M_004</t>
  </si>
  <si>
    <t>Standard equipment on Site delivery</t>
  </si>
  <si>
    <t>delivery and installation of additional Site equipment to Site like hook, brush, thermometer, trashcan, etc. as specified in Site guideline</t>
  </si>
  <si>
    <t>Basic</t>
  </si>
  <si>
    <t>ice_Basic_M_005</t>
  </si>
  <si>
    <t xml:space="preserve">Labeling of RL link </t>
  </si>
  <si>
    <t>according to ice labeling guideline</t>
  </si>
  <si>
    <t>ice_Basic_M_006</t>
  </si>
  <si>
    <t>Installation of iLOQ Oval Cylinder/DIN Cylinder/Padlock. Including configuration and testing according to guideline</t>
  </si>
  <si>
    <t>ice_Basic_M_007</t>
  </si>
  <si>
    <t>iLOQ (Lock Boxes)</t>
  </si>
  <si>
    <t>Installation of iLOQ key Lock box including configuration and testing according to guideline</t>
  </si>
  <si>
    <t>ice_BA_Service_001</t>
  </si>
  <si>
    <t>19" rack swap 1 pc</t>
  </si>
  <si>
    <t>dismantle of existing cabinet including of recycling or delivery to local DOP, assembling and installation of new cabinet 19"/23"</t>
  </si>
  <si>
    <t>Band Addition/Site Upgrade</t>
  </si>
  <si>
    <t>ice_BA_Service_002</t>
  </si>
  <si>
    <t>Antenna swap 1 pc</t>
  </si>
  <si>
    <t xml:space="preserve">dismantle of existing antenna including of recycling or delivery to local DOP, installation of new antenna including assembling of factory delivered antenna mounts and down tilt brackets, </t>
  </si>
  <si>
    <t>ice_BA_Service_003</t>
  </si>
  <si>
    <t>Azimuth and tilt adjustment per antenna</t>
  </si>
  <si>
    <t xml:space="preserve">not dependent on number of freq, applies only for existing antennas, </t>
  </si>
  <si>
    <t>ice_DC_Service_001</t>
  </si>
  <si>
    <t>Indoor rectifier installation up to 2m high with 1 Battery String</t>
  </si>
  <si>
    <t>including: commissioning of rectifier control unit, installation of all rectifier modules, 19" extension brackets, connection to main grounding ring if required, alarm connections</t>
  </si>
  <si>
    <t>ice_DC_Service_002</t>
  </si>
  <si>
    <t>Outdoor rectifier installation up to 2m high with 1 Battery String</t>
  </si>
  <si>
    <t>ice_DC_Service_003</t>
  </si>
  <si>
    <t>Outdoor rectifier installation up to 1,5m with 1 Battery String</t>
  </si>
  <si>
    <t>ice_DC_Service_004</t>
  </si>
  <si>
    <t>Rectifier installation inside 19"/23" rack</t>
  </si>
  <si>
    <t>including: commissioning of rectifier control unit, installation of all rectifier modules, 19"/23" extension brackets</t>
  </si>
  <si>
    <t>ice_DC_Service_005</t>
  </si>
  <si>
    <t>Rectifier module unit installation 1 pc</t>
  </si>
  <si>
    <t>including commissioning of rectifier control unit if required</t>
  </si>
  <si>
    <t>ice_DC_Service_006</t>
  </si>
  <si>
    <t>Fuse installation in existing rectifier 1 pc</t>
  </si>
  <si>
    <t>including update of fuse list and labeling if required</t>
  </si>
  <si>
    <t>ice_DC_Service_007</t>
  </si>
  <si>
    <t>Dismantle rectifier</t>
  </si>
  <si>
    <t>including recycling or delivery to local DOP</t>
  </si>
  <si>
    <t>ice_DC_Service_008</t>
  </si>
  <si>
    <t>Installation of DC 380V Remote Unit</t>
  </si>
  <si>
    <t>installation DC-DC indoor/Outdoor remote unit wall/pole, cabling of DC48V or DC380V connections grounding, connection of RRH/RRU to DC-DC remote unit</t>
  </si>
  <si>
    <t>ice_DC_Service_009</t>
  </si>
  <si>
    <t>Installation of DC 380V Central Office Unit</t>
  </si>
  <si>
    <t>installation DC-DC Central Office Unit inside rectifier or 19"/23" rack, cabling of DC48V or DC380V connections including commissioning</t>
  </si>
  <si>
    <t>ice_DC_Service_010</t>
  </si>
  <si>
    <t>Battery string installation 120Ah to 200Ah</t>
  </si>
  <si>
    <t>including commissioning of rectifier control unit, up to 200Ah</t>
  </si>
  <si>
    <t>ice_DC_Service_011</t>
  </si>
  <si>
    <t>Battery string installation up to 120Ah</t>
  </si>
  <si>
    <t>including commissioning of rectifier control unit, up to 120Ah</t>
  </si>
  <si>
    <t>ice_DC_Service_012</t>
  </si>
  <si>
    <t>PDU/OVP installation 1 pc</t>
  </si>
  <si>
    <t>DCDU (also to be charged if DCDU is pre-mounted in ACDB)</t>
  </si>
  <si>
    <t xml:space="preserve">installation of PDU with OVP 19" unit including cabling </t>
  </si>
  <si>
    <t>ice_DC_Service_013</t>
  </si>
  <si>
    <t>Battery shelf installation 1 pc</t>
  </si>
  <si>
    <t>installation of battery shelf in existing rack/rectifier</t>
  </si>
  <si>
    <t>ice_DC_Service_014</t>
  </si>
  <si>
    <t>Support plate for installation of new rectifier cabinet</t>
  </si>
  <si>
    <t xml:space="preserve">installation of supportplate under new rectifier including all accessories (glue or screws etc) </t>
  </si>
  <si>
    <t>ice_DC_Service_015</t>
  </si>
  <si>
    <t xml:space="preserve"> Installation of rackmounted PTTA up to 4U</t>
  </si>
  <si>
    <t>Use when PTTA-2 (rack mounted)</t>
  </si>
  <si>
    <t>Installation of rackmounted PTTA  up to 4U including cables installation up to 1m pr fuse</t>
  </si>
  <si>
    <t>ice_Deicing_001</t>
  </si>
  <si>
    <t xml:space="preserve">Dismantling of TMA </t>
  </si>
  <si>
    <t>including ground cable, recycling or delivery to local DOP</t>
  </si>
  <si>
    <t>Swap and Dismantling</t>
  </si>
  <si>
    <t>ice_Deicing_002</t>
  </si>
  <si>
    <t>Dismantling radio link</t>
  </si>
  <si>
    <t>Up to 0,6 meter , ODU, IDU, internal cabling removal, recycling or delivery to local DOP</t>
  </si>
  <si>
    <t>ice_Deicing_003</t>
  </si>
  <si>
    <t>Dismantling PDU</t>
  </si>
  <si>
    <t>ice_Deicing_004</t>
  </si>
  <si>
    <t>Dismantling Battery String</t>
  </si>
  <si>
    <t>ice_Deicing_005</t>
  </si>
  <si>
    <t>Dismantling feeder/RL cable</t>
  </si>
  <si>
    <t>Including dismantling cable/clamps, recycling or delivery to local DOP</t>
  </si>
  <si>
    <t>ice_Deicing_006</t>
  </si>
  <si>
    <t>Dismantling cable ladders</t>
  </si>
  <si>
    <t>including concrete blocks, brackets, recycling or delivery to local DOP</t>
  </si>
  <si>
    <t>ice_Deicing_007</t>
  </si>
  <si>
    <t xml:space="preserve">Dismantling RRH/RRU </t>
  </si>
  <si>
    <t>including ground cables, recycling or delivery to local DOP</t>
  </si>
  <si>
    <t>ice_Deicing_008</t>
  </si>
  <si>
    <t>Dismantling of System/Radio module (6-pipe)</t>
  </si>
  <si>
    <t>including ground cables recycling or delivery to local DOP</t>
  </si>
  <si>
    <t>ice_Deicing_009</t>
  </si>
  <si>
    <t xml:space="preserve">Dismantling Outdoor power cabinet </t>
  </si>
  <si>
    <t>Dismantle of Eltek/ALU outdoor cabinet including batteries and all units inside, including of recycling or delivery to local DOP</t>
  </si>
  <si>
    <t>ice_Deicing_010</t>
  </si>
  <si>
    <t xml:space="preserve">Dismantling Indoor power cabinet </t>
  </si>
  <si>
    <t>Dismantle of Eltek/ALU indoor cabinet including batteries and all units inside, including of recycling or delivery to local DOP</t>
  </si>
  <si>
    <t>ice_Deicing_011</t>
  </si>
  <si>
    <t xml:space="preserve">Dismantling E//6102 power/radio cabinet </t>
  </si>
  <si>
    <t>Dismantle of Ericsson 6102 series cabinet including batteries and all units inside, including of recycling or delivery to local DOP;;</t>
  </si>
  <si>
    <t>ice_Deicing_012</t>
  </si>
  <si>
    <t>Dismantling antenna on façade</t>
  </si>
  <si>
    <t>including antenna brackets, recycling or delivery to local DOP</t>
  </si>
  <si>
    <t>ice_Deicing_013</t>
  </si>
  <si>
    <t>Dismantling antenna on tripod</t>
  </si>
  <si>
    <t>ice_Deicing_014</t>
  </si>
  <si>
    <t>Dismantling antenna on mast</t>
  </si>
  <si>
    <t>ice_Deicing_015</t>
  </si>
  <si>
    <t>Swap and Replace styrofoam or similar</t>
  </si>
  <si>
    <t>Do not use. Estimate hours and charge on Telecom Technician, line 314</t>
  </si>
  <si>
    <t>Swap and replace styrofoam or similar and replace with rubber mats under cable ladder systems, including recycling or delivery to local DOP</t>
  </si>
  <si>
    <t>ice_Deicing_016</t>
  </si>
  <si>
    <t>Dismantling Gravitation pole</t>
  </si>
  <si>
    <t>including all accessories (steel, blocks, underlayer, fixations), recycling or delivery to local DOP</t>
  </si>
  <si>
    <t>ice_Deicing_017</t>
  </si>
  <si>
    <t xml:space="preserve">Dismantling of "fiber cable" for fiber types G2, G12, G24 </t>
  </si>
  <si>
    <t>Dismantling of fiber cable  per meter for fiber types G2, G12, G24
including dismantling cable/clamps, recycling or delivery to local DOP</t>
  </si>
  <si>
    <t>ice_Deicing_018</t>
  </si>
  <si>
    <t>Dismantling of AC/DC cable or ground cable</t>
  </si>
  <si>
    <t>Dismantling of cable  per meter for AC/DC or Ground cable,
including dismantling cable/clamps, recycling or delivery to local DOP</t>
  </si>
  <si>
    <t>ice_Deicing_019</t>
  </si>
  <si>
    <t>Dismantle of Fuses and Safety switch</t>
  </si>
  <si>
    <t>AC -fuse for 1, 3 Phase or safety switch, DC up to 3 single fuses</t>
  </si>
  <si>
    <t>ice_Deicing_020</t>
  </si>
  <si>
    <t>Dismantle of serial meter</t>
  </si>
  <si>
    <t>AC -power for 1 or 3 phase meter including dismantling fixations, recycling or delivery to local DOP</t>
  </si>
  <si>
    <t>ice_cable_001</t>
  </si>
  <si>
    <t>1/2" feeder installation per meter</t>
  </si>
  <si>
    <t>including clamping,VSWR, according to guideline</t>
  </si>
  <si>
    <t>Feeder and Cable Installation</t>
  </si>
  <si>
    <t>ice_cable_002</t>
  </si>
  <si>
    <t>7/8" feeder installation per meter</t>
  </si>
  <si>
    <t>ice_cable_003</t>
  </si>
  <si>
    <t>1 1/4" or 1 5/8" feeder installation per meter</t>
  </si>
  <si>
    <t>ice_cable_004</t>
  </si>
  <si>
    <t>Fiber cable installation per meter handled</t>
  </si>
  <si>
    <t xml:space="preserve">For fiber types G2, G12, G24 including clamping if necessary, includes effort for coiling up excess of fiber </t>
  </si>
  <si>
    <t>ice_cable_005</t>
  </si>
  <si>
    <t>OCB Junction box installation</t>
  </si>
  <si>
    <t>Not to be used for ATOA. For ATOA use line 593</t>
  </si>
  <si>
    <t>outdoor connection box installation</t>
  </si>
  <si>
    <t>ice_cable_006</t>
  </si>
  <si>
    <t>DC cable installation, 6 mm² per meter</t>
  </si>
  <si>
    <t>including clamping if necessary,</t>
  </si>
  <si>
    <t>ice_cable_007</t>
  </si>
  <si>
    <t>DC cable installation, 10 mm² per meter</t>
  </si>
  <si>
    <t>ice_cable_008</t>
  </si>
  <si>
    <t>DC cable installation, 16 mm² per meter</t>
  </si>
  <si>
    <t>ice_cable_009</t>
  </si>
  <si>
    <t>DC cable installation, 25 mm² per meter</t>
  </si>
  <si>
    <t>ice_cable_010</t>
  </si>
  <si>
    <t>DC cable installation, 35 mm² per meter</t>
  </si>
  <si>
    <t>ice_cable_011</t>
  </si>
  <si>
    <t>AC cable installation per meter</t>
  </si>
  <si>
    <t>ice_cable_012</t>
  </si>
  <si>
    <t xml:space="preserve">1/2" or 7/8" connector installation </t>
  </si>
  <si>
    <t xml:space="preserve">including waterproofing </t>
  </si>
  <si>
    <t>ice_cable_013</t>
  </si>
  <si>
    <t xml:space="preserve">1 1/4" or 1 5/8" connector installation </t>
  </si>
  <si>
    <t>ice_cable_014</t>
  </si>
  <si>
    <t>1/2", 7/8", 1 1/4", 1 5/8" DC-cable grounding kit installation</t>
  </si>
  <si>
    <t>ice_cable_015</t>
  </si>
  <si>
    <t>Jumper installation up to 5m</t>
  </si>
  <si>
    <t>5m jumpers are included when installing RRHs. (Charge for jumpers overshooting 5m)</t>
  </si>
  <si>
    <t>including waterproofing,</t>
  </si>
  <si>
    <t>ice_cable_016</t>
  </si>
  <si>
    <t>LAN/GPS/ALARM cable installation per meter</t>
  </si>
  <si>
    <t>RET cable also to be added here</t>
  </si>
  <si>
    <t>installation per meter</t>
  </si>
  <si>
    <t>ice_cable_017</t>
  </si>
  <si>
    <t>DC cable installation, 50 mm² per meter</t>
  </si>
  <si>
    <t xml:space="preserve"> including clamping if necessary</t>
  </si>
  <si>
    <t>ice_cable_018</t>
  </si>
  <si>
    <t>Installation of Coil Frame</t>
  </si>
  <si>
    <t>Installation of fiber-coil frame including fixations</t>
  </si>
  <si>
    <t>ice_cable_022</t>
  </si>
  <si>
    <t>Core Fiber cable installation per meter</t>
  </si>
  <si>
    <t xml:space="preserve">including clamping if necessary, includes effort for coiling up excess of fiber </t>
  </si>
  <si>
    <t>ice_ant_001</t>
  </si>
  <si>
    <t xml:space="preserve">Antenna installation on facade </t>
  </si>
  <si>
    <t xml:space="preserve">including assembling; wall bracket, connection to main grounding ring if required; </t>
  </si>
  <si>
    <t xml:space="preserve">Antenna Installation </t>
  </si>
  <si>
    <t>ice_ant_002</t>
  </si>
  <si>
    <t>Pole installation on facade</t>
  </si>
  <si>
    <t xml:space="preserve">Pole up to 3 meters; connection to main grounding ring if required; </t>
  </si>
  <si>
    <t>ice_ant_003</t>
  </si>
  <si>
    <t>Antenna installation on facade mounted pole</t>
  </si>
  <si>
    <t>including assembling of factory delivered antenna/down tilt brackets, azimuth and tilt adjustment; connection to main grounding ring if required MAA (5G MIMO Adaptive Antenna)</t>
  </si>
  <si>
    <t>ice_ant_004</t>
  </si>
  <si>
    <t xml:space="preserve">Antenna installation on tripod  </t>
  </si>
  <si>
    <t>ice_ant_005</t>
  </si>
  <si>
    <t xml:space="preserve">Antenna installation on mast </t>
  </si>
  <si>
    <t>remember "ice_ant_013" if CS brackets or CS adapter</t>
  </si>
  <si>
    <t>ice_ant_006</t>
  </si>
  <si>
    <t>H-frame installation</t>
  </si>
  <si>
    <t xml:space="preserve">including assembling and installation of two pipes and two beam boxes; connection to main grounding ring if required; </t>
  </si>
  <si>
    <t>ice_ant_007</t>
  </si>
  <si>
    <t>Off-set bracket installation</t>
  </si>
  <si>
    <t xml:space="preserve">including assembling and installation of one pipe and two beam boxes; connection to main grounding ring if required; </t>
  </si>
  <si>
    <t>ice_ant_008</t>
  </si>
  <si>
    <t xml:space="preserve">RET installation (SBT/RET) </t>
  </si>
  <si>
    <t>Normally not to be charged</t>
  </si>
  <si>
    <t>including connection of AISG cable</t>
  </si>
  <si>
    <t>ice_ant_009</t>
  </si>
  <si>
    <t>Installation indoor antenna</t>
  </si>
  <si>
    <t>Installation of small indoor antenna on wall/roof/MP-plate</t>
  </si>
  <si>
    <t>ice_ant_010</t>
  </si>
  <si>
    <t>Installation of GPS antenna including bracket</t>
  </si>
  <si>
    <t>GPS</t>
  </si>
  <si>
    <t>Installation of GPS antenna including small bracket</t>
  </si>
  <si>
    <t>ice_ant_011</t>
  </si>
  <si>
    <t>Painting of antenna/Antenna wrapping camouflage</t>
  </si>
  <si>
    <t>including purchasing and costs all required materials (paint, wrap, brush etc.)</t>
  </si>
  <si>
    <t>ice_ant_012</t>
  </si>
  <si>
    <t>Installing of "Ice Grid" above RF antenna</t>
  </si>
  <si>
    <t>Including installation of Ice grid/Ice shield protection and brackets above RF antenna according to spec
Installation of Ice grid/ice shield on existing antenna, to be used as an add-on product to product, ice_ant_005</t>
  </si>
  <si>
    <t>ice_ant_013</t>
  </si>
  <si>
    <t xml:space="preserve">
Installation of Griptel brackets on  antenna</t>
  </si>
  <si>
    <t>Installation of CS bracket or CS adapter. 1 per antenna + "ice_ant_5"</t>
  </si>
  <si>
    <t xml:space="preserve">Installation of Griptel bracket on  antenna, to be used as an add-on product to product, ice_ant_005 Antenna installation on mast </t>
  </si>
  <si>
    <t>ice_ant_014</t>
  </si>
  <si>
    <t>Box beam installation in tower</t>
  </si>
  <si>
    <t>2 beams and 2 pipes included per product.</t>
  </si>
  <si>
    <t>installation of two horizontal hubs and one or two vertical pipes</t>
  </si>
  <si>
    <t>ice_ant_015</t>
  </si>
  <si>
    <t>Installing of "Ice Grid" above RF antenna (0.3m to 0.9m)</t>
  </si>
  <si>
    <t>installation of Ice grid/Ice shield protection and brackets above RF antenna according to spec</t>
  </si>
  <si>
    <t>ice_ant_016</t>
  </si>
  <si>
    <t>Installing of "Ice Grid" above RF antenna (01.2m to 1.8m)</t>
  </si>
  <si>
    <t>ice_grav_001</t>
  </si>
  <si>
    <t>Cabinet frame installation on roof top site</t>
  </si>
  <si>
    <t xml:space="preserve">including assembling and installation of protection pads, concrete blocks if required ; connection to main grounding ring if required; </t>
  </si>
  <si>
    <t>Gravitation Poles and Cabinet frame</t>
  </si>
  <si>
    <t>ice_grav_002</t>
  </si>
  <si>
    <t>Cabinet frame installation on ground</t>
  </si>
  <si>
    <t xml:space="preserve">including assembling and installation/digging, connection to main grounding ring if required; </t>
  </si>
  <si>
    <t>ice_grav_003</t>
  </si>
  <si>
    <t>Gravitation pole installation - 4 feet</t>
  </si>
  <si>
    <t xml:space="preserve">including assembling and installation of protection pads, 3 layers of concrete blocks included in the package; up to 4 meters poles; connection to main grounding ring if required; </t>
  </si>
  <si>
    <t>ice_grav_004</t>
  </si>
  <si>
    <t>Additional concrete blocks installation</t>
  </si>
  <si>
    <t xml:space="preserve">above 3 layers of blocks on Gravitation pole </t>
  </si>
  <si>
    <t>ice_grav_005</t>
  </si>
  <si>
    <t>RRH/RRU frame on gravitation pole</t>
  </si>
  <si>
    <t xml:space="preserve">standard RRH/RRU metal frame for up to 6 RHH/RRU on existing frame; connection to main grounding ring if required; </t>
  </si>
  <si>
    <t>ice_grav_006</t>
  </si>
  <si>
    <t>RRH/RRU frame (free standing frame)</t>
  </si>
  <si>
    <t xml:space="preserve">standard RRH/RRU metal frame for up to 6 RHH/RRU, up to 3 layers of concrete blocks included in the package; connection to main grounding ring if required; </t>
  </si>
  <si>
    <t>ice_grav_009</t>
  </si>
  <si>
    <t>Gravitation pole installation - 5 feet</t>
  </si>
  <si>
    <t>including assembling and installation of protection pads, 3 layers of concrete blocks included in the package; up to 4 meters poles; connection to main grounding ring when required;</t>
  </si>
  <si>
    <t>ice_grav_010</t>
  </si>
  <si>
    <t>Gravitation pole installation - 6 feet</t>
  </si>
  <si>
    <t>ice_c_entry_001</t>
  </si>
  <si>
    <t xml:space="preserve">Cable entry gland installation </t>
  </si>
  <si>
    <t xml:space="preserve">Including waterproofing, mounting materials </t>
  </si>
  <si>
    <t>Cable ladder, entry plate/gland</t>
  </si>
  <si>
    <t>ice_c_entry_002</t>
  </si>
  <si>
    <t>Roxtec installation - Standard Configuration</t>
  </si>
  <si>
    <t>installation of frame with all modules, sealing, bolting, grounding if required, excluding core drilling or cutting wall to fit the frame</t>
  </si>
  <si>
    <t>ice_c_entry_003</t>
  </si>
  <si>
    <t xml:space="preserve">Roxtec installation in existing frame </t>
  </si>
  <si>
    <t>only new module installation per cable in existing frame excluding material</t>
  </si>
  <si>
    <t>ice_c_entry_004</t>
  </si>
  <si>
    <t>Grounding of cable inside cable inlet</t>
  </si>
  <si>
    <t>DC/RG/feeder cable grounding in roxtec or other cable entry gland, per cable</t>
  </si>
  <si>
    <t>ice_c_entry_005</t>
  </si>
  <si>
    <t>Cable ladder installation per meter on flat roof</t>
  </si>
  <si>
    <t xml:space="preserve">price per meter, including installation of concrete blocks and protection pads, connection to main grounding ring if required; </t>
  </si>
  <si>
    <t>ice_c_entry_006</t>
  </si>
  <si>
    <t>Cable ladder installation per meter on wall</t>
  </si>
  <si>
    <t xml:space="preserve">price per meter, including connection to main grounding ring if required; </t>
  </si>
  <si>
    <t>ice_c_entry_007</t>
  </si>
  <si>
    <t>Mounting of cover for cable ladder</t>
  </si>
  <si>
    <t>price per meter including fixing materials</t>
  </si>
  <si>
    <t>ice_c_entry_008</t>
  </si>
  <si>
    <t>Flexible pipe installation up to 110mm</t>
  </si>
  <si>
    <t>protection pipe installation, price per meter including fixing materials</t>
  </si>
  <si>
    <t>ice_c_entry_009</t>
  </si>
  <si>
    <t>Cable Bridge between shelter and tower</t>
  </si>
  <si>
    <t>Cable Bridge between shelter and tower up to 6m</t>
  </si>
  <si>
    <t>ice_c_entry_010</t>
  </si>
  <si>
    <t>Drill holes for cable in concrete</t>
  </si>
  <si>
    <t>Drill holes for cable in concrete for feeder/fiber/Power cable, including sealing</t>
  </si>
  <si>
    <t>ice_c_entry_011</t>
  </si>
  <si>
    <t>Drill holes for cable in wood</t>
  </si>
  <si>
    <t>Drill holes for cable in wood for feeder/fiber/Power cable, including sealing</t>
  </si>
  <si>
    <t>ice_c_entry_013</t>
  </si>
  <si>
    <t>Opening and resealing existing cable entry</t>
  </si>
  <si>
    <t xml:space="preserve">Opening and reseasling entry on both sides </t>
  </si>
  <si>
    <t>ice_c_entry_014</t>
  </si>
  <si>
    <t>Cable installation through existing flange</t>
  </si>
  <si>
    <t>Cable installation through excisting flange for eksempel KBI plate or similar including water proofing pr cable.</t>
  </si>
  <si>
    <t>ice_gnd_001</t>
  </si>
  <si>
    <t>Grounding bar installation</t>
  </si>
  <si>
    <t>including connection to main grounding ring with c-clamp</t>
  </si>
  <si>
    <t xml:space="preserve">Grounding </t>
  </si>
  <si>
    <t>ice_gnd_002</t>
  </si>
  <si>
    <t>Ground cable installation up to 35 mm²</t>
  </si>
  <si>
    <t>per meter including clamping if necessary,</t>
  </si>
  <si>
    <t>ice_gnd_003</t>
  </si>
  <si>
    <t>Ground cable installation up to 50mm²</t>
  </si>
  <si>
    <t>ice_gnd_004</t>
  </si>
  <si>
    <t>Grounding rod installation</t>
  </si>
  <si>
    <t>per pc up to 1,5 meter length</t>
  </si>
  <si>
    <t>ice_RM_001</t>
  </si>
  <si>
    <t>19"/23" rack installation 1 pc</t>
  </si>
  <si>
    <t>including assembling; connection to main grounding ring.</t>
  </si>
  <si>
    <t>Radio Modules System Modules (BBU) installation and 19"/23" Rack</t>
  </si>
  <si>
    <t>ice_RM_002</t>
  </si>
  <si>
    <t>System module installation (BBU)</t>
  </si>
  <si>
    <t xml:space="preserve">including installation, common board, capacity board, assembling, cabling, covers, power connector, rail or/and plinth if required; connection to main grounding ring </t>
  </si>
  <si>
    <t>ice_RM_003</t>
  </si>
  <si>
    <t>RRH/RRU installation</t>
  </si>
  <si>
    <t>installation: remote radio head unit or 6 pipe unit including pole/wall bracket, cabling, covers, power connector, rail or/and plinth if required; connection to main grounding ring, jumpers 4 pcs up to length of 5 meters each.</t>
  </si>
  <si>
    <t>ice_RM_004</t>
  </si>
  <si>
    <t xml:space="preserve">RRH/RRU Rail installation </t>
  </si>
  <si>
    <t>RRH/RRU Rail installation on wall or RRU frame</t>
  </si>
  <si>
    <t>ice_RM_005</t>
  </si>
  <si>
    <t>Passive unit installation (coupler, tapper, load, combiner)</t>
  </si>
  <si>
    <t xml:space="preserve">including connection to ground </t>
  </si>
  <si>
    <t>ice_RM_006</t>
  </si>
  <si>
    <t xml:space="preserve">Repeater/Small cell installation </t>
  </si>
  <si>
    <t xml:space="preserve">including assembling, cabling, installation of covers, power connector, rail or/and plinth if required, </t>
  </si>
  <si>
    <t>ice_RM_007</t>
  </si>
  <si>
    <t xml:space="preserve">Installation of temperature and door sensor </t>
  </si>
  <si>
    <t>including cabling</t>
  </si>
  <si>
    <t>ice_RM_008</t>
  </si>
  <si>
    <t>Installation of DC-OVP and/or GPS-OVP</t>
  </si>
  <si>
    <t>GPS OVP</t>
  </si>
  <si>
    <t>including grounding and alarm connections</t>
  </si>
  <si>
    <t>ice_RM_009</t>
  </si>
  <si>
    <t xml:space="preserve">MP-plate installation </t>
  </si>
  <si>
    <t>Mounting Plate: including fixing materials</t>
  </si>
  <si>
    <t>ice_RM_010</t>
  </si>
  <si>
    <t xml:space="preserve">Capacity board installation </t>
  </si>
  <si>
    <t>applicable for additional board installation</t>
  </si>
  <si>
    <t>ice_RM_011</t>
  </si>
  <si>
    <t xml:space="preserve">Common board installation </t>
  </si>
  <si>
    <t>applicable for additional board installation including power and grounding connection</t>
  </si>
  <si>
    <t>ice_RM_012</t>
  </si>
  <si>
    <t xml:space="preserve">TRS equipment installation </t>
  </si>
  <si>
    <t>As before and when installing CSR</t>
  </si>
  <si>
    <t>including installation of 2U 19" indoor unit with up to two DC feeds, assembling, cabling, grounding</t>
  </si>
  <si>
    <t>ice_RM_013</t>
  </si>
  <si>
    <t>sHUB installation</t>
  </si>
  <si>
    <t>installation of 1U 19"  AC indoor unit APHG AirScale ASiR-sHUB for small cell, assembling, cabling, grounding</t>
  </si>
  <si>
    <t>ice_RM_014</t>
  </si>
  <si>
    <t>FTTA box installation</t>
  </si>
  <si>
    <t>ATOA</t>
  </si>
  <si>
    <t>fiber to the antenna, including assembling and pole/wall bracket installation</t>
  </si>
  <si>
    <t>ice_RM_015</t>
  </si>
  <si>
    <t xml:space="preserve">PTTA installation </t>
  </si>
  <si>
    <t>If rack mounted PTTA, use line 499</t>
  </si>
  <si>
    <t>power to the antenna box installation(or similar) including assembling and grounding, pole/wall bracket installation</t>
  </si>
  <si>
    <t>ice_RM_016</t>
  </si>
  <si>
    <t>Commissioning eNB/gNB</t>
  </si>
  <si>
    <t xml:space="preserve">according to SSV MOP, computer with LAN cable and internet connection is required, </t>
  </si>
  <si>
    <t>ice_RM_017</t>
  </si>
  <si>
    <t>Commissioning small cell</t>
  </si>
  <si>
    <t>ice_RM_018</t>
  </si>
  <si>
    <t>External Alarm</t>
  </si>
  <si>
    <t>External alarms connection and testing, establish remote access to recifier or I/O monitor and connect external alarms to DIN-skinne/plint</t>
  </si>
  <si>
    <t>ice_RM_019</t>
  </si>
  <si>
    <t>ODF installation</t>
  </si>
  <si>
    <t>CSR</t>
  </si>
  <si>
    <t>installation of small  preterminated ODF on wall or in rack inluding labeling, and patch to CSR up to 10m</t>
  </si>
  <si>
    <t>ice_RM_020</t>
  </si>
  <si>
    <t>Commissioning of CSR (BSA)</t>
  </si>
  <si>
    <t>Activation of preconfigurated CSR from Altibox partenrs, call to Altibox integration center. </t>
  </si>
  <si>
    <t>ice_AC_001</t>
  </si>
  <si>
    <t xml:space="preserve">Installation of EDP </t>
  </si>
  <si>
    <t>installation of factory preinstalled AC distribution board on wall/pole including fixing materials, fuse list</t>
  </si>
  <si>
    <t>AC Panels and fuses</t>
  </si>
  <si>
    <t>ice_AC_002</t>
  </si>
  <si>
    <t>Fuse installation in existing 230V/400V EDP</t>
  </si>
  <si>
    <t xml:space="preserve">including update of fuse list and labeling </t>
  </si>
  <si>
    <t>ice_AC_003</t>
  </si>
  <si>
    <t xml:space="preserve">Serial meter installation </t>
  </si>
  <si>
    <t>in existing fuse panel/EDP</t>
  </si>
  <si>
    <t>ice_AC_004</t>
  </si>
  <si>
    <t xml:space="preserve">Installation cable protection conduits/tubing </t>
  </si>
  <si>
    <t>ice_AC_005</t>
  </si>
  <si>
    <t>Installation cable channel</t>
  </si>
  <si>
    <t>ice_AC_006</t>
  </si>
  <si>
    <t xml:space="preserve">AC cable installation </t>
  </si>
  <si>
    <t>Lyse Tele_RL_001</t>
  </si>
  <si>
    <t>0.3m/0.6m + 1pcs Radio (ODU)</t>
  </si>
  <si>
    <t>Assembling and installation up to 0.6m parabolic antenna with 1 ODU to 114 mm pipe on either tower, gravity mount, wall mount etc. Includes connection to ground, DC and fiber, installation of Hybrid DCDU in rack, and connection to TX, power and grounding. Per 1pc</t>
  </si>
  <si>
    <t>Radio Link</t>
  </si>
  <si>
    <t>Lyse Tele_RL_002</t>
  </si>
  <si>
    <t>0.9m + 1pcs Radio (ODU)</t>
  </si>
  <si>
    <t>Assembling and installation up to 0.9m parabolic antenna with 1 ODU to 114 mm pipe on either tower, gravity mount, wall mount etc. Includes connection to ground, DC and fiber, installation of Hybrid DCDU in rack, and connection to TX, power and grounding. per 1pc</t>
  </si>
  <si>
    <t>Lyse Tele_RL_003</t>
  </si>
  <si>
    <t>1.2.m/1.8m + 1pcs Radio (ODU)</t>
  </si>
  <si>
    <t>“Assembling and installation up to 1.8m parabolic antenna with 1 ODU to 114 mm pipe on either tower, gravity mount, wall mount etc. Includes connection to ground, DC and fiber, installation of hybrid DCDU in rack, and connection to TX, power and grounding.” per 1pc</t>
  </si>
  <si>
    <t>Lyse Tele_RL_004</t>
  </si>
  <si>
    <t>0.6m + 1pcs E-Band (ODU)</t>
  </si>
  <si>
    <t>Per site x2 (usually 4 per HOP)</t>
  </si>
  <si>
    <t>Installation of e-band 0.6m RL  with 1 ODU. to 114mm pipe, connection to ground, DC and Fiber connection per 1pc</t>
  </si>
  <si>
    <t>Lyse Tele_RL_005</t>
  </si>
  <si>
    <t>Alignment E-Band MW-HOP alignment (0.6m) per HOP</t>
  </si>
  <si>
    <t xml:space="preserve">Aligment of E-Band MW Link HOP, near and far end, including commissioning and testing according to guideline, troubleshooting. Per HOP </t>
  </si>
  <si>
    <t>Lyse Tele_RL_006</t>
  </si>
  <si>
    <t>Alignment of MW LinkHOP (0.3m/0.6m/0.9m/1.2m/1.8m) per HOP</t>
  </si>
  <si>
    <t xml:space="preserve">Aligment of MW Link HOP, near and far end, (0.6m/0.9m/1.2m) including commissioning and testing according to guideline, troubleshooting </t>
  </si>
  <si>
    <t>Lyse Tele_RL_007</t>
  </si>
  <si>
    <t xml:space="preserve">Hybrid Cabel Installation </t>
  </si>
  <si>
    <t>Per meter installed (time spent on stripping of cable to be charged "Telecom technician")</t>
  </si>
  <si>
    <t>Installation of pre-terminated hybrid cable on tower, cable tray, in pipes, or cable channels, including clamping and/or fastening</t>
  </si>
  <si>
    <t>Lyse Tele_RL_008</t>
  </si>
  <si>
    <t xml:space="preserve">Replacment of MW ODU on exsisting installation </t>
  </si>
  <si>
    <t>Replace ODU on existing installation. Per 1pc</t>
  </si>
  <si>
    <t>ice_add_service_1NOK</t>
  </si>
  <si>
    <t>Additional services - 1 NOK value</t>
  </si>
  <si>
    <t>Additional service items not covered by contractual services inc. handling fee</t>
  </si>
  <si>
    <t>Additional services</t>
  </si>
  <si>
    <t>Name of 3rd party and service they provide</t>
  </si>
  <si>
    <t>ice_add_material_1NOK</t>
  </si>
  <si>
    <t>Additional material - 1 NOK value</t>
  </si>
  <si>
    <t>e.g. Maxbo</t>
  </si>
  <si>
    <t>Additional material items not covered by contractual materials incl. handling fee</t>
  </si>
  <si>
    <t>Additional materials</t>
  </si>
  <si>
    <t>MATERIAL PROVIDED BY SUBCO</t>
  </si>
  <si>
    <t xml:space="preserve">* additional items not available on the list can be added below "..._1NOK" products in yellow lines as a free text. Please note that only for items with Product codes defined in Pricing file cost will show up here/will be included in Total price </t>
  </si>
  <si>
    <t>** In case more than one supplier for some of _1NOK "products" then duplicate that line to have each supplier/order in its own line. Write down name of supplier in Comments. Sumbit matrial list below with Qty, Supplier name in Vendor column, but without unit prices</t>
  </si>
  <si>
    <t>3626</t>
  </si>
  <si>
    <t xml:space="preserve">Order 3 pcs + 1m 114mm tube for RL in mast. Mastleg: 25-139,7mm. U bolt=76mm. </t>
  </si>
  <si>
    <t>MAFI</t>
  </si>
  <si>
    <t>2867-1</t>
  </si>
  <si>
    <t>U bolt</t>
  </si>
  <si>
    <t>Opens for use of 114mm tube on 3626 and 3625</t>
  </si>
  <si>
    <t>Important</t>
  </si>
  <si>
    <t>Varenummer</t>
  </si>
  <si>
    <t>Antall</t>
  </si>
  <si>
    <t>Lagersted</t>
  </si>
  <si>
    <t>Aktivitetsnummer</t>
  </si>
  <si>
    <t>Insert activity number from D365  in cell D5</t>
  </si>
  <si>
    <t>Columns free for editing if any need</t>
  </si>
  <si>
    <t>BoQ_v4.00</t>
  </si>
  <si>
    <t/>
  </si>
  <si>
    <t>A3-01</t>
  </si>
  <si>
    <t>Antennefeste for rør Ø60-76</t>
  </si>
  <si>
    <t>Antenna Bracket</t>
  </si>
  <si>
    <t>Griptel</t>
  </si>
  <si>
    <t>NOK</t>
  </si>
  <si>
    <t>A3-01XH</t>
  </si>
  <si>
    <t>Antennefeste for rør Ø60-76 Ekstra stor antenne</t>
  </si>
  <si>
    <t>A3-02</t>
  </si>
  <si>
    <t>Antennefeste for rør Ø41-60</t>
  </si>
  <si>
    <t>A3-02XH</t>
  </si>
  <si>
    <t>Antennefeste for rør Ø41-60 Ekstra stor antenne</t>
  </si>
  <si>
    <t>A3-03</t>
  </si>
  <si>
    <t>Antennefeste for rør Ø30-45</t>
  </si>
  <si>
    <t>A3-03XH</t>
  </si>
  <si>
    <t>Antennefeste for rør Ø25-40 Ekstra stor antenne</t>
  </si>
  <si>
    <t>A3-04</t>
  </si>
  <si>
    <t>Antennefeste for rør Ø114</t>
  </si>
  <si>
    <t>A3-04XH</t>
  </si>
  <si>
    <t>Antennefeste for rør Ø90 Ekstra stor antenne</t>
  </si>
  <si>
    <t>A3-05XH</t>
  </si>
  <si>
    <t>Antennefeste for rør Ø114 Ekstra stor antenne</t>
  </si>
  <si>
    <t>A3-06</t>
  </si>
  <si>
    <t>Overg.fra Andrew antenne til A3</t>
  </si>
  <si>
    <t>A3-10</t>
  </si>
  <si>
    <t>Antennefeste vridbart</t>
  </si>
  <si>
    <t>A3-11</t>
  </si>
  <si>
    <t>Utforingsdel for A3-10</t>
  </si>
  <si>
    <t>A3-12</t>
  </si>
  <si>
    <t>A3-14</t>
  </si>
  <si>
    <t>Antennefeste for rør og runde elementer</t>
  </si>
  <si>
    <t>A3-15</t>
  </si>
  <si>
    <t>Feste for rør/antenne, 3 retninger, vribart</t>
  </si>
  <si>
    <t>ANT.POLE2m</t>
  </si>
  <si>
    <t>Ø50x3.5 L=2000 mm + base plate</t>
  </si>
  <si>
    <t>Antenna Pole</t>
  </si>
  <si>
    <t>ANT.POLE3M</t>
  </si>
  <si>
    <t>Antenne-stolpe 3m.</t>
  </si>
  <si>
    <t>APB AIR</t>
  </si>
  <si>
    <t>Antenna wall bracket</t>
  </si>
  <si>
    <t>AT</t>
  </si>
  <si>
    <t>Brakett for tunnel-tak syrefast</t>
  </si>
  <si>
    <t>Tunnel Bracket</t>
  </si>
  <si>
    <t>AT-PLATE</t>
  </si>
  <si>
    <t>Plate 140x50x6 A4 syrefast</t>
  </si>
  <si>
    <t>AWHR140</t>
  </si>
  <si>
    <t>Camera bracket for Ø76, Panasonic AW-HR140</t>
  </si>
  <si>
    <t>GPS- and Camera</t>
  </si>
  <si>
    <t>B01</t>
  </si>
  <si>
    <t>Isskjerm for Ø0,6 m radiolinje</t>
  </si>
  <si>
    <t>ICE Protection</t>
  </si>
  <si>
    <t>B02</t>
  </si>
  <si>
    <t>Isskjerm for Ø1,2 m radiolinje</t>
  </si>
  <si>
    <t>BFT</t>
  </si>
  <si>
    <t>Braketter for Kathrein syrefast</t>
  </si>
  <si>
    <t>BITUMEN-COVERING</t>
  </si>
  <si>
    <t>BITUMEN-COVERING SikaShield 100x100cm – 4mm BLACK</t>
  </si>
  <si>
    <t>Roof protection</t>
  </si>
  <si>
    <t>BL-01</t>
  </si>
  <si>
    <t>Veggfeste for antenne</t>
  </si>
  <si>
    <t>Wall Brackets</t>
  </si>
  <si>
    <t>BL-01-114</t>
  </si>
  <si>
    <t>Veggfeste for antenne-rør Ø114</t>
  </si>
  <si>
    <t>BL-01-60</t>
  </si>
  <si>
    <t>Veggfeste for antenne-rør Ø60,</t>
  </si>
  <si>
    <t>BL-01-76</t>
  </si>
  <si>
    <t>Veggfeste for antenne-rør Ø76</t>
  </si>
  <si>
    <t>BL-02</t>
  </si>
  <si>
    <t>BL-02-114</t>
  </si>
  <si>
    <t>Veggfeste for antenne-rør 114, Rør og bøyler inkl.</t>
  </si>
  <si>
    <t>BL-02-60</t>
  </si>
  <si>
    <t>Veggfeste for antenne-rør 60, Rør og bøyler inkl.</t>
  </si>
  <si>
    <t>BL-02-76</t>
  </si>
  <si>
    <t>Veggfeste for antenne-rør 76, Rør og bøyler inkl.</t>
  </si>
  <si>
    <t>BL-03</t>
  </si>
  <si>
    <t>BL-03-114</t>
  </si>
  <si>
    <t>BL-03-60</t>
  </si>
  <si>
    <t>Veggfeste for antenne-rør Ø60, Rør og bøyler inkludert</t>
  </si>
  <si>
    <t>BL-03-76</t>
  </si>
  <si>
    <t>Veggfeste for antenne-rør Ø76, Rør og bøyler inkl.</t>
  </si>
  <si>
    <t>BOR/KUTT</t>
  </si>
  <si>
    <t>Tilpasning andre varer</t>
  </si>
  <si>
    <t>Service</t>
  </si>
  <si>
    <t>CALENMAST TOPPLATE</t>
  </si>
  <si>
    <t>Topplate</t>
  </si>
  <si>
    <t>Calendermasts</t>
  </si>
  <si>
    <t>CALENMAST-FOOTSECTION</t>
  </si>
  <si>
    <t>Position 6</t>
  </si>
  <si>
    <t>CALENMAST-HLV</t>
  </si>
  <si>
    <t>Mast 6330mm - 2-delt Helstål</t>
  </si>
  <si>
    <t>CALENMAST-L2700</t>
  </si>
  <si>
    <t>Mast 2700mm Rørvanger</t>
  </si>
  <si>
    <t>CALENMAST-LLV</t>
  </si>
  <si>
    <t>Mast 6330mm - 2-delt Rørvanger</t>
  </si>
  <si>
    <t>CB300</t>
  </si>
  <si>
    <t>Betongblokk 300x300x50mm</t>
  </si>
  <si>
    <t>Concrete Block</t>
  </si>
  <si>
    <t>CB400</t>
  </si>
  <si>
    <t>Betongblokk 400x400x50mm</t>
  </si>
  <si>
    <t>CB500</t>
  </si>
  <si>
    <t>Betongblokk 500x250x50mm</t>
  </si>
  <si>
    <t>CU1</t>
  </si>
  <si>
    <t>Jordingsplate innendørs 8 pkt.</t>
  </si>
  <si>
    <t>Earthing</t>
  </si>
  <si>
    <t>CU2</t>
  </si>
  <si>
    <t>Jordingsplate innendørs 16 pkt.</t>
  </si>
  <si>
    <t>CS-BRACKET-2540</t>
  </si>
  <si>
    <t>CS-BRACKET Tiltable Commscope Bracket, Flexible offset 280mm-400mm, Ø25-Ø40</t>
  </si>
  <si>
    <t>CS-BRACKET-4060</t>
  </si>
  <si>
    <t>CS-BRACKET Tiltable Commscope Bracket, Flexible offset 280mm-400mm, Ø41-Ø60</t>
  </si>
  <si>
    <t>CS-BRACKET-6076</t>
  </si>
  <si>
    <t>CS-BRACKET Tiltable Commscope Bracket, Flexible offset 280mm-400mm, Ø61-Ø76</t>
  </si>
  <si>
    <t>CS-BRACKET-7690</t>
  </si>
  <si>
    <t>CS-BRACKET Tiltable Commscope Bracket, Flexible offset 280mm-400mm, Ø77-Ø90</t>
  </si>
  <si>
    <t>CS-ADAPTER</t>
  </si>
  <si>
    <t>CS-ADAPTER Bended Plate 180x110x4</t>
  </si>
  <si>
    <t>The adapter unlocks usage of standard Griptel antenna brackets.</t>
  </si>
  <si>
    <t>D1</t>
  </si>
  <si>
    <t>Vangefeste for 50 Bom mot rør</t>
  </si>
  <si>
    <t>Mast Bracket</t>
  </si>
  <si>
    <t>D10</t>
  </si>
  <si>
    <t>Vangefeste 50 bom mot Ø60-Ø75 10-20mm forskyvning</t>
  </si>
  <si>
    <t>D11</t>
  </si>
  <si>
    <t>Vangefeste 50 bom mot Ø25-Ø35 10mm forskyvning</t>
  </si>
  <si>
    <t>D111</t>
  </si>
  <si>
    <t>Vangefeste 50 bom mot vinkel 60-80mm</t>
  </si>
  <si>
    <t>D112</t>
  </si>
  <si>
    <t>Vangefeste 50 bom mot vinkel 80-100mm</t>
  </si>
  <si>
    <t>D113</t>
  </si>
  <si>
    <t>Vangefeste 50 bom mot vinkel 100-120mm</t>
  </si>
  <si>
    <t>D114</t>
  </si>
  <si>
    <t>Vangefeste 50 bom mot vinkel 120-150mm</t>
  </si>
  <si>
    <t>D115</t>
  </si>
  <si>
    <t>Vangefeste 50 bom mot vinkel 150-180mm</t>
  </si>
  <si>
    <t>D116</t>
  </si>
  <si>
    <t>Vangefeste 50 bom mot vinkel 180-220mm</t>
  </si>
  <si>
    <t>D12</t>
  </si>
  <si>
    <t>Vangefeste 50 bom mot Ø35-Ø45 10mm forskyvning</t>
  </si>
  <si>
    <t>D120</t>
  </si>
  <si>
    <t>D121</t>
  </si>
  <si>
    <t>Vangefeste Ø60-Ø76 rør mot vinkel 60-80mm</t>
  </si>
  <si>
    <t>D127</t>
  </si>
  <si>
    <t>Vangefeste HUP50x50, L=500 mot vinkel 80-120</t>
  </si>
  <si>
    <t>D128</t>
  </si>
  <si>
    <t>Vangefeste 50 bom mot vinkel 120-160 100mm forskyvning</t>
  </si>
  <si>
    <t>D129</t>
  </si>
  <si>
    <t>Vangefeste, 50 bom mot vinkel 80-120 80mm forskyvning</t>
  </si>
  <si>
    <t>D13</t>
  </si>
  <si>
    <t>Vangefeste 50 bom mot Ø45-Ø60 10mm forskyvning</t>
  </si>
  <si>
    <t>D130</t>
  </si>
  <si>
    <t>Vangefeste HEA 160 mot Ø114</t>
  </si>
  <si>
    <t>D131</t>
  </si>
  <si>
    <t>Vangefeste HEA 160 mot Ø76</t>
  </si>
  <si>
    <t>D133</t>
  </si>
  <si>
    <t>Vangefeste HEA 120 mot Ø114</t>
  </si>
  <si>
    <t>D134</t>
  </si>
  <si>
    <t>Vangefeste HEA 120 mot Ø76</t>
  </si>
  <si>
    <t>D135</t>
  </si>
  <si>
    <t>Vangefeste HEA 120 mot Ø60</t>
  </si>
  <si>
    <t>D14</t>
  </si>
  <si>
    <t>Vangefeste 50 bom mot Ø25-Ø35 10-20mm forskyvning</t>
  </si>
  <si>
    <t>D143-CB</t>
  </si>
  <si>
    <t>Brakett for kabelføring i stolpe Ø160-Ø240</t>
  </si>
  <si>
    <t>Cabling</t>
  </si>
  <si>
    <t>D143-CB MOD</t>
  </si>
  <si>
    <t>Brakett for kabelføring i stolpe Ø270-Ø320</t>
  </si>
  <si>
    <t>D149</t>
  </si>
  <si>
    <t>Veggfeste HUP50x50, L=1000</t>
  </si>
  <si>
    <t>D149-MOD</t>
  </si>
  <si>
    <t>Veggfeste HUP50x50, L=1000, Kontrapl.</t>
  </si>
  <si>
    <t>D149-MOD2</t>
  </si>
  <si>
    <t>HUP 1M, Plate 27x27cm 17cm mellom hull, kontraplate</t>
  </si>
  <si>
    <t>D15</t>
  </si>
  <si>
    <t>Vangefeste 50 bom mot Ø35-Ø45 10-20mm forskyvning</t>
  </si>
  <si>
    <t>D150</t>
  </si>
  <si>
    <t>Veggfeste HUP50x50, L=500</t>
  </si>
  <si>
    <t>D150-MOD</t>
  </si>
  <si>
    <t>D150-MOD2</t>
  </si>
  <si>
    <t>Veggfeste HUP50x50x4 L=1000mm, Kontraplate</t>
  </si>
  <si>
    <t>D151</t>
  </si>
  <si>
    <t>Veggfeste HUP50x50, L=200</t>
  </si>
  <si>
    <t>D151-MOD</t>
  </si>
  <si>
    <t>Veggfeste HUP50x50, L=300, Kontrapl.</t>
  </si>
  <si>
    <t>D151-mod2</t>
  </si>
  <si>
    <t>D151-mod3</t>
  </si>
  <si>
    <t>Veggfeste HUP50x50, L=200 m/kontraplate</t>
  </si>
  <si>
    <t>D152</t>
  </si>
  <si>
    <t>Veggfeste HUP50x50, L=440, Sleidefeste</t>
  </si>
  <si>
    <t>D152-HEA180</t>
  </si>
  <si>
    <t>HOP50...500 with end plate</t>
  </si>
  <si>
    <t>D153</t>
  </si>
  <si>
    <t>Veggfeste HUP50x50, L=200, Sleidefeste, kontra plata</t>
  </si>
  <si>
    <t>D154</t>
  </si>
  <si>
    <t>Veggfeste HUP50x50, L=500, Rør Ø76</t>
  </si>
  <si>
    <t>D155</t>
  </si>
  <si>
    <t>Veggfeste HUP50x50, L=200, Rør Ø76</t>
  </si>
  <si>
    <t>D156</t>
  </si>
  <si>
    <t>Veggfeste HUP50x50, L=400, Rør Ø114</t>
  </si>
  <si>
    <t>D157</t>
  </si>
  <si>
    <t>Veggfeste HUP50x50, L=200, Rør Ø114</t>
  </si>
  <si>
    <t>D16</t>
  </si>
  <si>
    <t>Vangefeste, 50 bom mot Ø45-Ø60 10-20mm forskyvning</t>
  </si>
  <si>
    <t>D163</t>
  </si>
  <si>
    <t>Vangefeste Ø25-Ø45 L=100 mot antenne</t>
  </si>
  <si>
    <t>D164</t>
  </si>
  <si>
    <t>Vangefeste Ø30-Ø50 L=225 mot ant.rør, Sleide</t>
  </si>
  <si>
    <t>D164-A</t>
  </si>
  <si>
    <t>Vangefeste Ø30-Ø50 , L30-L50, L=500 mot ant.rør, justerbar avstand</t>
  </si>
  <si>
    <t>D165</t>
  </si>
  <si>
    <t>Vangefeste Ø50-Ø90 L=275 mot ant.rør, Sleide</t>
  </si>
  <si>
    <t>D165-A</t>
  </si>
  <si>
    <t>Vangefeste for vinkelvange, V50-V90, L=500mm</t>
  </si>
  <si>
    <t>D165-A POS4</t>
  </si>
  <si>
    <t>90 angle U-bolt</t>
  </si>
  <si>
    <t>D166</t>
  </si>
  <si>
    <t>Vangefeste Ø90-Ø120 L=275 mot ant.rør, Sleide</t>
  </si>
  <si>
    <t>D166A</t>
  </si>
  <si>
    <t>Vangefeste Ø90-Ø120, L=500 mot ant.rør, Sleide</t>
  </si>
  <si>
    <t>D166-A-650</t>
  </si>
  <si>
    <t>Vangefeste Ø90-Ø120 L=650 mot ant.rør, Sleide</t>
  </si>
  <si>
    <t>D167</t>
  </si>
  <si>
    <t>Vangefeste Ø130-Ø185 L=275 mot ant.rør, Sleide</t>
  </si>
  <si>
    <t>D167-MOD</t>
  </si>
  <si>
    <t>Vangesfeste vinkel/runde vanger 130 - 160 Sleidefeste for rør</t>
  </si>
  <si>
    <t>D168</t>
  </si>
  <si>
    <t>Vangefeste &gt;Ø185 J-krok L=325 mot ant.rør, Sleide</t>
  </si>
  <si>
    <t>D168-JKROK</t>
  </si>
  <si>
    <t>J-krok for D168</t>
  </si>
  <si>
    <t>D168-MOD</t>
  </si>
  <si>
    <t>Vangefeste med J-krok</t>
  </si>
  <si>
    <t>D17</t>
  </si>
  <si>
    <t>Vangefeste, 50 bom mot Ø25-Ø35 40mm forskyvning</t>
  </si>
  <si>
    <t>D170</t>
  </si>
  <si>
    <t>Brakett for mast/vegg, rør Ø76</t>
  </si>
  <si>
    <t>D172</t>
  </si>
  <si>
    <t>Brakett for mast/vegg, rør Ø114</t>
  </si>
  <si>
    <t>D172-P8</t>
  </si>
  <si>
    <t>Utforing, skrå mast, 10x110x250</t>
  </si>
  <si>
    <t>D175</t>
  </si>
  <si>
    <t>Vangefeste Ø50-Ø90 m/horisontal</t>
  </si>
  <si>
    <t>D175-PLATE</t>
  </si>
  <si>
    <t>D175 Pos.8 plate 10x40x150mm</t>
  </si>
  <si>
    <t>D176</t>
  </si>
  <si>
    <t>Vangefeste Ø90-Ø120 m/horisontal</t>
  </si>
  <si>
    <t>D176-PLATE</t>
  </si>
  <si>
    <t>PLATE 150x40x10 , 2 HOLES</t>
  </si>
  <si>
    <t>D177-A</t>
  </si>
  <si>
    <t>Vangefeste Ø120-Ø180m/horisontal</t>
  </si>
  <si>
    <t>D178-B</t>
  </si>
  <si>
    <t>Vangefeste Ø150-Ø280 J-krok m/horisontal</t>
  </si>
  <si>
    <t>D18</t>
  </si>
  <si>
    <t>Vangefeste 50 bom mot Ø35-Ø45 40mm forskyvning</t>
  </si>
  <si>
    <t>D180</t>
  </si>
  <si>
    <t>Vangefeste Ø25-Ø40 L=210 mot ant.rør,Sleide,vrib.</t>
  </si>
  <si>
    <t>D181</t>
  </si>
  <si>
    <t>Vangefeste Ø45-Ø60 L=210 mot ant.rør,Sleide,vrib.</t>
  </si>
  <si>
    <t>D182</t>
  </si>
  <si>
    <t>Vangefeste Ø65-Ø90 L=300 mot ant.rør,Sleide,vrib.</t>
  </si>
  <si>
    <t>D183</t>
  </si>
  <si>
    <t>Vangefeste Ø25-Ø45 L=200 mot ant.rør,Sleide</t>
  </si>
  <si>
    <t>D183-B</t>
  </si>
  <si>
    <t>Vangefeste Ø20-Ø40 L=294 mot ant.rør,Sleide</t>
  </si>
  <si>
    <t>D184</t>
  </si>
  <si>
    <t>Vangefeste Ø45-Ø60 L=200 mot ant.rør,Sleide</t>
  </si>
  <si>
    <t>D184-B</t>
  </si>
  <si>
    <t>Vangefeste Ø45-Ø60 L=300 mot ant.rør,Sleide</t>
  </si>
  <si>
    <t>D185</t>
  </si>
  <si>
    <t>Vangefeste Ø65-Ø90 L=300 mot ant.rør,Sleide</t>
  </si>
  <si>
    <t>D186</t>
  </si>
  <si>
    <t>Vangefeste for skrå vange Ø25-40</t>
  </si>
  <si>
    <t>D186-RRU</t>
  </si>
  <si>
    <t>Antennefeste utenfor RRU i mast / Ø25-40mm</t>
  </si>
  <si>
    <t>RRH Brackets</t>
  </si>
  <si>
    <t>D186XH</t>
  </si>
  <si>
    <t>Vangefeste for skrå vange Ø25-40 Ekstra stor antenne</t>
  </si>
  <si>
    <t>D187</t>
  </si>
  <si>
    <t>Vangefeste for skrå vange Ø40-60</t>
  </si>
  <si>
    <t>D187-RRU</t>
  </si>
  <si>
    <t>Antennefeste utenfor RRU i mast / Ø41-60mm</t>
  </si>
  <si>
    <t>D187XH</t>
  </si>
  <si>
    <t>Vangefeste for skrå vange Ø40-60 Ekstra stor antenne</t>
  </si>
  <si>
    <t>D188</t>
  </si>
  <si>
    <t>Vangefeste for skrå vange Ø65-90</t>
  </si>
  <si>
    <t>D188-RRU</t>
  </si>
  <si>
    <t>Antennefeste utenfor RRU i mast / Ø61-90mm</t>
  </si>
  <si>
    <t>D188XH</t>
  </si>
  <si>
    <t>Vangefeste for skrå vange Ø65-90 Ekstra stor antenne</t>
  </si>
  <si>
    <t>D19</t>
  </si>
  <si>
    <t>Vangefeste 50 bom mot Ø45-Ø60 40mm forskyvning</t>
  </si>
  <si>
    <t>D190</t>
  </si>
  <si>
    <t>D190-DAB antennefester (sett-2stk) for feltantenne Kathrein 750 10350</t>
  </si>
  <si>
    <t>D191</t>
  </si>
  <si>
    <t>D191-Antennefeste (sett-2stk) for DD-ant 75010161 mot rør Ø76</t>
  </si>
  <si>
    <t>D192</t>
  </si>
  <si>
    <t>D192 -Antennefeste (sett-2stk) for DD-ant 75010161 mot rør Ø114 (107289)</t>
  </si>
  <si>
    <t>d193</t>
  </si>
  <si>
    <t>D193-Antennefeste (sett-2 stk) for DD-ant 750 10 295(-7) mot rør Ø76mm</t>
  </si>
  <si>
    <t>D194</t>
  </si>
  <si>
    <t>D194-Antennefeste (sett-2stk) for DD-ant 750 10 295(-7) mot rør Ø114mm</t>
  </si>
  <si>
    <t>D210</t>
  </si>
  <si>
    <t>Ø 88.9x3,65 L=2000</t>
  </si>
  <si>
    <t>Pipe</t>
  </si>
  <si>
    <t>D210-1</t>
  </si>
  <si>
    <t>Ø 88.9x3,65 L=1000</t>
  </si>
  <si>
    <t>D211</t>
  </si>
  <si>
    <t>Ø 88.9x4 L=6000</t>
  </si>
  <si>
    <t>D211-3</t>
  </si>
  <si>
    <t>Ø 88.9x4 L=3000mm</t>
  </si>
  <si>
    <t>D211-4</t>
  </si>
  <si>
    <t>Ø88,9x4 4000mm</t>
  </si>
  <si>
    <t>D22</t>
  </si>
  <si>
    <t>Vangefeste 50 bom mot Ø45-Ø60 80mm forskyvning</t>
  </si>
  <si>
    <t>D220</t>
  </si>
  <si>
    <t>Ø 114,3x3,65 L=1000</t>
  </si>
  <si>
    <t>D221</t>
  </si>
  <si>
    <t>Ø 114,3x3,65 L=1300</t>
  </si>
  <si>
    <t>D222</t>
  </si>
  <si>
    <t>Ø 114,3x3,65 L=1500</t>
  </si>
  <si>
    <t>D223</t>
  </si>
  <si>
    <t>Ø 114,3x3,65 L=2000</t>
  </si>
  <si>
    <t>D224</t>
  </si>
  <si>
    <t>Ø 114,3x3,65 L=2500</t>
  </si>
  <si>
    <t>D225</t>
  </si>
  <si>
    <t>Ø 114,3x3,65 L=3000</t>
  </si>
  <si>
    <t>D226</t>
  </si>
  <si>
    <t>Ø 114,3x3,65 L=3500</t>
  </si>
  <si>
    <t>D227</t>
  </si>
  <si>
    <t>Ø 114,3x3,65 L=4000</t>
  </si>
  <si>
    <t>D228</t>
  </si>
  <si>
    <t>Ø 114,3x3,65 L=5000</t>
  </si>
  <si>
    <t>D229</t>
  </si>
  <si>
    <t>Ø 114x4,3 L=6000</t>
  </si>
  <si>
    <t>D23</t>
  </si>
  <si>
    <t>Vangefeste 50 bom mot Ø25-Ø35 120mm forskyvning</t>
  </si>
  <si>
    <t>D24</t>
  </si>
  <si>
    <t>Vangefeste 50 bom mot Ø60-Ø75 40mm forskyvning</t>
  </si>
  <si>
    <t>D25</t>
  </si>
  <si>
    <t>Vangefeste 50 bom mot vinkel 60-80 J-krok</t>
  </si>
  <si>
    <t>D26</t>
  </si>
  <si>
    <t>Vangefeste 50 bom mot vinkel 80-120, J-krok</t>
  </si>
  <si>
    <t>D27</t>
  </si>
  <si>
    <t>Vangefeste 50 bom mot vinkel 120-160, J-krok</t>
  </si>
  <si>
    <t>D28</t>
  </si>
  <si>
    <t>Vangefeste 50 bom mot vinkel 160-220, J-krok</t>
  </si>
  <si>
    <t>D3</t>
  </si>
  <si>
    <t>Vangefeste 50 bom mot Ø45-Ø60</t>
  </si>
  <si>
    <t>D36A</t>
  </si>
  <si>
    <t>Feste 50 bom mot Ø50 vrisikker</t>
  </si>
  <si>
    <t>D37A</t>
  </si>
  <si>
    <t>Feste 50 bom mot Ø60 vrisikker</t>
  </si>
  <si>
    <t>D38A</t>
  </si>
  <si>
    <t>Feste 50 bom mot Ø76 vrisikker</t>
  </si>
  <si>
    <t>D39A</t>
  </si>
  <si>
    <t>Feste 50 bom mot Ø90 vrisikker</t>
  </si>
  <si>
    <t>D4</t>
  </si>
  <si>
    <t>Vangefeste 50 bom mot Ø60-Ø76</t>
  </si>
  <si>
    <t>D407</t>
  </si>
  <si>
    <t>Kontra-/Endeplate 200x160x8</t>
  </si>
  <si>
    <t>D407-MOD</t>
  </si>
  <si>
    <t>Kontra-/Endeplate 220x200x8</t>
  </si>
  <si>
    <t>D40A</t>
  </si>
  <si>
    <t>Feste 50 bom mot Ø114 vrisikker</t>
  </si>
  <si>
    <t>D43</t>
  </si>
  <si>
    <t>Vangefeste 60-80 bom mot Ø25-45</t>
  </si>
  <si>
    <t>D44</t>
  </si>
  <si>
    <t>Vangefeste 60-80 bom mot Ø45-60</t>
  </si>
  <si>
    <t>D45</t>
  </si>
  <si>
    <t>Vangefeste 60-80 bom mot Ø60-76</t>
  </si>
  <si>
    <t>D46</t>
  </si>
  <si>
    <t>Vangefeste, 60-80 bom mot Ø76-90</t>
  </si>
  <si>
    <t>D46-PLATE</t>
  </si>
  <si>
    <t>Plate D46</t>
  </si>
  <si>
    <t>D47</t>
  </si>
  <si>
    <t>Vangefeste, 60-80 bom mot Ø90-114</t>
  </si>
  <si>
    <t>D5</t>
  </si>
  <si>
    <t>Vangefeste, 50 bom mot Ø76-Ø90</t>
  </si>
  <si>
    <t>D51</t>
  </si>
  <si>
    <t>Skjøtehylse for Ø76</t>
  </si>
  <si>
    <t>D514-P2</t>
  </si>
  <si>
    <t>Stag med fast lengde L=2000mm</t>
  </si>
  <si>
    <t>D514-P3</t>
  </si>
  <si>
    <t>Stag med fast lengde L=3000mm</t>
  </si>
  <si>
    <t>D515-P1</t>
  </si>
  <si>
    <t>Stag med fast lengde L=1760mm</t>
  </si>
  <si>
    <t>D515-P2</t>
  </si>
  <si>
    <t>Stag med fast lengde L=1660mm</t>
  </si>
  <si>
    <t>D515-P3</t>
  </si>
  <si>
    <t>Stag med fast lengde L=1360mm</t>
  </si>
  <si>
    <t>D515-P4</t>
  </si>
  <si>
    <t>Stag med fast lengde L=1260mm</t>
  </si>
  <si>
    <t>D515-P6</t>
  </si>
  <si>
    <t>Feste av stag mot rør Ø76</t>
  </si>
  <si>
    <t>D515-P7</t>
  </si>
  <si>
    <t>Feste av stag mot rør Ø50</t>
  </si>
  <si>
    <t>D515-P8</t>
  </si>
  <si>
    <t>Feste av stag mot rør Ø114</t>
  </si>
  <si>
    <t>D53</t>
  </si>
  <si>
    <t>Skjøtehylse for Ø60</t>
  </si>
  <si>
    <t>D530</t>
  </si>
  <si>
    <t>Stag fleksibel lengde 1450-1900mm</t>
  </si>
  <si>
    <t>D531</t>
  </si>
  <si>
    <t>Stag fleksibel lengde 1050-1450mm</t>
  </si>
  <si>
    <t>D542</t>
  </si>
  <si>
    <t>Delta ramme H=3,0M</t>
  </si>
  <si>
    <t>Parallell Frames</t>
  </si>
  <si>
    <t>D544</t>
  </si>
  <si>
    <t>Parallell-ramme H=1,6 CC=0,8M HUP30</t>
  </si>
  <si>
    <t>D545</t>
  </si>
  <si>
    <t>Parallell-ramme H=1.6, CC = 1.0, HUP40</t>
  </si>
  <si>
    <t>D546</t>
  </si>
  <si>
    <t>Parallel-ramme H=2,3 CC=0,8M HUP30</t>
  </si>
  <si>
    <t>D546-1</t>
  </si>
  <si>
    <t>Parallell Ramme H=2,3 CC=1,0M HUP40</t>
  </si>
  <si>
    <t>D548</t>
  </si>
  <si>
    <t>Offset-ramme H=1,6 CC=0,4M</t>
  </si>
  <si>
    <t>D549</t>
  </si>
  <si>
    <t>Offset Ramme H=2,3 CC=0,4m</t>
  </si>
  <si>
    <t>D55</t>
  </si>
  <si>
    <t>Feste 50 bom mot 50 bom, 4 bolter</t>
  </si>
  <si>
    <t>HUP-Brackets</t>
  </si>
  <si>
    <t>D550</t>
  </si>
  <si>
    <t>parallel frame for 2pcs 5G antennas</t>
  </si>
  <si>
    <t>D551</t>
  </si>
  <si>
    <t>offset frame for 1pc 5G antenna</t>
  </si>
  <si>
    <t>D552</t>
  </si>
  <si>
    <t>parallel frame for 2pcs (1x large+ 1x small) 5G antennas</t>
  </si>
  <si>
    <t>D553</t>
  </si>
  <si>
    <t>offset frame for 1pc 5Gl antenna</t>
  </si>
  <si>
    <t>D554</t>
  </si>
  <si>
    <t>D554 ICE Offset-frame for 1pcs Antenna, H=1000, CC=1000, HUP50</t>
  </si>
  <si>
    <t>Allows for CC = 1000mm from the antenna pole to the main pole.</t>
  </si>
  <si>
    <t>D56</t>
  </si>
  <si>
    <t>Feste 50 bom mot 50 bom, 2 bolter</t>
  </si>
  <si>
    <t>D6</t>
  </si>
  <si>
    <t>Vangefeste 50 Bom Ø90-Ø114</t>
  </si>
  <si>
    <t>D612</t>
  </si>
  <si>
    <t>Feste for ekstra kabelføring</t>
  </si>
  <si>
    <t>D613</t>
  </si>
  <si>
    <t>cable bracket for Ø28-Ø32</t>
  </si>
  <si>
    <t>D614</t>
  </si>
  <si>
    <t>Feste for Kabelføring Ø22-25</t>
  </si>
  <si>
    <t>D615-mod</t>
  </si>
  <si>
    <t>cable bracket for HOP80x30</t>
  </si>
  <si>
    <t>D617</t>
  </si>
  <si>
    <t>Feste for Kabeføring Ø25-28</t>
  </si>
  <si>
    <t>D618</t>
  </si>
  <si>
    <t>cable bracket for Ø40</t>
  </si>
  <si>
    <t>D632</t>
  </si>
  <si>
    <t>Kabelbro mellom hytte og mast L=3000 A=400</t>
  </si>
  <si>
    <t>Cable Bridge</t>
  </si>
  <si>
    <t>D632-1</t>
  </si>
  <si>
    <t>Kabelbro mellom hytte og mast L=1000 A=400</t>
  </si>
  <si>
    <t>D632-2</t>
  </si>
  <si>
    <t>Kabelbro mellom hytte og mast L=2000 A=400</t>
  </si>
  <si>
    <t>D632-4</t>
  </si>
  <si>
    <t>Kabelbro mellom hytte og mast L=4000 A=400</t>
  </si>
  <si>
    <t>D632-6</t>
  </si>
  <si>
    <t>Kabelbro mellom hytte og mast L=6000 A=400 Wibe 1355840</t>
  </si>
  <si>
    <t>D633</t>
  </si>
  <si>
    <t>Dekkanal for Kabelbru L=3000 A=210</t>
  </si>
  <si>
    <t>D633-1</t>
  </si>
  <si>
    <t>Dekkanal for Kabelbru L=1000 A=210</t>
  </si>
  <si>
    <t>D633-2</t>
  </si>
  <si>
    <t>Dekkanal for Kabelbru L=2000 A=210</t>
  </si>
  <si>
    <t>D634</t>
  </si>
  <si>
    <t>Dekkanal for Kabelbru L=3000 A=310</t>
  </si>
  <si>
    <t>D634-1</t>
  </si>
  <si>
    <t>Dekkanal for Kabelbru L=1000 A=310</t>
  </si>
  <si>
    <t>D635</t>
  </si>
  <si>
    <t>Dekkanal for Kabelbru L=3000 A=410</t>
  </si>
  <si>
    <t>D635-1</t>
  </si>
  <si>
    <t>Dekkanal for Kabelbru L=1000 A=410</t>
  </si>
  <si>
    <t>D635-2</t>
  </si>
  <si>
    <t>Dekkanal for Kabelbru L=2000 A=410</t>
  </si>
  <si>
    <t>D636</t>
  </si>
  <si>
    <t>Feste Dekkanal til Kabelstige</t>
  </si>
  <si>
    <t>D637</t>
  </si>
  <si>
    <t>Oppl.vinkel Kabelstige mot hus</t>
  </si>
  <si>
    <t>D638</t>
  </si>
  <si>
    <t>Feste for Kabelstige til mast</t>
  </si>
  <si>
    <t>D639</t>
  </si>
  <si>
    <t>Feste av kabelstig til vegg</t>
  </si>
  <si>
    <t>D639-WIBE200</t>
  </si>
  <si>
    <t>Feste av kabelstige til vegg</t>
  </si>
  <si>
    <t>D640</t>
  </si>
  <si>
    <t>Justerbar støtte for kabelbro</t>
  </si>
  <si>
    <t>D641</t>
  </si>
  <si>
    <t>Dekkanal for Kabelbru L=3000 A=510</t>
  </si>
  <si>
    <t>D641-1</t>
  </si>
  <si>
    <t>Dekkanal for kabelbru L=1000 A=510</t>
  </si>
  <si>
    <t>D650</t>
  </si>
  <si>
    <t>Kabelbro forsterket L=6000 A=200 Wibe 1355820</t>
  </si>
  <si>
    <t>D650-1</t>
  </si>
  <si>
    <t>Kabelbro forsterket L=1000 A=200</t>
  </si>
  <si>
    <t>D650-2</t>
  </si>
  <si>
    <t>Kabelbro forsterket L=2000 A=200</t>
  </si>
  <si>
    <t>D650-3</t>
  </si>
  <si>
    <t>Kabelbro forsterket L=3000 A=200</t>
  </si>
  <si>
    <t>D660-1</t>
  </si>
  <si>
    <t>Mont.Skinne 41x41x2,5 1M.</t>
  </si>
  <si>
    <t>Mounting Rail</t>
  </si>
  <si>
    <t>D660-2</t>
  </si>
  <si>
    <t>Moneringskinne 2 m.</t>
  </si>
  <si>
    <t>D660-3</t>
  </si>
  <si>
    <t>Mont.Skinne 41x41x2,5  3M.</t>
  </si>
  <si>
    <t>D660-6</t>
  </si>
  <si>
    <t>Mont.Skinne 41x41x2,5 6M. Art. 3476548</t>
  </si>
  <si>
    <t>D67</t>
  </si>
  <si>
    <t>Ø50x2,9  L=1000</t>
  </si>
  <si>
    <t>D670</t>
  </si>
  <si>
    <t>Kabelbro forsterket L=6000 A=300 Wibe 1355830</t>
  </si>
  <si>
    <t>D670-1</t>
  </si>
  <si>
    <t>Kabelbro forsterket L=1000 A=300</t>
  </si>
  <si>
    <t>D670-2</t>
  </si>
  <si>
    <t>Kabelbro forsterket L=2000 A=300</t>
  </si>
  <si>
    <t>D670-3</t>
  </si>
  <si>
    <t>Kabelbro forsterket L=3000 A=300</t>
  </si>
  <si>
    <t>D68</t>
  </si>
  <si>
    <t>Ø50x2,9  L=1500</t>
  </si>
  <si>
    <t>D680</t>
  </si>
  <si>
    <t>Kabelbro forsterket L=6000 A=500 Wibe 1355850</t>
  </si>
  <si>
    <t>D680-1</t>
  </si>
  <si>
    <t>Kabelbro forsterket L=1000 A=500</t>
  </si>
  <si>
    <t>D680-2</t>
  </si>
  <si>
    <t>Kabelbro forsterket L=2000 A=500</t>
  </si>
  <si>
    <t>D680-3</t>
  </si>
  <si>
    <t>Kabelbro forsterket L=3000 A=500</t>
  </si>
  <si>
    <t>D680-4</t>
  </si>
  <si>
    <t>Kabelbro forsterket L=4000 A=500</t>
  </si>
  <si>
    <t>D69</t>
  </si>
  <si>
    <t>Ø50x2,9  L=3000</t>
  </si>
  <si>
    <t>D69-4</t>
  </si>
  <si>
    <t>Ø50x2,9  L=4000</t>
  </si>
  <si>
    <t>D7</t>
  </si>
  <si>
    <t>Vangefeste 50 Bom Ø110-Ø140</t>
  </si>
  <si>
    <t>D70</t>
  </si>
  <si>
    <t>Ø60x2,9  L=1000</t>
  </si>
  <si>
    <t>D71</t>
  </si>
  <si>
    <t>Ø60x2,9  L=1600</t>
  </si>
  <si>
    <t>D71-1-5</t>
  </si>
  <si>
    <t>Ø60x2,9  L=1500</t>
  </si>
  <si>
    <t>D72</t>
  </si>
  <si>
    <t>Ø60x2,9  L=2200</t>
  </si>
  <si>
    <t>D72-2</t>
  </si>
  <si>
    <t>Ø60x2,9  L=2000</t>
  </si>
  <si>
    <t>D73</t>
  </si>
  <si>
    <t>Ø60x2,9  L=2500</t>
  </si>
  <si>
    <t>D73-3</t>
  </si>
  <si>
    <t>Ø60x2,9  L=3000</t>
  </si>
  <si>
    <t>D73-4</t>
  </si>
  <si>
    <t>Ø60x2,9  L=4000</t>
  </si>
  <si>
    <t>D74</t>
  </si>
  <si>
    <t>D74-5</t>
  </si>
  <si>
    <t>Ø60x2,9  L=5000</t>
  </si>
  <si>
    <t>D75</t>
  </si>
  <si>
    <t>Ø60x2,9  L=6000</t>
  </si>
  <si>
    <t>D76</t>
  </si>
  <si>
    <t>Ø76x3,65  L=1000</t>
  </si>
  <si>
    <t>D77</t>
  </si>
  <si>
    <t>Ø76x3,65  L=2000</t>
  </si>
  <si>
    <t>D78</t>
  </si>
  <si>
    <t>Ø76x3,65  L=3000</t>
  </si>
  <si>
    <t>D78-2.5</t>
  </si>
  <si>
    <t>Ø76x3,65 L=2500</t>
  </si>
  <si>
    <t>D79</t>
  </si>
  <si>
    <t>Ø76x3,65  L=6000</t>
  </si>
  <si>
    <t>D8</t>
  </si>
  <si>
    <t>Vangefeste 50 Bom Ø140-Ø180</t>
  </si>
  <si>
    <t>D80-4</t>
  </si>
  <si>
    <t>Ø76x4,5  L=4000</t>
  </si>
  <si>
    <t>D80-5</t>
  </si>
  <si>
    <t>Ø76x4,5  L=5000</t>
  </si>
  <si>
    <t>D80-6</t>
  </si>
  <si>
    <t>Ø76x4,5  L=6000</t>
  </si>
  <si>
    <t>D81</t>
  </si>
  <si>
    <t>HUP50x50x4  L=1000</t>
  </si>
  <si>
    <t>HUPS</t>
  </si>
  <si>
    <t>D82</t>
  </si>
  <si>
    <t>HUP50x50x4  L=1300</t>
  </si>
  <si>
    <t>D83</t>
  </si>
  <si>
    <t>HUP50x50x4  L=2000</t>
  </si>
  <si>
    <t>D84</t>
  </si>
  <si>
    <t>HUP50x50x4  L=4000</t>
  </si>
  <si>
    <t>D85</t>
  </si>
  <si>
    <t>HUP50x50x4  L=3000</t>
  </si>
  <si>
    <t>D85 1.5</t>
  </si>
  <si>
    <t>HUP50x50x4 L=1500</t>
  </si>
  <si>
    <t>D86</t>
  </si>
  <si>
    <t>HUP50x50x4  L=6000</t>
  </si>
  <si>
    <t>D9</t>
  </si>
  <si>
    <t>Vangefeste 50-HUP mot Ø60-Ø76 inkludert 10mm spacer</t>
  </si>
  <si>
    <t>D91</t>
  </si>
  <si>
    <t>HUP50x50x4  L=1940  D41 i hver ende</t>
  </si>
  <si>
    <t>D92</t>
  </si>
  <si>
    <t>HUP50x50x4  L=2440  D41 i hver ende</t>
  </si>
  <si>
    <t>D97</t>
  </si>
  <si>
    <t>HUP50x50x4  L=1200 D41 i en ende</t>
  </si>
  <si>
    <t>D98</t>
  </si>
  <si>
    <t>HUP50x50x4  L=2000 D41 i en ende</t>
  </si>
  <si>
    <t>D99</t>
  </si>
  <si>
    <t>HUP50x50x4  L=1200 påsveiset Ø60</t>
  </si>
  <si>
    <t>FIBER</t>
  </si>
  <si>
    <t>Fiberduk 1x2M</t>
  </si>
  <si>
    <t>G2-01</t>
  </si>
  <si>
    <t>Vangefeste, RL-mast, vinkel L150-L250, L=500, J-krok</t>
  </si>
  <si>
    <t>GFO0</t>
  </si>
  <si>
    <t>Ø130 Blindplate med pakning</t>
  </si>
  <si>
    <t>Cable Intake</t>
  </si>
  <si>
    <t>GFO1</t>
  </si>
  <si>
    <t>Ø130 1 stkK Ø70 med pakning</t>
  </si>
  <si>
    <t>GFO3</t>
  </si>
  <si>
    <t>Ø130 3 stk Ø34 med pakning</t>
  </si>
  <si>
    <t>GFO4</t>
  </si>
  <si>
    <t>Ø130 4 stk Ø34 med pakning</t>
  </si>
  <si>
    <t>GFO7</t>
  </si>
  <si>
    <t>Ø130 7 stk Ø22 med pakning</t>
  </si>
  <si>
    <t>GPS-BRACKET</t>
  </si>
  <si>
    <t>GPS-brakett mot rør Ø25-Ø114</t>
  </si>
  <si>
    <t>Don't order this. Order FYMA (Nokia) in BoQ</t>
  </si>
  <si>
    <t>GR001-11</t>
  </si>
  <si>
    <t>Feste RRU på standard TLN-feste</t>
  </si>
  <si>
    <t>GR001-11-bolts</t>
  </si>
  <si>
    <t>set of bolts for GR001-11</t>
  </si>
  <si>
    <t>GR001-11-P1</t>
  </si>
  <si>
    <t>RRU-feste til GR001-11</t>
  </si>
  <si>
    <t>GR001-11-P2</t>
  </si>
  <si>
    <t>Sveiset Ramme</t>
  </si>
  <si>
    <t>GR001-11-P3</t>
  </si>
  <si>
    <t>Bøyd HUP</t>
  </si>
  <si>
    <t>GR001-11-P4</t>
  </si>
  <si>
    <t>PLATE125x50x5</t>
  </si>
  <si>
    <t>GR106-16</t>
  </si>
  <si>
    <t>Ramme 1,2m for vegg /tak løsning Industri</t>
  </si>
  <si>
    <t>GR116-01</t>
  </si>
  <si>
    <t>Ramme 0,8m bøyd antennerør over takkant,estetisk</t>
  </si>
  <si>
    <t>GR116-02</t>
  </si>
  <si>
    <t>Ramme 0,8m rett antennerør over takkant,industri</t>
  </si>
  <si>
    <t>GR116-03</t>
  </si>
  <si>
    <t>Antennefeste over takkant 1stk. bøyd rør</t>
  </si>
  <si>
    <t>GR116-04</t>
  </si>
  <si>
    <t>Antennefeste over takkant</t>
  </si>
  <si>
    <t>GR116-07</t>
  </si>
  <si>
    <t>Ramme 1.6m 2 stk rett antennerør over takkant - industri</t>
  </si>
  <si>
    <t>GR116-08</t>
  </si>
  <si>
    <t>Bjelke 2m 1 stk antennerør</t>
  </si>
  <si>
    <t>GR116-09</t>
  </si>
  <si>
    <t>Bjelke 2m 2 stk antenneør</t>
  </si>
  <si>
    <t>GR116-12</t>
  </si>
  <si>
    <t>Bjelke 2x1.6m 4stk antennerør</t>
  </si>
  <si>
    <t>GR120-04-P15</t>
  </si>
  <si>
    <t>Bjelke 0,7m for bæring av ramme monteres på vegg</t>
  </si>
  <si>
    <t>GR120-04-P16</t>
  </si>
  <si>
    <t>Bjelke 1,35m for bæring av ramme monteres på vegg</t>
  </si>
  <si>
    <t>GR120-04-P60</t>
  </si>
  <si>
    <t>Vinkel for feste av ODU-ramme</t>
  </si>
  <si>
    <t>GR120-10-P1</t>
  </si>
  <si>
    <t>Bjelke HEA 120 L=0,8m</t>
  </si>
  <si>
    <t>GR120-10-P10</t>
  </si>
  <si>
    <t>Bjelke HUP50x50x3 L=0,85m</t>
  </si>
  <si>
    <t>GR120-10-P11</t>
  </si>
  <si>
    <t>Bjelke HUP50x50x3 L=1,55m</t>
  </si>
  <si>
    <t>GR120-10-P12</t>
  </si>
  <si>
    <t>Bjelke HUP50x50x3 L=2,20m</t>
  </si>
  <si>
    <t>GR120-10-P13</t>
  </si>
  <si>
    <t>Bjelke HUP50x50x3 L=3,00m</t>
  </si>
  <si>
    <t>GR120-10-P14</t>
  </si>
  <si>
    <t>Bjelke HUP50x50x3 L=6,00m</t>
  </si>
  <si>
    <t>GR120-10-P15</t>
  </si>
  <si>
    <t>M12x40 Bolt</t>
  </si>
  <si>
    <t>GR120-10-P16</t>
  </si>
  <si>
    <t>M12x100 Bolt</t>
  </si>
  <si>
    <t>GR120-10-P17</t>
  </si>
  <si>
    <t>M16x50 Bolt</t>
  </si>
  <si>
    <t>GR120-10-P1-N</t>
  </si>
  <si>
    <t>HEA 120 L=0,8m, double holes</t>
  </si>
  <si>
    <t>GR120-10-P2</t>
  </si>
  <si>
    <t>Bjelke HEA 120 L=1,20m</t>
  </si>
  <si>
    <t>GR120-10-P2-N</t>
  </si>
  <si>
    <t>HEA 120 L=1,2m, double holes</t>
  </si>
  <si>
    <t>GR120-10-P3</t>
  </si>
  <si>
    <t>Bjelke HEA 120 L=1,60m</t>
  </si>
  <si>
    <t>GR120-10-P3-N</t>
  </si>
  <si>
    <t>HEA 120 L=1,6m, double holes</t>
  </si>
  <si>
    <t>GR120-10-P4</t>
  </si>
  <si>
    <t>Bjelke HEA 120 L=2,00m</t>
  </si>
  <si>
    <t>GR120-10-P4-N</t>
  </si>
  <si>
    <t>HEA 120 L=2,0m, double holes</t>
  </si>
  <si>
    <t>GR120-10-P5</t>
  </si>
  <si>
    <t>Plate med 2 hull</t>
  </si>
  <si>
    <t>GR120-10-P6</t>
  </si>
  <si>
    <t>Plate med 4 hull</t>
  </si>
  <si>
    <t>GR120-10-P7</t>
  </si>
  <si>
    <t>Plate med 3 hull</t>
  </si>
  <si>
    <t>GR120-10-P8</t>
  </si>
  <si>
    <t>Vinkel</t>
  </si>
  <si>
    <t>GR120-10-P9</t>
  </si>
  <si>
    <t>Ulikebeinet v. 100x65x7</t>
  </si>
  <si>
    <t>GR120-11-P18</t>
  </si>
  <si>
    <t>Kassett for feste av betongbl. Inkl. 4stk. CB400</t>
  </si>
  <si>
    <t>GR120-11-P19</t>
  </si>
  <si>
    <t>Lastfordelende plate m. Ø60 rør, L=600mm</t>
  </si>
  <si>
    <t>GR120-11-P19-L</t>
  </si>
  <si>
    <t>Lastfordelende plate m. Ø60 rør, L=1400mm</t>
  </si>
  <si>
    <t>GR120-11-P20</t>
  </si>
  <si>
    <t>Feste for HEA mot vegg, L=350mm</t>
  </si>
  <si>
    <t>GR120-11-P21</t>
  </si>
  <si>
    <t>Feste for HEA mot vegg, L=1600mm</t>
  </si>
  <si>
    <t>GR120-11-P22</t>
  </si>
  <si>
    <t>Brakett, L=2200mm</t>
  </si>
  <si>
    <t>GR120-11-P23</t>
  </si>
  <si>
    <t>Brakett, L=1300mm</t>
  </si>
  <si>
    <t>GR120-11-P24</t>
  </si>
  <si>
    <t>Brakett, L=700mm</t>
  </si>
  <si>
    <t>GR120-12-P25</t>
  </si>
  <si>
    <t>Ramme for montering radioutstyr, L=2,32m</t>
  </si>
  <si>
    <t>GR120-12-P26</t>
  </si>
  <si>
    <t>Ramme for montering radioutstyr, L=1,45m</t>
  </si>
  <si>
    <t>GR120-13-P30</t>
  </si>
  <si>
    <t>Ramme enkel 50HUP vegg/tak løsning</t>
  </si>
  <si>
    <t>GR120-13-P30-B</t>
  </si>
  <si>
    <t>Ramme dobbel 50HUP vegg/tak løsning</t>
  </si>
  <si>
    <t>GR120-13-P31</t>
  </si>
  <si>
    <t>60HUP med endeplate vegg/tak løsning, L=1500mm</t>
  </si>
  <si>
    <t>GR120-13-P31-EL</t>
  </si>
  <si>
    <t>GR120-13-P31-EL Mount for EDP, GR120-12-P25, L=1800mm, 50x50x4</t>
  </si>
  <si>
    <t>EDP mount</t>
  </si>
  <si>
    <t>GR120-13-P32</t>
  </si>
  <si>
    <t>60HUP med endeplate vegg/tak løsning L=2000mm</t>
  </si>
  <si>
    <t>GR120-13-P33</t>
  </si>
  <si>
    <t>Feste for RRU mot P30</t>
  </si>
  <si>
    <t>GR120-13-P34</t>
  </si>
  <si>
    <t>Antennerør Ø60 med bend, L=2000mm</t>
  </si>
  <si>
    <t>GR120-13-P35</t>
  </si>
  <si>
    <t>Feste for RRU mot 50/60HUP</t>
  </si>
  <si>
    <t>GR120-14-P40</t>
  </si>
  <si>
    <t>Antennrør Ø60 L=1m med fot/klemme plate</t>
  </si>
  <si>
    <t>GR120-14-P41</t>
  </si>
  <si>
    <t>Antennrør Ø60 L=1,5m med fot/klemme plate</t>
  </si>
  <si>
    <t>GR120-14-P42</t>
  </si>
  <si>
    <t>Antennrør Ø60 L=2m med fot/klemme plate</t>
  </si>
  <si>
    <t>GR120-14-P43</t>
  </si>
  <si>
    <t>Antennrør Ø60 L=3m med fot/klemme plate</t>
  </si>
  <si>
    <t>GR120-14-P44</t>
  </si>
  <si>
    <t>Antennrør Ø60 L=4m med fot/klemme plate</t>
  </si>
  <si>
    <t>GR120-14-P45</t>
  </si>
  <si>
    <t>Stag Ø3 L=1,15, m. plate/bøyler</t>
  </si>
  <si>
    <t>GR120-14-P46</t>
  </si>
  <si>
    <t>Stag Ø3  L=2,2m m. plate/bøyler</t>
  </si>
  <si>
    <t>GR120-14-P47</t>
  </si>
  <si>
    <t>Stag Ø32 L=1,25m m.sveiset plate/bøyler</t>
  </si>
  <si>
    <t>GR120-14-P48</t>
  </si>
  <si>
    <t>Stag Ø3, L=2,2m m. påsveiset plate/bøyler</t>
  </si>
  <si>
    <t>GR120-14-P49</t>
  </si>
  <si>
    <t>Horisontalt tverrstag  Ø60, L=0,64m, m. plate/bøyler</t>
  </si>
  <si>
    <t>GR120-15-P50</t>
  </si>
  <si>
    <t>Feste av stag mot 50HUP og HEA</t>
  </si>
  <si>
    <t>GR120-15-P51</t>
  </si>
  <si>
    <t>Feste av Ø38 mot Ø61</t>
  </si>
  <si>
    <t>GR120-16-P53</t>
  </si>
  <si>
    <t>Endefeste for HEA 120</t>
  </si>
  <si>
    <t>GR120-16-P54</t>
  </si>
  <si>
    <t>Lastford. Plate m. Ø60 rør</t>
  </si>
  <si>
    <t>GR120-16-P55</t>
  </si>
  <si>
    <t>Rist 1500x300mm</t>
  </si>
  <si>
    <t>GR120-16-P56</t>
  </si>
  <si>
    <t>Rist 1500x600mm</t>
  </si>
  <si>
    <t>GR120-16-P57</t>
  </si>
  <si>
    <t>Rist 2200x300mm</t>
  </si>
  <si>
    <t>GR120-16-P58</t>
  </si>
  <si>
    <t>Rist 2200x600mm</t>
  </si>
  <si>
    <t>GR120-17-P13</t>
  </si>
  <si>
    <t>Bjelke HUP50x50x3 L=2940mm</t>
  </si>
  <si>
    <t>GR120-18-P10</t>
  </si>
  <si>
    <t>Plate med påsveist øre</t>
  </si>
  <si>
    <t>GR120-18-P11</t>
  </si>
  <si>
    <t>Flattjern for oppheng av P27</t>
  </si>
  <si>
    <t>GR120-18-P12</t>
  </si>
  <si>
    <t>Brakett for feste av P27</t>
  </si>
  <si>
    <t>GR120-18-P13</t>
  </si>
  <si>
    <t>Bøyle for ø60 mot t=8-20</t>
  </si>
  <si>
    <t>GR120-20-P28</t>
  </si>
  <si>
    <t>Ramme IBS OBS Inne-/Ute L=2,24m</t>
  </si>
  <si>
    <t>GR120-20-P28-1</t>
  </si>
  <si>
    <t>Braket for feste av RECT</t>
  </si>
  <si>
    <t>GR120-20-P29</t>
  </si>
  <si>
    <t>Ramme  IBS OBS Inne-/ute L=1,54m</t>
  </si>
  <si>
    <t>GR129-01</t>
  </si>
  <si>
    <t>Ramme for 2stk RU/LR 1,44m</t>
  </si>
  <si>
    <t>GR129-02</t>
  </si>
  <si>
    <t>Ramme for 3stk RU/LR 2,16m</t>
  </si>
  <si>
    <t>GR129-03</t>
  </si>
  <si>
    <t>Ramme for 2stk RU/LR m/plattform</t>
  </si>
  <si>
    <t>GR129-04</t>
  </si>
  <si>
    <t>Ramme for 3stk RU/LR m/ plattform 2,16m</t>
  </si>
  <si>
    <t>GR129-05</t>
  </si>
  <si>
    <t>Ramme på tak festet i oppkant 2 stk bjelker a 2m</t>
  </si>
  <si>
    <t>GR129-07</t>
  </si>
  <si>
    <t>Ramme på tak 2 stk bjelker a 2m</t>
  </si>
  <si>
    <t>GR129-08-N</t>
  </si>
  <si>
    <t>Ramme på tak 3 stk bjelker a 2m</t>
  </si>
  <si>
    <t>GR129-10</t>
  </si>
  <si>
    <t>Ramme på vegg for RU/LR utstyr 2 stk bjelker 0,8m</t>
  </si>
  <si>
    <t>GR129-12</t>
  </si>
  <si>
    <t>Ramme på vegg for RU/LR utstyr 2 stk bjelker 1,2m</t>
  </si>
  <si>
    <t>GR129-13</t>
  </si>
  <si>
    <t>Ramme 1,6m på vegg RU/LR 3 stk bjelker m/plattform</t>
  </si>
  <si>
    <t>GR129-14</t>
  </si>
  <si>
    <t>16 ramme på vegg for RU/LR   3 stk bjelker</t>
  </si>
  <si>
    <t>GR129-16</t>
  </si>
  <si>
    <t>Ramme som henges på vegg</t>
  </si>
  <si>
    <t>GR129-17A</t>
  </si>
  <si>
    <t>Ramme for skjematisk belasting</t>
  </si>
  <si>
    <t>GR129-17B</t>
  </si>
  <si>
    <t>GR129-17C</t>
  </si>
  <si>
    <t>GR129-18</t>
  </si>
  <si>
    <t>ODU ramme på tak 2 stk bjelker 0.8m / totalvekt 130 kg</t>
  </si>
  <si>
    <t>GR130-01</t>
  </si>
  <si>
    <t>Ramme for RU/LR utstyr frittstående fjell</t>
  </si>
  <si>
    <t>GR130-02</t>
  </si>
  <si>
    <t>Ramme for RU/LR utstyr i terreng</t>
  </si>
  <si>
    <t>GR130-03</t>
  </si>
  <si>
    <t>GR131-02</t>
  </si>
  <si>
    <t>Ramme</t>
  </si>
  <si>
    <t>GR132-01</t>
  </si>
  <si>
    <t>GR132-01R</t>
  </si>
  <si>
    <t>GR132-02</t>
  </si>
  <si>
    <t>GR134-05</t>
  </si>
  <si>
    <t>wall solution</t>
  </si>
  <si>
    <t>GUMMIPAKNING GFO</t>
  </si>
  <si>
    <t>Gummipakning til GFO</t>
  </si>
  <si>
    <t>Cable intake</t>
  </si>
  <si>
    <t>HUP70</t>
  </si>
  <si>
    <t>HUP 70x70x4...2000mm</t>
  </si>
  <si>
    <t>Hups</t>
  </si>
  <si>
    <t>J-111</t>
  </si>
  <si>
    <t>Gravitasjonsfeste medium  RRU</t>
  </si>
  <si>
    <t>J-111-P3</t>
  </si>
  <si>
    <t>RRU-feste til J-111</t>
  </si>
  <si>
    <t>J-111-POS1</t>
  </si>
  <si>
    <t>Ramme UNP200+vinkel 65x9</t>
  </si>
  <si>
    <t>J-111-POS2</t>
  </si>
  <si>
    <t>Brakett låsing av stein HUP 30x2 inkl 1 stk bøyle inkl 2 stk M12x80 helgk.</t>
  </si>
  <si>
    <t>J-111-POS5</t>
  </si>
  <si>
    <t>Rør for feste av utstyr ø60x1000+plate160x160</t>
  </si>
  <si>
    <t>J-111-POS6</t>
  </si>
  <si>
    <t>Sveiset  lasford. ramme HUP 80x3 og fi jern 8x30</t>
  </si>
  <si>
    <t>J3-01 BOLTS</t>
  </si>
  <si>
    <t>Boltesett J3-01</t>
  </si>
  <si>
    <t>J3-01-02</t>
  </si>
  <si>
    <t>Firefotet gravitasjonsfeste inkl. 1stk 2000mm antennerør</t>
  </si>
  <si>
    <t>J3-01-02-5F</t>
  </si>
  <si>
    <t>Femfotet gravitasjonsfeste inkl. 1stk 2000mm antennerør</t>
  </si>
  <si>
    <t>J3-01-02-6F</t>
  </si>
  <si>
    <t>Seksfotet gravitasjonsfeste inkl. 2stk 2000mm antennerør</t>
  </si>
  <si>
    <t>J3-01-02-POS13</t>
  </si>
  <si>
    <t>Rør ø76,1x3,2, L=2000mm</t>
  </si>
  <si>
    <t>J3-01-03</t>
  </si>
  <si>
    <t>Firefotet gravitasjonsfeste inkl. 1stk 3000mm antennerør</t>
  </si>
  <si>
    <t>J3-01-03-5F</t>
  </si>
  <si>
    <t>Femfotet gravitasjonsfeste inkl. 1stk 3000mm antennerør</t>
  </si>
  <si>
    <t>J3-01-03-6F</t>
  </si>
  <si>
    <t>Seksfotet gravitasjonsfeste inkl. 2stk 3000mm antennerør</t>
  </si>
  <si>
    <t>J3-01-03-POS13</t>
  </si>
  <si>
    <t>Rør ø76,1x3,2, L=3000mm</t>
  </si>
  <si>
    <t>J3-01-04</t>
  </si>
  <si>
    <t>Firefotet gravitasjonsfeste inkl. 1stk 4000mm antennerør</t>
  </si>
  <si>
    <t>J3-01-04-5F</t>
  </si>
  <si>
    <t>Femfotet gravitasjonsfeste inkl. 1stk 4000mm antennerør</t>
  </si>
  <si>
    <t>J3-01-04-6F</t>
  </si>
  <si>
    <t>Seksfotet gravitasjonsfeste inkl. 2stk 4000mm antennerør</t>
  </si>
  <si>
    <t>J3-01-04-POS13</t>
  </si>
  <si>
    <t>Rør ø76,1x3,2, L=4000MM</t>
  </si>
  <si>
    <t>J3-01-BRACK DIAGON</t>
  </si>
  <si>
    <t>UNP100 L=130mm+pl 75x75x10+Ubolt</t>
  </si>
  <si>
    <t>J3-01-EXTBEAM</t>
  </si>
  <si>
    <t>Extension beam for J3-gravitational sets</t>
  </si>
  <si>
    <t>J3-01-POS1</t>
  </si>
  <si>
    <t>UNP 100 L=2200mm</t>
  </si>
  <si>
    <t>J3-01-POS14</t>
  </si>
  <si>
    <t>Diagonal L50x50x5...1360mm</t>
  </si>
  <si>
    <t>J3-01-POS15</t>
  </si>
  <si>
    <t>Diagonal L50x50x5...1260mm</t>
  </si>
  <si>
    <t>J3-01-POS17</t>
  </si>
  <si>
    <t>L50x50x5...650mm</t>
  </si>
  <si>
    <t>J3-01-POS18</t>
  </si>
  <si>
    <t>Plate 300x300x10</t>
  </si>
  <si>
    <t>J3-01-POS2A</t>
  </si>
  <si>
    <t>UNP100 L=1075mm (holes-20mm)</t>
  </si>
  <si>
    <t>J3-01-POS2B</t>
  </si>
  <si>
    <t>UNP100 L=1075mm (holes-64mm)</t>
  </si>
  <si>
    <t>J3-01-POS5</t>
  </si>
  <si>
    <t>Plate 80x12x300</t>
  </si>
  <si>
    <t>J3-01-POS5-mod</t>
  </si>
  <si>
    <t>plate 80x12x455</t>
  </si>
  <si>
    <t>J3-01-RRU</t>
  </si>
  <si>
    <t>RRU-bracket for J3-extension kit</t>
  </si>
  <si>
    <t>J3-01-SB</t>
  </si>
  <si>
    <t>Support plate, support bjelke</t>
  </si>
  <si>
    <t>J3-01-SUPP.PLATE</t>
  </si>
  <si>
    <t>Plate 600x600mm</t>
  </si>
  <si>
    <t>J3-EXPKIT-2</t>
  </si>
  <si>
    <t>Ekspansjonskit til J3-01 med 2m antennerør</t>
  </si>
  <si>
    <t>J3-EXPKIT-3</t>
  </si>
  <si>
    <t>Ekspansjonskit til J3-01 med 3m antennerør</t>
  </si>
  <si>
    <t>J3-EXPKIT-4</t>
  </si>
  <si>
    <t>Ekspansjonskit til J3-01 med 4m antennerør</t>
  </si>
  <si>
    <t>J3-EXPKIT-BASE</t>
  </si>
  <si>
    <t>Ekspansjonskit til J3-01 uten antennerør</t>
  </si>
  <si>
    <t>JK</t>
  </si>
  <si>
    <t>Jordingsklemme</t>
  </si>
  <si>
    <t>JR115 04</t>
  </si>
  <si>
    <t>Jordingsskinne til standardmast</t>
  </si>
  <si>
    <t>JR115-04-P3</t>
  </si>
  <si>
    <t>Fl.jern til jordskinne</t>
  </si>
  <si>
    <t>K1800-1</t>
  </si>
  <si>
    <t>Monteringskit for antenne 1,8m</t>
  </si>
  <si>
    <t>Chimney Solutions</t>
  </si>
  <si>
    <t>K2200-1</t>
  </si>
  <si>
    <t>Monteringskit for antenne 2,2m</t>
  </si>
  <si>
    <t>KBI-1.1</t>
  </si>
  <si>
    <t>Inntaksplate for 50cm kabelstiger inkl. 2stk J-kroker og HUPer</t>
  </si>
  <si>
    <t>KBI-1A</t>
  </si>
  <si>
    <t>Utvendig inntaksplate m/Blindplater,pakninger,skruer</t>
  </si>
  <si>
    <t>KBI-1A HUP</t>
  </si>
  <si>
    <t>HUP 50X25X3</t>
  </si>
  <si>
    <t>KBI-1B</t>
  </si>
  <si>
    <t>Innvendig inntaksplate</t>
  </si>
  <si>
    <t>KBI-2A</t>
  </si>
  <si>
    <t>Utvendig inntaksplate 6 hull</t>
  </si>
  <si>
    <t>KBI-2B</t>
  </si>
  <si>
    <t>Innvendig inntaksplate 6 hull</t>
  </si>
  <si>
    <t>KBI-3A</t>
  </si>
  <si>
    <t>Utvendig inntaksplate 3 hull</t>
  </si>
  <si>
    <t>KBI-3B</t>
  </si>
  <si>
    <t>Innvendig inntaksplate 3 hull</t>
  </si>
  <si>
    <t>KBI-4A</t>
  </si>
  <si>
    <t>Utvendig inntaksplate 1 hull</t>
  </si>
  <si>
    <t>KBI-4B</t>
  </si>
  <si>
    <t>Innvendig inntaksplate 1 hull</t>
  </si>
  <si>
    <t>KBI-5A</t>
  </si>
  <si>
    <t>Utvendig inntaksplate 21 hull</t>
  </si>
  <si>
    <t>KBI-5B</t>
  </si>
  <si>
    <t>Innvendig inntaksplate 21 hull</t>
  </si>
  <si>
    <t>KBI-S</t>
  </si>
  <si>
    <t>Kabelgjennomføring tak</t>
  </si>
  <si>
    <t>KKD-2-1-2</t>
  </si>
  <si>
    <t>LCC 2x1/2' FIMO 61 1563 2012</t>
  </si>
  <si>
    <t>KKD-2-1-5-8</t>
  </si>
  <si>
    <t>LCC 2x1.5/8' FIMO 61 1563 2158</t>
  </si>
  <si>
    <t>KKD-2-7-8</t>
  </si>
  <si>
    <t>LCC 2x7/8' FIMO 61 1563 2078</t>
  </si>
  <si>
    <t>KKD-4-1-2</t>
  </si>
  <si>
    <t>LCC 4x1/2' FIMO 61 1563 4012</t>
  </si>
  <si>
    <t>KKD-4-1-5-8</t>
  </si>
  <si>
    <t>LCC 4x1.5/8' FIMO 61 1563 4158</t>
  </si>
  <si>
    <t>KKD-4-7-8</t>
  </si>
  <si>
    <t>LCC 4x7/8' FIMO 61 1563 4078</t>
  </si>
  <si>
    <t>KKD-6-7-8</t>
  </si>
  <si>
    <t>LCC 6x7/8'' FIMO 61 1563 6078</t>
  </si>
  <si>
    <t>KKD-FESTE</t>
  </si>
  <si>
    <t>LCC-feste</t>
  </si>
  <si>
    <t>KKF-6-7/8</t>
  </si>
  <si>
    <t>UCC 6x7/8 FIMO 61 1560 0678</t>
  </si>
  <si>
    <t>KKR-1-12</t>
  </si>
  <si>
    <t>sRF M/ 1x12 FIMO 61 1556 1012</t>
  </si>
  <si>
    <t>KKR-1-1-2</t>
  </si>
  <si>
    <t>sRF M/ 1x1/2'(17) FIMO 61 1556 0012</t>
  </si>
  <si>
    <t>KKR-1-1-2 S (14)</t>
  </si>
  <si>
    <t>sRF M/ 1x1/2S</t>
  </si>
  <si>
    <t>KKR-1-1-4</t>
  </si>
  <si>
    <t>sRF M/ 1x9 FIMO 61 1556 0009</t>
  </si>
  <si>
    <t>KKR-1-1-4stykk</t>
  </si>
  <si>
    <t>SRF M/ 1X9 Stykkpris FIMO 61 1556 0009</t>
  </si>
  <si>
    <t>KKR-1-7</t>
  </si>
  <si>
    <t>sRF M/ 1x7</t>
  </si>
  <si>
    <t>KKR-1-7-8</t>
  </si>
  <si>
    <t>sRF M/ 1x7/8'(28) FIMO 61 1556 0078</t>
  </si>
  <si>
    <t>KKR-2-10</t>
  </si>
  <si>
    <t>sRF M/ 2x10 FIMO 61 1556 0210</t>
  </si>
  <si>
    <t>KKR-2-1-1-4</t>
  </si>
  <si>
    <t>sRF M/ 2x1.1/4" (40) FIMO 61 1556 2114</t>
  </si>
  <si>
    <t>KKR-2-12</t>
  </si>
  <si>
    <t>sRF M/ 2x12</t>
  </si>
  <si>
    <t>KKR-2-1-2</t>
  </si>
  <si>
    <t>sRF M/ 2x1/2'(17) FIMO 61 1556 0212</t>
  </si>
  <si>
    <t>KKR-2-1-2S</t>
  </si>
  <si>
    <t>sRF M/ 2x1/2'S(14) FIMO 61 1556 0214</t>
  </si>
  <si>
    <t>KKR-2-1-2stykk</t>
  </si>
  <si>
    <t>SRF M/ 2X1/2'(17) Stykkpris FIMO 61 1556 0212</t>
  </si>
  <si>
    <t>KKR-2-13</t>
  </si>
  <si>
    <t>sRF M/ 2x13</t>
  </si>
  <si>
    <t>KKR-2-1-4</t>
  </si>
  <si>
    <t>sRF M/ 2x9 M FIMO 61 1556 02091</t>
  </si>
  <si>
    <t>KKR-2-1-5-8</t>
  </si>
  <si>
    <t>sRF M/ 2x1.5/8'(52)</t>
  </si>
  <si>
    <t>KKR-2-3-8</t>
  </si>
  <si>
    <t>sRF M/ 2x3/8" (16)</t>
  </si>
  <si>
    <t>KKR-2-6</t>
  </si>
  <si>
    <t>sRF M/ 2x6 FIMO 61 1556 0206</t>
  </si>
  <si>
    <t>KKR-2-7-8</t>
  </si>
  <si>
    <t>sRF M/ 2x7/8'(28) FIMO 61 1556 0278</t>
  </si>
  <si>
    <t>KKR-2-7-8stykk</t>
  </si>
  <si>
    <t>SRF M/ 2X7/8'(28) Stykkpris FIMO 61 1556 0278</t>
  </si>
  <si>
    <t>KKR-3-12</t>
  </si>
  <si>
    <t>sRF M/ 3x12</t>
  </si>
  <si>
    <t>KKR-3-1-2</t>
  </si>
  <si>
    <t>sRF M/ 3x1/2'(17) FIMO 61 1556 0312</t>
  </si>
  <si>
    <t>KKR-3-1-2-nokia</t>
  </si>
  <si>
    <t>sRF M/ 3x1/2" (17) kabelklammer (ICE) (50 stk pr boks)</t>
  </si>
  <si>
    <t>KKR-3-1-2stykk</t>
  </si>
  <si>
    <t>SRF M/ 3X1/2'(17) Stykkpris FIMO 61 1556 0312</t>
  </si>
  <si>
    <t>KKR-3-13</t>
  </si>
  <si>
    <t>sRF M/ 3x13 FIMO 61 1556 0313</t>
  </si>
  <si>
    <t>KKR-3-1-4</t>
  </si>
  <si>
    <t>sRF M/ 3x9 FIMO 61 1556 0309</t>
  </si>
  <si>
    <t>KKR-3-1-5-8</t>
  </si>
  <si>
    <t>sRF M/ 3x1.5/8'(52)</t>
  </si>
  <si>
    <t>KKR-3-3-8</t>
  </si>
  <si>
    <t>sRF M/ 3x3/8’’ (16) FIMO 61 1556 0338</t>
  </si>
  <si>
    <t>KKR-3-3-8stykk</t>
  </si>
  <si>
    <t>KKR-3-6</t>
  </si>
  <si>
    <t>sRF M/ 3x6 FIMO 61 1556 0306</t>
  </si>
  <si>
    <t>KKR-3-7-8</t>
  </si>
  <si>
    <t>sRF M/ 3x7/8'(28) FIMO 61 1556 0378</t>
  </si>
  <si>
    <t>KKR-3-7-8stykk</t>
  </si>
  <si>
    <t>SRF M/ 3X7/8'(28) Stykkvis FIMO 61 1556 0378</t>
  </si>
  <si>
    <t>KKR-4-1-2</t>
  </si>
  <si>
    <t>sRF M/ 4x1/2'(17) FIMO 61 1556 1412</t>
  </si>
  <si>
    <t>KKR-4-1-2-nokia</t>
  </si>
  <si>
    <t>sRF M/ 4x1/2" (17) kabelklammer (ICE) (50stk i boks)</t>
  </si>
  <si>
    <t>KKR-4-1-2stykk</t>
  </si>
  <si>
    <t>sRF M/ 4x1/2'(17) Stykkpris FIMO 61 1556 1412</t>
  </si>
  <si>
    <t>KKR-4-7-8</t>
  </si>
  <si>
    <t>sRF M/ 4x7/8'(28) FIMO 61 1556 1478</t>
  </si>
  <si>
    <t>KKR-4-7-8stykk</t>
  </si>
  <si>
    <t>sRF M/ 4x7/8'(28) Stykkpris  FIMO 61 1556 1478</t>
  </si>
  <si>
    <t>KKR-6-1-2</t>
  </si>
  <si>
    <t>sRF M/ 6x1/2''(17) FIMO 61 1556 0612</t>
  </si>
  <si>
    <t>KKR-6-7-8</t>
  </si>
  <si>
    <t>sRF M/ 6x7/8''(28) FIMO 61 1556 0678</t>
  </si>
  <si>
    <t>KKU-1-12</t>
  </si>
  <si>
    <t>sRF C/ 1x12</t>
  </si>
  <si>
    <t>KKU-1-1-2</t>
  </si>
  <si>
    <t>sRF C/ 1x1/2' (17)</t>
  </si>
  <si>
    <t>KKU-1-1-2S</t>
  </si>
  <si>
    <t>sRF C/ 1x1/2' S(14)</t>
  </si>
  <si>
    <t>KKU-1-1-4</t>
  </si>
  <si>
    <t>sRF C/ 1x9 FIMO 61 1554 0009</t>
  </si>
  <si>
    <t>KKU-1-5-8</t>
  </si>
  <si>
    <t>sRF C/ 1x1.5/8'(52)</t>
  </si>
  <si>
    <t>KKU-1-7-8</t>
  </si>
  <si>
    <t>sRF C/ 1x7/8'(28)</t>
  </si>
  <si>
    <t>KKU-2-10</t>
  </si>
  <si>
    <t>sRF C/ 2x10</t>
  </si>
  <si>
    <t>KKU-2-11</t>
  </si>
  <si>
    <t>sRF C/ 2x11 FIMO 61 1554 0211</t>
  </si>
  <si>
    <t>KKU-2-12</t>
  </si>
  <si>
    <t>sRF C/ 2x12</t>
  </si>
  <si>
    <t>KKU-2-1-2</t>
  </si>
  <si>
    <t>sRF C/ 2x1/2'(17) FIMO 61 1554 0212</t>
  </si>
  <si>
    <t>KKU-2-1-2S</t>
  </si>
  <si>
    <t>sRF C/ 2x1/2' S(14)</t>
  </si>
  <si>
    <t>KKU-2-13</t>
  </si>
  <si>
    <t>sRF C/ 2x13</t>
  </si>
  <si>
    <t>KKU-2-1-4</t>
  </si>
  <si>
    <t>sRF C/ 2x9 FIMO 61 1554 0209</t>
  </si>
  <si>
    <t>KKU-2-1-4stykk</t>
  </si>
  <si>
    <t>SRF C/ 2X9 Stykkpris FIMO 61 1554 0209</t>
  </si>
  <si>
    <t>KKU-2-1-5-8</t>
  </si>
  <si>
    <t>sRF C/ 2x1.5/8'(52)</t>
  </si>
  <si>
    <t>KKU-2-7-8</t>
  </si>
  <si>
    <t>sRF C/ 2x7/8'(28) FIMO 61 1554 0278</t>
  </si>
  <si>
    <t>KKU-2-7-8stykk</t>
  </si>
  <si>
    <t>SRF C/ 2X7/8'(28) Stykkpris FIMO 61 1554 0278</t>
  </si>
  <si>
    <t>KKU-3-12</t>
  </si>
  <si>
    <t>sRF C/ 3x12</t>
  </si>
  <si>
    <t>KKU-3-1-2</t>
  </si>
  <si>
    <t>sRF C/ 3x1/2'(17)</t>
  </si>
  <si>
    <t>KKU-3-1-2S</t>
  </si>
  <si>
    <t>sRF C/ 3x1/2'S(14)</t>
  </si>
  <si>
    <t>KKU-3-1-4</t>
  </si>
  <si>
    <t>sRF C/ 3x9</t>
  </si>
  <si>
    <t>KKU-3-1-5-8</t>
  </si>
  <si>
    <t>sRF C/ 3x1.5/8" (52)</t>
  </si>
  <si>
    <t>KKU-4-1-2</t>
  </si>
  <si>
    <t>sRF C/ 4x1/2'(17) FIMO 61 1554 1412</t>
  </si>
  <si>
    <t>KKU-4-1-2stykk</t>
  </si>
  <si>
    <t>SRF C/ 4X1/2'(17) Stykkpris FIMO 61 1554 1412</t>
  </si>
  <si>
    <t>KKU-4-7-8</t>
  </si>
  <si>
    <t>sRF C/ 4x7/8'(28)</t>
  </si>
  <si>
    <t>KKU-4-7-8stykk</t>
  </si>
  <si>
    <t>SRF C/ 4X7/8'(28) Stykkpris FIMO 61 1554 1478</t>
  </si>
  <si>
    <t>KKV-1-12</t>
  </si>
  <si>
    <t>sRF A4/ 1x12</t>
  </si>
  <si>
    <t>KKV-1-1-2</t>
  </si>
  <si>
    <t>sRF A4/ 1x1/2'(17)</t>
  </si>
  <si>
    <t>KKV-1-1-5-8</t>
  </si>
  <si>
    <t>sRF A4/ 1x1.5/8'(52)</t>
  </si>
  <si>
    <t>KKV-1-7-8</t>
  </si>
  <si>
    <t>sRF A4/ 1x7/8'(28)</t>
  </si>
  <si>
    <t>KKV-2-12</t>
  </si>
  <si>
    <t>sRF A4/ 2x12</t>
  </si>
  <si>
    <t>KKV-2-1-2</t>
  </si>
  <si>
    <t>sRF A4/ 2x1/2'(17)</t>
  </si>
  <si>
    <t>KKV-2-1-2S</t>
  </si>
  <si>
    <t>sRF A4/ 2x1/2'S(14)</t>
  </si>
  <si>
    <t>KKV-2-1-4</t>
  </si>
  <si>
    <t>sRF A4/ 2x9 FIMO 61 1551 0209</t>
  </si>
  <si>
    <t>KKV-2-1-4stykk</t>
  </si>
  <si>
    <t>SRF A4/ 2X9 stykkpris FIMO 61 1551 0209</t>
  </si>
  <si>
    <t>KKV-2-1-5-8</t>
  </si>
  <si>
    <t>sRF A4/ 2x1.5/8'(52)</t>
  </si>
  <si>
    <t>KKV-2-7-8</t>
  </si>
  <si>
    <t>sRF A4/ 2x7/8'(28)</t>
  </si>
  <si>
    <t>KKV-3-12</t>
  </si>
  <si>
    <t>sRF A4/ 3x12</t>
  </si>
  <si>
    <t>KKV-3-1-2S</t>
  </si>
  <si>
    <t>sRF A4/ 3x1/2'S(14)   61 1551 0314</t>
  </si>
  <si>
    <t>KKV-3-1-4</t>
  </si>
  <si>
    <t>sRF A4/ 3x9</t>
  </si>
  <si>
    <t>KKV-3-1-5-8</t>
  </si>
  <si>
    <t>sRF A4/ 3x1.5/8'(52)</t>
  </si>
  <si>
    <t>KKV-3-7-8</t>
  </si>
  <si>
    <t>sRF A4/ 3x7/8'(28) FIMO 6115510378</t>
  </si>
  <si>
    <t>KKV-4-1-2</t>
  </si>
  <si>
    <t>sRF A4/ 4x1/2'(17) FIMO 61 1551 1412</t>
  </si>
  <si>
    <t>KKV-4-7-8</t>
  </si>
  <si>
    <t>sRF A4/ 4x7/8'(28) FIMO 61 1551 1478</t>
  </si>
  <si>
    <t>KKV-4-7-8stykk</t>
  </si>
  <si>
    <t>SRF A4/ 4X7/8'(28) stykkpris FIMO 61 1551 1478</t>
  </si>
  <si>
    <t>KUTT</t>
  </si>
  <si>
    <t>Kutt av rør/gjengestag</t>
  </si>
  <si>
    <t>LB-1</t>
  </si>
  <si>
    <t>Lynavleder for trestolpe</t>
  </si>
  <si>
    <t>LYNAVLEDER</t>
  </si>
  <si>
    <t>Lynavleder M16 gjengestag L=2M 4 muttere 2 skiver</t>
  </si>
  <si>
    <t>M10-FIRKANTSKIVE</t>
  </si>
  <si>
    <t>M10- firkantskive</t>
  </si>
  <si>
    <t>Washer</t>
  </si>
  <si>
    <t>M10-MUTTER</t>
  </si>
  <si>
    <t>M10 mutter</t>
  </si>
  <si>
    <t>Nut</t>
  </si>
  <si>
    <t>M10-SKIVE</t>
  </si>
  <si>
    <t>M10-skive</t>
  </si>
  <si>
    <t>M10x100</t>
  </si>
  <si>
    <t>Bolt helgjenget varmgalvanisert 100mm K8.8</t>
  </si>
  <si>
    <t>Bolt</t>
  </si>
  <si>
    <t>M10X300</t>
  </si>
  <si>
    <t>M10x300 Gjengestang</t>
  </si>
  <si>
    <t>Threaded Rod</t>
  </si>
  <si>
    <t>M10x70</t>
  </si>
  <si>
    <t>Bolt helgjenget varmgalvanisert 70mm Kvalitet 8.8</t>
  </si>
  <si>
    <t>M12 NUT</t>
  </si>
  <si>
    <t>M12 Mutter Varmgalvanisert</t>
  </si>
  <si>
    <t>M12 WASHER</t>
  </si>
  <si>
    <t>M12 Skive Varmgalvanisert</t>
  </si>
  <si>
    <t>M12-FIRKANTSKIVE</t>
  </si>
  <si>
    <t>M12 Firkantskive Varmgalvanisert</t>
  </si>
  <si>
    <t>M12-SKIVE-A4</t>
  </si>
  <si>
    <t>M12 Skive A4 syrefast</t>
  </si>
  <si>
    <t>M12X100</t>
  </si>
  <si>
    <t>M12 Bolt Helgjenget Varmgalvanisert</t>
  </si>
  <si>
    <t>M12X100 EXP</t>
  </si>
  <si>
    <t>Ekspansjons Skrue-Bolt</t>
  </si>
  <si>
    <t>M12X1000</t>
  </si>
  <si>
    <t>M12x1000 Gjengestang</t>
  </si>
  <si>
    <t>M12X100D</t>
  </si>
  <si>
    <t>Bolt delvis gjenget 30mm</t>
  </si>
  <si>
    <t>M12X120</t>
  </si>
  <si>
    <t>full thread</t>
  </si>
  <si>
    <t>M12X120-TRE</t>
  </si>
  <si>
    <t>M12 Fr. Treskrue</t>
  </si>
  <si>
    <t>M12X150</t>
  </si>
  <si>
    <t>Bolt delvis gjenget 40mm Varmgalvaniser</t>
  </si>
  <si>
    <t>M12X200</t>
  </si>
  <si>
    <t>M12x200 Din931 delv.gjeng bolt</t>
  </si>
  <si>
    <t>M12X2000</t>
  </si>
  <si>
    <t>M12x2000 Gjengestang</t>
  </si>
  <si>
    <t>M12X200-A4</t>
  </si>
  <si>
    <t>M12x200 bolt A4 syrefast</t>
  </si>
  <si>
    <t>M12X250</t>
  </si>
  <si>
    <t>M12x250 Gjengestang</t>
  </si>
  <si>
    <t>M12X300</t>
  </si>
  <si>
    <t>M12x300 Gjengestang</t>
  </si>
  <si>
    <t>M12x3000</t>
  </si>
  <si>
    <t>M12x3000 Gjengestang 3meter</t>
  </si>
  <si>
    <t>M12x350</t>
  </si>
  <si>
    <t>M12 Gjengestang L= 350mm, inkl. 4 muttere og 2 skiver</t>
  </si>
  <si>
    <t>M12X40</t>
  </si>
  <si>
    <t>Bolt helgjenget Varmgalvanisert</t>
  </si>
  <si>
    <t>M12X50</t>
  </si>
  <si>
    <t>M12x50 Din933 helgjenget bolt</t>
  </si>
  <si>
    <t>M12X500</t>
  </si>
  <si>
    <t>M12x500 Gjengestang</t>
  </si>
  <si>
    <t>M12X60</t>
  </si>
  <si>
    <t>Bolt varmgalvanisert</t>
  </si>
  <si>
    <t>M12X90</t>
  </si>
  <si>
    <t>M12x90 Bolt delv.gjenget 30mm</t>
  </si>
  <si>
    <t>M16-FIRKANTSKIVE</t>
  </si>
  <si>
    <t>M16 Firkantskive Varmgalvanisert</t>
  </si>
  <si>
    <t>M16-NUT</t>
  </si>
  <si>
    <t>M16 Mutter</t>
  </si>
  <si>
    <t>M16-WASHER</t>
  </si>
  <si>
    <t>M16 Skive</t>
  </si>
  <si>
    <t>M16X100</t>
  </si>
  <si>
    <t>M16x100 Bolt Delv.gjenget 40mm</t>
  </si>
  <si>
    <t>M16X1000</t>
  </si>
  <si>
    <t>M16x1000 Gjengestang</t>
  </si>
  <si>
    <t>M16X150</t>
  </si>
  <si>
    <t>M16X150 Bolt Delv.gjenget 40mm</t>
  </si>
  <si>
    <t>M16X1500</t>
  </si>
  <si>
    <t>M16x1500 Gjengestang</t>
  </si>
  <si>
    <t>M16x200</t>
  </si>
  <si>
    <t>M16x200 Bolt Delv.gjenget 40mm</t>
  </si>
  <si>
    <t>M16X2000</t>
  </si>
  <si>
    <t>M16x2000 Gjengestang</t>
  </si>
  <si>
    <t>M16X300</t>
  </si>
  <si>
    <t>M16x300 Gjengestang</t>
  </si>
  <si>
    <t>M16X50</t>
  </si>
  <si>
    <t>Bolt helgjenget</t>
  </si>
  <si>
    <t>M16x500</t>
  </si>
  <si>
    <t>Gjengestang 500mm M16</t>
  </si>
  <si>
    <t>M20-BOLT</t>
  </si>
  <si>
    <t>M20x70 Bolt delvis gjenget 50mm</t>
  </si>
  <si>
    <t>bolt</t>
  </si>
  <si>
    <t>M20-MUTTER</t>
  </si>
  <si>
    <t>M20 Mutter</t>
  </si>
  <si>
    <t>M20-SKIVE</t>
  </si>
  <si>
    <t>M20 Skive</t>
  </si>
  <si>
    <t>washer</t>
  </si>
  <si>
    <t>M20X1000</t>
  </si>
  <si>
    <t>M20x1000 Gjengestang</t>
  </si>
  <si>
    <t>M20X2000</t>
  </si>
  <si>
    <t>M20x2000 Gjengestang</t>
  </si>
  <si>
    <t>M20x300</t>
  </si>
  <si>
    <t>M20x300 Gjengestang, varmgalvanisert</t>
  </si>
  <si>
    <t>M20x500</t>
  </si>
  <si>
    <t>M20x500 Gjengestang, varmgalvanisert</t>
  </si>
  <si>
    <t>M6X15</t>
  </si>
  <si>
    <t>Skrue til GFO</t>
  </si>
  <si>
    <t>M8X1000</t>
  </si>
  <si>
    <t>M8x1000 Gjengestang varmgalvanisert</t>
  </si>
  <si>
    <t>M8X1000 Gjengestang</t>
  </si>
  <si>
    <t>MBG-1SECTOR</t>
  </si>
  <si>
    <t>Modulbasert gravitasjonsfeste tilpasset 1 sektor</t>
  </si>
  <si>
    <t>MBG-2SECTOR</t>
  </si>
  <si>
    <t>Modulbasert gravitasjonsfeste tilpasset 2 sektorer</t>
  </si>
  <si>
    <t>MBG-3SECTOR</t>
  </si>
  <si>
    <t>Modulbasert gravitasjonsfeste tilpasset 3 sektorer</t>
  </si>
  <si>
    <t>MBG-POS1</t>
  </si>
  <si>
    <t>UNP 3000mm</t>
  </si>
  <si>
    <t>MBG-POS10</t>
  </si>
  <si>
    <t>HUP 40x40x4 1700mm</t>
  </si>
  <si>
    <t>MBG-POS11</t>
  </si>
  <si>
    <t>HUP 40x40x4 1600mm</t>
  </si>
  <si>
    <t>MBG-POS12</t>
  </si>
  <si>
    <t>RRU-PIPE 800mm Ø60.3x3.2mm</t>
  </si>
  <si>
    <t>MBG-POS13</t>
  </si>
  <si>
    <t>Bracket for additional foot pipes</t>
  </si>
  <si>
    <t>MBG-POS2</t>
  </si>
  <si>
    <t>UNP 2450mm</t>
  </si>
  <si>
    <t>MBG-POS3</t>
  </si>
  <si>
    <t>UNP 2450mm - Middle beam</t>
  </si>
  <si>
    <t>MBG-POS4</t>
  </si>
  <si>
    <t>UNP 1220mm - Middle beam</t>
  </si>
  <si>
    <t>MBG-POS5</t>
  </si>
  <si>
    <t>UNP 1280mm - Middle beam</t>
  </si>
  <si>
    <t>MBG-POS6</t>
  </si>
  <si>
    <t>L-profile stone lock (left)</t>
  </si>
  <si>
    <t>MBG-POS7</t>
  </si>
  <si>
    <t>L-profile stone lock (right)</t>
  </si>
  <si>
    <t>MBG-POS8</t>
  </si>
  <si>
    <t>L-Profile stone lock (top)</t>
  </si>
  <si>
    <t>MBG-POS9</t>
  </si>
  <si>
    <t>3000mm antenna pipe, Ø76</t>
  </si>
  <si>
    <t>MIDDLE-BRACKET</t>
  </si>
  <si>
    <t>Overgang fra Nokia-antenne til antennefester</t>
  </si>
  <si>
    <t>NDF-650</t>
  </si>
  <si>
    <t>NDF-650 Ramme for J3-01</t>
  </si>
  <si>
    <t>NEA-DIPOL76-300</t>
  </si>
  <si>
    <t>NEA-DIPOL76-300 bracket for DAB antenna</t>
  </si>
  <si>
    <t>NEA-DIPOL90-300</t>
  </si>
  <si>
    <t>NEA-DIPOL90-300 bracket for DAB Antenne</t>
  </si>
  <si>
    <t>NEA-DIPOLE-150</t>
  </si>
  <si>
    <t>NEA-DIPOL150 bracket for DAB antenna</t>
  </si>
  <si>
    <t>OX A-2X22</t>
  </si>
  <si>
    <t>OX A4 2x22 FIMO 60 1511 0816</t>
  </si>
  <si>
    <t>OX-A4-SAC-1X14</t>
  </si>
  <si>
    <t>OX A4/SAC 1X14+1X7/3 FIMO 60 1511 0035</t>
  </si>
  <si>
    <t>OX-M-3x22-13-20</t>
  </si>
  <si>
    <t>OX M / 3x22 (13-20) FIMO 6015160259 50 stk i pakken</t>
  </si>
  <si>
    <t>OX-M-3x22-DAT2x7-2</t>
  </si>
  <si>
    <t>OX M/ 3X22+DAT 2X7/2 FIMO 60 1516 0082</t>
  </si>
  <si>
    <t>OX-M-3x22-DAT-2x7-2stykk</t>
  </si>
  <si>
    <t>OX-M-3x22stykk</t>
  </si>
  <si>
    <t>OX M / 3x22 (12-17) FIMO 60 1516 1110</t>
  </si>
  <si>
    <t>OX-M-SAC-1X7</t>
  </si>
  <si>
    <t>OX M/SAC 1X7+1X14/3 50 STK FIMO 60 1516 0066</t>
  </si>
  <si>
    <t>PC22</t>
  </si>
  <si>
    <t>PC22 - Plastic cups ø22</t>
  </si>
  <si>
    <t>PC34</t>
  </si>
  <si>
    <t>Plastikk lokk ø34</t>
  </si>
  <si>
    <t>PC40</t>
  </si>
  <si>
    <t>Plastikk-endestykker for HUP 40</t>
  </si>
  <si>
    <t>PC50</t>
  </si>
  <si>
    <t>Plastikk-endestykker for HUP 50</t>
  </si>
  <si>
    <t>PC60</t>
  </si>
  <si>
    <t>PLASTIC CUP Ø60</t>
  </si>
  <si>
    <t>PC76</t>
  </si>
  <si>
    <t>Plastikk-endestyker for rør Ø76</t>
  </si>
  <si>
    <t>PC-HUP50</t>
  </si>
  <si>
    <t>Plastikk-beskyttelse for 50mm HUP</t>
  </si>
  <si>
    <t>PI100-10</t>
  </si>
  <si>
    <t>HUP 50 klemmes fast til pipe</t>
  </si>
  <si>
    <t>PI100-14</t>
  </si>
  <si>
    <t>Brakett for pipe / svak vegg</t>
  </si>
  <si>
    <t>PI102-12</t>
  </si>
  <si>
    <t>Antenner på modifisert pipeløp -</t>
  </si>
  <si>
    <t>PIPE1000</t>
  </si>
  <si>
    <t>pipe with ring - stainless steel</t>
  </si>
  <si>
    <t>PLB</t>
  </si>
  <si>
    <t>Antennefeste for Amphenol</t>
  </si>
  <si>
    <t>PLUGGMASSE</t>
  </si>
  <si>
    <t>Uni Plus 410ML</t>
  </si>
  <si>
    <t>PLUGGMASSE MCS</t>
  </si>
  <si>
    <t>Uni Plus 300ML</t>
  </si>
  <si>
    <t>PVC-COVERING</t>
  </si>
  <si>
    <t>PVC-COVERING SikaPlan 100x200cm – 1.5mm DARK GREY</t>
  </si>
  <si>
    <t>RR-186</t>
  </si>
  <si>
    <t>Brakett for RRU for mastemontasje  / Ø25-40mm</t>
  </si>
  <si>
    <t>RR-186-ERM</t>
  </si>
  <si>
    <t>bracket for Ericsson RRU with rubber / Ø25-40mm</t>
  </si>
  <si>
    <t>RR-187</t>
  </si>
  <si>
    <t>Brakett for RRU for mastemontasje  / Ø41-60mm</t>
  </si>
  <si>
    <t>RR-187-ERM</t>
  </si>
  <si>
    <t>bracket for Ericsson RRU with rubber / Ø41-60mm</t>
  </si>
  <si>
    <t>RR-188</t>
  </si>
  <si>
    <t>Brakett for RRU for mastemontasje  / Ø61-90mm</t>
  </si>
  <si>
    <t>RR-188-ERM</t>
  </si>
  <si>
    <t>bracket for Ericsson RRU with rubber / Ø61-90mm</t>
  </si>
  <si>
    <t>SD150-06</t>
  </si>
  <si>
    <t>Veggfeste, rør Ø76, L=275</t>
  </si>
  <si>
    <t>SD150-07</t>
  </si>
  <si>
    <t>Veggfeste, rør Ø114, L=275</t>
  </si>
  <si>
    <t>SD150-08</t>
  </si>
  <si>
    <t>Bjelke-/Veggfeste, rør Ø76</t>
  </si>
  <si>
    <t>SD150-09</t>
  </si>
  <si>
    <t>Bjelke-/Veggfeste, rør Ø114</t>
  </si>
  <si>
    <t>SD210-04</t>
  </si>
  <si>
    <t>Fundamentering av TM2</t>
  </si>
  <si>
    <t>sRF A5/ 2x7/8</t>
  </si>
  <si>
    <t>61 1550 0278</t>
  </si>
  <si>
    <t>STYROFOAM</t>
  </si>
  <si>
    <t>9435159 XPS300 Styrofoam 1200x600x50mm</t>
  </si>
  <si>
    <t>TLNS-A1</t>
  </si>
  <si>
    <t>Bunnramme til utendørskabinett</t>
  </si>
  <si>
    <t>Shelter</t>
  </si>
  <si>
    <t>TLNS-A18</t>
  </si>
  <si>
    <t>Mønebeslag til utendørskabinett</t>
  </si>
  <si>
    <t>TLNS-A19</t>
  </si>
  <si>
    <t>Flatt takbeslag til utendørskabinett</t>
  </si>
  <si>
    <t>TLNS-A3</t>
  </si>
  <si>
    <t>Takmodul til utendørskabinett</t>
  </si>
  <si>
    <t>TLNS-A4</t>
  </si>
  <si>
    <t>Veggmodul til utendørskabinett</t>
  </si>
  <si>
    <t>TLNS-A5</t>
  </si>
  <si>
    <t>U-bolt til dørmodul, utendørskabinett</t>
  </si>
  <si>
    <t>TLNS-A7</t>
  </si>
  <si>
    <t>Profil for sammenkobling av to utendørskabinetter.</t>
  </si>
  <si>
    <t>TLNSA-A2</t>
  </si>
  <si>
    <t>Komplett pakke for montering av 3 stk RRU-enheter i utendørskabinett</t>
  </si>
  <si>
    <t>TLNSA-A20</t>
  </si>
  <si>
    <t>Adapter for Eltek kabinnet</t>
  </si>
  <si>
    <t>TLNSA-A3</t>
  </si>
  <si>
    <t>Kit for montering av rør i utendørskabinett</t>
  </si>
  <si>
    <t>TLNS-DOBBEL</t>
  </si>
  <si>
    <t>Dobbelt utendørskabinett, eks innfestingsbolter mot fundament</t>
  </si>
  <si>
    <t>TLNSET-ANTENNA3200-A</t>
  </si>
  <si>
    <t>Gravitasjonsfeste | Antennerør 3200mm og hengsle A inkl. skråstag og festemateriell</t>
  </si>
  <si>
    <t>TLNSET-ANTENNA3200-B</t>
  </si>
  <si>
    <t>Gravitasjonsfeste | Antennerør 3200mm og hengsle B inkl. skråstag og festemateriell</t>
  </si>
  <si>
    <t>TLNSET-ANTENNA3600-A</t>
  </si>
  <si>
    <t>Gravitasjonsfeste | Antennerør 3600mm og hengsle A inkl. skråstag og festemateriell</t>
  </si>
  <si>
    <t>TLNSET-ANTENNA3600-B</t>
  </si>
  <si>
    <t>Gravitasjonsfeste | Antennerør 3600mm og hengsle B inkl. skråstag og festemateriell</t>
  </si>
  <si>
    <t>TLNSET-ANTENNA4200-A</t>
  </si>
  <si>
    <t>Gravitasjonsfeste | Antennerør 4200mm og hengsle A inkl. skråstag og festemateriell</t>
  </si>
  <si>
    <t>TLNSET-ANTENNA4200-B</t>
  </si>
  <si>
    <t>Gravitasjonsfeste | Antennerør 4200mm og hengsle B inkl. skråstag og festemateriell</t>
  </si>
  <si>
    <t>TLNSET-BASE</t>
  </si>
  <si>
    <t>Gravitasjonsfeste | Ramme 3x3m inkl festemateriell</t>
  </si>
  <si>
    <t>TLNSET-EXT</t>
  </si>
  <si>
    <t>Gravitasjonsfeste | Extension til bunnramme inkl. festemateriell</t>
  </si>
  <si>
    <t>TLNSET-FOOT300</t>
  </si>
  <si>
    <t>Gravitasjonsfeste | Fotplate og 300mm fotrør inkl. festemateriell</t>
  </si>
  <si>
    <t>TLNSET-FOOT300-1</t>
  </si>
  <si>
    <t>Gravitasjonsfeste | Fotplate, 300mm rør, 1 lag stein + festemateriell</t>
  </si>
  <si>
    <t>TLNSET-FOOT300-2</t>
  </si>
  <si>
    <t>Gravitasjonsfeste | Fotplate, 300mm rør, 2 lag stein + festemateriell</t>
  </si>
  <si>
    <t>TLNSET-FOOT300-3</t>
  </si>
  <si>
    <t>Gravitasjonsfeste | Fotplate, 300mm rør, 3 lag stein + festemateriell</t>
  </si>
  <si>
    <t>TLNSET-FOOT500</t>
  </si>
  <si>
    <t>Gravitasjonsfeste | Fotplate og 500mm fotrør inkl. festemateriell</t>
  </si>
  <si>
    <t>TLNSET-FOOT500-1</t>
  </si>
  <si>
    <t>Gravitasjonsfeste | Fotplate, 500mm rør, 1 lag stein + festemateriell</t>
  </si>
  <si>
    <t>TLNSET-FOOT500-2</t>
  </si>
  <si>
    <t>Gravitasjonsfeste | Fotplate, 500mm rør, 2 lag stein + festemateriell</t>
  </si>
  <si>
    <t>TLNSET-FOOT500-3</t>
  </si>
  <si>
    <t>Gravitasjonsfeste | Fotplate, 500mm rør, 3 lag stein + festemateriell</t>
  </si>
  <si>
    <t>TLNSET-RRUPIPE</t>
  </si>
  <si>
    <t>Gravitasjonsfeste | Festerør til RRU inkl. festemateriell</t>
  </si>
  <si>
    <t>TLNSET-RRUPIPE-DOUBLE</t>
  </si>
  <si>
    <t>Gravitasjonsfeste | Festerør og RRU-brakett for tosidig montering inkl. festemateriell</t>
  </si>
  <si>
    <t>TLNSET-RRUPIPE-SINGLE</t>
  </si>
  <si>
    <t>Gravitasjonsfeste | Festerør og RRU-brakett for ensidig montering inkl. festemateriell</t>
  </si>
  <si>
    <t>TLNSET-T1</t>
  </si>
  <si>
    <t>Antennerør 3600mm</t>
  </si>
  <si>
    <t>TLNSET-T10</t>
  </si>
  <si>
    <t>Brakett for RRU-montering</t>
  </si>
  <si>
    <t>TLNSET-T11</t>
  </si>
  <si>
    <t>Fotrør 300mm</t>
  </si>
  <si>
    <t>TLNSET-T11-4</t>
  </si>
  <si>
    <t>Foot pipe Assembly 400mm</t>
  </si>
  <si>
    <t>TLNSET-T12</t>
  </si>
  <si>
    <t>Fotrør 500mm</t>
  </si>
  <si>
    <t>TLNSET-T2</t>
  </si>
  <si>
    <t>Antennerør 3200mm</t>
  </si>
  <si>
    <t>TLNSET-T3</t>
  </si>
  <si>
    <t>Antennerør 4200mm</t>
  </si>
  <si>
    <t>TLNSET-T4</t>
  </si>
  <si>
    <t>Fotplate 600x600</t>
  </si>
  <si>
    <t>TLNSET-T5</t>
  </si>
  <si>
    <t>Hengsle type A</t>
  </si>
  <si>
    <t>TLNSET-T6</t>
  </si>
  <si>
    <t>RRU-festerør</t>
  </si>
  <si>
    <t>TLNSET-T7</t>
  </si>
  <si>
    <t>Hengsle type B</t>
  </si>
  <si>
    <t>TLNSET-T8</t>
  </si>
  <si>
    <t>Skråstagsbrakett mot bunnramme</t>
  </si>
  <si>
    <t>TLNSET-T9</t>
  </si>
  <si>
    <t>Skråstagsbrakett mot antennerør</t>
  </si>
  <si>
    <t>TLNSET-TG1</t>
  </si>
  <si>
    <t>UPE100 1200mm</t>
  </si>
  <si>
    <t>TLNSET-TG11</t>
  </si>
  <si>
    <t>Vinkeljern for extension av bunnramme L150x100x10mm</t>
  </si>
  <si>
    <t>TLNSET-TG12</t>
  </si>
  <si>
    <t>Vinkeljern for  bunnramme L100x100x10mm</t>
  </si>
  <si>
    <t>TLNSET-TG2</t>
  </si>
  <si>
    <t>UPE100 950mm</t>
  </si>
  <si>
    <t>TLNSET-TG22</t>
  </si>
  <si>
    <t>Brakett for innfestning mot RRU-rør</t>
  </si>
  <si>
    <t>TLNSET-TG23</t>
  </si>
  <si>
    <t>Butterflies for innfestning mot fotrør</t>
  </si>
  <si>
    <t>TLNSET-TG27</t>
  </si>
  <si>
    <t>U-bolt mot antennerør Ø76</t>
  </si>
  <si>
    <t>TLNSET-TG28</t>
  </si>
  <si>
    <t>U-bolt mot fotrør Ø60</t>
  </si>
  <si>
    <t>TLNSET-TG3</t>
  </si>
  <si>
    <t>UPE100 3000mm</t>
  </si>
  <si>
    <t>TLNSET-TG30</t>
  </si>
  <si>
    <t>Small ballastbøyle for sikring av 1 lag stein</t>
  </si>
  <si>
    <t>TLNSET-TG31</t>
  </si>
  <si>
    <t>Medium ballastbøyle for sikring av 2 lag stein</t>
  </si>
  <si>
    <t>TLNSET-TG32</t>
  </si>
  <si>
    <t>Large ballastbøyle for sikring av 3 lag stein</t>
  </si>
  <si>
    <t>TLNSET-TG8</t>
  </si>
  <si>
    <t>Skråstag L50x50x5mm</t>
  </si>
  <si>
    <t>TLNSF-1</t>
  </si>
  <si>
    <t>Fundamentpakke for 1 stk utendørskabinett på HEA-bjelker (2m)</t>
  </si>
  <si>
    <t>TLNSF-2</t>
  </si>
  <si>
    <t>Fundamentpakke for dobbelt utendørskabinett på HEA-bjelker (2m), 8 ankerpunkter</t>
  </si>
  <si>
    <t>TLNSF-3</t>
  </si>
  <si>
    <t>Fundamentpakke for dobbelt utendørskabinett på HEA-bjelker (2m), 6 ankerpunkter</t>
  </si>
  <si>
    <t>TLNSF-5</t>
  </si>
  <si>
    <t>M20x1000 - Gjengestenger inkl. muttere og skiver, for feste av utendørskabinett til fjell eller støpt fundament.</t>
  </si>
  <si>
    <t>TLNSF-6</t>
  </si>
  <si>
    <t>M20x500 - Gjengestenger inkl. muttere og skiver, for feste av utendørskabinett til fjell eller støpt fundament.</t>
  </si>
  <si>
    <t>TLNSF-7</t>
  </si>
  <si>
    <t>M20x300 - Gjengestenger inkl. muttere og skiver, for feste av utendørskabinett til fjell eller støpt fundament.</t>
  </si>
  <si>
    <t>TLNS-MAIN</t>
  </si>
  <si>
    <t>Utendørskabinett, komplett - eks innfestingsbolter mot fundament</t>
  </si>
  <si>
    <t>TLNS-P2</t>
  </si>
  <si>
    <t>Hjørnestolpe til utendørskabinett (Kvadratisk HUP, 30x3, 1 stk)</t>
  </si>
  <si>
    <t>TLNS-UTVID</t>
  </si>
  <si>
    <t>Utvidelse av utendørskabinett med en modul, eks innfestingsbolter mot fundament</t>
  </si>
  <si>
    <t>TU-01</t>
  </si>
  <si>
    <t>TU-01 Antennefeste for tunnel, Ø48,3 - Ø60,3, Syrefast</t>
  </si>
  <si>
    <t>U3-03</t>
  </si>
  <si>
    <t>Antennefeste i tunnel</t>
  </si>
  <si>
    <t>U3-03-mod3</t>
  </si>
  <si>
    <t>bracket for antenna 80010681</t>
  </si>
  <si>
    <t>U3-04</t>
  </si>
  <si>
    <t>Antennefeste i tunnel syrefast</t>
  </si>
  <si>
    <t>U-BOLT-60</t>
  </si>
  <si>
    <t>U-Bolt Ø12-60 inkl.</t>
  </si>
  <si>
    <t>U-BOLT-76</t>
  </si>
  <si>
    <t>U-Bolt Ø12-76 inkl. 4 muttere og 2 skiver</t>
  </si>
  <si>
    <t>U-BOLT-M12</t>
  </si>
  <si>
    <t>U-Bolt M12</t>
  </si>
  <si>
    <t>USC 2X1-1/4</t>
  </si>
  <si>
    <t>USC 2x1.1/4" (40) FIMO 61 1572 2114</t>
  </si>
  <si>
    <t>WB</t>
  </si>
  <si>
    <t>Wall bracket - for Ø60-Ø76mm pipes</t>
  </si>
  <si>
    <t>YK-21</t>
  </si>
  <si>
    <t>Kabelbro sett 3m</t>
  </si>
  <si>
    <t>YK-24</t>
  </si>
  <si>
    <t>Kabelbro settl 4m (krever understøtte D640)</t>
  </si>
  <si>
    <t>YK-25</t>
  </si>
  <si>
    <t>Kabelbro sett 5m (krever understøtte D640)</t>
  </si>
  <si>
    <t>YK-26</t>
  </si>
  <si>
    <t>Kabelbro sett 6m (krever understøtte D640)</t>
  </si>
  <si>
    <t>YK-31</t>
  </si>
  <si>
    <t>Kabelbro sett 3m,  A=500mm</t>
  </si>
  <si>
    <t>YK-34</t>
  </si>
  <si>
    <t>Kabelbro sett 4m, A=500mm</t>
  </si>
  <si>
    <t>ZINK ALUSPRAY</t>
  </si>
  <si>
    <t>Zink Alu-spray 400ML art.148591</t>
  </si>
  <si>
    <t>ZINK SPRAY</t>
  </si>
  <si>
    <t>Zink Spray grå 400ML art.302241</t>
  </si>
  <si>
    <t>write product code here</t>
  </si>
  <si>
    <t>write description here</t>
  </si>
  <si>
    <t>Montasjerenne MP-MK 200mm L=2m MP-825S</t>
  </si>
  <si>
    <t>High Runners List Solar: to be ordered whenever possible to use</t>
  </si>
  <si>
    <t>Electro</t>
  </si>
  <si>
    <t>Solar</t>
  </si>
  <si>
    <t>Montasjerenne MP-MK 300mm L=2m MP-826S</t>
  </si>
  <si>
    <t>AVSPERRINGSBÅND RØD/HVIT 500 M</t>
  </si>
  <si>
    <t>Kveileramme, mini</t>
  </si>
  <si>
    <t>FAZ 32A 3P/C</t>
  </si>
  <si>
    <t>IFSI-EMC Pure 1kV 4x16/16 FR</t>
  </si>
  <si>
    <t>IFXI EASY 1KV 4G6</t>
  </si>
  <si>
    <t>IFXI EASY 1KV 5G6</t>
  </si>
  <si>
    <t>PN 750V 50 GUL/GRØNN TR</t>
  </si>
  <si>
    <t>RM 20</t>
  </si>
  <si>
    <t>RM 30</t>
  </si>
  <si>
    <t>KONTRAMUTTER POLYAMID M25</t>
  </si>
  <si>
    <t>KONTRAMUTTER POLYAMID M32</t>
  </si>
  <si>
    <t>Montasjeskinne L=2,5m 30mm Varmf MP-800Z</t>
  </si>
  <si>
    <t>BRANNTETTINGSSYSTEM FS-FLEX D</t>
  </si>
  <si>
    <t>BRYTEPLINT 10PAR (1-0) HVIT</t>
  </si>
  <si>
    <t>Overbelastningsvern 63A 3p OV</t>
  </si>
  <si>
    <t>RADOX 4 GKW-X 1,8/3KV 1X10MM2</t>
  </si>
  <si>
    <t>TEC7 GRÅ 310 ML</t>
  </si>
  <si>
    <t>WEDGE 120 GALV</t>
  </si>
  <si>
    <t>IFSI-EMC 1KV 2X6/6</t>
  </si>
  <si>
    <t>IFSI-EMC 1KV 2X2,5/2,5</t>
  </si>
  <si>
    <t>IFSI-EMC 1KV 4X16/16</t>
  </si>
  <si>
    <t>RQ 750V 25 GUL/GRØNN TR</t>
  </si>
  <si>
    <t>RQ 750V 50 GUL/GRØNN TR</t>
  </si>
  <si>
    <t>RQ 750V 10 Gul/Grønn tr</t>
  </si>
  <si>
    <t>IFSI-EMC 1KV 4X6/6</t>
  </si>
  <si>
    <t>IFSI-EMC 1KV 3X10/10</t>
  </si>
  <si>
    <t>IFSI-EMC 1KV 3X16/16</t>
  </si>
  <si>
    <t>IFSI-EMC 1KV 4X10/10</t>
  </si>
  <si>
    <t>KABELSTIGE KHZP-200 6M FZV</t>
  </si>
  <si>
    <t>SKJØT 21 M/SKRUE TIL K-STIGE FZV ZM</t>
  </si>
  <si>
    <t>AVVINKLING 22 M6 TIL K-STIGE FZV C4</t>
  </si>
  <si>
    <t>VEGGFESTE VERTIKALT 11/25 FZV C4</t>
  </si>
  <si>
    <t>INDRE BØY 15/200 90° FZV C4</t>
  </si>
  <si>
    <t>RM 30/WG10x11.7 BG B S1603963A</t>
  </si>
  <si>
    <t>Telia sites, cable type: SL2C10MM2FRNC-S-BK-N</t>
  </si>
  <si>
    <t>RM 30/WG13x18 BG B S1603943A</t>
  </si>
  <si>
    <t>Telia sites, cable type: SL2C25MM2FRNC-S-BK-N</t>
  </si>
  <si>
    <t>RM 30/WG11.5x14 BG B S1603959A</t>
  </si>
  <si>
    <t>Telia sites, cable type: SL2C16MM2FRNC-S-BK-N</t>
  </si>
  <si>
    <t>DYMO TAPE 9MM SORT PÅ HVIT 1PK</t>
  </si>
  <si>
    <t>SKILTHOLDER HCR 9MM RULL 25M</t>
  </si>
  <si>
    <t>STRIPS STÅL MBT20HFC 7,9X521MM</t>
  </si>
  <si>
    <t>STRIPS STÅL MBT14HFC 7,9X362MM</t>
  </si>
  <si>
    <t>KABELSKO KR 50MM2, Ø=8MM</t>
  </si>
  <si>
    <t>KABELSKO KR 50MM2, Ø=10MM</t>
  </si>
  <si>
    <t>KABELSKO KR 25MM2, Ø=10MM</t>
  </si>
  <si>
    <t>KABELSKO KR 25MM2, Ø=8MM</t>
  </si>
  <si>
    <t>AVGRENINGSHYLSE 16-50 mm²</t>
  </si>
  <si>
    <t>C6               16-25/16-25</t>
  </si>
  <si>
    <t>ENDEHYLSE ELFEN 10,0 MM2, L=18</t>
  </si>
  <si>
    <t>ENDEHYLSE GRØNN 16,0 MM2,L=18</t>
  </si>
  <si>
    <t>ENDEHYLSE, SVART 6,0MM2, L=12</t>
  </si>
  <si>
    <t>ENDEHYLSE,UISOL   35,0MM2, L=</t>
  </si>
  <si>
    <t>ENDEHYLSE,UISOL   25,0MM2, L=</t>
  </si>
  <si>
    <t>ENDEHYLSE,UISOL   50,0MM2, L=</t>
  </si>
  <si>
    <t>ISOL.ENDEHYLSE  25 MM2-22MM</t>
  </si>
  <si>
    <t>ISOLASJONSTAPE SUPER 88  19MMX6M</t>
  </si>
  <si>
    <t>SCOTCHLOCK UR2 0,4-0,9MM,SKJØTING</t>
  </si>
  <si>
    <t>WAGO KOBLINGSKLEMME 2 LEDER 2,5MM2</t>
  </si>
  <si>
    <t>WAGO KOBLINGSKLEMME 3 LEDER 2,5MM2</t>
  </si>
  <si>
    <t>STRIPS STÅL MBT14SFC 4,6X362MM</t>
  </si>
  <si>
    <t>STRIPS SORT 4,7X390 MM</t>
  </si>
  <si>
    <t>PATCHKABEL CAT.6A S/FTP LSZH 2M GRÅ</t>
  </si>
  <si>
    <t>PATCHKABEL KAT6A S/FTP LSZH 1,0M GRÅ</t>
  </si>
  <si>
    <t>KABELSKO  50-12        21</t>
  </si>
  <si>
    <t>KABELSKO 10MM2/ Ø8MM</t>
  </si>
  <si>
    <t>KABELSKO KR 10MM2, Ø=6MM</t>
  </si>
  <si>
    <t>KRF 50-8 90º med lang lask</t>
  </si>
  <si>
    <t>PLASTLOM. KURSFORT. A4 SELVKL.</t>
  </si>
  <si>
    <t>C9-8            35-50/25-35</t>
  </si>
  <si>
    <t>KRYMP HIS3 24,0/8,0MM BLÅ 3M</t>
  </si>
  <si>
    <t>KRYMP HIS3 24,0/8,0MM 3M RØD</t>
  </si>
  <si>
    <t>ISOL.ENDEHYLSE  35 MM2-25MM</t>
  </si>
  <si>
    <t>KABELSKO  25-12         22</t>
  </si>
  <si>
    <t>STRIPS SORT T120M 7,6X450MM</t>
  </si>
  <si>
    <t>C5               10-16/10-16</t>
  </si>
  <si>
    <t>STRIPS SORT 7,6X760MM</t>
  </si>
  <si>
    <t>Saks til kapp av gitterbane MP-790P</t>
  </si>
  <si>
    <t>RM 30 BG B</t>
  </si>
  <si>
    <t>RM 20 BG B</t>
  </si>
  <si>
    <t>RM 40 BG B</t>
  </si>
  <si>
    <t>LUBRICANT 15 ML</t>
  </si>
  <si>
    <t>Kveileramme Liten/B4/B2G m. festebånd</t>
  </si>
  <si>
    <t>JORDKLEMME 407012</t>
  </si>
  <si>
    <t>P/A-SKINNE 24/48 3M FZV</t>
  </si>
  <si>
    <t>6 PAR 0,6 PT HF B2 130</t>
  </si>
  <si>
    <t>Gitterbane 120 Z4 L=2,5m MP-722Z4</t>
  </si>
  <si>
    <t>Gitterbane</t>
  </si>
  <si>
    <t>Skjøt gitterbane MP-730Z4</t>
  </si>
  <si>
    <t>Universalbrikke Z4 MP-731Z4</t>
  </si>
  <si>
    <t>Vinkelfeste 55x90mm Varmf MP-900Z</t>
  </si>
  <si>
    <t>Hjørneskjøt Gitterbane Syref MP-732R</t>
  </si>
  <si>
    <t>Bolt/mutter M8x16 Varmf MP-937Z</t>
  </si>
  <si>
    <t>Takstøtte for gitterbane på tak MP-PVX1</t>
  </si>
  <si>
    <t>Potensialutj.skrue M8X16 Syref MP-939R</t>
  </si>
  <si>
    <t>Veggfeste Gitterbane Varmf MP-735Z</t>
  </si>
  <si>
    <t>X-Rack Veggskap Ramme 15U 400-600mm</t>
  </si>
  <si>
    <t>STRIPS SORT T18L 2,5X200MM</t>
  </si>
  <si>
    <t>BOLTEKUTTER 18"</t>
  </si>
  <si>
    <t>LASTBRYTER 40A 4-POL</t>
  </si>
  <si>
    <t>LASTBRYTER 40A 3-POL</t>
  </si>
  <si>
    <t>Overbelastningsvern 25A 4p OV</t>
  </si>
  <si>
    <t>Overbelastningsvern 40A 3p OV</t>
  </si>
  <si>
    <t>FAZ 16A 4P/C</t>
  </si>
  <si>
    <t>JFAT. 25A 3P/C A-TYPE 100MA</t>
  </si>
  <si>
    <t>IFSI-EMC 1KV 3X6/6</t>
  </si>
  <si>
    <t>IFSI-EMC 1KV 4X2,5/2,5</t>
  </si>
  <si>
    <t>JORDFEILAUT. 16A 2P/C A-TYPE</t>
  </si>
  <si>
    <t>KRYMP MA47 30/8MM SORT 1M</t>
  </si>
  <si>
    <t>KRYMP MA47 40/12MM SORT 1M</t>
  </si>
  <si>
    <t>Koblingsklemme 3x50 Al/Cu GG</t>
  </si>
  <si>
    <t>SKRUE/MUTTERSETT</t>
  </si>
  <si>
    <t>Strømpe 12mm Sort 10m SRG725</t>
  </si>
  <si>
    <t>Varmkrymp kabelskritt 2x6 - 35</t>
  </si>
  <si>
    <t>Varmkrymp kabelskritt 2x50 - 120</t>
  </si>
  <si>
    <t>MÅLERSLØYFE</t>
  </si>
  <si>
    <t>Målersløyfe 10 mm2 Klasse 1, 4 poler</t>
  </si>
  <si>
    <t>REKKEKL. SKRU 0,14-2,5</t>
  </si>
  <si>
    <t>Aluminiumstape 63632 -40°/+160° 50mx50mm</t>
  </si>
  <si>
    <t>Oxygen RZ1-K 0,6/1kV LSZH  1x25 Sort tr.</t>
  </si>
  <si>
    <t>Oxygen RZ1-K 0,6/1kV LSZH  1x35 Sort tr.</t>
  </si>
  <si>
    <t>Oxygen RZ1-K 0,6/1kV LSZH  1x50 Sort tr.</t>
  </si>
  <si>
    <t>Oxygen RZ1-K 0,6/1kV LSZH  1x70 Sort tr.</t>
  </si>
  <si>
    <t>Oxygen RZ1-K 0,6/1kV LSZH  1x95 Sort tr.</t>
  </si>
  <si>
    <t>EOS5 - Termotransferskrivare</t>
  </si>
  <si>
    <t>EPL - Självhäftande etiketter</t>
  </si>
  <si>
    <t>FÄRGBAND PR8 FÖR MK10 360M</t>
  </si>
  <si>
    <t>PPQZ 10 STANSAD BANDPROFIL VIT, R/10M</t>
  </si>
  <si>
    <t>PPQZ WHITE 50x80</t>
  </si>
  <si>
    <t>Self adhesive label</t>
  </si>
  <si>
    <t>N05VA5VH2-U ANTITWIN 2X2.5/2.5</t>
  </si>
  <si>
    <t>H07V-K ANTITWIN 10MM2 Y/G</t>
  </si>
  <si>
    <t>UK PR 2X2,5/2,5MM2 LIMT</t>
  </si>
  <si>
    <t>GLAND M20 (8-13) L.GREY POLYAMID</t>
  </si>
  <si>
    <t>GLAND M25 (11-17) L.GREY POLYAMID</t>
  </si>
  <si>
    <t>Lock nut POLYAMID M25</t>
  </si>
  <si>
    <t>WALL TRUNKING WDK 15015 WHITE</t>
  </si>
  <si>
    <t>WALL TRUNKING WDK 15030 WHITE</t>
  </si>
  <si>
    <t>WALL TRUNKING WDK 20020 WHITE</t>
  </si>
  <si>
    <t>WALL TRUNKING WDK 40040 WHITE.</t>
  </si>
  <si>
    <t>WALL TRUNKING WDK 40060 WHITE.</t>
  </si>
  <si>
    <t>SOL LUCK NUT M16 POLYAMID</t>
  </si>
  <si>
    <t>UK KONTRAMUTTER POLYAMID M20</t>
  </si>
  <si>
    <t>KE 61 UNIVERSAL CLAMP GREY</t>
  </si>
  <si>
    <t>WALL DUCT TEK 123X72MM 2,5M PVC PW</t>
  </si>
  <si>
    <t>FRONT COVER 2,5M FCA-F80 P WHITE</t>
  </si>
  <si>
    <t>END PIECE ES 123 PV RAL 9016</t>
  </si>
  <si>
    <t>MARKER</t>
  </si>
  <si>
    <t>CABLE TIE 4,6X300 BLACK UV RESISTANT</t>
  </si>
  <si>
    <t>ANGLE BRACKET S-M AB-50X100-6 SS</t>
  </si>
  <si>
    <t>GROUND TERMINAL BLOCK</t>
  </si>
  <si>
    <t>CABLE LADDERKHZSP-300 4M PRE-G</t>
  </si>
  <si>
    <t>Taper endcap 25mm²</t>
  </si>
  <si>
    <t>OL MINI 1220-1 WHITE PVC L=2,1</t>
  </si>
  <si>
    <t>IFXI LX 500V 3G2,5</t>
  </si>
  <si>
    <t>CORRUGATED HOSE Ø25MM PA HF GREY</t>
  </si>
  <si>
    <t>SOCKET 16A SCHUKO + LIGHT INDIC.</t>
  </si>
  <si>
    <t>BREAKEOUT4X2,5-16MM2</t>
  </si>
  <si>
    <t>SOL SWIVEL M32 15-21MM RAL9005 IP68</t>
  </si>
  <si>
    <t>CONNECTOR BOX - LSA</t>
  </si>
  <si>
    <t>RM 20/0</t>
  </si>
  <si>
    <t>WALL TRUNKING WDK 10020 WHITE</t>
  </si>
  <si>
    <t>CABLE PROTECTION HALF PIPE 1/2" M/2 KL</t>
  </si>
  <si>
    <t>DVR 2WALL CORRUGATED PIPE D110MM 50M RED</t>
  </si>
  <si>
    <t>SUPPORT BRACKET 3-300 PREG</t>
  </si>
  <si>
    <t>PROFILE CLAMP 42 PRE-GALV</t>
  </si>
  <si>
    <t>PATCH CORD CAT6A S/FTP TPE UV 15M BLACK</t>
  </si>
  <si>
    <t>PATCH CABLE CAT6A U/UTP LSZH 15M WHITE</t>
  </si>
  <si>
    <t>HEATSHRINK MA47 75/22MM BK 1M</t>
  </si>
  <si>
    <t>GLAND M40L (19-28) GREY POLYAMID</t>
  </si>
  <si>
    <t>WIRE MESH TRAY, 120 MM MP-722E</t>
  </si>
  <si>
    <t>WALL BRACKET WIRE MESH TRAY MP-735S</t>
  </si>
  <si>
    <t>PRE COMPRESSION TOOL SMALL</t>
  </si>
  <si>
    <t>RM 10/0x12</t>
  </si>
  <si>
    <t>PROTECTION AGAINST ELEC. SHOCK</t>
  </si>
  <si>
    <t>EVG-3P+3N/12MODUL Busbar</t>
  </si>
  <si>
    <t>AFUMEX EASY RZ1-K Dca 1KV 120</t>
  </si>
  <si>
    <t>RACK 6HE FLATPAK 600X400 L.GREY, GLASS</t>
  </si>
  <si>
    <t>DS203 M A-C63/0.03 230V</t>
  </si>
  <si>
    <t>PRESS CABLE LUG, CU 25MM2 M12</t>
  </si>
  <si>
    <t>MCB 1P C6A  10KA</t>
  </si>
  <si>
    <t>PKPM2-10/2/B/003-A</t>
  </si>
  <si>
    <t>UK MÅLERBRETT 3-FASEM III</t>
  </si>
  <si>
    <t>CLAMPO PRO,1POL ,GREY UNI.35-150Q</t>
  </si>
  <si>
    <t>UNIVERSAL CLAMP GREEN/YELLOW</t>
  </si>
  <si>
    <t>WALL DUCT GK 110X70MM 2M PVC PW</t>
  </si>
  <si>
    <t>AMOSOFT 1X10MM² 0,6/1KV</t>
  </si>
  <si>
    <t>FAZ-OV32/4</t>
  </si>
  <si>
    <t>CLAMP 22 MM</t>
  </si>
  <si>
    <t>HEAT SHRINK BREAKOUT 5 X25-50MM</t>
  </si>
  <si>
    <t>CABLE GLAND PG29 PA 9002</t>
  </si>
  <si>
    <t>FIRE ACRYL 101</t>
  </si>
  <si>
    <t>UNO CHANNEL PERF. S-UNO-41-1-P (3M) HDG</t>
  </si>
  <si>
    <t>FLAT IRON FL-LW-7X35-25X5X3000 HDG</t>
  </si>
  <si>
    <t>RV-K 0,6/1KV CPR 3G2,5 WHITE DRUM</t>
  </si>
  <si>
    <t>CABEL END SLEEVE, ISOL 2X 10MM2 TVILL</t>
  </si>
  <si>
    <t>LIHCH 2X1,5MM² 0,6/1KV 100M</t>
  </si>
  <si>
    <t>ACTI 9 MCB IC60H</t>
  </si>
  <si>
    <t>MCB 1P C63A  10KA</t>
  </si>
  <si>
    <t>ELIT SPD40-3PT2-385V-FM</t>
  </si>
  <si>
    <t>UK PFXP-FR 3G16 CU</t>
  </si>
  <si>
    <t>HF-COILFIX C-PIPE Ø16MM 100M PP HF 750N</t>
  </si>
  <si>
    <t>UK BLINDPLUGG SC DUPLEX</t>
  </si>
  <si>
    <t>Panel 1U 12xLC/UPC SM, pigtails</t>
  </si>
  <si>
    <t>EATON 167508 RCBO 3P+N C32 4MOD</t>
  </si>
  <si>
    <t>SPRING NUT S-UNO NU-M-4108 HDG</t>
  </si>
  <si>
    <t>BOLTS M8X20 HOT DIP SW13 DIN933</t>
  </si>
  <si>
    <t>Rigid wire jumper, 3p, 125mm</t>
  </si>
  <si>
    <t>CLAMP 2,5-35/16-95 K332</t>
  </si>
  <si>
    <t>CABLE LUG PINSHAPED, UNINSULATED, CU, M2</t>
  </si>
  <si>
    <t>CABLE LUG KRDIN, 25MM2, M8</t>
  </si>
  <si>
    <t>SIEM 5SY5163-7 MINI CIRCUIT BREAKER</t>
  </si>
  <si>
    <t>END SEAL CAP 80-25</t>
  </si>
  <si>
    <t>ALUMINUM SIGN - FIBER OPTIC CABLE</t>
  </si>
  <si>
    <t>90 BEND 15-200 INT. PREG</t>
  </si>
  <si>
    <t>EDGE PROT. BLACK 9.5X6.5MM</t>
  </si>
  <si>
    <t>EDGE PROT. BLACK 14.1X9,9MM 50M</t>
  </si>
  <si>
    <t>Inst. TSC-C5M 4,2x32</t>
  </si>
  <si>
    <t>BREAKE OUT 2X25-150MM2</t>
  </si>
  <si>
    <t>CABLE LUG PINSHAPED, UNINSULATED, CU, M1</t>
  </si>
  <si>
    <t>WOOD SCREW 10 X 50MM</t>
  </si>
  <si>
    <t>TEXILINE HF 35MM² YELLOW/GREEN</t>
  </si>
  <si>
    <t>PRESS CABLE SHOE, CU KRT 120MM2 M10</t>
  </si>
  <si>
    <t>UK ALU-TAPE 50MM (50M)</t>
  </si>
  <si>
    <t>CABLELADDER KHZSP-400 4M PRE-G</t>
  </si>
  <si>
    <t>CANTILEVER ARM 50-700 HDG</t>
  </si>
  <si>
    <t>CABLE SHOE  95-10       29</t>
  </si>
  <si>
    <t>LETTI CABLE CLAMPS 9-O-12 PH SHORT</t>
  </si>
  <si>
    <t>NUT F/CABLE GLAND, PA66, M16X1,5</t>
  </si>
  <si>
    <t>CONNECTOR BLUE 375MM</t>
  </si>
  <si>
    <t>CONNECTOR YELLOW/GREEN 800</t>
  </si>
  <si>
    <t>SET BLACK, BROWN, GREY</t>
  </si>
  <si>
    <t>TCS-X-C3 8-12 WHITE</t>
  </si>
  <si>
    <t>PATCH CABLE CAT5E U/UTP LSZH 15,0M WHITE</t>
  </si>
  <si>
    <t>RIGID STEEL PIPE 32MM 4000N 3M</t>
  </si>
  <si>
    <t>SADDLE - STAINLESS STEEL 32</t>
  </si>
  <si>
    <t>CABLE SHOE  25-10</t>
  </si>
  <si>
    <t>WIRE MESH TRAY, 300 MM MP-724E</t>
  </si>
  <si>
    <t>UK KABELSKO GUL 4,0-6,0MM2 Ø4.0</t>
  </si>
  <si>
    <t>RACK TRITON 12U 50CM GL.D</t>
  </si>
  <si>
    <t>IFSI-EMC Pure 1kV 4x4/4 ER</t>
  </si>
  <si>
    <t>STEEL BRUSH SET</t>
  </si>
  <si>
    <t>TKSS in galvanised steel 400V</t>
  </si>
  <si>
    <t>WARNING TAPE</t>
  </si>
  <si>
    <t>Document Responsible:</t>
  </si>
  <si>
    <t>Kim Kullberg</t>
  </si>
  <si>
    <t>Department:</t>
  </si>
  <si>
    <t>Mobil infrastruktur</t>
  </si>
  <si>
    <t>Version No.</t>
  </si>
  <si>
    <t>Release Date</t>
  </si>
  <si>
    <t>Reasons for Issue/Reissue</t>
  </si>
  <si>
    <t>3.1</t>
  </si>
  <si>
    <t>Actual budget calculation added, new materials added, changes in reporting of special transport, act</t>
  </si>
  <si>
    <t>3.2</t>
  </si>
  <si>
    <t>New materials added, D365 template corrected to include free text materials from source Lyse Tele</t>
  </si>
  <si>
    <t>3.21</t>
  </si>
  <si>
    <t>Bag with Griptel articles prices fixed</t>
  </si>
  <si>
    <t xml:space="preserve">Solar BoM Unprotected BoM Solar quantity column </t>
  </si>
  <si>
    <t xml:space="preserve">added RL Products, updated Bring and Solar material list, </t>
  </si>
  <si>
    <t>v</t>
  </si>
  <si>
    <t>Date</t>
  </si>
  <si>
    <t>Author</t>
  </si>
  <si>
    <t>Column1</t>
  </si>
  <si>
    <t>Category</t>
  </si>
  <si>
    <t>Sheet</t>
  </si>
  <si>
    <t>Row</t>
  </si>
  <si>
    <t>Column</t>
  </si>
  <si>
    <t>Change</t>
  </si>
  <si>
    <t>Column2</t>
  </si>
  <si>
    <t>Kjerag2022</t>
  </si>
  <si>
    <t>17.10.2022</t>
  </si>
  <si>
    <t>G.Pudelek</t>
  </si>
  <si>
    <t>v0.1</t>
  </si>
  <si>
    <t>Structure of BoQ</t>
  </si>
  <si>
    <t>BoQ</t>
  </si>
  <si>
    <t>all</t>
  </si>
  <si>
    <t>First draft version</t>
  </si>
  <si>
    <t>Galdhopigen2469</t>
  </si>
  <si>
    <t>19.10.2022</t>
  </si>
  <si>
    <t>v1.0</t>
  </si>
  <si>
    <t>Release of v1.0</t>
  </si>
  <si>
    <t>Final version release including all ice items + steel from  TI subco</t>
  </si>
  <si>
    <t>24.10.2022</t>
  </si>
  <si>
    <t>v1.1</t>
  </si>
  <si>
    <t>Update to v1.0</t>
  </si>
  <si>
    <t>300-500</t>
  </si>
  <si>
    <t>B-J</t>
  </si>
  <si>
    <t>Rows 300-500 unlocked for editing</t>
  </si>
  <si>
    <t>02.11.2022</t>
  </si>
  <si>
    <t>v1.2</t>
  </si>
  <si>
    <t>Update to v1.2</t>
  </si>
  <si>
    <t>39-40</t>
  </si>
  <si>
    <t xml:space="preserve">Nokia OVPs added </t>
  </si>
  <si>
    <t>51-52</t>
  </si>
  <si>
    <t>F</t>
  </si>
  <si>
    <t>FPKA-FPKC ordering hints added</t>
  </si>
  <si>
    <t>v1.3</t>
  </si>
  <si>
    <t>Update to v1.3</t>
  </si>
  <si>
    <t>items not realted to Kjerag project removed</t>
  </si>
  <si>
    <t>11-12</t>
  </si>
  <si>
    <t>External alarm cables added</t>
  </si>
  <si>
    <t>New types of fibers added</t>
  </si>
  <si>
    <t>192-339</t>
  </si>
  <si>
    <t>Service items added</t>
  </si>
  <si>
    <t>04.01.2023</t>
  </si>
  <si>
    <t>v1.4</t>
  </si>
  <si>
    <t>Update to v1.4</t>
  </si>
  <si>
    <t>correction of hints</t>
  </si>
  <si>
    <t>20-21</t>
  </si>
  <si>
    <t>added missing FPKA-FPKC brackets</t>
  </si>
  <si>
    <t>38-54</t>
  </si>
  <si>
    <t>order of fibers changed, ordering hints updated</t>
  </si>
  <si>
    <t>13.02.2023</t>
  </si>
  <si>
    <t>v1.5</t>
  </si>
  <si>
    <t>Update to v1.5</t>
  </si>
  <si>
    <t>C</t>
  </si>
  <si>
    <t>CW/TI contractor drop down list added</t>
  </si>
  <si>
    <t>A</t>
  </si>
  <si>
    <t>Site ID column added</t>
  </si>
  <si>
    <t>K</t>
  </si>
  <si>
    <t>Contractor name column add- autofill</t>
  </si>
  <si>
    <t>Pigtail fiber changed to patch fiber in ordering hints for fibers between FTTA and RRH</t>
  </si>
  <si>
    <t>FUFAS 2m MM patch fiber added</t>
  </si>
  <si>
    <t>Eltek shelf kit added</t>
  </si>
  <si>
    <t>105-864</t>
  </si>
  <si>
    <t>Griptel all catalogue items added</t>
  </si>
  <si>
    <t>865-1012</t>
  </si>
  <si>
    <t>Service items description added</t>
  </si>
  <si>
    <t>84-86</t>
  </si>
  <si>
    <t>New antenna IPAA+ and supporting items added</t>
  </si>
  <si>
    <t>1 NOK additonal services added, fields can be duplicated if required</t>
  </si>
  <si>
    <t>1 NOK additonal materials added, fields can be duplicated if required</t>
  </si>
  <si>
    <t>1 NOK special transportation added, fields can be duplicated if required</t>
  </si>
  <si>
    <t>Eltek battery cables added</t>
  </si>
  <si>
    <t>new cable added 2x25mm</t>
  </si>
  <si>
    <t>new cable added 2x35mm</t>
  </si>
  <si>
    <t>20.02.2023</t>
  </si>
  <si>
    <t>PowerSafe batteries replaced with Marathon</t>
  </si>
  <si>
    <t>PowerSafe batteries connection sets replaced with Marathon sets</t>
  </si>
  <si>
    <t>SLPDU replaced by Skaaret DCDU</t>
  </si>
  <si>
    <t>93-96</t>
  </si>
  <si>
    <t>Jumpers from Commscope added</t>
  </si>
  <si>
    <t>15.03.2023</t>
  </si>
  <si>
    <t>M.Todorovic</t>
  </si>
  <si>
    <t>v2.0</t>
  </si>
  <si>
    <t>Upgrade to v2.0</t>
  </si>
  <si>
    <t>2-7, 1017-1025</t>
  </si>
  <si>
    <t>F,G,N-T</t>
  </si>
  <si>
    <r>
      <rPr>
        <sz val="11"/>
        <color rgb="FFC00000"/>
        <rFont val="Calibri"/>
        <family val="2"/>
        <scheme val="minor"/>
      </rPr>
      <t>Added columns</t>
    </r>
    <r>
      <rPr>
        <sz val="11"/>
        <color theme="1"/>
        <rFont val="Calibri"/>
        <family val="2"/>
        <scheme val="minor"/>
      </rPr>
      <t xml:space="preserve"> and formulas for price importing and summarizing in new budget header</t>
    </r>
  </si>
  <si>
    <t>Aux</t>
  </si>
  <si>
    <t>Aux sheet added as auxaliry for calculations and importing from Pricing file</t>
  </si>
  <si>
    <t>21.03.2023</t>
  </si>
  <si>
    <t>Update to v2.0</t>
  </si>
  <si>
    <t>35-38</t>
  </si>
  <si>
    <t>H</t>
  </si>
  <si>
    <t>Ordering hints updated for SFPs for AQQY</t>
  </si>
  <si>
    <t>30.03.2023</t>
  </si>
  <si>
    <t>N</t>
  </si>
  <si>
    <t>Added functionality to choose which version of pricing file to be used</t>
  </si>
  <si>
    <t>31.03.2023</t>
  </si>
  <si>
    <t>Sluttfaktura</t>
  </si>
  <si>
    <t>Added sheet and macro for making new BoQ with contractor imported pricing. To be used for final BoQ, final invoice.</t>
  </si>
  <si>
    <t>116-125</t>
  </si>
  <si>
    <t>New rows for existing service products for specific suppliers</t>
  </si>
  <si>
    <t>07.09.2023</t>
  </si>
  <si>
    <t>v2.1</t>
  </si>
  <si>
    <t>Update to v2.1</t>
  </si>
  <si>
    <t>New material products are added, products not in use any more are removed</t>
  </si>
  <si>
    <t>19.09.2023</t>
  </si>
  <si>
    <t>All</t>
  </si>
  <si>
    <t>Service products updated after contract Annex E - Charges  - v.3 and 5th contactor is added</t>
  </si>
  <si>
    <t>Ordering hinst for some material items are updated. Added Cond. formating to prevent duplicating items and feil choosing SM fibers/SFPs.</t>
  </si>
  <si>
    <t>New ice_solar_material_1NOK product added for material purchased on ICE account with Solar</t>
  </si>
  <si>
    <t>G. Pudelek</t>
  </si>
  <si>
    <t>v2.2</t>
  </si>
  <si>
    <t>Update to v2.2</t>
  </si>
  <si>
    <t>FOSC SFP added, use case description updated</t>
  </si>
  <si>
    <t>SMALL-CAPKIT added</t>
  </si>
  <si>
    <t>938-977</t>
  </si>
  <si>
    <t>Solar High Runners list added</t>
  </si>
  <si>
    <t>221-223</t>
  </si>
  <si>
    <t>CS-BRACKET options with different U-bolts added</t>
  </si>
  <si>
    <t>ice_power_service_1NOK is added</t>
  </si>
  <si>
    <t>Distribution of cost in budget header has been changed</t>
  </si>
  <si>
    <t>Instructions</t>
  </si>
  <si>
    <t>New sheet wih short guideline how to submitt all costs is added</t>
  </si>
  <si>
    <t>Replacement codes added for ABIO board</t>
  </si>
  <si>
    <t>AOSI use case description updated</t>
  </si>
  <si>
    <t>v3.1</t>
  </si>
  <si>
    <t>Update to v3.1</t>
  </si>
  <si>
    <t>Corrected formula for Site ID in column A</t>
  </si>
  <si>
    <t>B-D</t>
  </si>
  <si>
    <t>Replaced:  AMiA version with new version</t>
  </si>
  <si>
    <t>64-65</t>
  </si>
  <si>
    <t>Replaced: Nokia Patch fibers 2 and 5m replaced by Rosenberger</t>
  </si>
  <si>
    <t>Corrected: Dk adaptor ordering hint corrected</t>
  </si>
  <si>
    <t>Replaced OU Battery cabinet for lead batteries replacing OU cabinet for lithium batteries</t>
  </si>
  <si>
    <t>v3.2</t>
  </si>
  <si>
    <t>Update to v3.2</t>
  </si>
  <si>
    <t>Added: IT-230V-3A EDP IT Indoor med aggregat vender</t>
  </si>
  <si>
    <t>v3.3</t>
  </si>
  <si>
    <t>Update to v3.3</t>
  </si>
  <si>
    <t>Added: TN-400V-3B EDP TN Indoor med aggregat vender</t>
  </si>
  <si>
    <t xml:space="preserve">Added: Power cabel 2x2,5mm </t>
  </si>
  <si>
    <t>207-231</t>
  </si>
  <si>
    <t>Added: Mafi products</t>
  </si>
  <si>
    <t xml:space="preserve">Added: Adaptor 4.3-10 jack – N plug </t>
  </si>
  <si>
    <t>312-313</t>
  </si>
  <si>
    <t xml:space="preserve">Added: NEX jumpers </t>
  </si>
  <si>
    <t>M. Todorovic</t>
  </si>
  <si>
    <t xml:space="preserve">Removed price overview: Special transportation &amp; HSE services price NOK </t>
  </si>
  <si>
    <t xml:space="preserve">Removed: ice_spec_trans_1NOK Special transportation service - 1 NOK value </t>
  </si>
  <si>
    <t>02-08</t>
  </si>
  <si>
    <t>J-K</t>
  </si>
  <si>
    <t>Added: actual costs and budget overview</t>
  </si>
  <si>
    <t>U</t>
  </si>
  <si>
    <t>Added: Act-Est Qty column</t>
  </si>
  <si>
    <t>BoM Griptel</t>
  </si>
  <si>
    <t>Added: bitum covering</t>
  </si>
  <si>
    <t>Added: Mount for EDP</t>
  </si>
  <si>
    <t>Added: PVC covering</t>
  </si>
  <si>
    <t>281-306</t>
  </si>
  <si>
    <t>Edited: ordering hints for Ninja HW</t>
  </si>
  <si>
    <t xml:space="preserve">D365 ordering template </t>
  </si>
  <si>
    <r>
      <t xml:space="preserve">Template adjusted to show materials from Bring WH added as free text items. Please always add </t>
    </r>
    <r>
      <rPr>
        <b/>
        <sz val="11"/>
        <color theme="1"/>
        <rFont val="Calibri"/>
        <family val="2"/>
        <scheme val="minor"/>
      </rPr>
      <t>Lyse Tele</t>
    </r>
    <r>
      <rPr>
        <sz val="11"/>
        <color theme="1"/>
        <rFont val="Calibri"/>
        <family val="2"/>
        <scheme val="minor"/>
      </rPr>
      <t xml:space="preserve"> as a source of ordering </t>
    </r>
  </si>
  <si>
    <t>BoM Solar</t>
  </si>
  <si>
    <t>Added: X-Rack Veggskap Ramme 15U 400-600mm</t>
  </si>
  <si>
    <t>C:\Kjerag\[Pricing file vX</t>
  </si>
  <si>
    <t>Pricing file version</t>
  </si>
  <si>
    <t>Site Type</t>
  </si>
  <si>
    <t>List of contractors</t>
  </si>
  <si>
    <t>TSSR products</t>
  </si>
  <si>
    <t>Service items:</t>
  </si>
  <si>
    <t>v1</t>
  </si>
  <si>
    <t>Private Site</t>
  </si>
  <si>
    <t>Netel AS</t>
  </si>
  <si>
    <t>v2</t>
  </si>
  <si>
    <t>Coloc</t>
  </si>
  <si>
    <t>Product detailed decription</t>
  </si>
  <si>
    <t>v3</t>
  </si>
  <si>
    <t>ICE GF</t>
  </si>
  <si>
    <t>Oppland Elektro AS</t>
  </si>
  <si>
    <t>On Site</t>
  </si>
  <si>
    <t>v4</t>
  </si>
  <si>
    <t>Other</t>
  </si>
  <si>
    <t>Site Service AS</t>
  </si>
  <si>
    <t>v5</t>
  </si>
  <si>
    <t>SiteCom</t>
  </si>
  <si>
    <t>Office</t>
  </si>
  <si>
    <t>Walk test, 1 frequency per sector</t>
  </si>
  <si>
    <t>v7</t>
  </si>
  <si>
    <t>v8</t>
  </si>
  <si>
    <t>v9</t>
  </si>
  <si>
    <t>excluding  travel, including Technical Site Survey, arranging access with LL, collection of keys, collection of  all required information(radio, power, according to TSSR template), creation of BoQ,   design of detailed construction, mechanical and electrical details, telecom installation design, Antenna direction photos, power supply and grounding system design, foundation design if required, preparation of documents and simplified drawings ( with usage of commonly available graphic design tools like word, PowerPoint, paint etc.), upload of final report to customer database, package applicable only to new Rooftop (RT) sites;</t>
  </si>
  <si>
    <t>Travel</t>
  </si>
  <si>
    <t>Labeling new macro site</t>
  </si>
  <si>
    <t>ice_Basic_M_002</t>
  </si>
  <si>
    <t>Labeling band addition site/ Site upgrade</t>
  </si>
  <si>
    <t>Labeling small cell site</t>
  </si>
  <si>
    <t>Basic Installation Material (band addition/small cell/tunnel)</t>
  </si>
  <si>
    <t>Material</t>
  </si>
  <si>
    <t>all basic installation materials required for Sites such as tape cable ties, dymo tape, screws, bolts, nuts, etc.</t>
  </si>
  <si>
    <t>Basic Installation Material (new Site)</t>
  </si>
  <si>
    <t>including dismantling cable/clamps, recycling or delivery to local DOP</t>
  </si>
  <si>
    <t>swap of Eltek/ALU outdoor cabinet including batteries and all units inside, including of recycling or delivery to local DOP</t>
  </si>
  <si>
    <t>swap of Eltek/ALU indoor cabinet including batteries and all units inside, including of recycling or delivery to local DOP</t>
  </si>
  <si>
    <t>swap of Ericsson 6102 series cabinet including batteries and all units inside, including of recycling or delivery to local DOP;</t>
  </si>
  <si>
    <t>Dismantle of Fuses</t>
  </si>
  <si>
    <t xml:space="preserve">AC -fuse for 1 or 3 Phase
or
DC up to 3 single fuses
</t>
  </si>
  <si>
    <t>Fiber cable installation per meter</t>
  </si>
  <si>
    <t>LAN cable installation per meter</t>
  </si>
  <si>
    <t>including clamping if necessary</t>
  </si>
  <si>
    <t>Gravitation pole installation</t>
  </si>
  <si>
    <t>ice_gnd_005</t>
  </si>
  <si>
    <t>Lightning rod installation</t>
  </si>
  <si>
    <t>per pc when install lightingrod on roof or in tower</t>
  </si>
  <si>
    <t xml:space="preserve">Installation of OVP </t>
  </si>
  <si>
    <t xml:space="preserve">external alarms connection and testing, </t>
  </si>
  <si>
    <t>Additional services with 1 NOK value</t>
  </si>
  <si>
    <t>add_serv</t>
  </si>
  <si>
    <t>pris + 10%</t>
  </si>
  <si>
    <t>add_mat</t>
  </si>
  <si>
    <t>ice_spec_trans_1NOK</t>
  </si>
  <si>
    <t>Special transportation service - 1 NOK value</t>
  </si>
  <si>
    <t>spec_trans</t>
  </si>
  <si>
    <t>ice_c_entry_012</t>
  </si>
  <si>
    <t>Core drill of holes for cable in concrete</t>
  </si>
  <si>
    <t>ce_grav_007</t>
  </si>
  <si>
    <t>Gravitation pole installation 5 feet</t>
  </si>
  <si>
    <t>ce_grav_008</t>
  </si>
  <si>
    <t>Gravitation pole installation 6 feet</t>
  </si>
  <si>
    <t>ice_PM_017</t>
  </si>
  <si>
    <t>Structural engineering</t>
  </si>
  <si>
    <t>ice_PM_018</t>
  </si>
  <si>
    <t>Warehouse &amp; transport - Region 1</t>
  </si>
  <si>
    <t>ice_PM_019</t>
  </si>
  <si>
    <t>Warehouse &amp; transport - Region 2</t>
  </si>
  <si>
    <t>ice_PM_020</t>
  </si>
  <si>
    <t>Warehouse &amp; transport - Region 3</t>
  </si>
  <si>
    <t>ice_PM_021</t>
  </si>
  <si>
    <t>Warehouse &amp; transport - Region 4</t>
  </si>
  <si>
    <t>ice_PM_022</t>
  </si>
  <si>
    <t>Warehouse &amp; transport - Region 5</t>
  </si>
  <si>
    <t>ice_PM_023</t>
  </si>
  <si>
    <t>ice_PM_024</t>
  </si>
  <si>
    <t>ice_PM_025</t>
  </si>
  <si>
    <t>ice_PM_026</t>
  </si>
  <si>
    <t>ice_PM_027</t>
  </si>
  <si>
    <t>ice_PM_29</t>
  </si>
  <si>
    <t>Waiting cost for unforseen events</t>
  </si>
  <si>
    <t>ice_cable_019</t>
  </si>
  <si>
    <t>ice_cable_020</t>
  </si>
  <si>
    <t>ice_cable_021</t>
  </si>
  <si>
    <t>ice_add_HSE_service_1NOK</t>
  </si>
  <si>
    <t>Additional HSE services with - 1 NOK value</t>
  </si>
  <si>
    <t>Sheet name Pricing file</t>
  </si>
  <si>
    <t>Total string for vlookup formula in BoQ sheet</t>
  </si>
  <si>
    <t xml:space="preserve">   (BoQ C3 felt)</t>
  </si>
  <si>
    <t>Price total NOK OneCO</t>
  </si>
  <si>
    <t>'C:\Kjerag\[Pricing file v1.xlsx]Price total NOK OneCO'!$B:$G</t>
  </si>
  <si>
    <t>Price total NOK Oppland Elektro</t>
  </si>
  <si>
    <t>C:\Kjerag\[Pricing file v1.xlsx]Price total NOK Oppland Elektro'!$B:$G</t>
  </si>
  <si>
    <t>Price total NOK OneCO'</t>
  </si>
  <si>
    <t>Price total NOK Site Service</t>
  </si>
  <si>
    <t>'C:\Kjerag\[Pricing file v1.xlsx]Price total NOK Site Service'!$B:$G</t>
  </si>
  <si>
    <t>Price total NOK Oppland Electro</t>
  </si>
  <si>
    <t>Price total NOK Oppland Electro'</t>
  </si>
  <si>
    <t>Price total NOK Netel</t>
  </si>
  <si>
    <t>'C:\Kjerag\[Pricing file v1.xlsx]Price total NOK Netel'!$B:$G</t>
  </si>
  <si>
    <t>Price total NOK Site Service'</t>
  </si>
  <si>
    <t>Price total NOK SiteCom</t>
  </si>
  <si>
    <t>C:\Kjerag\[Pricing file v1.xlsx]Price total NOK SiteCom'!$B:$G</t>
  </si>
  <si>
    <t>Price total NOK Netel'</t>
  </si>
  <si>
    <t>PartnerX</t>
  </si>
  <si>
    <t>Price total NOK PartnerX</t>
  </si>
  <si>
    <t>Price total NOK PatnerX'</t>
  </si>
  <si>
    <t>'C:\Kjerag\[Pricing file v2.xlsx]Price total NOK OneCO'!$B:$G</t>
  </si>
  <si>
    <t xml:space="preserve"> 'Price total NOK Enterprenør'!$B:$G</t>
  </si>
  <si>
    <t>'C:\Kjerag\[Pricing file v2.xlsx]Price total NOK Oppland Elektro'!$B:$G</t>
  </si>
  <si>
    <t>'C:\Kjerag\[Pricing file v2.xlsx]Price total NOK Site Service'!$B:$G</t>
  </si>
  <si>
    <t>'C:\Kjerag\[Pricing file v2.xlsx]Price total NOK Netel'!$B:$G</t>
  </si>
  <si>
    <t>'C:\Kjerag\[Pricing file v2.xlsx]Price total NOK SiteCom'!$B:$G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</si>
</sst>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36">
    <font>
      <sz val="11"/>
      <color theme="1"/>
      <name val="Calibri"/>
      <family val="2"/>
      <scheme val="minor"/>
    </font>
    <font>
      <b/>
      <sz val="11"/>
      <color theme="3"/>
      <name val="Calibri"/>
      <family val="2"/>
      <scheme val="minor"/>
    </font>
    <font>
      <sz val="9"/>
      <color theme="1"/>
      <name val="Calibri"/>
      <family val="2"/>
      <scheme val="minor"/>
    </font>
    <font>
      <sz val="11"/>
      <color theme="0"/>
      <name val="Calibri"/>
      <family val="2"/>
      <scheme val="minor"/>
    </font>
    <font>
      <b/>
      <sz val="10"/>
      <color rgb="FF000000"/>
      <name val="Calibri"/>
      <family val="2"/>
      <scheme val="minor"/>
    </font>
    <font>
      <b/>
      <sz val="9"/>
      <color indexed="81"/>
      <name val="Tahoma"/>
      <family val="2"/>
    </font>
    <font>
      <sz val="8"/>
      <name val="Calibri"/>
      <family val="2"/>
      <scheme val="minor"/>
    </font>
    <font>
      <sz val="10"/>
      <name val="Arial"/>
      <family val="2"/>
    </font>
    <font>
      <b/>
      <sz val="11"/>
      <color theme="0"/>
      <name val="Calibri"/>
      <family val="2"/>
      <scheme val="minor"/>
    </font>
    <font>
      <b/>
      <sz val="11"/>
      <color theme="1"/>
      <name val="Calibri"/>
      <family val="2"/>
      <scheme val="minor"/>
    </font>
    <font>
      <sz val="11"/>
      <color rgb="FF0000FF"/>
      <name val="Calibri"/>
      <family val="2"/>
      <scheme val="minor"/>
    </font>
    <font>
      <b/>
      <sz val="11"/>
      <name val="Calibri"/>
      <family val="2"/>
      <scheme val="minor"/>
    </font>
    <font>
      <sz val="11"/>
      <color theme="0" tint="-0.34998626667073579"/>
      <name val="Calibri"/>
      <family val="2"/>
      <scheme val="minor"/>
    </font>
    <font>
      <sz val="11"/>
      <name val="Calibri"/>
      <family val="2"/>
      <scheme val="minor"/>
    </font>
    <font>
      <sz val="9"/>
      <name val="Calibri"/>
      <family val="2"/>
      <scheme val="minor"/>
    </font>
    <font>
      <sz val="11"/>
      <color rgb="FFC00000"/>
      <name val="Calibri"/>
      <family val="2"/>
      <scheme val="minor"/>
    </font>
    <font>
      <b/>
      <sz val="9"/>
      <color theme="1"/>
      <name val="Calibri"/>
      <family val="2"/>
      <scheme val="minor"/>
    </font>
    <font>
      <b/>
      <sz val="11"/>
      <color rgb="FF002060"/>
      <name val="Calibri"/>
      <family val="2"/>
      <scheme val="minor"/>
    </font>
    <font>
      <b/>
      <sz val="9"/>
      <name val="Calibri"/>
      <family val="2"/>
      <scheme val="minor"/>
    </font>
    <font>
      <i/>
      <sz val="11"/>
      <color theme="1" tint="0.34998626667073579"/>
      <name val="Calibri"/>
      <family val="2"/>
      <scheme val="minor"/>
    </font>
    <font>
      <sz val="11"/>
      <color theme="1" tint="0.34998626667073579"/>
      <name val="Calibri"/>
      <family val="2"/>
      <scheme val="minor"/>
    </font>
    <font>
      <sz val="11"/>
      <color rgb="FF002060"/>
      <name val="Calibri"/>
      <family val="2"/>
      <scheme val="minor"/>
    </font>
    <font>
      <sz val="9"/>
      <color rgb="FF002060"/>
      <name val="Calibri"/>
      <family val="2"/>
      <scheme val="minor"/>
    </font>
    <font>
      <b/>
      <sz val="9"/>
      <color rgb="FF002060"/>
      <name val="Calibri"/>
      <family val="2"/>
      <scheme val="minor"/>
    </font>
    <font>
      <b/>
      <sz val="11"/>
      <color theme="0" tint="-0.249977111117893"/>
      <name val="Calibri"/>
      <family val="2"/>
      <scheme val="minor"/>
    </font>
    <font>
      <sz val="11"/>
      <color rgb="FF000000"/>
      <name val="Calibri"/>
      <family val="2"/>
      <scheme val="minor"/>
    </font>
    <font>
      <b/>
      <sz val="11"/>
      <color theme="0" tint="-0.499984740745262"/>
      <name val="Calibri"/>
      <family val="2"/>
      <scheme val="minor"/>
    </font>
    <font>
      <b/>
      <sz val="11"/>
      <color rgb="FF0070C0"/>
      <name val="Calibri"/>
      <family val="2"/>
      <scheme val="minor"/>
    </font>
    <font>
      <sz val="11"/>
      <color rgb="FF0070C0"/>
      <name val="Calibri"/>
      <family val="2"/>
      <scheme val="minor"/>
    </font>
    <font>
      <sz val="9"/>
      <color rgb="FF0070C0"/>
      <name val="Calibri"/>
      <family val="2"/>
      <scheme val="minor"/>
    </font>
    <font>
      <b/>
      <sz val="9"/>
      <color rgb="FF0070C0"/>
      <name val="Calibri"/>
      <family val="2"/>
      <scheme val="minor"/>
    </font>
    <font>
      <sz val="11"/>
      <color theme="3"/>
      <name val="Calibri"/>
      <family val="2"/>
      <scheme val="minor"/>
    </font>
    <font>
      <sz val="14"/>
      <color theme="1"/>
      <name val="Calibri"/>
      <family val="2"/>
      <scheme val="minor"/>
    </font>
    <font>
      <sz val="11"/>
      <color theme="0" tint="-0.14999847407452621"/>
      <name val="Calibri"/>
      <family val="2"/>
      <scheme val="minor"/>
    </font>
    <font>
      <sz val="11"/>
      <color theme="0" tint="-0.249977111117893"/>
      <name val="Calibri"/>
      <family val="2"/>
      <scheme val="minor"/>
    </font>
    <font>
      <b/>
      <sz val="11"/>
      <color theme="5" tint="0.39997558519241921"/>
      <name val="Calibri"/>
      <family val="2"/>
      <scheme val="minor"/>
    </font>
  </fonts>
  <fills count="3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1"/>
        <bgColor theme="1"/>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rgb="FF00B0F0"/>
        <bgColor indexed="64"/>
      </patternFill>
    </fill>
    <fill>
      <patternFill patternType="solid">
        <fgColor rgb="FF00FFFF"/>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C00000"/>
        <bgColor indexed="64"/>
      </patternFill>
    </fill>
    <fill>
      <patternFill patternType="solid">
        <fgColor rgb="FFFEF5F0"/>
        <bgColor indexed="64"/>
      </patternFill>
    </fill>
    <fill>
      <patternFill patternType="solid">
        <fgColor rgb="FF700000"/>
        <bgColor indexed="64"/>
      </patternFill>
    </fill>
    <fill>
      <patternFill patternType="solid">
        <fgColor rgb="FF700000"/>
        <bgColor theme="1"/>
      </patternFill>
    </fill>
    <fill>
      <patternFill patternType="solid">
        <fgColor theme="9" tint="-0.499984740745262"/>
        <bgColor indexed="64"/>
      </patternFill>
    </fill>
    <fill>
      <patternFill patternType="solid">
        <fgColor theme="9" tint="0.59999389629810485"/>
        <bgColor indexed="64"/>
      </patternFill>
    </fill>
    <fill>
      <patternFill patternType="solid">
        <fgColor rgb="FFFFFF99"/>
        <bgColor indexed="64"/>
      </patternFill>
    </fill>
    <fill>
      <patternFill patternType="solid">
        <fgColor theme="9" tint="0.39997558519241921"/>
        <bgColor indexed="64"/>
      </patternFill>
    </fill>
    <fill>
      <patternFill patternType="solid">
        <fgColor theme="4"/>
        <bgColor theme="4"/>
      </patternFill>
    </fill>
    <fill>
      <patternFill patternType="solid">
        <fgColor rgb="FFF2F2F2"/>
        <bgColor rgb="FF000000"/>
      </patternFill>
    </fill>
    <fill>
      <patternFill patternType="solid">
        <fgColor theme="0" tint="-0.14999847407452621"/>
        <bgColor indexed="64"/>
      </patternFill>
    </fill>
    <fill>
      <patternFill patternType="solid">
        <fgColor rgb="FFFFFF66"/>
        <bgColor indexed="64"/>
      </patternFill>
    </fill>
    <fill>
      <patternFill patternType="solid">
        <fgColor theme="5" tint="0.39997558519241921"/>
        <bgColor indexed="64"/>
      </patternFill>
    </fill>
    <fill>
      <patternFill patternType="solid">
        <fgColor rgb="FFFFCCFF"/>
        <bgColor indexed="64"/>
      </patternFill>
    </fill>
    <fill>
      <patternFill patternType="solid">
        <fgColor rgb="FFCCFFFF"/>
        <bgColor indexed="64"/>
      </patternFill>
    </fill>
    <fill>
      <patternFill patternType="solid">
        <fgColor theme="5" tint="0.59999389629810485"/>
        <bgColor indexed="64"/>
      </patternFill>
    </fill>
    <fill>
      <patternFill patternType="solid">
        <fgColor rgb="FF660033"/>
        <bgColor indexed="64"/>
      </patternFill>
    </fill>
    <fill>
      <patternFill patternType="solid">
        <fgColor theme="9"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style="thin">
        <color indexed="64"/>
      </left>
      <right/>
      <top/>
      <bottom/>
      <diagonal/>
    </border>
    <border>
      <left/>
      <right style="thin">
        <color indexed="64"/>
      </right>
      <top/>
      <bottom/>
      <diagonal/>
    </border>
    <border>
      <left style="thin">
        <color indexed="64"/>
      </left>
      <right style="thin">
        <color indexed="64"/>
      </right>
      <top style="double">
        <color indexed="64"/>
      </top>
      <bottom style="double">
        <color indexed="64"/>
      </bottom>
      <diagonal/>
    </border>
  </borders>
  <cellStyleXfs count="4">
    <xf numFmtId="0" fontId="0" fillId="0" borderId="0"/>
    <xf numFmtId="0" fontId="1" fillId="0" borderId="0" applyNumberFormat="0" applyFill="0" applyBorder="0" applyAlignment="0" applyProtection="0"/>
    <xf numFmtId="0" fontId="7" fillId="0" borderId="0"/>
    <xf numFmtId="0" fontId="7" fillId="0" borderId="0"/>
  </cellStyleXfs>
  <cellXfs count="296">
    <xf numFmtId="0" fontId="0" fillId="0" borderId="0" xfId="0"/>
    <xf numFmtId="0" fontId="0" fillId="0" borderId="0" xfId="0" applyProtection="1">
      <protection locked="0"/>
    </xf>
    <xf numFmtId="0" fontId="4" fillId="0" borderId="0" xfId="0" applyFont="1" applyAlignment="1">
      <alignment horizontal="center"/>
    </xf>
    <xf numFmtId="0" fontId="4" fillId="0" borderId="0" xfId="0" applyFont="1"/>
    <xf numFmtId="0" fontId="3" fillId="0" borderId="0" xfId="0" applyFont="1"/>
    <xf numFmtId="0" fontId="2" fillId="4" borderId="1" xfId="0" applyFont="1" applyFill="1" applyBorder="1"/>
    <xf numFmtId="0" fontId="2" fillId="5" borderId="1" xfId="0" applyFont="1" applyFill="1" applyBorder="1"/>
    <xf numFmtId="0" fontId="0" fillId="4" borderId="1" xfId="0" applyFill="1" applyBorder="1"/>
    <xf numFmtId="0" fontId="0" fillId="5" borderId="1" xfId="0" applyFill="1" applyBorder="1"/>
    <xf numFmtId="0" fontId="10" fillId="0" borderId="0" xfId="0" applyFont="1"/>
    <xf numFmtId="0" fontId="0" fillId="0" borderId="8" xfId="0" applyBorder="1"/>
    <xf numFmtId="0" fontId="10" fillId="0" borderId="0" xfId="0" quotePrefix="1" applyFont="1"/>
    <xf numFmtId="0" fontId="0" fillId="0" borderId="0" xfId="0" quotePrefix="1"/>
    <xf numFmtId="0" fontId="0" fillId="7" borderId="1" xfId="0" applyFill="1" applyBorder="1"/>
    <xf numFmtId="0" fontId="0" fillId="8" borderId="1" xfId="0" applyFill="1" applyBorder="1"/>
    <xf numFmtId="0" fontId="8" fillId="6" borderId="10" xfId="0" applyFont="1" applyFill="1" applyBorder="1" applyAlignment="1">
      <alignment horizontal="center" vertical="center" wrapText="1"/>
    </xf>
    <xf numFmtId="0" fontId="8" fillId="6" borderId="11" xfId="0" applyFont="1" applyFill="1" applyBorder="1" applyAlignment="1">
      <alignment horizontal="center" vertical="center" wrapText="1"/>
    </xf>
    <xf numFmtId="0" fontId="8" fillId="6" borderId="12" xfId="0" applyFont="1" applyFill="1" applyBorder="1" applyAlignment="1">
      <alignment horizontal="center" vertical="center" wrapText="1"/>
    </xf>
    <xf numFmtId="0" fontId="8" fillId="6" borderId="13" xfId="0" applyFont="1" applyFill="1" applyBorder="1" applyAlignment="1">
      <alignment horizontal="center" vertical="center" wrapText="1"/>
    </xf>
    <xf numFmtId="0" fontId="0" fillId="4" borderId="14" xfId="0" applyFill="1" applyBorder="1"/>
    <xf numFmtId="0" fontId="0" fillId="5" borderId="14" xfId="0" applyFill="1" applyBorder="1"/>
    <xf numFmtId="0" fontId="0" fillId="0" borderId="17" xfId="0" applyBorder="1"/>
    <xf numFmtId="0" fontId="0" fillId="0" borderId="18" xfId="0" applyBorder="1"/>
    <xf numFmtId="0" fontId="0" fillId="0" borderId="19" xfId="0" applyBorder="1"/>
    <xf numFmtId="0" fontId="0" fillId="0" borderId="9" xfId="0" applyBorder="1"/>
    <xf numFmtId="0" fontId="0" fillId="0" borderId="20" xfId="0" applyBorder="1"/>
    <xf numFmtId="0" fontId="9" fillId="13" borderId="1" xfId="0" applyFont="1" applyFill="1" applyBorder="1"/>
    <xf numFmtId="0" fontId="0" fillId="17" borderId="0" xfId="0" applyFill="1"/>
    <xf numFmtId="16" fontId="0" fillId="0" borderId="0" xfId="0" applyNumberFormat="1"/>
    <xf numFmtId="164" fontId="0" fillId="0" borderId="0" xfId="0" applyNumberFormat="1"/>
    <xf numFmtId="0" fontId="0" fillId="5" borderId="16" xfId="0" applyFill="1" applyBorder="1"/>
    <xf numFmtId="0" fontId="0" fillId="5" borderId="2" xfId="0" applyFill="1" applyBorder="1"/>
    <xf numFmtId="0" fontId="2" fillId="5" borderId="2" xfId="0" applyFont="1" applyFill="1" applyBorder="1"/>
    <xf numFmtId="0" fontId="0" fillId="10" borderId="1" xfId="0" applyFill="1" applyBorder="1"/>
    <xf numFmtId="0" fontId="0" fillId="12" borderId="1" xfId="0" applyFill="1" applyBorder="1"/>
    <xf numFmtId="0" fontId="0" fillId="7" borderId="14" xfId="0" applyFill="1" applyBorder="1"/>
    <xf numFmtId="0" fontId="0" fillId="8" borderId="14" xfId="0" applyFill="1" applyBorder="1"/>
    <xf numFmtId="0" fontId="0" fillId="0" borderId="0" xfId="0"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center"/>
      <protection hidden="1"/>
    </xf>
    <xf numFmtId="4" fontId="2" fillId="9" borderId="1" xfId="0" applyNumberFormat="1" applyFont="1" applyFill="1" applyBorder="1" applyProtection="1">
      <protection hidden="1"/>
    </xf>
    <xf numFmtId="4" fontId="2" fillId="9" borderId="5" xfId="0" applyNumberFormat="1" applyFont="1" applyFill="1" applyBorder="1" applyProtection="1">
      <protection hidden="1"/>
    </xf>
    <xf numFmtId="4" fontId="2" fillId="20" borderId="1" xfId="0" applyNumberFormat="1" applyFont="1" applyFill="1" applyBorder="1" applyProtection="1">
      <protection hidden="1"/>
    </xf>
    <xf numFmtId="4" fontId="2" fillId="20" borderId="5" xfId="0" applyNumberFormat="1" applyFont="1" applyFill="1" applyBorder="1" applyProtection="1">
      <protection hidden="1"/>
    </xf>
    <xf numFmtId="0" fontId="0" fillId="16" borderId="0" xfId="0" applyFill="1" applyProtection="1">
      <protection hidden="1"/>
    </xf>
    <xf numFmtId="0" fontId="2" fillId="2" borderId="5" xfId="0" applyFont="1" applyFill="1" applyBorder="1" applyProtection="1">
      <protection locked="0"/>
    </xf>
    <xf numFmtId="0" fontId="2" fillId="0" borderId="5" xfId="0" applyFont="1" applyBorder="1" applyProtection="1">
      <protection locked="0"/>
    </xf>
    <xf numFmtId="0" fontId="13" fillId="0" borderId="0" xfId="0" applyFont="1"/>
    <xf numFmtId="0" fontId="0" fillId="24" borderId="14" xfId="0" applyFill="1" applyBorder="1"/>
    <xf numFmtId="0" fontId="0" fillId="24" borderId="1" xfId="0" applyFill="1" applyBorder="1"/>
    <xf numFmtId="0" fontId="0" fillId="24" borderId="15" xfId="0" applyFill="1" applyBorder="1"/>
    <xf numFmtId="0" fontId="13" fillId="24" borderId="1" xfId="0" applyFont="1" applyFill="1" applyBorder="1"/>
    <xf numFmtId="0" fontId="0" fillId="18" borderId="14" xfId="0" applyFill="1" applyBorder="1"/>
    <xf numFmtId="0" fontId="0" fillId="18" borderId="1" xfId="0" applyFill="1" applyBorder="1"/>
    <xf numFmtId="0" fontId="13" fillId="18" borderId="1" xfId="0" applyFont="1" applyFill="1" applyBorder="1"/>
    <xf numFmtId="0" fontId="0" fillId="18" borderId="15" xfId="0" applyFill="1" applyBorder="1"/>
    <xf numFmtId="0" fontId="0" fillId="12" borderId="0" xfId="0" applyFill="1"/>
    <xf numFmtId="0" fontId="2" fillId="4" borderId="15" xfId="0" applyFont="1" applyFill="1" applyBorder="1"/>
    <xf numFmtId="0" fontId="2" fillId="5" borderId="15" xfId="0" applyFont="1" applyFill="1" applyBorder="1"/>
    <xf numFmtId="0" fontId="0" fillId="3" borderId="0" xfId="0" applyFill="1"/>
    <xf numFmtId="0" fontId="0" fillId="11" borderId="0" xfId="0" applyFill="1"/>
    <xf numFmtId="0" fontId="0" fillId="15" borderId="0" xfId="0" applyFill="1"/>
    <xf numFmtId="0" fontId="0" fillId="14" borderId="0" xfId="0" applyFill="1"/>
    <xf numFmtId="0" fontId="2" fillId="5" borderId="22" xfId="0" applyFont="1" applyFill="1" applyBorder="1"/>
    <xf numFmtId="0" fontId="0" fillId="7" borderId="15" xfId="0" applyFill="1" applyBorder="1"/>
    <xf numFmtId="0" fontId="0" fillId="8" borderId="15" xfId="0" applyFill="1" applyBorder="1"/>
    <xf numFmtId="0" fontId="0" fillId="0" borderId="0" xfId="0" applyAlignment="1">
      <alignment horizontal="left"/>
    </xf>
    <xf numFmtId="0" fontId="3" fillId="0" borderId="0" xfId="0" applyFont="1" applyProtection="1">
      <protection locked="0" hidden="1"/>
    </xf>
    <xf numFmtId="0" fontId="0" fillId="25" borderId="1" xfId="0" applyFill="1" applyBorder="1" applyAlignment="1" applyProtection="1">
      <alignment horizontal="center" vertical="center" wrapText="1"/>
      <protection locked="0"/>
    </xf>
    <xf numFmtId="0" fontId="0" fillId="25" borderId="2" xfId="0" applyFill="1" applyBorder="1" applyProtection="1">
      <protection locked="0"/>
    </xf>
    <xf numFmtId="0" fontId="2" fillId="25" borderId="2" xfId="0" applyFont="1" applyFill="1" applyBorder="1" applyProtection="1">
      <protection locked="0"/>
    </xf>
    <xf numFmtId="0" fontId="0" fillId="25" borderId="1" xfId="0" applyFill="1" applyBorder="1" applyAlignment="1" applyProtection="1">
      <alignment horizontal="center"/>
      <protection locked="0"/>
    </xf>
    <xf numFmtId="0" fontId="0" fillId="23" borderId="1" xfId="0" applyFill="1" applyBorder="1" applyAlignment="1" applyProtection="1">
      <alignment horizontal="center" vertical="center" wrapText="1"/>
      <protection locked="0"/>
    </xf>
    <xf numFmtId="0" fontId="13" fillId="25" borderId="1" xfId="0" applyFont="1" applyFill="1" applyBorder="1" applyAlignment="1" applyProtection="1">
      <alignment horizontal="center" vertical="center" wrapText="1"/>
      <protection locked="0"/>
    </xf>
    <xf numFmtId="0" fontId="8" fillId="27" borderId="23" xfId="0" applyFont="1" applyFill="1" applyBorder="1"/>
    <xf numFmtId="0" fontId="0" fillId="0" borderId="23" xfId="0" applyBorder="1"/>
    <xf numFmtId="0" fontId="0" fillId="0" borderId="24" xfId="0" applyBorder="1"/>
    <xf numFmtId="0" fontId="15" fillId="0" borderId="0" xfId="0" applyFont="1"/>
    <xf numFmtId="0" fontId="16" fillId="25" borderId="2" xfId="0" applyFont="1" applyFill="1" applyBorder="1" applyProtection="1">
      <protection locked="0"/>
    </xf>
    <xf numFmtId="0" fontId="1" fillId="25" borderId="5" xfId="1" applyFill="1" applyBorder="1" applyAlignment="1" applyProtection="1">
      <alignment horizontal="center" vertical="center"/>
      <protection locked="0"/>
    </xf>
    <xf numFmtId="49" fontId="11" fillId="25" borderId="6" xfId="0" applyNumberFormat="1" applyFont="1" applyFill="1" applyBorder="1" applyProtection="1">
      <protection locked="0"/>
    </xf>
    <xf numFmtId="0" fontId="13" fillId="25" borderId="2" xfId="0" applyFont="1" applyFill="1" applyBorder="1" applyProtection="1">
      <protection locked="0"/>
    </xf>
    <xf numFmtId="0" fontId="14" fillId="25" borderId="2" xfId="0" applyFont="1" applyFill="1" applyBorder="1" applyProtection="1">
      <protection locked="0"/>
    </xf>
    <xf numFmtId="0" fontId="18" fillId="25" borderId="2" xfId="0" applyFont="1" applyFill="1" applyBorder="1" applyProtection="1">
      <protection locked="0"/>
    </xf>
    <xf numFmtId="0" fontId="18" fillId="25" borderId="7" xfId="0" applyFont="1" applyFill="1" applyBorder="1" applyProtection="1">
      <protection locked="0"/>
    </xf>
    <xf numFmtId="0" fontId="11" fillId="0" borderId="8" xfId="0" applyFont="1" applyBorder="1"/>
    <xf numFmtId="0" fontId="20" fillId="25" borderId="0" xfId="0" applyFont="1" applyFill="1" applyAlignment="1" applyProtection="1">
      <alignment horizontal="center" vertical="center"/>
      <protection locked="0"/>
    </xf>
    <xf numFmtId="0" fontId="20" fillId="2" borderId="0" xfId="0" applyFont="1" applyFill="1" applyAlignment="1" applyProtection="1">
      <alignment horizontal="center"/>
      <protection locked="0"/>
    </xf>
    <xf numFmtId="0" fontId="0" fillId="25" borderId="0" xfId="0" applyFill="1" applyAlignment="1" applyProtection="1">
      <alignment horizontal="center"/>
      <protection hidden="1"/>
    </xf>
    <xf numFmtId="0" fontId="0" fillId="25" borderId="1" xfId="0" applyFill="1" applyBorder="1" applyAlignment="1" applyProtection="1">
      <alignment horizontal="left"/>
      <protection locked="0"/>
    </xf>
    <xf numFmtId="0" fontId="13" fillId="25" borderId="1" xfId="0" applyFont="1" applyFill="1" applyBorder="1" applyAlignment="1" applyProtection="1">
      <alignment horizontal="left"/>
      <protection locked="0"/>
    </xf>
    <xf numFmtId="49" fontId="17" fillId="25" borderId="6" xfId="0" applyNumberFormat="1" applyFont="1" applyFill="1" applyBorder="1" applyProtection="1">
      <protection locked="0"/>
    </xf>
    <xf numFmtId="0" fontId="21" fillId="25" borderId="2" xfId="0" applyFont="1" applyFill="1" applyBorder="1" applyProtection="1">
      <protection locked="0"/>
    </xf>
    <xf numFmtId="0" fontId="21" fillId="25" borderId="1" xfId="0" applyFont="1" applyFill="1" applyBorder="1" applyAlignment="1" applyProtection="1">
      <alignment horizontal="center" vertical="center" wrapText="1"/>
      <protection locked="0"/>
    </xf>
    <xf numFmtId="0" fontId="21" fillId="25" borderId="1" xfId="0" applyFont="1" applyFill="1" applyBorder="1" applyAlignment="1" applyProtection="1">
      <alignment horizontal="left"/>
      <protection locked="0"/>
    </xf>
    <xf numFmtId="0" fontId="22" fillId="25" borderId="2" xfId="0" applyFont="1" applyFill="1" applyBorder="1" applyProtection="1">
      <protection locked="0"/>
    </xf>
    <xf numFmtId="0" fontId="23" fillId="25" borderId="7" xfId="0" applyFont="1" applyFill="1" applyBorder="1" applyProtection="1">
      <protection locked="0"/>
    </xf>
    <xf numFmtId="0" fontId="23" fillId="25" borderId="2" xfId="0" applyFont="1" applyFill="1" applyBorder="1" applyProtection="1">
      <protection locked="0"/>
    </xf>
    <xf numFmtId="14" fontId="0" fillId="0" borderId="0" xfId="0" applyNumberFormat="1" applyAlignment="1">
      <alignment horizontal="left"/>
    </xf>
    <xf numFmtId="49" fontId="0" fillId="0" borderId="0" xfId="0" applyNumberFormat="1" applyProtection="1">
      <protection hidden="1"/>
    </xf>
    <xf numFmtId="0" fontId="9" fillId="0" borderId="0" xfId="0" applyFont="1"/>
    <xf numFmtId="0" fontId="9" fillId="0" borderId="0" xfId="0" applyFont="1" applyAlignment="1">
      <alignment horizontal="left"/>
    </xf>
    <xf numFmtId="0" fontId="0" fillId="29" borderId="0" xfId="0" applyFill="1" applyProtection="1">
      <protection locked="0"/>
    </xf>
    <xf numFmtId="0" fontId="0" fillId="0" borderId="0" xfId="0" applyAlignment="1" applyProtection="1">
      <alignment horizontal="right"/>
      <protection hidden="1"/>
    </xf>
    <xf numFmtId="0" fontId="1" fillId="25" borderId="1" xfId="1" applyFill="1" applyBorder="1" applyAlignment="1" applyProtection="1">
      <alignment horizontal="center" vertical="center"/>
      <protection locked="0"/>
    </xf>
    <xf numFmtId="0" fontId="0" fillId="30" borderId="1" xfId="0" applyFill="1" applyBorder="1" applyAlignment="1" applyProtection="1">
      <alignment horizontal="center" vertical="center" wrapText="1"/>
      <protection locked="0"/>
    </xf>
    <xf numFmtId="0" fontId="0" fillId="30" borderId="1" xfId="0" applyFill="1" applyBorder="1" applyAlignment="1" applyProtection="1">
      <alignment horizontal="left"/>
      <protection locked="0"/>
    </xf>
    <xf numFmtId="49" fontId="27" fillId="30" borderId="6" xfId="0" applyNumberFormat="1" applyFont="1" applyFill="1" applyBorder="1" applyProtection="1">
      <protection locked="0"/>
    </xf>
    <xf numFmtId="0" fontId="28" fillId="30" borderId="2" xfId="0" applyFont="1" applyFill="1" applyBorder="1" applyProtection="1">
      <protection locked="0"/>
    </xf>
    <xf numFmtId="0" fontId="28" fillId="30" borderId="1" xfId="0" applyFont="1" applyFill="1" applyBorder="1" applyAlignment="1" applyProtection="1">
      <alignment horizontal="center" vertical="center" wrapText="1"/>
      <protection locked="0"/>
    </xf>
    <xf numFmtId="0" fontId="28" fillId="30" borderId="1" xfId="0" applyFont="1" applyFill="1" applyBorder="1" applyAlignment="1" applyProtection="1">
      <alignment horizontal="left"/>
      <protection locked="0"/>
    </xf>
    <xf numFmtId="0" fontId="29" fillId="30" borderId="2" xfId="0" applyFont="1" applyFill="1" applyBorder="1" applyProtection="1">
      <protection locked="0"/>
    </xf>
    <xf numFmtId="0" fontId="30" fillId="30" borderId="2" xfId="0" applyFont="1" applyFill="1" applyBorder="1" applyProtection="1">
      <protection locked="0"/>
    </xf>
    <xf numFmtId="0" fontId="30" fillId="30" borderId="7" xfId="0" applyFont="1" applyFill="1" applyBorder="1" applyProtection="1">
      <protection locked="0"/>
    </xf>
    <xf numFmtId="0" fontId="21" fillId="30" borderId="2" xfId="0" applyFont="1" applyFill="1" applyBorder="1" applyProtection="1">
      <protection locked="0"/>
    </xf>
    <xf numFmtId="0" fontId="21" fillId="30" borderId="1" xfId="0" applyFont="1" applyFill="1" applyBorder="1" applyAlignment="1" applyProtection="1">
      <alignment horizontal="center" vertical="center" wrapText="1"/>
      <protection locked="0"/>
    </xf>
    <xf numFmtId="0" fontId="21" fillId="30" borderId="1" xfId="0" applyFont="1" applyFill="1" applyBorder="1" applyAlignment="1" applyProtection="1">
      <alignment horizontal="left"/>
      <protection locked="0"/>
    </xf>
    <xf numFmtId="0" fontId="22" fillId="30" borderId="2" xfId="0" applyFont="1" applyFill="1" applyBorder="1" applyProtection="1">
      <protection locked="0"/>
    </xf>
    <xf numFmtId="0" fontId="23" fillId="30" borderId="2" xfId="0" applyFont="1" applyFill="1" applyBorder="1" applyProtection="1">
      <protection locked="0"/>
    </xf>
    <xf numFmtId="0" fontId="14" fillId="30" borderId="2" xfId="0" applyFont="1" applyFill="1" applyBorder="1" applyProtection="1">
      <protection locked="0"/>
    </xf>
    <xf numFmtId="0" fontId="13" fillId="30" borderId="2" xfId="0" applyFont="1" applyFill="1" applyBorder="1" applyProtection="1">
      <protection locked="0"/>
    </xf>
    <xf numFmtId="0" fontId="13" fillId="30" borderId="1" xfId="0" applyFont="1" applyFill="1" applyBorder="1" applyAlignment="1" applyProtection="1">
      <alignment horizontal="center" vertical="center" wrapText="1"/>
      <protection locked="0"/>
    </xf>
    <xf numFmtId="0" fontId="13" fillId="30" borderId="1" xfId="0" applyFont="1" applyFill="1" applyBorder="1" applyAlignment="1" applyProtection="1">
      <alignment horizontal="left"/>
      <protection locked="0"/>
    </xf>
    <xf numFmtId="0" fontId="18" fillId="30" borderId="2" xfId="0" applyFont="1" applyFill="1" applyBorder="1" applyProtection="1">
      <protection locked="0"/>
    </xf>
    <xf numFmtId="0" fontId="0" fillId="30" borderId="2" xfId="0" applyFill="1" applyBorder="1" applyProtection="1">
      <protection locked="0"/>
    </xf>
    <xf numFmtId="0" fontId="2" fillId="30" borderId="2" xfId="0" applyFont="1" applyFill="1" applyBorder="1" applyProtection="1">
      <protection locked="0"/>
    </xf>
    <xf numFmtId="0" fontId="16" fillId="30" borderId="2" xfId="0" applyFont="1" applyFill="1" applyBorder="1" applyProtection="1">
      <protection locked="0"/>
    </xf>
    <xf numFmtId="0" fontId="15" fillId="25" borderId="0" xfId="0" applyFont="1" applyFill="1" applyAlignment="1">
      <alignment horizontal="left" vertical="center"/>
    </xf>
    <xf numFmtId="0" fontId="0" fillId="0" borderId="0" xfId="0" applyAlignment="1">
      <alignment horizontal="center"/>
    </xf>
    <xf numFmtId="4" fontId="11" fillId="7" borderId="21" xfId="1" applyNumberFormat="1" applyFont="1" applyFill="1" applyBorder="1" applyAlignment="1" applyProtection="1">
      <alignment horizontal="center" vertical="center" wrapText="1"/>
    </xf>
    <xf numFmtId="0" fontId="11" fillId="26" borderId="21" xfId="1" applyFont="1" applyFill="1" applyBorder="1" applyAlignment="1" applyProtection="1">
      <alignment horizontal="center" vertical="center" wrapText="1"/>
    </xf>
    <xf numFmtId="0" fontId="1" fillId="0" borderId="1" xfId="1" applyBorder="1" applyAlignment="1" applyProtection="1">
      <alignment horizontal="right" vertical="center"/>
    </xf>
    <xf numFmtId="0" fontId="1" fillId="16" borderId="25" xfId="1" applyFill="1" applyBorder="1" applyAlignment="1" applyProtection="1">
      <alignment horizontal="center" vertical="center"/>
    </xf>
    <xf numFmtId="0" fontId="0" fillId="0" borderId="25" xfId="0" applyBorder="1" applyAlignment="1">
      <alignment horizontal="center" vertical="center"/>
    </xf>
    <xf numFmtId="0" fontId="1" fillId="16" borderId="0" xfId="0" applyFont="1" applyFill="1" applyAlignment="1">
      <alignment horizontal="left"/>
    </xf>
    <xf numFmtId="4" fontId="1" fillId="0" borderId="0" xfId="1" applyNumberFormat="1" applyBorder="1" applyAlignment="1" applyProtection="1">
      <alignment horizontal="center" vertical="center" wrapText="1"/>
    </xf>
    <xf numFmtId="0" fontId="1" fillId="16" borderId="0" xfId="1" applyFill="1" applyBorder="1" applyAlignment="1" applyProtection="1">
      <alignment horizontal="center" vertical="center"/>
    </xf>
    <xf numFmtId="0" fontId="1" fillId="0" borderId="0" xfId="1" applyBorder="1" applyAlignment="1" applyProtection="1">
      <alignment horizontal="right" vertical="center"/>
    </xf>
    <xf numFmtId="0" fontId="8" fillId="22" borderId="1" xfId="0" applyFont="1" applyFill="1"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19" borderId="1" xfId="0" applyFill="1" applyBorder="1" applyAlignment="1">
      <alignment horizontal="center" vertical="center" wrapText="1"/>
    </xf>
    <xf numFmtId="0" fontId="0" fillId="2" borderId="1" xfId="0" applyFill="1" applyBorder="1"/>
    <xf numFmtId="49" fontId="0" fillId="2" borderId="4" xfId="0" applyNumberFormat="1" applyFill="1" applyBorder="1"/>
    <xf numFmtId="0" fontId="2" fillId="2" borderId="5" xfId="0" applyFont="1" applyFill="1" applyBorder="1"/>
    <xf numFmtId="0" fontId="0" fillId="0" borderId="1" xfId="0" applyBorder="1"/>
    <xf numFmtId="49" fontId="0" fillId="0" borderId="4" xfId="0" applyNumberFormat="1" applyBorder="1"/>
    <xf numFmtId="0" fontId="2" fillId="0" borderId="5" xfId="0" applyFont="1" applyBorder="1"/>
    <xf numFmtId="0" fontId="0" fillId="0" borderId="0" xfId="0" applyAlignment="1">
      <alignment horizontal="center" vertical="center"/>
    </xf>
    <xf numFmtId="0" fontId="27" fillId="25" borderId="1" xfId="0" applyFont="1" applyFill="1" applyBorder="1" applyAlignment="1" applyProtection="1">
      <alignment horizontal="center"/>
      <protection locked="0"/>
    </xf>
    <xf numFmtId="0" fontId="27" fillId="25" borderId="1" xfId="1" applyNumberFormat="1" applyFont="1" applyFill="1" applyBorder="1" applyAlignment="1" applyProtection="1">
      <alignment horizontal="center" vertical="center" wrapText="1"/>
      <protection locked="0"/>
    </xf>
    <xf numFmtId="0" fontId="1" fillId="31" borderId="0" xfId="1" applyFill="1" applyBorder="1" applyAlignment="1" applyProtection="1">
      <alignment horizontal="right" vertical="center"/>
      <protection hidden="1"/>
    </xf>
    <xf numFmtId="0" fontId="0" fillId="31" borderId="0" xfId="0" applyFill="1" applyProtection="1">
      <protection hidden="1"/>
    </xf>
    <xf numFmtId="0" fontId="31" fillId="16" borderId="0" xfId="1" applyNumberFormat="1" applyFont="1" applyFill="1" applyBorder="1" applyAlignment="1" applyProtection="1">
      <alignment horizontal="center" vertical="center"/>
      <protection hidden="1"/>
    </xf>
    <xf numFmtId="49" fontId="21" fillId="25" borderId="6" xfId="0" applyNumberFormat="1" applyFont="1" applyFill="1" applyBorder="1" applyProtection="1">
      <protection locked="0"/>
    </xf>
    <xf numFmtId="49" fontId="21" fillId="30" borderId="6" xfId="0" applyNumberFormat="1" applyFont="1" applyFill="1" applyBorder="1" applyProtection="1">
      <protection locked="0"/>
    </xf>
    <xf numFmtId="49" fontId="13" fillId="25" borderId="6" xfId="0" applyNumberFormat="1" applyFont="1" applyFill="1" applyBorder="1" applyProtection="1">
      <protection locked="0"/>
    </xf>
    <xf numFmtId="49" fontId="13" fillId="30" borderId="6" xfId="0" applyNumberFormat="1" applyFont="1" applyFill="1" applyBorder="1" applyProtection="1">
      <protection locked="0"/>
    </xf>
    <xf numFmtId="49" fontId="0" fillId="30" borderId="6" xfId="0" applyNumberFormat="1" applyFill="1" applyBorder="1" applyProtection="1">
      <protection locked="0"/>
    </xf>
    <xf numFmtId="49" fontId="0" fillId="25" borderId="6" xfId="0" applyNumberFormat="1" applyFill="1" applyBorder="1" applyProtection="1">
      <protection locked="0"/>
    </xf>
    <xf numFmtId="0" fontId="0" fillId="31" borderId="0" xfId="0" applyFill="1" applyAlignment="1">
      <alignment horizontal="left"/>
    </xf>
    <xf numFmtId="0" fontId="0" fillId="31" borderId="0" xfId="0" applyFill="1" applyAlignment="1">
      <alignment horizontal="center"/>
    </xf>
    <xf numFmtId="0" fontId="0" fillId="31" borderId="0" xfId="0" applyFill="1"/>
    <xf numFmtId="0" fontId="26" fillId="16" borderId="0" xfId="0" applyFont="1" applyFill="1" applyAlignment="1">
      <alignment horizontal="left"/>
    </xf>
    <xf numFmtId="4" fontId="26" fillId="0" borderId="0" xfId="1" applyNumberFormat="1" applyFont="1" applyBorder="1" applyAlignment="1" applyProtection="1">
      <alignment horizontal="center" vertical="center" wrapText="1"/>
    </xf>
    <xf numFmtId="0" fontId="1" fillId="31" borderId="0" xfId="1" applyFill="1" applyBorder="1" applyAlignment="1" applyProtection="1">
      <alignment horizontal="right" vertical="center"/>
    </xf>
    <xf numFmtId="0" fontId="1" fillId="31" borderId="0" xfId="1" applyFill="1" applyBorder="1" applyAlignment="1" applyProtection="1">
      <alignment horizontal="center" vertical="center"/>
    </xf>
    <xf numFmtId="0" fontId="1" fillId="31" borderId="0" xfId="1" applyFill="1" applyBorder="1" applyAlignment="1" applyProtection="1">
      <alignment horizontal="left" vertical="center"/>
    </xf>
    <xf numFmtId="0" fontId="2" fillId="9" borderId="5" xfId="0" applyFont="1" applyFill="1" applyBorder="1"/>
    <xf numFmtId="0" fontId="2" fillId="20" borderId="5" xfId="0" applyFont="1" applyFill="1" applyBorder="1"/>
    <xf numFmtId="2" fontId="0" fillId="0" borderId="0" xfId="0" applyNumberFormat="1" applyAlignment="1" applyProtection="1">
      <alignment horizontal="center"/>
      <protection hidden="1"/>
    </xf>
    <xf numFmtId="4" fontId="0" fillId="0" borderId="0" xfId="0" applyNumberFormat="1" applyProtection="1">
      <protection hidden="1"/>
    </xf>
    <xf numFmtId="3" fontId="0" fillId="0" borderId="0" xfId="0" applyNumberFormat="1" applyAlignment="1" applyProtection="1">
      <alignment horizontal="center"/>
      <protection hidden="1"/>
    </xf>
    <xf numFmtId="4" fontId="1" fillId="0" borderId="0" xfId="1" applyNumberFormat="1" applyBorder="1" applyAlignment="1" applyProtection="1">
      <alignment horizontal="left" vertical="center" wrapText="1"/>
    </xf>
    <xf numFmtId="0" fontId="14" fillId="2" borderId="1" xfId="0" applyFont="1" applyFill="1" applyBorder="1" applyProtection="1">
      <protection locked="0"/>
    </xf>
    <xf numFmtId="0" fontId="2" fillId="2" borderId="1" xfId="0" applyFont="1" applyFill="1" applyBorder="1" applyProtection="1">
      <protection locked="0"/>
    </xf>
    <xf numFmtId="0" fontId="14" fillId="0" borderId="1" xfId="0" applyFont="1" applyBorder="1" applyProtection="1">
      <protection locked="0"/>
    </xf>
    <xf numFmtId="0" fontId="2" fillId="0" borderId="1" xfId="0" applyFont="1" applyBorder="1" applyProtection="1">
      <protection locked="0"/>
    </xf>
    <xf numFmtId="0" fontId="0" fillId="26" borderId="0" xfId="0" applyFill="1" applyProtection="1">
      <protection locked="0"/>
    </xf>
    <xf numFmtId="0" fontId="0" fillId="0" borderId="0" xfId="0" applyAlignment="1" applyProtection="1">
      <alignment horizontal="center"/>
      <protection locked="0"/>
    </xf>
    <xf numFmtId="0" fontId="1" fillId="26" borderId="0" xfId="1" applyFill="1" applyBorder="1" applyAlignment="1" applyProtection="1">
      <alignment horizontal="right" vertical="center"/>
      <protection locked="0"/>
    </xf>
    <xf numFmtId="0" fontId="0" fillId="21" borderId="1" xfId="0" applyFill="1" applyBorder="1" applyAlignment="1" applyProtection="1">
      <alignment horizontal="center" vertical="center" wrapText="1"/>
      <protection locked="0"/>
    </xf>
    <xf numFmtId="0" fontId="0" fillId="16" borderId="0" xfId="0" applyFill="1" applyProtection="1">
      <protection locked="0"/>
    </xf>
    <xf numFmtId="0" fontId="0" fillId="19" borderId="1" xfId="0" applyFill="1" applyBorder="1" applyAlignment="1" applyProtection="1">
      <alignment horizontal="center" vertical="center" wrapText="1"/>
      <protection locked="0"/>
    </xf>
    <xf numFmtId="0" fontId="2" fillId="9" borderId="1" xfId="0" applyFont="1" applyFill="1" applyBorder="1" applyProtection="1">
      <protection locked="0"/>
    </xf>
    <xf numFmtId="0" fontId="2" fillId="20" borderId="1" xfId="0" applyFont="1" applyFill="1" applyBorder="1" applyProtection="1">
      <protection locked="0"/>
    </xf>
    <xf numFmtId="0" fontId="0" fillId="0" borderId="1" xfId="0" applyBorder="1" applyAlignment="1" applyProtection="1">
      <alignment horizontal="center" vertical="center" wrapText="1"/>
      <protection locked="0"/>
    </xf>
    <xf numFmtId="0" fontId="31" fillId="26" borderId="0" xfId="1" applyFont="1" applyFill="1" applyBorder="1" applyAlignment="1" applyProtection="1">
      <alignment horizontal="left" vertical="center"/>
      <protection locked="0"/>
    </xf>
    <xf numFmtId="0" fontId="0" fillId="26" borderId="0" xfId="0" applyFill="1" applyAlignment="1" applyProtection="1">
      <alignment horizontal="left"/>
      <protection locked="0"/>
    </xf>
    <xf numFmtId="0" fontId="0" fillId="0" borderId="0" xfId="0" applyAlignment="1" applyProtection="1">
      <alignment horizontal="left"/>
      <protection locked="0"/>
    </xf>
    <xf numFmtId="0" fontId="13" fillId="16" borderId="0" xfId="0" applyFont="1" applyFill="1" applyAlignment="1" applyProtection="1">
      <alignment horizontal="left"/>
      <protection locked="0"/>
    </xf>
    <xf numFmtId="4" fontId="13" fillId="0" borderId="0" xfId="1" applyNumberFormat="1" applyFont="1" applyBorder="1" applyAlignment="1" applyProtection="1">
      <alignment horizontal="left" vertical="center" wrapText="1"/>
      <protection locked="0"/>
    </xf>
    <xf numFmtId="0" fontId="32" fillId="26" borderId="0" xfId="0" applyFont="1" applyFill="1" applyAlignment="1" applyProtection="1">
      <alignment horizontal="left"/>
      <protection locked="0"/>
    </xf>
    <xf numFmtId="0" fontId="33" fillId="0" borderId="0" xfId="0" applyFont="1" applyAlignment="1" applyProtection="1">
      <alignment horizontal="center"/>
      <protection hidden="1"/>
    </xf>
    <xf numFmtId="0" fontId="13" fillId="0" borderId="0" xfId="0" applyFont="1" applyAlignment="1" applyProtection="1">
      <alignment horizontal="center" vertical="center"/>
      <protection hidden="1"/>
    </xf>
    <xf numFmtId="0" fontId="13" fillId="0" borderId="0" xfId="0" applyFont="1" applyAlignment="1" applyProtection="1">
      <alignment horizontal="center"/>
      <protection hidden="1"/>
    </xf>
    <xf numFmtId="0" fontId="34" fillId="0" borderId="0" xfId="0" applyFont="1" applyAlignment="1" applyProtection="1">
      <alignment horizontal="center"/>
      <protection hidden="1"/>
    </xf>
    <xf numFmtId="0" fontId="0" fillId="31" borderId="0" xfId="0" applyFill="1" applyAlignment="1" applyProtection="1">
      <alignment wrapText="1"/>
      <protection hidden="1"/>
    </xf>
    <xf numFmtId="0" fontId="14" fillId="2" borderId="1" xfId="0" applyFont="1" applyFill="1" applyBorder="1"/>
    <xf numFmtId="0" fontId="2" fillId="2" borderId="1" xfId="0" applyFont="1" applyFill="1" applyBorder="1"/>
    <xf numFmtId="0" fontId="14" fillId="32" borderId="1" xfId="0" applyFont="1" applyFill="1" applyBorder="1"/>
    <xf numFmtId="0" fontId="2" fillId="32" borderId="1" xfId="0" applyFont="1" applyFill="1" applyBorder="1"/>
    <xf numFmtId="0" fontId="2" fillId="32" borderId="5" xfId="0" applyFont="1" applyFill="1" applyBorder="1"/>
    <xf numFmtId="0" fontId="14" fillId="33" borderId="1" xfId="0" applyFont="1" applyFill="1" applyBorder="1"/>
    <xf numFmtId="0" fontId="2" fillId="33" borderId="1" xfId="0" applyFont="1" applyFill="1" applyBorder="1"/>
    <xf numFmtId="0" fontId="2" fillId="33" borderId="5" xfId="0" applyFont="1" applyFill="1" applyBorder="1"/>
    <xf numFmtId="0" fontId="2" fillId="5" borderId="5" xfId="0" applyFont="1" applyFill="1" applyBorder="1"/>
    <xf numFmtId="0" fontId="2" fillId="4" borderId="5" xfId="0" applyFont="1" applyFill="1" applyBorder="1"/>
    <xf numFmtId="0" fontId="2" fillId="7" borderId="2" xfId="0" applyFont="1" applyFill="1" applyBorder="1"/>
    <xf numFmtId="0" fontId="16" fillId="7" borderId="2" xfId="0" applyFont="1" applyFill="1" applyBorder="1"/>
    <xf numFmtId="0" fontId="16" fillId="7" borderId="7" xfId="0" applyFont="1" applyFill="1" applyBorder="1"/>
    <xf numFmtId="0" fontId="11" fillId="34" borderId="21" xfId="1" applyFont="1" applyFill="1" applyBorder="1" applyAlignment="1" applyProtection="1">
      <alignment horizontal="center" vertical="center" wrapText="1"/>
    </xf>
    <xf numFmtId="0" fontId="13" fillId="0" borderId="0" xfId="0" applyFont="1" applyProtection="1">
      <protection locked="0"/>
    </xf>
    <xf numFmtId="0" fontId="0" fillId="0" borderId="0" xfId="0" applyAlignment="1" applyProtection="1">
      <alignment horizontal="center" vertical="center"/>
      <protection locked="0"/>
    </xf>
    <xf numFmtId="0" fontId="0" fillId="25" borderId="0" xfId="0" applyFill="1" applyAlignment="1">
      <alignment horizontal="center"/>
    </xf>
    <xf numFmtId="0" fontId="0" fillId="25" borderId="0" xfId="0" applyFill="1" applyAlignment="1">
      <alignment horizontal="left"/>
    </xf>
    <xf numFmtId="0" fontId="19" fillId="0" borderId="0" xfId="0" applyFont="1" applyAlignment="1">
      <alignment horizontal="right" vertical="center"/>
    </xf>
    <xf numFmtId="0" fontId="0" fillId="16" borderId="0" xfId="0" applyFill="1"/>
    <xf numFmtId="0" fontId="9" fillId="0" borderId="21" xfId="0" applyFont="1" applyBorder="1" applyAlignment="1">
      <alignment horizontal="right"/>
    </xf>
    <xf numFmtId="0" fontId="0" fillId="25" borderId="0" xfId="0" applyFill="1" applyAlignment="1">
      <alignment horizontal="right"/>
    </xf>
    <xf numFmtId="0" fontId="11" fillId="16" borderId="27" xfId="0" applyFont="1" applyFill="1" applyBorder="1" applyAlignment="1">
      <alignment horizontal="right"/>
    </xf>
    <xf numFmtId="0" fontId="13" fillId="16" borderId="3" xfId="0" applyFont="1" applyFill="1" applyBorder="1" applyAlignment="1">
      <alignment horizontal="right"/>
    </xf>
    <xf numFmtId="0" fontId="13" fillId="0" borderId="21" xfId="0" applyFont="1" applyBorder="1" applyAlignment="1">
      <alignment horizontal="right"/>
    </xf>
    <xf numFmtId="0" fontId="27" fillId="0" borderId="1" xfId="0" applyFont="1" applyBorder="1" applyAlignment="1">
      <alignment horizontal="right"/>
    </xf>
    <xf numFmtId="0" fontId="1" fillId="0" borderId="0" xfId="1" applyBorder="1" applyAlignment="1" applyProtection="1">
      <alignment horizontal="center" vertical="center"/>
    </xf>
    <xf numFmtId="0" fontId="1" fillId="0" borderId="0" xfId="1" applyBorder="1" applyAlignment="1" applyProtection="1">
      <alignment horizontal="left" vertical="center"/>
    </xf>
    <xf numFmtId="0" fontId="0" fillId="32" borderId="1" xfId="0" applyFill="1" applyBorder="1"/>
    <xf numFmtId="0" fontId="0" fillId="33" borderId="1" xfId="0" applyFill="1" applyBorder="1"/>
    <xf numFmtId="49" fontId="17" fillId="30" borderId="6" xfId="0" applyNumberFormat="1" applyFont="1" applyFill="1" applyBorder="1" applyProtection="1">
      <protection locked="0"/>
    </xf>
    <xf numFmtId="0" fontId="23" fillId="30" borderId="7" xfId="0" applyFont="1" applyFill="1" applyBorder="1" applyProtection="1">
      <protection locked="0"/>
    </xf>
    <xf numFmtId="49" fontId="11" fillId="30" borderId="6" xfId="0" applyNumberFormat="1" applyFont="1" applyFill="1" applyBorder="1" applyProtection="1">
      <protection locked="0"/>
    </xf>
    <xf numFmtId="0" fontId="18" fillId="30" borderId="7" xfId="0" applyFont="1" applyFill="1" applyBorder="1" applyProtection="1">
      <protection locked="0"/>
    </xf>
    <xf numFmtId="0" fontId="0" fillId="16" borderId="1" xfId="0" applyFill="1" applyBorder="1"/>
    <xf numFmtId="0" fontId="0" fillId="25" borderId="0" xfId="0" applyFill="1" applyProtection="1">
      <protection locked="0"/>
    </xf>
    <xf numFmtId="0" fontId="3" fillId="36" borderId="0" xfId="0" applyFont="1" applyFill="1" applyAlignment="1">
      <alignment vertical="center"/>
    </xf>
    <xf numFmtId="12" fontId="12" fillId="0" borderId="0" xfId="0" applyNumberFormat="1" applyFont="1" applyAlignment="1" applyProtection="1">
      <alignment horizontal="center"/>
      <protection hidden="1"/>
    </xf>
    <xf numFmtId="12" fontId="0" fillId="0" borderId="0" xfId="0" applyNumberFormat="1" applyAlignment="1" applyProtection="1">
      <alignment horizontal="center"/>
      <protection hidden="1"/>
    </xf>
    <xf numFmtId="0" fontId="24" fillId="16" borderId="0" xfId="0" applyFont="1" applyFill="1" applyAlignment="1" applyProtection="1">
      <alignment horizontal="left"/>
      <protection hidden="1"/>
    </xf>
    <xf numFmtId="4" fontId="24" fillId="0" borderId="0" xfId="1" applyNumberFormat="1" applyFont="1" applyBorder="1" applyAlignment="1" applyProtection="1">
      <alignment horizontal="center" vertical="center" wrapText="1"/>
      <protection hidden="1"/>
    </xf>
    <xf numFmtId="4" fontId="24" fillId="0" borderId="26" xfId="1" applyNumberFormat="1" applyFont="1" applyBorder="1" applyAlignment="1" applyProtection="1">
      <alignment horizontal="center" vertical="center" wrapText="1"/>
      <protection hidden="1"/>
    </xf>
    <xf numFmtId="0" fontId="1" fillId="16" borderId="0" xfId="0" applyFont="1" applyFill="1" applyAlignment="1" applyProtection="1">
      <alignment horizontal="left"/>
      <protection hidden="1"/>
    </xf>
    <xf numFmtId="4" fontId="1" fillId="0" borderId="0" xfId="1" applyNumberFormat="1" applyBorder="1" applyAlignment="1" applyProtection="1">
      <alignment horizontal="center" vertical="center" wrapText="1"/>
      <protection hidden="1"/>
    </xf>
    <xf numFmtId="0" fontId="11" fillId="16" borderId="0" xfId="0" applyFont="1" applyFill="1" applyAlignment="1" applyProtection="1">
      <alignment horizontal="left"/>
      <protection hidden="1"/>
    </xf>
    <xf numFmtId="4" fontId="11" fillId="0" borderId="0" xfId="1" applyNumberFormat="1" applyFont="1" applyBorder="1" applyAlignment="1" applyProtection="1">
      <alignment horizontal="center" vertical="center" wrapText="1"/>
      <protection hidden="1"/>
    </xf>
    <xf numFmtId="4" fontId="11" fillId="0" borderId="26" xfId="1" applyNumberFormat="1" applyFont="1" applyBorder="1" applyAlignment="1" applyProtection="1">
      <alignment horizontal="center" vertical="center" wrapText="1"/>
      <protection hidden="1"/>
    </xf>
    <xf numFmtId="0" fontId="35" fillId="16" borderId="0" xfId="0" applyFont="1" applyFill="1" applyAlignment="1" applyProtection="1">
      <alignment horizontal="left"/>
      <protection hidden="1"/>
    </xf>
    <xf numFmtId="3" fontId="35" fillId="0" borderId="0" xfId="0" applyNumberFormat="1" applyFont="1" applyAlignment="1" applyProtection="1">
      <alignment horizontal="center"/>
      <protection hidden="1"/>
    </xf>
    <xf numFmtId="0" fontId="27" fillId="16" borderId="0" xfId="0" applyFont="1" applyFill="1" applyAlignment="1" applyProtection="1">
      <alignment horizontal="left"/>
      <protection hidden="1"/>
    </xf>
    <xf numFmtId="3" fontId="27" fillId="0" borderId="0" xfId="1" applyNumberFormat="1" applyFont="1" applyBorder="1" applyAlignment="1" applyProtection="1">
      <alignment horizontal="center" vertical="center" wrapText="1"/>
      <protection hidden="1"/>
    </xf>
    <xf numFmtId="14" fontId="0" fillId="0" borderId="0" xfId="0" applyNumberFormat="1"/>
    <xf numFmtId="16" fontId="0" fillId="0" borderId="0" xfId="0" quotePrefix="1" applyNumberFormat="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wrapText="1"/>
    </xf>
    <xf numFmtId="16" fontId="0" fillId="0" borderId="0" xfId="0" quotePrefix="1" applyNumberFormat="1"/>
    <xf numFmtId="0" fontId="2" fillId="4" borderId="1" xfId="0" applyFont="1" applyFill="1" applyBorder="1" applyAlignment="1">
      <alignment wrapText="1"/>
    </xf>
    <xf numFmtId="49" fontId="0" fillId="2" borderId="4" xfId="0" applyNumberFormat="1" applyFill="1" applyBorder="1" applyAlignment="1">
      <alignment horizontal="left"/>
    </xf>
    <xf numFmtId="0" fontId="25" fillId="28" borderId="25" xfId="0" applyFont="1" applyFill="1" applyBorder="1" applyAlignment="1" applyProtection="1">
      <alignment horizontal="left"/>
      <protection hidden="1"/>
    </xf>
    <xf numFmtId="49" fontId="0" fillId="32" borderId="4" xfId="0" applyNumberFormat="1" applyFill="1" applyBorder="1" applyAlignment="1">
      <alignment horizontal="left"/>
    </xf>
    <xf numFmtId="49" fontId="0" fillId="33" borderId="4" xfId="0" applyNumberFormat="1" applyFill="1" applyBorder="1" applyAlignment="1">
      <alignment horizontal="left"/>
    </xf>
    <xf numFmtId="49" fontId="0" fillId="5" borderId="4" xfId="0" applyNumberFormat="1" applyFill="1" applyBorder="1" applyAlignment="1">
      <alignment horizontal="left"/>
    </xf>
    <xf numFmtId="49" fontId="0" fillId="4" borderId="4" xfId="0" applyNumberFormat="1" applyFill="1" applyBorder="1" applyAlignment="1">
      <alignment horizontal="left"/>
    </xf>
    <xf numFmtId="49" fontId="0" fillId="7" borderId="6" xfId="0" applyNumberFormat="1" applyFill="1" applyBorder="1" applyAlignment="1">
      <alignment horizontal="left"/>
    </xf>
    <xf numFmtId="2" fontId="12" fillId="0" borderId="0" xfId="0" applyNumberFormat="1" applyFont="1" applyAlignment="1" applyProtection="1">
      <alignment horizontal="center"/>
      <protection hidden="1"/>
    </xf>
    <xf numFmtId="4" fontId="11" fillId="0" borderId="27" xfId="1" applyNumberFormat="1" applyFont="1" applyBorder="1" applyAlignment="1" applyProtection="1">
      <alignment horizontal="center" vertical="center" wrapText="1"/>
      <protection hidden="1"/>
    </xf>
    <xf numFmtId="4" fontId="13" fillId="0" borderId="3" xfId="1" applyNumberFormat="1" applyFont="1" applyBorder="1" applyAlignment="1" applyProtection="1">
      <alignment horizontal="center" vertical="center" wrapText="1"/>
      <protection hidden="1"/>
    </xf>
    <xf numFmtId="4" fontId="13" fillId="0" borderId="21" xfId="1" applyNumberFormat="1" applyFont="1" applyBorder="1" applyAlignment="1" applyProtection="1">
      <alignment horizontal="center" vertical="center" wrapText="1"/>
      <protection hidden="1"/>
    </xf>
    <xf numFmtId="0" fontId="19" fillId="0" borderId="0" xfId="0" applyFont="1" applyAlignment="1" applyProtection="1">
      <alignment horizontal="right"/>
      <protection hidden="1"/>
    </xf>
    <xf numFmtId="0" fontId="2" fillId="9" borderId="5" xfId="0" applyFont="1" applyFill="1" applyBorder="1" applyProtection="1">
      <protection hidden="1"/>
    </xf>
    <xf numFmtId="0" fontId="2" fillId="9" borderId="1" xfId="0" applyFont="1" applyFill="1" applyBorder="1" applyProtection="1">
      <protection hidden="1"/>
    </xf>
    <xf numFmtId="0" fontId="2" fillId="20" borderId="5" xfId="0" applyFont="1" applyFill="1" applyBorder="1" applyProtection="1">
      <protection hidden="1"/>
    </xf>
    <xf numFmtId="0" fontId="2" fillId="20" borderId="1" xfId="0" applyFont="1" applyFill="1" applyBorder="1" applyProtection="1">
      <protection hidden="1"/>
    </xf>
    <xf numFmtId="0" fontId="0" fillId="21" borderId="1" xfId="0" applyFill="1" applyBorder="1" applyAlignment="1">
      <alignment horizontal="center" vertical="center" wrapText="1"/>
    </xf>
    <xf numFmtId="0" fontId="0" fillId="19" borderId="1" xfId="0" applyFill="1" applyBorder="1" applyAlignment="1">
      <alignment horizontal="left" vertical="top" wrapText="1"/>
    </xf>
    <xf numFmtId="0" fontId="0" fillId="35" borderId="1" xfId="0" applyFill="1" applyBorder="1" applyAlignment="1">
      <alignment horizontal="left" vertical="top" wrapText="1"/>
    </xf>
    <xf numFmtId="0" fontId="0" fillId="23" borderId="1" xfId="0" applyFill="1" applyBorder="1" applyAlignment="1">
      <alignment horizontal="center" vertical="center" wrapText="1"/>
    </xf>
    <xf numFmtId="0" fontId="27" fillId="0" borderId="1" xfId="1" applyNumberFormat="1" applyFont="1" applyFill="1" applyBorder="1" applyAlignment="1" applyProtection="1">
      <alignment horizontal="center" vertical="center" wrapText="1"/>
      <protection hidden="1"/>
    </xf>
    <xf numFmtId="49" fontId="0" fillId="0" borderId="0" xfId="0" quotePrefix="1" applyNumberFormat="1" applyAlignment="1">
      <alignment horizontal="center" vertical="center"/>
    </xf>
    <xf numFmtId="4" fontId="2" fillId="33" borderId="1" xfId="0" applyNumberFormat="1" applyFont="1" applyFill="1" applyBorder="1" applyProtection="1">
      <protection hidden="1"/>
    </xf>
    <xf numFmtId="0" fontId="2" fillId="33" borderId="5" xfId="0" applyFont="1" applyFill="1" applyBorder="1" applyProtection="1">
      <protection hidden="1"/>
    </xf>
    <xf numFmtId="4" fontId="2" fillId="33" borderId="5" xfId="0" applyNumberFormat="1" applyFont="1" applyFill="1" applyBorder="1" applyProtection="1">
      <protection hidden="1"/>
    </xf>
    <xf numFmtId="0" fontId="2" fillId="33" borderId="1" xfId="0" applyFont="1" applyFill="1" applyBorder="1" applyProtection="1">
      <protection hidden="1"/>
    </xf>
    <xf numFmtId="0" fontId="2" fillId="33" borderId="5" xfId="0" applyFont="1" applyFill="1" applyBorder="1" applyProtection="1">
      <protection locked="0"/>
    </xf>
    <xf numFmtId="4" fontId="2" fillId="32" borderId="1" xfId="0" applyNumberFormat="1" applyFont="1" applyFill="1" applyBorder="1" applyProtection="1">
      <protection hidden="1"/>
    </xf>
    <xf numFmtId="0" fontId="2" fillId="32" borderId="5" xfId="0" applyFont="1" applyFill="1" applyBorder="1" applyProtection="1">
      <protection hidden="1"/>
    </xf>
    <xf numFmtId="4" fontId="2" fillId="32" borderId="5" xfId="0" applyNumberFormat="1" applyFont="1" applyFill="1" applyBorder="1" applyProtection="1">
      <protection hidden="1"/>
    </xf>
    <xf numFmtId="0" fontId="2" fillId="32" borderId="1" xfId="0" applyFont="1" applyFill="1" applyBorder="1" applyProtection="1">
      <protection hidden="1"/>
    </xf>
    <xf numFmtId="0" fontId="2" fillId="32" borderId="5" xfId="0" applyFont="1" applyFill="1" applyBorder="1" applyProtection="1">
      <protection locked="0"/>
    </xf>
    <xf numFmtId="0" fontId="2" fillId="9" borderId="1" xfId="0" applyFont="1" applyFill="1" applyBorder="1"/>
    <xf numFmtId="0" fontId="0" fillId="20" borderId="1" xfId="0" applyFill="1" applyBorder="1"/>
    <xf numFmtId="0" fontId="0" fillId="20" borderId="0" xfId="0" applyFill="1"/>
    <xf numFmtId="0" fontId="0" fillId="20" borderId="1" xfId="0" applyFill="1" applyBorder="1" applyAlignment="1" applyProtection="1">
      <alignment horizontal="center" vertical="center" wrapText="1"/>
      <protection locked="0"/>
    </xf>
    <xf numFmtId="0" fontId="0" fillId="20" borderId="1" xfId="0" applyFill="1" applyBorder="1" applyAlignment="1" applyProtection="1">
      <alignment horizontal="left"/>
      <protection locked="0"/>
    </xf>
    <xf numFmtId="0" fontId="14" fillId="20" borderId="1" xfId="0" applyFont="1" applyFill="1" applyBorder="1" applyProtection="1">
      <protection locked="0"/>
    </xf>
    <xf numFmtId="0" fontId="2" fillId="20" borderId="5" xfId="0" applyFont="1" applyFill="1" applyBorder="1" applyProtection="1">
      <protection locked="0"/>
    </xf>
    <xf numFmtId="0" fontId="8" fillId="36" borderId="1" xfId="0" applyFont="1" applyFill="1" applyBorder="1" applyAlignment="1">
      <alignment horizontal="left" vertical="center"/>
    </xf>
  </cellXfs>
  <cellStyles count="4">
    <cellStyle name=" Task]_x000d__x000d_TaskName=Scan At_x000d__x000d_TaskID=3_x000d__x000d_WorkstationName=SmarTone_x000d__x000d_LastExecuted=0_x000d__x000d_LastSt" xfId="3" xr:uid="{0EB9AD1B-CB0F-4ACB-8C58-DF86F4DFA140}"/>
    <cellStyle name="Normal" xfId="0" builtinId="0"/>
    <cellStyle name="Normal 2" xfId="2" xr:uid="{E36A278F-FB6C-43C5-92D7-9BFB802419C3}"/>
    <cellStyle name="Overskrift 4" xfId="1" builtinId="19"/>
  </cellStyles>
  <dxfs count="101">
    <dxf>
      <font>
        <b/>
        <i val="0"/>
        <strike val="0"/>
        <condense val="0"/>
        <extend val="0"/>
        <outline val="0"/>
        <shadow val="0"/>
        <u val="none"/>
        <vertAlign val="baseline"/>
        <sz val="10"/>
        <color rgb="FF000000"/>
        <name val="Calibri"/>
        <family val="2"/>
        <scheme val="minor"/>
      </font>
      <alignment horizontal="center" vertical="bottom" textRotation="0" wrapText="0" indent="0" justifyLastLine="0" shrinkToFit="0" readingOrder="0"/>
    </dxf>
    <dxf>
      <font>
        <color rgb="FFC00000"/>
      </font>
      <fill>
        <patternFill>
          <bgColor rgb="FFFFCCFF"/>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9" tint="-0.249977111117893"/>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right style="thin">
          <color indexed="64"/>
        </right>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right style="thin">
          <color indexed="64"/>
        </right>
      </border>
      <protection locked="1"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font>
      <numFmt numFmtId="0" formatCode="General"/>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0" tint="-4.9989318521683403E-2"/>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bottom style="thin">
          <color rgb="FF000000"/>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Calibri"/>
        <family val="2"/>
        <scheme val="none"/>
      </font>
      <fill>
        <patternFill patternType="solid">
          <fgColor rgb="FF000000"/>
          <bgColor rgb="FFF2F2F2"/>
        </patternFill>
      </fill>
      <protection locked="1" hidden="0"/>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rgb="FFC00000"/>
      </font>
      <fill>
        <patternFill>
          <bgColor rgb="FFFFCCFF"/>
        </patternFill>
      </fill>
    </dxf>
    <dxf>
      <fill>
        <patternFill>
          <bgColor rgb="FF00FF00"/>
        </patternFill>
      </fill>
    </dxf>
    <dxf>
      <fill>
        <patternFill>
          <bgColor rgb="FFFFFF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right style="thin">
          <color indexed="64"/>
        </right>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right style="thin">
          <color indexed="64"/>
        </right>
      </border>
      <protection locked="1"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font>
      <numFmt numFmtId="0" formatCode="General"/>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0" tint="-4.9989318521683403E-2"/>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rgb="FF000000"/>
        </top>
      </border>
    </dxf>
    <dxf>
      <border>
        <bottom style="thin">
          <color rgb="FF000000"/>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rgb="FF000000"/>
        <name val="Calibri"/>
        <family val="2"/>
        <scheme val="none"/>
      </font>
      <fill>
        <patternFill patternType="solid">
          <fgColor rgb="FF000000"/>
          <bgColor rgb="FFF2F2F2"/>
        </patternFill>
      </fill>
      <protection locked="1" hidden="0"/>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rgb="FFC00000"/>
      </font>
      <fill>
        <patternFill>
          <bgColor rgb="FFFFCCFF"/>
        </patternFill>
      </fill>
    </dxf>
    <dxf>
      <fill>
        <patternFill>
          <bgColor rgb="FF00FF00"/>
        </patternFill>
      </fill>
    </dxf>
    <dxf>
      <fill>
        <patternFill>
          <bgColor rgb="FFFFFF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0"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right style="thin">
          <color indexed="64"/>
        </right>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5" tint="0.79998168889431442"/>
        </patternFill>
      </fill>
      <border>
        <right style="thin">
          <color indexed="64"/>
        </right>
      </border>
      <protection locked="1" hidden="1"/>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Calibri"/>
        <family val="2"/>
        <scheme val="minor"/>
      </font>
      <numFmt numFmtId="0" formatCode="General"/>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z val="9"/>
      </font>
      <numFmt numFmtId="0" formatCode="General"/>
      <fill>
        <patternFill patternType="solid">
          <fgColor indexed="64"/>
          <bgColor rgb="FFFFFF99"/>
        </patternFill>
      </fill>
      <alignment horizontal="left"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solid">
          <fgColor indexed="64"/>
          <bgColor theme="0" tint="-4.9989318521683403E-2"/>
        </patternFill>
      </fill>
      <border diagonalUp="0" diagonalDown="0">
        <left style="thin">
          <color indexed="64"/>
        </left>
        <right style="thin">
          <color indexed="64"/>
        </right>
        <top style="thin">
          <color indexed="64"/>
        </top>
        <bottom style="thin">
          <color indexed="64"/>
        </bottom>
      </border>
      <protection locked="1" hidden="0"/>
    </dxf>
    <dxf>
      <numFmt numFmtId="30" formatCode="@"/>
      <fill>
        <patternFill patternType="solid">
          <fgColor indexed="64"/>
          <bgColor theme="0" tint="-4.9989318521683403E-2"/>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protection locked="1" hidden="0"/>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rgb="FFC00000"/>
      </font>
      <fill>
        <patternFill>
          <bgColor rgb="FFFFCCFF"/>
        </patternFill>
      </fill>
    </dxf>
    <dxf>
      <fill>
        <patternFill>
          <bgColor rgb="FF00FF00"/>
        </patternFill>
      </fill>
    </dxf>
    <dxf>
      <fill>
        <patternFill>
          <bgColor rgb="FFFFFF00"/>
        </patternFill>
      </fill>
    </dxf>
    <dxf>
      <fill>
        <patternFill>
          <bgColor rgb="FFFFC000"/>
        </patternFill>
      </fill>
    </dxf>
  </dxfs>
  <tableStyles count="0" defaultTableStyle="TableStyleMedium2" defaultPivotStyle="PivotStyleLight16"/>
  <colors>
    <mruColors>
      <color rgb="FFFEF5F0"/>
      <color rgb="FFFFCCFF"/>
      <color rgb="FFCCFFFF"/>
      <color rgb="FFFFFF99"/>
      <color rgb="FF660033"/>
      <color rgb="FFFFFF66"/>
      <color rgb="FFFFFFFF"/>
      <color rgb="FFFFFF00"/>
      <color rgb="FF000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20</xdr:col>
      <xdr:colOff>89059</xdr:colOff>
      <xdr:row>0</xdr:row>
      <xdr:rowOff>58577</xdr:rowOff>
    </xdr:from>
    <xdr:to>
      <xdr:col>27</xdr:col>
      <xdr:colOff>325278</xdr:colOff>
      <xdr:row>7</xdr:row>
      <xdr:rowOff>140969</xdr:rowOff>
    </xdr:to>
    <mc:AlternateContent xmlns:mc="http://schemas.openxmlformats.org/markup-compatibility/2006" xmlns:sle15="http://schemas.microsoft.com/office/drawing/2012/slicer">
      <mc:Choice Requires="sle15">
        <xdr:graphicFrame macro="">
          <xdr:nvGraphicFramePr>
            <xdr:cNvPr id="3" name="Product 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1583650" y="54767"/>
              <a:ext cx="4479131" cy="141589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xdr:from>
      <xdr:col>15</xdr:col>
      <xdr:colOff>666749</xdr:colOff>
      <xdr:row>0</xdr:row>
      <xdr:rowOff>54354</xdr:rowOff>
    </xdr:from>
    <xdr:to>
      <xdr:col>16</xdr:col>
      <xdr:colOff>916779</xdr:colOff>
      <xdr:row>7</xdr:row>
      <xdr:rowOff>144780</xdr:rowOff>
    </xdr:to>
    <mc:AlternateContent xmlns:mc="http://schemas.openxmlformats.org/markup-compatibility/2006" xmlns:sle15="http://schemas.microsoft.com/office/drawing/2012/slicer">
      <mc:Choice Requires="sle15">
        <xdr:graphicFrame macro="">
          <xdr:nvGraphicFramePr>
            <xdr:cNvPr id="5" name="Source of ordering">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Source of ordering"/>
            </a:graphicData>
          </a:graphic>
        </xdr:graphicFrame>
      </mc:Choice>
      <mc:Fallback xmlns="">
        <xdr:sp macro="" textlink="">
          <xdr:nvSpPr>
            <xdr:cNvPr id="0" name=""/>
            <xdr:cNvSpPr>
              <a:spLocks noTextEdit="1"/>
            </xdr:cNvSpPr>
          </xdr:nvSpPr>
          <xdr:spPr>
            <a:xfrm>
              <a:off x="20458747" y="58164"/>
              <a:ext cx="1032032" cy="14182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0</xdr:col>
      <xdr:colOff>0</xdr:colOff>
      <xdr:row>0</xdr:row>
      <xdr:rowOff>0</xdr:rowOff>
    </xdr:from>
    <xdr:to>
      <xdr:col>1</xdr:col>
      <xdr:colOff>33745</xdr:colOff>
      <xdr:row>2</xdr:row>
      <xdr:rowOff>2721</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51114" cy="3946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76200</xdr:colOff>
      <xdr:row>4</xdr:row>
      <xdr:rowOff>102870</xdr:rowOff>
    </xdr:from>
    <xdr:to>
      <xdr:col>6</xdr:col>
      <xdr:colOff>590550</xdr:colOff>
      <xdr:row>4</xdr:row>
      <xdr:rowOff>102870</xdr:rowOff>
    </xdr:to>
    <xdr:cxnSp macro="">
      <xdr:nvCxnSpPr>
        <xdr:cNvPr id="2" name="Straight Arrow Connector 1">
          <a:extLst>
            <a:ext uri="{FF2B5EF4-FFF2-40B4-BE49-F238E27FC236}">
              <a16:creationId xmlns:a16="http://schemas.microsoft.com/office/drawing/2014/main" id="{00000000-0008-0000-0100-000002000000}"/>
            </a:ext>
          </a:extLst>
        </xdr:cNvPr>
        <xdr:cNvCxnSpPr/>
      </xdr:nvCxnSpPr>
      <xdr:spPr>
        <a:xfrm flipH="1">
          <a:off x="5798820" y="866775"/>
          <a:ext cx="173736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1361</xdr:colOff>
      <xdr:row>1</xdr:row>
      <xdr:rowOff>171246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29343" cy="3671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711561</xdr:colOff>
      <xdr:row>1</xdr:row>
      <xdr:rowOff>179161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0"/>
          <a:ext cx="709020" cy="3592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Kjerag\Pricing%20file%20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
    </sheetNames>
    <sheetDataSet>
      <sheetData sheetId="0"/>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58D1275B-4F6B-4885-9EC2-607936569428}" sourceName="Product category">
  <extLst>
    <x:ext xmlns:x15="http://schemas.microsoft.com/office/spreadsheetml/2010/11/main" uri="{2F2917AC-EB37-4324-AD4E-5DD8C200BD13}">
      <x15:tableSlicerCache tableId="1"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of_ordering" xr10:uid="{A4091167-86C8-41C4-91D0-00A07E1C5652}" sourceName="Source of ordering">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7D815710-5FB0-452A-82E8-D5294CBD531F}" cache="Slicer_Product_category" caption="Product category" startItem="16" columnCount="4" style="SlicerStyleDark6" rowHeight="241300"/>
  <slicer name="Source of ordering" xr10:uid="{26BEC8B2-A99A-40D3-9AE1-FC928EBECA23}" cache="Slicer_Source_of_ordering" caption="Source of ordering"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85C53F-A6D0-4639-93E2-37DB2D5C20AD}" name="Table1" displayName="Table1" ref="B10:X782" totalsRowShown="0" headerRowDxfId="96" dataDxfId="95" headerRowBorderDxfId="93" tableBorderDxfId="94" totalsRowBorderDxfId="92">
  <autoFilter ref="B10:X782" xr:uid="{FF85C53F-A6D0-4639-93E2-37DB2D5C20AD}"/>
  <tableColumns count="23">
    <tableColumn id="1" xr3:uid="{8D06EF50-C127-4F25-BB82-702DA100D8C7}" name="Product code" dataDxfId="91"/>
    <tableColumn id="2" xr3:uid="{609A3E65-779C-467C-BBCA-33DFA18BA3CB}" name="Description" dataDxfId="90"/>
    <tableColumn id="3" xr3:uid="{D360C156-4C15-454A-91B6-FE84703284C5}" name="Quantity" dataDxfId="89"/>
    <tableColumn id="4" xr3:uid="{87F1FEFB-F761-48AA-A1F6-92FD15683BB4}" name="Comments" dataDxfId="88"/>
    <tableColumn id="16" xr3:uid="{DF00A53D-5FC1-450C-8A1B-3040BB36B620}" name="ACT_Qty" dataDxfId="87"/>
    <tableColumn id="17" xr3:uid="{CE11BAD7-7844-4024-98CE-DDE09F90C711}" name="ACT_Comment" dataDxfId="86"/>
    <tableColumn id="5" xr3:uid="{A4C3702E-FB95-445C-9B24-255A7B617A6E}" name="Ordering hints" dataDxfId="85"/>
    <tableColumn id="7" xr3:uid="{19CCC8E4-86A4-4446-8610-1BEAFA202216}" name="Product category" dataDxfId="84"/>
    <tableColumn id="9" xr3:uid="{75307573-54BE-4ED2-9ECC-D821E744AD75}" name="Product subcategory" dataDxfId="83"/>
    <tableColumn id="6" xr3:uid="{678128EB-4AF3-4C20-B7E3-4B429E23FC58}" name="Source of ordering" dataDxfId="82"/>
    <tableColumn id="8" xr3:uid="{1A5B2BBC-6364-4605-A978-D092EB4687F2}" name="Vendor" dataDxfId="81"/>
    <tableColumn id="10" xr3:uid="{AA262354-B624-40E4-B5D4-815253C6F7B1}" name="Contractor name" dataDxfId="80">
      <calculatedColumnFormula>IF($C$3&lt;&gt;"",$C$3,"")</calculatedColumnFormula>
    </tableColumn>
    <tableColumn id="11" xr3:uid="{97507A78-F118-47B6-A7F2-7417CDBC39CF}" name="Unit Price" dataDxfId="79">
      <calculatedColumnFormula>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calculatedColumnFormula>
    </tableColumn>
    <tableColumn id="12" xr3:uid="{D1C4BC38-03E6-49AB-97CC-4BA64F52B17D}" name="Currency" dataDxfId="78">
      <calculatedColumnFormula>IFERROR(IF(
OR(Table1[[#This Row],[Product category]]="Service items",Table1[[#This Row],[Product category]]="Additional services",Table1[[#This Row],[Product category]]="Additional materials"),
"NOK",IF(($N$3&lt;&gt;""),VLOOKUP(Table1[[#This Row],[Product code]],INDIRECT(Aux!$A$1),6,FALSE),"")),"")</calculatedColumnFormula>
    </tableColumn>
    <tableColumn id="14" xr3:uid="{5206DBDB-776E-4123-B994-47025A2D53A5}" name="Total Price NOK" dataDxfId="77">
      <calculatedColumnFormula>IFERROR(IF(AND(Table1[[#This Row],[Quantity]]&lt;&gt;"",Table1[[#This Row],[Currency]]="NOK"),Table1[[#This Row],[Quantity]]*Table1[[#This Row],[Unit Price]],""),"")</calculatedColumnFormula>
    </tableColumn>
    <tableColumn id="18" xr3:uid="{40C3BCD3-634F-4228-8138-FBF1CFDAA99F}" name="Total ACT Price NOK" dataDxfId="76">
      <calculatedColumnFormula>IFERROR(IF(AND(Table1[[#This Row],[ACT_Qty]]&lt;&gt;"",Table1[[#This Row],[Currency]]="NOK"),Table1[[#This Row],[ACT_Qty]]*Table1[[#This Row],[Unit Price]],""),"")</calculatedColumnFormula>
    </tableColumn>
    <tableColumn id="13" xr3:uid="{207C2B2C-734F-4483-A41A-68FCFBADFB8A}" name="Total Price EUR" dataDxfId="75">
      <calculatedColumnFormula>IFERROR(IF(AND(Table1[[#This Row],[Quantity]]&lt;&gt;"",Table1[[#This Row],[Currency]]="EUR"),Table1[[#This Row],[Quantity]]*Table1[[#This Row],[Unit Price]],""),"")</calculatedColumnFormula>
    </tableColumn>
    <tableColumn id="19" xr3:uid="{53468A87-DECE-4DA0-9A10-83F6E0527041}" name="Total ACT Price EUR" dataDxfId="74">
      <calculatedColumnFormula>IFERROR(IF(AND(Table1[[#This Row],[ACT_Qty]]&lt;&gt;"",Table1[[#This Row],[Currency]]="EUR"),Table1[[#This Row],[ACT_Qty]]*Table1[[#This Row],[Unit Price]],""),"")</calculatedColumnFormula>
    </tableColumn>
    <tableColumn id="15" xr3:uid="{466C9C46-D172-45F1-9AFE-5FDEF38411EE}" name="Type of work" dataDxfId="73">
      <calculatedColumnFormula>IFERROR(IF(AND(($N$3&lt;&gt;""),INDIRECT(Aux!$D$1)),VLOOKUP(Table1[[#This Row],[Product code]],Aux!B:E,4,FALSE),""),"")</calculatedColumnFormula>
    </tableColumn>
    <tableColumn id="21" xr3:uid="{CC2BCA2E-90F9-4DAD-8E31-B2392DE1775F}" name="Act-Est Qty" dataDxfId="72">
      <calculatedColumnFormula>IFERROR(IF(OR(Table1[[#This Row],[Quantity]]&lt;&gt;"",Table1[[#This Row],[ACT_Qty]]&lt;&gt;""),Table1[[#This Row],[ACT_Qty]]-Table1[[#This Row],[Quantity]],""),"")</calculatedColumnFormula>
    </tableColumn>
    <tableColumn id="22" xr3:uid="{EC420EF6-7766-4291-95FF-3FC435485F54}" name="Aux1" dataDxfId="71"/>
    <tableColumn id="20" xr3:uid="{F0977ADF-C42D-4C24-A9F5-895A7B20A3DF}" name="Aux2" dataDxfId="70"/>
    <tableColumn id="23" xr3:uid="{A88CDB3E-8E2A-44F8-B278-6396A5CE3911}" name="Aux3" dataDxfId="6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73A8CF-735B-4869-9056-440458EF1C70}" name="BoM_Griptel" displayName="BoM_Griptel" ref="B10:W1014" totalsRowShown="0" headerRowDxfId="64" dataDxfId="63" headerRowBorderDxfId="61" tableBorderDxfId="62" totalsRowBorderDxfId="60">
  <autoFilter ref="B10:W1014" xr:uid="{FF85C53F-A6D0-4639-93E2-37DB2D5C20AD}"/>
  <tableColumns count="22">
    <tableColumn id="1" xr3:uid="{3FC25693-CC2B-498B-95D0-0F1DFF9F53BE}" name="Product code" dataDxfId="59"/>
    <tableColumn id="2" xr3:uid="{F0BE24AF-1F34-4655-BE58-41AD3DA8129D}" name="Description" dataDxfId="58"/>
    <tableColumn id="3" xr3:uid="{F41E0CC2-0FCF-44C5-A7D2-05D10783C175}" name="Quantity" dataDxfId="57"/>
    <tableColumn id="4" xr3:uid="{BFB6FEE4-F79F-44E0-9786-0DC3D0E8502A}" name="Comments" dataDxfId="56"/>
    <tableColumn id="16" xr3:uid="{6BC3585F-1F93-4159-BCA2-92AFB725A4AF}" name="ACT_Qty" dataDxfId="55"/>
    <tableColumn id="17" xr3:uid="{1AF24887-BAB8-4216-96DF-6ED57382DD56}" name="ACT_Comment" dataDxfId="54"/>
    <tableColumn id="5" xr3:uid="{605D032F-451E-499D-AF35-799F4E6123E0}" name="Ordering hints" dataDxfId="53"/>
    <tableColumn id="7" xr3:uid="{3874FB3E-087E-4271-A61D-CBA93ABD5408}" name="Product category" dataDxfId="52"/>
    <tableColumn id="9" xr3:uid="{161E6310-76D0-45A4-B94B-745825F0BF8D}" name="Product subcategory" dataDxfId="51"/>
    <tableColumn id="6" xr3:uid="{24AD720C-BC2E-4FB1-AC56-555FF5F49DEF}" name="Source of ordering" dataDxfId="50"/>
    <tableColumn id="8" xr3:uid="{1D49B10E-7F63-4B30-A3A6-AF2D4D963A1F}" name="Vendor" dataDxfId="49"/>
    <tableColumn id="10" xr3:uid="{08453F0B-2DF1-437F-8792-CD5CAC579E09}" name="Contractor name" dataDxfId="48">
      <calculatedColumnFormula>IF($C$3&lt;&gt;"",$C$3,"")</calculatedColumnFormula>
    </tableColumn>
    <tableColumn id="11" xr3:uid="{D8005200-A9FD-479D-BD98-D6626C2AF9CE}" name="Unit Price" dataDxfId="47">
      <calculatedColumnFormula>IFERROR(
VLOOKUP(BoM_Griptel[[#This Row],[Product code]],
IF(AND((BoQ!$N$3&lt;&gt;""),OR(BoM_Griptel[[#This Row],[Vendor]]="Griptel",BoM_Griptel[[#This Row],[Vendor]]="Solar")),INDIRECT(Aux!$A$1)),4,FALSE),"")</calculatedColumnFormula>
    </tableColumn>
    <tableColumn id="12" xr3:uid="{3E25E6FA-CD46-4553-BA95-1DD262496669}" name="Currency" dataDxfId="46">
      <calculatedColumnFormula>IFERROR(IF(
OR(BoM_Griptel[[#This Row],[Product category]]="Service items",BoM_Griptel[[#This Row],[Product category]]="Additional services",BoM_Griptel[[#This Row],[Product category]]="Additional HSE services",AND(BoM_Griptel[[#This Row],[Product category]]="Additional materials",BoM_Griptel[[#This Row],[Vendor]]&lt;&gt;"Griptel"),BoM_Griptel[[#This Row],[Product category]]="Special transportation"),
"NOK",IF((BoQ!$N$3&lt;&gt;""),VLOOKUP(BoM_Griptel[[#This Row],[Product code]],INDIRECT(Aux!$A$1),6,FALSE),"")),"")</calculatedColumnFormula>
    </tableColumn>
    <tableColumn id="14" xr3:uid="{A6177B45-D194-484B-86A7-123A6B4A2B62}" name="Total Price NOK" dataDxfId="45">
      <calculatedColumnFormula>IFERROR(IF(AND(BoM_Griptel[[#This Row],[Quantity]]&lt;&gt;"",BoM_Griptel[[#This Row],[Currency]]="NOK"),BoM_Griptel[[#This Row],[Quantity]]*BoM_Griptel[[#This Row],[Unit Price]],""),"")</calculatedColumnFormula>
    </tableColumn>
    <tableColumn id="18" xr3:uid="{690AAE3C-44C6-4EA7-97B7-7C58542F3C7F}" name="Total ACT Price NOK" dataDxfId="44">
      <calculatedColumnFormula>IFERROR(IF(AND(BoM_Griptel[[#This Row],[ACT_Qty]]&lt;&gt;"",BoM_Griptel[[#This Row],[Currency]]="NOK"),BoM_Griptel[[#This Row],[ACT_Qty]]*BoM_Griptel[[#This Row],[Unit Price]],""),"")</calculatedColumnFormula>
    </tableColumn>
    <tableColumn id="13" xr3:uid="{37C14D78-D821-40C5-8AEB-382B171AC565}" name="Total Price EUR" dataDxfId="43">
      <calculatedColumnFormula>IFERROR(IF(AND(BoM_Griptel[[#This Row],[Quantity]]&lt;&gt;"",BoM_Griptel[[#This Row],[Currency]]="EUR"),BoM_Griptel[[#This Row],[Quantity]]*BoM_Griptel[[#This Row],[Unit Price]],""),"")</calculatedColumnFormula>
    </tableColumn>
    <tableColumn id="19" xr3:uid="{A9D39EA6-5457-4629-969E-32D701ABBD51}" name="Total ACT Price EUR" dataDxfId="42">
      <calculatedColumnFormula>IFERROR(IF(AND(BoM_Griptel[[#This Row],[ACT_Qty]]&lt;&gt;"",BoM_Griptel[[#This Row],[Currency]]="EUR"),BoM_Griptel[[#This Row],[ACT_Qty]]*BoM_Griptel[[#This Row],[Unit Price]],""),"")</calculatedColumnFormula>
    </tableColumn>
    <tableColumn id="15" xr3:uid="{1C5DEB12-DB6B-448E-A993-06D7390341A5}" name="Type of work" dataDxfId="41"/>
    <tableColumn id="21" xr3:uid="{94FD0B5F-70D8-449B-A8EE-2EA9899D7682}" name="Aux1" dataDxfId="40"/>
    <tableColumn id="22" xr3:uid="{3CA42DED-314D-4835-8B48-D1997201CFED}" name="Aux2" dataDxfId="39"/>
    <tableColumn id="23" xr3:uid="{4C3ADF16-4867-479B-B0A2-5FEE16F3EA34}" name="Aux3" dataDxfId="38"/>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C27BFA-A5C6-43B2-8057-57BE8B39CF4D}" name="BoM_Solar" displayName="BoM_Solar" ref="B10:W305" totalsRowShown="0" headerRowDxfId="33" dataDxfId="32" headerRowBorderDxfId="30" tableBorderDxfId="31" totalsRowBorderDxfId="29">
  <autoFilter ref="B10:W305" xr:uid="{FF85C53F-A6D0-4639-93E2-37DB2D5C20AD}"/>
  <tableColumns count="22">
    <tableColumn id="1" xr3:uid="{98B00A06-42F9-4F37-98C2-B696340DD9D7}" name="Product code" dataDxfId="28"/>
    <tableColumn id="2" xr3:uid="{F5329519-BCD3-408A-B40D-3FB62DD94498}" name="Description" dataDxfId="27"/>
    <tableColumn id="3" xr3:uid="{57321449-71AD-40B3-A1C7-F22549E47DEA}" name="Quantity" dataDxfId="26"/>
    <tableColumn id="4" xr3:uid="{7F2D6AB9-B0AB-4558-8A9D-7FED0A12DD20}" name="Comments" dataDxfId="25"/>
    <tableColumn id="16" xr3:uid="{1F719C8F-38E2-41AC-AE77-443223C063C5}" name="ACT_Qty" dataDxfId="24"/>
    <tableColumn id="17" xr3:uid="{46934AAF-7D52-47AD-BAB3-5E816D312793}" name="ACT_Comment" dataDxfId="23"/>
    <tableColumn id="5" xr3:uid="{B2DD57EE-2C03-4943-9012-1C5FACED9664}" name="Ordering hints" dataDxfId="22"/>
    <tableColumn id="7" xr3:uid="{CA22E89E-391A-432B-B58E-3BA9ACD2FDA8}" name="Product category" dataDxfId="21"/>
    <tableColumn id="9" xr3:uid="{781C06BF-19E6-449E-9F9A-B3C1FF9CFD07}" name="Product subcategory" dataDxfId="20"/>
    <tableColumn id="6" xr3:uid="{323D9694-785B-4BD9-8B88-5F3DEE185107}" name="Source of ordering" dataDxfId="19"/>
    <tableColumn id="8" xr3:uid="{FDBA033F-834C-4BB6-8CA4-6666E0CBAC57}" name="Vendor" dataDxfId="18"/>
    <tableColumn id="10" xr3:uid="{D04AA7EF-5944-497A-940D-D4D832E4B6D6}" name="Contractor name" dataDxfId="17">
      <calculatedColumnFormula>IF($C$3&lt;&gt;"",$C$3,"")</calculatedColumnFormula>
    </tableColumn>
    <tableColumn id="11" xr3:uid="{0675AFA8-F0A9-43C0-827C-18870C8093A7}" name="Unit Price" dataDxfId="16">
      <calculatedColumnFormula>IFERROR(
VLOOKUP(BoM_Solar[[#This Row],[Product code]],
IF(AND((BoQ!$N$3&lt;&gt;""),OR(BoM_Solar[[#This Row],[Vendor]]="Griptel",BoM_Solar[[#This Row],[Vendor]]="Solar")),INDIRECT(Aux!$A$1)),4,FALSE),"")</calculatedColumnFormula>
    </tableColumn>
    <tableColumn id="12" xr3:uid="{3DAD918C-30AE-40F7-B0E0-410AABA9AA99}" name="Currency" dataDxfId="15"/>
    <tableColumn id="14" xr3:uid="{D0328132-2AB9-4B93-99E8-4C843E98AB91}" name="Total Price NOK" dataDxfId="14">
      <calculatedColumnFormula>IFERROR(IF(AND(BoM_Solar[[#This Row],[Quantity]]&lt;&gt;"",BoM_Solar[[#This Row],[Currency]]="NOK"),BoM_Solar[[#This Row],[Quantity]]*BoM_Solar[[#This Row],[Unit Price]],""),"")</calculatedColumnFormula>
    </tableColumn>
    <tableColumn id="18" xr3:uid="{012FED3D-A01F-4FB8-BE82-10AA42DAF6D4}" name="Total ACT Price NOK" dataDxfId="13">
      <calculatedColumnFormula>IFERROR(IF(AND(BoM_Solar[[#This Row],[ACT_Qty]]&lt;&gt;"",BoM_Solar[[#This Row],[Currency]]="NOK"),BoM_Solar[[#This Row],[ACT_Qty]]*BoM_Solar[[#This Row],[Unit Price]],""),"")</calculatedColumnFormula>
    </tableColumn>
    <tableColumn id="13" xr3:uid="{EF471607-0815-4DE3-A789-41D1748D43E7}" name="Total Price EUR" dataDxfId="12">
      <calculatedColumnFormula>IFERROR(IF(AND(BoM_Solar[[#This Row],[Quantity]]&lt;&gt;"",BoM_Solar[[#This Row],[Currency]]="EUR"),BoM_Solar[[#This Row],[Quantity]]*BoM_Solar[[#This Row],[Unit Price]],""),"")</calculatedColumnFormula>
    </tableColumn>
    <tableColumn id="19" xr3:uid="{B9918C87-EF73-433F-AC34-EF08031B1417}" name="Total ACT Price EUR" dataDxfId="11">
      <calculatedColumnFormula>IFERROR(IF(AND(BoM_Solar[[#This Row],[ACT_Qty]]&lt;&gt;"",BoM_Solar[[#This Row],[Currency]]="EUR"),BoM_Solar[[#This Row],[ACT_Qty]]*BoM_Solar[[#This Row],[Unit Price]],""),"")</calculatedColumnFormula>
    </tableColumn>
    <tableColumn id="15" xr3:uid="{403A7F2B-8AA3-4ADD-A467-77FC3EA5C1B0}" name="Type of work" dataDxfId="10"/>
    <tableColumn id="21" xr3:uid="{3FC27A5A-A56C-4EA6-B005-308F295FB60B}" name="Aux1" dataDxfId="9"/>
    <tableColumn id="22" xr3:uid="{0B60B933-F0BF-454B-8EC0-36FF27A13D4A}" name="Aux2" dataDxfId="8"/>
    <tableColumn id="23" xr3:uid="{4C7CCD87-D7F2-4F38-BD3E-93B348A47298}" name="Aux3" dataDxfId="7"/>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91B6AC-9513-4A9F-BEA0-BCD507350AA1}" name="Table4" displayName="Table4" ref="B5:D20" totalsRowShown="0" headerRowDxfId="6" dataDxfId="5">
  <tableColumns count="3">
    <tableColumn id="1" xr3:uid="{C5828E74-83A7-434B-8CB8-7E4F7AAC1444}" name="Version No." dataDxfId="4"/>
    <tableColumn id="2" xr3:uid="{BD34634B-A8FB-43AE-A565-45BD62218E2F}" name="Release Date" dataDxfId="3"/>
    <tableColumn id="3" xr3:uid="{A9AE1713-CEFA-41CE-B49B-F834F2A3B7BF}" name="Reasons for Issue/Reissue" dataDxfId="2"/>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151917-723E-43FD-A2AF-B8B4AA6180A1}" name="Table2" displayName="Table2" ref="A1:I72" totalsRowShown="0" headerRowDxfId="0">
  <autoFilter ref="A1:I72" xr:uid="{72151917-723E-43FD-A2AF-B8B4AA6180A1}"/>
  <tableColumns count="9">
    <tableColumn id="1" xr3:uid="{3A06F2F2-3E97-4ED7-BAAD-E72B375057FB}" name="Date"/>
    <tableColumn id="8" xr3:uid="{3D09073B-2711-4E85-87D5-6B6E31F6A3CF}" name="Author"/>
    <tableColumn id="7" xr3:uid="{E75E1353-606A-4B08-8294-295AB71A2C04}" name="Column1"/>
    <tableColumn id="2" xr3:uid="{60F2E4FB-C74D-403B-91A0-1A98A32530EF}" name="Category"/>
    <tableColumn id="3" xr3:uid="{D9A909BA-E740-45F4-8941-732011EC2105}" name="Sheet"/>
    <tableColumn id="4" xr3:uid="{F79F06F2-6255-44DB-8A1D-7773C51F0ED5}" name="Row"/>
    <tableColumn id="5" xr3:uid="{0900B474-E0C1-466A-8504-8255C2866AE5}" name="Column"/>
    <tableColumn id="6" xr3:uid="{992648C4-EB55-4325-99FA-37F2EEEE8276}" name="Change"/>
    <tableColumn id="9" xr3:uid="{53A02079-88CE-4CB9-8FA1-A6343DECF814}" name="Column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DDE16D-19AF-4C2C-A139-A08085280A53}" name="Listofconfigs" displayName="Listofconfigs" ref="I1:I8" totalsRowShown="0">
  <autoFilter ref="I1:I8" xr:uid="{09DDE16D-19AF-4C2C-A139-A08085280A53}"/>
  <tableColumns count="1">
    <tableColumn id="1" xr3:uid="{BDE88976-63AD-4502-9239-2D114BF62C13}" name="Site Type"/>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54276C-C69D-4939-B515-1AA6FA285CD4}" name="Contractors" displayName="Contractors" ref="J1:J8" totalsRowShown="0">
  <autoFilter ref="J1:J8" xr:uid="{7A54276C-C69D-4939-B515-1AA6FA285CD4}"/>
  <tableColumns count="1">
    <tableColumn id="1" xr3:uid="{121A7B4B-2B35-4959-AD8F-4084DE4CC13F}" name="List of contractor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7CF43-9F2E-4169-B6EF-6385AA091408}">
  <sheetPr codeName="Sheet1"/>
  <dimension ref="A1:X782"/>
  <sheetViews>
    <sheetView showGridLines="0" tabSelected="1" zoomScaleNormal="100" workbookViewId="0">
      <pane ySplit="10" topLeftCell="A170" activePane="bottomLeft" state="frozen"/>
      <selection pane="bottomLeft" activeCell="B185" sqref="B185:C185"/>
      <selection activeCell="D31" sqref="D31"/>
    </sheetView>
  </sheetViews>
  <sheetFormatPr defaultColWidth="8.85546875" defaultRowHeight="14.45"/>
  <cols>
    <col min="1" max="1" width="10.7109375" style="1" customWidth="1"/>
    <col min="2" max="2" width="25.7109375" style="1" customWidth="1"/>
    <col min="3" max="3" width="63" style="1" customWidth="1"/>
    <col min="4" max="4" width="10.7109375" style="214" customWidth="1"/>
    <col min="5" max="5" width="92.5703125" style="190" customWidth="1"/>
    <col min="6" max="6" width="3.42578125" style="180" customWidth="1"/>
    <col min="7" max="7" width="4" style="190" customWidth="1"/>
    <col min="8" max="8" width="54" style="1" customWidth="1"/>
    <col min="9" max="9" width="17.7109375" style="1" customWidth="1" collapsed="1"/>
    <col min="10" max="10" width="23.7109375" style="1" customWidth="1"/>
    <col min="11" max="11" width="17.140625" style="1" customWidth="1"/>
    <col min="12" max="12" width="11.140625" style="1" customWidth="1"/>
    <col min="13" max="13" width="10.28515625" style="1" customWidth="1"/>
    <col min="14" max="14" width="10.7109375" style="1" customWidth="1"/>
    <col min="15" max="15" width="6.85546875" style="1" customWidth="1"/>
    <col min="16" max="16" width="11.28515625" style="1" customWidth="1"/>
    <col min="17" max="17" width="13.28515625" style="1" customWidth="1"/>
    <col min="18" max="18" width="11.42578125" style="1" hidden="1" customWidth="1"/>
    <col min="19" max="19" width="12" style="1" hidden="1" customWidth="1"/>
    <col min="20" max="20" width="11.28515625" style="1" hidden="1" customWidth="1"/>
    <col min="21" max="16384" width="8.85546875" style="1"/>
  </cols>
  <sheetData>
    <row r="1" spans="1:24" ht="15" customHeight="1">
      <c r="A1"/>
      <c r="B1" s="66"/>
      <c r="C1" s="127" t="s">
        <v>0</v>
      </c>
      <c r="D1" s="215"/>
      <c r="E1" s="216"/>
      <c r="F1" s="215"/>
      <c r="G1" s="216"/>
      <c r="H1" s="217" t="s">
        <v>1</v>
      </c>
      <c r="I1" s="86"/>
      <c r="J1"/>
      <c r="K1"/>
      <c r="L1"/>
      <c r="M1" s="128"/>
      <c r="N1"/>
      <c r="O1" s="218"/>
      <c r="P1" s="218"/>
      <c r="Q1" s="218"/>
      <c r="R1" s="218"/>
      <c r="S1" s="218"/>
      <c r="T1" s="218"/>
      <c r="U1"/>
      <c r="V1"/>
      <c r="W1"/>
      <c r="X1"/>
    </row>
    <row r="2" spans="1:24" ht="15" customHeight="1" thickBot="1">
      <c r="A2"/>
      <c r="B2" s="66" t="s">
        <v>2</v>
      </c>
      <c r="C2"/>
      <c r="D2" s="128"/>
      <c r="E2" s="66"/>
      <c r="F2" s="128"/>
      <c r="G2" s="66"/>
      <c r="H2" s="219"/>
      <c r="I2" s="129" t="s">
        <v>3</v>
      </c>
      <c r="J2" s="130" t="s">
        <v>4</v>
      </c>
      <c r="K2" s="212" t="s">
        <v>5</v>
      </c>
      <c r="L2"/>
      <c r="M2" s="220" t="s">
        <v>6</v>
      </c>
      <c r="N2" s="71" t="s">
        <v>7</v>
      </c>
      <c r="O2" s="218"/>
      <c r="P2" s="218"/>
      <c r="Q2" s="218"/>
      <c r="R2" s="218"/>
      <c r="S2" s="218"/>
      <c r="T2" s="218"/>
      <c r="U2"/>
      <c r="V2"/>
      <c r="W2"/>
      <c r="X2"/>
    </row>
    <row r="3" spans="1:24" ht="15" customHeight="1" thickTop="1" thickBot="1">
      <c r="A3"/>
      <c r="B3" s="131" t="s">
        <v>8</v>
      </c>
      <c r="C3" s="79" t="s">
        <v>9</v>
      </c>
      <c r="D3" s="132"/>
      <c r="E3" s="238" t="str">
        <f ca="1">IFERROR(IF(AND(($N$3&lt;&gt;""),INDIRECT(Aux!$D$1)),"'On Site' services NOK:",""),"")</f>
        <v/>
      </c>
      <c r="F3" s="239" t="str">
        <f ca="1">IFERROR(IF(AND(($N$3&lt;&gt;""),INDIRECT(Aux!$D$1)),SUMIF(Table1[Type of work],"On Site",Table1[Total Price NOK]),""),"")</f>
        <v/>
      </c>
      <c r="G3" s="240" t="str">
        <f ca="1">IFERROR(IF(AND(($N$3&lt;&gt;""),INDIRECT(Aux!$D$1)),SUMIF(Table1[Type of work],"On Site",Table1[Total ACT Price NOK]),""),"")</f>
        <v/>
      </c>
      <c r="H3" s="221" t="s">
        <v>10</v>
      </c>
      <c r="I3" s="264">
        <f ca="1">SUM(IFERROR(P448/D448,0),IFERROR(P449/D449,0),IFERROR(P450/D450,0),IFERROR(P451/D451,0),IFERROR(P452/D452,0),IFERROR(P454/D454,0),IFERROR(P455/D455,0),IFERROR(P456/D456,0),IFERROR(P457/D457,0),IFERROR(P458/D458,0))</f>
        <v>0</v>
      </c>
      <c r="J3" s="264">
        <f ca="1">SUM(IFERROR(Q448/F448,0),IFERROR(Q449/F449,0),IFERROR(Q450/F450,0),IFERROR(Q451/F451,0),IFERROR(Q452/F452,0),IFERROR(Q454/F454,0),IFERROR(Q455/F455,0),IFERROR(Q456/F456,0),IFERROR(Q457/F457,0),IFERROR(Q458/F458,0))</f>
        <v>0</v>
      </c>
      <c r="K3" s="264" t="str">
        <f>IF(SUM(Table1[ACT_Qty])=0,"",J3-I3)</f>
        <v/>
      </c>
      <c r="L3"/>
      <c r="M3" s="267" t="str" cm="1">
        <f t="array" aca="1" ref="M3" ca="1">IFERROR(IF(INDIRECT(Aux!$D$1),"Show all:",""),"")</f>
        <v/>
      </c>
      <c r="N3" s="87"/>
      <c r="O3" s="263" t="str">
        <f ca="1">IFERROR(IF(F3=0,"-",(F3/(20*VLOOKUP("ice_PM_001",$B:$N,13,FALSE)))),"")</f>
        <v/>
      </c>
      <c r="P3" s="236" t="str">
        <f ca="1">IFERROR(IF(G3=0,"-",(G3/(20*VLOOKUP("ice_PM_001",$B:$N,13,FALSE)))),"")</f>
        <v/>
      </c>
      <c r="Q3" s="218"/>
      <c r="R3" s="218"/>
      <c r="S3" s="218"/>
      <c r="T3" s="218"/>
      <c r="U3"/>
      <c r="V3"/>
      <c r="W3"/>
      <c r="X3"/>
    </row>
    <row r="4" spans="1:24" ht="15" customHeight="1" thickTop="1">
      <c r="A4"/>
      <c r="B4" s="131" t="s">
        <v>11</v>
      </c>
      <c r="C4" s="79" t="s">
        <v>12</v>
      </c>
      <c r="D4" s="133"/>
      <c r="E4" s="241"/>
      <c r="F4" s="242"/>
      <c r="G4" s="242"/>
      <c r="H4" s="222" t="s">
        <v>13</v>
      </c>
      <c r="I4" s="265">
        <f ca="1">SUMIF(Table1[Product category],"Service items",Table1[Total Price NOK])-I3</f>
        <v>0</v>
      </c>
      <c r="J4" s="265">
        <f ca="1">SUMIF(Table1[Product category],"Service items",Table1[Total ACT Price NOK])-J3</f>
        <v>0</v>
      </c>
      <c r="K4" s="265" t="str">
        <f>IF(SUM(Table1[ACT_Qty])=0,"",J4-I4)</f>
        <v/>
      </c>
      <c r="L4"/>
      <c r="M4"/>
      <c r="N4"/>
      <c r="O4" s="171" t="str">
        <f ca="1">IFERROR(IF(F3=0,"-",(F3/(16*HLOOKUP($C$3,INDIRECT(Aux!E1),2,FALSE)))),"")</f>
        <v/>
      </c>
      <c r="P4" s="237" t="str">
        <f ca="1">IFERROR(IF(G3=0,"-",(G3/(16*HLOOKUP($C$3,INDIRECT(Aux!E1),2,FALSE)))),"")</f>
        <v/>
      </c>
      <c r="Q4" s="218"/>
      <c r="R4" s="218"/>
      <c r="S4" s="218"/>
      <c r="T4" s="218"/>
      <c r="U4"/>
      <c r="V4"/>
      <c r="W4"/>
      <c r="X4"/>
    </row>
    <row r="5" spans="1:24" ht="15" customHeight="1" thickBot="1">
      <c r="A5"/>
      <c r="B5" s="131" t="s">
        <v>14</v>
      </c>
      <c r="C5" s="79" t="s">
        <v>15</v>
      </c>
      <c r="D5" s="132"/>
      <c r="E5" s="243" t="str">
        <f ca="1">IFERROR(IF(AND(($N$3&lt;&gt;""),INDIRECT(Aux!$D$1)),"TSS PO + WO PO:",""),"")</f>
        <v/>
      </c>
      <c r="F5" s="244" t="str">
        <f ca="1">IFERROR(IF(AND(($N$3&lt;&gt;""),INDIRECT(Aux!$D$1)),(I3+I6),""),"")</f>
        <v/>
      </c>
      <c r="G5" s="245" t="str">
        <f ca="1">IFERROR(IF(AND(($N$3&lt;&gt;""),INDIRECT(Aux!$D$1)),(J3+J6),""),"")</f>
        <v/>
      </c>
      <c r="H5" s="223" t="s">
        <v>16</v>
      </c>
      <c r="I5" s="266">
        <f ca="1">SUMIF(Table1[Product category],"Additional services",Table1[Total Price NOK])+SUMIF(Table1[Product category],"Additional materials",Table1[Total Price NOK])</f>
        <v>0</v>
      </c>
      <c r="J5" s="266">
        <f ca="1">SUMIF(Table1[Product category],"Additional services",Table1[Total ACT Price NOK])+SUMIF(Table1[Product category],"Additional materials",Table1[Total ACT Price NOK])</f>
        <v>0</v>
      </c>
      <c r="K5" s="266" t="str">
        <f>IF(SUM(Table1[ACT_Qty])=0,"",J5-I5)</f>
        <v/>
      </c>
      <c r="L5"/>
      <c r="M5" s="128"/>
      <c r="N5" s="218"/>
      <c r="O5" s="263" t="str">
        <f ca="1">IFERROR(IF(F3=0,"-",(F3/(20*VLOOKUP("ice_PM_001",$B:$N,13,FALSE))*0.85)),"")</f>
        <v/>
      </c>
      <c r="P5" s="236" t="str">
        <f ca="1">IFERROR(IF(G3=0,"-",(G3/(20*VLOOKUP("ice_PM_001",$B:$N,13,FALSE))*0.85)),"")</f>
        <v/>
      </c>
      <c r="Q5" s="218"/>
      <c r="R5" s="218"/>
      <c r="S5" s="218"/>
      <c r="T5" s="218"/>
      <c r="U5"/>
      <c r="V5"/>
      <c r="W5"/>
      <c r="X5"/>
    </row>
    <row r="6" spans="1:24" ht="15" customHeight="1" thickTop="1" thickBot="1">
      <c r="A6"/>
      <c r="B6" s="131" t="s">
        <v>17</v>
      </c>
      <c r="C6" s="79" t="s">
        <v>18</v>
      </c>
      <c r="D6" s="132"/>
      <c r="E6" s="246" t="str">
        <f ca="1">IFERROR(IF(AND(($N$3&lt;&gt;""),INDIRECT(Aux!$D$1)),"MAFi price NOK:",""),"")</f>
        <v/>
      </c>
      <c r="F6" s="247" t="str">
        <f ca="1">IFERROR(IF(AND((BoQ!$N$3&lt;&gt;""),INDIRECT(Aux!$D$1)),SUMIF(Table1[Vendor],"MAFi",Table1[Total Price NOK]),""),"")</f>
        <v/>
      </c>
      <c r="G6" s="247" t="str">
        <f ca="1">IFERROR(IF(AND((BoQ!$N$3&lt;&gt;""),INDIRECT(Aux!$D$1)),SUMIF(Table1[Vendor],"MAFi",Table1[Total ACT Price NOK]),""),"")</f>
        <v/>
      </c>
      <c r="H6" s="221" t="s">
        <v>19</v>
      </c>
      <c r="I6" s="264">
        <f ca="1">SUM(I4:I5)</f>
        <v>0</v>
      </c>
      <c r="J6" s="264">
        <f ca="1">SUM(J4:J5)</f>
        <v>0</v>
      </c>
      <c r="K6" s="264" t="str">
        <f>IF(SUM(Table1[ACT_Qty])=0,"",J6-I6)</f>
        <v/>
      </c>
      <c r="L6"/>
      <c r="M6" s="128"/>
      <c r="N6" s="218"/>
      <c r="O6" s="218"/>
      <c r="P6" s="218"/>
      <c r="Q6" s="218"/>
      <c r="R6" s="218"/>
      <c r="S6" s="218"/>
      <c r="T6" s="218"/>
      <c r="U6"/>
      <c r="V6"/>
      <c r="W6"/>
      <c r="X6"/>
    </row>
    <row r="7" spans="1:24" ht="15" customHeight="1" thickTop="1">
      <c r="A7"/>
      <c r="B7" s="131" t="s">
        <v>20</v>
      </c>
      <c r="C7" s="79"/>
      <c r="D7" s="132"/>
      <c r="E7" s="248" t="str">
        <f ca="1">IFERROR(IF(AND(($N$3&lt;&gt;""),INDIRECT(Aux!$D$1)),"Griptel price NOK:",""),"")</f>
        <v/>
      </c>
      <c r="F7" s="249" t="str">
        <f ca="1">IFERROR(IF(AND((BoQ!$N$3&lt;&gt;""),INDIRECT(Aux!$D$1)),'BoM Griptel'!P7,""),"")</f>
        <v/>
      </c>
      <c r="G7" s="249" t="str">
        <f ca="1">IFERROR(IF(AND((BoQ!$N$3&lt;&gt;""),INDIRECT(Aux!$D$1)),'BoM Griptel'!Q7,""),"")</f>
        <v/>
      </c>
      <c r="H7"/>
      <c r="I7"/>
      <c r="J7"/>
      <c r="K7"/>
      <c r="L7"/>
      <c r="M7" s="128"/>
      <c r="N7" s="218"/>
      <c r="O7" s="218"/>
      <c r="P7" s="218"/>
      <c r="Q7" s="218"/>
      <c r="R7" s="218"/>
      <c r="S7" s="218"/>
      <c r="T7" s="218"/>
      <c r="U7"/>
      <c r="V7"/>
      <c r="W7"/>
      <c r="X7"/>
    </row>
    <row r="8" spans="1:24" ht="15" customHeight="1">
      <c r="A8"/>
      <c r="B8" s="131" t="s">
        <v>21</v>
      </c>
      <c r="C8" s="104"/>
      <c r="D8" s="136"/>
      <c r="E8" s="248" t="str">
        <f ca="1">IFERROR(IF(AND(($N$3&lt;&gt;""),INDIRECT(Aux!$D$1)),"Solar price NOK:",""),"")</f>
        <v/>
      </c>
      <c r="F8" s="249" t="str">
        <f ca="1">IFERROR(IF(AND((BoQ!$N$3&lt;&gt;""),INDIRECT(Aux!$D$1)),'BoM Solar'!P7,""),"")</f>
        <v/>
      </c>
      <c r="G8" s="249" t="str">
        <f ca="1">IFERROR(IF(AND((BoQ!$N$3&lt;&gt;""),INDIRECT(Aux!$D$1)),'BoM Solar'!Q7,""),"")</f>
        <v/>
      </c>
      <c r="H8" s="224" t="s">
        <v>22</v>
      </c>
      <c r="I8" s="150"/>
      <c r="J8" s="151"/>
      <c r="K8" s="276" t="str">
        <f>IF(AND(I8="",J8=""),"",(J8-I8))</f>
        <v/>
      </c>
      <c r="L8"/>
      <c r="M8" s="128"/>
      <c r="N8" s="218"/>
      <c r="O8" s="218"/>
      <c r="P8" s="218"/>
      <c r="Q8" s="218"/>
      <c r="R8" s="218"/>
      <c r="S8" s="218"/>
      <c r="T8" s="218"/>
      <c r="U8"/>
      <c r="V8"/>
      <c r="W8"/>
      <c r="X8"/>
    </row>
    <row r="9" spans="1:24" ht="15" customHeight="1">
      <c r="A9"/>
      <c r="B9" s="137"/>
      <c r="C9" s="137"/>
      <c r="D9" s="225"/>
      <c r="E9" s="226"/>
      <c r="F9" s="225"/>
      <c r="G9" s="226"/>
      <c r="H9" s="137"/>
      <c r="I9" s="137"/>
      <c r="J9" s="137"/>
      <c r="K9" s="137"/>
      <c r="L9" s="137"/>
      <c r="M9" s="137"/>
      <c r="N9" s="137"/>
      <c r="O9" s="137"/>
      <c r="P9" s="137"/>
      <c r="Q9" s="218"/>
      <c r="R9" s="218"/>
      <c r="S9" s="218"/>
      <c r="T9" s="218"/>
      <c r="U9" s="218"/>
      <c r="V9" s="234"/>
      <c r="W9" s="234"/>
      <c r="X9" s="234"/>
    </row>
    <row r="10" spans="1:24" ht="30" customHeight="1">
      <c r="A10" s="138" t="s">
        <v>23</v>
      </c>
      <c r="B10" s="139" t="s">
        <v>24</v>
      </c>
      <c r="C10" s="140" t="s">
        <v>25</v>
      </c>
      <c r="D10" s="140" t="s">
        <v>26</v>
      </c>
      <c r="E10" s="140" t="s">
        <v>27</v>
      </c>
      <c r="F10" s="140" t="s">
        <v>28</v>
      </c>
      <c r="G10" s="140" t="s">
        <v>29</v>
      </c>
      <c r="H10" s="140" t="s">
        <v>30</v>
      </c>
      <c r="I10" s="140" t="s">
        <v>31</v>
      </c>
      <c r="J10" s="140" t="s">
        <v>32</v>
      </c>
      <c r="K10" s="140" t="s">
        <v>33</v>
      </c>
      <c r="L10" s="141" t="s">
        <v>34</v>
      </c>
      <c r="M10" s="272" t="s">
        <v>35</v>
      </c>
      <c r="N10" s="273" t="s">
        <v>36</v>
      </c>
      <c r="O10" s="273" t="s">
        <v>37</v>
      </c>
      <c r="P10" s="273" t="s">
        <v>38</v>
      </c>
      <c r="Q10" s="273" t="s">
        <v>39</v>
      </c>
      <c r="R10" s="273" t="s">
        <v>40</v>
      </c>
      <c r="S10" s="273" t="s">
        <v>41</v>
      </c>
      <c r="T10" s="273" t="s">
        <v>42</v>
      </c>
      <c r="U10" s="274" t="s">
        <v>43</v>
      </c>
      <c r="V10" s="275" t="s">
        <v>44</v>
      </c>
      <c r="W10" s="275" t="s">
        <v>45</v>
      </c>
      <c r="X10" s="275" t="s">
        <v>46</v>
      </c>
    </row>
    <row r="11" spans="1:24" ht="15" customHeight="1">
      <c r="A11" s="143" t="str">
        <f t="shared" ref="A11:A422" si="0">$C$4</f>
        <v>AKH12345</v>
      </c>
      <c r="B11" s="256" t="s">
        <v>47</v>
      </c>
      <c r="C11" s="143" t="s">
        <v>48</v>
      </c>
      <c r="D11" s="105"/>
      <c r="E11" s="106"/>
      <c r="F11" s="105"/>
      <c r="G11" s="106"/>
      <c r="H11" s="199" t="s">
        <v>49</v>
      </c>
      <c r="I11" s="200" t="s">
        <v>50</v>
      </c>
      <c r="J11" s="200" t="s">
        <v>51</v>
      </c>
      <c r="K11" s="200" t="s">
        <v>52</v>
      </c>
      <c r="L11" s="145" t="s">
        <v>53</v>
      </c>
      <c r="M11" s="145" t="str">
        <f t="shared" ref="M11:M112" si="1">IF($C$3&lt;&gt;"",$C$3,"")</f>
        <v>OneCo Networks AS</v>
      </c>
      <c r="N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 s="268" t="str">
        <f ca="1">IFERROR(IF(
OR(Table1[[#This Row],[Product category]]="Service items",Table1[[#This Row],[Product category]]="Additional services",Table1[[#This Row],[Product category]]="Additional materials"),
"NOK",IF(($N$3&lt;&gt;""),VLOOKUP(Table1[[#This Row],[Product code]],INDIRECT(Aux!$A$1),6,FALSE),"")),"")</f>
        <v/>
      </c>
      <c r="P11" s="41" t="str">
        <f ca="1">IFERROR(IF(AND(Table1[[#This Row],[Quantity]]&lt;&gt;"",Table1[[#This Row],[Currency]]="NOK"),Table1[[#This Row],[Quantity]]*Table1[[#This Row],[Unit Price]],""),"")</f>
        <v/>
      </c>
      <c r="Q11" s="41" t="str">
        <f ca="1">IFERROR(IF(AND(Table1[[#This Row],[ACT_Qty]]&lt;&gt;"",Table1[[#This Row],[Currency]]="NOK"),Table1[[#This Row],[ACT_Qty]]*Table1[[#This Row],[Unit Price]],""),"")</f>
        <v/>
      </c>
      <c r="R11" s="41" t="str">
        <f ca="1">IFERROR(IF(AND(Table1[[#This Row],[Quantity]]&lt;&gt;"",Table1[[#This Row],[Currency]]="EUR"),Table1[[#This Row],[Quantity]]*Table1[[#This Row],[Unit Price]],""),"")</f>
        <v/>
      </c>
      <c r="S11" s="41" t="str">
        <f ca="1">IFERROR(IF(AND(Table1[[#This Row],[ACT_Qty]]&lt;&gt;"",Table1[[#This Row],[Currency]]="EUR"),Table1[[#This Row],[ACT_Qty]]*Table1[[#This Row],[Unit Price]],""),"")</f>
        <v/>
      </c>
      <c r="T11" s="269" t="str">
        <f ca="1">IFERROR(IF(AND(($N$3&lt;&gt;""),INDIRECT(Aux!$D$1)),VLOOKUP(Table1[[#This Row],[Product code]],Aux!B:E,4,FALSE),""),"")</f>
        <v/>
      </c>
      <c r="U11" s="145" t="str">
        <f>IFERROR(IF(OR(Table1[[#This Row],[Quantity]]&lt;&gt;"",Table1[[#This Row],[ACT_Qty]]&lt;&gt;""),Table1[[#This Row],[ACT_Qty]]-Table1[[#This Row],[Quantity]],""),"")</f>
        <v/>
      </c>
      <c r="V11" s="45"/>
      <c r="W11" s="45"/>
      <c r="X11" s="45"/>
    </row>
    <row r="12" spans="1:24" ht="15" customHeight="1">
      <c r="A12" s="143" t="str">
        <f t="shared" si="0"/>
        <v>AKH12345</v>
      </c>
      <c r="B12" s="256" t="s">
        <v>54</v>
      </c>
      <c r="C12" s="143" t="s">
        <v>55</v>
      </c>
      <c r="D12" s="105"/>
      <c r="E12" s="106"/>
      <c r="F12" s="105"/>
      <c r="G12" s="106"/>
      <c r="H12" s="199" t="s">
        <v>56</v>
      </c>
      <c r="I12" s="200" t="s">
        <v>50</v>
      </c>
      <c r="J12" s="200" t="s">
        <v>57</v>
      </c>
      <c r="K12" s="200" t="s">
        <v>52</v>
      </c>
      <c r="L12" s="145" t="s">
        <v>53</v>
      </c>
      <c r="M12" s="145" t="str">
        <f t="shared" si="1"/>
        <v>OneCo Networks AS</v>
      </c>
      <c r="N1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 s="268" t="str">
        <f ca="1">IFERROR(IF(
OR(Table1[[#This Row],[Product category]]="Service items",Table1[[#This Row],[Product category]]="Additional services",Table1[[#This Row],[Product category]]="Additional materials"),
"NOK",IF(($N$3&lt;&gt;""),VLOOKUP(Table1[[#This Row],[Product code]],INDIRECT(Aux!$A$1),6,FALSE),"")),"")</f>
        <v/>
      </c>
      <c r="P12" s="41" t="str">
        <f ca="1">IFERROR(IF(AND(Table1[[#This Row],[Quantity]]&lt;&gt;"",Table1[[#This Row],[Currency]]="NOK"),Table1[[#This Row],[Quantity]]*Table1[[#This Row],[Unit Price]],""),"")</f>
        <v/>
      </c>
      <c r="Q12" s="41" t="str">
        <f ca="1">IFERROR(IF(AND(Table1[[#This Row],[ACT_Qty]]&lt;&gt;"",Table1[[#This Row],[Currency]]="NOK"),Table1[[#This Row],[ACT_Qty]]*Table1[[#This Row],[Unit Price]],""),"")</f>
        <v/>
      </c>
      <c r="R12" s="41" t="str">
        <f ca="1">IFERROR(IF(AND(Table1[[#This Row],[Quantity]]&lt;&gt;"",Table1[[#This Row],[Currency]]="EUR"),Table1[[#This Row],[Quantity]]*Table1[[#This Row],[Unit Price]],""),"")</f>
        <v/>
      </c>
      <c r="S12" s="41" t="str">
        <f ca="1">IFERROR(IF(AND(Table1[[#This Row],[ACT_Qty]]&lt;&gt;"",Table1[[#This Row],[Currency]]="EUR"),Table1[[#This Row],[ACT_Qty]]*Table1[[#This Row],[Unit Price]],""),"")</f>
        <v/>
      </c>
      <c r="T12" s="269" t="str">
        <f ca="1">IFERROR(IF(AND(($N$3&lt;&gt;""),INDIRECT(Aux!$D$1)),VLOOKUP(Table1[[#This Row],[Product code]],Aux!B:E,4,FALSE),""),"")</f>
        <v/>
      </c>
      <c r="U12" s="145" t="str">
        <f>IFERROR(IF(OR(Table1[[#This Row],[Quantity]]&lt;&gt;"",Table1[[#This Row],[ACT_Qty]]&lt;&gt;""),Table1[[#This Row],[ACT_Qty]]-Table1[[#This Row],[Quantity]],""),"")</f>
        <v/>
      </c>
      <c r="V12" s="45"/>
      <c r="W12" s="45"/>
      <c r="X12" s="45"/>
    </row>
    <row r="13" spans="1:24" ht="15" customHeight="1">
      <c r="A13" s="143" t="str">
        <f t="shared" si="0"/>
        <v>AKH12345</v>
      </c>
      <c r="B13" s="256" t="s">
        <v>58</v>
      </c>
      <c r="C13" s="143" t="s">
        <v>59</v>
      </c>
      <c r="D13" s="105"/>
      <c r="E13" s="106"/>
      <c r="F13" s="105"/>
      <c r="G13" s="106"/>
      <c r="H13" s="199" t="s">
        <v>60</v>
      </c>
      <c r="I13" s="200" t="s">
        <v>50</v>
      </c>
      <c r="J13" s="200" t="s">
        <v>61</v>
      </c>
      <c r="K13" s="200" t="s">
        <v>52</v>
      </c>
      <c r="L13" s="145" t="s">
        <v>53</v>
      </c>
      <c r="M13" s="145" t="str">
        <f>IF($C$3&lt;&gt;"",$C$3,"")</f>
        <v>OneCo Networks AS</v>
      </c>
      <c r="N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 s="268" t="str">
        <f ca="1">IFERROR(IF(
OR(Table1[[#This Row],[Product category]]="Service items",Table1[[#This Row],[Product category]]="Additional services",Table1[[#This Row],[Product category]]="Additional materials"),
"NOK",IF(($N$3&lt;&gt;""),VLOOKUP(Table1[[#This Row],[Product code]],INDIRECT(Aux!$A$1),6,FALSE),"")),"")</f>
        <v/>
      </c>
      <c r="P13" s="41" t="str">
        <f ca="1">IFERROR(IF(AND(Table1[[#This Row],[Quantity]]&lt;&gt;"",Table1[[#This Row],[Currency]]="NOK"),Table1[[#This Row],[Quantity]]*Table1[[#This Row],[Unit Price]],""),"")</f>
        <v/>
      </c>
      <c r="Q13" s="41" t="str">
        <f ca="1">IFERROR(IF(AND(Table1[[#This Row],[ACT_Qty]]&lt;&gt;"",Table1[[#This Row],[Currency]]="NOK"),Table1[[#This Row],[ACT_Qty]]*Table1[[#This Row],[Unit Price]],""),"")</f>
        <v/>
      </c>
      <c r="R13" s="41" t="str">
        <f ca="1">IFERROR(IF(AND(Table1[[#This Row],[Quantity]]&lt;&gt;"",Table1[[#This Row],[Currency]]="EUR"),Table1[[#This Row],[Quantity]]*Table1[[#This Row],[Unit Price]],""),"")</f>
        <v/>
      </c>
      <c r="S13" s="41" t="str">
        <f ca="1">IFERROR(IF(AND(Table1[[#This Row],[ACT_Qty]]&lt;&gt;"",Table1[[#This Row],[Currency]]="EUR"),Table1[[#This Row],[ACT_Qty]]*Table1[[#This Row],[Unit Price]],""),"")</f>
        <v/>
      </c>
      <c r="T13" s="269" t="str">
        <f ca="1">IFERROR(IF(AND(($N$3&lt;&gt;""),INDIRECT(Aux!$D$1)),VLOOKUP(Table1[[#This Row],[Product code]],Aux!B:E,4,FALSE),""),"")</f>
        <v/>
      </c>
      <c r="U13" s="145" t="str">
        <f>IFERROR(IF(OR(Table1[[#This Row],[Quantity]]&lt;&gt;"",Table1[[#This Row],[ACT_Qty]]&lt;&gt;""),Table1[[#This Row],[ACT_Qty]]-Table1[[#This Row],[Quantity]],""),"")</f>
        <v/>
      </c>
      <c r="V13" s="45"/>
      <c r="W13" s="45"/>
      <c r="X13" s="45"/>
    </row>
    <row r="14" spans="1:24" ht="15" customHeight="1">
      <c r="A14" s="143" t="str">
        <f t="shared" si="0"/>
        <v>AKH12345</v>
      </c>
      <c r="B14" s="256" t="s">
        <v>62</v>
      </c>
      <c r="C14" s="143" t="s">
        <v>63</v>
      </c>
      <c r="D14" s="105"/>
      <c r="E14" s="106"/>
      <c r="F14" s="105"/>
      <c r="G14" s="106"/>
      <c r="H14" s="199" t="s">
        <v>64</v>
      </c>
      <c r="I14" s="200"/>
      <c r="J14" s="200" t="s">
        <v>65</v>
      </c>
      <c r="K14" s="200" t="s">
        <v>52</v>
      </c>
      <c r="L14" s="145" t="s">
        <v>53</v>
      </c>
      <c r="M14" s="145" t="str">
        <f>IF($C$3&lt;&gt;"",$C$3,"")</f>
        <v>OneCo Networks AS</v>
      </c>
      <c r="N1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 s="268" t="str">
        <f ca="1">IFERROR(IF(
OR(Table1[[#This Row],[Product category]]="Service items",Table1[[#This Row],[Product category]]="Additional services",Table1[[#This Row],[Product category]]="Additional materials"),
"NOK",IF(($N$3&lt;&gt;""),VLOOKUP(Table1[[#This Row],[Product code]],INDIRECT(Aux!$A$1),6,FALSE),"")),"")</f>
        <v/>
      </c>
      <c r="P14" s="41" t="str">
        <f ca="1">IFERROR(IF(AND(Table1[[#This Row],[Quantity]]&lt;&gt;"",Table1[[#This Row],[Currency]]="NOK"),Table1[[#This Row],[Quantity]]*Table1[[#This Row],[Unit Price]],""),"")</f>
        <v/>
      </c>
      <c r="Q14" s="41" t="str">
        <f ca="1">IFERROR(IF(AND(Table1[[#This Row],[ACT_Qty]]&lt;&gt;"",Table1[[#This Row],[Currency]]="NOK"),Table1[[#This Row],[ACT_Qty]]*Table1[[#This Row],[Unit Price]],""),"")</f>
        <v/>
      </c>
      <c r="R14" s="41" t="str">
        <f ca="1">IFERROR(IF(AND(Table1[[#This Row],[Quantity]]&lt;&gt;"",Table1[[#This Row],[Currency]]="EUR"),Table1[[#This Row],[Quantity]]*Table1[[#This Row],[Unit Price]],""),"")</f>
        <v/>
      </c>
      <c r="S14" s="41" t="str">
        <f ca="1">IFERROR(IF(AND(Table1[[#This Row],[ACT_Qty]]&lt;&gt;"",Table1[[#This Row],[Currency]]="EUR"),Table1[[#This Row],[ACT_Qty]]*Table1[[#This Row],[Unit Price]],""),"")</f>
        <v/>
      </c>
      <c r="T14" s="269" t="str">
        <f ca="1">IFERROR(IF(AND(($N$3&lt;&gt;""),INDIRECT(Aux!$D$1)),VLOOKUP(Table1[[#This Row],[Product code]],Aux!B:E,4,FALSE),""),"")</f>
        <v/>
      </c>
      <c r="U14" s="145" t="str">
        <f>IFERROR(IF(OR(Table1[[#This Row],[Quantity]]&lt;&gt;"",Table1[[#This Row],[ACT_Qty]]&lt;&gt;""),Table1[[#This Row],[ACT_Qty]]-Table1[[#This Row],[Quantity]],""),"")</f>
        <v/>
      </c>
      <c r="V14" s="45"/>
      <c r="W14" s="45"/>
      <c r="X14" s="45"/>
    </row>
    <row r="15" spans="1:24" ht="14.45" customHeight="1">
      <c r="A15" s="143" t="str">
        <f t="shared" si="0"/>
        <v>AKH12345</v>
      </c>
      <c r="B15" s="256" t="s">
        <v>66</v>
      </c>
      <c r="C15" s="143" t="s">
        <v>67</v>
      </c>
      <c r="D15" s="105"/>
      <c r="E15" s="106"/>
      <c r="F15" s="105"/>
      <c r="G15" s="106"/>
      <c r="H15" s="199" t="s">
        <v>68</v>
      </c>
      <c r="I15" s="200" t="s">
        <v>50</v>
      </c>
      <c r="J15" s="200" t="s">
        <v>61</v>
      </c>
      <c r="K15" s="200" t="s">
        <v>52</v>
      </c>
      <c r="L15" s="145" t="s">
        <v>53</v>
      </c>
      <c r="M15" s="145" t="str">
        <f t="shared" si="1"/>
        <v>OneCo Networks AS</v>
      </c>
      <c r="N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 s="268" t="str">
        <f ca="1">IFERROR(IF(
OR(Table1[[#This Row],[Product category]]="Service items",Table1[[#This Row],[Product category]]="Additional services",Table1[[#This Row],[Product category]]="Additional materials"),
"NOK",IF(($N$3&lt;&gt;""),VLOOKUP(Table1[[#This Row],[Product code]],INDIRECT(Aux!$A$1),6,FALSE),"")),"")</f>
        <v/>
      </c>
      <c r="P15" s="41" t="str">
        <f ca="1">IFERROR(IF(AND(Table1[[#This Row],[Quantity]]&lt;&gt;"",Table1[[#This Row],[Currency]]="NOK"),Table1[[#This Row],[Quantity]]*Table1[[#This Row],[Unit Price]],""),"")</f>
        <v/>
      </c>
      <c r="Q15" s="41" t="str">
        <f ca="1">IFERROR(IF(AND(Table1[[#This Row],[ACT_Qty]]&lt;&gt;"",Table1[[#This Row],[Currency]]="NOK"),Table1[[#This Row],[ACT_Qty]]*Table1[[#This Row],[Unit Price]],""),"")</f>
        <v/>
      </c>
      <c r="R15" s="41" t="str">
        <f ca="1">IFERROR(IF(AND(Table1[[#This Row],[Quantity]]&lt;&gt;"",Table1[[#This Row],[Currency]]="EUR"),Table1[[#This Row],[Quantity]]*Table1[[#This Row],[Unit Price]],""),"")</f>
        <v/>
      </c>
      <c r="S15" s="41" t="str">
        <f ca="1">IFERROR(IF(AND(Table1[[#This Row],[ACT_Qty]]&lt;&gt;"",Table1[[#This Row],[Currency]]="EUR"),Table1[[#This Row],[ACT_Qty]]*Table1[[#This Row],[Unit Price]],""),"")</f>
        <v/>
      </c>
      <c r="T15" s="269" t="str">
        <f ca="1">IFERROR(IF(AND(($N$3&lt;&gt;""),INDIRECT(Aux!$D$1)),VLOOKUP(Table1[[#This Row],[Product code]],Aux!B:E,4,FALSE),""),"")</f>
        <v/>
      </c>
      <c r="U15" s="145" t="str">
        <f>IFERROR(IF(OR(Table1[[#This Row],[Quantity]]&lt;&gt;"",Table1[[#This Row],[ACT_Qty]]&lt;&gt;""),Table1[[#This Row],[ACT_Qty]]-Table1[[#This Row],[Quantity]],""),"")</f>
        <v/>
      </c>
      <c r="V15" s="45"/>
      <c r="W15" s="45"/>
      <c r="X15" s="45"/>
    </row>
    <row r="16" spans="1:24" ht="15" customHeight="1">
      <c r="A16" s="143" t="str">
        <f t="shared" si="0"/>
        <v>AKH12345</v>
      </c>
      <c r="B16" s="256" t="s">
        <v>69</v>
      </c>
      <c r="C16" s="143" t="s">
        <v>70</v>
      </c>
      <c r="D16" s="105"/>
      <c r="E16" s="106"/>
      <c r="F16" s="105"/>
      <c r="G16" s="106"/>
      <c r="H16" s="199" t="s">
        <v>71</v>
      </c>
      <c r="I16" s="200" t="s">
        <v>50</v>
      </c>
      <c r="J16" s="200" t="s">
        <v>72</v>
      </c>
      <c r="K16" s="200" t="s">
        <v>52</v>
      </c>
      <c r="L16" s="145" t="s">
        <v>53</v>
      </c>
      <c r="M16" s="145" t="str">
        <f t="shared" si="1"/>
        <v>OneCo Networks AS</v>
      </c>
      <c r="N1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 s="268" t="str">
        <f ca="1">IFERROR(IF(
OR(Table1[[#This Row],[Product category]]="Service items",Table1[[#This Row],[Product category]]="Additional services",Table1[[#This Row],[Product category]]="Additional materials"),
"NOK",IF(($N$3&lt;&gt;""),VLOOKUP(Table1[[#This Row],[Product code]],INDIRECT(Aux!$A$1),6,FALSE),"")),"")</f>
        <v/>
      </c>
      <c r="P16" s="41" t="str">
        <f ca="1">IFERROR(IF(AND(Table1[[#This Row],[Quantity]]&lt;&gt;"",Table1[[#This Row],[Currency]]="NOK"),Table1[[#This Row],[Quantity]]*Table1[[#This Row],[Unit Price]],""),"")</f>
        <v/>
      </c>
      <c r="Q16" s="41" t="str">
        <f ca="1">IFERROR(IF(AND(Table1[[#This Row],[ACT_Qty]]&lt;&gt;"",Table1[[#This Row],[Currency]]="NOK"),Table1[[#This Row],[ACT_Qty]]*Table1[[#This Row],[Unit Price]],""),"")</f>
        <v/>
      </c>
      <c r="R16" s="41" t="str">
        <f ca="1">IFERROR(IF(AND(Table1[[#This Row],[Quantity]]&lt;&gt;"",Table1[[#This Row],[Currency]]="EUR"),Table1[[#This Row],[Quantity]]*Table1[[#This Row],[Unit Price]],""),"")</f>
        <v/>
      </c>
      <c r="S16" s="41" t="str">
        <f ca="1">IFERROR(IF(AND(Table1[[#This Row],[ACT_Qty]]&lt;&gt;"",Table1[[#This Row],[Currency]]="EUR"),Table1[[#This Row],[ACT_Qty]]*Table1[[#This Row],[Unit Price]],""),"")</f>
        <v/>
      </c>
      <c r="T16" s="269" t="str">
        <f ca="1">IFERROR(IF(AND(($N$3&lt;&gt;""),INDIRECT(Aux!$D$1)),VLOOKUP(Table1[[#This Row],[Product code]],Aux!B:E,4,FALSE),""),"")</f>
        <v/>
      </c>
      <c r="U16" s="145" t="str">
        <f>IFERROR(IF(OR(Table1[[#This Row],[Quantity]]&lt;&gt;"",Table1[[#This Row],[ACT_Qty]]&lt;&gt;""),Table1[[#This Row],[ACT_Qty]]-Table1[[#This Row],[Quantity]],""),"")</f>
        <v/>
      </c>
      <c r="V16" s="45"/>
      <c r="W16" s="45"/>
      <c r="X16" s="45"/>
    </row>
    <row r="17" spans="1:24" ht="15" customHeight="1">
      <c r="A17" s="143" t="str">
        <f t="shared" si="0"/>
        <v>AKH12345</v>
      </c>
      <c r="B17" s="256" t="s">
        <v>73</v>
      </c>
      <c r="C17" s="143" t="s">
        <v>74</v>
      </c>
      <c r="D17" s="105"/>
      <c r="E17" s="106"/>
      <c r="F17" s="105"/>
      <c r="G17" s="106"/>
      <c r="H17" s="199" t="s">
        <v>75</v>
      </c>
      <c r="I17" s="200" t="s">
        <v>50</v>
      </c>
      <c r="J17" s="200" t="s">
        <v>76</v>
      </c>
      <c r="K17" s="200" t="s">
        <v>52</v>
      </c>
      <c r="L17" s="145" t="s">
        <v>53</v>
      </c>
      <c r="M17" s="145" t="str">
        <f t="shared" ref="M17:M23" si="2">IF($C$3&lt;&gt;"",$C$3,"")</f>
        <v>OneCo Networks AS</v>
      </c>
      <c r="N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 s="268" t="str">
        <f ca="1">IFERROR(IF(
OR(Table1[[#This Row],[Product category]]="Service items",Table1[[#This Row],[Product category]]="Additional services",Table1[[#This Row],[Product category]]="Additional materials"),
"NOK",IF(($N$3&lt;&gt;""),VLOOKUP(Table1[[#This Row],[Product code]],INDIRECT(Aux!$A$1),6,FALSE),"")),"")</f>
        <v/>
      </c>
      <c r="P17" s="41" t="str">
        <f ca="1">IFERROR(IF(AND(Table1[[#This Row],[Quantity]]&lt;&gt;"",Table1[[#This Row],[Currency]]="NOK"),Table1[[#This Row],[Quantity]]*Table1[[#This Row],[Unit Price]],""),"")</f>
        <v/>
      </c>
      <c r="Q17" s="41" t="str">
        <f ca="1">IFERROR(IF(AND(Table1[[#This Row],[ACT_Qty]]&lt;&gt;"",Table1[[#This Row],[Currency]]="NOK"),Table1[[#This Row],[ACT_Qty]]*Table1[[#This Row],[Unit Price]],""),"")</f>
        <v/>
      </c>
      <c r="R17" s="41" t="str">
        <f ca="1">IFERROR(IF(AND(Table1[[#This Row],[Quantity]]&lt;&gt;"",Table1[[#This Row],[Currency]]="EUR"),Table1[[#This Row],[Quantity]]*Table1[[#This Row],[Unit Price]],""),"")</f>
        <v/>
      </c>
      <c r="S17" s="41" t="str">
        <f ca="1">IFERROR(IF(AND(Table1[[#This Row],[ACT_Qty]]&lt;&gt;"",Table1[[#This Row],[Currency]]="EUR"),Table1[[#This Row],[ACT_Qty]]*Table1[[#This Row],[Unit Price]],""),"")</f>
        <v/>
      </c>
      <c r="T17" s="269" t="str">
        <f ca="1">IFERROR(IF(AND(($N$3&lt;&gt;""),INDIRECT(Aux!$D$1)),VLOOKUP(Table1[[#This Row],[Product code]],Aux!B:E,4,FALSE),""),"")</f>
        <v/>
      </c>
      <c r="U17" s="145" t="str">
        <f>IFERROR(IF(OR(Table1[[#This Row],[Quantity]]&lt;&gt;"",Table1[[#This Row],[ACT_Qty]]&lt;&gt;""),Table1[[#This Row],[ACT_Qty]]-Table1[[#This Row],[Quantity]],""),"")</f>
        <v/>
      </c>
      <c r="V17" s="45"/>
      <c r="W17" s="45"/>
      <c r="X17" s="45"/>
    </row>
    <row r="18" spans="1:24" ht="15" customHeight="1">
      <c r="A18" s="143" t="str">
        <f t="shared" si="0"/>
        <v>AKH12345</v>
      </c>
      <c r="B18" s="256" t="s">
        <v>77</v>
      </c>
      <c r="C18" s="143" t="s">
        <v>78</v>
      </c>
      <c r="D18" s="105"/>
      <c r="E18" s="106"/>
      <c r="F18" s="105"/>
      <c r="G18" s="106"/>
      <c r="H18" s="199" t="s">
        <v>75</v>
      </c>
      <c r="I18" s="200" t="s">
        <v>50</v>
      </c>
      <c r="J18" s="200" t="s">
        <v>76</v>
      </c>
      <c r="K18" s="200" t="s">
        <v>52</v>
      </c>
      <c r="L18" s="145" t="s">
        <v>53</v>
      </c>
      <c r="M18" s="145" t="str">
        <f>IF($C$3&lt;&gt;"",$C$3,"")</f>
        <v>OneCo Networks AS</v>
      </c>
      <c r="N1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 s="268" t="str">
        <f ca="1">IFERROR(IF(
OR(Table1[[#This Row],[Product category]]="Service items",Table1[[#This Row],[Product category]]="Additional services",Table1[[#This Row],[Product category]]="Additional materials"),
"NOK",IF(($N$3&lt;&gt;""),VLOOKUP(Table1[[#This Row],[Product code]],INDIRECT(Aux!$A$1),6,FALSE),"")),"")</f>
        <v/>
      </c>
      <c r="P18" s="41" t="str">
        <f ca="1">IFERROR(IF(AND(Table1[[#This Row],[Quantity]]&lt;&gt;"",Table1[[#This Row],[Currency]]="NOK"),Table1[[#This Row],[Quantity]]*Table1[[#This Row],[Unit Price]],""),"")</f>
        <v/>
      </c>
      <c r="Q18" s="41" t="str">
        <f ca="1">IFERROR(IF(AND(Table1[[#This Row],[ACT_Qty]]&lt;&gt;"",Table1[[#This Row],[Currency]]="NOK"),Table1[[#This Row],[ACT_Qty]]*Table1[[#This Row],[Unit Price]],""),"")</f>
        <v/>
      </c>
      <c r="R18" s="41" t="str">
        <f ca="1">IFERROR(IF(AND(Table1[[#This Row],[Quantity]]&lt;&gt;"",Table1[[#This Row],[Currency]]="EUR"),Table1[[#This Row],[Quantity]]*Table1[[#This Row],[Unit Price]],""),"")</f>
        <v/>
      </c>
      <c r="S18" s="41" t="str">
        <f ca="1">IFERROR(IF(AND(Table1[[#This Row],[ACT_Qty]]&lt;&gt;"",Table1[[#This Row],[Currency]]="EUR"),Table1[[#This Row],[ACT_Qty]]*Table1[[#This Row],[Unit Price]],""),"")</f>
        <v/>
      </c>
      <c r="T18" s="269" t="str">
        <f ca="1">IFERROR(IF(AND(($N$3&lt;&gt;""),INDIRECT(Aux!$D$1)),VLOOKUP(Table1[[#This Row],[Product code]],Aux!B:E,4,FALSE),""),"")</f>
        <v/>
      </c>
      <c r="U18" s="145" t="str">
        <f>IFERROR(IF(OR(Table1[[#This Row],[Quantity]]&lt;&gt;"",Table1[[#This Row],[ACT_Qty]]&lt;&gt;""),Table1[[#This Row],[ACT_Qty]]-Table1[[#This Row],[Quantity]],""),"")</f>
        <v/>
      </c>
      <c r="V18" s="45"/>
      <c r="W18" s="45"/>
      <c r="X18" s="45"/>
    </row>
    <row r="19" spans="1:24" ht="15" customHeight="1">
      <c r="A19" s="143" t="str">
        <f t="shared" si="0"/>
        <v>AKH12345</v>
      </c>
      <c r="B19" s="256" t="s">
        <v>79</v>
      </c>
      <c r="C19" s="143" t="s">
        <v>80</v>
      </c>
      <c r="D19" s="105"/>
      <c r="E19" s="106"/>
      <c r="F19" s="105"/>
      <c r="G19" s="106"/>
      <c r="H19" s="199" t="s">
        <v>81</v>
      </c>
      <c r="I19" s="200" t="s">
        <v>50</v>
      </c>
      <c r="J19" s="200" t="s">
        <v>76</v>
      </c>
      <c r="K19" s="200" t="s">
        <v>52</v>
      </c>
      <c r="L19" s="145" t="s">
        <v>53</v>
      </c>
      <c r="M19" s="145" t="str">
        <f t="shared" si="2"/>
        <v>OneCo Networks AS</v>
      </c>
      <c r="N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 s="268" t="str">
        <f ca="1">IFERROR(IF(
OR(Table1[[#This Row],[Product category]]="Service items",Table1[[#This Row],[Product category]]="Additional services",Table1[[#This Row],[Product category]]="Additional materials"),
"NOK",IF(($N$3&lt;&gt;""),VLOOKUP(Table1[[#This Row],[Product code]],INDIRECT(Aux!$A$1),6,FALSE),"")),"")</f>
        <v/>
      </c>
      <c r="P19" s="41" t="str">
        <f ca="1">IFERROR(IF(AND(Table1[[#This Row],[Quantity]]&lt;&gt;"",Table1[[#This Row],[Currency]]="NOK"),Table1[[#This Row],[Quantity]]*Table1[[#This Row],[Unit Price]],""),"")</f>
        <v/>
      </c>
      <c r="Q19" s="41" t="str">
        <f ca="1">IFERROR(IF(AND(Table1[[#This Row],[ACT_Qty]]&lt;&gt;"",Table1[[#This Row],[Currency]]="NOK"),Table1[[#This Row],[ACT_Qty]]*Table1[[#This Row],[Unit Price]],""),"")</f>
        <v/>
      </c>
      <c r="R19" s="41" t="str">
        <f ca="1">IFERROR(IF(AND(Table1[[#This Row],[Quantity]]&lt;&gt;"",Table1[[#This Row],[Currency]]="EUR"),Table1[[#This Row],[Quantity]]*Table1[[#This Row],[Unit Price]],""),"")</f>
        <v/>
      </c>
      <c r="S19" s="41" t="str">
        <f ca="1">IFERROR(IF(AND(Table1[[#This Row],[ACT_Qty]]&lt;&gt;"",Table1[[#This Row],[Currency]]="EUR"),Table1[[#This Row],[ACT_Qty]]*Table1[[#This Row],[Unit Price]],""),"")</f>
        <v/>
      </c>
      <c r="T19" s="269" t="str">
        <f ca="1">IFERROR(IF(AND(($N$3&lt;&gt;""),INDIRECT(Aux!$D$1)),VLOOKUP(Table1[[#This Row],[Product code]],Aux!B:E,4,FALSE),""),"")</f>
        <v/>
      </c>
      <c r="U19" s="145" t="str">
        <f>IFERROR(IF(OR(Table1[[#This Row],[Quantity]]&lt;&gt;"",Table1[[#This Row],[ACT_Qty]]&lt;&gt;""),Table1[[#This Row],[ACT_Qty]]-Table1[[#This Row],[Quantity]],""),"")</f>
        <v/>
      </c>
      <c r="V19" s="45"/>
      <c r="W19" s="45"/>
      <c r="X19" s="45"/>
    </row>
    <row r="20" spans="1:24" ht="15" customHeight="1">
      <c r="A20" s="143" t="str">
        <f t="shared" si="0"/>
        <v>AKH12345</v>
      </c>
      <c r="B20" s="256" t="s">
        <v>82</v>
      </c>
      <c r="C20" s="143" t="s">
        <v>83</v>
      </c>
      <c r="D20" s="105"/>
      <c r="E20" s="106"/>
      <c r="F20" s="105"/>
      <c r="G20" s="106"/>
      <c r="H20" s="199" t="s">
        <v>84</v>
      </c>
      <c r="I20" s="200" t="s">
        <v>50</v>
      </c>
      <c r="J20" s="200" t="s">
        <v>76</v>
      </c>
      <c r="K20" s="200" t="s">
        <v>52</v>
      </c>
      <c r="L20" s="145" t="s">
        <v>53</v>
      </c>
      <c r="M20" s="145" t="str">
        <f t="shared" si="2"/>
        <v>OneCo Networks AS</v>
      </c>
      <c r="N2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 s="268" t="str">
        <f ca="1">IFERROR(IF(
OR(Table1[[#This Row],[Product category]]="Service items",Table1[[#This Row],[Product category]]="Additional services",Table1[[#This Row],[Product category]]="Additional materials"),
"NOK",IF(($N$3&lt;&gt;""),VLOOKUP(Table1[[#This Row],[Product code]],INDIRECT(Aux!$A$1),6,FALSE),"")),"")</f>
        <v/>
      </c>
      <c r="P20" s="41" t="str">
        <f ca="1">IFERROR(IF(AND(Table1[[#This Row],[Quantity]]&lt;&gt;"",Table1[[#This Row],[Currency]]="NOK"),Table1[[#This Row],[Quantity]]*Table1[[#This Row],[Unit Price]],""),"")</f>
        <v/>
      </c>
      <c r="Q20" s="41" t="str">
        <f ca="1">IFERROR(IF(AND(Table1[[#This Row],[ACT_Qty]]&lt;&gt;"",Table1[[#This Row],[Currency]]="NOK"),Table1[[#This Row],[ACT_Qty]]*Table1[[#This Row],[Unit Price]],""),"")</f>
        <v/>
      </c>
      <c r="R20" s="41" t="str">
        <f ca="1">IFERROR(IF(AND(Table1[[#This Row],[Quantity]]&lt;&gt;"",Table1[[#This Row],[Currency]]="EUR"),Table1[[#This Row],[Quantity]]*Table1[[#This Row],[Unit Price]],""),"")</f>
        <v/>
      </c>
      <c r="S20" s="41" t="str">
        <f ca="1">IFERROR(IF(AND(Table1[[#This Row],[ACT_Qty]]&lt;&gt;"",Table1[[#This Row],[Currency]]="EUR"),Table1[[#This Row],[ACT_Qty]]*Table1[[#This Row],[Unit Price]],""),"")</f>
        <v/>
      </c>
      <c r="T20" s="269" t="str">
        <f ca="1">IFERROR(IF(AND(($N$3&lt;&gt;""),INDIRECT(Aux!$D$1)),VLOOKUP(Table1[[#This Row],[Product code]],Aux!B:E,4,FALSE),""),"")</f>
        <v/>
      </c>
      <c r="U20" s="145" t="str">
        <f>IFERROR(IF(OR(Table1[[#This Row],[Quantity]]&lt;&gt;"",Table1[[#This Row],[ACT_Qty]]&lt;&gt;""),Table1[[#This Row],[ACT_Qty]]-Table1[[#This Row],[Quantity]],""),"")</f>
        <v/>
      </c>
      <c r="V20" s="45"/>
      <c r="W20" s="45"/>
      <c r="X20" s="45"/>
    </row>
    <row r="21" spans="1:24" ht="15" customHeight="1">
      <c r="A21" s="143" t="str">
        <f t="shared" si="0"/>
        <v>AKH12345</v>
      </c>
      <c r="B21" s="256" t="s">
        <v>85</v>
      </c>
      <c r="C21" s="143" t="s">
        <v>86</v>
      </c>
      <c r="D21" s="105"/>
      <c r="E21" s="106"/>
      <c r="F21" s="105"/>
      <c r="G21" s="106"/>
      <c r="H21" s="199" t="s">
        <v>87</v>
      </c>
      <c r="I21" s="200" t="s">
        <v>88</v>
      </c>
      <c r="J21" s="200" t="s">
        <v>89</v>
      </c>
      <c r="K21" s="200" t="s">
        <v>52</v>
      </c>
      <c r="L21" s="145" t="s">
        <v>53</v>
      </c>
      <c r="M21" s="145" t="str">
        <f t="shared" si="2"/>
        <v>OneCo Networks AS</v>
      </c>
      <c r="N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 s="268" t="str">
        <f ca="1">IFERROR(IF(
OR(Table1[[#This Row],[Product category]]="Service items",Table1[[#This Row],[Product category]]="Additional services",Table1[[#This Row],[Product category]]="Additional materials"),
"NOK",IF(($N$3&lt;&gt;""),VLOOKUP(Table1[[#This Row],[Product code]],INDIRECT(Aux!$A$1),6,FALSE),"")),"")</f>
        <v/>
      </c>
      <c r="P21" s="41" t="str">
        <f ca="1">IFERROR(IF(AND(Table1[[#This Row],[Quantity]]&lt;&gt;"",Table1[[#This Row],[Currency]]="NOK"),Table1[[#This Row],[Quantity]]*Table1[[#This Row],[Unit Price]],""),"")</f>
        <v/>
      </c>
      <c r="Q21" s="41" t="str">
        <f ca="1">IFERROR(IF(AND(Table1[[#This Row],[ACT_Qty]]&lt;&gt;"",Table1[[#This Row],[Currency]]="NOK"),Table1[[#This Row],[ACT_Qty]]*Table1[[#This Row],[Unit Price]],""),"")</f>
        <v/>
      </c>
      <c r="R21" s="41" t="str">
        <f ca="1">IFERROR(IF(AND(Table1[[#This Row],[Quantity]]&lt;&gt;"",Table1[[#This Row],[Currency]]="EUR"),Table1[[#This Row],[Quantity]]*Table1[[#This Row],[Unit Price]],""),"")</f>
        <v/>
      </c>
      <c r="S21" s="41" t="str">
        <f ca="1">IFERROR(IF(AND(Table1[[#This Row],[ACT_Qty]]&lt;&gt;"",Table1[[#This Row],[Currency]]="EUR"),Table1[[#This Row],[ACT_Qty]]*Table1[[#This Row],[Unit Price]],""),"")</f>
        <v/>
      </c>
      <c r="T21" s="269" t="str">
        <f ca="1">IFERROR(IF(AND(($N$3&lt;&gt;""),INDIRECT(Aux!$D$1)),VLOOKUP(Table1[[#This Row],[Product code]],Aux!B:E,4,FALSE),""),"")</f>
        <v/>
      </c>
      <c r="U21" s="145" t="str">
        <f>IFERROR(IF(OR(Table1[[#This Row],[Quantity]]&lt;&gt;"",Table1[[#This Row],[ACT_Qty]]&lt;&gt;""),Table1[[#This Row],[ACT_Qty]]-Table1[[#This Row],[Quantity]],""),"")</f>
        <v/>
      </c>
      <c r="V21" s="45"/>
      <c r="W21" s="45"/>
      <c r="X21" s="45"/>
    </row>
    <row r="22" spans="1:24" ht="15" customHeight="1">
      <c r="A22" s="143" t="str">
        <f t="shared" si="0"/>
        <v>AKH12345</v>
      </c>
      <c r="B22" s="256" t="s">
        <v>90</v>
      </c>
      <c r="C22" s="143" t="s">
        <v>91</v>
      </c>
      <c r="D22" s="105"/>
      <c r="E22" s="106"/>
      <c r="F22" s="105"/>
      <c r="G22" s="106"/>
      <c r="H22" s="199" t="s">
        <v>87</v>
      </c>
      <c r="I22" s="200" t="s">
        <v>88</v>
      </c>
      <c r="J22" s="200" t="s">
        <v>89</v>
      </c>
      <c r="K22" s="200" t="s">
        <v>52</v>
      </c>
      <c r="L22" s="145" t="s">
        <v>53</v>
      </c>
      <c r="M22" s="145" t="str">
        <f t="shared" si="2"/>
        <v>OneCo Networks AS</v>
      </c>
      <c r="N2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 s="268" t="str">
        <f ca="1">IFERROR(IF(
OR(Table1[[#This Row],[Product category]]="Service items",Table1[[#This Row],[Product category]]="Additional services",Table1[[#This Row],[Product category]]="Additional materials"),
"NOK",IF(($N$3&lt;&gt;""),VLOOKUP(Table1[[#This Row],[Product code]],INDIRECT(Aux!$A$1),6,FALSE),"")),"")</f>
        <v/>
      </c>
      <c r="P22" s="41" t="str">
        <f ca="1">IFERROR(IF(AND(Table1[[#This Row],[Quantity]]&lt;&gt;"",Table1[[#This Row],[Currency]]="NOK"),Table1[[#This Row],[Quantity]]*Table1[[#This Row],[Unit Price]],""),"")</f>
        <v/>
      </c>
      <c r="Q22" s="41" t="str">
        <f ca="1">IFERROR(IF(AND(Table1[[#This Row],[ACT_Qty]]&lt;&gt;"",Table1[[#This Row],[Currency]]="NOK"),Table1[[#This Row],[ACT_Qty]]*Table1[[#This Row],[Unit Price]],""),"")</f>
        <v/>
      </c>
      <c r="R22" s="41" t="str">
        <f ca="1">IFERROR(IF(AND(Table1[[#This Row],[Quantity]]&lt;&gt;"",Table1[[#This Row],[Currency]]="EUR"),Table1[[#This Row],[Quantity]]*Table1[[#This Row],[Unit Price]],""),"")</f>
        <v/>
      </c>
      <c r="S22" s="41" t="str">
        <f ca="1">IFERROR(IF(AND(Table1[[#This Row],[ACT_Qty]]&lt;&gt;"",Table1[[#This Row],[Currency]]="EUR"),Table1[[#This Row],[ACT_Qty]]*Table1[[#This Row],[Unit Price]],""),"")</f>
        <v/>
      </c>
      <c r="T22" s="269" t="str">
        <f ca="1">IFERROR(IF(AND(($N$3&lt;&gt;""),INDIRECT(Aux!$D$1)),VLOOKUP(Table1[[#This Row],[Product code]],Aux!B:E,4,FALSE),""),"")</f>
        <v/>
      </c>
      <c r="U22" s="145" t="str">
        <f>IFERROR(IF(OR(Table1[[#This Row],[Quantity]]&lt;&gt;"",Table1[[#This Row],[ACT_Qty]]&lt;&gt;""),Table1[[#This Row],[ACT_Qty]]-Table1[[#This Row],[Quantity]],""),"")</f>
        <v/>
      </c>
      <c r="V22" s="45"/>
      <c r="W22" s="45"/>
      <c r="X22" s="45"/>
    </row>
    <row r="23" spans="1:24" ht="15" customHeight="1">
      <c r="A23" s="143" t="str">
        <f t="shared" si="0"/>
        <v>AKH12345</v>
      </c>
      <c r="B23" s="256" t="s">
        <v>92</v>
      </c>
      <c r="C23" s="143" t="s">
        <v>93</v>
      </c>
      <c r="D23" s="105"/>
      <c r="E23" s="106"/>
      <c r="F23" s="105"/>
      <c r="G23" s="106"/>
      <c r="H23" s="199" t="s">
        <v>87</v>
      </c>
      <c r="I23" s="200" t="s">
        <v>88</v>
      </c>
      <c r="J23" s="200" t="s">
        <v>89</v>
      </c>
      <c r="K23" s="200" t="s">
        <v>52</v>
      </c>
      <c r="L23" s="145" t="s">
        <v>53</v>
      </c>
      <c r="M23" s="145" t="str">
        <f t="shared" si="2"/>
        <v>OneCo Networks AS</v>
      </c>
      <c r="N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 s="268" t="str">
        <f ca="1">IFERROR(IF(
OR(Table1[[#This Row],[Product category]]="Service items",Table1[[#This Row],[Product category]]="Additional services",Table1[[#This Row],[Product category]]="Additional materials"),
"NOK",IF(($N$3&lt;&gt;""),VLOOKUP(Table1[[#This Row],[Product code]],INDIRECT(Aux!$A$1),6,FALSE),"")),"")</f>
        <v/>
      </c>
      <c r="P23" s="41" t="str">
        <f ca="1">IFERROR(IF(AND(Table1[[#This Row],[Quantity]]&lt;&gt;"",Table1[[#This Row],[Currency]]="NOK"),Table1[[#This Row],[Quantity]]*Table1[[#This Row],[Unit Price]],""),"")</f>
        <v/>
      </c>
      <c r="Q23" s="41" t="str">
        <f ca="1">IFERROR(IF(AND(Table1[[#This Row],[ACT_Qty]]&lt;&gt;"",Table1[[#This Row],[Currency]]="NOK"),Table1[[#This Row],[ACT_Qty]]*Table1[[#This Row],[Unit Price]],""),"")</f>
        <v/>
      </c>
      <c r="R23" s="41" t="str">
        <f ca="1">IFERROR(IF(AND(Table1[[#This Row],[Quantity]]&lt;&gt;"",Table1[[#This Row],[Currency]]="EUR"),Table1[[#This Row],[Quantity]]*Table1[[#This Row],[Unit Price]],""),"")</f>
        <v/>
      </c>
      <c r="S23" s="41" t="str">
        <f ca="1">IFERROR(IF(AND(Table1[[#This Row],[ACT_Qty]]&lt;&gt;"",Table1[[#This Row],[Currency]]="EUR"),Table1[[#This Row],[ACT_Qty]]*Table1[[#This Row],[Unit Price]],""),"")</f>
        <v/>
      </c>
      <c r="T23" s="269" t="str">
        <f ca="1">IFERROR(IF(AND(($N$3&lt;&gt;""),INDIRECT(Aux!$D$1)),VLOOKUP(Table1[[#This Row],[Product code]],Aux!B:E,4,FALSE),""),"")</f>
        <v/>
      </c>
      <c r="U23" s="145" t="str">
        <f>IFERROR(IF(OR(Table1[[#This Row],[Quantity]]&lt;&gt;"",Table1[[#This Row],[ACT_Qty]]&lt;&gt;""),Table1[[#This Row],[ACT_Qty]]-Table1[[#This Row],[Quantity]],""),"")</f>
        <v/>
      </c>
      <c r="V23" s="45"/>
      <c r="W23" s="45"/>
      <c r="X23" s="45"/>
    </row>
    <row r="24" spans="1:24" ht="15" customHeight="1">
      <c r="A24" s="143" t="str">
        <f t="shared" si="0"/>
        <v>AKH12345</v>
      </c>
      <c r="B24" s="256" t="s">
        <v>94</v>
      </c>
      <c r="C24" s="143" t="s">
        <v>95</v>
      </c>
      <c r="D24" s="105"/>
      <c r="E24" s="106"/>
      <c r="F24" s="105"/>
      <c r="G24" s="106"/>
      <c r="H24" s="199" t="s">
        <v>87</v>
      </c>
      <c r="I24" s="200" t="s">
        <v>88</v>
      </c>
      <c r="J24" s="200" t="s">
        <v>89</v>
      </c>
      <c r="K24" s="200" t="s">
        <v>52</v>
      </c>
      <c r="L24" s="145" t="s">
        <v>53</v>
      </c>
      <c r="M24" s="145" t="str">
        <f t="shared" si="1"/>
        <v>OneCo Networks AS</v>
      </c>
      <c r="N2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 s="268" t="str">
        <f ca="1">IFERROR(IF(
OR(Table1[[#This Row],[Product category]]="Service items",Table1[[#This Row],[Product category]]="Additional services",Table1[[#This Row],[Product category]]="Additional materials"),
"NOK",IF(($N$3&lt;&gt;""),VLOOKUP(Table1[[#This Row],[Product code]],INDIRECT(Aux!$A$1),6,FALSE),"")),"")</f>
        <v/>
      </c>
      <c r="P24" s="41" t="str">
        <f ca="1">IFERROR(IF(AND(Table1[[#This Row],[Quantity]]&lt;&gt;"",Table1[[#This Row],[Currency]]="NOK"),Table1[[#This Row],[Quantity]]*Table1[[#This Row],[Unit Price]],""),"")</f>
        <v/>
      </c>
      <c r="Q24" s="41" t="str">
        <f ca="1">IFERROR(IF(AND(Table1[[#This Row],[ACT_Qty]]&lt;&gt;"",Table1[[#This Row],[Currency]]="NOK"),Table1[[#This Row],[ACT_Qty]]*Table1[[#This Row],[Unit Price]],""),"")</f>
        <v/>
      </c>
      <c r="R24" s="41" t="str">
        <f ca="1">IFERROR(IF(AND(Table1[[#This Row],[Quantity]]&lt;&gt;"",Table1[[#This Row],[Currency]]="EUR"),Table1[[#This Row],[Quantity]]*Table1[[#This Row],[Unit Price]],""),"")</f>
        <v/>
      </c>
      <c r="S24" s="41" t="str">
        <f ca="1">IFERROR(IF(AND(Table1[[#This Row],[ACT_Qty]]&lt;&gt;"",Table1[[#This Row],[Currency]]="EUR"),Table1[[#This Row],[ACT_Qty]]*Table1[[#This Row],[Unit Price]],""),"")</f>
        <v/>
      </c>
      <c r="T24" s="269" t="str">
        <f ca="1">IFERROR(IF(AND(($N$3&lt;&gt;""),INDIRECT(Aux!$D$1)),VLOOKUP(Table1[[#This Row],[Product code]],Aux!B:E,4,FALSE),""),"")</f>
        <v/>
      </c>
      <c r="U24" s="145" t="str">
        <f>IFERROR(IF(OR(Table1[[#This Row],[Quantity]]&lt;&gt;"",Table1[[#This Row],[ACT_Qty]]&lt;&gt;""),Table1[[#This Row],[ACT_Qty]]-Table1[[#This Row],[Quantity]],""),"")</f>
        <v/>
      </c>
      <c r="V24" s="45"/>
      <c r="W24" s="45"/>
      <c r="X24" s="45"/>
    </row>
    <row r="25" spans="1:24" ht="15" customHeight="1">
      <c r="A25" s="143" t="str">
        <f t="shared" si="0"/>
        <v>AKH12345</v>
      </c>
      <c r="B25" s="256" t="s">
        <v>96</v>
      </c>
      <c r="C25" s="143" t="s">
        <v>97</v>
      </c>
      <c r="D25" s="105"/>
      <c r="E25" s="106"/>
      <c r="F25" s="105"/>
      <c r="G25" s="106"/>
      <c r="H25" s="199" t="s">
        <v>98</v>
      </c>
      <c r="I25" s="200" t="s">
        <v>88</v>
      </c>
      <c r="J25" s="200" t="s">
        <v>99</v>
      </c>
      <c r="K25" s="200" t="s">
        <v>52</v>
      </c>
      <c r="L25" s="145" t="s">
        <v>53</v>
      </c>
      <c r="M25" s="145" t="str">
        <f t="shared" si="1"/>
        <v>OneCo Networks AS</v>
      </c>
      <c r="N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 s="268" t="str">
        <f ca="1">IFERROR(IF(
OR(Table1[[#This Row],[Product category]]="Service items",Table1[[#This Row],[Product category]]="Additional services",Table1[[#This Row],[Product category]]="Additional materials"),
"NOK",IF(($N$3&lt;&gt;""),VLOOKUP(Table1[[#This Row],[Product code]],INDIRECT(Aux!$A$1),6,FALSE),"")),"")</f>
        <v/>
      </c>
      <c r="P25" s="41" t="str">
        <f ca="1">IFERROR(IF(AND(Table1[[#This Row],[Quantity]]&lt;&gt;"",Table1[[#This Row],[Currency]]="NOK"),Table1[[#This Row],[Quantity]]*Table1[[#This Row],[Unit Price]],""),"")</f>
        <v/>
      </c>
      <c r="Q25" s="41" t="str">
        <f ca="1">IFERROR(IF(AND(Table1[[#This Row],[ACT_Qty]]&lt;&gt;"",Table1[[#This Row],[Currency]]="NOK"),Table1[[#This Row],[ACT_Qty]]*Table1[[#This Row],[Unit Price]],""),"")</f>
        <v/>
      </c>
      <c r="R25" s="41" t="str">
        <f ca="1">IFERROR(IF(AND(Table1[[#This Row],[Quantity]]&lt;&gt;"",Table1[[#This Row],[Currency]]="EUR"),Table1[[#This Row],[Quantity]]*Table1[[#This Row],[Unit Price]],""),"")</f>
        <v/>
      </c>
      <c r="S25" s="41" t="str">
        <f ca="1">IFERROR(IF(AND(Table1[[#This Row],[ACT_Qty]]&lt;&gt;"",Table1[[#This Row],[Currency]]="EUR"),Table1[[#This Row],[ACT_Qty]]*Table1[[#This Row],[Unit Price]],""),"")</f>
        <v/>
      </c>
      <c r="T25" s="269" t="str">
        <f ca="1">IFERROR(IF(AND(($N$3&lt;&gt;""),INDIRECT(Aux!$D$1)),VLOOKUP(Table1[[#This Row],[Product code]],Aux!B:E,4,FALSE),""),"")</f>
        <v/>
      </c>
      <c r="U25" s="145" t="str">
        <f>IFERROR(IF(OR(Table1[[#This Row],[Quantity]]&lt;&gt;"",Table1[[#This Row],[ACT_Qty]]&lt;&gt;""),Table1[[#This Row],[ACT_Qty]]-Table1[[#This Row],[Quantity]],""),"")</f>
        <v/>
      </c>
      <c r="V25" s="45"/>
      <c r="W25" s="45"/>
      <c r="X25" s="45"/>
    </row>
    <row r="26" spans="1:24" ht="15" customHeight="1">
      <c r="A26" s="143" t="str">
        <f t="shared" si="0"/>
        <v>AKH12345</v>
      </c>
      <c r="B26" s="256" t="s">
        <v>100</v>
      </c>
      <c r="C26" s="143" t="s">
        <v>101</v>
      </c>
      <c r="D26" s="105"/>
      <c r="E26" s="106"/>
      <c r="F26" s="105"/>
      <c r="G26" s="106"/>
      <c r="H26" s="199" t="s">
        <v>102</v>
      </c>
      <c r="I26" s="200" t="s">
        <v>88</v>
      </c>
      <c r="J26" s="200" t="s">
        <v>99</v>
      </c>
      <c r="K26" s="200" t="s">
        <v>52</v>
      </c>
      <c r="L26" s="145" t="s">
        <v>53</v>
      </c>
      <c r="M26" s="145" t="str">
        <f t="shared" si="1"/>
        <v>OneCo Networks AS</v>
      </c>
      <c r="N2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 s="268" t="str">
        <f ca="1">IFERROR(IF(
OR(Table1[[#This Row],[Product category]]="Service items",Table1[[#This Row],[Product category]]="Additional services",Table1[[#This Row],[Product category]]="Additional materials"),
"NOK",IF(($N$3&lt;&gt;""),VLOOKUP(Table1[[#This Row],[Product code]],INDIRECT(Aux!$A$1),6,FALSE),"")),"")</f>
        <v/>
      </c>
      <c r="P26" s="41" t="str">
        <f ca="1">IFERROR(IF(AND(Table1[[#This Row],[Quantity]]&lt;&gt;"",Table1[[#This Row],[Currency]]="NOK"),Table1[[#This Row],[Quantity]]*Table1[[#This Row],[Unit Price]],""),"")</f>
        <v/>
      </c>
      <c r="Q26" s="41" t="str">
        <f ca="1">IFERROR(IF(AND(Table1[[#This Row],[ACT_Qty]]&lt;&gt;"",Table1[[#This Row],[Currency]]="NOK"),Table1[[#This Row],[ACT_Qty]]*Table1[[#This Row],[Unit Price]],""),"")</f>
        <v/>
      </c>
      <c r="R26" s="41" t="str">
        <f ca="1">IFERROR(IF(AND(Table1[[#This Row],[Quantity]]&lt;&gt;"",Table1[[#This Row],[Currency]]="EUR"),Table1[[#This Row],[Quantity]]*Table1[[#This Row],[Unit Price]],""),"")</f>
        <v/>
      </c>
      <c r="S26" s="41" t="str">
        <f ca="1">IFERROR(IF(AND(Table1[[#This Row],[ACT_Qty]]&lt;&gt;"",Table1[[#This Row],[Currency]]="EUR"),Table1[[#This Row],[ACT_Qty]]*Table1[[#This Row],[Unit Price]],""),"")</f>
        <v/>
      </c>
      <c r="T26" s="269" t="str">
        <f ca="1">IFERROR(IF(AND(($N$3&lt;&gt;""),INDIRECT(Aux!$D$1)),VLOOKUP(Table1[[#This Row],[Product code]],Aux!B:E,4,FALSE),""),"")</f>
        <v/>
      </c>
      <c r="U26" s="145" t="str">
        <f>IFERROR(IF(OR(Table1[[#This Row],[Quantity]]&lt;&gt;"",Table1[[#This Row],[ACT_Qty]]&lt;&gt;""),Table1[[#This Row],[ACT_Qty]]-Table1[[#This Row],[Quantity]],""),"")</f>
        <v/>
      </c>
      <c r="V26" s="45"/>
      <c r="W26" s="45"/>
      <c r="X26" s="45"/>
    </row>
    <row r="27" spans="1:24" ht="15" customHeight="1">
      <c r="A27" s="143" t="str">
        <f t="shared" si="0"/>
        <v>AKH12345</v>
      </c>
      <c r="B27" s="256" t="s">
        <v>103</v>
      </c>
      <c r="C27" s="143" t="s">
        <v>104</v>
      </c>
      <c r="D27" s="105"/>
      <c r="E27" s="106"/>
      <c r="F27" s="105"/>
      <c r="G27" s="106"/>
      <c r="H27" s="199" t="s">
        <v>105</v>
      </c>
      <c r="I27" s="200" t="s">
        <v>106</v>
      </c>
      <c r="J27" s="200" t="s">
        <v>99</v>
      </c>
      <c r="K27" s="200" t="s">
        <v>52</v>
      </c>
      <c r="L27" s="145" t="s">
        <v>53</v>
      </c>
      <c r="M27" s="145" t="str">
        <f t="shared" si="1"/>
        <v>OneCo Networks AS</v>
      </c>
      <c r="N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 s="268" t="str">
        <f ca="1">IFERROR(IF(
OR(Table1[[#This Row],[Product category]]="Service items",Table1[[#This Row],[Product category]]="Additional services",Table1[[#This Row],[Product category]]="Additional materials"),
"NOK",IF(($N$3&lt;&gt;""),VLOOKUP(Table1[[#This Row],[Product code]],INDIRECT(Aux!$A$1),6,FALSE),"")),"")</f>
        <v/>
      </c>
      <c r="P27" s="41" t="str">
        <f ca="1">IFERROR(IF(AND(Table1[[#This Row],[Quantity]]&lt;&gt;"",Table1[[#This Row],[Currency]]="NOK"),Table1[[#This Row],[Quantity]]*Table1[[#This Row],[Unit Price]],""),"")</f>
        <v/>
      </c>
      <c r="Q27" s="41" t="str">
        <f ca="1">IFERROR(IF(AND(Table1[[#This Row],[ACT_Qty]]&lt;&gt;"",Table1[[#This Row],[Currency]]="NOK"),Table1[[#This Row],[ACT_Qty]]*Table1[[#This Row],[Unit Price]],""),"")</f>
        <v/>
      </c>
      <c r="R27" s="41" t="str">
        <f ca="1">IFERROR(IF(AND(Table1[[#This Row],[Quantity]]&lt;&gt;"",Table1[[#This Row],[Currency]]="EUR"),Table1[[#This Row],[Quantity]]*Table1[[#This Row],[Unit Price]],""),"")</f>
        <v/>
      </c>
      <c r="S27" s="41" t="str">
        <f ca="1">IFERROR(IF(AND(Table1[[#This Row],[ACT_Qty]]&lt;&gt;"",Table1[[#This Row],[Currency]]="EUR"),Table1[[#This Row],[ACT_Qty]]*Table1[[#This Row],[Unit Price]],""),"")</f>
        <v/>
      </c>
      <c r="T27" s="269" t="str">
        <f ca="1">IFERROR(IF(AND(($N$3&lt;&gt;""),INDIRECT(Aux!$D$1)),VLOOKUP(Table1[[#This Row],[Product code]],Aux!B:E,4,FALSE),""),"")</f>
        <v/>
      </c>
      <c r="U27" s="145" t="str">
        <f>IFERROR(IF(OR(Table1[[#This Row],[Quantity]]&lt;&gt;"",Table1[[#This Row],[ACT_Qty]]&lt;&gt;""),Table1[[#This Row],[ACT_Qty]]-Table1[[#This Row],[Quantity]],""),"")</f>
        <v/>
      </c>
      <c r="V27" s="45"/>
      <c r="W27" s="45"/>
      <c r="X27" s="45"/>
    </row>
    <row r="28" spans="1:24" ht="15" customHeight="1">
      <c r="A28" s="143" t="str">
        <f t="shared" si="0"/>
        <v>AKH12345</v>
      </c>
      <c r="B28" s="256" t="s">
        <v>107</v>
      </c>
      <c r="C28" s="143" t="s">
        <v>108</v>
      </c>
      <c r="D28" s="105"/>
      <c r="E28" s="106" t="s">
        <v>109</v>
      </c>
      <c r="F28" s="105"/>
      <c r="G28" s="106"/>
      <c r="H28" s="199" t="s">
        <v>110</v>
      </c>
      <c r="I28" s="200" t="s">
        <v>88</v>
      </c>
      <c r="J28" s="200" t="s">
        <v>111</v>
      </c>
      <c r="K28" s="200" t="s">
        <v>52</v>
      </c>
      <c r="L28" s="145" t="s">
        <v>53</v>
      </c>
      <c r="M28" s="145" t="str">
        <f t="shared" si="1"/>
        <v>OneCo Networks AS</v>
      </c>
      <c r="N2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 s="268" t="str">
        <f ca="1">IFERROR(IF(
OR(Table1[[#This Row],[Product category]]="Service items",Table1[[#This Row],[Product category]]="Additional services",Table1[[#This Row],[Product category]]="Additional materials"),
"NOK",IF(($N$3&lt;&gt;""),VLOOKUP(Table1[[#This Row],[Product code]],INDIRECT(Aux!$A$1),6,FALSE),"")),"")</f>
        <v/>
      </c>
      <c r="P28" s="41" t="str">
        <f ca="1">IFERROR(IF(AND(Table1[[#This Row],[Quantity]]&lt;&gt;"",Table1[[#This Row],[Currency]]="NOK"),Table1[[#This Row],[Quantity]]*Table1[[#This Row],[Unit Price]],""),"")</f>
        <v/>
      </c>
      <c r="Q28" s="41" t="str">
        <f ca="1">IFERROR(IF(AND(Table1[[#This Row],[ACT_Qty]]&lt;&gt;"",Table1[[#This Row],[Currency]]="NOK"),Table1[[#This Row],[ACT_Qty]]*Table1[[#This Row],[Unit Price]],""),"")</f>
        <v/>
      </c>
      <c r="R28" s="41" t="str">
        <f ca="1">IFERROR(IF(AND(Table1[[#This Row],[Quantity]]&lt;&gt;"",Table1[[#This Row],[Currency]]="EUR"),Table1[[#This Row],[Quantity]]*Table1[[#This Row],[Unit Price]],""),"")</f>
        <v/>
      </c>
      <c r="S28" s="41" t="str">
        <f ca="1">IFERROR(IF(AND(Table1[[#This Row],[ACT_Qty]]&lt;&gt;"",Table1[[#This Row],[Currency]]="EUR"),Table1[[#This Row],[ACT_Qty]]*Table1[[#This Row],[Unit Price]],""),"")</f>
        <v/>
      </c>
      <c r="T28" s="269" t="str">
        <f ca="1">IFERROR(IF(AND(($N$3&lt;&gt;""),INDIRECT(Aux!$D$1)),VLOOKUP(Table1[[#This Row],[Product code]],Aux!B:E,4,FALSE),""),"")</f>
        <v/>
      </c>
      <c r="U28" s="145" t="str">
        <f>IFERROR(IF(OR(Table1[[#This Row],[Quantity]]&lt;&gt;"",Table1[[#This Row],[ACT_Qty]]&lt;&gt;""),Table1[[#This Row],[ACT_Qty]]-Table1[[#This Row],[Quantity]],""),"")</f>
        <v/>
      </c>
      <c r="V28" s="45"/>
      <c r="W28" s="45"/>
      <c r="X28" s="45"/>
    </row>
    <row r="29" spans="1:24" ht="14.45" customHeight="1">
      <c r="A29" s="143" t="str">
        <f t="shared" si="0"/>
        <v>AKH12345</v>
      </c>
      <c r="B29" s="256" t="s">
        <v>112</v>
      </c>
      <c r="C29" s="143" t="s">
        <v>113</v>
      </c>
      <c r="D29" s="105"/>
      <c r="E29" s="106"/>
      <c r="F29" s="105"/>
      <c r="G29" s="106"/>
      <c r="H29" s="199" t="s">
        <v>114</v>
      </c>
      <c r="I29" s="200" t="s">
        <v>115</v>
      </c>
      <c r="J29" s="200" t="s">
        <v>116</v>
      </c>
      <c r="K29" s="200" t="s">
        <v>52</v>
      </c>
      <c r="L29" s="145" t="s">
        <v>53</v>
      </c>
      <c r="M29" s="145" t="str">
        <f>IF($C$3&lt;&gt;"",$C$3,"")</f>
        <v>OneCo Networks AS</v>
      </c>
      <c r="N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 s="268" t="str">
        <f ca="1">IFERROR(IF(
OR(Table1[[#This Row],[Product category]]="Service items",Table1[[#This Row],[Product category]]="Additional services",Table1[[#This Row],[Product category]]="Additional materials"),
"NOK",IF(($N$3&lt;&gt;""),VLOOKUP(Table1[[#This Row],[Product code]],INDIRECT(Aux!$A$1),6,FALSE),"")),"")</f>
        <v/>
      </c>
      <c r="P29" s="41" t="str">
        <f ca="1">IFERROR(IF(AND(Table1[[#This Row],[Quantity]]&lt;&gt;"",Table1[[#This Row],[Currency]]="NOK"),Table1[[#This Row],[Quantity]]*Table1[[#This Row],[Unit Price]],""),"")</f>
        <v/>
      </c>
      <c r="Q29" s="41" t="str">
        <f ca="1">IFERROR(IF(AND(Table1[[#This Row],[ACT_Qty]]&lt;&gt;"",Table1[[#This Row],[Currency]]="NOK"),Table1[[#This Row],[ACT_Qty]]*Table1[[#This Row],[Unit Price]],""),"")</f>
        <v/>
      </c>
      <c r="R29" s="41" t="str">
        <f ca="1">IFERROR(IF(AND(Table1[[#This Row],[Quantity]]&lt;&gt;"",Table1[[#This Row],[Currency]]="EUR"),Table1[[#This Row],[Quantity]]*Table1[[#This Row],[Unit Price]],""),"")</f>
        <v/>
      </c>
      <c r="S29" s="41" t="str">
        <f ca="1">IFERROR(IF(AND(Table1[[#This Row],[ACT_Qty]]&lt;&gt;"",Table1[[#This Row],[Currency]]="EUR"),Table1[[#This Row],[ACT_Qty]]*Table1[[#This Row],[Unit Price]],""),"")</f>
        <v/>
      </c>
      <c r="T29" s="269" t="str">
        <f ca="1">IFERROR(IF(AND(($N$3&lt;&gt;""),INDIRECT(Aux!$D$1)),VLOOKUP(Table1[[#This Row],[Product code]],Aux!B:E,4,FALSE),""),"")</f>
        <v/>
      </c>
      <c r="U29" s="145" t="str">
        <f>IFERROR(IF(OR(Table1[[#This Row],[Quantity]]&lt;&gt;"",Table1[[#This Row],[ACT_Qty]]&lt;&gt;""),Table1[[#This Row],[ACT_Qty]]-Table1[[#This Row],[Quantity]],""),"")</f>
        <v/>
      </c>
      <c r="V29" s="45"/>
      <c r="W29" s="45"/>
      <c r="X29" s="45"/>
    </row>
    <row r="30" spans="1:24" ht="15" customHeight="1">
      <c r="A30" s="143" t="str">
        <f t="shared" si="0"/>
        <v>AKH12345</v>
      </c>
      <c r="B30" s="256" t="s">
        <v>117</v>
      </c>
      <c r="C30" s="143" t="s">
        <v>118</v>
      </c>
      <c r="D30" s="105"/>
      <c r="E30" s="106"/>
      <c r="F30" s="105"/>
      <c r="G30" s="106"/>
      <c r="H30" s="199" t="s">
        <v>119</v>
      </c>
      <c r="I30" s="200" t="s">
        <v>106</v>
      </c>
      <c r="J30" s="200" t="s">
        <v>120</v>
      </c>
      <c r="K30" s="200" t="s">
        <v>52</v>
      </c>
      <c r="L30" s="145" t="s">
        <v>53</v>
      </c>
      <c r="M30" s="145" t="str">
        <f t="shared" si="1"/>
        <v>OneCo Networks AS</v>
      </c>
      <c r="N3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 s="268" t="str">
        <f ca="1">IFERROR(IF(
OR(Table1[[#This Row],[Product category]]="Service items",Table1[[#This Row],[Product category]]="Additional services",Table1[[#This Row],[Product category]]="Additional materials"),
"NOK",IF(($N$3&lt;&gt;""),VLOOKUP(Table1[[#This Row],[Product code]],INDIRECT(Aux!$A$1),6,FALSE),"")),"")</f>
        <v/>
      </c>
      <c r="P30" s="41" t="str">
        <f ca="1">IFERROR(IF(AND(Table1[[#This Row],[Quantity]]&lt;&gt;"",Table1[[#This Row],[Currency]]="NOK"),Table1[[#This Row],[Quantity]]*Table1[[#This Row],[Unit Price]],""),"")</f>
        <v/>
      </c>
      <c r="Q30" s="41" t="str">
        <f ca="1">IFERROR(IF(AND(Table1[[#This Row],[ACT_Qty]]&lt;&gt;"",Table1[[#This Row],[Currency]]="NOK"),Table1[[#This Row],[ACT_Qty]]*Table1[[#This Row],[Unit Price]],""),"")</f>
        <v/>
      </c>
      <c r="R30" s="41" t="str">
        <f ca="1">IFERROR(IF(AND(Table1[[#This Row],[Quantity]]&lt;&gt;"",Table1[[#This Row],[Currency]]="EUR"),Table1[[#This Row],[Quantity]]*Table1[[#This Row],[Unit Price]],""),"")</f>
        <v/>
      </c>
      <c r="S30" s="41" t="str">
        <f ca="1">IFERROR(IF(AND(Table1[[#This Row],[ACT_Qty]]&lt;&gt;"",Table1[[#This Row],[Currency]]="EUR"),Table1[[#This Row],[ACT_Qty]]*Table1[[#This Row],[Unit Price]],""),"")</f>
        <v/>
      </c>
      <c r="T30" s="269" t="str">
        <f ca="1">IFERROR(IF(AND(($N$3&lt;&gt;""),INDIRECT(Aux!$D$1)),VLOOKUP(Table1[[#This Row],[Product code]],Aux!B:E,4,FALSE),""),"")</f>
        <v/>
      </c>
      <c r="U30" s="145" t="str">
        <f>IFERROR(IF(OR(Table1[[#This Row],[Quantity]]&lt;&gt;"",Table1[[#This Row],[ACT_Qty]]&lt;&gt;""),Table1[[#This Row],[ACT_Qty]]-Table1[[#This Row],[Quantity]],""),"")</f>
        <v/>
      </c>
      <c r="V30" s="45"/>
      <c r="W30" s="45"/>
      <c r="X30" s="45"/>
    </row>
    <row r="31" spans="1:24" ht="15" customHeight="1">
      <c r="A31" s="143" t="str">
        <f t="shared" si="0"/>
        <v>AKH12345</v>
      </c>
      <c r="B31" s="256" t="s">
        <v>121</v>
      </c>
      <c r="C31" s="143" t="s">
        <v>122</v>
      </c>
      <c r="D31" s="105"/>
      <c r="E31" s="106"/>
      <c r="F31" s="105"/>
      <c r="G31" s="106"/>
      <c r="H31" s="199" t="s">
        <v>123</v>
      </c>
      <c r="I31" s="200" t="s">
        <v>88</v>
      </c>
      <c r="J31" s="200" t="s">
        <v>124</v>
      </c>
      <c r="K31" s="200" t="s">
        <v>52</v>
      </c>
      <c r="L31" s="145" t="s">
        <v>53</v>
      </c>
      <c r="M31" s="145" t="str">
        <f t="shared" si="1"/>
        <v>OneCo Networks AS</v>
      </c>
      <c r="N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 s="268" t="str">
        <f ca="1">IFERROR(IF(
OR(Table1[[#This Row],[Product category]]="Service items",Table1[[#This Row],[Product category]]="Additional services",Table1[[#This Row],[Product category]]="Additional materials"),
"NOK",IF(($N$3&lt;&gt;""),VLOOKUP(Table1[[#This Row],[Product code]],INDIRECT(Aux!$A$1),6,FALSE),"")),"")</f>
        <v/>
      </c>
      <c r="P31" s="41" t="str">
        <f ca="1">IFERROR(IF(AND(Table1[[#This Row],[Quantity]]&lt;&gt;"",Table1[[#This Row],[Currency]]="NOK"),Table1[[#This Row],[Quantity]]*Table1[[#This Row],[Unit Price]],""),"")</f>
        <v/>
      </c>
      <c r="Q31" s="41" t="str">
        <f ca="1">IFERROR(IF(AND(Table1[[#This Row],[ACT_Qty]]&lt;&gt;"",Table1[[#This Row],[Currency]]="NOK"),Table1[[#This Row],[ACT_Qty]]*Table1[[#This Row],[Unit Price]],""),"")</f>
        <v/>
      </c>
      <c r="R31" s="41" t="str">
        <f ca="1">IFERROR(IF(AND(Table1[[#This Row],[Quantity]]&lt;&gt;"",Table1[[#This Row],[Currency]]="EUR"),Table1[[#This Row],[Quantity]]*Table1[[#This Row],[Unit Price]],""),"")</f>
        <v/>
      </c>
      <c r="S31" s="41" t="str">
        <f ca="1">IFERROR(IF(AND(Table1[[#This Row],[ACT_Qty]]&lt;&gt;"",Table1[[#This Row],[Currency]]="EUR"),Table1[[#This Row],[ACT_Qty]]*Table1[[#This Row],[Unit Price]],""),"")</f>
        <v/>
      </c>
      <c r="T31" s="269" t="str">
        <f ca="1">IFERROR(IF(AND(($N$3&lt;&gt;""),INDIRECT(Aux!$D$1)),VLOOKUP(Table1[[#This Row],[Product code]],Aux!B:E,4,FALSE),""),"")</f>
        <v/>
      </c>
      <c r="U31" s="145" t="str">
        <f>IFERROR(IF(OR(Table1[[#This Row],[Quantity]]&lt;&gt;"",Table1[[#This Row],[ACT_Qty]]&lt;&gt;""),Table1[[#This Row],[ACT_Qty]]-Table1[[#This Row],[Quantity]],""),"")</f>
        <v/>
      </c>
      <c r="V31" s="45"/>
      <c r="W31" s="45"/>
      <c r="X31" s="45"/>
    </row>
    <row r="32" spans="1:24" ht="15" customHeight="1">
      <c r="A32" s="143" t="str">
        <f t="shared" si="0"/>
        <v>AKH12345</v>
      </c>
      <c r="B32" s="256" t="s">
        <v>125</v>
      </c>
      <c r="C32" s="143" t="s">
        <v>126</v>
      </c>
      <c r="D32" s="105"/>
      <c r="E32" s="106"/>
      <c r="F32" s="105"/>
      <c r="G32" s="106"/>
      <c r="H32" s="199" t="s">
        <v>127</v>
      </c>
      <c r="I32" s="200" t="s">
        <v>88</v>
      </c>
      <c r="J32" s="200" t="s">
        <v>124</v>
      </c>
      <c r="K32" s="200" t="s">
        <v>52</v>
      </c>
      <c r="L32" s="145" t="s">
        <v>53</v>
      </c>
      <c r="M32" s="145" t="str">
        <f t="shared" si="1"/>
        <v>OneCo Networks AS</v>
      </c>
      <c r="N3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 s="268" t="str">
        <f ca="1">IFERROR(IF(
OR(Table1[[#This Row],[Product category]]="Service items",Table1[[#This Row],[Product category]]="Additional services",Table1[[#This Row],[Product category]]="Additional materials"),
"NOK",IF(($N$3&lt;&gt;""),VLOOKUP(Table1[[#This Row],[Product code]],INDIRECT(Aux!$A$1),6,FALSE),"")),"")</f>
        <v/>
      </c>
      <c r="P32" s="41" t="str">
        <f ca="1">IFERROR(IF(AND(Table1[[#This Row],[Quantity]]&lt;&gt;"",Table1[[#This Row],[Currency]]="NOK"),Table1[[#This Row],[Quantity]]*Table1[[#This Row],[Unit Price]],""),"")</f>
        <v/>
      </c>
      <c r="Q32" s="41" t="str">
        <f ca="1">IFERROR(IF(AND(Table1[[#This Row],[ACT_Qty]]&lt;&gt;"",Table1[[#This Row],[Currency]]="NOK"),Table1[[#This Row],[ACT_Qty]]*Table1[[#This Row],[Unit Price]],""),"")</f>
        <v/>
      </c>
      <c r="R32" s="41" t="str">
        <f ca="1">IFERROR(IF(AND(Table1[[#This Row],[Quantity]]&lt;&gt;"",Table1[[#This Row],[Currency]]="EUR"),Table1[[#This Row],[Quantity]]*Table1[[#This Row],[Unit Price]],""),"")</f>
        <v/>
      </c>
      <c r="S32" s="41" t="str">
        <f ca="1">IFERROR(IF(AND(Table1[[#This Row],[ACT_Qty]]&lt;&gt;"",Table1[[#This Row],[Currency]]="EUR"),Table1[[#This Row],[ACT_Qty]]*Table1[[#This Row],[Unit Price]],""),"")</f>
        <v/>
      </c>
      <c r="T32" s="269" t="str">
        <f ca="1">IFERROR(IF(AND(($N$3&lt;&gt;""),INDIRECT(Aux!$D$1)),VLOOKUP(Table1[[#This Row],[Product code]],Aux!B:E,4,FALSE),""),"")</f>
        <v/>
      </c>
      <c r="U32" s="145" t="str">
        <f>IFERROR(IF(OR(Table1[[#This Row],[Quantity]]&lt;&gt;"",Table1[[#This Row],[ACT_Qty]]&lt;&gt;""),Table1[[#This Row],[ACT_Qty]]-Table1[[#This Row],[Quantity]],""),"")</f>
        <v/>
      </c>
      <c r="V32" s="45"/>
      <c r="W32" s="45"/>
      <c r="X32" s="45"/>
    </row>
    <row r="33" spans="1:24" ht="15" customHeight="1">
      <c r="A33" s="143" t="str">
        <f t="shared" si="0"/>
        <v>AKH12345</v>
      </c>
      <c r="B33" s="256" t="s">
        <v>128</v>
      </c>
      <c r="C33" s="143" t="s">
        <v>129</v>
      </c>
      <c r="D33" s="105"/>
      <c r="E33" s="106"/>
      <c r="F33" s="105"/>
      <c r="G33" s="106"/>
      <c r="H33" s="199" t="s">
        <v>130</v>
      </c>
      <c r="I33" s="200" t="s">
        <v>88</v>
      </c>
      <c r="J33" s="200" t="s">
        <v>131</v>
      </c>
      <c r="K33" s="200" t="s">
        <v>52</v>
      </c>
      <c r="L33" s="145" t="s">
        <v>53</v>
      </c>
      <c r="M33" s="145" t="str">
        <f t="shared" si="1"/>
        <v>OneCo Networks AS</v>
      </c>
      <c r="N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 s="268" t="str">
        <f ca="1">IFERROR(IF(
OR(Table1[[#This Row],[Product category]]="Service items",Table1[[#This Row],[Product category]]="Additional services",Table1[[#This Row],[Product category]]="Additional materials"),
"NOK",IF(($N$3&lt;&gt;""),VLOOKUP(Table1[[#This Row],[Product code]],INDIRECT(Aux!$A$1),6,FALSE),"")),"")</f>
        <v/>
      </c>
      <c r="P33" s="41" t="str">
        <f ca="1">IFERROR(IF(AND(Table1[[#This Row],[Quantity]]&lt;&gt;"",Table1[[#This Row],[Currency]]="NOK"),Table1[[#This Row],[Quantity]]*Table1[[#This Row],[Unit Price]],""),"")</f>
        <v/>
      </c>
      <c r="Q33" s="41" t="str">
        <f ca="1">IFERROR(IF(AND(Table1[[#This Row],[ACT_Qty]]&lt;&gt;"",Table1[[#This Row],[Currency]]="NOK"),Table1[[#This Row],[ACT_Qty]]*Table1[[#This Row],[Unit Price]],""),"")</f>
        <v/>
      </c>
      <c r="R33" s="41" t="str">
        <f ca="1">IFERROR(IF(AND(Table1[[#This Row],[Quantity]]&lt;&gt;"",Table1[[#This Row],[Currency]]="EUR"),Table1[[#This Row],[Quantity]]*Table1[[#This Row],[Unit Price]],""),"")</f>
        <v/>
      </c>
      <c r="S33" s="41" t="str">
        <f ca="1">IFERROR(IF(AND(Table1[[#This Row],[ACT_Qty]]&lt;&gt;"",Table1[[#This Row],[Currency]]="EUR"),Table1[[#This Row],[ACT_Qty]]*Table1[[#This Row],[Unit Price]],""),"")</f>
        <v/>
      </c>
      <c r="T33" s="269" t="str">
        <f ca="1">IFERROR(IF(AND(($N$3&lt;&gt;""),INDIRECT(Aux!$D$1)),VLOOKUP(Table1[[#This Row],[Product code]],Aux!B:E,4,FALSE),""),"")</f>
        <v/>
      </c>
      <c r="U33" s="145" t="str">
        <f>IFERROR(IF(OR(Table1[[#This Row],[Quantity]]&lt;&gt;"",Table1[[#This Row],[ACT_Qty]]&lt;&gt;""),Table1[[#This Row],[ACT_Qty]]-Table1[[#This Row],[Quantity]],""),"")</f>
        <v/>
      </c>
      <c r="V33" s="45"/>
      <c r="W33" s="45"/>
      <c r="X33" s="45"/>
    </row>
    <row r="34" spans="1:24" ht="15" customHeight="1">
      <c r="A34" s="143" t="str">
        <f t="shared" si="0"/>
        <v>AKH12345</v>
      </c>
      <c r="B34" s="256" t="s">
        <v>132</v>
      </c>
      <c r="C34" s="143" t="s">
        <v>133</v>
      </c>
      <c r="D34" s="105"/>
      <c r="E34" s="106"/>
      <c r="F34" s="105"/>
      <c r="G34" s="106"/>
      <c r="H34" s="199" t="s">
        <v>134</v>
      </c>
      <c r="I34" s="200" t="s">
        <v>88</v>
      </c>
      <c r="J34" s="200" t="s">
        <v>131</v>
      </c>
      <c r="K34" s="200" t="s">
        <v>52</v>
      </c>
      <c r="L34" s="145" t="s">
        <v>53</v>
      </c>
      <c r="M34" s="145" t="str">
        <f t="shared" si="1"/>
        <v>OneCo Networks AS</v>
      </c>
      <c r="N3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 s="268" t="str">
        <f ca="1">IFERROR(IF(
OR(Table1[[#This Row],[Product category]]="Service items",Table1[[#This Row],[Product category]]="Additional services",Table1[[#This Row],[Product category]]="Additional materials"),
"NOK",IF(($N$3&lt;&gt;""),VLOOKUP(Table1[[#This Row],[Product code]],INDIRECT(Aux!$A$1),6,FALSE),"")),"")</f>
        <v/>
      </c>
      <c r="P34" s="41" t="str">
        <f ca="1">IFERROR(IF(AND(Table1[[#This Row],[Quantity]]&lt;&gt;"",Table1[[#This Row],[Currency]]="NOK"),Table1[[#This Row],[Quantity]]*Table1[[#This Row],[Unit Price]],""),"")</f>
        <v/>
      </c>
      <c r="Q34" s="41" t="str">
        <f ca="1">IFERROR(IF(AND(Table1[[#This Row],[ACT_Qty]]&lt;&gt;"",Table1[[#This Row],[Currency]]="NOK"),Table1[[#This Row],[ACT_Qty]]*Table1[[#This Row],[Unit Price]],""),"")</f>
        <v/>
      </c>
      <c r="R34" s="41" t="str">
        <f ca="1">IFERROR(IF(AND(Table1[[#This Row],[Quantity]]&lt;&gt;"",Table1[[#This Row],[Currency]]="EUR"),Table1[[#This Row],[Quantity]]*Table1[[#This Row],[Unit Price]],""),"")</f>
        <v/>
      </c>
      <c r="S34" s="41" t="str">
        <f ca="1">IFERROR(IF(AND(Table1[[#This Row],[ACT_Qty]]&lt;&gt;"",Table1[[#This Row],[Currency]]="EUR"),Table1[[#This Row],[ACT_Qty]]*Table1[[#This Row],[Unit Price]],""),"")</f>
        <v/>
      </c>
      <c r="T34" s="269" t="str">
        <f ca="1">IFERROR(IF(AND(($N$3&lt;&gt;""),INDIRECT(Aux!$D$1)),VLOOKUP(Table1[[#This Row],[Product code]],Aux!B:E,4,FALSE),""),"")</f>
        <v/>
      </c>
      <c r="U34" s="145" t="str">
        <f>IFERROR(IF(OR(Table1[[#This Row],[Quantity]]&lt;&gt;"",Table1[[#This Row],[ACT_Qty]]&lt;&gt;""),Table1[[#This Row],[ACT_Qty]]-Table1[[#This Row],[Quantity]],""),"")</f>
        <v/>
      </c>
      <c r="V34" s="45"/>
      <c r="W34" s="45"/>
      <c r="X34" s="45"/>
    </row>
    <row r="35" spans="1:24" ht="15" customHeight="1">
      <c r="A35" s="143" t="str">
        <f t="shared" si="0"/>
        <v>AKH12345</v>
      </c>
      <c r="B35" s="256" t="s">
        <v>135</v>
      </c>
      <c r="C35" s="143" t="s">
        <v>136</v>
      </c>
      <c r="D35" s="105"/>
      <c r="E35" s="106"/>
      <c r="F35" s="105"/>
      <c r="G35" s="106"/>
      <c r="H35" s="199" t="s">
        <v>137</v>
      </c>
      <c r="I35" s="200" t="s">
        <v>138</v>
      </c>
      <c r="J35" s="200" t="s">
        <v>138</v>
      </c>
      <c r="K35" s="200" t="s">
        <v>52</v>
      </c>
      <c r="L35" s="145" t="s">
        <v>53</v>
      </c>
      <c r="M35" s="145" t="str">
        <f t="shared" si="1"/>
        <v>OneCo Networks AS</v>
      </c>
      <c r="N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 s="268" t="str">
        <f ca="1">IFERROR(IF(
OR(Table1[[#This Row],[Product category]]="Service items",Table1[[#This Row],[Product category]]="Additional services",Table1[[#This Row],[Product category]]="Additional materials"),
"NOK",IF(($N$3&lt;&gt;""),VLOOKUP(Table1[[#This Row],[Product code]],INDIRECT(Aux!$A$1),6,FALSE),"")),"")</f>
        <v/>
      </c>
      <c r="P35" s="41" t="str">
        <f ca="1">IFERROR(IF(AND(Table1[[#This Row],[Quantity]]&lt;&gt;"",Table1[[#This Row],[Currency]]="NOK"),Table1[[#This Row],[Quantity]]*Table1[[#This Row],[Unit Price]],""),"")</f>
        <v/>
      </c>
      <c r="Q35" s="41" t="str">
        <f ca="1">IFERROR(IF(AND(Table1[[#This Row],[ACT_Qty]]&lt;&gt;"",Table1[[#This Row],[Currency]]="NOK"),Table1[[#This Row],[ACT_Qty]]*Table1[[#This Row],[Unit Price]],""),"")</f>
        <v/>
      </c>
      <c r="R35" s="41" t="str">
        <f ca="1">IFERROR(IF(AND(Table1[[#This Row],[Quantity]]&lt;&gt;"",Table1[[#This Row],[Currency]]="EUR"),Table1[[#This Row],[Quantity]]*Table1[[#This Row],[Unit Price]],""),"")</f>
        <v/>
      </c>
      <c r="S35" s="41" t="str">
        <f ca="1">IFERROR(IF(AND(Table1[[#This Row],[ACT_Qty]]&lt;&gt;"",Table1[[#This Row],[Currency]]="EUR"),Table1[[#This Row],[ACT_Qty]]*Table1[[#This Row],[Unit Price]],""),"")</f>
        <v/>
      </c>
      <c r="T35" s="269" t="str">
        <f ca="1">IFERROR(IF(AND(($N$3&lt;&gt;""),INDIRECT(Aux!$D$1)),VLOOKUP(Table1[[#This Row],[Product code]],Aux!B:E,4,FALSE),""),"")</f>
        <v/>
      </c>
      <c r="U35" s="145" t="str">
        <f>IFERROR(IF(OR(Table1[[#This Row],[Quantity]]&lt;&gt;"",Table1[[#This Row],[ACT_Qty]]&lt;&gt;""),Table1[[#This Row],[ACT_Qty]]-Table1[[#This Row],[Quantity]],""),"")</f>
        <v/>
      </c>
      <c r="V35" s="45"/>
      <c r="W35" s="45"/>
      <c r="X35" s="45"/>
    </row>
    <row r="36" spans="1:24" ht="15" customHeight="1">
      <c r="A36" s="143" t="str">
        <f t="shared" si="0"/>
        <v>AKH12345</v>
      </c>
      <c r="B36" s="256" t="s">
        <v>139</v>
      </c>
      <c r="C36" s="143" t="s">
        <v>140</v>
      </c>
      <c r="D36" s="105"/>
      <c r="E36" s="106" t="s">
        <v>141</v>
      </c>
      <c r="F36" s="105"/>
      <c r="G36" s="106"/>
      <c r="H36" s="199" t="s">
        <v>142</v>
      </c>
      <c r="I36" s="200" t="s">
        <v>143</v>
      </c>
      <c r="J36" s="200" t="s">
        <v>144</v>
      </c>
      <c r="K36" s="200" t="s">
        <v>52</v>
      </c>
      <c r="L36" s="145" t="s">
        <v>53</v>
      </c>
      <c r="M36" s="145" t="str">
        <f t="shared" si="1"/>
        <v>OneCo Networks AS</v>
      </c>
      <c r="N3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 s="268" t="str">
        <f ca="1">IFERROR(IF(
OR(Table1[[#This Row],[Product category]]="Service items",Table1[[#This Row],[Product category]]="Additional services",Table1[[#This Row],[Product category]]="Additional materials"),
"NOK",IF(($N$3&lt;&gt;""),VLOOKUP(Table1[[#This Row],[Product code]],INDIRECT(Aux!$A$1),6,FALSE),"")),"")</f>
        <v/>
      </c>
      <c r="P36" s="41" t="str">
        <f ca="1">IFERROR(IF(AND(Table1[[#This Row],[Quantity]]&lt;&gt;"",Table1[[#This Row],[Currency]]="NOK"),Table1[[#This Row],[Quantity]]*Table1[[#This Row],[Unit Price]],""),"")</f>
        <v/>
      </c>
      <c r="Q36" s="41" t="str">
        <f ca="1">IFERROR(IF(AND(Table1[[#This Row],[ACT_Qty]]&lt;&gt;"",Table1[[#This Row],[Currency]]="NOK"),Table1[[#This Row],[ACT_Qty]]*Table1[[#This Row],[Unit Price]],""),"")</f>
        <v/>
      </c>
      <c r="R36" s="41" t="str">
        <f ca="1">IFERROR(IF(AND(Table1[[#This Row],[Quantity]]&lt;&gt;"",Table1[[#This Row],[Currency]]="EUR"),Table1[[#This Row],[Quantity]]*Table1[[#This Row],[Unit Price]],""),"")</f>
        <v/>
      </c>
      <c r="S36" s="41" t="str">
        <f ca="1">IFERROR(IF(AND(Table1[[#This Row],[ACT_Qty]]&lt;&gt;"",Table1[[#This Row],[Currency]]="EUR"),Table1[[#This Row],[ACT_Qty]]*Table1[[#This Row],[Unit Price]],""),"")</f>
        <v/>
      </c>
      <c r="T36" s="269" t="str">
        <f ca="1">IFERROR(IF(AND(($N$3&lt;&gt;""),INDIRECT(Aux!$D$1)),VLOOKUP(Table1[[#This Row],[Product code]],Aux!B:E,4,FALSE),""),"")</f>
        <v/>
      </c>
      <c r="U36" s="145" t="str">
        <f>IFERROR(IF(OR(Table1[[#This Row],[Quantity]]&lt;&gt;"",Table1[[#This Row],[ACT_Qty]]&lt;&gt;""),Table1[[#This Row],[ACT_Qty]]-Table1[[#This Row],[Quantity]],""),"")</f>
        <v/>
      </c>
      <c r="V36" s="45"/>
      <c r="W36" s="45"/>
      <c r="X36" s="45"/>
    </row>
    <row r="37" spans="1:24" ht="15" customHeight="1">
      <c r="A37" s="143" t="str">
        <f t="shared" si="0"/>
        <v>AKH12345</v>
      </c>
      <c r="B37" s="256" t="s">
        <v>145</v>
      </c>
      <c r="C37" s="143" t="s">
        <v>146</v>
      </c>
      <c r="D37" s="105"/>
      <c r="E37" s="106"/>
      <c r="F37" s="105"/>
      <c r="G37" s="106"/>
      <c r="H37" s="199" t="s">
        <v>147</v>
      </c>
      <c r="I37" s="200" t="s">
        <v>143</v>
      </c>
      <c r="J37" s="200" t="s">
        <v>144</v>
      </c>
      <c r="K37" s="200" t="s">
        <v>52</v>
      </c>
      <c r="L37" s="145" t="s">
        <v>53</v>
      </c>
      <c r="M37" s="145" t="str">
        <f t="shared" si="1"/>
        <v>OneCo Networks AS</v>
      </c>
      <c r="N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 s="268" t="str">
        <f ca="1">IFERROR(IF(
OR(Table1[[#This Row],[Product category]]="Service items",Table1[[#This Row],[Product category]]="Additional services",Table1[[#This Row],[Product category]]="Additional materials"),
"NOK",IF(($N$3&lt;&gt;""),VLOOKUP(Table1[[#This Row],[Product code]],INDIRECT(Aux!$A$1),6,FALSE),"")),"")</f>
        <v/>
      </c>
      <c r="P37" s="41" t="str">
        <f ca="1">IFERROR(IF(AND(Table1[[#This Row],[Quantity]]&lt;&gt;"",Table1[[#This Row],[Currency]]="NOK"),Table1[[#This Row],[Quantity]]*Table1[[#This Row],[Unit Price]],""),"")</f>
        <v/>
      </c>
      <c r="Q37" s="41" t="str">
        <f ca="1">IFERROR(IF(AND(Table1[[#This Row],[ACT_Qty]]&lt;&gt;"",Table1[[#This Row],[Currency]]="NOK"),Table1[[#This Row],[ACT_Qty]]*Table1[[#This Row],[Unit Price]],""),"")</f>
        <v/>
      </c>
      <c r="R37" s="41" t="str">
        <f ca="1">IFERROR(IF(AND(Table1[[#This Row],[Quantity]]&lt;&gt;"",Table1[[#This Row],[Currency]]="EUR"),Table1[[#This Row],[Quantity]]*Table1[[#This Row],[Unit Price]],""),"")</f>
        <v/>
      </c>
      <c r="S37" s="41" t="str">
        <f ca="1">IFERROR(IF(AND(Table1[[#This Row],[ACT_Qty]]&lt;&gt;"",Table1[[#This Row],[Currency]]="EUR"),Table1[[#This Row],[ACT_Qty]]*Table1[[#This Row],[Unit Price]],""),"")</f>
        <v/>
      </c>
      <c r="T37" s="269" t="str">
        <f ca="1">IFERROR(IF(AND(($N$3&lt;&gt;""),INDIRECT(Aux!$D$1)),VLOOKUP(Table1[[#This Row],[Product code]],Aux!B:E,4,FALSE),""),"")</f>
        <v/>
      </c>
      <c r="U37" s="145" t="str">
        <f>IFERROR(IF(OR(Table1[[#This Row],[Quantity]]&lt;&gt;"",Table1[[#This Row],[ACT_Qty]]&lt;&gt;""),Table1[[#This Row],[ACT_Qty]]-Table1[[#This Row],[Quantity]],""),"")</f>
        <v/>
      </c>
      <c r="V37" s="45"/>
      <c r="W37" s="45"/>
      <c r="X37" s="45"/>
    </row>
    <row r="38" spans="1:24" ht="15" customHeight="1">
      <c r="A38" s="143" t="str">
        <f t="shared" si="0"/>
        <v>AKH12345</v>
      </c>
      <c r="B38" s="256" t="s">
        <v>148</v>
      </c>
      <c r="C38" s="143" t="s">
        <v>149</v>
      </c>
      <c r="D38" s="105"/>
      <c r="E38" s="106" t="s">
        <v>150</v>
      </c>
      <c r="F38" s="105"/>
      <c r="G38" s="106"/>
      <c r="H38" s="199" t="s">
        <v>151</v>
      </c>
      <c r="I38" s="200" t="s">
        <v>143</v>
      </c>
      <c r="J38" s="200" t="s">
        <v>144</v>
      </c>
      <c r="K38" s="200" t="s">
        <v>52</v>
      </c>
      <c r="L38" s="145" t="s">
        <v>152</v>
      </c>
      <c r="M38" s="145" t="str">
        <f t="shared" si="1"/>
        <v>OneCo Networks AS</v>
      </c>
      <c r="N3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 s="268" t="str">
        <f ca="1">IFERROR(IF(
OR(Table1[[#This Row],[Product category]]="Service items",Table1[[#This Row],[Product category]]="Additional services",Table1[[#This Row],[Product category]]="Additional materials"),
"NOK",IF(($N$3&lt;&gt;""),VLOOKUP(Table1[[#This Row],[Product code]],INDIRECT(Aux!$A$1),6,FALSE),"")),"")</f>
        <v/>
      </c>
      <c r="P38" s="41" t="str">
        <f ca="1">IFERROR(IF(AND(Table1[[#This Row],[Quantity]]&lt;&gt;"",Table1[[#This Row],[Currency]]="NOK"),Table1[[#This Row],[Quantity]]*Table1[[#This Row],[Unit Price]],""),"")</f>
        <v/>
      </c>
      <c r="Q38" s="41" t="str">
        <f ca="1">IFERROR(IF(AND(Table1[[#This Row],[ACT_Qty]]&lt;&gt;"",Table1[[#This Row],[Currency]]="NOK"),Table1[[#This Row],[ACT_Qty]]*Table1[[#This Row],[Unit Price]],""),"")</f>
        <v/>
      </c>
      <c r="R38" s="41" t="str">
        <f ca="1">IFERROR(IF(AND(Table1[[#This Row],[Quantity]]&lt;&gt;"",Table1[[#This Row],[Currency]]="EUR"),Table1[[#This Row],[Quantity]]*Table1[[#This Row],[Unit Price]],""),"")</f>
        <v/>
      </c>
      <c r="S38" s="41" t="str">
        <f ca="1">IFERROR(IF(AND(Table1[[#This Row],[ACT_Qty]]&lt;&gt;"",Table1[[#This Row],[Currency]]="EUR"),Table1[[#This Row],[ACT_Qty]]*Table1[[#This Row],[Unit Price]],""),"")</f>
        <v/>
      </c>
      <c r="T38" s="269" t="str">
        <f ca="1">IFERROR(IF(AND(($N$3&lt;&gt;""),INDIRECT(Aux!$D$1)),VLOOKUP(Table1[[#This Row],[Product code]],Aux!B:E,4,FALSE),""),"")</f>
        <v/>
      </c>
      <c r="U38" s="145" t="str">
        <f>IFERROR(IF(OR(Table1[[#This Row],[Quantity]]&lt;&gt;"",Table1[[#This Row],[ACT_Qty]]&lt;&gt;""),Table1[[#This Row],[ACT_Qty]]-Table1[[#This Row],[Quantity]],""),"")</f>
        <v/>
      </c>
      <c r="V38" s="45"/>
      <c r="W38" s="45"/>
      <c r="X38" s="45"/>
    </row>
    <row r="39" spans="1:24" ht="15" customHeight="1">
      <c r="A39" s="143" t="str">
        <f t="shared" si="0"/>
        <v>AKH12345</v>
      </c>
      <c r="B39" s="256" t="s">
        <v>153</v>
      </c>
      <c r="C39" s="143" t="s">
        <v>154</v>
      </c>
      <c r="D39" s="105"/>
      <c r="E39" s="106"/>
      <c r="F39" s="105"/>
      <c r="G39" s="106"/>
      <c r="H39" s="199" t="s">
        <v>155</v>
      </c>
      <c r="I39" s="200" t="s">
        <v>143</v>
      </c>
      <c r="J39" s="200" t="s">
        <v>156</v>
      </c>
      <c r="K39" s="200" t="s">
        <v>52</v>
      </c>
      <c r="L39" s="145" t="s">
        <v>152</v>
      </c>
      <c r="M39" s="145" t="str">
        <f t="shared" si="1"/>
        <v>OneCo Networks AS</v>
      </c>
      <c r="N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 s="268" t="str">
        <f ca="1">IFERROR(IF(
OR(Table1[[#This Row],[Product category]]="Service items",Table1[[#This Row],[Product category]]="Additional services",Table1[[#This Row],[Product category]]="Additional materials"),
"NOK",IF(($N$3&lt;&gt;""),VLOOKUP(Table1[[#This Row],[Product code]],INDIRECT(Aux!$A$1),6,FALSE),"")),"")</f>
        <v/>
      </c>
      <c r="P39" s="41" t="str">
        <f ca="1">IFERROR(IF(AND(Table1[[#This Row],[Quantity]]&lt;&gt;"",Table1[[#This Row],[Currency]]="NOK"),Table1[[#This Row],[Quantity]]*Table1[[#This Row],[Unit Price]],""),"")</f>
        <v/>
      </c>
      <c r="Q39" s="41" t="str">
        <f ca="1">IFERROR(IF(AND(Table1[[#This Row],[ACT_Qty]]&lt;&gt;"",Table1[[#This Row],[Currency]]="NOK"),Table1[[#This Row],[ACT_Qty]]*Table1[[#This Row],[Unit Price]],""),"")</f>
        <v/>
      </c>
      <c r="R39" s="41" t="str">
        <f ca="1">IFERROR(IF(AND(Table1[[#This Row],[Quantity]]&lt;&gt;"",Table1[[#This Row],[Currency]]="EUR"),Table1[[#This Row],[Quantity]]*Table1[[#This Row],[Unit Price]],""),"")</f>
        <v/>
      </c>
      <c r="S39" s="41" t="str">
        <f ca="1">IFERROR(IF(AND(Table1[[#This Row],[ACT_Qty]]&lt;&gt;"",Table1[[#This Row],[Currency]]="EUR"),Table1[[#This Row],[ACT_Qty]]*Table1[[#This Row],[Unit Price]],""),"")</f>
        <v/>
      </c>
      <c r="T39" s="269" t="str">
        <f ca="1">IFERROR(IF(AND(($N$3&lt;&gt;""),INDIRECT(Aux!$D$1)),VLOOKUP(Table1[[#This Row],[Product code]],Aux!B:E,4,FALSE),""),"")</f>
        <v/>
      </c>
      <c r="U39" s="145" t="str">
        <f>IFERROR(IF(OR(Table1[[#This Row],[Quantity]]&lt;&gt;"",Table1[[#This Row],[ACT_Qty]]&lt;&gt;""),Table1[[#This Row],[ACT_Qty]]-Table1[[#This Row],[Quantity]],""),"")</f>
        <v/>
      </c>
      <c r="V39" s="45"/>
      <c r="W39" s="45"/>
      <c r="X39" s="45"/>
    </row>
    <row r="40" spans="1:24" ht="15" customHeight="1">
      <c r="A40" s="143" t="str">
        <f t="shared" si="0"/>
        <v>AKH12345</v>
      </c>
      <c r="B40" s="256" t="s">
        <v>157</v>
      </c>
      <c r="C40" s="143" t="s">
        <v>158</v>
      </c>
      <c r="D40" s="105"/>
      <c r="E40" s="106" t="s">
        <v>159</v>
      </c>
      <c r="F40" s="105"/>
      <c r="G40" s="106"/>
      <c r="H40" s="199" t="s">
        <v>160</v>
      </c>
      <c r="I40" s="200" t="s">
        <v>88</v>
      </c>
      <c r="J40" s="200" t="s">
        <v>131</v>
      </c>
      <c r="K40" s="200" t="s">
        <v>52</v>
      </c>
      <c r="L40" s="145" t="s">
        <v>53</v>
      </c>
      <c r="M40" s="145" t="str">
        <f t="shared" si="1"/>
        <v>OneCo Networks AS</v>
      </c>
      <c r="N4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 s="268" t="str">
        <f ca="1">IFERROR(IF(
OR(Table1[[#This Row],[Product category]]="Service items",Table1[[#This Row],[Product category]]="Additional services",Table1[[#This Row],[Product category]]="Additional materials"),
"NOK",IF(($N$3&lt;&gt;""),VLOOKUP(Table1[[#This Row],[Product code]],INDIRECT(Aux!$A$1),6,FALSE),"")),"")</f>
        <v/>
      </c>
      <c r="P40" s="41" t="str">
        <f ca="1">IFERROR(IF(AND(Table1[[#This Row],[Quantity]]&lt;&gt;"",Table1[[#This Row],[Currency]]="NOK"),Table1[[#This Row],[Quantity]]*Table1[[#This Row],[Unit Price]],""),"")</f>
        <v/>
      </c>
      <c r="Q40" s="41" t="str">
        <f ca="1">IFERROR(IF(AND(Table1[[#This Row],[ACT_Qty]]&lt;&gt;"",Table1[[#This Row],[Currency]]="NOK"),Table1[[#This Row],[ACT_Qty]]*Table1[[#This Row],[Unit Price]],""),"")</f>
        <v/>
      </c>
      <c r="R40" s="41" t="str">
        <f ca="1">IFERROR(IF(AND(Table1[[#This Row],[Quantity]]&lt;&gt;"",Table1[[#This Row],[Currency]]="EUR"),Table1[[#This Row],[Quantity]]*Table1[[#This Row],[Unit Price]],""),"")</f>
        <v/>
      </c>
      <c r="S40" s="41" t="str">
        <f ca="1">IFERROR(IF(AND(Table1[[#This Row],[ACT_Qty]]&lt;&gt;"",Table1[[#This Row],[Currency]]="EUR"),Table1[[#This Row],[ACT_Qty]]*Table1[[#This Row],[Unit Price]],""),"")</f>
        <v/>
      </c>
      <c r="T40" s="269" t="str">
        <f ca="1">IFERROR(IF(AND(($N$3&lt;&gt;""),INDIRECT(Aux!$D$1)),VLOOKUP(Table1[[#This Row],[Product code]],Aux!B:E,4,FALSE),""),"")</f>
        <v/>
      </c>
      <c r="U40" s="145" t="str">
        <f>IFERROR(IF(OR(Table1[[#This Row],[Quantity]]&lt;&gt;"",Table1[[#This Row],[ACT_Qty]]&lt;&gt;""),Table1[[#This Row],[ACT_Qty]]-Table1[[#This Row],[Quantity]],""),"")</f>
        <v/>
      </c>
      <c r="V40" s="45"/>
      <c r="W40" s="45"/>
      <c r="X40" s="45"/>
    </row>
    <row r="41" spans="1:24" ht="15" customHeight="1">
      <c r="A41" s="143" t="str">
        <f t="shared" si="0"/>
        <v>AKH12345</v>
      </c>
      <c r="B41" s="256" t="s">
        <v>161</v>
      </c>
      <c r="C41" s="143" t="s">
        <v>162</v>
      </c>
      <c r="D41" s="105"/>
      <c r="E41" s="106" t="s">
        <v>163</v>
      </c>
      <c r="F41" s="105"/>
      <c r="G41" s="106"/>
      <c r="H41" s="199" t="s">
        <v>164</v>
      </c>
      <c r="I41" s="200" t="s">
        <v>88</v>
      </c>
      <c r="J41" s="200" t="s">
        <v>131</v>
      </c>
      <c r="K41" s="200" t="s">
        <v>52</v>
      </c>
      <c r="L41" s="145" t="s">
        <v>53</v>
      </c>
      <c r="M41" s="145" t="str">
        <f t="shared" si="1"/>
        <v>OneCo Networks AS</v>
      </c>
      <c r="N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 s="268" t="str">
        <f ca="1">IFERROR(IF(
OR(Table1[[#This Row],[Product category]]="Service items",Table1[[#This Row],[Product category]]="Additional services",Table1[[#This Row],[Product category]]="Additional materials"),
"NOK",IF(($N$3&lt;&gt;""),VLOOKUP(Table1[[#This Row],[Product code]],INDIRECT(Aux!$A$1),6,FALSE),"")),"")</f>
        <v/>
      </c>
      <c r="P41" s="41" t="str">
        <f ca="1">IFERROR(IF(AND(Table1[[#This Row],[Quantity]]&lt;&gt;"",Table1[[#This Row],[Currency]]="NOK"),Table1[[#This Row],[Quantity]]*Table1[[#This Row],[Unit Price]],""),"")</f>
        <v/>
      </c>
      <c r="Q41" s="41" t="str">
        <f ca="1">IFERROR(IF(AND(Table1[[#This Row],[ACT_Qty]]&lt;&gt;"",Table1[[#This Row],[Currency]]="NOK"),Table1[[#This Row],[ACT_Qty]]*Table1[[#This Row],[Unit Price]],""),"")</f>
        <v/>
      </c>
      <c r="R41" s="41" t="str">
        <f ca="1">IFERROR(IF(AND(Table1[[#This Row],[Quantity]]&lt;&gt;"",Table1[[#This Row],[Currency]]="EUR"),Table1[[#This Row],[Quantity]]*Table1[[#This Row],[Unit Price]],""),"")</f>
        <v/>
      </c>
      <c r="S41" s="41" t="str">
        <f ca="1">IFERROR(IF(AND(Table1[[#This Row],[ACT_Qty]]&lt;&gt;"",Table1[[#This Row],[Currency]]="EUR"),Table1[[#This Row],[ACT_Qty]]*Table1[[#This Row],[Unit Price]],""),"")</f>
        <v/>
      </c>
      <c r="T41" s="269" t="str">
        <f ca="1">IFERROR(IF(AND(($N$3&lt;&gt;""),INDIRECT(Aux!$D$1)),VLOOKUP(Table1[[#This Row],[Product code]],Aux!B:E,4,FALSE),""),"")</f>
        <v/>
      </c>
      <c r="U41" s="145" t="str">
        <f>IFERROR(IF(OR(Table1[[#This Row],[Quantity]]&lt;&gt;"",Table1[[#This Row],[ACT_Qty]]&lt;&gt;""),Table1[[#This Row],[ACT_Qty]]-Table1[[#This Row],[Quantity]],""),"")</f>
        <v/>
      </c>
      <c r="V41" s="45"/>
      <c r="W41" s="45"/>
      <c r="X41" s="45"/>
    </row>
    <row r="42" spans="1:24" ht="15" customHeight="1">
      <c r="A42" s="143" t="str">
        <f t="shared" si="0"/>
        <v>AKH12345</v>
      </c>
      <c r="B42" s="256" t="s">
        <v>165</v>
      </c>
      <c r="C42" s="143" t="s">
        <v>166</v>
      </c>
      <c r="D42" s="105"/>
      <c r="E42" s="106" t="s">
        <v>167</v>
      </c>
      <c r="F42" s="105"/>
      <c r="G42" s="106"/>
      <c r="H42" s="199" t="s">
        <v>168</v>
      </c>
      <c r="I42" s="200" t="s">
        <v>88</v>
      </c>
      <c r="J42" s="200" t="s">
        <v>131</v>
      </c>
      <c r="K42" s="200" t="s">
        <v>52</v>
      </c>
      <c r="L42" s="145" t="s">
        <v>53</v>
      </c>
      <c r="M42" s="145" t="str">
        <f t="shared" si="1"/>
        <v>OneCo Networks AS</v>
      </c>
      <c r="N4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 s="268" t="str">
        <f ca="1">IFERROR(IF(
OR(Table1[[#This Row],[Product category]]="Service items",Table1[[#This Row],[Product category]]="Additional services",Table1[[#This Row],[Product category]]="Additional materials"),
"NOK",IF(($N$3&lt;&gt;""),VLOOKUP(Table1[[#This Row],[Product code]],INDIRECT(Aux!$A$1),6,FALSE),"")),"")</f>
        <v/>
      </c>
      <c r="P42" s="41" t="str">
        <f ca="1">IFERROR(IF(AND(Table1[[#This Row],[Quantity]]&lt;&gt;"",Table1[[#This Row],[Currency]]="NOK"),Table1[[#This Row],[Quantity]]*Table1[[#This Row],[Unit Price]],""),"")</f>
        <v/>
      </c>
      <c r="Q42" s="41" t="str">
        <f ca="1">IFERROR(IF(AND(Table1[[#This Row],[ACT_Qty]]&lt;&gt;"",Table1[[#This Row],[Currency]]="NOK"),Table1[[#This Row],[ACT_Qty]]*Table1[[#This Row],[Unit Price]],""),"")</f>
        <v/>
      </c>
      <c r="R42" s="41" t="str">
        <f ca="1">IFERROR(IF(AND(Table1[[#This Row],[Quantity]]&lt;&gt;"",Table1[[#This Row],[Currency]]="EUR"),Table1[[#This Row],[Quantity]]*Table1[[#This Row],[Unit Price]],""),"")</f>
        <v/>
      </c>
      <c r="S42" s="41" t="str">
        <f ca="1">IFERROR(IF(AND(Table1[[#This Row],[ACT_Qty]]&lt;&gt;"",Table1[[#This Row],[Currency]]="EUR"),Table1[[#This Row],[ACT_Qty]]*Table1[[#This Row],[Unit Price]],""),"")</f>
        <v/>
      </c>
      <c r="T42" s="269" t="str">
        <f ca="1">IFERROR(IF(AND(($N$3&lt;&gt;""),INDIRECT(Aux!$D$1)),VLOOKUP(Table1[[#This Row],[Product code]],Aux!B:E,4,FALSE),""),"")</f>
        <v/>
      </c>
      <c r="U42" s="145" t="str">
        <f>IFERROR(IF(OR(Table1[[#This Row],[Quantity]]&lt;&gt;"",Table1[[#This Row],[ACT_Qty]]&lt;&gt;""),Table1[[#This Row],[ACT_Qty]]-Table1[[#This Row],[Quantity]],""),"")</f>
        <v/>
      </c>
      <c r="V42" s="45"/>
      <c r="W42" s="45"/>
      <c r="X42" s="45"/>
    </row>
    <row r="43" spans="1:24" ht="15" customHeight="1">
      <c r="A43" s="143" t="str">
        <f t="shared" si="0"/>
        <v>AKH12345</v>
      </c>
      <c r="B43" s="256" t="s">
        <v>169</v>
      </c>
      <c r="C43" s="143" t="s">
        <v>170</v>
      </c>
      <c r="D43" s="105"/>
      <c r="E43" s="106" t="s">
        <v>171</v>
      </c>
      <c r="F43" s="105"/>
      <c r="G43" s="106"/>
      <c r="H43" s="199" t="s">
        <v>172</v>
      </c>
      <c r="I43" s="200" t="s">
        <v>173</v>
      </c>
      <c r="J43" s="200" t="s">
        <v>174</v>
      </c>
      <c r="K43" s="200" t="s">
        <v>52</v>
      </c>
      <c r="L43" s="145" t="s">
        <v>53</v>
      </c>
      <c r="M43" s="145" t="str">
        <f t="shared" si="1"/>
        <v>OneCo Networks AS</v>
      </c>
      <c r="N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 s="268" t="str">
        <f ca="1">IFERROR(IF(
OR(Table1[[#This Row],[Product category]]="Service items",Table1[[#This Row],[Product category]]="Additional services",Table1[[#This Row],[Product category]]="Additional materials"),
"NOK",IF(($N$3&lt;&gt;""),VLOOKUP(Table1[[#This Row],[Product code]],INDIRECT(Aux!$A$1),6,FALSE),"")),"")</f>
        <v/>
      </c>
      <c r="P43" s="41" t="str">
        <f ca="1">IFERROR(IF(AND(Table1[[#This Row],[Quantity]]&lt;&gt;"",Table1[[#This Row],[Currency]]="NOK"),Table1[[#This Row],[Quantity]]*Table1[[#This Row],[Unit Price]],""),"")</f>
        <v/>
      </c>
      <c r="Q43" s="41" t="str">
        <f ca="1">IFERROR(IF(AND(Table1[[#This Row],[ACT_Qty]]&lt;&gt;"",Table1[[#This Row],[Currency]]="NOK"),Table1[[#This Row],[ACT_Qty]]*Table1[[#This Row],[Unit Price]],""),"")</f>
        <v/>
      </c>
      <c r="R43" s="41" t="str">
        <f ca="1">IFERROR(IF(AND(Table1[[#This Row],[Quantity]]&lt;&gt;"",Table1[[#This Row],[Currency]]="EUR"),Table1[[#This Row],[Quantity]]*Table1[[#This Row],[Unit Price]],""),"")</f>
        <v/>
      </c>
      <c r="S43" s="41" t="str">
        <f ca="1">IFERROR(IF(AND(Table1[[#This Row],[ACT_Qty]]&lt;&gt;"",Table1[[#This Row],[Currency]]="EUR"),Table1[[#This Row],[ACT_Qty]]*Table1[[#This Row],[Unit Price]],""),"")</f>
        <v/>
      </c>
      <c r="T43" s="269" t="str">
        <f ca="1">IFERROR(IF(AND(($N$3&lt;&gt;""),INDIRECT(Aux!$D$1)),VLOOKUP(Table1[[#This Row],[Product code]],Aux!B:E,4,FALSE),""),"")</f>
        <v/>
      </c>
      <c r="U43" s="145" t="str">
        <f>IFERROR(IF(OR(Table1[[#This Row],[Quantity]]&lt;&gt;"",Table1[[#This Row],[ACT_Qty]]&lt;&gt;""),Table1[[#This Row],[ACT_Qty]]-Table1[[#This Row],[Quantity]],""),"")</f>
        <v/>
      </c>
      <c r="V43" s="45"/>
      <c r="W43" s="45"/>
      <c r="X43" s="45"/>
    </row>
    <row r="44" spans="1:24" ht="15" customHeight="1">
      <c r="A44" s="143" t="str">
        <f t="shared" si="0"/>
        <v>AKH12345</v>
      </c>
      <c r="B44" s="256" t="s">
        <v>175</v>
      </c>
      <c r="C44" s="143" t="s">
        <v>176</v>
      </c>
      <c r="D44" s="105"/>
      <c r="E44" s="106" t="s">
        <v>171</v>
      </c>
      <c r="F44" s="105"/>
      <c r="G44" s="106"/>
      <c r="H44" s="199" t="s">
        <v>172</v>
      </c>
      <c r="I44" s="200" t="s">
        <v>173</v>
      </c>
      <c r="J44" s="200" t="s">
        <v>174</v>
      </c>
      <c r="K44" s="200" t="s">
        <v>52</v>
      </c>
      <c r="L44" s="145" t="s">
        <v>53</v>
      </c>
      <c r="M44" s="145" t="str">
        <f t="shared" si="1"/>
        <v>OneCo Networks AS</v>
      </c>
      <c r="N4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 s="268" t="str">
        <f ca="1">IFERROR(IF(
OR(Table1[[#This Row],[Product category]]="Service items",Table1[[#This Row],[Product category]]="Additional services",Table1[[#This Row],[Product category]]="Additional materials"),
"NOK",IF(($N$3&lt;&gt;""),VLOOKUP(Table1[[#This Row],[Product code]],INDIRECT(Aux!$A$1),6,FALSE),"")),"")</f>
        <v/>
      </c>
      <c r="P44" s="41" t="str">
        <f ca="1">IFERROR(IF(AND(Table1[[#This Row],[Quantity]]&lt;&gt;"",Table1[[#This Row],[Currency]]="NOK"),Table1[[#This Row],[Quantity]]*Table1[[#This Row],[Unit Price]],""),"")</f>
        <v/>
      </c>
      <c r="Q44" s="41" t="str">
        <f ca="1">IFERROR(IF(AND(Table1[[#This Row],[ACT_Qty]]&lt;&gt;"",Table1[[#This Row],[Currency]]="NOK"),Table1[[#This Row],[ACT_Qty]]*Table1[[#This Row],[Unit Price]],""),"")</f>
        <v/>
      </c>
      <c r="R44" s="41" t="str">
        <f ca="1">IFERROR(IF(AND(Table1[[#This Row],[Quantity]]&lt;&gt;"",Table1[[#This Row],[Currency]]="EUR"),Table1[[#This Row],[Quantity]]*Table1[[#This Row],[Unit Price]],""),"")</f>
        <v/>
      </c>
      <c r="S44" s="41" t="str">
        <f ca="1">IFERROR(IF(AND(Table1[[#This Row],[ACT_Qty]]&lt;&gt;"",Table1[[#This Row],[Currency]]="EUR"),Table1[[#This Row],[ACT_Qty]]*Table1[[#This Row],[Unit Price]],""),"")</f>
        <v/>
      </c>
      <c r="T44" s="269" t="str">
        <f ca="1">IFERROR(IF(AND(($N$3&lt;&gt;""),INDIRECT(Aux!$D$1)),VLOOKUP(Table1[[#This Row],[Product code]],Aux!B:E,4,FALSE),""),"")</f>
        <v/>
      </c>
      <c r="U44" s="145" t="str">
        <f>IFERROR(IF(OR(Table1[[#This Row],[Quantity]]&lt;&gt;"",Table1[[#This Row],[ACT_Qty]]&lt;&gt;""),Table1[[#This Row],[ACT_Qty]]-Table1[[#This Row],[Quantity]],""),"")</f>
        <v/>
      </c>
      <c r="V44" s="45"/>
      <c r="W44" s="45"/>
      <c r="X44" s="45"/>
    </row>
    <row r="45" spans="1:24" ht="15" customHeight="1">
      <c r="A45" s="143" t="str">
        <f t="shared" si="0"/>
        <v>AKH12345</v>
      </c>
      <c r="B45" s="256" t="s">
        <v>177</v>
      </c>
      <c r="C45" s="143" t="s">
        <v>178</v>
      </c>
      <c r="D45" s="105"/>
      <c r="E45" s="106" t="s">
        <v>171</v>
      </c>
      <c r="F45" s="105"/>
      <c r="G45" s="106"/>
      <c r="H45" s="199" t="s">
        <v>172</v>
      </c>
      <c r="I45" s="200" t="s">
        <v>173</v>
      </c>
      <c r="J45" s="200" t="s">
        <v>174</v>
      </c>
      <c r="K45" s="200" t="s">
        <v>52</v>
      </c>
      <c r="L45" s="145" t="s">
        <v>53</v>
      </c>
      <c r="M45" s="145" t="str">
        <f t="shared" si="1"/>
        <v>OneCo Networks AS</v>
      </c>
      <c r="N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 s="268" t="str">
        <f ca="1">IFERROR(IF(
OR(Table1[[#This Row],[Product category]]="Service items",Table1[[#This Row],[Product category]]="Additional services",Table1[[#This Row],[Product category]]="Additional materials"),
"NOK",IF(($N$3&lt;&gt;""),VLOOKUP(Table1[[#This Row],[Product code]],INDIRECT(Aux!$A$1),6,FALSE),"")),"")</f>
        <v/>
      </c>
      <c r="P45" s="41" t="str">
        <f ca="1">IFERROR(IF(AND(Table1[[#This Row],[Quantity]]&lt;&gt;"",Table1[[#This Row],[Currency]]="NOK"),Table1[[#This Row],[Quantity]]*Table1[[#This Row],[Unit Price]],""),"")</f>
        <v/>
      </c>
      <c r="Q45" s="41" t="str">
        <f ca="1">IFERROR(IF(AND(Table1[[#This Row],[ACT_Qty]]&lt;&gt;"",Table1[[#This Row],[Currency]]="NOK"),Table1[[#This Row],[ACT_Qty]]*Table1[[#This Row],[Unit Price]],""),"")</f>
        <v/>
      </c>
      <c r="R45" s="41" t="str">
        <f ca="1">IFERROR(IF(AND(Table1[[#This Row],[Quantity]]&lt;&gt;"",Table1[[#This Row],[Currency]]="EUR"),Table1[[#This Row],[Quantity]]*Table1[[#This Row],[Unit Price]],""),"")</f>
        <v/>
      </c>
      <c r="S45" s="41" t="str">
        <f ca="1">IFERROR(IF(AND(Table1[[#This Row],[ACT_Qty]]&lt;&gt;"",Table1[[#This Row],[Currency]]="EUR"),Table1[[#This Row],[ACT_Qty]]*Table1[[#This Row],[Unit Price]],""),"")</f>
        <v/>
      </c>
      <c r="T45" s="269" t="str">
        <f ca="1">IFERROR(IF(AND(($N$3&lt;&gt;""),INDIRECT(Aux!$D$1)),VLOOKUP(Table1[[#This Row],[Product code]],Aux!B:E,4,FALSE),""),"")</f>
        <v/>
      </c>
      <c r="U45" s="145" t="str">
        <f>IFERROR(IF(OR(Table1[[#This Row],[Quantity]]&lt;&gt;"",Table1[[#This Row],[ACT_Qty]]&lt;&gt;""),Table1[[#This Row],[ACT_Qty]]-Table1[[#This Row],[Quantity]],""),"")</f>
        <v/>
      </c>
      <c r="V45" s="45"/>
      <c r="W45" s="45"/>
      <c r="X45" s="45"/>
    </row>
    <row r="46" spans="1:24" ht="15" customHeight="1">
      <c r="A46" s="143" t="str">
        <f t="shared" si="0"/>
        <v>AKH12345</v>
      </c>
      <c r="B46" s="256" t="s">
        <v>179</v>
      </c>
      <c r="C46" s="143" t="s">
        <v>180</v>
      </c>
      <c r="D46" s="105"/>
      <c r="E46" s="106" t="s">
        <v>171</v>
      </c>
      <c r="F46" s="105"/>
      <c r="G46" s="106"/>
      <c r="H46" s="199" t="s">
        <v>172</v>
      </c>
      <c r="I46" s="200" t="s">
        <v>173</v>
      </c>
      <c r="J46" s="200" t="s">
        <v>174</v>
      </c>
      <c r="K46" s="200" t="s">
        <v>52</v>
      </c>
      <c r="L46" s="145" t="s">
        <v>53</v>
      </c>
      <c r="M46" s="145" t="str">
        <f t="shared" si="1"/>
        <v>OneCo Networks AS</v>
      </c>
      <c r="N4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 s="268" t="str">
        <f ca="1">IFERROR(IF(
OR(Table1[[#This Row],[Product category]]="Service items",Table1[[#This Row],[Product category]]="Additional services",Table1[[#This Row],[Product category]]="Additional materials"),
"NOK",IF(($N$3&lt;&gt;""),VLOOKUP(Table1[[#This Row],[Product code]],INDIRECT(Aux!$A$1),6,FALSE),"")),"")</f>
        <v/>
      </c>
      <c r="P46" s="41" t="str">
        <f ca="1">IFERROR(IF(AND(Table1[[#This Row],[Quantity]]&lt;&gt;"",Table1[[#This Row],[Currency]]="NOK"),Table1[[#This Row],[Quantity]]*Table1[[#This Row],[Unit Price]],""),"")</f>
        <v/>
      </c>
      <c r="Q46" s="41" t="str">
        <f ca="1">IFERROR(IF(AND(Table1[[#This Row],[ACT_Qty]]&lt;&gt;"",Table1[[#This Row],[Currency]]="NOK"),Table1[[#This Row],[ACT_Qty]]*Table1[[#This Row],[Unit Price]],""),"")</f>
        <v/>
      </c>
      <c r="R46" s="41" t="str">
        <f ca="1">IFERROR(IF(AND(Table1[[#This Row],[Quantity]]&lt;&gt;"",Table1[[#This Row],[Currency]]="EUR"),Table1[[#This Row],[Quantity]]*Table1[[#This Row],[Unit Price]],""),"")</f>
        <v/>
      </c>
      <c r="S46" s="41" t="str">
        <f ca="1">IFERROR(IF(AND(Table1[[#This Row],[ACT_Qty]]&lt;&gt;"",Table1[[#This Row],[Currency]]="EUR"),Table1[[#This Row],[ACT_Qty]]*Table1[[#This Row],[Unit Price]],""),"")</f>
        <v/>
      </c>
      <c r="T46" s="269" t="str">
        <f ca="1">IFERROR(IF(AND(($N$3&lt;&gt;""),INDIRECT(Aux!$D$1)),VLOOKUP(Table1[[#This Row],[Product code]],Aux!B:E,4,FALSE),""),"")</f>
        <v/>
      </c>
      <c r="U46" s="145" t="str">
        <f>IFERROR(IF(OR(Table1[[#This Row],[Quantity]]&lt;&gt;"",Table1[[#This Row],[ACT_Qty]]&lt;&gt;""),Table1[[#This Row],[ACT_Qty]]-Table1[[#This Row],[Quantity]],""),"")</f>
        <v/>
      </c>
      <c r="V46" s="45"/>
      <c r="W46" s="45"/>
      <c r="X46" s="45"/>
    </row>
    <row r="47" spans="1:24" ht="15" customHeight="1">
      <c r="A47" s="143" t="str">
        <f t="shared" si="0"/>
        <v>AKH12345</v>
      </c>
      <c r="B47" s="256" t="s">
        <v>181</v>
      </c>
      <c r="C47" s="143" t="s">
        <v>182</v>
      </c>
      <c r="D47" s="105"/>
      <c r="E47" s="106"/>
      <c r="F47" s="105"/>
      <c r="G47" s="106"/>
      <c r="H47" s="199" t="s">
        <v>183</v>
      </c>
      <c r="I47" s="200" t="s">
        <v>173</v>
      </c>
      <c r="J47" s="200" t="s">
        <v>174</v>
      </c>
      <c r="K47" s="200" t="s">
        <v>52</v>
      </c>
      <c r="L47" s="145" t="s">
        <v>53</v>
      </c>
      <c r="M47" s="145" t="str">
        <f t="shared" si="1"/>
        <v>OneCo Networks AS</v>
      </c>
      <c r="N47" s="40"/>
      <c r="O47" s="268"/>
      <c r="P47" s="41"/>
      <c r="Q47" s="41"/>
      <c r="R47" s="41"/>
      <c r="S47" s="41"/>
      <c r="T47" s="269"/>
      <c r="U47" s="145"/>
      <c r="V47" s="45"/>
      <c r="W47" s="45"/>
      <c r="X47" s="45"/>
    </row>
    <row r="48" spans="1:24" ht="15" customHeight="1">
      <c r="A48" s="143" t="str">
        <f t="shared" si="0"/>
        <v>AKH12345</v>
      </c>
      <c r="B48" s="256" t="s">
        <v>184</v>
      </c>
      <c r="C48" s="143" t="s">
        <v>185</v>
      </c>
      <c r="D48" s="105"/>
      <c r="E48" s="106"/>
      <c r="F48" s="105"/>
      <c r="G48" s="106"/>
      <c r="H48" s="199"/>
      <c r="I48" s="200" t="s">
        <v>173</v>
      </c>
      <c r="J48" s="200" t="s">
        <v>174</v>
      </c>
      <c r="K48" s="200" t="s">
        <v>52</v>
      </c>
      <c r="L48" s="145"/>
      <c r="M48" s="145" t="str">
        <f>IF($C$3&lt;&gt;"",$C$3,"")</f>
        <v>OneCo Networks AS</v>
      </c>
      <c r="N4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 s="268" t="str">
        <f ca="1">IFERROR(IF(
OR(Table1[[#This Row],[Product category]]="Service items",Table1[[#This Row],[Product category]]="Additional services",Table1[[#This Row],[Product category]]="Additional materials"),
"NOK",IF(($N$3&lt;&gt;""),VLOOKUP(Table1[[#This Row],[Product code]],INDIRECT(Aux!$A$1),6,FALSE),"")),"")</f>
        <v/>
      </c>
      <c r="P48" s="41" t="str">
        <f ca="1">IFERROR(IF(AND(Table1[[#This Row],[Quantity]]&lt;&gt;"",Table1[[#This Row],[Currency]]="NOK"),Table1[[#This Row],[Quantity]]*Table1[[#This Row],[Unit Price]],""),"")</f>
        <v/>
      </c>
      <c r="Q48" s="41" t="str">
        <f ca="1">IFERROR(IF(AND(Table1[[#This Row],[ACT_Qty]]&lt;&gt;"",Table1[[#This Row],[Currency]]="NOK"),Table1[[#This Row],[ACT_Qty]]*Table1[[#This Row],[Unit Price]],""),"")</f>
        <v/>
      </c>
      <c r="R48" s="41" t="str">
        <f ca="1">IFERROR(IF(AND(Table1[[#This Row],[Quantity]]&lt;&gt;"",Table1[[#This Row],[Currency]]="EUR"),Table1[[#This Row],[Quantity]]*Table1[[#This Row],[Unit Price]],""),"")</f>
        <v/>
      </c>
      <c r="S48" s="41" t="str">
        <f ca="1">IFERROR(IF(AND(Table1[[#This Row],[ACT_Qty]]&lt;&gt;"",Table1[[#This Row],[Currency]]="EUR"),Table1[[#This Row],[ACT_Qty]]*Table1[[#This Row],[Unit Price]],""),"")</f>
        <v/>
      </c>
      <c r="T48" s="269" t="str">
        <f ca="1">IFERROR(IF(AND(($N$3&lt;&gt;""),INDIRECT(Aux!$D$1)),VLOOKUP(Table1[[#This Row],[Product code]],Aux!B:E,4,FALSE),""),"")</f>
        <v/>
      </c>
      <c r="U48" s="145" t="str">
        <f>IFERROR(IF(OR(Table1[[#This Row],[Quantity]]&lt;&gt;"",Table1[[#This Row],[ACT_Qty]]&lt;&gt;""),Table1[[#This Row],[ACT_Qty]]-Table1[[#This Row],[Quantity]],""),"")</f>
        <v/>
      </c>
      <c r="V48" s="45"/>
      <c r="W48" s="45"/>
      <c r="X48" s="45"/>
    </row>
    <row r="49" spans="1:24" ht="15" customHeight="1">
      <c r="A49" s="143" t="str">
        <f t="shared" si="0"/>
        <v>AKH12345</v>
      </c>
      <c r="B49" s="256">
        <v>5341822</v>
      </c>
      <c r="C49" s="143" t="s">
        <v>186</v>
      </c>
      <c r="D49" s="105"/>
      <c r="E49" s="106" t="s">
        <v>187</v>
      </c>
      <c r="F49" s="105"/>
      <c r="G49" s="106"/>
      <c r="H49" s="199" t="s">
        <v>188</v>
      </c>
      <c r="I49" s="200" t="s">
        <v>189</v>
      </c>
      <c r="J49" s="200" t="s">
        <v>115</v>
      </c>
      <c r="K49" s="200" t="s">
        <v>52</v>
      </c>
      <c r="L49" s="145" t="s">
        <v>190</v>
      </c>
      <c r="M49" s="145" t="str">
        <f t="shared" si="1"/>
        <v>OneCo Networks AS</v>
      </c>
      <c r="N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 s="268" t="str">
        <f ca="1">IFERROR(IF(
OR(Table1[[#This Row],[Product category]]="Service items",Table1[[#This Row],[Product category]]="Additional services",Table1[[#This Row],[Product category]]="Additional materials"),
"NOK",IF(($N$3&lt;&gt;""),VLOOKUP(Table1[[#This Row],[Product code]],INDIRECT(Aux!$A$1),6,FALSE),"")),"")</f>
        <v/>
      </c>
      <c r="P49" s="41" t="str">
        <f ca="1">IFERROR(IF(AND(Table1[[#This Row],[Quantity]]&lt;&gt;"",Table1[[#This Row],[Currency]]="NOK"),Table1[[#This Row],[Quantity]]*Table1[[#This Row],[Unit Price]],""),"")</f>
        <v/>
      </c>
      <c r="Q49" s="41" t="str">
        <f ca="1">IFERROR(IF(AND(Table1[[#This Row],[ACT_Qty]]&lt;&gt;"",Table1[[#This Row],[Currency]]="NOK"),Table1[[#This Row],[ACT_Qty]]*Table1[[#This Row],[Unit Price]],""),"")</f>
        <v/>
      </c>
      <c r="R49" s="41" t="str">
        <f ca="1">IFERROR(IF(AND(Table1[[#This Row],[Quantity]]&lt;&gt;"",Table1[[#This Row],[Currency]]="EUR"),Table1[[#This Row],[Quantity]]*Table1[[#This Row],[Unit Price]],""),"")</f>
        <v/>
      </c>
      <c r="S49" s="41" t="str">
        <f ca="1">IFERROR(IF(AND(Table1[[#This Row],[ACT_Qty]]&lt;&gt;"",Table1[[#This Row],[Currency]]="EUR"),Table1[[#This Row],[ACT_Qty]]*Table1[[#This Row],[Unit Price]],""),"")</f>
        <v/>
      </c>
      <c r="T49" s="269" t="str">
        <f ca="1">IFERROR(IF(AND(($N$3&lt;&gt;""),INDIRECT(Aux!$D$1)),VLOOKUP(Table1[[#This Row],[Product code]],Aux!B:E,4,FALSE),""),"")</f>
        <v/>
      </c>
      <c r="U49" s="145" t="str">
        <f>IFERROR(IF(OR(Table1[[#This Row],[Quantity]]&lt;&gt;"",Table1[[#This Row],[ACT_Qty]]&lt;&gt;""),Table1[[#This Row],[ACT_Qty]]-Table1[[#This Row],[Quantity]],""),"")</f>
        <v/>
      </c>
      <c r="V49" s="45"/>
      <c r="W49" s="45"/>
      <c r="X49" s="45"/>
    </row>
    <row r="50" spans="1:24" ht="15" customHeight="1">
      <c r="A50" s="143" t="str">
        <f t="shared" si="0"/>
        <v>AKH12345</v>
      </c>
      <c r="B50" s="256">
        <v>5341814</v>
      </c>
      <c r="C50" s="143" t="s">
        <v>191</v>
      </c>
      <c r="D50" s="105"/>
      <c r="E50" s="106"/>
      <c r="F50" s="105"/>
      <c r="G50" s="106"/>
      <c r="H50" s="199" t="s">
        <v>192</v>
      </c>
      <c r="I50" s="200" t="s">
        <v>189</v>
      </c>
      <c r="J50" s="200" t="s">
        <v>193</v>
      </c>
      <c r="K50" s="200" t="s">
        <v>52</v>
      </c>
      <c r="L50" s="145" t="s">
        <v>190</v>
      </c>
      <c r="M50" s="145" t="str">
        <f t="shared" si="1"/>
        <v>OneCo Networks AS</v>
      </c>
      <c r="N5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 s="268" t="str">
        <f ca="1">IFERROR(IF(
OR(Table1[[#This Row],[Product category]]="Service items",Table1[[#This Row],[Product category]]="Additional services",Table1[[#This Row],[Product category]]="Additional materials"),
"NOK",IF(($N$3&lt;&gt;""),VLOOKUP(Table1[[#This Row],[Product code]],INDIRECT(Aux!$A$1),6,FALSE),"")),"")</f>
        <v/>
      </c>
      <c r="P50" s="41" t="str">
        <f ca="1">IFERROR(IF(AND(Table1[[#This Row],[Quantity]]&lt;&gt;"",Table1[[#This Row],[Currency]]="NOK"),Table1[[#This Row],[Quantity]]*Table1[[#This Row],[Unit Price]],""),"")</f>
        <v/>
      </c>
      <c r="Q50" s="41" t="str">
        <f ca="1">IFERROR(IF(AND(Table1[[#This Row],[ACT_Qty]]&lt;&gt;"",Table1[[#This Row],[Currency]]="NOK"),Table1[[#This Row],[ACT_Qty]]*Table1[[#This Row],[Unit Price]],""),"")</f>
        <v/>
      </c>
      <c r="R50" s="41" t="str">
        <f ca="1">IFERROR(IF(AND(Table1[[#This Row],[Quantity]]&lt;&gt;"",Table1[[#This Row],[Currency]]="EUR"),Table1[[#This Row],[Quantity]]*Table1[[#This Row],[Unit Price]],""),"")</f>
        <v/>
      </c>
      <c r="S50" s="41" t="str">
        <f ca="1">IFERROR(IF(AND(Table1[[#This Row],[ACT_Qty]]&lt;&gt;"",Table1[[#This Row],[Currency]]="EUR"),Table1[[#This Row],[ACT_Qty]]*Table1[[#This Row],[Unit Price]],""),"")</f>
        <v/>
      </c>
      <c r="T50" s="269" t="str">
        <f ca="1">IFERROR(IF(AND(($N$3&lt;&gt;""),INDIRECT(Aux!$D$1)),VLOOKUP(Table1[[#This Row],[Product code]],Aux!B:E,4,FALSE),""),"")</f>
        <v/>
      </c>
      <c r="U50" s="145" t="str">
        <f>IFERROR(IF(OR(Table1[[#This Row],[Quantity]]&lt;&gt;"",Table1[[#This Row],[ACT_Qty]]&lt;&gt;""),Table1[[#This Row],[ACT_Qty]]-Table1[[#This Row],[Quantity]],""),"")</f>
        <v/>
      </c>
      <c r="V50" s="45"/>
      <c r="W50" s="45"/>
      <c r="X50" s="45"/>
    </row>
    <row r="51" spans="1:24" ht="15" customHeight="1">
      <c r="A51" s="143" t="str">
        <f t="shared" si="0"/>
        <v>AKH12345</v>
      </c>
      <c r="B51" s="256">
        <v>5341818</v>
      </c>
      <c r="C51" s="143" t="s">
        <v>194</v>
      </c>
      <c r="D51" s="105"/>
      <c r="E51" s="106"/>
      <c r="F51" s="105"/>
      <c r="G51" s="106"/>
      <c r="H51" s="199" t="s">
        <v>195</v>
      </c>
      <c r="I51" s="200" t="s">
        <v>189</v>
      </c>
      <c r="J51" s="200" t="s">
        <v>193</v>
      </c>
      <c r="K51" s="200" t="s">
        <v>52</v>
      </c>
      <c r="L51" s="145" t="s">
        <v>190</v>
      </c>
      <c r="M51" s="145" t="str">
        <f>IF($C$3&lt;&gt;"",$C$3,"")</f>
        <v>OneCo Networks AS</v>
      </c>
      <c r="N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 s="268" t="str">
        <f ca="1">IFERROR(IF(
OR(Table1[[#This Row],[Product category]]="Service items",Table1[[#This Row],[Product category]]="Additional services",Table1[[#This Row],[Product category]]="Additional materials"),
"NOK",IF(($N$3&lt;&gt;""),VLOOKUP(Table1[[#This Row],[Product code]],INDIRECT(Aux!$A$1),6,FALSE),"")),"")</f>
        <v/>
      </c>
      <c r="P51" s="41" t="str">
        <f ca="1">IFERROR(IF(AND(Table1[[#This Row],[Quantity]]&lt;&gt;"",Table1[[#This Row],[Currency]]="NOK"),Table1[[#This Row],[Quantity]]*Table1[[#This Row],[Unit Price]],""),"")</f>
        <v/>
      </c>
      <c r="Q51" s="41" t="str">
        <f ca="1">IFERROR(IF(AND(Table1[[#This Row],[ACT_Qty]]&lt;&gt;"",Table1[[#This Row],[Currency]]="NOK"),Table1[[#This Row],[ACT_Qty]]*Table1[[#This Row],[Unit Price]],""),"")</f>
        <v/>
      </c>
      <c r="R51" s="41" t="str">
        <f ca="1">IFERROR(IF(AND(Table1[[#This Row],[Quantity]]&lt;&gt;"",Table1[[#This Row],[Currency]]="EUR"),Table1[[#This Row],[Quantity]]*Table1[[#This Row],[Unit Price]],""),"")</f>
        <v/>
      </c>
      <c r="S51" s="41" t="str">
        <f ca="1">IFERROR(IF(AND(Table1[[#This Row],[ACT_Qty]]&lt;&gt;"",Table1[[#This Row],[Currency]]="EUR"),Table1[[#This Row],[ACT_Qty]]*Table1[[#This Row],[Unit Price]],""),"")</f>
        <v/>
      </c>
      <c r="T51" s="269" t="str">
        <f ca="1">IFERROR(IF(AND(($N$3&lt;&gt;""),INDIRECT(Aux!$D$1)),VLOOKUP(Table1[[#This Row],[Product code]],Aux!B:E,4,FALSE),""),"")</f>
        <v/>
      </c>
      <c r="U51" s="145" t="str">
        <f>IFERROR(IF(OR(Table1[[#This Row],[Quantity]]&lt;&gt;"",Table1[[#This Row],[ACT_Qty]]&lt;&gt;""),Table1[[#This Row],[ACT_Qty]]-Table1[[#This Row],[Quantity]],""),"")</f>
        <v/>
      </c>
      <c r="V51" s="45"/>
      <c r="W51" s="45"/>
      <c r="X51" s="45"/>
    </row>
    <row r="52" spans="1:24" ht="15" customHeight="1">
      <c r="A52" s="143" t="str">
        <f t="shared" si="0"/>
        <v>AKH12345</v>
      </c>
      <c r="B52" s="256" t="s">
        <v>196</v>
      </c>
      <c r="C52" s="143" t="s">
        <v>197</v>
      </c>
      <c r="D52" s="105"/>
      <c r="E52" s="106"/>
      <c r="F52" s="105"/>
      <c r="G52" s="106"/>
      <c r="H52" s="199" t="s">
        <v>198</v>
      </c>
      <c r="I52" s="200" t="s">
        <v>115</v>
      </c>
      <c r="J52" s="200" t="s">
        <v>199</v>
      </c>
      <c r="K52" s="200" t="s">
        <v>52</v>
      </c>
      <c r="L52" s="145" t="s">
        <v>53</v>
      </c>
      <c r="M52" s="145" t="str">
        <f>IF($C$3&lt;&gt;"",$C$3,"")</f>
        <v>OneCo Networks AS</v>
      </c>
      <c r="N5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 s="268" t="str">
        <f ca="1">IFERROR(IF(
OR(Table1[[#This Row],[Product category]]="Service items",Table1[[#This Row],[Product category]]="Additional services",Table1[[#This Row],[Product category]]="Additional materials"),
"NOK",IF(($N$3&lt;&gt;""),VLOOKUP(Table1[[#This Row],[Product code]],INDIRECT(Aux!$A$1),6,FALSE),"")),"")</f>
        <v/>
      </c>
      <c r="P52" s="41" t="str">
        <f ca="1">IFERROR(IF(AND(Table1[[#This Row],[Quantity]]&lt;&gt;"",Table1[[#This Row],[Currency]]="NOK"),Table1[[#This Row],[Quantity]]*Table1[[#This Row],[Unit Price]],""),"")</f>
        <v/>
      </c>
      <c r="Q52" s="41" t="str">
        <f ca="1">IFERROR(IF(AND(Table1[[#This Row],[ACT_Qty]]&lt;&gt;"",Table1[[#This Row],[Currency]]="NOK"),Table1[[#This Row],[ACT_Qty]]*Table1[[#This Row],[Unit Price]],""),"")</f>
        <v/>
      </c>
      <c r="R52" s="41" t="str">
        <f ca="1">IFERROR(IF(AND(Table1[[#This Row],[Quantity]]&lt;&gt;"",Table1[[#This Row],[Currency]]="EUR"),Table1[[#This Row],[Quantity]]*Table1[[#This Row],[Unit Price]],""),"")</f>
        <v/>
      </c>
      <c r="S52" s="41" t="str">
        <f ca="1">IFERROR(IF(AND(Table1[[#This Row],[ACT_Qty]]&lt;&gt;"",Table1[[#This Row],[Currency]]="EUR"),Table1[[#This Row],[ACT_Qty]]*Table1[[#This Row],[Unit Price]],""),"")</f>
        <v/>
      </c>
      <c r="T52" s="269" t="str">
        <f ca="1">IFERROR(IF(AND(($N$3&lt;&gt;""),INDIRECT(Aux!$D$1)),VLOOKUP(Table1[[#This Row],[Product code]],Aux!B:E,4,FALSE),""),"")</f>
        <v/>
      </c>
      <c r="U52" s="145" t="str">
        <f>IFERROR(IF(OR(Table1[[#This Row],[Quantity]]&lt;&gt;"",Table1[[#This Row],[ACT_Qty]]&lt;&gt;""),Table1[[#This Row],[ACT_Qty]]-Table1[[#This Row],[Quantity]],""),"")</f>
        <v/>
      </c>
      <c r="V52" s="45"/>
      <c r="W52" s="45"/>
      <c r="X52" s="45"/>
    </row>
    <row r="53" spans="1:24" ht="15" customHeight="1">
      <c r="A53" s="143" t="str">
        <f t="shared" si="0"/>
        <v>AKH12345</v>
      </c>
      <c r="B53" s="256" t="s">
        <v>200</v>
      </c>
      <c r="C53" s="143" t="s">
        <v>201</v>
      </c>
      <c r="D53" s="105"/>
      <c r="E53" s="106"/>
      <c r="F53" s="105"/>
      <c r="G53" s="106"/>
      <c r="H53" s="199" t="s">
        <v>202</v>
      </c>
      <c r="I53" s="200" t="s">
        <v>115</v>
      </c>
      <c r="J53" s="200" t="s">
        <v>203</v>
      </c>
      <c r="K53" s="200" t="s">
        <v>52</v>
      </c>
      <c r="L53" s="145" t="s">
        <v>53</v>
      </c>
      <c r="M53" s="145" t="str">
        <f t="shared" si="1"/>
        <v>OneCo Networks AS</v>
      </c>
      <c r="N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 s="268" t="str">
        <f ca="1">IFERROR(IF(
OR(Table1[[#This Row],[Product category]]="Service items",Table1[[#This Row],[Product category]]="Additional services",Table1[[#This Row],[Product category]]="Additional materials"),
"NOK",IF(($N$3&lt;&gt;""),VLOOKUP(Table1[[#This Row],[Product code]],INDIRECT(Aux!$A$1),6,FALSE),"")),"")</f>
        <v/>
      </c>
      <c r="P53" s="41" t="str">
        <f ca="1">IFERROR(IF(AND(Table1[[#This Row],[Quantity]]&lt;&gt;"",Table1[[#This Row],[Currency]]="NOK"),Table1[[#This Row],[Quantity]]*Table1[[#This Row],[Unit Price]],""),"")</f>
        <v/>
      </c>
      <c r="Q53" s="41" t="str">
        <f ca="1">IFERROR(IF(AND(Table1[[#This Row],[ACT_Qty]]&lt;&gt;"",Table1[[#This Row],[Currency]]="NOK"),Table1[[#This Row],[ACT_Qty]]*Table1[[#This Row],[Unit Price]],""),"")</f>
        <v/>
      </c>
      <c r="R53" s="41" t="str">
        <f ca="1">IFERROR(IF(AND(Table1[[#This Row],[Quantity]]&lt;&gt;"",Table1[[#This Row],[Currency]]="EUR"),Table1[[#This Row],[Quantity]]*Table1[[#This Row],[Unit Price]],""),"")</f>
        <v/>
      </c>
      <c r="S53" s="41" t="str">
        <f ca="1">IFERROR(IF(AND(Table1[[#This Row],[ACT_Qty]]&lt;&gt;"",Table1[[#This Row],[Currency]]="EUR"),Table1[[#This Row],[ACT_Qty]]*Table1[[#This Row],[Unit Price]],""),"")</f>
        <v/>
      </c>
      <c r="T53" s="269" t="str">
        <f ca="1">IFERROR(IF(AND(($N$3&lt;&gt;""),INDIRECT(Aux!$D$1)),VLOOKUP(Table1[[#This Row],[Product code]],Aux!B:E,4,FALSE),""),"")</f>
        <v/>
      </c>
      <c r="U53" s="145" t="str">
        <f>IFERROR(IF(OR(Table1[[#This Row],[Quantity]]&lt;&gt;"",Table1[[#This Row],[ACT_Qty]]&lt;&gt;""),Table1[[#This Row],[ACT_Qty]]-Table1[[#This Row],[Quantity]],""),"")</f>
        <v/>
      </c>
      <c r="V53" s="45"/>
      <c r="W53" s="45"/>
      <c r="X53" s="45"/>
    </row>
    <row r="54" spans="1:24" ht="15" customHeight="1">
      <c r="A54" s="143" t="str">
        <f t="shared" si="0"/>
        <v>AKH12345</v>
      </c>
      <c r="B54" s="256" t="s">
        <v>204</v>
      </c>
      <c r="C54" s="143" t="s">
        <v>205</v>
      </c>
      <c r="D54" s="105"/>
      <c r="E54" s="106"/>
      <c r="F54" s="105"/>
      <c r="G54" s="106"/>
      <c r="H54" s="199" t="s">
        <v>206</v>
      </c>
      <c r="I54" s="200" t="s">
        <v>115</v>
      </c>
      <c r="J54" s="200" t="s">
        <v>207</v>
      </c>
      <c r="K54" s="200" t="s">
        <v>52</v>
      </c>
      <c r="L54" s="145" t="s">
        <v>53</v>
      </c>
      <c r="M54" s="145" t="str">
        <f t="shared" si="1"/>
        <v>OneCo Networks AS</v>
      </c>
      <c r="N5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 s="268" t="str">
        <f ca="1">IFERROR(IF(
OR(Table1[[#This Row],[Product category]]="Service items",Table1[[#This Row],[Product category]]="Additional services",Table1[[#This Row],[Product category]]="Additional materials"),
"NOK",IF(($N$3&lt;&gt;""),VLOOKUP(Table1[[#This Row],[Product code]],INDIRECT(Aux!$A$1),6,FALSE),"")),"")</f>
        <v/>
      </c>
      <c r="P54" s="41" t="str">
        <f ca="1">IFERROR(IF(AND(Table1[[#This Row],[Quantity]]&lt;&gt;"",Table1[[#This Row],[Currency]]="NOK"),Table1[[#This Row],[Quantity]]*Table1[[#This Row],[Unit Price]],""),"")</f>
        <v/>
      </c>
      <c r="Q54" s="41" t="str">
        <f ca="1">IFERROR(IF(AND(Table1[[#This Row],[ACT_Qty]]&lt;&gt;"",Table1[[#This Row],[Currency]]="NOK"),Table1[[#This Row],[ACT_Qty]]*Table1[[#This Row],[Unit Price]],""),"")</f>
        <v/>
      </c>
      <c r="R54" s="41" t="str">
        <f ca="1">IFERROR(IF(AND(Table1[[#This Row],[Quantity]]&lt;&gt;"",Table1[[#This Row],[Currency]]="EUR"),Table1[[#This Row],[Quantity]]*Table1[[#This Row],[Unit Price]],""),"")</f>
        <v/>
      </c>
      <c r="S54" s="41" t="str">
        <f ca="1">IFERROR(IF(AND(Table1[[#This Row],[ACT_Qty]]&lt;&gt;"",Table1[[#This Row],[Currency]]="EUR"),Table1[[#This Row],[ACT_Qty]]*Table1[[#This Row],[Unit Price]],""),"")</f>
        <v/>
      </c>
      <c r="T54" s="269" t="str">
        <f ca="1">IFERROR(IF(AND(($N$3&lt;&gt;""),INDIRECT(Aux!$D$1)),VLOOKUP(Table1[[#This Row],[Product code]],Aux!B:E,4,FALSE),""),"")</f>
        <v/>
      </c>
      <c r="U54" s="145" t="str">
        <f>IFERROR(IF(OR(Table1[[#This Row],[Quantity]]&lt;&gt;"",Table1[[#This Row],[ACT_Qty]]&lt;&gt;""),Table1[[#This Row],[ACT_Qty]]-Table1[[#This Row],[Quantity]],""),"")</f>
        <v/>
      </c>
      <c r="V54" s="45"/>
      <c r="W54" s="45"/>
      <c r="X54" s="45"/>
    </row>
    <row r="55" spans="1:24" ht="15" customHeight="1">
      <c r="A55" s="143" t="str">
        <f t="shared" si="0"/>
        <v>AKH12345</v>
      </c>
      <c r="B55" s="256" t="s">
        <v>208</v>
      </c>
      <c r="C55" s="143" t="s">
        <v>209</v>
      </c>
      <c r="D55" s="105"/>
      <c r="E55" s="106" t="s">
        <v>210</v>
      </c>
      <c r="F55" s="105"/>
      <c r="G55" s="106"/>
      <c r="H55" s="199" t="s">
        <v>211</v>
      </c>
      <c r="I55" s="200" t="s">
        <v>115</v>
      </c>
      <c r="J55" s="200" t="s">
        <v>212</v>
      </c>
      <c r="K55" s="200" t="s">
        <v>52</v>
      </c>
      <c r="L55" s="145" t="s">
        <v>53</v>
      </c>
      <c r="M55" s="145" t="str">
        <f t="shared" si="1"/>
        <v>OneCo Networks AS</v>
      </c>
      <c r="N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 s="268" t="str">
        <f ca="1">IFERROR(IF(
OR(Table1[[#This Row],[Product category]]="Service items",Table1[[#This Row],[Product category]]="Additional services",Table1[[#This Row],[Product category]]="Additional materials"),
"NOK",IF(($N$3&lt;&gt;""),VLOOKUP(Table1[[#This Row],[Product code]],INDIRECT(Aux!$A$1),6,FALSE),"")),"")</f>
        <v/>
      </c>
      <c r="P55" s="41" t="str">
        <f ca="1">IFERROR(IF(AND(Table1[[#This Row],[Quantity]]&lt;&gt;"",Table1[[#This Row],[Currency]]="NOK"),Table1[[#This Row],[Quantity]]*Table1[[#This Row],[Unit Price]],""),"")</f>
        <v/>
      </c>
      <c r="Q55" s="41" t="str">
        <f ca="1">IFERROR(IF(AND(Table1[[#This Row],[ACT_Qty]]&lt;&gt;"",Table1[[#This Row],[Currency]]="NOK"),Table1[[#This Row],[ACT_Qty]]*Table1[[#This Row],[Unit Price]],""),"")</f>
        <v/>
      </c>
      <c r="R55" s="41" t="str">
        <f ca="1">IFERROR(IF(AND(Table1[[#This Row],[Quantity]]&lt;&gt;"",Table1[[#This Row],[Currency]]="EUR"),Table1[[#This Row],[Quantity]]*Table1[[#This Row],[Unit Price]],""),"")</f>
        <v/>
      </c>
      <c r="S55" s="41" t="str">
        <f ca="1">IFERROR(IF(AND(Table1[[#This Row],[ACT_Qty]]&lt;&gt;"",Table1[[#This Row],[Currency]]="EUR"),Table1[[#This Row],[ACT_Qty]]*Table1[[#This Row],[Unit Price]],""),"")</f>
        <v/>
      </c>
      <c r="T55" s="269" t="str">
        <f ca="1">IFERROR(IF(AND(($N$3&lt;&gt;""),INDIRECT(Aux!$D$1)),VLOOKUP(Table1[[#This Row],[Product code]],Aux!B:E,4,FALSE),""),"")</f>
        <v/>
      </c>
      <c r="U55" s="145" t="str">
        <f>IFERROR(IF(OR(Table1[[#This Row],[Quantity]]&lt;&gt;"",Table1[[#This Row],[ACT_Qty]]&lt;&gt;""),Table1[[#This Row],[ACT_Qty]]-Table1[[#This Row],[Quantity]],""),"")</f>
        <v/>
      </c>
      <c r="V55" s="45"/>
      <c r="W55" s="45"/>
      <c r="X55" s="45"/>
    </row>
    <row r="56" spans="1:24" ht="15" customHeight="1">
      <c r="A56" s="143" t="str">
        <f t="shared" si="0"/>
        <v>AKH12345</v>
      </c>
      <c r="B56" s="256" t="s">
        <v>213</v>
      </c>
      <c r="C56" s="143" t="s">
        <v>214</v>
      </c>
      <c r="D56" s="105"/>
      <c r="E56" s="106" t="s">
        <v>215</v>
      </c>
      <c r="F56" s="105"/>
      <c r="G56" s="106"/>
      <c r="H56" s="199" t="s">
        <v>216</v>
      </c>
      <c r="I56" s="200" t="s">
        <v>115</v>
      </c>
      <c r="J56" s="200" t="s">
        <v>212</v>
      </c>
      <c r="K56" s="200" t="s">
        <v>52</v>
      </c>
      <c r="L56" s="145" t="s">
        <v>53</v>
      </c>
      <c r="M56" s="145" t="str">
        <f t="shared" si="1"/>
        <v>OneCo Networks AS</v>
      </c>
      <c r="N5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 s="268" t="str">
        <f ca="1">IFERROR(IF(
OR(Table1[[#This Row],[Product category]]="Service items",Table1[[#This Row],[Product category]]="Additional services",Table1[[#This Row],[Product category]]="Additional materials"),
"NOK",IF(($N$3&lt;&gt;""),VLOOKUP(Table1[[#This Row],[Product code]],INDIRECT(Aux!$A$1),6,FALSE),"")),"")</f>
        <v/>
      </c>
      <c r="P56" s="41" t="str">
        <f ca="1">IFERROR(IF(AND(Table1[[#This Row],[Quantity]]&lt;&gt;"",Table1[[#This Row],[Currency]]="NOK"),Table1[[#This Row],[Quantity]]*Table1[[#This Row],[Unit Price]],""),"")</f>
        <v/>
      </c>
      <c r="Q56" s="41" t="str">
        <f ca="1">IFERROR(IF(AND(Table1[[#This Row],[ACT_Qty]]&lt;&gt;"",Table1[[#This Row],[Currency]]="NOK"),Table1[[#This Row],[ACT_Qty]]*Table1[[#This Row],[Unit Price]],""),"")</f>
        <v/>
      </c>
      <c r="R56" s="41" t="str">
        <f ca="1">IFERROR(IF(AND(Table1[[#This Row],[Quantity]]&lt;&gt;"",Table1[[#This Row],[Currency]]="EUR"),Table1[[#This Row],[Quantity]]*Table1[[#This Row],[Unit Price]],""),"")</f>
        <v/>
      </c>
      <c r="S56" s="41" t="str">
        <f ca="1">IFERROR(IF(AND(Table1[[#This Row],[ACT_Qty]]&lt;&gt;"",Table1[[#This Row],[Currency]]="EUR"),Table1[[#This Row],[ACT_Qty]]*Table1[[#This Row],[Unit Price]],""),"")</f>
        <v/>
      </c>
      <c r="T56" s="269" t="str">
        <f ca="1">IFERROR(IF(AND(($N$3&lt;&gt;""),INDIRECT(Aux!$D$1)),VLOOKUP(Table1[[#This Row],[Product code]],Aux!B:E,4,FALSE),""),"")</f>
        <v/>
      </c>
      <c r="U56" s="145" t="str">
        <f>IFERROR(IF(OR(Table1[[#This Row],[Quantity]]&lt;&gt;"",Table1[[#This Row],[ACT_Qty]]&lt;&gt;""),Table1[[#This Row],[ACT_Qty]]-Table1[[#This Row],[Quantity]],""),"")</f>
        <v/>
      </c>
      <c r="V56" s="45"/>
      <c r="W56" s="45"/>
      <c r="X56" s="45"/>
    </row>
    <row r="57" spans="1:24" ht="15" customHeight="1">
      <c r="A57" s="143" t="str">
        <f t="shared" si="0"/>
        <v>AKH12345</v>
      </c>
      <c r="B57" s="256">
        <v>2315200</v>
      </c>
      <c r="C57" s="143" t="s">
        <v>217</v>
      </c>
      <c r="D57" s="105"/>
      <c r="E57" s="106" t="s">
        <v>218</v>
      </c>
      <c r="F57" s="105"/>
      <c r="G57" s="106"/>
      <c r="H57" s="199" t="s">
        <v>219</v>
      </c>
      <c r="I57" s="200" t="s">
        <v>115</v>
      </c>
      <c r="J57" s="200" t="s">
        <v>220</v>
      </c>
      <c r="K57" s="200" t="s">
        <v>52</v>
      </c>
      <c r="L57" s="145" t="s">
        <v>221</v>
      </c>
      <c r="M57" s="145" t="str">
        <f t="shared" ref="M57:M60" si="3">IF($C$3&lt;&gt;"",$C$3,"")</f>
        <v>OneCo Networks AS</v>
      </c>
      <c r="N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 s="268" t="str">
        <f ca="1">IFERROR(IF(
OR(Table1[[#This Row],[Product category]]="Service items",Table1[[#This Row],[Product category]]="Additional services",Table1[[#This Row],[Product category]]="Additional materials"),
"NOK",IF(($N$3&lt;&gt;""),VLOOKUP(Table1[[#This Row],[Product code]],INDIRECT(Aux!$A$1),6,FALSE),"")),"")</f>
        <v/>
      </c>
      <c r="P57" s="41" t="str">
        <f ca="1">IFERROR(IF(AND(Table1[[#This Row],[Quantity]]&lt;&gt;"",Table1[[#This Row],[Currency]]="NOK"),Table1[[#This Row],[Quantity]]*Table1[[#This Row],[Unit Price]],""),"")</f>
        <v/>
      </c>
      <c r="Q57" s="41" t="str">
        <f ca="1">IFERROR(IF(AND(Table1[[#This Row],[ACT_Qty]]&lt;&gt;"",Table1[[#This Row],[Currency]]="NOK"),Table1[[#This Row],[ACT_Qty]]*Table1[[#This Row],[Unit Price]],""),"")</f>
        <v/>
      </c>
      <c r="R57" s="41" t="str">
        <f ca="1">IFERROR(IF(AND(Table1[[#This Row],[Quantity]]&lt;&gt;"",Table1[[#This Row],[Currency]]="EUR"),Table1[[#This Row],[Quantity]]*Table1[[#This Row],[Unit Price]],""),"")</f>
        <v/>
      </c>
      <c r="S57" s="41" t="str">
        <f ca="1">IFERROR(IF(AND(Table1[[#This Row],[ACT_Qty]]&lt;&gt;"",Table1[[#This Row],[Currency]]="EUR"),Table1[[#This Row],[ACT_Qty]]*Table1[[#This Row],[Unit Price]],""),"")</f>
        <v/>
      </c>
      <c r="T57" s="269" t="str">
        <f ca="1">IFERROR(IF(AND(($N$3&lt;&gt;""),INDIRECT(Aux!$D$1)),VLOOKUP(Table1[[#This Row],[Product code]],Aux!B:E,4,FALSE),""),"")</f>
        <v/>
      </c>
      <c r="U57" s="145" t="str">
        <f>IFERROR(IF(OR(Table1[[#This Row],[Quantity]]&lt;&gt;"",Table1[[#This Row],[ACT_Qty]]&lt;&gt;""),Table1[[#This Row],[ACT_Qty]]-Table1[[#This Row],[Quantity]],""),"")</f>
        <v/>
      </c>
      <c r="V57" s="45"/>
      <c r="W57" s="45"/>
      <c r="X57" s="45"/>
    </row>
    <row r="58" spans="1:24" ht="15" customHeight="1">
      <c r="A58" s="143" t="str">
        <f t="shared" si="0"/>
        <v>AKH12345</v>
      </c>
      <c r="B58" s="256" t="s">
        <v>222</v>
      </c>
      <c r="C58" s="143" t="s">
        <v>223</v>
      </c>
      <c r="D58" s="105"/>
      <c r="E58" s="106"/>
      <c r="F58" s="105"/>
      <c r="G58" s="106"/>
      <c r="H58" s="199" t="s">
        <v>224</v>
      </c>
      <c r="I58" s="200" t="s">
        <v>225</v>
      </c>
      <c r="J58" s="200" t="s">
        <v>226</v>
      </c>
      <c r="K58" s="200" t="s">
        <v>52</v>
      </c>
      <c r="L58" s="145" t="s">
        <v>152</v>
      </c>
      <c r="M58" s="145" t="str">
        <f t="shared" si="3"/>
        <v>OneCo Networks AS</v>
      </c>
      <c r="N5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 s="268" t="str">
        <f ca="1">IFERROR(IF(
OR(Table1[[#This Row],[Product category]]="Service items",Table1[[#This Row],[Product category]]="Additional services",Table1[[#This Row],[Product category]]="Additional materials"),
"NOK",IF(($N$3&lt;&gt;""),VLOOKUP(Table1[[#This Row],[Product code]],INDIRECT(Aux!$A$1),6,FALSE),"")),"")</f>
        <v/>
      </c>
      <c r="P58" s="41" t="str">
        <f ca="1">IFERROR(IF(AND(Table1[[#This Row],[Quantity]]&lt;&gt;"",Table1[[#This Row],[Currency]]="NOK"),Table1[[#This Row],[Quantity]]*Table1[[#This Row],[Unit Price]],""),"")</f>
        <v/>
      </c>
      <c r="Q58" s="41" t="str">
        <f ca="1">IFERROR(IF(AND(Table1[[#This Row],[ACT_Qty]]&lt;&gt;"",Table1[[#This Row],[Currency]]="NOK"),Table1[[#This Row],[ACT_Qty]]*Table1[[#This Row],[Unit Price]],""),"")</f>
        <v/>
      </c>
      <c r="R58" s="41" t="str">
        <f ca="1">IFERROR(IF(AND(Table1[[#This Row],[Quantity]]&lt;&gt;"",Table1[[#This Row],[Currency]]="EUR"),Table1[[#This Row],[Quantity]]*Table1[[#This Row],[Unit Price]],""),"")</f>
        <v/>
      </c>
      <c r="S58" s="41" t="str">
        <f ca="1">IFERROR(IF(AND(Table1[[#This Row],[ACT_Qty]]&lt;&gt;"",Table1[[#This Row],[Currency]]="EUR"),Table1[[#This Row],[ACT_Qty]]*Table1[[#This Row],[Unit Price]],""),"")</f>
        <v/>
      </c>
      <c r="T58" s="269" t="str">
        <f ca="1">IFERROR(IF(AND(($N$3&lt;&gt;""),INDIRECT(Aux!$D$1)),VLOOKUP(Table1[[#This Row],[Product code]],Aux!B:E,4,FALSE),""),"")</f>
        <v/>
      </c>
      <c r="U58" s="145" t="str">
        <f>IFERROR(IF(OR(Table1[[#This Row],[Quantity]]&lt;&gt;"",Table1[[#This Row],[ACT_Qty]]&lt;&gt;""),Table1[[#This Row],[ACT_Qty]]-Table1[[#This Row],[Quantity]],""),"")</f>
        <v/>
      </c>
      <c r="V58" s="45"/>
      <c r="W58" s="45"/>
      <c r="X58" s="45"/>
    </row>
    <row r="59" spans="1:24" ht="15" customHeight="1">
      <c r="A59" s="143" t="str">
        <f t="shared" si="0"/>
        <v>AKH12345</v>
      </c>
      <c r="B59" s="256" t="s">
        <v>227</v>
      </c>
      <c r="C59" s="143" t="s">
        <v>228</v>
      </c>
      <c r="D59" s="105"/>
      <c r="E59" s="106"/>
      <c r="F59" s="105"/>
      <c r="G59" s="106"/>
      <c r="H59" s="199" t="s">
        <v>229</v>
      </c>
      <c r="I59" s="200" t="s">
        <v>225</v>
      </c>
      <c r="J59" s="200" t="s">
        <v>226</v>
      </c>
      <c r="K59" s="200" t="s">
        <v>52</v>
      </c>
      <c r="L59" s="145" t="s">
        <v>152</v>
      </c>
      <c r="M59" s="145" t="str">
        <f t="shared" si="3"/>
        <v>OneCo Networks AS</v>
      </c>
      <c r="N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 s="268" t="str">
        <f ca="1">IFERROR(IF(
OR(Table1[[#This Row],[Product category]]="Service items",Table1[[#This Row],[Product category]]="Additional services",Table1[[#This Row],[Product category]]="Additional materials"),
"NOK",IF(($N$3&lt;&gt;""),VLOOKUP(Table1[[#This Row],[Product code]],INDIRECT(Aux!$A$1),6,FALSE),"")),"")</f>
        <v/>
      </c>
      <c r="P59" s="41" t="str">
        <f ca="1">IFERROR(IF(AND(Table1[[#This Row],[Quantity]]&lt;&gt;"",Table1[[#This Row],[Currency]]="NOK"),Table1[[#This Row],[Quantity]]*Table1[[#This Row],[Unit Price]],""),"")</f>
        <v/>
      </c>
      <c r="Q59" s="41" t="str">
        <f ca="1">IFERROR(IF(AND(Table1[[#This Row],[ACT_Qty]]&lt;&gt;"",Table1[[#This Row],[Currency]]="NOK"),Table1[[#This Row],[ACT_Qty]]*Table1[[#This Row],[Unit Price]],""),"")</f>
        <v/>
      </c>
      <c r="R59" s="41" t="str">
        <f ca="1">IFERROR(IF(AND(Table1[[#This Row],[Quantity]]&lt;&gt;"",Table1[[#This Row],[Currency]]="EUR"),Table1[[#This Row],[Quantity]]*Table1[[#This Row],[Unit Price]],""),"")</f>
        <v/>
      </c>
      <c r="S59" s="41" t="str">
        <f ca="1">IFERROR(IF(AND(Table1[[#This Row],[ACT_Qty]]&lt;&gt;"",Table1[[#This Row],[Currency]]="EUR"),Table1[[#This Row],[ACT_Qty]]*Table1[[#This Row],[Unit Price]],""),"")</f>
        <v/>
      </c>
      <c r="T59" s="269" t="str">
        <f ca="1">IFERROR(IF(AND(($N$3&lt;&gt;""),INDIRECT(Aux!$D$1)),VLOOKUP(Table1[[#This Row],[Product code]],Aux!B:E,4,FALSE),""),"")</f>
        <v/>
      </c>
      <c r="U59" s="145" t="str">
        <f>IFERROR(IF(OR(Table1[[#This Row],[Quantity]]&lt;&gt;"",Table1[[#This Row],[ACT_Qty]]&lt;&gt;""),Table1[[#This Row],[ACT_Qty]]-Table1[[#This Row],[Quantity]],""),"")</f>
        <v/>
      </c>
      <c r="V59" s="45"/>
      <c r="W59" s="45"/>
      <c r="X59" s="45"/>
    </row>
    <row r="60" spans="1:24" ht="15" customHeight="1">
      <c r="A60" s="143" t="str">
        <f t="shared" si="0"/>
        <v>AKH12345</v>
      </c>
      <c r="B60" s="256" t="s">
        <v>230</v>
      </c>
      <c r="C60" s="143" t="s">
        <v>231</v>
      </c>
      <c r="D60" s="105"/>
      <c r="E60" s="106"/>
      <c r="F60" s="105"/>
      <c r="G60" s="106"/>
      <c r="H60" s="199" t="s">
        <v>232</v>
      </c>
      <c r="I60" s="200" t="s">
        <v>225</v>
      </c>
      <c r="J60" s="200" t="s">
        <v>226</v>
      </c>
      <c r="K60" s="200" t="s">
        <v>52</v>
      </c>
      <c r="L60" s="145" t="s">
        <v>152</v>
      </c>
      <c r="M60" s="145" t="str">
        <f t="shared" si="3"/>
        <v>OneCo Networks AS</v>
      </c>
      <c r="N6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 s="268" t="str">
        <f ca="1">IFERROR(IF(
OR(Table1[[#This Row],[Product category]]="Service items",Table1[[#This Row],[Product category]]="Additional services",Table1[[#This Row],[Product category]]="Additional materials"),
"NOK",IF(($N$3&lt;&gt;""),VLOOKUP(Table1[[#This Row],[Product code]],INDIRECT(Aux!$A$1),6,FALSE),"")),"")</f>
        <v/>
      </c>
      <c r="P60" s="41" t="str">
        <f ca="1">IFERROR(IF(AND(Table1[[#This Row],[Quantity]]&lt;&gt;"",Table1[[#This Row],[Currency]]="NOK"),Table1[[#This Row],[Quantity]]*Table1[[#This Row],[Unit Price]],""),"")</f>
        <v/>
      </c>
      <c r="Q60" s="41" t="str">
        <f ca="1">IFERROR(IF(AND(Table1[[#This Row],[ACT_Qty]]&lt;&gt;"",Table1[[#This Row],[Currency]]="NOK"),Table1[[#This Row],[ACT_Qty]]*Table1[[#This Row],[Unit Price]],""),"")</f>
        <v/>
      </c>
      <c r="R60" s="41" t="str">
        <f ca="1">IFERROR(IF(AND(Table1[[#This Row],[Quantity]]&lt;&gt;"",Table1[[#This Row],[Currency]]="EUR"),Table1[[#This Row],[Quantity]]*Table1[[#This Row],[Unit Price]],""),"")</f>
        <v/>
      </c>
      <c r="S60" s="41" t="str">
        <f ca="1">IFERROR(IF(AND(Table1[[#This Row],[ACT_Qty]]&lt;&gt;"",Table1[[#This Row],[Currency]]="EUR"),Table1[[#This Row],[ACT_Qty]]*Table1[[#This Row],[Unit Price]],""),"")</f>
        <v/>
      </c>
      <c r="T60" s="269" t="str">
        <f ca="1">IFERROR(IF(AND(($N$3&lt;&gt;""),INDIRECT(Aux!$D$1)),VLOOKUP(Table1[[#This Row],[Product code]],Aux!B:E,4,FALSE),""),"")</f>
        <v/>
      </c>
      <c r="U60" s="145" t="str">
        <f>IFERROR(IF(OR(Table1[[#This Row],[Quantity]]&lt;&gt;"",Table1[[#This Row],[ACT_Qty]]&lt;&gt;""),Table1[[#This Row],[ACT_Qty]]-Table1[[#This Row],[Quantity]],""),"")</f>
        <v/>
      </c>
      <c r="V60" s="45"/>
      <c r="W60" s="45"/>
      <c r="X60" s="45"/>
    </row>
    <row r="61" spans="1:24" ht="15" customHeight="1">
      <c r="A61" s="143" t="str">
        <f t="shared" si="0"/>
        <v>AKH12345</v>
      </c>
      <c r="B61" s="256" t="s">
        <v>233</v>
      </c>
      <c r="C61" s="143" t="s">
        <v>234</v>
      </c>
      <c r="D61" s="105"/>
      <c r="E61" s="106"/>
      <c r="F61" s="105"/>
      <c r="G61" s="106"/>
      <c r="H61" s="199" t="s">
        <v>235</v>
      </c>
      <c r="I61" s="200" t="s">
        <v>225</v>
      </c>
      <c r="J61" s="200" t="s">
        <v>226</v>
      </c>
      <c r="K61" s="200" t="s">
        <v>52</v>
      </c>
      <c r="L61" s="145" t="s">
        <v>152</v>
      </c>
      <c r="M61" s="145" t="str">
        <f t="shared" si="1"/>
        <v>OneCo Networks AS</v>
      </c>
      <c r="N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 s="268" t="str">
        <f ca="1">IFERROR(IF(
OR(Table1[[#This Row],[Product category]]="Service items",Table1[[#This Row],[Product category]]="Additional services",Table1[[#This Row],[Product category]]="Additional materials"),
"NOK",IF(($N$3&lt;&gt;""),VLOOKUP(Table1[[#This Row],[Product code]],INDIRECT(Aux!$A$1),6,FALSE),"")),"")</f>
        <v/>
      </c>
      <c r="P61" s="41" t="str">
        <f ca="1">IFERROR(IF(AND(Table1[[#This Row],[Quantity]]&lt;&gt;"",Table1[[#This Row],[Currency]]="NOK"),Table1[[#This Row],[Quantity]]*Table1[[#This Row],[Unit Price]],""),"")</f>
        <v/>
      </c>
      <c r="Q61" s="41" t="str">
        <f ca="1">IFERROR(IF(AND(Table1[[#This Row],[ACT_Qty]]&lt;&gt;"",Table1[[#This Row],[Currency]]="NOK"),Table1[[#This Row],[ACT_Qty]]*Table1[[#This Row],[Unit Price]],""),"")</f>
        <v/>
      </c>
      <c r="R61" s="41" t="str">
        <f ca="1">IFERROR(IF(AND(Table1[[#This Row],[Quantity]]&lt;&gt;"",Table1[[#This Row],[Currency]]="EUR"),Table1[[#This Row],[Quantity]]*Table1[[#This Row],[Unit Price]],""),"")</f>
        <v/>
      </c>
      <c r="S61" s="41" t="str">
        <f ca="1">IFERROR(IF(AND(Table1[[#This Row],[ACT_Qty]]&lt;&gt;"",Table1[[#This Row],[Currency]]="EUR"),Table1[[#This Row],[ACT_Qty]]*Table1[[#This Row],[Unit Price]],""),"")</f>
        <v/>
      </c>
      <c r="T61" s="269" t="str">
        <f ca="1">IFERROR(IF(AND(($N$3&lt;&gt;""),INDIRECT(Aux!$D$1)),VLOOKUP(Table1[[#This Row],[Product code]],Aux!B:E,4,FALSE),""),"")</f>
        <v/>
      </c>
      <c r="U61" s="145" t="str">
        <f>IFERROR(IF(OR(Table1[[#This Row],[Quantity]]&lt;&gt;"",Table1[[#This Row],[ACT_Qty]]&lt;&gt;""),Table1[[#This Row],[ACT_Qty]]-Table1[[#This Row],[Quantity]],""),"")</f>
        <v/>
      </c>
      <c r="V61" s="45"/>
      <c r="W61" s="45"/>
      <c r="X61" s="45"/>
    </row>
    <row r="62" spans="1:24" ht="15" customHeight="1">
      <c r="A62" s="143" t="str">
        <f t="shared" si="0"/>
        <v>AKH12345</v>
      </c>
      <c r="B62" s="256" t="s">
        <v>236</v>
      </c>
      <c r="C62" s="143" t="s">
        <v>237</v>
      </c>
      <c r="D62" s="105"/>
      <c r="E62" s="106"/>
      <c r="F62" s="105"/>
      <c r="G62" s="106"/>
      <c r="H62" s="199" t="s">
        <v>238</v>
      </c>
      <c r="I62" s="200" t="s">
        <v>225</v>
      </c>
      <c r="J62" s="200" t="s">
        <v>226</v>
      </c>
      <c r="K62" s="200" t="s">
        <v>52</v>
      </c>
      <c r="L62" s="145" t="s">
        <v>152</v>
      </c>
      <c r="M62" s="145" t="str">
        <f t="shared" si="1"/>
        <v>OneCo Networks AS</v>
      </c>
      <c r="N6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 s="268" t="str">
        <f ca="1">IFERROR(IF(
OR(Table1[[#This Row],[Product category]]="Service items",Table1[[#This Row],[Product category]]="Additional services",Table1[[#This Row],[Product category]]="Additional materials"),
"NOK",IF(($N$3&lt;&gt;""),VLOOKUP(Table1[[#This Row],[Product code]],INDIRECT(Aux!$A$1),6,FALSE),"")),"")</f>
        <v/>
      </c>
      <c r="P62" s="41" t="str">
        <f ca="1">IFERROR(IF(AND(Table1[[#This Row],[Quantity]]&lt;&gt;"",Table1[[#This Row],[Currency]]="NOK"),Table1[[#This Row],[Quantity]]*Table1[[#This Row],[Unit Price]],""),"")</f>
        <v/>
      </c>
      <c r="Q62" s="41" t="str">
        <f ca="1">IFERROR(IF(AND(Table1[[#This Row],[ACT_Qty]]&lt;&gt;"",Table1[[#This Row],[Currency]]="NOK"),Table1[[#This Row],[ACT_Qty]]*Table1[[#This Row],[Unit Price]],""),"")</f>
        <v/>
      </c>
      <c r="R62" s="41" t="str">
        <f ca="1">IFERROR(IF(AND(Table1[[#This Row],[Quantity]]&lt;&gt;"",Table1[[#This Row],[Currency]]="EUR"),Table1[[#This Row],[Quantity]]*Table1[[#This Row],[Unit Price]],""),"")</f>
        <v/>
      </c>
      <c r="S62" s="41" t="str">
        <f ca="1">IFERROR(IF(AND(Table1[[#This Row],[ACT_Qty]]&lt;&gt;"",Table1[[#This Row],[Currency]]="EUR"),Table1[[#This Row],[ACT_Qty]]*Table1[[#This Row],[Unit Price]],""),"")</f>
        <v/>
      </c>
      <c r="T62" s="269" t="str">
        <f ca="1">IFERROR(IF(AND(($N$3&lt;&gt;""),INDIRECT(Aux!$D$1)),VLOOKUP(Table1[[#This Row],[Product code]],Aux!B:E,4,FALSE),""),"")</f>
        <v/>
      </c>
      <c r="U62" s="145" t="str">
        <f>IFERROR(IF(OR(Table1[[#This Row],[Quantity]]&lt;&gt;"",Table1[[#This Row],[ACT_Qty]]&lt;&gt;""),Table1[[#This Row],[ACT_Qty]]-Table1[[#This Row],[Quantity]],""),"")</f>
        <v/>
      </c>
      <c r="V62" s="45"/>
      <c r="W62" s="45"/>
      <c r="X62" s="45"/>
    </row>
    <row r="63" spans="1:24" ht="15" customHeight="1">
      <c r="A63" s="143" t="str">
        <f t="shared" si="0"/>
        <v>AKH12345</v>
      </c>
      <c r="B63" s="256" t="s">
        <v>239</v>
      </c>
      <c r="C63" s="143" t="s">
        <v>240</v>
      </c>
      <c r="D63" s="105"/>
      <c r="E63" s="106"/>
      <c r="F63" s="105"/>
      <c r="G63" s="106"/>
      <c r="H63" s="199" t="s">
        <v>235</v>
      </c>
      <c r="I63" s="200" t="s">
        <v>225</v>
      </c>
      <c r="J63" s="200" t="s">
        <v>226</v>
      </c>
      <c r="K63" s="200" t="s">
        <v>52</v>
      </c>
      <c r="L63" s="145" t="s">
        <v>152</v>
      </c>
      <c r="M63" s="145" t="str">
        <f t="shared" si="1"/>
        <v>OneCo Networks AS</v>
      </c>
      <c r="N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 s="268" t="str">
        <f ca="1">IFERROR(IF(
OR(Table1[[#This Row],[Product category]]="Service items",Table1[[#This Row],[Product category]]="Additional services",Table1[[#This Row],[Product category]]="Additional materials"),
"NOK",IF(($N$3&lt;&gt;""),VLOOKUP(Table1[[#This Row],[Product code]],INDIRECT(Aux!$A$1),6,FALSE),"")),"")</f>
        <v/>
      </c>
      <c r="P63" s="41" t="str">
        <f ca="1">IFERROR(IF(AND(Table1[[#This Row],[Quantity]]&lt;&gt;"",Table1[[#This Row],[Currency]]="NOK"),Table1[[#This Row],[Quantity]]*Table1[[#This Row],[Unit Price]],""),"")</f>
        <v/>
      </c>
      <c r="Q63" s="41" t="str">
        <f ca="1">IFERROR(IF(AND(Table1[[#This Row],[ACT_Qty]]&lt;&gt;"",Table1[[#This Row],[Currency]]="NOK"),Table1[[#This Row],[ACT_Qty]]*Table1[[#This Row],[Unit Price]],""),"")</f>
        <v/>
      </c>
      <c r="R63" s="41" t="str">
        <f ca="1">IFERROR(IF(AND(Table1[[#This Row],[Quantity]]&lt;&gt;"",Table1[[#This Row],[Currency]]="EUR"),Table1[[#This Row],[Quantity]]*Table1[[#This Row],[Unit Price]],""),"")</f>
        <v/>
      </c>
      <c r="S63" s="41" t="str">
        <f ca="1">IFERROR(IF(AND(Table1[[#This Row],[ACT_Qty]]&lt;&gt;"",Table1[[#This Row],[Currency]]="EUR"),Table1[[#This Row],[ACT_Qty]]*Table1[[#This Row],[Unit Price]],""),"")</f>
        <v/>
      </c>
      <c r="T63" s="269" t="str">
        <f ca="1">IFERROR(IF(AND(($N$3&lt;&gt;""),INDIRECT(Aux!$D$1)),VLOOKUP(Table1[[#This Row],[Product code]],Aux!B:E,4,FALSE),""),"")</f>
        <v/>
      </c>
      <c r="U63" s="145" t="str">
        <f>IFERROR(IF(OR(Table1[[#This Row],[Quantity]]&lt;&gt;"",Table1[[#This Row],[ACT_Qty]]&lt;&gt;""),Table1[[#This Row],[ACT_Qty]]-Table1[[#This Row],[Quantity]],""),"")</f>
        <v/>
      </c>
      <c r="V63" s="45"/>
      <c r="W63" s="45"/>
      <c r="X63" s="45"/>
    </row>
    <row r="64" spans="1:24" ht="15" customHeight="1">
      <c r="A64" s="143" t="str">
        <f t="shared" si="0"/>
        <v>AKH12345</v>
      </c>
      <c r="B64" s="256" t="s">
        <v>241</v>
      </c>
      <c r="C64" s="143" t="s">
        <v>242</v>
      </c>
      <c r="D64" s="105"/>
      <c r="E64" s="106"/>
      <c r="F64" s="105"/>
      <c r="G64" s="106"/>
      <c r="H64" s="199" t="s">
        <v>243</v>
      </c>
      <c r="I64" s="200" t="s">
        <v>225</v>
      </c>
      <c r="J64" s="200" t="s">
        <v>226</v>
      </c>
      <c r="K64" s="200" t="s">
        <v>52</v>
      </c>
      <c r="L64" s="145" t="s">
        <v>152</v>
      </c>
      <c r="M64" s="145" t="str">
        <f t="shared" si="1"/>
        <v>OneCo Networks AS</v>
      </c>
      <c r="N6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 s="268" t="str">
        <f ca="1">IFERROR(IF(
OR(Table1[[#This Row],[Product category]]="Service items",Table1[[#This Row],[Product category]]="Additional services",Table1[[#This Row],[Product category]]="Additional materials"),
"NOK",IF(($N$3&lt;&gt;""),VLOOKUP(Table1[[#This Row],[Product code]],INDIRECT(Aux!$A$1),6,FALSE),"")),"")</f>
        <v/>
      </c>
      <c r="P64" s="41" t="str">
        <f ca="1">IFERROR(IF(AND(Table1[[#This Row],[Quantity]]&lt;&gt;"",Table1[[#This Row],[Currency]]="NOK"),Table1[[#This Row],[Quantity]]*Table1[[#This Row],[Unit Price]],""),"")</f>
        <v/>
      </c>
      <c r="Q64" s="41" t="str">
        <f ca="1">IFERROR(IF(AND(Table1[[#This Row],[ACT_Qty]]&lt;&gt;"",Table1[[#This Row],[Currency]]="NOK"),Table1[[#This Row],[ACT_Qty]]*Table1[[#This Row],[Unit Price]],""),"")</f>
        <v/>
      </c>
      <c r="R64" s="41" t="str">
        <f ca="1">IFERROR(IF(AND(Table1[[#This Row],[Quantity]]&lt;&gt;"",Table1[[#This Row],[Currency]]="EUR"),Table1[[#This Row],[Quantity]]*Table1[[#This Row],[Unit Price]],""),"")</f>
        <v/>
      </c>
      <c r="S64" s="41" t="str">
        <f ca="1">IFERROR(IF(AND(Table1[[#This Row],[ACT_Qty]]&lt;&gt;"",Table1[[#This Row],[Currency]]="EUR"),Table1[[#This Row],[ACT_Qty]]*Table1[[#This Row],[Unit Price]],""),"")</f>
        <v/>
      </c>
      <c r="T64" s="269" t="str">
        <f ca="1">IFERROR(IF(AND(($N$3&lt;&gt;""),INDIRECT(Aux!$D$1)),VLOOKUP(Table1[[#This Row],[Product code]],Aux!B:E,4,FALSE),""),"")</f>
        <v/>
      </c>
      <c r="U64" s="145" t="str">
        <f>IFERROR(IF(OR(Table1[[#This Row],[Quantity]]&lt;&gt;"",Table1[[#This Row],[ACT_Qty]]&lt;&gt;""),Table1[[#This Row],[ACT_Qty]]-Table1[[#This Row],[Quantity]],""),"")</f>
        <v/>
      </c>
      <c r="V64" s="45"/>
      <c r="W64" s="45"/>
      <c r="X64" s="45"/>
    </row>
    <row r="65" spans="1:24" ht="15" customHeight="1">
      <c r="A65" s="143" t="str">
        <f t="shared" si="0"/>
        <v>AKH12345</v>
      </c>
      <c r="B65" s="256" t="s">
        <v>244</v>
      </c>
      <c r="C65" s="143" t="s">
        <v>245</v>
      </c>
      <c r="D65" s="105"/>
      <c r="E65" s="106" t="s">
        <v>246</v>
      </c>
      <c r="F65" s="105"/>
      <c r="G65" s="106"/>
      <c r="H65" s="199" t="s">
        <v>247</v>
      </c>
      <c r="I65" s="200" t="s">
        <v>225</v>
      </c>
      <c r="J65" s="200" t="s">
        <v>248</v>
      </c>
      <c r="K65" s="200" t="s">
        <v>52</v>
      </c>
      <c r="L65" s="145" t="s">
        <v>152</v>
      </c>
      <c r="M65" s="145" t="str">
        <f t="shared" si="1"/>
        <v>OneCo Networks AS</v>
      </c>
      <c r="N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 s="268" t="str">
        <f ca="1">IFERROR(IF(
OR(Table1[[#This Row],[Product category]]="Service items",Table1[[#This Row],[Product category]]="Additional services",Table1[[#This Row],[Product category]]="Additional materials"),
"NOK",IF(($N$3&lt;&gt;""),VLOOKUP(Table1[[#This Row],[Product code]],INDIRECT(Aux!$A$1),6,FALSE),"")),"")</f>
        <v/>
      </c>
      <c r="P65" s="41" t="str">
        <f ca="1">IFERROR(IF(AND(Table1[[#This Row],[Quantity]]&lt;&gt;"",Table1[[#This Row],[Currency]]="NOK"),Table1[[#This Row],[Quantity]]*Table1[[#This Row],[Unit Price]],""),"")</f>
        <v/>
      </c>
      <c r="Q65" s="41" t="str">
        <f ca="1">IFERROR(IF(AND(Table1[[#This Row],[ACT_Qty]]&lt;&gt;"",Table1[[#This Row],[Currency]]="NOK"),Table1[[#This Row],[ACT_Qty]]*Table1[[#This Row],[Unit Price]],""),"")</f>
        <v/>
      </c>
      <c r="R65" s="41" t="str">
        <f ca="1">IFERROR(IF(AND(Table1[[#This Row],[Quantity]]&lt;&gt;"",Table1[[#This Row],[Currency]]="EUR"),Table1[[#This Row],[Quantity]]*Table1[[#This Row],[Unit Price]],""),"")</f>
        <v/>
      </c>
      <c r="S65" s="41" t="str">
        <f ca="1">IFERROR(IF(AND(Table1[[#This Row],[ACT_Qty]]&lt;&gt;"",Table1[[#This Row],[Currency]]="EUR"),Table1[[#This Row],[ACT_Qty]]*Table1[[#This Row],[Unit Price]],""),"")</f>
        <v/>
      </c>
      <c r="T65" s="269" t="str">
        <f ca="1">IFERROR(IF(AND(($N$3&lt;&gt;""),INDIRECT(Aux!$D$1)),VLOOKUP(Table1[[#This Row],[Product code]],Aux!B:E,4,FALSE),""),"")</f>
        <v/>
      </c>
      <c r="U65" s="145" t="str">
        <f>IFERROR(IF(OR(Table1[[#This Row],[Quantity]]&lt;&gt;"",Table1[[#This Row],[ACT_Qty]]&lt;&gt;""),Table1[[#This Row],[ACT_Qty]]-Table1[[#This Row],[Quantity]],""),"")</f>
        <v/>
      </c>
      <c r="V65" s="45"/>
      <c r="W65" s="45"/>
      <c r="X65" s="45"/>
    </row>
    <row r="66" spans="1:24" ht="15" customHeight="1">
      <c r="A66" s="143" t="str">
        <f t="shared" si="0"/>
        <v>AKH12345</v>
      </c>
      <c r="B66" s="256" t="s">
        <v>249</v>
      </c>
      <c r="C66" s="143" t="s">
        <v>250</v>
      </c>
      <c r="D66" s="105"/>
      <c r="E66" s="106" t="s">
        <v>246</v>
      </c>
      <c r="F66" s="105"/>
      <c r="G66" s="106"/>
      <c r="H66" s="199" t="s">
        <v>247</v>
      </c>
      <c r="I66" s="200" t="s">
        <v>225</v>
      </c>
      <c r="J66" s="200" t="s">
        <v>248</v>
      </c>
      <c r="K66" s="200" t="s">
        <v>52</v>
      </c>
      <c r="L66" s="145" t="s">
        <v>152</v>
      </c>
      <c r="M66" s="145" t="str">
        <f t="shared" si="1"/>
        <v>OneCo Networks AS</v>
      </c>
      <c r="N6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 s="268" t="str">
        <f ca="1">IFERROR(IF(
OR(Table1[[#This Row],[Product category]]="Service items",Table1[[#This Row],[Product category]]="Additional services",Table1[[#This Row],[Product category]]="Additional materials"),
"NOK",IF(($N$3&lt;&gt;""),VLOOKUP(Table1[[#This Row],[Product code]],INDIRECT(Aux!$A$1),6,FALSE),"")),"")</f>
        <v/>
      </c>
      <c r="P66" s="41" t="str">
        <f ca="1">IFERROR(IF(AND(Table1[[#This Row],[Quantity]]&lt;&gt;"",Table1[[#This Row],[Currency]]="NOK"),Table1[[#This Row],[Quantity]]*Table1[[#This Row],[Unit Price]],""),"")</f>
        <v/>
      </c>
      <c r="Q66" s="41" t="str">
        <f ca="1">IFERROR(IF(AND(Table1[[#This Row],[ACT_Qty]]&lt;&gt;"",Table1[[#This Row],[Currency]]="NOK"),Table1[[#This Row],[ACT_Qty]]*Table1[[#This Row],[Unit Price]],""),"")</f>
        <v/>
      </c>
      <c r="R66" s="41" t="str">
        <f ca="1">IFERROR(IF(AND(Table1[[#This Row],[Quantity]]&lt;&gt;"",Table1[[#This Row],[Currency]]="EUR"),Table1[[#This Row],[Quantity]]*Table1[[#This Row],[Unit Price]],""),"")</f>
        <v/>
      </c>
      <c r="S66" s="41" t="str">
        <f ca="1">IFERROR(IF(AND(Table1[[#This Row],[ACT_Qty]]&lt;&gt;"",Table1[[#This Row],[Currency]]="EUR"),Table1[[#This Row],[ACT_Qty]]*Table1[[#This Row],[Unit Price]],""),"")</f>
        <v/>
      </c>
      <c r="T66" s="269" t="str">
        <f ca="1">IFERROR(IF(AND(($N$3&lt;&gt;""),INDIRECT(Aux!$D$1)),VLOOKUP(Table1[[#This Row],[Product code]],Aux!B:E,4,FALSE),""),"")</f>
        <v/>
      </c>
      <c r="U66" s="145" t="str">
        <f>IFERROR(IF(OR(Table1[[#This Row],[Quantity]]&lt;&gt;"",Table1[[#This Row],[ACT_Qty]]&lt;&gt;""),Table1[[#This Row],[ACT_Qty]]-Table1[[#This Row],[Quantity]],""),"")</f>
        <v/>
      </c>
      <c r="V66" s="45"/>
      <c r="W66" s="45"/>
      <c r="X66" s="45"/>
    </row>
    <row r="67" spans="1:24" ht="15" customHeight="1">
      <c r="A67" s="143" t="str">
        <f t="shared" si="0"/>
        <v>AKH12345</v>
      </c>
      <c r="B67" s="256" t="s">
        <v>251</v>
      </c>
      <c r="C67" s="143" t="s">
        <v>252</v>
      </c>
      <c r="D67" s="105"/>
      <c r="E67" s="106"/>
      <c r="F67" s="105"/>
      <c r="G67" s="106"/>
      <c r="H67" s="199" t="s">
        <v>253</v>
      </c>
      <c r="I67" s="200"/>
      <c r="J67" s="200"/>
      <c r="K67" s="200"/>
      <c r="L67" s="145"/>
      <c r="M67" s="145" t="str">
        <f>IF($C$3&lt;&gt;"",$C$3,"")</f>
        <v>OneCo Networks AS</v>
      </c>
      <c r="N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 s="268" t="str">
        <f ca="1">IFERROR(IF(
OR(Table1[[#This Row],[Product category]]="Service items",Table1[[#This Row],[Product category]]="Additional services",Table1[[#This Row],[Product category]]="Additional materials"),
"NOK",IF(($N$3&lt;&gt;""),VLOOKUP(Table1[[#This Row],[Product code]],INDIRECT(Aux!$A$1),6,FALSE),"")),"")</f>
        <v/>
      </c>
      <c r="P67" s="41" t="str">
        <f ca="1">IFERROR(IF(AND(Table1[[#This Row],[Quantity]]&lt;&gt;"",Table1[[#This Row],[Currency]]="NOK"),Table1[[#This Row],[Quantity]]*Table1[[#This Row],[Unit Price]],""),"")</f>
        <v/>
      </c>
      <c r="Q67" s="41" t="str">
        <f ca="1">IFERROR(IF(AND(Table1[[#This Row],[ACT_Qty]]&lt;&gt;"",Table1[[#This Row],[Currency]]="NOK"),Table1[[#This Row],[ACT_Qty]]*Table1[[#This Row],[Unit Price]],""),"")</f>
        <v/>
      </c>
      <c r="R67" s="41" t="str">
        <f ca="1">IFERROR(IF(AND(Table1[[#This Row],[Quantity]]&lt;&gt;"",Table1[[#This Row],[Currency]]="EUR"),Table1[[#This Row],[Quantity]]*Table1[[#This Row],[Unit Price]],""),"")</f>
        <v/>
      </c>
      <c r="S67" s="41" t="str">
        <f ca="1">IFERROR(IF(AND(Table1[[#This Row],[ACT_Qty]]&lt;&gt;"",Table1[[#This Row],[Currency]]="EUR"),Table1[[#This Row],[ACT_Qty]]*Table1[[#This Row],[Unit Price]],""),"")</f>
        <v/>
      </c>
      <c r="T67" s="269" t="str">
        <f ca="1">IFERROR(IF(AND(($N$3&lt;&gt;""),INDIRECT(Aux!$D$1)),VLOOKUP(Table1[[#This Row],[Product code]],Aux!B:E,4,FALSE),""),"")</f>
        <v/>
      </c>
      <c r="U67" s="145" t="str">
        <f>IFERROR(IF(OR(Table1[[#This Row],[Quantity]]&lt;&gt;"",Table1[[#This Row],[ACT_Qty]]&lt;&gt;""),Table1[[#This Row],[ACT_Qty]]-Table1[[#This Row],[Quantity]],""),"")</f>
        <v/>
      </c>
      <c r="V67" s="45"/>
      <c r="W67" s="45"/>
      <c r="X67" s="45"/>
    </row>
    <row r="68" spans="1:24" ht="15" customHeight="1">
      <c r="A68" s="143" t="str">
        <f t="shared" si="0"/>
        <v>AKH12345</v>
      </c>
      <c r="B68" s="256" t="s">
        <v>254</v>
      </c>
      <c r="C68" s="143" t="s">
        <v>255</v>
      </c>
      <c r="D68" s="105"/>
      <c r="E68" s="106"/>
      <c r="F68" s="105"/>
      <c r="G68" s="106"/>
      <c r="H68" s="199" t="s">
        <v>256</v>
      </c>
      <c r="I68" s="200" t="s">
        <v>225</v>
      </c>
      <c r="J68" s="200" t="s">
        <v>248</v>
      </c>
      <c r="K68" s="200" t="s">
        <v>52</v>
      </c>
      <c r="L68" s="145" t="s">
        <v>53</v>
      </c>
      <c r="M68" s="145" t="str">
        <f t="shared" si="1"/>
        <v>OneCo Networks AS</v>
      </c>
      <c r="N6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 s="268" t="str">
        <f ca="1">IFERROR(IF(
OR(Table1[[#This Row],[Product category]]="Service items",Table1[[#This Row],[Product category]]="Additional services",Table1[[#This Row],[Product category]]="Additional materials"),
"NOK",IF(($N$3&lt;&gt;""),VLOOKUP(Table1[[#This Row],[Product code]],INDIRECT(Aux!$A$1),6,FALSE),"")),"")</f>
        <v/>
      </c>
      <c r="P68" s="41" t="str">
        <f ca="1">IFERROR(IF(AND(Table1[[#This Row],[Quantity]]&lt;&gt;"",Table1[[#This Row],[Currency]]="NOK"),Table1[[#This Row],[Quantity]]*Table1[[#This Row],[Unit Price]],""),"")</f>
        <v/>
      </c>
      <c r="Q68" s="41" t="str">
        <f ca="1">IFERROR(IF(AND(Table1[[#This Row],[ACT_Qty]]&lt;&gt;"",Table1[[#This Row],[Currency]]="NOK"),Table1[[#This Row],[ACT_Qty]]*Table1[[#This Row],[Unit Price]],""),"")</f>
        <v/>
      </c>
      <c r="R68" s="41" t="str">
        <f ca="1">IFERROR(IF(AND(Table1[[#This Row],[Quantity]]&lt;&gt;"",Table1[[#This Row],[Currency]]="EUR"),Table1[[#This Row],[Quantity]]*Table1[[#This Row],[Unit Price]],""),"")</f>
        <v/>
      </c>
      <c r="S68" s="41" t="str">
        <f ca="1">IFERROR(IF(AND(Table1[[#This Row],[ACT_Qty]]&lt;&gt;"",Table1[[#This Row],[Currency]]="EUR"),Table1[[#This Row],[ACT_Qty]]*Table1[[#This Row],[Unit Price]],""),"")</f>
        <v/>
      </c>
      <c r="T68" s="269" t="str">
        <f ca="1">IFERROR(IF(AND(($N$3&lt;&gt;""),INDIRECT(Aux!$D$1)),VLOOKUP(Table1[[#This Row],[Product code]],Aux!B:E,4,FALSE),""),"")</f>
        <v/>
      </c>
      <c r="U68" s="145" t="str">
        <f>IFERROR(IF(OR(Table1[[#This Row],[Quantity]]&lt;&gt;"",Table1[[#This Row],[ACT_Qty]]&lt;&gt;""),Table1[[#This Row],[ACT_Qty]]-Table1[[#This Row],[Quantity]],""),"")</f>
        <v/>
      </c>
      <c r="V68" s="45"/>
      <c r="W68" s="45"/>
      <c r="X68" s="45"/>
    </row>
    <row r="69" spans="1:24" ht="15" customHeight="1">
      <c r="A69" s="143" t="str">
        <f t="shared" si="0"/>
        <v>AKH12345</v>
      </c>
      <c r="B69" s="256" t="s">
        <v>257</v>
      </c>
      <c r="C69" s="143" t="s">
        <v>258</v>
      </c>
      <c r="D69" s="105"/>
      <c r="E69" s="106"/>
      <c r="F69" s="105"/>
      <c r="G69" s="106"/>
      <c r="H69" s="199" t="s">
        <v>259</v>
      </c>
      <c r="I69" s="200" t="s">
        <v>225</v>
      </c>
      <c r="J69" s="200" t="s">
        <v>248</v>
      </c>
      <c r="K69" s="200" t="s">
        <v>52</v>
      </c>
      <c r="L69" s="145" t="s">
        <v>53</v>
      </c>
      <c r="M69" s="145" t="str">
        <f t="shared" si="1"/>
        <v>OneCo Networks AS</v>
      </c>
      <c r="N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 s="268" t="str">
        <f ca="1">IFERROR(IF(
OR(Table1[[#This Row],[Product category]]="Service items",Table1[[#This Row],[Product category]]="Additional services",Table1[[#This Row],[Product category]]="Additional materials"),
"NOK",IF(($N$3&lt;&gt;""),VLOOKUP(Table1[[#This Row],[Product code]],INDIRECT(Aux!$A$1),6,FALSE),"")),"")</f>
        <v/>
      </c>
      <c r="P69" s="41" t="str">
        <f ca="1">IFERROR(IF(AND(Table1[[#This Row],[Quantity]]&lt;&gt;"",Table1[[#This Row],[Currency]]="NOK"),Table1[[#This Row],[Quantity]]*Table1[[#This Row],[Unit Price]],""),"")</f>
        <v/>
      </c>
      <c r="Q69" s="41" t="str">
        <f ca="1">IFERROR(IF(AND(Table1[[#This Row],[ACT_Qty]]&lt;&gt;"",Table1[[#This Row],[Currency]]="NOK"),Table1[[#This Row],[ACT_Qty]]*Table1[[#This Row],[Unit Price]],""),"")</f>
        <v/>
      </c>
      <c r="R69" s="41" t="str">
        <f ca="1">IFERROR(IF(AND(Table1[[#This Row],[Quantity]]&lt;&gt;"",Table1[[#This Row],[Currency]]="EUR"),Table1[[#This Row],[Quantity]]*Table1[[#This Row],[Unit Price]],""),"")</f>
        <v/>
      </c>
      <c r="S69" s="41" t="str">
        <f ca="1">IFERROR(IF(AND(Table1[[#This Row],[ACT_Qty]]&lt;&gt;"",Table1[[#This Row],[Currency]]="EUR"),Table1[[#This Row],[ACT_Qty]]*Table1[[#This Row],[Unit Price]],""),"")</f>
        <v/>
      </c>
      <c r="T69" s="269" t="str">
        <f ca="1">IFERROR(IF(AND(($N$3&lt;&gt;""),INDIRECT(Aux!$D$1)),VLOOKUP(Table1[[#This Row],[Product code]],Aux!B:E,4,FALSE),""),"")</f>
        <v/>
      </c>
      <c r="U69" s="145" t="str">
        <f>IFERROR(IF(OR(Table1[[#This Row],[Quantity]]&lt;&gt;"",Table1[[#This Row],[ACT_Qty]]&lt;&gt;""),Table1[[#This Row],[ACT_Qty]]-Table1[[#This Row],[Quantity]],""),"")</f>
        <v/>
      </c>
      <c r="V69" s="45"/>
      <c r="W69" s="45"/>
      <c r="X69" s="45"/>
    </row>
    <row r="70" spans="1:24" ht="15" customHeight="1">
      <c r="A70" s="143" t="str">
        <f t="shared" si="0"/>
        <v>AKH12345</v>
      </c>
      <c r="B70" s="256" t="s">
        <v>260</v>
      </c>
      <c r="C70" s="143" t="s">
        <v>261</v>
      </c>
      <c r="D70" s="105"/>
      <c r="E70" s="106"/>
      <c r="F70" s="105"/>
      <c r="G70" s="106"/>
      <c r="H70" s="199" t="s">
        <v>262</v>
      </c>
      <c r="I70" s="200" t="s">
        <v>225</v>
      </c>
      <c r="J70" s="200" t="s">
        <v>248</v>
      </c>
      <c r="K70" s="200" t="s">
        <v>52</v>
      </c>
      <c r="L70" s="145" t="s">
        <v>53</v>
      </c>
      <c r="M70" s="145" t="str">
        <f>IF($C$3&lt;&gt;"",$C$3,"")</f>
        <v>OneCo Networks AS</v>
      </c>
      <c r="N7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 s="268" t="str">
        <f ca="1">IFERROR(IF(
OR(Table1[[#This Row],[Product category]]="Service items",Table1[[#This Row],[Product category]]="Additional services",Table1[[#This Row],[Product category]]="Additional materials"),
"NOK",IF(($N$3&lt;&gt;""),VLOOKUP(Table1[[#This Row],[Product code]],INDIRECT(Aux!$A$1),6,FALSE),"")),"")</f>
        <v/>
      </c>
      <c r="P70" s="41" t="str">
        <f ca="1">IFERROR(IF(AND(Table1[[#This Row],[Quantity]]&lt;&gt;"",Table1[[#This Row],[Currency]]="NOK"),Table1[[#This Row],[Quantity]]*Table1[[#This Row],[Unit Price]],""),"")</f>
        <v/>
      </c>
      <c r="Q70" s="41" t="str">
        <f ca="1">IFERROR(IF(AND(Table1[[#This Row],[ACT_Qty]]&lt;&gt;"",Table1[[#This Row],[Currency]]="NOK"),Table1[[#This Row],[ACT_Qty]]*Table1[[#This Row],[Unit Price]],""),"")</f>
        <v/>
      </c>
      <c r="R70" s="41" t="str">
        <f ca="1">IFERROR(IF(AND(Table1[[#This Row],[Quantity]]&lt;&gt;"",Table1[[#This Row],[Currency]]="EUR"),Table1[[#This Row],[Quantity]]*Table1[[#This Row],[Unit Price]],""),"")</f>
        <v/>
      </c>
      <c r="S70" s="41" t="str">
        <f ca="1">IFERROR(IF(AND(Table1[[#This Row],[ACT_Qty]]&lt;&gt;"",Table1[[#This Row],[Currency]]="EUR"),Table1[[#This Row],[ACT_Qty]]*Table1[[#This Row],[Unit Price]],""),"")</f>
        <v/>
      </c>
      <c r="T70" s="269" t="str">
        <f ca="1">IFERROR(IF(AND(($N$3&lt;&gt;""),INDIRECT(Aux!$D$1)),VLOOKUP(Table1[[#This Row],[Product code]],Aux!B:E,4,FALSE),""),"")</f>
        <v/>
      </c>
      <c r="U70" s="145" t="str">
        <f>IFERROR(IF(OR(Table1[[#This Row],[Quantity]]&lt;&gt;"",Table1[[#This Row],[ACT_Qty]]&lt;&gt;""),Table1[[#This Row],[ACT_Qty]]-Table1[[#This Row],[Quantity]],""),"")</f>
        <v/>
      </c>
      <c r="V70" s="45"/>
      <c r="W70" s="45"/>
      <c r="X70" s="45"/>
    </row>
    <row r="71" spans="1:24" ht="15" customHeight="1">
      <c r="A71" s="143" t="str">
        <f t="shared" si="0"/>
        <v>AKH12345</v>
      </c>
      <c r="B71" s="256" t="s">
        <v>263</v>
      </c>
      <c r="C71" s="143" t="s">
        <v>264</v>
      </c>
      <c r="D71" s="105"/>
      <c r="E71" s="106"/>
      <c r="F71" s="105"/>
      <c r="G71" s="106"/>
      <c r="H71" s="199" t="s">
        <v>265</v>
      </c>
      <c r="I71" s="200" t="s">
        <v>225</v>
      </c>
      <c r="J71" s="200" t="s">
        <v>266</v>
      </c>
      <c r="K71" s="200" t="s">
        <v>52</v>
      </c>
      <c r="L71" s="145" t="s">
        <v>53</v>
      </c>
      <c r="M71" s="145" t="str">
        <f t="shared" si="1"/>
        <v>OneCo Networks AS</v>
      </c>
      <c r="N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 s="268" t="str">
        <f ca="1">IFERROR(IF(
OR(Table1[[#This Row],[Product category]]="Service items",Table1[[#This Row],[Product category]]="Additional services",Table1[[#This Row],[Product category]]="Additional materials"),
"NOK",IF(($N$3&lt;&gt;""),VLOOKUP(Table1[[#This Row],[Product code]],INDIRECT(Aux!$A$1),6,FALSE),"")),"")</f>
        <v/>
      </c>
      <c r="P71" s="41" t="str">
        <f ca="1">IFERROR(IF(AND(Table1[[#This Row],[Quantity]]&lt;&gt;"",Table1[[#This Row],[Currency]]="NOK"),Table1[[#This Row],[Quantity]]*Table1[[#This Row],[Unit Price]],""),"")</f>
        <v/>
      </c>
      <c r="Q71" s="41" t="str">
        <f ca="1">IFERROR(IF(AND(Table1[[#This Row],[ACT_Qty]]&lt;&gt;"",Table1[[#This Row],[Currency]]="NOK"),Table1[[#This Row],[ACT_Qty]]*Table1[[#This Row],[Unit Price]],""),"")</f>
        <v/>
      </c>
      <c r="R71" s="41" t="str">
        <f ca="1">IFERROR(IF(AND(Table1[[#This Row],[Quantity]]&lt;&gt;"",Table1[[#This Row],[Currency]]="EUR"),Table1[[#This Row],[Quantity]]*Table1[[#This Row],[Unit Price]],""),"")</f>
        <v/>
      </c>
      <c r="S71" s="41" t="str">
        <f ca="1">IFERROR(IF(AND(Table1[[#This Row],[ACT_Qty]]&lt;&gt;"",Table1[[#This Row],[Currency]]="EUR"),Table1[[#This Row],[ACT_Qty]]*Table1[[#This Row],[Unit Price]],""),"")</f>
        <v/>
      </c>
      <c r="T71" s="269" t="str">
        <f ca="1">IFERROR(IF(AND(($N$3&lt;&gt;""),INDIRECT(Aux!$D$1)),VLOOKUP(Table1[[#This Row],[Product code]],Aux!B:E,4,FALSE),""),"")</f>
        <v/>
      </c>
      <c r="U71" s="145" t="str">
        <f>IFERROR(IF(OR(Table1[[#This Row],[Quantity]]&lt;&gt;"",Table1[[#This Row],[ACT_Qty]]&lt;&gt;""),Table1[[#This Row],[ACT_Qty]]-Table1[[#This Row],[Quantity]],""),"")</f>
        <v/>
      </c>
      <c r="V71" s="45"/>
      <c r="W71" s="45"/>
      <c r="X71" s="45"/>
    </row>
    <row r="72" spans="1:24" ht="15" customHeight="1">
      <c r="A72" s="143" t="str">
        <f t="shared" si="0"/>
        <v>AKH12345</v>
      </c>
      <c r="B72" s="256" t="s">
        <v>267</v>
      </c>
      <c r="C72" s="143" t="s">
        <v>268</v>
      </c>
      <c r="D72" s="105"/>
      <c r="E72" s="106"/>
      <c r="F72" s="105"/>
      <c r="G72" s="106"/>
      <c r="H72" s="199" t="s">
        <v>269</v>
      </c>
      <c r="I72" s="200" t="s">
        <v>225</v>
      </c>
      <c r="J72" s="200" t="s">
        <v>266</v>
      </c>
      <c r="K72" s="200" t="s">
        <v>52</v>
      </c>
      <c r="L72" s="145" t="s">
        <v>53</v>
      </c>
      <c r="M72" s="145" t="str">
        <f t="shared" si="1"/>
        <v>OneCo Networks AS</v>
      </c>
      <c r="N7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 s="268" t="str">
        <f ca="1">IFERROR(IF(
OR(Table1[[#This Row],[Product category]]="Service items",Table1[[#This Row],[Product category]]="Additional services",Table1[[#This Row],[Product category]]="Additional materials"),
"NOK",IF(($N$3&lt;&gt;""),VLOOKUP(Table1[[#This Row],[Product code]],INDIRECT(Aux!$A$1),6,FALSE),"")),"")</f>
        <v/>
      </c>
      <c r="P72" s="41" t="str">
        <f ca="1">IFERROR(IF(AND(Table1[[#This Row],[Quantity]]&lt;&gt;"",Table1[[#This Row],[Currency]]="NOK"),Table1[[#This Row],[Quantity]]*Table1[[#This Row],[Unit Price]],""),"")</f>
        <v/>
      </c>
      <c r="Q72" s="41" t="str">
        <f ca="1">IFERROR(IF(AND(Table1[[#This Row],[ACT_Qty]]&lt;&gt;"",Table1[[#This Row],[Currency]]="NOK"),Table1[[#This Row],[ACT_Qty]]*Table1[[#This Row],[Unit Price]],""),"")</f>
        <v/>
      </c>
      <c r="R72" s="41" t="str">
        <f ca="1">IFERROR(IF(AND(Table1[[#This Row],[Quantity]]&lt;&gt;"",Table1[[#This Row],[Currency]]="EUR"),Table1[[#This Row],[Quantity]]*Table1[[#This Row],[Unit Price]],""),"")</f>
        <v/>
      </c>
      <c r="S72" s="41" t="str">
        <f ca="1">IFERROR(IF(AND(Table1[[#This Row],[ACT_Qty]]&lt;&gt;"",Table1[[#This Row],[Currency]]="EUR"),Table1[[#This Row],[ACT_Qty]]*Table1[[#This Row],[Unit Price]],""),"")</f>
        <v/>
      </c>
      <c r="T72" s="269" t="str">
        <f ca="1">IFERROR(IF(AND(($N$3&lt;&gt;""),INDIRECT(Aux!$D$1)),VLOOKUP(Table1[[#This Row],[Product code]],Aux!B:E,4,FALSE),""),"")</f>
        <v/>
      </c>
      <c r="U72" s="145" t="str">
        <f>IFERROR(IF(OR(Table1[[#This Row],[Quantity]]&lt;&gt;"",Table1[[#This Row],[ACT_Qty]]&lt;&gt;""),Table1[[#This Row],[ACT_Qty]]-Table1[[#This Row],[Quantity]],""),"")</f>
        <v/>
      </c>
      <c r="V72" s="45"/>
      <c r="W72" s="45"/>
      <c r="X72" s="45"/>
    </row>
    <row r="73" spans="1:24" ht="15" customHeight="1">
      <c r="A73" s="143" t="str">
        <f t="shared" si="0"/>
        <v>AKH12345</v>
      </c>
      <c r="B73" s="256" t="s">
        <v>270</v>
      </c>
      <c r="C73" s="143" t="s">
        <v>271</v>
      </c>
      <c r="D73" s="105"/>
      <c r="E73" s="106"/>
      <c r="F73" s="105"/>
      <c r="G73" s="106"/>
      <c r="H73" s="199" t="s">
        <v>269</v>
      </c>
      <c r="I73" s="200" t="s">
        <v>225</v>
      </c>
      <c r="J73" s="200" t="s">
        <v>266</v>
      </c>
      <c r="K73" s="200" t="s">
        <v>52</v>
      </c>
      <c r="L73" s="145" t="s">
        <v>53</v>
      </c>
      <c r="M73" s="145" t="str">
        <f t="shared" si="1"/>
        <v>OneCo Networks AS</v>
      </c>
      <c r="N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 s="268" t="str">
        <f ca="1">IFERROR(IF(
OR(Table1[[#This Row],[Product category]]="Service items",Table1[[#This Row],[Product category]]="Additional services",Table1[[#This Row],[Product category]]="Additional materials"),
"NOK",IF(($N$3&lt;&gt;""),VLOOKUP(Table1[[#This Row],[Product code]],INDIRECT(Aux!$A$1),6,FALSE),"")),"")</f>
        <v/>
      </c>
      <c r="P73" s="41" t="str">
        <f ca="1">IFERROR(IF(AND(Table1[[#This Row],[Quantity]]&lt;&gt;"",Table1[[#This Row],[Currency]]="NOK"),Table1[[#This Row],[Quantity]]*Table1[[#This Row],[Unit Price]],""),"")</f>
        <v/>
      </c>
      <c r="Q73" s="41" t="str">
        <f ca="1">IFERROR(IF(AND(Table1[[#This Row],[ACT_Qty]]&lt;&gt;"",Table1[[#This Row],[Currency]]="NOK"),Table1[[#This Row],[ACT_Qty]]*Table1[[#This Row],[Unit Price]],""),"")</f>
        <v/>
      </c>
      <c r="R73" s="41" t="str">
        <f ca="1">IFERROR(IF(AND(Table1[[#This Row],[Quantity]]&lt;&gt;"",Table1[[#This Row],[Currency]]="EUR"),Table1[[#This Row],[Quantity]]*Table1[[#This Row],[Unit Price]],""),"")</f>
        <v/>
      </c>
      <c r="S73" s="41" t="str">
        <f ca="1">IFERROR(IF(AND(Table1[[#This Row],[ACT_Qty]]&lt;&gt;"",Table1[[#This Row],[Currency]]="EUR"),Table1[[#This Row],[ACT_Qty]]*Table1[[#This Row],[Unit Price]],""),"")</f>
        <v/>
      </c>
      <c r="T73" s="269" t="str">
        <f ca="1">IFERROR(IF(AND(($N$3&lt;&gt;""),INDIRECT(Aux!$D$1)),VLOOKUP(Table1[[#This Row],[Product code]],Aux!B:E,4,FALSE),""),"")</f>
        <v/>
      </c>
      <c r="U73" s="145" t="str">
        <f>IFERROR(IF(OR(Table1[[#This Row],[Quantity]]&lt;&gt;"",Table1[[#This Row],[ACT_Qty]]&lt;&gt;""),Table1[[#This Row],[ACT_Qty]]-Table1[[#This Row],[Quantity]],""),"")</f>
        <v/>
      </c>
      <c r="V73" s="45"/>
      <c r="W73" s="45"/>
      <c r="X73" s="45"/>
    </row>
    <row r="74" spans="1:24" ht="15" customHeight="1">
      <c r="A74" s="143" t="str">
        <f t="shared" si="0"/>
        <v>AKH12345</v>
      </c>
      <c r="B74" s="256" t="s">
        <v>272</v>
      </c>
      <c r="C74" s="143" t="s">
        <v>273</v>
      </c>
      <c r="D74" s="105"/>
      <c r="E74" s="106"/>
      <c r="F74" s="105"/>
      <c r="G74" s="106"/>
      <c r="H74" s="199" t="s">
        <v>269</v>
      </c>
      <c r="I74" s="200" t="s">
        <v>225</v>
      </c>
      <c r="J74" s="200" t="s">
        <v>266</v>
      </c>
      <c r="K74" s="200" t="s">
        <v>52</v>
      </c>
      <c r="L74" s="145" t="s">
        <v>53</v>
      </c>
      <c r="M74" s="145" t="str">
        <f t="shared" si="1"/>
        <v>OneCo Networks AS</v>
      </c>
      <c r="N7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 s="268" t="str">
        <f ca="1">IFERROR(IF(
OR(Table1[[#This Row],[Product category]]="Service items",Table1[[#This Row],[Product category]]="Additional services",Table1[[#This Row],[Product category]]="Additional materials"),
"NOK",IF(($N$3&lt;&gt;""),VLOOKUP(Table1[[#This Row],[Product code]],INDIRECT(Aux!$A$1),6,FALSE),"")),"")</f>
        <v/>
      </c>
      <c r="P74" s="41" t="str">
        <f ca="1">IFERROR(IF(AND(Table1[[#This Row],[Quantity]]&lt;&gt;"",Table1[[#This Row],[Currency]]="NOK"),Table1[[#This Row],[Quantity]]*Table1[[#This Row],[Unit Price]],""),"")</f>
        <v/>
      </c>
      <c r="Q74" s="41" t="str">
        <f ca="1">IFERROR(IF(AND(Table1[[#This Row],[ACT_Qty]]&lt;&gt;"",Table1[[#This Row],[Currency]]="NOK"),Table1[[#This Row],[ACT_Qty]]*Table1[[#This Row],[Unit Price]],""),"")</f>
        <v/>
      </c>
      <c r="R74" s="41" t="str">
        <f ca="1">IFERROR(IF(AND(Table1[[#This Row],[Quantity]]&lt;&gt;"",Table1[[#This Row],[Currency]]="EUR"),Table1[[#This Row],[Quantity]]*Table1[[#This Row],[Unit Price]],""),"")</f>
        <v/>
      </c>
      <c r="S74" s="41" t="str">
        <f ca="1">IFERROR(IF(AND(Table1[[#This Row],[ACT_Qty]]&lt;&gt;"",Table1[[#This Row],[Currency]]="EUR"),Table1[[#This Row],[ACT_Qty]]*Table1[[#This Row],[Unit Price]],""),"")</f>
        <v/>
      </c>
      <c r="T74" s="269" t="str">
        <f ca="1">IFERROR(IF(AND(($N$3&lt;&gt;""),INDIRECT(Aux!$D$1)),VLOOKUP(Table1[[#This Row],[Product code]],Aux!B:E,4,FALSE),""),"")</f>
        <v/>
      </c>
      <c r="U74" s="145" t="str">
        <f>IFERROR(IF(OR(Table1[[#This Row],[Quantity]]&lt;&gt;"",Table1[[#This Row],[ACT_Qty]]&lt;&gt;""),Table1[[#This Row],[ACT_Qty]]-Table1[[#This Row],[Quantity]],""),"")</f>
        <v/>
      </c>
      <c r="V74" s="45"/>
      <c r="W74" s="45"/>
      <c r="X74" s="45"/>
    </row>
    <row r="75" spans="1:24" ht="15" customHeight="1">
      <c r="A75" s="143" t="str">
        <f t="shared" si="0"/>
        <v>AKH12345</v>
      </c>
      <c r="B75" s="256" t="s">
        <v>274</v>
      </c>
      <c r="C75" s="143" t="s">
        <v>275</v>
      </c>
      <c r="D75" s="105"/>
      <c r="E75" s="106"/>
      <c r="F75" s="105"/>
      <c r="G75" s="106"/>
      <c r="H75" s="199" t="s">
        <v>276</v>
      </c>
      <c r="I75" s="200" t="s">
        <v>225</v>
      </c>
      <c r="J75" s="200" t="s">
        <v>277</v>
      </c>
      <c r="K75" s="200" t="s">
        <v>52</v>
      </c>
      <c r="L75" s="145" t="s">
        <v>53</v>
      </c>
      <c r="M75" s="145" t="str">
        <f t="shared" si="1"/>
        <v>OneCo Networks AS</v>
      </c>
      <c r="N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 s="268" t="str">
        <f ca="1">IFERROR(IF(
OR(Table1[[#This Row],[Product category]]="Service items",Table1[[#This Row],[Product category]]="Additional services",Table1[[#This Row],[Product category]]="Additional materials"),
"NOK",IF(($N$3&lt;&gt;""),VLOOKUP(Table1[[#This Row],[Product code]],INDIRECT(Aux!$A$1),6,FALSE),"")),"")</f>
        <v/>
      </c>
      <c r="P75" s="41" t="str">
        <f ca="1">IFERROR(IF(AND(Table1[[#This Row],[Quantity]]&lt;&gt;"",Table1[[#This Row],[Currency]]="NOK"),Table1[[#This Row],[Quantity]]*Table1[[#This Row],[Unit Price]],""),"")</f>
        <v/>
      </c>
      <c r="Q75" s="41" t="str">
        <f ca="1">IFERROR(IF(AND(Table1[[#This Row],[ACT_Qty]]&lt;&gt;"",Table1[[#This Row],[Currency]]="NOK"),Table1[[#This Row],[ACT_Qty]]*Table1[[#This Row],[Unit Price]],""),"")</f>
        <v/>
      </c>
      <c r="R75" s="41" t="str">
        <f ca="1">IFERROR(IF(AND(Table1[[#This Row],[Quantity]]&lt;&gt;"",Table1[[#This Row],[Currency]]="EUR"),Table1[[#This Row],[Quantity]]*Table1[[#This Row],[Unit Price]],""),"")</f>
        <v/>
      </c>
      <c r="S75" s="41" t="str">
        <f ca="1">IFERROR(IF(AND(Table1[[#This Row],[ACT_Qty]]&lt;&gt;"",Table1[[#This Row],[Currency]]="EUR"),Table1[[#This Row],[ACT_Qty]]*Table1[[#This Row],[Unit Price]],""),"")</f>
        <v/>
      </c>
      <c r="T75" s="269" t="str">
        <f ca="1">IFERROR(IF(AND(($N$3&lt;&gt;""),INDIRECT(Aux!$D$1)),VLOOKUP(Table1[[#This Row],[Product code]],Aux!B:E,4,FALSE),""),"")</f>
        <v/>
      </c>
      <c r="U75" s="145" t="str">
        <f>IFERROR(IF(OR(Table1[[#This Row],[Quantity]]&lt;&gt;"",Table1[[#This Row],[ACT_Qty]]&lt;&gt;""),Table1[[#This Row],[ACT_Qty]]-Table1[[#This Row],[Quantity]],""),"")</f>
        <v/>
      </c>
      <c r="V75" s="45"/>
      <c r="W75" s="45"/>
      <c r="X75" s="45"/>
    </row>
    <row r="76" spans="1:24" ht="15" customHeight="1">
      <c r="A76" s="143" t="str">
        <f t="shared" si="0"/>
        <v>AKH12345</v>
      </c>
      <c r="B76" s="256" t="s">
        <v>278</v>
      </c>
      <c r="C76" s="143" t="s">
        <v>279</v>
      </c>
      <c r="D76" s="105"/>
      <c r="E76" s="106"/>
      <c r="F76" s="105"/>
      <c r="G76" s="106"/>
      <c r="H76" s="199" t="s">
        <v>280</v>
      </c>
      <c r="I76" s="200" t="s">
        <v>225</v>
      </c>
      <c r="J76" s="200" t="s">
        <v>281</v>
      </c>
      <c r="K76" s="200" t="s">
        <v>52</v>
      </c>
      <c r="L76" s="145" t="s">
        <v>53</v>
      </c>
      <c r="M76" s="145" t="str">
        <f t="shared" si="1"/>
        <v>OneCo Networks AS</v>
      </c>
      <c r="N7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 s="268" t="str">
        <f ca="1">IFERROR(IF(
OR(Table1[[#This Row],[Product category]]="Service items",Table1[[#This Row],[Product category]]="Additional services",Table1[[#This Row],[Product category]]="Additional materials"),
"NOK",IF(($N$3&lt;&gt;""),VLOOKUP(Table1[[#This Row],[Product code]],INDIRECT(Aux!$A$1),6,FALSE),"")),"")</f>
        <v/>
      </c>
      <c r="P76" s="41" t="str">
        <f ca="1">IFERROR(IF(AND(Table1[[#This Row],[Quantity]]&lt;&gt;"",Table1[[#This Row],[Currency]]="NOK"),Table1[[#This Row],[Quantity]]*Table1[[#This Row],[Unit Price]],""),"")</f>
        <v/>
      </c>
      <c r="Q76" s="41" t="str">
        <f ca="1">IFERROR(IF(AND(Table1[[#This Row],[ACT_Qty]]&lt;&gt;"",Table1[[#This Row],[Currency]]="NOK"),Table1[[#This Row],[ACT_Qty]]*Table1[[#This Row],[Unit Price]],""),"")</f>
        <v/>
      </c>
      <c r="R76" s="41" t="str">
        <f ca="1">IFERROR(IF(AND(Table1[[#This Row],[Quantity]]&lt;&gt;"",Table1[[#This Row],[Currency]]="EUR"),Table1[[#This Row],[Quantity]]*Table1[[#This Row],[Unit Price]],""),"")</f>
        <v/>
      </c>
      <c r="S76" s="41" t="str">
        <f ca="1">IFERROR(IF(AND(Table1[[#This Row],[ACT_Qty]]&lt;&gt;"",Table1[[#This Row],[Currency]]="EUR"),Table1[[#This Row],[ACT_Qty]]*Table1[[#This Row],[Unit Price]],""),"")</f>
        <v/>
      </c>
      <c r="T76" s="269" t="str">
        <f ca="1">IFERROR(IF(AND(($N$3&lt;&gt;""),INDIRECT(Aux!$D$1)),VLOOKUP(Table1[[#This Row],[Product code]],Aux!B:E,4,FALSE),""),"")</f>
        <v/>
      </c>
      <c r="U76" s="145" t="str">
        <f>IFERROR(IF(OR(Table1[[#This Row],[Quantity]]&lt;&gt;"",Table1[[#This Row],[ACT_Qty]]&lt;&gt;""),Table1[[#This Row],[ACT_Qty]]-Table1[[#This Row],[Quantity]],""),"")</f>
        <v/>
      </c>
      <c r="V76" s="45"/>
      <c r="W76" s="45"/>
      <c r="X76" s="45"/>
    </row>
    <row r="77" spans="1:24" ht="15" customHeight="1">
      <c r="A77" s="143" t="str">
        <f t="shared" ref="A77:A151" si="4">$C$4</f>
        <v>AKH12345</v>
      </c>
      <c r="B77" s="256" t="s">
        <v>282</v>
      </c>
      <c r="C77" s="143" t="s">
        <v>283</v>
      </c>
      <c r="D77" s="105"/>
      <c r="E77" s="106"/>
      <c r="F77" s="105"/>
      <c r="G77" s="106"/>
      <c r="H77" s="199" t="s">
        <v>280</v>
      </c>
      <c r="I77" s="200" t="s">
        <v>225</v>
      </c>
      <c r="J77" s="200" t="s">
        <v>281</v>
      </c>
      <c r="K77" s="200" t="s">
        <v>52</v>
      </c>
      <c r="L77" s="145" t="s">
        <v>53</v>
      </c>
      <c r="M77" s="145" t="str">
        <f t="shared" si="1"/>
        <v>OneCo Networks AS</v>
      </c>
      <c r="N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 s="268" t="str">
        <f ca="1">IFERROR(IF(
OR(Table1[[#This Row],[Product category]]="Service items",Table1[[#This Row],[Product category]]="Additional services",Table1[[#This Row],[Product category]]="Additional materials"),
"NOK",IF(($N$3&lt;&gt;""),VLOOKUP(Table1[[#This Row],[Product code]],INDIRECT(Aux!$A$1),6,FALSE),"")),"")</f>
        <v/>
      </c>
      <c r="P77" s="41" t="str">
        <f ca="1">IFERROR(IF(AND(Table1[[#This Row],[Quantity]]&lt;&gt;"",Table1[[#This Row],[Currency]]="NOK"),Table1[[#This Row],[Quantity]]*Table1[[#This Row],[Unit Price]],""),"")</f>
        <v/>
      </c>
      <c r="Q77" s="41" t="str">
        <f ca="1">IFERROR(IF(AND(Table1[[#This Row],[ACT_Qty]]&lt;&gt;"",Table1[[#This Row],[Currency]]="NOK"),Table1[[#This Row],[ACT_Qty]]*Table1[[#This Row],[Unit Price]],""),"")</f>
        <v/>
      </c>
      <c r="R77" s="41" t="str">
        <f ca="1">IFERROR(IF(AND(Table1[[#This Row],[Quantity]]&lt;&gt;"",Table1[[#This Row],[Currency]]="EUR"),Table1[[#This Row],[Quantity]]*Table1[[#This Row],[Unit Price]],""),"")</f>
        <v/>
      </c>
      <c r="S77" s="41" t="str">
        <f ca="1">IFERROR(IF(AND(Table1[[#This Row],[ACT_Qty]]&lt;&gt;"",Table1[[#This Row],[Currency]]="EUR"),Table1[[#This Row],[ACT_Qty]]*Table1[[#This Row],[Unit Price]],""),"")</f>
        <v/>
      </c>
      <c r="T77" s="269" t="str">
        <f ca="1">IFERROR(IF(AND(($N$3&lt;&gt;""),INDIRECT(Aux!$D$1)),VLOOKUP(Table1[[#This Row],[Product code]],Aux!B:E,4,FALSE),""),"")</f>
        <v/>
      </c>
      <c r="U77" s="145" t="str">
        <f>IFERROR(IF(OR(Table1[[#This Row],[Quantity]]&lt;&gt;"",Table1[[#This Row],[ACT_Qty]]&lt;&gt;""),Table1[[#This Row],[ACT_Qty]]-Table1[[#This Row],[Quantity]],""),"")</f>
        <v/>
      </c>
      <c r="V77" s="45"/>
      <c r="W77" s="45"/>
      <c r="X77" s="45"/>
    </row>
    <row r="78" spans="1:24" ht="15" customHeight="1">
      <c r="A78" s="143" t="str">
        <f t="shared" si="4"/>
        <v>AKH12345</v>
      </c>
      <c r="B78" s="256" t="s">
        <v>284</v>
      </c>
      <c r="C78" s="143" t="s">
        <v>285</v>
      </c>
      <c r="D78" s="105"/>
      <c r="E78" s="106"/>
      <c r="F78" s="105"/>
      <c r="G78" s="106"/>
      <c r="H78" s="199" t="s">
        <v>280</v>
      </c>
      <c r="I78" s="200" t="s">
        <v>225</v>
      </c>
      <c r="J78" s="200" t="s">
        <v>281</v>
      </c>
      <c r="K78" s="200" t="s">
        <v>52</v>
      </c>
      <c r="L78" s="145" t="s">
        <v>53</v>
      </c>
      <c r="M78" s="145" t="str">
        <f t="shared" si="1"/>
        <v>OneCo Networks AS</v>
      </c>
      <c r="N7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8" s="268" t="str">
        <f ca="1">IFERROR(IF(
OR(Table1[[#This Row],[Product category]]="Service items",Table1[[#This Row],[Product category]]="Additional services",Table1[[#This Row],[Product category]]="Additional materials"),
"NOK",IF(($N$3&lt;&gt;""),VLOOKUP(Table1[[#This Row],[Product code]],INDIRECT(Aux!$A$1),6,FALSE),"")),"")</f>
        <v/>
      </c>
      <c r="P78" s="41" t="str">
        <f ca="1">IFERROR(IF(AND(Table1[[#This Row],[Quantity]]&lt;&gt;"",Table1[[#This Row],[Currency]]="NOK"),Table1[[#This Row],[Quantity]]*Table1[[#This Row],[Unit Price]],""),"")</f>
        <v/>
      </c>
      <c r="Q78" s="41" t="str">
        <f ca="1">IFERROR(IF(AND(Table1[[#This Row],[ACT_Qty]]&lt;&gt;"",Table1[[#This Row],[Currency]]="NOK"),Table1[[#This Row],[ACT_Qty]]*Table1[[#This Row],[Unit Price]],""),"")</f>
        <v/>
      </c>
      <c r="R78" s="41" t="str">
        <f ca="1">IFERROR(IF(AND(Table1[[#This Row],[Quantity]]&lt;&gt;"",Table1[[#This Row],[Currency]]="EUR"),Table1[[#This Row],[Quantity]]*Table1[[#This Row],[Unit Price]],""),"")</f>
        <v/>
      </c>
      <c r="S78" s="41" t="str">
        <f ca="1">IFERROR(IF(AND(Table1[[#This Row],[ACT_Qty]]&lt;&gt;"",Table1[[#This Row],[Currency]]="EUR"),Table1[[#This Row],[ACT_Qty]]*Table1[[#This Row],[Unit Price]],""),"")</f>
        <v/>
      </c>
      <c r="T78" s="269" t="str">
        <f ca="1">IFERROR(IF(AND(($N$3&lt;&gt;""),INDIRECT(Aux!$D$1)),VLOOKUP(Table1[[#This Row],[Product code]],Aux!B:E,4,FALSE),""),"")</f>
        <v/>
      </c>
      <c r="U78" s="145" t="str">
        <f>IFERROR(IF(OR(Table1[[#This Row],[Quantity]]&lt;&gt;"",Table1[[#This Row],[ACT_Qty]]&lt;&gt;""),Table1[[#This Row],[ACT_Qty]]-Table1[[#This Row],[Quantity]],""),"")</f>
        <v/>
      </c>
      <c r="V78" s="45"/>
      <c r="W78" s="45"/>
      <c r="X78" s="45"/>
    </row>
    <row r="79" spans="1:24" ht="15" customHeight="1">
      <c r="A79" s="143" t="str">
        <f t="shared" si="4"/>
        <v>AKH12345</v>
      </c>
      <c r="B79" s="256" t="s">
        <v>286</v>
      </c>
      <c r="C79" s="143" t="s">
        <v>287</v>
      </c>
      <c r="D79" s="105"/>
      <c r="E79" s="106"/>
      <c r="F79" s="105"/>
      <c r="G79" s="106"/>
      <c r="H79" s="199" t="s">
        <v>288</v>
      </c>
      <c r="I79" s="200" t="s">
        <v>225</v>
      </c>
      <c r="J79" s="200" t="s">
        <v>289</v>
      </c>
      <c r="K79" s="200" t="s">
        <v>52</v>
      </c>
      <c r="L79" s="145" t="s">
        <v>53</v>
      </c>
      <c r="M79" s="145" t="str">
        <f t="shared" si="1"/>
        <v>OneCo Networks AS</v>
      </c>
      <c r="N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9" s="268" t="str">
        <f ca="1">IFERROR(IF(
OR(Table1[[#This Row],[Product category]]="Service items",Table1[[#This Row],[Product category]]="Additional services",Table1[[#This Row],[Product category]]="Additional materials"),
"NOK",IF(($N$3&lt;&gt;""),VLOOKUP(Table1[[#This Row],[Product code]],INDIRECT(Aux!$A$1),6,FALSE),"")),"")</f>
        <v/>
      </c>
      <c r="P79" s="41" t="str">
        <f ca="1">IFERROR(IF(AND(Table1[[#This Row],[Quantity]]&lt;&gt;"",Table1[[#This Row],[Currency]]="NOK"),Table1[[#This Row],[Quantity]]*Table1[[#This Row],[Unit Price]],""),"")</f>
        <v/>
      </c>
      <c r="Q79" s="41" t="str">
        <f ca="1">IFERROR(IF(AND(Table1[[#This Row],[ACT_Qty]]&lt;&gt;"",Table1[[#This Row],[Currency]]="NOK"),Table1[[#This Row],[ACT_Qty]]*Table1[[#This Row],[Unit Price]],""),"")</f>
        <v/>
      </c>
      <c r="R79" s="41" t="str">
        <f ca="1">IFERROR(IF(AND(Table1[[#This Row],[Quantity]]&lt;&gt;"",Table1[[#This Row],[Currency]]="EUR"),Table1[[#This Row],[Quantity]]*Table1[[#This Row],[Unit Price]],""),"")</f>
        <v/>
      </c>
      <c r="S79" s="41" t="str">
        <f ca="1">IFERROR(IF(AND(Table1[[#This Row],[ACT_Qty]]&lt;&gt;"",Table1[[#This Row],[Currency]]="EUR"),Table1[[#This Row],[ACT_Qty]]*Table1[[#This Row],[Unit Price]],""),"")</f>
        <v/>
      </c>
      <c r="T79" s="269" t="str">
        <f ca="1">IFERROR(IF(AND(($N$3&lt;&gt;""),INDIRECT(Aux!$D$1)),VLOOKUP(Table1[[#This Row],[Product code]],Aux!B:E,4,FALSE),""),"")</f>
        <v/>
      </c>
      <c r="U79" s="145" t="str">
        <f>IFERROR(IF(OR(Table1[[#This Row],[Quantity]]&lt;&gt;"",Table1[[#This Row],[ACT_Qty]]&lt;&gt;""),Table1[[#This Row],[ACT_Qty]]-Table1[[#This Row],[Quantity]],""),"")</f>
        <v/>
      </c>
      <c r="V79" s="45"/>
      <c r="W79" s="45"/>
      <c r="X79" s="45"/>
    </row>
    <row r="80" spans="1:24" ht="15" customHeight="1">
      <c r="A80" s="143" t="str">
        <f t="shared" si="4"/>
        <v>AKH12345</v>
      </c>
      <c r="B80" s="256" t="s">
        <v>290</v>
      </c>
      <c r="C80" s="143" t="s">
        <v>291</v>
      </c>
      <c r="D80" s="105"/>
      <c r="E80" s="106"/>
      <c r="F80" s="105"/>
      <c r="G80" s="106"/>
      <c r="H80" s="199" t="s">
        <v>288</v>
      </c>
      <c r="I80" s="200" t="s">
        <v>225</v>
      </c>
      <c r="J80" s="200" t="s">
        <v>289</v>
      </c>
      <c r="K80" s="200" t="s">
        <v>52</v>
      </c>
      <c r="L80" s="145" t="s">
        <v>53</v>
      </c>
      <c r="M80" s="145" t="str">
        <f>IF($C$3&lt;&gt;"",$C$3,"")</f>
        <v>OneCo Networks AS</v>
      </c>
      <c r="N8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0" s="268" t="str">
        <f ca="1">IFERROR(IF(
OR(Table1[[#This Row],[Product category]]="Service items",Table1[[#This Row],[Product category]]="Additional services",Table1[[#This Row],[Product category]]="Additional materials"),
"NOK",IF(($N$3&lt;&gt;""),VLOOKUP(Table1[[#This Row],[Product code]],INDIRECT(Aux!$A$1),6,FALSE),"")),"")</f>
        <v/>
      </c>
      <c r="P80" s="41" t="str">
        <f ca="1">IFERROR(IF(AND(Table1[[#This Row],[Quantity]]&lt;&gt;"",Table1[[#This Row],[Currency]]="NOK"),Table1[[#This Row],[Quantity]]*Table1[[#This Row],[Unit Price]],""),"")</f>
        <v/>
      </c>
      <c r="Q80" s="41" t="str">
        <f ca="1">IFERROR(IF(AND(Table1[[#This Row],[ACT_Qty]]&lt;&gt;"",Table1[[#This Row],[Currency]]="NOK"),Table1[[#This Row],[ACT_Qty]]*Table1[[#This Row],[Unit Price]],""),"")</f>
        <v/>
      </c>
      <c r="R80" s="41" t="str">
        <f ca="1">IFERROR(IF(AND(Table1[[#This Row],[Quantity]]&lt;&gt;"",Table1[[#This Row],[Currency]]="EUR"),Table1[[#This Row],[Quantity]]*Table1[[#This Row],[Unit Price]],""),"")</f>
        <v/>
      </c>
      <c r="S80" s="41" t="str">
        <f ca="1">IFERROR(IF(AND(Table1[[#This Row],[ACT_Qty]]&lt;&gt;"",Table1[[#This Row],[Currency]]="EUR"),Table1[[#This Row],[ACT_Qty]]*Table1[[#This Row],[Unit Price]],""),"")</f>
        <v/>
      </c>
      <c r="T80" s="269" t="str">
        <f ca="1">IFERROR(IF(AND(($N$3&lt;&gt;""),INDIRECT(Aux!$D$1)),VLOOKUP(Table1[[#This Row],[Product code]],Aux!B:E,4,FALSE),""),"")</f>
        <v/>
      </c>
      <c r="U80" s="145" t="str">
        <f>IFERROR(IF(OR(Table1[[#This Row],[Quantity]]&lt;&gt;"",Table1[[#This Row],[ACT_Qty]]&lt;&gt;""),Table1[[#This Row],[ACT_Qty]]-Table1[[#This Row],[Quantity]],""),"")</f>
        <v/>
      </c>
      <c r="V80" s="45"/>
      <c r="W80" s="45"/>
      <c r="X80" s="45"/>
    </row>
    <row r="81" spans="1:24" ht="15" customHeight="1">
      <c r="A81" s="143" t="str">
        <f t="shared" si="4"/>
        <v>AKH12345</v>
      </c>
      <c r="B81" s="256" t="s">
        <v>292</v>
      </c>
      <c r="C81" s="143" t="s">
        <v>293</v>
      </c>
      <c r="D81" s="105"/>
      <c r="E81" s="106"/>
      <c r="F81" s="105"/>
      <c r="G81" s="106"/>
      <c r="H81" s="199" t="s">
        <v>294</v>
      </c>
      <c r="I81" s="200" t="s">
        <v>225</v>
      </c>
      <c r="J81" s="200" t="s">
        <v>289</v>
      </c>
      <c r="K81" s="200" t="s">
        <v>52</v>
      </c>
      <c r="L81" s="145" t="s">
        <v>53</v>
      </c>
      <c r="M81" s="145" t="str">
        <f>IF($C$3&lt;&gt;"",$C$3,"")</f>
        <v>OneCo Networks AS</v>
      </c>
      <c r="N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1" s="268" t="str">
        <f ca="1">IFERROR(IF(
OR(Table1[[#This Row],[Product category]]="Service items",Table1[[#This Row],[Product category]]="Additional services",Table1[[#This Row],[Product category]]="Additional materials"),
"NOK",IF(($N$3&lt;&gt;""),VLOOKUP(Table1[[#This Row],[Product code]],INDIRECT(Aux!$A$1),6,FALSE),"")),"")</f>
        <v/>
      </c>
      <c r="P81" s="41" t="str">
        <f ca="1">IFERROR(IF(AND(Table1[[#This Row],[Quantity]]&lt;&gt;"",Table1[[#This Row],[Currency]]="NOK"),Table1[[#This Row],[Quantity]]*Table1[[#This Row],[Unit Price]],""),"")</f>
        <v/>
      </c>
      <c r="Q81" s="41" t="str">
        <f ca="1">IFERROR(IF(AND(Table1[[#This Row],[ACT_Qty]]&lt;&gt;"",Table1[[#This Row],[Currency]]="NOK"),Table1[[#This Row],[ACT_Qty]]*Table1[[#This Row],[Unit Price]],""),"")</f>
        <v/>
      </c>
      <c r="R81" s="41" t="str">
        <f ca="1">IFERROR(IF(AND(Table1[[#This Row],[Quantity]]&lt;&gt;"",Table1[[#This Row],[Currency]]="EUR"),Table1[[#This Row],[Quantity]]*Table1[[#This Row],[Unit Price]],""),"")</f>
        <v/>
      </c>
      <c r="S81" s="41" t="str">
        <f ca="1">IFERROR(IF(AND(Table1[[#This Row],[ACT_Qty]]&lt;&gt;"",Table1[[#This Row],[Currency]]="EUR"),Table1[[#This Row],[ACT_Qty]]*Table1[[#This Row],[Unit Price]],""),"")</f>
        <v/>
      </c>
      <c r="T81" s="269" t="str">
        <f ca="1">IFERROR(IF(AND(($N$3&lt;&gt;""),INDIRECT(Aux!$D$1)),VLOOKUP(Table1[[#This Row],[Product code]],Aux!B:E,4,FALSE),""),"")</f>
        <v/>
      </c>
      <c r="U81" s="145" t="str">
        <f>IFERROR(IF(OR(Table1[[#This Row],[Quantity]]&lt;&gt;"",Table1[[#This Row],[ACT_Qty]]&lt;&gt;""),Table1[[#This Row],[ACT_Qty]]-Table1[[#This Row],[Quantity]],""),"")</f>
        <v/>
      </c>
      <c r="V81" s="45"/>
      <c r="W81" s="45"/>
      <c r="X81" s="45"/>
    </row>
    <row r="82" spans="1:24" ht="15" customHeight="1">
      <c r="A82" s="143" t="str">
        <f t="shared" si="4"/>
        <v>AKH12345</v>
      </c>
      <c r="B82" s="256" t="s">
        <v>295</v>
      </c>
      <c r="C82" s="143" t="s">
        <v>296</v>
      </c>
      <c r="D82" s="105"/>
      <c r="E82" s="106"/>
      <c r="F82" s="105"/>
      <c r="G82" s="106"/>
      <c r="H82" s="199" t="s">
        <v>288</v>
      </c>
      <c r="I82" s="200" t="s">
        <v>225</v>
      </c>
      <c r="J82" s="200" t="s">
        <v>277</v>
      </c>
      <c r="K82" s="200" t="s">
        <v>52</v>
      </c>
      <c r="L82" s="145" t="s">
        <v>152</v>
      </c>
      <c r="M82" s="145" t="str">
        <f>IF($C$3&lt;&gt;"",$C$3,"")</f>
        <v>OneCo Networks AS</v>
      </c>
      <c r="N8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2" s="268" t="str">
        <f ca="1">IFERROR(IF(
OR(Table1[[#This Row],[Product category]]="Service items",Table1[[#This Row],[Product category]]="Additional services",Table1[[#This Row],[Product category]]="Additional materials"),
"NOK",IF(($N$3&lt;&gt;""),VLOOKUP(Table1[[#This Row],[Product code]],INDIRECT(Aux!$A$1),6,FALSE),"")),"")</f>
        <v/>
      </c>
      <c r="P82" s="41" t="str">
        <f ca="1">IFERROR(IF(AND(Table1[[#This Row],[Quantity]]&lt;&gt;"",Table1[[#This Row],[Currency]]="NOK"),Table1[[#This Row],[Quantity]]*Table1[[#This Row],[Unit Price]],""),"")</f>
        <v/>
      </c>
      <c r="Q82" s="41" t="str">
        <f ca="1">IFERROR(IF(AND(Table1[[#This Row],[ACT_Qty]]&lt;&gt;"",Table1[[#This Row],[Currency]]="NOK"),Table1[[#This Row],[ACT_Qty]]*Table1[[#This Row],[Unit Price]],""),"")</f>
        <v/>
      </c>
      <c r="R82" s="41" t="str">
        <f ca="1">IFERROR(IF(AND(Table1[[#This Row],[Quantity]]&lt;&gt;"",Table1[[#This Row],[Currency]]="EUR"),Table1[[#This Row],[Quantity]]*Table1[[#This Row],[Unit Price]],""),"")</f>
        <v/>
      </c>
      <c r="S82" s="41" t="str">
        <f ca="1">IFERROR(IF(AND(Table1[[#This Row],[ACT_Qty]]&lt;&gt;"",Table1[[#This Row],[Currency]]="EUR"),Table1[[#This Row],[ACT_Qty]]*Table1[[#This Row],[Unit Price]],""),"")</f>
        <v/>
      </c>
      <c r="T82" s="269" t="str">
        <f ca="1">IFERROR(IF(AND(($N$3&lt;&gt;""),INDIRECT(Aux!$D$1)),VLOOKUP(Table1[[#This Row],[Product code]],Aux!B:E,4,FALSE),""),"")</f>
        <v/>
      </c>
      <c r="U82" s="145" t="str">
        <f>IFERROR(IF(OR(Table1[[#This Row],[Quantity]]&lt;&gt;"",Table1[[#This Row],[ACT_Qty]]&lt;&gt;""),Table1[[#This Row],[ACT_Qty]]-Table1[[#This Row],[Quantity]],""),"")</f>
        <v/>
      </c>
      <c r="V82" s="45"/>
      <c r="W82" s="45"/>
      <c r="X82" s="45"/>
    </row>
    <row r="83" spans="1:24" ht="15" customHeight="1">
      <c r="A83" s="143" t="str">
        <f t="shared" si="4"/>
        <v>AKH12345</v>
      </c>
      <c r="B83" s="256" t="s">
        <v>297</v>
      </c>
      <c r="C83" s="143" t="s">
        <v>298</v>
      </c>
      <c r="D83" s="105"/>
      <c r="E83" s="106"/>
      <c r="F83" s="105"/>
      <c r="G83" s="106"/>
      <c r="H83" s="199" t="s">
        <v>288</v>
      </c>
      <c r="I83" s="200" t="s">
        <v>225</v>
      </c>
      <c r="J83" s="200" t="s">
        <v>277</v>
      </c>
      <c r="K83" s="200" t="s">
        <v>52</v>
      </c>
      <c r="L83" s="145" t="s">
        <v>152</v>
      </c>
      <c r="M83" s="145" t="str">
        <f t="shared" si="1"/>
        <v>OneCo Networks AS</v>
      </c>
      <c r="N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3" s="268" t="str">
        <f ca="1">IFERROR(IF(
OR(Table1[[#This Row],[Product category]]="Service items",Table1[[#This Row],[Product category]]="Additional services",Table1[[#This Row],[Product category]]="Additional materials"),
"NOK",IF(($N$3&lt;&gt;""),VLOOKUP(Table1[[#This Row],[Product code]],INDIRECT(Aux!$A$1),6,FALSE),"")),"")</f>
        <v/>
      </c>
      <c r="P83" s="41" t="str">
        <f ca="1">IFERROR(IF(AND(Table1[[#This Row],[Quantity]]&lt;&gt;"",Table1[[#This Row],[Currency]]="NOK"),Table1[[#This Row],[Quantity]]*Table1[[#This Row],[Unit Price]],""),"")</f>
        <v/>
      </c>
      <c r="Q83" s="41" t="str">
        <f ca="1">IFERROR(IF(AND(Table1[[#This Row],[ACT_Qty]]&lt;&gt;"",Table1[[#This Row],[Currency]]="NOK"),Table1[[#This Row],[ACT_Qty]]*Table1[[#This Row],[Unit Price]],""),"")</f>
        <v/>
      </c>
      <c r="R83" s="41" t="str">
        <f ca="1">IFERROR(IF(AND(Table1[[#This Row],[Quantity]]&lt;&gt;"",Table1[[#This Row],[Currency]]="EUR"),Table1[[#This Row],[Quantity]]*Table1[[#This Row],[Unit Price]],""),"")</f>
        <v/>
      </c>
      <c r="S83" s="41" t="str">
        <f ca="1">IFERROR(IF(AND(Table1[[#This Row],[ACT_Qty]]&lt;&gt;"",Table1[[#This Row],[Currency]]="EUR"),Table1[[#This Row],[ACT_Qty]]*Table1[[#This Row],[Unit Price]],""),"")</f>
        <v/>
      </c>
      <c r="T83" s="269" t="str">
        <f ca="1">IFERROR(IF(AND(($N$3&lt;&gt;""),INDIRECT(Aux!$D$1)),VLOOKUP(Table1[[#This Row],[Product code]],Aux!B:E,4,FALSE),""),"")</f>
        <v/>
      </c>
      <c r="U83" s="145" t="str">
        <f>IFERROR(IF(OR(Table1[[#This Row],[Quantity]]&lt;&gt;"",Table1[[#This Row],[ACT_Qty]]&lt;&gt;""),Table1[[#This Row],[ACT_Qty]]-Table1[[#This Row],[Quantity]],""),"")</f>
        <v/>
      </c>
      <c r="V83" s="45"/>
      <c r="W83" s="45"/>
      <c r="X83" s="45"/>
    </row>
    <row r="84" spans="1:24" ht="15" customHeight="1">
      <c r="A84" s="143" t="str">
        <f t="shared" si="4"/>
        <v>AKH12345</v>
      </c>
      <c r="B84" s="256" t="s">
        <v>299</v>
      </c>
      <c r="C84" s="143" t="s">
        <v>300</v>
      </c>
      <c r="D84" s="105"/>
      <c r="E84" s="106"/>
      <c r="F84" s="105"/>
      <c r="G84" s="106"/>
      <c r="H84" s="199" t="s">
        <v>288</v>
      </c>
      <c r="I84" s="200" t="s">
        <v>225</v>
      </c>
      <c r="J84" s="200" t="s">
        <v>277</v>
      </c>
      <c r="K84" s="200" t="s">
        <v>52</v>
      </c>
      <c r="L84" s="145" t="s">
        <v>152</v>
      </c>
      <c r="M84" s="145" t="str">
        <f t="shared" si="1"/>
        <v>OneCo Networks AS</v>
      </c>
      <c r="N8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4" s="268" t="str">
        <f ca="1">IFERROR(IF(
OR(Table1[[#This Row],[Product category]]="Service items",Table1[[#This Row],[Product category]]="Additional services",Table1[[#This Row],[Product category]]="Additional materials"),
"NOK",IF(($N$3&lt;&gt;""),VLOOKUP(Table1[[#This Row],[Product code]],INDIRECT(Aux!$A$1),6,FALSE),"")),"")</f>
        <v/>
      </c>
      <c r="P84" s="41" t="str">
        <f ca="1">IFERROR(IF(AND(Table1[[#This Row],[Quantity]]&lt;&gt;"",Table1[[#This Row],[Currency]]="NOK"),Table1[[#This Row],[Quantity]]*Table1[[#This Row],[Unit Price]],""),"")</f>
        <v/>
      </c>
      <c r="Q84" s="41" t="str">
        <f ca="1">IFERROR(IF(AND(Table1[[#This Row],[ACT_Qty]]&lt;&gt;"",Table1[[#This Row],[Currency]]="NOK"),Table1[[#This Row],[ACT_Qty]]*Table1[[#This Row],[Unit Price]],""),"")</f>
        <v/>
      </c>
      <c r="R84" s="41" t="str">
        <f ca="1">IFERROR(IF(AND(Table1[[#This Row],[Quantity]]&lt;&gt;"",Table1[[#This Row],[Currency]]="EUR"),Table1[[#This Row],[Quantity]]*Table1[[#This Row],[Unit Price]],""),"")</f>
        <v/>
      </c>
      <c r="S84" s="41" t="str">
        <f ca="1">IFERROR(IF(AND(Table1[[#This Row],[ACT_Qty]]&lt;&gt;"",Table1[[#This Row],[Currency]]="EUR"),Table1[[#This Row],[ACT_Qty]]*Table1[[#This Row],[Unit Price]],""),"")</f>
        <v/>
      </c>
      <c r="T84" s="269" t="str">
        <f ca="1">IFERROR(IF(AND(($N$3&lt;&gt;""),INDIRECT(Aux!$D$1)),VLOOKUP(Table1[[#This Row],[Product code]],Aux!B:E,4,FALSE),""),"")</f>
        <v/>
      </c>
      <c r="U84" s="145" t="str">
        <f>IFERROR(IF(OR(Table1[[#This Row],[Quantity]]&lt;&gt;"",Table1[[#This Row],[ACT_Qty]]&lt;&gt;""),Table1[[#This Row],[ACT_Qty]]-Table1[[#This Row],[Quantity]],""),"")</f>
        <v/>
      </c>
      <c r="V84" s="45"/>
      <c r="W84" s="45"/>
      <c r="X84" s="45"/>
    </row>
    <row r="85" spans="1:24" ht="15" customHeight="1">
      <c r="A85" s="143" t="str">
        <f t="shared" si="4"/>
        <v>AKH12345</v>
      </c>
      <c r="B85" s="256" t="s">
        <v>301</v>
      </c>
      <c r="C85" s="143" t="s">
        <v>302</v>
      </c>
      <c r="D85" s="105"/>
      <c r="E85" s="106"/>
      <c r="F85" s="105"/>
      <c r="G85" s="106"/>
      <c r="H85" s="199" t="s">
        <v>303</v>
      </c>
      <c r="I85" s="200" t="s">
        <v>225</v>
      </c>
      <c r="J85" s="200" t="s">
        <v>304</v>
      </c>
      <c r="K85" s="200" t="s">
        <v>52</v>
      </c>
      <c r="L85" s="145" t="s">
        <v>152</v>
      </c>
      <c r="M85" s="145" t="str">
        <f t="shared" ref="M85:M91" si="5">IF($C$3&lt;&gt;"",$C$3,"")</f>
        <v>OneCo Networks AS</v>
      </c>
      <c r="N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5" s="268" t="str">
        <f ca="1">IFERROR(IF(
OR(Table1[[#This Row],[Product category]]="Service items",Table1[[#This Row],[Product category]]="Additional services",Table1[[#This Row],[Product category]]="Additional materials"),
"NOK",IF(($N$3&lt;&gt;""),VLOOKUP(Table1[[#This Row],[Product code]],INDIRECT(Aux!$A$1),6,FALSE),"")),"")</f>
        <v/>
      </c>
      <c r="P85" s="41" t="str">
        <f ca="1">IFERROR(IF(AND(Table1[[#This Row],[Quantity]]&lt;&gt;"",Table1[[#This Row],[Currency]]="NOK"),Table1[[#This Row],[Quantity]]*Table1[[#This Row],[Unit Price]],""),"")</f>
        <v/>
      </c>
      <c r="Q85" s="41" t="str">
        <f ca="1">IFERROR(IF(AND(Table1[[#This Row],[ACT_Qty]]&lt;&gt;"",Table1[[#This Row],[Currency]]="NOK"),Table1[[#This Row],[ACT_Qty]]*Table1[[#This Row],[Unit Price]],""),"")</f>
        <v/>
      </c>
      <c r="R85" s="41" t="str">
        <f ca="1">IFERROR(IF(AND(Table1[[#This Row],[Quantity]]&lt;&gt;"",Table1[[#This Row],[Currency]]="EUR"),Table1[[#This Row],[Quantity]]*Table1[[#This Row],[Unit Price]],""),"")</f>
        <v/>
      </c>
      <c r="S85" s="41" t="str">
        <f ca="1">IFERROR(IF(AND(Table1[[#This Row],[ACT_Qty]]&lt;&gt;"",Table1[[#This Row],[Currency]]="EUR"),Table1[[#This Row],[ACT_Qty]]*Table1[[#This Row],[Unit Price]],""),"")</f>
        <v/>
      </c>
      <c r="T85" s="269" t="str">
        <f ca="1">IFERROR(IF(AND(($N$3&lt;&gt;""),INDIRECT(Aux!$D$1)),VLOOKUP(Table1[[#This Row],[Product code]],Aux!B:E,4,FALSE),""),"")</f>
        <v/>
      </c>
      <c r="U85" s="145" t="str">
        <f>IFERROR(IF(OR(Table1[[#This Row],[Quantity]]&lt;&gt;"",Table1[[#This Row],[ACT_Qty]]&lt;&gt;""),Table1[[#This Row],[ACT_Qty]]-Table1[[#This Row],[Quantity]],""),"")</f>
        <v/>
      </c>
      <c r="V85" s="45"/>
      <c r="W85" s="45"/>
      <c r="X85" s="45"/>
    </row>
    <row r="86" spans="1:24" ht="15" customHeight="1">
      <c r="A86" s="143" t="str">
        <f t="shared" si="4"/>
        <v>AKH12345</v>
      </c>
      <c r="B86" s="256" t="s">
        <v>305</v>
      </c>
      <c r="C86" s="143" t="s">
        <v>306</v>
      </c>
      <c r="D86" s="105"/>
      <c r="E86" s="106"/>
      <c r="F86" s="105"/>
      <c r="G86" s="106"/>
      <c r="H86" s="199" t="s">
        <v>307</v>
      </c>
      <c r="I86" s="200" t="s">
        <v>308</v>
      </c>
      <c r="J86" s="200" t="s">
        <v>309</v>
      </c>
      <c r="K86" s="200" t="s">
        <v>52</v>
      </c>
      <c r="L86" s="145" t="s">
        <v>310</v>
      </c>
      <c r="M86" s="145" t="str">
        <f t="shared" si="5"/>
        <v>OneCo Networks AS</v>
      </c>
      <c r="N8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6" s="268" t="str">
        <f ca="1">IFERROR(IF(
OR(Table1[[#This Row],[Product category]]="Service items",Table1[[#This Row],[Product category]]="Additional services",Table1[[#This Row],[Product category]]="Additional materials"),
"NOK",IF(($N$3&lt;&gt;""),VLOOKUP(Table1[[#This Row],[Product code]],INDIRECT(Aux!$A$1),6,FALSE),"")),"")</f>
        <v/>
      </c>
      <c r="P86" s="41" t="str">
        <f ca="1">IFERROR(IF(AND(Table1[[#This Row],[Quantity]]&lt;&gt;"",Table1[[#This Row],[Currency]]="NOK"),Table1[[#This Row],[Quantity]]*Table1[[#This Row],[Unit Price]],""),"")</f>
        <v/>
      </c>
      <c r="Q86" s="41" t="str">
        <f ca="1">IFERROR(IF(AND(Table1[[#This Row],[ACT_Qty]]&lt;&gt;"",Table1[[#This Row],[Currency]]="NOK"),Table1[[#This Row],[ACT_Qty]]*Table1[[#This Row],[Unit Price]],""),"")</f>
        <v/>
      </c>
      <c r="R86" s="41" t="str">
        <f ca="1">IFERROR(IF(AND(Table1[[#This Row],[Quantity]]&lt;&gt;"",Table1[[#This Row],[Currency]]="EUR"),Table1[[#This Row],[Quantity]]*Table1[[#This Row],[Unit Price]],""),"")</f>
        <v/>
      </c>
      <c r="S86" s="41" t="str">
        <f ca="1">IFERROR(IF(AND(Table1[[#This Row],[ACT_Qty]]&lt;&gt;"",Table1[[#This Row],[Currency]]="EUR"),Table1[[#This Row],[ACT_Qty]]*Table1[[#This Row],[Unit Price]],""),"")</f>
        <v/>
      </c>
      <c r="T86" s="269" t="str">
        <f ca="1">IFERROR(IF(AND(($N$3&lt;&gt;""),INDIRECT(Aux!$D$1)),VLOOKUP(Table1[[#This Row],[Product code]],Aux!B:E,4,FALSE),""),"")</f>
        <v/>
      </c>
      <c r="U86" s="145" t="str">
        <f>IFERROR(IF(OR(Table1[[#This Row],[Quantity]]&lt;&gt;"",Table1[[#This Row],[ACT_Qty]]&lt;&gt;""),Table1[[#This Row],[ACT_Qty]]-Table1[[#This Row],[Quantity]],""),"")</f>
        <v/>
      </c>
      <c r="V86" s="45"/>
      <c r="W86" s="45"/>
      <c r="X86" s="45"/>
    </row>
    <row r="87" spans="1:24" ht="15" customHeight="1">
      <c r="A87" s="143" t="str">
        <f t="shared" si="4"/>
        <v>AKH12345</v>
      </c>
      <c r="B87" s="256">
        <v>5630101290</v>
      </c>
      <c r="C87" s="143" t="s">
        <v>311</v>
      </c>
      <c r="D87" s="105"/>
      <c r="E87" s="106"/>
      <c r="F87" s="105"/>
      <c r="G87" s="106"/>
      <c r="H87" s="199" t="s">
        <v>312</v>
      </c>
      <c r="I87" s="200" t="s">
        <v>308</v>
      </c>
      <c r="J87" s="200" t="s">
        <v>309</v>
      </c>
      <c r="K87" s="200" t="s">
        <v>52</v>
      </c>
      <c r="L87" s="145" t="s">
        <v>310</v>
      </c>
      <c r="M87" s="145" t="str">
        <f>IF($C$3&lt;&gt;"",$C$3,"")</f>
        <v>OneCo Networks AS</v>
      </c>
      <c r="N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7" s="268" t="str">
        <f ca="1">IFERROR(IF(
OR(Table1[[#This Row],[Product category]]="Service items",Table1[[#This Row],[Product category]]="Additional services",Table1[[#This Row],[Product category]]="Additional materials"),
"NOK",IF(($N$3&lt;&gt;""),VLOOKUP(Table1[[#This Row],[Product code]],INDIRECT(Aux!$A$1),6,FALSE),"")),"")</f>
        <v/>
      </c>
      <c r="P87" s="41" t="str">
        <f ca="1">IFERROR(IF(AND(Table1[[#This Row],[Quantity]]&lt;&gt;"",Table1[[#This Row],[Currency]]="NOK"),Table1[[#This Row],[Quantity]]*Table1[[#This Row],[Unit Price]],""),"")</f>
        <v/>
      </c>
      <c r="Q87" s="41" t="str">
        <f ca="1">IFERROR(IF(AND(Table1[[#This Row],[ACT_Qty]]&lt;&gt;"",Table1[[#This Row],[Currency]]="NOK"),Table1[[#This Row],[ACT_Qty]]*Table1[[#This Row],[Unit Price]],""),"")</f>
        <v/>
      </c>
      <c r="R87" s="41" t="str">
        <f ca="1">IFERROR(IF(AND(Table1[[#This Row],[Quantity]]&lt;&gt;"",Table1[[#This Row],[Currency]]="EUR"),Table1[[#This Row],[Quantity]]*Table1[[#This Row],[Unit Price]],""),"")</f>
        <v/>
      </c>
      <c r="S87" s="41" t="str">
        <f ca="1">IFERROR(IF(AND(Table1[[#This Row],[ACT_Qty]]&lt;&gt;"",Table1[[#This Row],[Currency]]="EUR"),Table1[[#This Row],[ACT_Qty]]*Table1[[#This Row],[Unit Price]],""),"")</f>
        <v/>
      </c>
      <c r="T87" s="269" t="str">
        <f ca="1">IFERROR(IF(AND(($N$3&lt;&gt;""),INDIRECT(Aux!$D$1)),VLOOKUP(Table1[[#This Row],[Product code]],Aux!B:E,4,FALSE),""),"")</f>
        <v/>
      </c>
      <c r="U87" s="145" t="str">
        <f>IFERROR(IF(OR(Table1[[#This Row],[Quantity]]&lt;&gt;"",Table1[[#This Row],[ACT_Qty]]&lt;&gt;""),Table1[[#This Row],[ACT_Qty]]-Table1[[#This Row],[Quantity]],""),"")</f>
        <v/>
      </c>
      <c r="V87" s="45"/>
      <c r="W87" s="45"/>
      <c r="X87" s="45"/>
    </row>
    <row r="88" spans="1:24">
      <c r="A88" s="143" t="str">
        <f t="shared" si="4"/>
        <v>AKH12345</v>
      </c>
      <c r="B88" s="256" t="s">
        <v>313</v>
      </c>
      <c r="C88" s="143" t="s">
        <v>314</v>
      </c>
      <c r="D88" s="105"/>
      <c r="E88" s="106"/>
      <c r="F88" s="105"/>
      <c r="G88" s="106"/>
      <c r="H88" s="199" t="s">
        <v>315</v>
      </c>
      <c r="I88" s="200" t="s">
        <v>308</v>
      </c>
      <c r="J88" s="200" t="s">
        <v>309</v>
      </c>
      <c r="K88" s="200" t="s">
        <v>52</v>
      </c>
      <c r="L88" s="145" t="s">
        <v>310</v>
      </c>
      <c r="M88" s="145" t="str">
        <f t="shared" si="5"/>
        <v>OneCo Networks AS</v>
      </c>
      <c r="N8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8" s="268" t="str">
        <f ca="1">IFERROR(IF(
OR(Table1[[#This Row],[Product category]]="Service items",Table1[[#This Row],[Product category]]="Additional services",Table1[[#This Row],[Product category]]="Additional materials"),
"NOK",IF(($N$3&lt;&gt;""),VLOOKUP(Table1[[#This Row],[Product code]],INDIRECT(Aux!$A$1),6,FALSE),"")),"")</f>
        <v/>
      </c>
      <c r="P88" s="41" t="str">
        <f ca="1">IFERROR(IF(AND(Table1[[#This Row],[Quantity]]&lt;&gt;"",Table1[[#This Row],[Currency]]="NOK"),Table1[[#This Row],[Quantity]]*Table1[[#This Row],[Unit Price]],""),"")</f>
        <v/>
      </c>
      <c r="Q88" s="41" t="str">
        <f ca="1">IFERROR(IF(AND(Table1[[#This Row],[ACT_Qty]]&lt;&gt;"",Table1[[#This Row],[Currency]]="NOK"),Table1[[#This Row],[ACT_Qty]]*Table1[[#This Row],[Unit Price]],""),"")</f>
        <v/>
      </c>
      <c r="R88" s="41" t="str">
        <f ca="1">IFERROR(IF(AND(Table1[[#This Row],[Quantity]]&lt;&gt;"",Table1[[#This Row],[Currency]]="EUR"),Table1[[#This Row],[Quantity]]*Table1[[#This Row],[Unit Price]],""),"")</f>
        <v/>
      </c>
      <c r="S88" s="41" t="str">
        <f ca="1">IFERROR(IF(AND(Table1[[#This Row],[ACT_Qty]]&lt;&gt;"",Table1[[#This Row],[Currency]]="EUR"),Table1[[#This Row],[ACT_Qty]]*Table1[[#This Row],[Unit Price]],""),"")</f>
        <v/>
      </c>
      <c r="T88" s="269" t="str">
        <f ca="1">IFERROR(IF(AND(($N$3&lt;&gt;""),INDIRECT(Aux!$D$1)),VLOOKUP(Table1[[#This Row],[Product code]],Aux!B:E,4,FALSE),""),"")</f>
        <v/>
      </c>
      <c r="U88" s="145" t="str">
        <f>IFERROR(IF(OR(Table1[[#This Row],[Quantity]]&lt;&gt;"",Table1[[#This Row],[ACT_Qty]]&lt;&gt;""),Table1[[#This Row],[ACT_Qty]]-Table1[[#This Row],[Quantity]],""),"")</f>
        <v/>
      </c>
      <c r="V88" s="45"/>
      <c r="W88" s="45"/>
      <c r="X88" s="45"/>
    </row>
    <row r="89" spans="1:24">
      <c r="A89" s="143" t="str">
        <f t="shared" si="4"/>
        <v>AKH12345</v>
      </c>
      <c r="B89" s="256" t="s">
        <v>316</v>
      </c>
      <c r="C89" s="143" t="s">
        <v>317</v>
      </c>
      <c r="D89" s="105"/>
      <c r="E89" s="106"/>
      <c r="F89" s="105"/>
      <c r="G89" s="106"/>
      <c r="H89" s="199" t="s">
        <v>318</v>
      </c>
      <c r="I89" s="200" t="s">
        <v>308</v>
      </c>
      <c r="J89" s="200" t="s">
        <v>309</v>
      </c>
      <c r="K89" s="200" t="s">
        <v>52</v>
      </c>
      <c r="L89" s="145" t="s">
        <v>310</v>
      </c>
      <c r="M89" s="145" t="str">
        <f t="shared" si="5"/>
        <v>OneCo Networks AS</v>
      </c>
      <c r="N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89" s="268" t="str">
        <f ca="1">IFERROR(IF(
OR(Table1[[#This Row],[Product category]]="Service items",Table1[[#This Row],[Product category]]="Additional services",Table1[[#This Row],[Product category]]="Additional materials"),
"NOK",IF(($N$3&lt;&gt;""),VLOOKUP(Table1[[#This Row],[Product code]],INDIRECT(Aux!$A$1),6,FALSE),"")),"")</f>
        <v/>
      </c>
      <c r="P89" s="41" t="str">
        <f ca="1">IFERROR(IF(AND(Table1[[#This Row],[Quantity]]&lt;&gt;"",Table1[[#This Row],[Currency]]="NOK"),Table1[[#This Row],[Quantity]]*Table1[[#This Row],[Unit Price]],""),"")</f>
        <v/>
      </c>
      <c r="Q89" s="41" t="str">
        <f ca="1">IFERROR(IF(AND(Table1[[#This Row],[ACT_Qty]]&lt;&gt;"",Table1[[#This Row],[Currency]]="NOK"),Table1[[#This Row],[ACT_Qty]]*Table1[[#This Row],[Unit Price]],""),"")</f>
        <v/>
      </c>
      <c r="R89" s="41" t="str">
        <f ca="1">IFERROR(IF(AND(Table1[[#This Row],[Quantity]]&lt;&gt;"",Table1[[#This Row],[Currency]]="EUR"),Table1[[#This Row],[Quantity]]*Table1[[#This Row],[Unit Price]],""),"")</f>
        <v/>
      </c>
      <c r="S89" s="41" t="str">
        <f ca="1">IFERROR(IF(AND(Table1[[#This Row],[ACT_Qty]]&lt;&gt;"",Table1[[#This Row],[Currency]]="EUR"),Table1[[#This Row],[ACT_Qty]]*Table1[[#This Row],[Unit Price]],""),"")</f>
        <v/>
      </c>
      <c r="T89" s="269" t="str">
        <f ca="1">IFERROR(IF(AND(($N$3&lt;&gt;""),INDIRECT(Aux!$D$1)),VLOOKUP(Table1[[#This Row],[Product code]],Aux!B:E,4,FALSE),""),"")</f>
        <v/>
      </c>
      <c r="U89" s="145" t="str">
        <f>IFERROR(IF(OR(Table1[[#This Row],[Quantity]]&lt;&gt;"",Table1[[#This Row],[ACT_Qty]]&lt;&gt;""),Table1[[#This Row],[ACT_Qty]]-Table1[[#This Row],[Quantity]],""),"")</f>
        <v/>
      </c>
      <c r="V89" s="45"/>
      <c r="W89" s="45"/>
      <c r="X89" s="45"/>
    </row>
    <row r="90" spans="1:24">
      <c r="A90" s="143" t="str">
        <f t="shared" si="4"/>
        <v>AKH12345</v>
      </c>
      <c r="B90" s="256" t="s">
        <v>319</v>
      </c>
      <c r="C90" s="143" t="s">
        <v>320</v>
      </c>
      <c r="D90" s="105"/>
      <c r="E90" s="106"/>
      <c r="F90" s="105"/>
      <c r="G90" s="106"/>
      <c r="H90" s="199" t="s">
        <v>321</v>
      </c>
      <c r="I90" s="200" t="s">
        <v>308</v>
      </c>
      <c r="J90" s="200" t="s">
        <v>309</v>
      </c>
      <c r="K90" s="200" t="s">
        <v>52</v>
      </c>
      <c r="L90" s="145" t="s">
        <v>310</v>
      </c>
      <c r="M90" s="145" t="str">
        <f t="shared" si="5"/>
        <v>OneCo Networks AS</v>
      </c>
      <c r="N9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0" s="268" t="str">
        <f ca="1">IFERROR(IF(
OR(Table1[[#This Row],[Product category]]="Service items",Table1[[#This Row],[Product category]]="Additional services",Table1[[#This Row],[Product category]]="Additional materials"),
"NOK",IF(($N$3&lt;&gt;""),VLOOKUP(Table1[[#This Row],[Product code]],INDIRECT(Aux!$A$1),6,FALSE),"")),"")</f>
        <v/>
      </c>
      <c r="P90" s="41" t="str">
        <f ca="1">IFERROR(IF(AND(Table1[[#This Row],[Quantity]]&lt;&gt;"",Table1[[#This Row],[Currency]]="NOK"),Table1[[#This Row],[Quantity]]*Table1[[#This Row],[Unit Price]],""),"")</f>
        <v/>
      </c>
      <c r="Q90" s="41" t="str">
        <f ca="1">IFERROR(IF(AND(Table1[[#This Row],[ACT_Qty]]&lt;&gt;"",Table1[[#This Row],[Currency]]="NOK"),Table1[[#This Row],[ACT_Qty]]*Table1[[#This Row],[Unit Price]],""),"")</f>
        <v/>
      </c>
      <c r="R90" s="41" t="str">
        <f ca="1">IFERROR(IF(AND(Table1[[#This Row],[Quantity]]&lt;&gt;"",Table1[[#This Row],[Currency]]="EUR"),Table1[[#This Row],[Quantity]]*Table1[[#This Row],[Unit Price]],""),"")</f>
        <v/>
      </c>
      <c r="S90" s="41" t="str">
        <f ca="1">IFERROR(IF(AND(Table1[[#This Row],[ACT_Qty]]&lt;&gt;"",Table1[[#This Row],[Currency]]="EUR"),Table1[[#This Row],[ACT_Qty]]*Table1[[#This Row],[Unit Price]],""),"")</f>
        <v/>
      </c>
      <c r="T90" s="269" t="str">
        <f ca="1">IFERROR(IF(AND(($N$3&lt;&gt;""),INDIRECT(Aux!$D$1)),VLOOKUP(Table1[[#This Row],[Product code]],Aux!B:E,4,FALSE),""),"")</f>
        <v/>
      </c>
      <c r="U90" s="145" t="str">
        <f>IFERROR(IF(OR(Table1[[#This Row],[Quantity]]&lt;&gt;"",Table1[[#This Row],[ACT_Qty]]&lt;&gt;""),Table1[[#This Row],[ACT_Qty]]-Table1[[#This Row],[Quantity]],""),"")</f>
        <v/>
      </c>
      <c r="V90" s="45"/>
      <c r="W90" s="45"/>
      <c r="X90" s="45"/>
    </row>
    <row r="91" spans="1:24" ht="15" customHeight="1">
      <c r="A91" s="143" t="str">
        <f t="shared" si="4"/>
        <v>AKH12345</v>
      </c>
      <c r="B91" s="256" t="s">
        <v>322</v>
      </c>
      <c r="C91" s="143" t="s">
        <v>323</v>
      </c>
      <c r="D91" s="105"/>
      <c r="E91" s="106"/>
      <c r="F91" s="105"/>
      <c r="G91" s="106"/>
      <c r="H91" s="199" t="s">
        <v>324</v>
      </c>
      <c r="I91" s="200" t="s">
        <v>308</v>
      </c>
      <c r="J91" s="200" t="s">
        <v>309</v>
      </c>
      <c r="K91" s="200" t="s">
        <v>52</v>
      </c>
      <c r="L91" s="145" t="s">
        <v>310</v>
      </c>
      <c r="M91" s="145" t="str">
        <f t="shared" si="5"/>
        <v>OneCo Networks AS</v>
      </c>
      <c r="N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1" s="268" t="str">
        <f ca="1">IFERROR(IF(
OR(Table1[[#This Row],[Product category]]="Service items",Table1[[#This Row],[Product category]]="Additional services",Table1[[#This Row],[Product category]]="Additional materials"),
"NOK",IF(($N$3&lt;&gt;""),VLOOKUP(Table1[[#This Row],[Product code]],INDIRECT(Aux!$A$1),6,FALSE),"")),"")</f>
        <v/>
      </c>
      <c r="P91" s="41" t="str">
        <f ca="1">IFERROR(IF(AND(Table1[[#This Row],[Quantity]]&lt;&gt;"",Table1[[#This Row],[Currency]]="NOK"),Table1[[#This Row],[Quantity]]*Table1[[#This Row],[Unit Price]],""),"")</f>
        <v/>
      </c>
      <c r="Q91" s="41" t="str">
        <f ca="1">IFERROR(IF(AND(Table1[[#This Row],[ACT_Qty]]&lt;&gt;"",Table1[[#This Row],[Currency]]="NOK"),Table1[[#This Row],[ACT_Qty]]*Table1[[#This Row],[Unit Price]],""),"")</f>
        <v/>
      </c>
      <c r="R91" s="41" t="str">
        <f ca="1">IFERROR(IF(AND(Table1[[#This Row],[Quantity]]&lt;&gt;"",Table1[[#This Row],[Currency]]="EUR"),Table1[[#This Row],[Quantity]]*Table1[[#This Row],[Unit Price]],""),"")</f>
        <v/>
      </c>
      <c r="S91" s="41" t="str">
        <f ca="1">IFERROR(IF(AND(Table1[[#This Row],[ACT_Qty]]&lt;&gt;"",Table1[[#This Row],[Currency]]="EUR"),Table1[[#This Row],[ACT_Qty]]*Table1[[#This Row],[Unit Price]],""),"")</f>
        <v/>
      </c>
      <c r="T91" s="269" t="str">
        <f ca="1">IFERROR(IF(AND(($N$3&lt;&gt;""),INDIRECT(Aux!$D$1)),VLOOKUP(Table1[[#This Row],[Product code]],Aux!B:E,4,FALSE),""),"")</f>
        <v/>
      </c>
      <c r="U91" s="145" t="str">
        <f>IFERROR(IF(OR(Table1[[#This Row],[Quantity]]&lt;&gt;"",Table1[[#This Row],[ACT_Qty]]&lt;&gt;""),Table1[[#This Row],[ACT_Qty]]-Table1[[#This Row],[Quantity]],""),"")</f>
        <v/>
      </c>
      <c r="V91" s="45"/>
      <c r="W91" s="45"/>
      <c r="X91" s="45"/>
    </row>
    <row r="92" spans="1:24" ht="15" customHeight="1">
      <c r="A92" s="143" t="str">
        <f t="shared" si="4"/>
        <v>AKH12345</v>
      </c>
      <c r="B92" s="256" t="s">
        <v>325</v>
      </c>
      <c r="C92" s="143" t="s">
        <v>326</v>
      </c>
      <c r="D92" s="105"/>
      <c r="E92" s="106"/>
      <c r="F92" s="105"/>
      <c r="G92" s="106"/>
      <c r="H92" s="199" t="s">
        <v>327</v>
      </c>
      <c r="I92" s="200" t="s">
        <v>308</v>
      </c>
      <c r="J92" s="200" t="s">
        <v>309</v>
      </c>
      <c r="K92" s="200" t="s">
        <v>52</v>
      </c>
      <c r="L92" s="145" t="s">
        <v>310</v>
      </c>
      <c r="M92" s="145" t="str">
        <f t="shared" si="1"/>
        <v>OneCo Networks AS</v>
      </c>
      <c r="N9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2" s="268" t="str">
        <f ca="1">IFERROR(IF(
OR(Table1[[#This Row],[Product category]]="Service items",Table1[[#This Row],[Product category]]="Additional services",Table1[[#This Row],[Product category]]="Additional materials"),
"NOK",IF(($N$3&lt;&gt;""),VLOOKUP(Table1[[#This Row],[Product code]],INDIRECT(Aux!$A$1),6,FALSE),"")),"")</f>
        <v/>
      </c>
      <c r="P92" s="41" t="str">
        <f ca="1">IFERROR(IF(AND(Table1[[#This Row],[Quantity]]&lt;&gt;"",Table1[[#This Row],[Currency]]="NOK"),Table1[[#This Row],[Quantity]]*Table1[[#This Row],[Unit Price]],""),"")</f>
        <v/>
      </c>
      <c r="Q92" s="41" t="str">
        <f ca="1">IFERROR(IF(AND(Table1[[#This Row],[ACT_Qty]]&lt;&gt;"",Table1[[#This Row],[Currency]]="NOK"),Table1[[#This Row],[ACT_Qty]]*Table1[[#This Row],[Unit Price]],""),"")</f>
        <v/>
      </c>
      <c r="R92" s="41" t="str">
        <f ca="1">IFERROR(IF(AND(Table1[[#This Row],[Quantity]]&lt;&gt;"",Table1[[#This Row],[Currency]]="EUR"),Table1[[#This Row],[Quantity]]*Table1[[#This Row],[Unit Price]],""),"")</f>
        <v/>
      </c>
      <c r="S92" s="41" t="str">
        <f ca="1">IFERROR(IF(AND(Table1[[#This Row],[ACT_Qty]]&lt;&gt;"",Table1[[#This Row],[Currency]]="EUR"),Table1[[#This Row],[ACT_Qty]]*Table1[[#This Row],[Unit Price]],""),"")</f>
        <v/>
      </c>
      <c r="T92" s="269" t="str">
        <f ca="1">IFERROR(IF(AND(($N$3&lt;&gt;""),INDIRECT(Aux!$D$1)),VLOOKUP(Table1[[#This Row],[Product code]],Aux!B:E,4,FALSE),""),"")</f>
        <v/>
      </c>
      <c r="U92" s="145" t="str">
        <f>IFERROR(IF(OR(Table1[[#This Row],[Quantity]]&lt;&gt;"",Table1[[#This Row],[ACT_Qty]]&lt;&gt;""),Table1[[#This Row],[ACT_Qty]]-Table1[[#This Row],[Quantity]],""),"")</f>
        <v/>
      </c>
      <c r="V92" s="45"/>
      <c r="W92" s="45"/>
      <c r="X92" s="45"/>
    </row>
    <row r="93" spans="1:24" ht="15" customHeight="1">
      <c r="A93" s="143" t="str">
        <f t="shared" si="4"/>
        <v>AKH12345</v>
      </c>
      <c r="B93" s="256" t="s">
        <v>328</v>
      </c>
      <c r="C93" s="143" t="s">
        <v>329</v>
      </c>
      <c r="D93" s="105"/>
      <c r="E93" s="106" t="s">
        <v>330</v>
      </c>
      <c r="F93" s="105"/>
      <c r="G93" s="106"/>
      <c r="H93" s="199" t="s">
        <v>331</v>
      </c>
      <c r="I93" s="200" t="s">
        <v>308</v>
      </c>
      <c r="J93" s="200" t="s">
        <v>309</v>
      </c>
      <c r="K93" s="200" t="s">
        <v>52</v>
      </c>
      <c r="L93" s="145" t="s">
        <v>310</v>
      </c>
      <c r="M93" s="145" t="str">
        <f t="shared" si="1"/>
        <v>OneCo Networks AS</v>
      </c>
      <c r="N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3" s="268" t="str">
        <f ca="1">IFERROR(IF(
OR(Table1[[#This Row],[Product category]]="Service items",Table1[[#This Row],[Product category]]="Additional services",Table1[[#This Row],[Product category]]="Additional materials"),
"NOK",IF(($N$3&lt;&gt;""),VLOOKUP(Table1[[#This Row],[Product code]],INDIRECT(Aux!$A$1),6,FALSE),"")),"")</f>
        <v/>
      </c>
      <c r="P93" s="41" t="str">
        <f ca="1">IFERROR(IF(AND(Table1[[#This Row],[Quantity]]&lt;&gt;"",Table1[[#This Row],[Currency]]="NOK"),Table1[[#This Row],[Quantity]]*Table1[[#This Row],[Unit Price]],""),"")</f>
        <v/>
      </c>
      <c r="Q93" s="41" t="str">
        <f ca="1">IFERROR(IF(AND(Table1[[#This Row],[ACT_Qty]]&lt;&gt;"",Table1[[#This Row],[Currency]]="NOK"),Table1[[#This Row],[ACT_Qty]]*Table1[[#This Row],[Unit Price]],""),"")</f>
        <v/>
      </c>
      <c r="R93" s="41" t="str">
        <f ca="1">IFERROR(IF(AND(Table1[[#This Row],[Quantity]]&lt;&gt;"",Table1[[#This Row],[Currency]]="EUR"),Table1[[#This Row],[Quantity]]*Table1[[#This Row],[Unit Price]],""),"")</f>
        <v/>
      </c>
      <c r="S93" s="41" t="str">
        <f ca="1">IFERROR(IF(AND(Table1[[#This Row],[ACT_Qty]]&lt;&gt;"",Table1[[#This Row],[Currency]]="EUR"),Table1[[#This Row],[ACT_Qty]]*Table1[[#This Row],[Unit Price]],""),"")</f>
        <v/>
      </c>
      <c r="T93" s="269" t="str">
        <f ca="1">IFERROR(IF(AND(($N$3&lt;&gt;""),INDIRECT(Aux!$D$1)),VLOOKUP(Table1[[#This Row],[Product code]],Aux!B:E,4,FALSE),""),"")</f>
        <v/>
      </c>
      <c r="U93" s="145" t="str">
        <f>IFERROR(IF(OR(Table1[[#This Row],[Quantity]]&lt;&gt;"",Table1[[#This Row],[ACT_Qty]]&lt;&gt;""),Table1[[#This Row],[ACT_Qty]]-Table1[[#This Row],[Quantity]],""),"")</f>
        <v/>
      </c>
      <c r="V93" s="45"/>
      <c r="W93" s="45"/>
      <c r="X93" s="45"/>
    </row>
    <row r="94" spans="1:24" ht="15" customHeight="1">
      <c r="A94" s="143" t="str">
        <f t="shared" si="4"/>
        <v>AKH12345</v>
      </c>
      <c r="B94" s="256" t="s">
        <v>332</v>
      </c>
      <c r="C94" s="143" t="s">
        <v>333</v>
      </c>
      <c r="D94" s="105"/>
      <c r="E94" s="106"/>
      <c r="F94" s="105"/>
      <c r="G94" s="106"/>
      <c r="H94" s="199" t="s">
        <v>334</v>
      </c>
      <c r="I94" s="200" t="s">
        <v>335</v>
      </c>
      <c r="J94" s="200" t="s">
        <v>309</v>
      </c>
      <c r="K94" s="200" t="s">
        <v>52</v>
      </c>
      <c r="L94" s="145" t="s">
        <v>310</v>
      </c>
      <c r="M94" s="145" t="str">
        <f t="shared" si="1"/>
        <v>OneCo Networks AS</v>
      </c>
      <c r="N9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4" s="268" t="str">
        <f ca="1">IFERROR(IF(
OR(Table1[[#This Row],[Product category]]="Service items",Table1[[#This Row],[Product category]]="Additional services",Table1[[#This Row],[Product category]]="Additional materials"),
"NOK",IF(($N$3&lt;&gt;""),VLOOKUP(Table1[[#This Row],[Product code]],INDIRECT(Aux!$A$1),6,FALSE),"")),"")</f>
        <v/>
      </c>
      <c r="P94" s="41" t="str">
        <f ca="1">IFERROR(IF(AND(Table1[[#This Row],[Quantity]]&lt;&gt;"",Table1[[#This Row],[Currency]]="NOK"),Table1[[#This Row],[Quantity]]*Table1[[#This Row],[Unit Price]],""),"")</f>
        <v/>
      </c>
      <c r="Q94" s="41" t="str">
        <f ca="1">IFERROR(IF(AND(Table1[[#This Row],[ACT_Qty]]&lt;&gt;"",Table1[[#This Row],[Currency]]="NOK"),Table1[[#This Row],[ACT_Qty]]*Table1[[#This Row],[Unit Price]],""),"")</f>
        <v/>
      </c>
      <c r="R94" s="41" t="str">
        <f ca="1">IFERROR(IF(AND(Table1[[#This Row],[Quantity]]&lt;&gt;"",Table1[[#This Row],[Currency]]="EUR"),Table1[[#This Row],[Quantity]]*Table1[[#This Row],[Unit Price]],""),"")</f>
        <v/>
      </c>
      <c r="S94" s="41" t="str">
        <f ca="1">IFERROR(IF(AND(Table1[[#This Row],[ACT_Qty]]&lt;&gt;"",Table1[[#This Row],[Currency]]="EUR"),Table1[[#This Row],[ACT_Qty]]*Table1[[#This Row],[Unit Price]],""),"")</f>
        <v/>
      </c>
      <c r="T94" s="269" t="str">
        <f ca="1">IFERROR(IF(AND(($N$3&lt;&gt;""),INDIRECT(Aux!$D$1)),VLOOKUP(Table1[[#This Row],[Product code]],Aux!B:E,4,FALSE),""),"")</f>
        <v/>
      </c>
      <c r="U94" s="145" t="str">
        <f>IFERROR(IF(OR(Table1[[#This Row],[Quantity]]&lt;&gt;"",Table1[[#This Row],[ACT_Qty]]&lt;&gt;""),Table1[[#This Row],[ACT_Qty]]-Table1[[#This Row],[Quantity]],""),"")</f>
        <v/>
      </c>
      <c r="V94" s="45"/>
      <c r="W94" s="45"/>
      <c r="X94" s="45"/>
    </row>
    <row r="95" spans="1:24" ht="15" customHeight="1">
      <c r="A95" s="143" t="str">
        <f t="shared" si="4"/>
        <v>AKH12345</v>
      </c>
      <c r="B95" s="256" t="s">
        <v>336</v>
      </c>
      <c r="C95" s="143" t="s">
        <v>337</v>
      </c>
      <c r="D95" s="105"/>
      <c r="E95" s="106"/>
      <c r="F95" s="105"/>
      <c r="G95" s="106"/>
      <c r="H95" s="199" t="s">
        <v>338</v>
      </c>
      <c r="I95" s="200" t="s">
        <v>308</v>
      </c>
      <c r="J95" s="200" t="s">
        <v>309</v>
      </c>
      <c r="K95" s="200" t="s">
        <v>52</v>
      </c>
      <c r="L95" s="145" t="s">
        <v>339</v>
      </c>
      <c r="M95" s="145" t="str">
        <f>IF($C$3&lt;&gt;"",$C$3,"")</f>
        <v>OneCo Networks AS</v>
      </c>
      <c r="N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5" s="268" t="str">
        <f ca="1">IFERROR(IF(
OR(Table1[[#This Row],[Product category]]="Service items",Table1[[#This Row],[Product category]]="Additional services",Table1[[#This Row],[Product category]]="Additional materials"),
"NOK",IF(($N$3&lt;&gt;""),VLOOKUP(Table1[[#This Row],[Product code]],INDIRECT(Aux!$A$1),6,FALSE),"")),"")</f>
        <v/>
      </c>
      <c r="P95" s="41" t="str">
        <f ca="1">IFERROR(IF(AND(Table1[[#This Row],[Quantity]]&lt;&gt;"",Table1[[#This Row],[Currency]]="NOK"),Table1[[#This Row],[Quantity]]*Table1[[#This Row],[Unit Price]],""),"")</f>
        <v/>
      </c>
      <c r="Q95" s="41" t="str">
        <f ca="1">IFERROR(IF(AND(Table1[[#This Row],[ACT_Qty]]&lt;&gt;"",Table1[[#This Row],[Currency]]="NOK"),Table1[[#This Row],[ACT_Qty]]*Table1[[#This Row],[Unit Price]],""),"")</f>
        <v/>
      </c>
      <c r="R95" s="41" t="str">
        <f ca="1">IFERROR(IF(AND(Table1[[#This Row],[Quantity]]&lt;&gt;"",Table1[[#This Row],[Currency]]="EUR"),Table1[[#This Row],[Quantity]]*Table1[[#This Row],[Unit Price]],""),"")</f>
        <v/>
      </c>
      <c r="S95" s="41" t="str">
        <f ca="1">IFERROR(IF(AND(Table1[[#This Row],[ACT_Qty]]&lt;&gt;"",Table1[[#This Row],[Currency]]="EUR"),Table1[[#This Row],[ACT_Qty]]*Table1[[#This Row],[Unit Price]],""),"")</f>
        <v/>
      </c>
      <c r="T95" s="269" t="str">
        <f ca="1">IFERROR(IF(AND(($N$3&lt;&gt;""),INDIRECT(Aux!$D$1)),VLOOKUP(Table1[[#This Row],[Product code]],Aux!B:E,4,FALSE),""),"")</f>
        <v/>
      </c>
      <c r="U95" s="145" t="str">
        <f>IFERROR(IF(OR(Table1[[#This Row],[Quantity]]&lt;&gt;"",Table1[[#This Row],[ACT_Qty]]&lt;&gt;""),Table1[[#This Row],[ACT_Qty]]-Table1[[#This Row],[Quantity]],""),"")</f>
        <v/>
      </c>
      <c r="V95" s="45"/>
      <c r="W95" s="45"/>
      <c r="X95" s="45"/>
    </row>
    <row r="96" spans="1:24" ht="15" customHeight="1">
      <c r="A96" s="143" t="s">
        <v>340</v>
      </c>
      <c r="B96" s="256" t="s">
        <v>340</v>
      </c>
      <c r="C96" s="143" t="s">
        <v>341</v>
      </c>
      <c r="D96" s="105"/>
      <c r="E96" s="106"/>
      <c r="F96" s="105"/>
      <c r="G96" s="106"/>
      <c r="H96" s="199" t="s">
        <v>342</v>
      </c>
      <c r="I96" s="200" t="s">
        <v>308</v>
      </c>
      <c r="J96" s="200" t="s">
        <v>309</v>
      </c>
      <c r="K96" s="200" t="s">
        <v>52</v>
      </c>
      <c r="L96" s="145" t="s">
        <v>339</v>
      </c>
      <c r="M96" s="145" t="str">
        <f>IF($C$3&lt;&gt;"",$C$3,"")</f>
        <v>OneCo Networks AS</v>
      </c>
      <c r="N9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6" s="268" t="str">
        <f ca="1">IFERROR(IF(
OR(Table1[[#This Row],[Product category]]="Service items",Table1[[#This Row],[Product category]]="Additional services",Table1[[#This Row],[Product category]]="Additional materials"),
"NOK",IF(($N$3&lt;&gt;""),VLOOKUP(Table1[[#This Row],[Product code]],INDIRECT(Aux!$A$1),6,FALSE),"")),"")</f>
        <v/>
      </c>
      <c r="P96" s="41" t="str">
        <f ca="1">IFERROR(IF(AND(Table1[[#This Row],[Quantity]]&lt;&gt;"",Table1[[#This Row],[Currency]]="NOK"),Table1[[#This Row],[Quantity]]*Table1[[#This Row],[Unit Price]],""),"")</f>
        <v/>
      </c>
      <c r="Q96" s="41" t="str">
        <f ca="1">IFERROR(IF(AND(Table1[[#This Row],[ACT_Qty]]&lt;&gt;"",Table1[[#This Row],[Currency]]="NOK"),Table1[[#This Row],[ACT_Qty]]*Table1[[#This Row],[Unit Price]],""),"")</f>
        <v/>
      </c>
      <c r="R96" s="41" t="str">
        <f ca="1">IFERROR(IF(AND(Table1[[#This Row],[Quantity]]&lt;&gt;"",Table1[[#This Row],[Currency]]="EUR"),Table1[[#This Row],[Quantity]]*Table1[[#This Row],[Unit Price]],""),"")</f>
        <v/>
      </c>
      <c r="S96" s="41" t="str">
        <f ca="1">IFERROR(IF(AND(Table1[[#This Row],[ACT_Qty]]&lt;&gt;"",Table1[[#This Row],[Currency]]="EUR"),Table1[[#This Row],[ACT_Qty]]*Table1[[#This Row],[Unit Price]],""),"")</f>
        <v/>
      </c>
      <c r="T96" s="269" t="str">
        <f ca="1">IFERROR(IF(AND(($N$3&lt;&gt;""),INDIRECT(Aux!$D$1)),VLOOKUP(Table1[[#This Row],[Product code]],Aux!B:E,4,FALSE),""),"")</f>
        <v/>
      </c>
      <c r="U96" s="145" t="str">
        <f>IFERROR(IF(OR(Table1[[#This Row],[Quantity]]&lt;&gt;"",Table1[[#This Row],[ACT_Qty]]&lt;&gt;""),Table1[[#This Row],[ACT_Qty]]-Table1[[#This Row],[Quantity]],""),"")</f>
        <v/>
      </c>
      <c r="V96" s="45"/>
      <c r="W96" s="45"/>
      <c r="X96" s="45"/>
    </row>
    <row r="97" spans="1:24" ht="15" customHeight="1">
      <c r="A97" s="143" t="str">
        <f t="shared" si="4"/>
        <v>AKH12345</v>
      </c>
      <c r="B97" s="256" t="s">
        <v>343</v>
      </c>
      <c r="C97" s="143" t="s">
        <v>344</v>
      </c>
      <c r="D97" s="105"/>
      <c r="E97" s="106"/>
      <c r="F97" s="105"/>
      <c r="G97" s="106"/>
      <c r="H97" s="199" t="s">
        <v>345</v>
      </c>
      <c r="I97" s="200" t="s">
        <v>308</v>
      </c>
      <c r="J97" s="200" t="s">
        <v>346</v>
      </c>
      <c r="K97" s="200" t="s">
        <v>52</v>
      </c>
      <c r="L97" s="145" t="s">
        <v>339</v>
      </c>
      <c r="M97" s="145" t="str">
        <f>IF($C$3&lt;&gt;"",$C$3,"")</f>
        <v>OneCo Networks AS</v>
      </c>
      <c r="N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7" s="268" t="str">
        <f ca="1">IFERROR(IF(
OR(Table1[[#This Row],[Product category]]="Service items",Table1[[#This Row],[Product category]]="Additional services",Table1[[#This Row],[Product category]]="Additional materials"),
"NOK",IF(($N$3&lt;&gt;""),VLOOKUP(Table1[[#This Row],[Product code]],INDIRECT(Aux!$A$1),6,FALSE),"")),"")</f>
        <v/>
      </c>
      <c r="P97" s="41" t="str">
        <f ca="1">IFERROR(IF(AND(Table1[[#This Row],[Quantity]]&lt;&gt;"",Table1[[#This Row],[Currency]]="NOK"),Table1[[#This Row],[Quantity]]*Table1[[#This Row],[Unit Price]],""),"")</f>
        <v/>
      </c>
      <c r="Q97" s="41" t="str">
        <f ca="1">IFERROR(IF(AND(Table1[[#This Row],[ACT_Qty]]&lt;&gt;"",Table1[[#This Row],[Currency]]="NOK"),Table1[[#This Row],[ACT_Qty]]*Table1[[#This Row],[Unit Price]],""),"")</f>
        <v/>
      </c>
      <c r="R97" s="41" t="str">
        <f ca="1">IFERROR(IF(AND(Table1[[#This Row],[Quantity]]&lt;&gt;"",Table1[[#This Row],[Currency]]="EUR"),Table1[[#This Row],[Quantity]]*Table1[[#This Row],[Unit Price]],""),"")</f>
        <v/>
      </c>
      <c r="S97" s="41" t="str">
        <f ca="1">IFERROR(IF(AND(Table1[[#This Row],[ACT_Qty]]&lt;&gt;"",Table1[[#This Row],[Currency]]="EUR"),Table1[[#This Row],[ACT_Qty]]*Table1[[#This Row],[Unit Price]],""),"")</f>
        <v/>
      </c>
      <c r="T97" s="269" t="str">
        <f ca="1">IFERROR(IF(AND(($N$3&lt;&gt;""),INDIRECT(Aux!$D$1)),VLOOKUP(Table1[[#This Row],[Product code]],Aux!B:E,4,FALSE),""),"")</f>
        <v/>
      </c>
      <c r="U97" s="145" t="str">
        <f>IFERROR(IF(OR(Table1[[#This Row],[Quantity]]&lt;&gt;"",Table1[[#This Row],[ACT_Qty]]&lt;&gt;""),Table1[[#This Row],[ACT_Qty]]-Table1[[#This Row],[Quantity]],""),"")</f>
        <v/>
      </c>
      <c r="V97" s="45"/>
      <c r="W97" s="45"/>
      <c r="X97" s="45"/>
    </row>
    <row r="98" spans="1:24" ht="15" customHeight="1">
      <c r="A98" s="143" t="str">
        <f t="shared" si="4"/>
        <v>AKH12345</v>
      </c>
      <c r="B98" s="256" t="s">
        <v>347</v>
      </c>
      <c r="C98" s="143" t="s">
        <v>348</v>
      </c>
      <c r="D98" s="105"/>
      <c r="E98" s="106"/>
      <c r="F98" s="105"/>
      <c r="G98" s="106"/>
      <c r="H98" s="199" t="s">
        <v>349</v>
      </c>
      <c r="I98" s="200" t="s">
        <v>335</v>
      </c>
      <c r="J98" s="200" t="s">
        <v>309</v>
      </c>
      <c r="K98" s="200" t="s">
        <v>52</v>
      </c>
      <c r="L98" s="145" t="s">
        <v>310</v>
      </c>
      <c r="M98" s="145" t="str">
        <f t="shared" ref="M98:M103" si="6">IF($C$3&lt;&gt;"",$C$3,"")</f>
        <v>OneCo Networks AS</v>
      </c>
      <c r="N9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8" s="268" t="str">
        <f ca="1">IFERROR(IF(
OR(Table1[[#This Row],[Product category]]="Service items",Table1[[#This Row],[Product category]]="Additional services",Table1[[#This Row],[Product category]]="Additional materials"),
"NOK",IF(($N$3&lt;&gt;""),VLOOKUP(Table1[[#This Row],[Product code]],INDIRECT(Aux!$A$1),6,FALSE),"")),"")</f>
        <v/>
      </c>
      <c r="P98" s="41" t="str">
        <f ca="1">IFERROR(IF(AND(Table1[[#This Row],[Quantity]]&lt;&gt;"",Table1[[#This Row],[Currency]]="NOK"),Table1[[#This Row],[Quantity]]*Table1[[#This Row],[Unit Price]],""),"")</f>
        <v/>
      </c>
      <c r="Q98" s="41" t="str">
        <f ca="1">IFERROR(IF(AND(Table1[[#This Row],[ACT_Qty]]&lt;&gt;"",Table1[[#This Row],[Currency]]="NOK"),Table1[[#This Row],[ACT_Qty]]*Table1[[#This Row],[Unit Price]],""),"")</f>
        <v/>
      </c>
      <c r="R98" s="41" t="str">
        <f ca="1">IFERROR(IF(AND(Table1[[#This Row],[Quantity]]&lt;&gt;"",Table1[[#This Row],[Currency]]="EUR"),Table1[[#This Row],[Quantity]]*Table1[[#This Row],[Unit Price]],""),"")</f>
        <v/>
      </c>
      <c r="S98" s="41" t="str">
        <f ca="1">IFERROR(IF(AND(Table1[[#This Row],[ACT_Qty]]&lt;&gt;"",Table1[[#This Row],[Currency]]="EUR"),Table1[[#This Row],[ACT_Qty]]*Table1[[#This Row],[Unit Price]],""),"")</f>
        <v/>
      </c>
      <c r="T98" s="269" t="str">
        <f ca="1">IFERROR(IF(AND(($N$3&lt;&gt;""),INDIRECT(Aux!$D$1)),VLOOKUP(Table1[[#This Row],[Product code]],Aux!B:E,4,FALSE),""),"")</f>
        <v/>
      </c>
      <c r="U98" s="145" t="str">
        <f>IFERROR(IF(OR(Table1[[#This Row],[Quantity]]&lt;&gt;"",Table1[[#This Row],[ACT_Qty]]&lt;&gt;""),Table1[[#This Row],[ACT_Qty]]-Table1[[#This Row],[Quantity]],""),"")</f>
        <v/>
      </c>
      <c r="V98" s="45"/>
      <c r="W98" s="45"/>
      <c r="X98" s="45"/>
    </row>
    <row r="99" spans="1:24" ht="15" customHeight="1">
      <c r="A99" s="143" t="str">
        <f t="shared" si="4"/>
        <v>AKH12345</v>
      </c>
      <c r="B99" s="256" t="s">
        <v>350</v>
      </c>
      <c r="C99" s="143" t="s">
        <v>351</v>
      </c>
      <c r="D99" s="105"/>
      <c r="E99" s="106"/>
      <c r="F99" s="105"/>
      <c r="G99" s="106"/>
      <c r="H99" s="199" t="s">
        <v>352</v>
      </c>
      <c r="I99" s="200" t="s">
        <v>335</v>
      </c>
      <c r="J99" s="200" t="s">
        <v>309</v>
      </c>
      <c r="K99" s="200" t="s">
        <v>52</v>
      </c>
      <c r="L99" s="145" t="s">
        <v>310</v>
      </c>
      <c r="M99" s="145" t="str">
        <f t="shared" si="6"/>
        <v>OneCo Networks AS</v>
      </c>
      <c r="N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99" s="268" t="str">
        <f ca="1">IFERROR(IF(
OR(Table1[[#This Row],[Product category]]="Service items",Table1[[#This Row],[Product category]]="Additional services",Table1[[#This Row],[Product category]]="Additional materials"),
"NOK",IF(($N$3&lt;&gt;""),VLOOKUP(Table1[[#This Row],[Product code]],INDIRECT(Aux!$A$1),6,FALSE),"")),"")</f>
        <v/>
      </c>
      <c r="P99" s="41" t="str">
        <f ca="1">IFERROR(IF(AND(Table1[[#This Row],[Quantity]]&lt;&gt;"",Table1[[#This Row],[Currency]]="NOK"),Table1[[#This Row],[Quantity]]*Table1[[#This Row],[Unit Price]],""),"")</f>
        <v/>
      </c>
      <c r="Q99" s="41" t="str">
        <f ca="1">IFERROR(IF(AND(Table1[[#This Row],[ACT_Qty]]&lt;&gt;"",Table1[[#This Row],[Currency]]="NOK"),Table1[[#This Row],[ACT_Qty]]*Table1[[#This Row],[Unit Price]],""),"")</f>
        <v/>
      </c>
      <c r="R99" s="41" t="str">
        <f ca="1">IFERROR(IF(AND(Table1[[#This Row],[Quantity]]&lt;&gt;"",Table1[[#This Row],[Currency]]="EUR"),Table1[[#This Row],[Quantity]]*Table1[[#This Row],[Unit Price]],""),"")</f>
        <v/>
      </c>
      <c r="S99" s="41" t="str">
        <f ca="1">IFERROR(IF(AND(Table1[[#This Row],[ACT_Qty]]&lt;&gt;"",Table1[[#This Row],[Currency]]="EUR"),Table1[[#This Row],[ACT_Qty]]*Table1[[#This Row],[Unit Price]],""),"")</f>
        <v/>
      </c>
      <c r="T99" s="269" t="str">
        <f ca="1">IFERROR(IF(AND(($N$3&lt;&gt;""),INDIRECT(Aux!$D$1)),VLOOKUP(Table1[[#This Row],[Product code]],Aux!B:E,4,FALSE),""),"")</f>
        <v/>
      </c>
      <c r="U99" s="145" t="str">
        <f>IFERROR(IF(OR(Table1[[#This Row],[Quantity]]&lt;&gt;"",Table1[[#This Row],[ACT_Qty]]&lt;&gt;""),Table1[[#This Row],[ACT_Qty]]-Table1[[#This Row],[Quantity]],""),"")</f>
        <v/>
      </c>
      <c r="V99" s="45"/>
      <c r="W99" s="45"/>
      <c r="X99" s="45"/>
    </row>
    <row r="100" spans="1:24" ht="15" customHeight="1">
      <c r="A100" s="143" t="str">
        <f t="shared" si="4"/>
        <v>AKH12345</v>
      </c>
      <c r="B100" s="256" t="s">
        <v>353</v>
      </c>
      <c r="C100" s="143" t="s">
        <v>354</v>
      </c>
      <c r="D100" s="105"/>
      <c r="E100" s="106"/>
      <c r="F100" s="105"/>
      <c r="G100" s="106"/>
      <c r="H100" s="199"/>
      <c r="I100" s="200" t="s">
        <v>335</v>
      </c>
      <c r="J100" s="200" t="s">
        <v>309</v>
      </c>
      <c r="K100" s="200" t="s">
        <v>52</v>
      </c>
      <c r="L100" s="145" t="s">
        <v>310</v>
      </c>
      <c r="M100" s="145" t="str">
        <f t="shared" si="6"/>
        <v>OneCo Networks AS</v>
      </c>
      <c r="N10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0" s="268" t="str">
        <f ca="1">IFERROR(IF(
OR(Table1[[#This Row],[Product category]]="Service items",Table1[[#This Row],[Product category]]="Additional services",Table1[[#This Row],[Product category]]="Additional materials"),
"NOK",IF(($N$3&lt;&gt;""),VLOOKUP(Table1[[#This Row],[Product code]],INDIRECT(Aux!$A$1),6,FALSE),"")),"")</f>
        <v/>
      </c>
      <c r="P100" s="41" t="str">
        <f ca="1">IFERROR(IF(AND(Table1[[#This Row],[Quantity]]&lt;&gt;"",Table1[[#This Row],[Currency]]="NOK"),Table1[[#This Row],[Quantity]]*Table1[[#This Row],[Unit Price]],""),"")</f>
        <v/>
      </c>
      <c r="Q100" s="41" t="str">
        <f ca="1">IFERROR(IF(AND(Table1[[#This Row],[ACT_Qty]]&lt;&gt;"",Table1[[#This Row],[Currency]]="NOK"),Table1[[#This Row],[ACT_Qty]]*Table1[[#This Row],[Unit Price]],""),"")</f>
        <v/>
      </c>
      <c r="R100" s="41" t="str">
        <f ca="1">IFERROR(IF(AND(Table1[[#This Row],[Quantity]]&lt;&gt;"",Table1[[#This Row],[Currency]]="EUR"),Table1[[#This Row],[Quantity]]*Table1[[#This Row],[Unit Price]],""),"")</f>
        <v/>
      </c>
      <c r="S100" s="41" t="str">
        <f ca="1">IFERROR(IF(AND(Table1[[#This Row],[ACT_Qty]]&lt;&gt;"",Table1[[#This Row],[Currency]]="EUR"),Table1[[#This Row],[ACT_Qty]]*Table1[[#This Row],[Unit Price]],""),"")</f>
        <v/>
      </c>
      <c r="T100" s="269" t="str">
        <f ca="1">IFERROR(IF(AND(($N$3&lt;&gt;""),INDIRECT(Aux!$D$1)),VLOOKUP(Table1[[#This Row],[Product code]],Aux!B:E,4,FALSE),""),"")</f>
        <v/>
      </c>
      <c r="U100" s="145" t="str">
        <f>IFERROR(IF(OR(Table1[[#This Row],[Quantity]]&lt;&gt;"",Table1[[#This Row],[ACT_Qty]]&lt;&gt;""),Table1[[#This Row],[ACT_Qty]]-Table1[[#This Row],[Quantity]],""),"")</f>
        <v/>
      </c>
      <c r="V100" s="45"/>
      <c r="W100" s="45"/>
      <c r="X100" s="45"/>
    </row>
    <row r="101" spans="1:24" ht="15" customHeight="1">
      <c r="A101" s="143" t="str">
        <f t="shared" si="4"/>
        <v>AKH12345</v>
      </c>
      <c r="B101" s="256" t="s">
        <v>355</v>
      </c>
      <c r="C101" s="143" t="s">
        <v>356</v>
      </c>
      <c r="D101" s="105"/>
      <c r="E101" s="106"/>
      <c r="F101" s="105"/>
      <c r="G101" s="106"/>
      <c r="H101" s="199"/>
      <c r="I101" s="200" t="s">
        <v>335</v>
      </c>
      <c r="J101" s="200" t="s">
        <v>309</v>
      </c>
      <c r="K101" s="200" t="s">
        <v>52</v>
      </c>
      <c r="L101" s="145" t="s">
        <v>310</v>
      </c>
      <c r="M101" s="145" t="str">
        <f t="shared" si="6"/>
        <v>OneCo Networks AS</v>
      </c>
      <c r="N1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1" s="268" t="str">
        <f ca="1">IFERROR(IF(
OR(Table1[[#This Row],[Product category]]="Service items",Table1[[#This Row],[Product category]]="Additional services",Table1[[#This Row],[Product category]]="Additional materials"),
"NOK",IF(($N$3&lt;&gt;""),VLOOKUP(Table1[[#This Row],[Product code]],INDIRECT(Aux!$A$1),6,FALSE),"")),"")</f>
        <v/>
      </c>
      <c r="P101" s="41" t="str">
        <f ca="1">IFERROR(IF(AND(Table1[[#This Row],[Quantity]]&lt;&gt;"",Table1[[#This Row],[Currency]]="NOK"),Table1[[#This Row],[Quantity]]*Table1[[#This Row],[Unit Price]],""),"")</f>
        <v/>
      </c>
      <c r="Q101" s="41" t="str">
        <f ca="1">IFERROR(IF(AND(Table1[[#This Row],[ACT_Qty]]&lt;&gt;"",Table1[[#This Row],[Currency]]="NOK"),Table1[[#This Row],[ACT_Qty]]*Table1[[#This Row],[Unit Price]],""),"")</f>
        <v/>
      </c>
      <c r="R101" s="41" t="str">
        <f ca="1">IFERROR(IF(AND(Table1[[#This Row],[Quantity]]&lt;&gt;"",Table1[[#This Row],[Currency]]="EUR"),Table1[[#This Row],[Quantity]]*Table1[[#This Row],[Unit Price]],""),"")</f>
        <v/>
      </c>
      <c r="S101" s="41" t="str">
        <f ca="1">IFERROR(IF(AND(Table1[[#This Row],[ACT_Qty]]&lt;&gt;"",Table1[[#This Row],[Currency]]="EUR"),Table1[[#This Row],[ACT_Qty]]*Table1[[#This Row],[Unit Price]],""),"")</f>
        <v/>
      </c>
      <c r="T101" s="269" t="str">
        <f ca="1">IFERROR(IF(AND(($N$3&lt;&gt;""),INDIRECT(Aux!$D$1)),VLOOKUP(Table1[[#This Row],[Product code]],Aux!B:E,4,FALSE),""),"")</f>
        <v/>
      </c>
      <c r="U101" s="145" t="str">
        <f>IFERROR(IF(OR(Table1[[#This Row],[Quantity]]&lt;&gt;"",Table1[[#This Row],[ACT_Qty]]&lt;&gt;""),Table1[[#This Row],[ACT_Qty]]-Table1[[#This Row],[Quantity]],""),"")</f>
        <v/>
      </c>
      <c r="V101" s="45"/>
      <c r="W101" s="45"/>
      <c r="X101" s="45"/>
    </row>
    <row r="102" spans="1:24" ht="15" customHeight="1">
      <c r="A102" s="143" t="str">
        <f t="shared" si="4"/>
        <v>AKH12345</v>
      </c>
      <c r="B102" s="256" t="s">
        <v>357</v>
      </c>
      <c r="C102" s="143" t="s">
        <v>358</v>
      </c>
      <c r="D102" s="105"/>
      <c r="E102" s="106"/>
      <c r="F102" s="105"/>
      <c r="G102" s="106"/>
      <c r="H102" s="199"/>
      <c r="I102" s="200" t="s">
        <v>335</v>
      </c>
      <c r="J102" s="200" t="s">
        <v>309</v>
      </c>
      <c r="K102" s="200" t="s">
        <v>52</v>
      </c>
      <c r="L102" s="145" t="s">
        <v>310</v>
      </c>
      <c r="M102" s="145" t="str">
        <f t="shared" si="6"/>
        <v>OneCo Networks AS</v>
      </c>
      <c r="N10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2" s="268" t="str">
        <f ca="1">IFERROR(IF(
OR(Table1[[#This Row],[Product category]]="Service items",Table1[[#This Row],[Product category]]="Additional services",Table1[[#This Row],[Product category]]="Additional materials"),
"NOK",IF(($N$3&lt;&gt;""),VLOOKUP(Table1[[#This Row],[Product code]],INDIRECT(Aux!$A$1),6,FALSE),"")),"")</f>
        <v/>
      </c>
      <c r="P102" s="41" t="str">
        <f ca="1">IFERROR(IF(AND(Table1[[#This Row],[Quantity]]&lt;&gt;"",Table1[[#This Row],[Currency]]="NOK"),Table1[[#This Row],[Quantity]]*Table1[[#This Row],[Unit Price]],""),"")</f>
        <v/>
      </c>
      <c r="Q102" s="41" t="str">
        <f ca="1">IFERROR(IF(AND(Table1[[#This Row],[ACT_Qty]]&lt;&gt;"",Table1[[#This Row],[Currency]]="NOK"),Table1[[#This Row],[ACT_Qty]]*Table1[[#This Row],[Unit Price]],""),"")</f>
        <v/>
      </c>
      <c r="R102" s="41" t="str">
        <f ca="1">IFERROR(IF(AND(Table1[[#This Row],[Quantity]]&lt;&gt;"",Table1[[#This Row],[Currency]]="EUR"),Table1[[#This Row],[Quantity]]*Table1[[#This Row],[Unit Price]],""),"")</f>
        <v/>
      </c>
      <c r="S102" s="41" t="str">
        <f ca="1">IFERROR(IF(AND(Table1[[#This Row],[ACT_Qty]]&lt;&gt;"",Table1[[#This Row],[Currency]]="EUR"),Table1[[#This Row],[ACT_Qty]]*Table1[[#This Row],[Unit Price]],""),"")</f>
        <v/>
      </c>
      <c r="T102" s="269" t="str">
        <f ca="1">IFERROR(IF(AND(($N$3&lt;&gt;""),INDIRECT(Aux!$D$1)),VLOOKUP(Table1[[#This Row],[Product code]],Aux!B:E,4,FALSE),""),"")</f>
        <v/>
      </c>
      <c r="U102" s="145" t="str">
        <f>IFERROR(IF(OR(Table1[[#This Row],[Quantity]]&lt;&gt;"",Table1[[#This Row],[ACT_Qty]]&lt;&gt;""),Table1[[#This Row],[ACT_Qty]]-Table1[[#This Row],[Quantity]],""),"")</f>
        <v/>
      </c>
      <c r="V102" s="45"/>
      <c r="W102" s="45"/>
      <c r="X102" s="45"/>
    </row>
    <row r="103" spans="1:24" ht="15" customHeight="1">
      <c r="A103" s="143" t="str">
        <f t="shared" si="4"/>
        <v>AKH12345</v>
      </c>
      <c r="B103" s="256" t="s">
        <v>359</v>
      </c>
      <c r="C103" s="143" t="s">
        <v>360</v>
      </c>
      <c r="D103" s="105"/>
      <c r="E103" s="106"/>
      <c r="F103" s="105"/>
      <c r="G103" s="106"/>
      <c r="H103" s="199"/>
      <c r="I103" s="200" t="s">
        <v>335</v>
      </c>
      <c r="J103" s="200" t="s">
        <v>309</v>
      </c>
      <c r="K103" s="200" t="s">
        <v>52</v>
      </c>
      <c r="L103" s="145" t="s">
        <v>310</v>
      </c>
      <c r="M103" s="145" t="str">
        <f t="shared" si="6"/>
        <v>OneCo Networks AS</v>
      </c>
      <c r="N1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3" s="268" t="str">
        <f ca="1">IFERROR(IF(
OR(Table1[[#This Row],[Product category]]="Service items",Table1[[#This Row],[Product category]]="Additional services",Table1[[#This Row],[Product category]]="Additional materials"),
"NOK",IF(($N$3&lt;&gt;""),VLOOKUP(Table1[[#This Row],[Product code]],INDIRECT(Aux!$A$1),6,FALSE),"")),"")</f>
        <v/>
      </c>
      <c r="P103" s="41" t="str">
        <f ca="1">IFERROR(IF(AND(Table1[[#This Row],[Quantity]]&lt;&gt;"",Table1[[#This Row],[Currency]]="NOK"),Table1[[#This Row],[Quantity]]*Table1[[#This Row],[Unit Price]],""),"")</f>
        <v/>
      </c>
      <c r="Q103" s="41" t="str">
        <f ca="1">IFERROR(IF(AND(Table1[[#This Row],[ACT_Qty]]&lt;&gt;"",Table1[[#This Row],[Currency]]="NOK"),Table1[[#This Row],[ACT_Qty]]*Table1[[#This Row],[Unit Price]],""),"")</f>
        <v/>
      </c>
      <c r="R103" s="41" t="str">
        <f ca="1">IFERROR(IF(AND(Table1[[#This Row],[Quantity]]&lt;&gt;"",Table1[[#This Row],[Currency]]="EUR"),Table1[[#This Row],[Quantity]]*Table1[[#This Row],[Unit Price]],""),"")</f>
        <v/>
      </c>
      <c r="S103" s="41" t="str">
        <f ca="1">IFERROR(IF(AND(Table1[[#This Row],[ACT_Qty]]&lt;&gt;"",Table1[[#This Row],[Currency]]="EUR"),Table1[[#This Row],[ACT_Qty]]*Table1[[#This Row],[Unit Price]],""),"")</f>
        <v/>
      </c>
      <c r="T103" s="269" t="str">
        <f ca="1">IFERROR(IF(AND(($N$3&lt;&gt;""),INDIRECT(Aux!$D$1)),VLOOKUP(Table1[[#This Row],[Product code]],Aux!B:E,4,FALSE),""),"")</f>
        <v/>
      </c>
      <c r="U103" s="145" t="str">
        <f>IFERROR(IF(OR(Table1[[#This Row],[Quantity]]&lt;&gt;"",Table1[[#This Row],[ACT_Qty]]&lt;&gt;""),Table1[[#This Row],[ACT_Qty]]-Table1[[#This Row],[Quantity]],""),"")</f>
        <v/>
      </c>
      <c r="V103" s="45"/>
      <c r="W103" s="45"/>
      <c r="X103" s="45"/>
    </row>
    <row r="104" spans="1:24" ht="15" customHeight="1">
      <c r="A104" s="143" t="str">
        <f t="shared" si="4"/>
        <v>AKH12345</v>
      </c>
      <c r="B104" s="256" t="s">
        <v>361</v>
      </c>
      <c r="C104" s="143" t="s">
        <v>362</v>
      </c>
      <c r="D104" s="105"/>
      <c r="E104" s="106"/>
      <c r="F104" s="105"/>
      <c r="G104" s="106"/>
      <c r="H104" s="199" t="s">
        <v>363</v>
      </c>
      <c r="I104" s="200" t="s">
        <v>364</v>
      </c>
      <c r="J104" s="200" t="s">
        <v>365</v>
      </c>
      <c r="K104" s="200" t="s">
        <v>52</v>
      </c>
      <c r="L104" s="145" t="s">
        <v>310</v>
      </c>
      <c r="M104" s="145" t="str">
        <f t="shared" si="1"/>
        <v>OneCo Networks AS</v>
      </c>
      <c r="N10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4" s="268" t="str">
        <f ca="1">IFERROR(IF(
OR(Table1[[#This Row],[Product category]]="Service items",Table1[[#This Row],[Product category]]="Additional services",Table1[[#This Row],[Product category]]="Additional materials"),
"NOK",IF(($N$3&lt;&gt;""),VLOOKUP(Table1[[#This Row],[Product code]],INDIRECT(Aux!$A$1),6,FALSE),"")),"")</f>
        <v/>
      </c>
      <c r="P104" s="41" t="str">
        <f ca="1">IFERROR(IF(AND(Table1[[#This Row],[Quantity]]&lt;&gt;"",Table1[[#This Row],[Currency]]="NOK"),Table1[[#This Row],[Quantity]]*Table1[[#This Row],[Unit Price]],""),"")</f>
        <v/>
      </c>
      <c r="Q104" s="41" t="str">
        <f ca="1">IFERROR(IF(AND(Table1[[#This Row],[ACT_Qty]]&lt;&gt;"",Table1[[#This Row],[Currency]]="NOK"),Table1[[#This Row],[ACT_Qty]]*Table1[[#This Row],[Unit Price]],""),"")</f>
        <v/>
      </c>
      <c r="R104" s="41" t="str">
        <f ca="1">IFERROR(IF(AND(Table1[[#This Row],[Quantity]]&lt;&gt;"",Table1[[#This Row],[Currency]]="EUR"),Table1[[#This Row],[Quantity]]*Table1[[#This Row],[Unit Price]],""),"")</f>
        <v/>
      </c>
      <c r="S104" s="41" t="str">
        <f ca="1">IFERROR(IF(AND(Table1[[#This Row],[ACT_Qty]]&lt;&gt;"",Table1[[#This Row],[Currency]]="EUR"),Table1[[#This Row],[ACT_Qty]]*Table1[[#This Row],[Unit Price]],""),"")</f>
        <v/>
      </c>
      <c r="T104" s="269" t="str">
        <f ca="1">IFERROR(IF(AND(($N$3&lt;&gt;""),INDIRECT(Aux!$D$1)),VLOOKUP(Table1[[#This Row],[Product code]],Aux!B:E,4,FALSE),""),"")</f>
        <v/>
      </c>
      <c r="U104" s="145" t="str">
        <f>IFERROR(IF(OR(Table1[[#This Row],[Quantity]]&lt;&gt;"",Table1[[#This Row],[ACT_Qty]]&lt;&gt;""),Table1[[#This Row],[ACT_Qty]]-Table1[[#This Row],[Quantity]],""),"")</f>
        <v/>
      </c>
      <c r="V104" s="45"/>
      <c r="W104" s="45"/>
      <c r="X104" s="45"/>
    </row>
    <row r="105" spans="1:24" ht="15" customHeight="1">
      <c r="A105" s="143" t="str">
        <f t="shared" si="4"/>
        <v>AKH12345</v>
      </c>
      <c r="B105" s="256" t="s">
        <v>366</v>
      </c>
      <c r="C105" s="143" t="s">
        <v>367</v>
      </c>
      <c r="D105" s="105"/>
      <c r="E105" s="106"/>
      <c r="F105" s="105"/>
      <c r="G105" s="106"/>
      <c r="H105" s="199" t="s">
        <v>368</v>
      </c>
      <c r="I105" s="200" t="s">
        <v>308</v>
      </c>
      <c r="J105" s="200" t="s">
        <v>309</v>
      </c>
      <c r="K105" s="200" t="s">
        <v>52</v>
      </c>
      <c r="L105" s="145" t="s">
        <v>310</v>
      </c>
      <c r="M105" s="145" t="str">
        <f t="shared" ref="M105:M110" si="7">IF($C$3&lt;&gt;"",$C$3,"")</f>
        <v>OneCo Networks AS</v>
      </c>
      <c r="N1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5" s="268" t="str">
        <f ca="1">IFERROR(IF(
OR(Table1[[#This Row],[Product category]]="Service items",Table1[[#This Row],[Product category]]="Additional services",Table1[[#This Row],[Product category]]="Additional materials"),
"NOK",IF(($N$3&lt;&gt;""),VLOOKUP(Table1[[#This Row],[Product code]],INDIRECT(Aux!$A$1),6,FALSE),"")),"")</f>
        <v/>
      </c>
      <c r="P105" s="41" t="str">
        <f ca="1">IFERROR(IF(AND(Table1[[#This Row],[Quantity]]&lt;&gt;"",Table1[[#This Row],[Currency]]="NOK"),Table1[[#This Row],[Quantity]]*Table1[[#This Row],[Unit Price]],""),"")</f>
        <v/>
      </c>
      <c r="Q105" s="41" t="str">
        <f ca="1">IFERROR(IF(AND(Table1[[#This Row],[ACT_Qty]]&lt;&gt;"",Table1[[#This Row],[Currency]]="NOK"),Table1[[#This Row],[ACT_Qty]]*Table1[[#This Row],[Unit Price]],""),"")</f>
        <v/>
      </c>
      <c r="R105" s="41" t="str">
        <f ca="1">IFERROR(IF(AND(Table1[[#This Row],[Quantity]]&lt;&gt;"",Table1[[#This Row],[Currency]]="EUR"),Table1[[#This Row],[Quantity]]*Table1[[#This Row],[Unit Price]],""),"")</f>
        <v/>
      </c>
      <c r="S105" s="41" t="str">
        <f ca="1">IFERROR(IF(AND(Table1[[#This Row],[ACT_Qty]]&lt;&gt;"",Table1[[#This Row],[Currency]]="EUR"),Table1[[#This Row],[ACT_Qty]]*Table1[[#This Row],[Unit Price]],""),"")</f>
        <v/>
      </c>
      <c r="T105" s="269" t="str">
        <f ca="1">IFERROR(IF(AND(($N$3&lt;&gt;""),INDIRECT(Aux!$D$1)),VLOOKUP(Table1[[#This Row],[Product code]],Aux!B:E,4,FALSE),""),"")</f>
        <v/>
      </c>
      <c r="U105" s="145" t="str">
        <f>IFERROR(IF(OR(Table1[[#This Row],[Quantity]]&lt;&gt;"",Table1[[#This Row],[ACT_Qty]]&lt;&gt;""),Table1[[#This Row],[ACT_Qty]]-Table1[[#This Row],[Quantity]],""),"")</f>
        <v/>
      </c>
      <c r="V105" s="45"/>
      <c r="W105" s="45"/>
      <c r="X105" s="45"/>
    </row>
    <row r="106" spans="1:24" ht="15" customHeight="1">
      <c r="A106" s="143" t="str">
        <f t="shared" si="4"/>
        <v>AKH12345</v>
      </c>
      <c r="B106" s="256" t="s">
        <v>369</v>
      </c>
      <c r="C106" s="143" t="s">
        <v>370</v>
      </c>
      <c r="D106" s="105"/>
      <c r="E106" s="106"/>
      <c r="F106" s="105"/>
      <c r="G106" s="106"/>
      <c r="H106" s="199" t="s">
        <v>371</v>
      </c>
      <c r="I106" s="200" t="s">
        <v>308</v>
      </c>
      <c r="J106" s="200" t="s">
        <v>309</v>
      </c>
      <c r="K106" s="200" t="s">
        <v>52</v>
      </c>
      <c r="L106" s="145" t="s">
        <v>310</v>
      </c>
      <c r="M106" s="145" t="str">
        <f t="shared" si="7"/>
        <v>OneCo Networks AS</v>
      </c>
      <c r="N10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6" s="268" t="str">
        <f ca="1">IFERROR(IF(
OR(Table1[[#This Row],[Product category]]="Service items",Table1[[#This Row],[Product category]]="Additional services",Table1[[#This Row],[Product category]]="Additional materials"),
"NOK",IF(($N$3&lt;&gt;""),VLOOKUP(Table1[[#This Row],[Product code]],INDIRECT(Aux!$A$1),6,FALSE),"")),"")</f>
        <v/>
      </c>
      <c r="P106" s="41" t="str">
        <f ca="1">IFERROR(IF(AND(Table1[[#This Row],[Quantity]]&lt;&gt;"",Table1[[#This Row],[Currency]]="NOK"),Table1[[#This Row],[Quantity]]*Table1[[#This Row],[Unit Price]],""),"")</f>
        <v/>
      </c>
      <c r="Q106" s="41" t="str">
        <f ca="1">IFERROR(IF(AND(Table1[[#This Row],[ACT_Qty]]&lt;&gt;"",Table1[[#This Row],[Currency]]="NOK"),Table1[[#This Row],[ACT_Qty]]*Table1[[#This Row],[Unit Price]],""),"")</f>
        <v/>
      </c>
      <c r="R106" s="41" t="str">
        <f ca="1">IFERROR(IF(AND(Table1[[#This Row],[Quantity]]&lt;&gt;"",Table1[[#This Row],[Currency]]="EUR"),Table1[[#This Row],[Quantity]]*Table1[[#This Row],[Unit Price]],""),"")</f>
        <v/>
      </c>
      <c r="S106" s="41" t="str">
        <f ca="1">IFERROR(IF(AND(Table1[[#This Row],[ACT_Qty]]&lt;&gt;"",Table1[[#This Row],[Currency]]="EUR"),Table1[[#This Row],[ACT_Qty]]*Table1[[#This Row],[Unit Price]],""),"")</f>
        <v/>
      </c>
      <c r="T106" s="269" t="str">
        <f ca="1">IFERROR(IF(AND(($N$3&lt;&gt;""),INDIRECT(Aux!$D$1)),VLOOKUP(Table1[[#This Row],[Product code]],Aux!B:E,4,FALSE),""),"")</f>
        <v/>
      </c>
      <c r="U106" s="145" t="str">
        <f>IFERROR(IF(OR(Table1[[#This Row],[Quantity]]&lt;&gt;"",Table1[[#This Row],[ACT_Qty]]&lt;&gt;""),Table1[[#This Row],[ACT_Qty]]-Table1[[#This Row],[Quantity]],""),"")</f>
        <v/>
      </c>
      <c r="V106" s="45"/>
      <c r="W106" s="45"/>
      <c r="X106" s="45"/>
    </row>
    <row r="107" spans="1:24" ht="15" customHeight="1">
      <c r="A107" s="143" t="str">
        <f t="shared" si="4"/>
        <v>AKH12345</v>
      </c>
      <c r="B107" s="256" t="s">
        <v>372</v>
      </c>
      <c r="C107" s="143" t="s">
        <v>373</v>
      </c>
      <c r="D107" s="105"/>
      <c r="E107" s="106"/>
      <c r="F107" s="105"/>
      <c r="G107" s="106"/>
      <c r="H107" s="199" t="s">
        <v>374</v>
      </c>
      <c r="I107" s="200" t="s">
        <v>308</v>
      </c>
      <c r="J107" s="200" t="s">
        <v>309</v>
      </c>
      <c r="K107" s="200" t="s">
        <v>52</v>
      </c>
      <c r="L107" s="145" t="s">
        <v>310</v>
      </c>
      <c r="M107" s="145" t="str">
        <f t="shared" si="7"/>
        <v>OneCo Networks AS</v>
      </c>
      <c r="N1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7" s="268" t="str">
        <f ca="1">IFERROR(IF(
OR(Table1[[#This Row],[Product category]]="Service items",Table1[[#This Row],[Product category]]="Additional services",Table1[[#This Row],[Product category]]="Additional materials"),
"NOK",IF(($N$3&lt;&gt;""),VLOOKUP(Table1[[#This Row],[Product code]],INDIRECT(Aux!$A$1),6,FALSE),"")),"")</f>
        <v/>
      </c>
      <c r="P107" s="41" t="str">
        <f ca="1">IFERROR(IF(AND(Table1[[#This Row],[Quantity]]&lt;&gt;"",Table1[[#This Row],[Currency]]="NOK"),Table1[[#This Row],[Quantity]]*Table1[[#This Row],[Unit Price]],""),"")</f>
        <v/>
      </c>
      <c r="Q107" s="41" t="str">
        <f ca="1">IFERROR(IF(AND(Table1[[#This Row],[ACT_Qty]]&lt;&gt;"",Table1[[#This Row],[Currency]]="NOK"),Table1[[#This Row],[ACT_Qty]]*Table1[[#This Row],[Unit Price]],""),"")</f>
        <v/>
      </c>
      <c r="R107" s="41" t="str">
        <f ca="1">IFERROR(IF(AND(Table1[[#This Row],[Quantity]]&lt;&gt;"",Table1[[#This Row],[Currency]]="EUR"),Table1[[#This Row],[Quantity]]*Table1[[#This Row],[Unit Price]],""),"")</f>
        <v/>
      </c>
      <c r="S107" s="41" t="str">
        <f ca="1">IFERROR(IF(AND(Table1[[#This Row],[ACT_Qty]]&lt;&gt;"",Table1[[#This Row],[Currency]]="EUR"),Table1[[#This Row],[ACT_Qty]]*Table1[[#This Row],[Unit Price]],""),"")</f>
        <v/>
      </c>
      <c r="T107" s="269" t="str">
        <f ca="1">IFERROR(IF(AND(($N$3&lt;&gt;""),INDIRECT(Aux!$D$1)),VLOOKUP(Table1[[#This Row],[Product code]],Aux!B:E,4,FALSE),""),"")</f>
        <v/>
      </c>
      <c r="U107" s="145" t="str">
        <f>IFERROR(IF(OR(Table1[[#This Row],[Quantity]]&lt;&gt;"",Table1[[#This Row],[ACT_Qty]]&lt;&gt;""),Table1[[#This Row],[ACT_Qty]]-Table1[[#This Row],[Quantity]],""),"")</f>
        <v/>
      </c>
      <c r="V107" s="45"/>
      <c r="W107" s="45"/>
      <c r="X107" s="45"/>
    </row>
    <row r="108" spans="1:24" ht="15" customHeight="1">
      <c r="A108" s="143" t="str">
        <f t="shared" si="4"/>
        <v>AKH12345</v>
      </c>
      <c r="B108" s="256" t="s">
        <v>375</v>
      </c>
      <c r="C108" s="143" t="s">
        <v>376</v>
      </c>
      <c r="D108" s="105"/>
      <c r="E108" s="106"/>
      <c r="F108" s="105"/>
      <c r="G108" s="106"/>
      <c r="H108" s="199" t="s">
        <v>377</v>
      </c>
      <c r="I108" s="200" t="s">
        <v>308</v>
      </c>
      <c r="J108" s="200" t="s">
        <v>309</v>
      </c>
      <c r="K108" s="200" t="s">
        <v>52</v>
      </c>
      <c r="L108" s="145" t="s">
        <v>310</v>
      </c>
      <c r="M108" s="145" t="str">
        <f t="shared" si="7"/>
        <v>OneCo Networks AS</v>
      </c>
      <c r="N10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8" s="268" t="str">
        <f ca="1">IFERROR(IF(
OR(Table1[[#This Row],[Product category]]="Service items",Table1[[#This Row],[Product category]]="Additional services",Table1[[#This Row],[Product category]]="Additional materials"),
"NOK",IF(($N$3&lt;&gt;""),VLOOKUP(Table1[[#This Row],[Product code]],INDIRECT(Aux!$A$1),6,FALSE),"")),"")</f>
        <v/>
      </c>
      <c r="P108" s="41" t="str">
        <f ca="1">IFERROR(IF(AND(Table1[[#This Row],[Quantity]]&lt;&gt;"",Table1[[#This Row],[Currency]]="NOK"),Table1[[#This Row],[Quantity]]*Table1[[#This Row],[Unit Price]],""),"")</f>
        <v/>
      </c>
      <c r="Q108" s="41" t="str">
        <f ca="1">IFERROR(IF(AND(Table1[[#This Row],[ACT_Qty]]&lt;&gt;"",Table1[[#This Row],[Currency]]="NOK"),Table1[[#This Row],[ACT_Qty]]*Table1[[#This Row],[Unit Price]],""),"")</f>
        <v/>
      </c>
      <c r="R108" s="41" t="str">
        <f ca="1">IFERROR(IF(AND(Table1[[#This Row],[Quantity]]&lt;&gt;"",Table1[[#This Row],[Currency]]="EUR"),Table1[[#This Row],[Quantity]]*Table1[[#This Row],[Unit Price]],""),"")</f>
        <v/>
      </c>
      <c r="S108" s="41" t="str">
        <f ca="1">IFERROR(IF(AND(Table1[[#This Row],[ACT_Qty]]&lt;&gt;"",Table1[[#This Row],[Currency]]="EUR"),Table1[[#This Row],[ACT_Qty]]*Table1[[#This Row],[Unit Price]],""),"")</f>
        <v/>
      </c>
      <c r="T108" s="269" t="str">
        <f ca="1">IFERROR(IF(AND(($N$3&lt;&gt;""),INDIRECT(Aux!$D$1)),VLOOKUP(Table1[[#This Row],[Product code]],Aux!B:E,4,FALSE),""),"")</f>
        <v/>
      </c>
      <c r="U108" s="145" t="str">
        <f>IFERROR(IF(OR(Table1[[#This Row],[Quantity]]&lt;&gt;"",Table1[[#This Row],[ACT_Qty]]&lt;&gt;""),Table1[[#This Row],[ACT_Qty]]-Table1[[#This Row],[Quantity]],""),"")</f>
        <v/>
      </c>
      <c r="V108" s="45"/>
      <c r="W108" s="45"/>
      <c r="X108" s="45"/>
    </row>
    <row r="109" spans="1:24" ht="15" customHeight="1">
      <c r="A109" s="143" t="str">
        <f t="shared" si="4"/>
        <v>AKH12345</v>
      </c>
      <c r="B109" s="256" t="s">
        <v>378</v>
      </c>
      <c r="C109" s="143" t="s">
        <v>379</v>
      </c>
      <c r="D109" s="105"/>
      <c r="E109" s="106"/>
      <c r="F109" s="105"/>
      <c r="G109" s="106"/>
      <c r="H109" s="199" t="s">
        <v>380</v>
      </c>
      <c r="I109" s="200" t="s">
        <v>308</v>
      </c>
      <c r="J109" s="200" t="s">
        <v>309</v>
      </c>
      <c r="K109" s="200" t="s">
        <v>52</v>
      </c>
      <c r="L109" s="145" t="s">
        <v>310</v>
      </c>
      <c r="M109" s="145" t="str">
        <f t="shared" si="7"/>
        <v>OneCo Networks AS</v>
      </c>
      <c r="N1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09" s="268" t="str">
        <f ca="1">IFERROR(IF(
OR(Table1[[#This Row],[Product category]]="Service items",Table1[[#This Row],[Product category]]="Additional services",Table1[[#This Row],[Product category]]="Additional materials"),
"NOK",IF(($N$3&lt;&gt;""),VLOOKUP(Table1[[#This Row],[Product code]],INDIRECT(Aux!$A$1),6,FALSE),"")),"")</f>
        <v/>
      </c>
      <c r="P109" s="41" t="str">
        <f ca="1">IFERROR(IF(AND(Table1[[#This Row],[Quantity]]&lt;&gt;"",Table1[[#This Row],[Currency]]="NOK"),Table1[[#This Row],[Quantity]]*Table1[[#This Row],[Unit Price]],""),"")</f>
        <v/>
      </c>
      <c r="Q109" s="41" t="str">
        <f ca="1">IFERROR(IF(AND(Table1[[#This Row],[ACT_Qty]]&lt;&gt;"",Table1[[#This Row],[Currency]]="NOK"),Table1[[#This Row],[ACT_Qty]]*Table1[[#This Row],[Unit Price]],""),"")</f>
        <v/>
      </c>
      <c r="R109" s="41" t="str">
        <f ca="1">IFERROR(IF(AND(Table1[[#This Row],[Quantity]]&lt;&gt;"",Table1[[#This Row],[Currency]]="EUR"),Table1[[#This Row],[Quantity]]*Table1[[#This Row],[Unit Price]],""),"")</f>
        <v/>
      </c>
      <c r="S109" s="41" t="str">
        <f ca="1">IFERROR(IF(AND(Table1[[#This Row],[ACT_Qty]]&lt;&gt;"",Table1[[#This Row],[Currency]]="EUR"),Table1[[#This Row],[ACT_Qty]]*Table1[[#This Row],[Unit Price]],""),"")</f>
        <v/>
      </c>
      <c r="T109" s="269" t="str">
        <f ca="1">IFERROR(IF(AND(($N$3&lt;&gt;""),INDIRECT(Aux!$D$1)),VLOOKUP(Table1[[#This Row],[Product code]],Aux!B:E,4,FALSE),""),"")</f>
        <v/>
      </c>
      <c r="U109" s="145" t="str">
        <f>IFERROR(IF(OR(Table1[[#This Row],[Quantity]]&lt;&gt;"",Table1[[#This Row],[ACT_Qty]]&lt;&gt;""),Table1[[#This Row],[ACT_Qty]]-Table1[[#This Row],[Quantity]],""),"")</f>
        <v/>
      </c>
      <c r="V109" s="45"/>
      <c r="W109" s="45"/>
      <c r="X109" s="45"/>
    </row>
    <row r="110" spans="1:24" ht="15" customHeight="1">
      <c r="A110" s="143" t="str">
        <f t="shared" si="4"/>
        <v>AKH12345</v>
      </c>
      <c r="B110" s="256" t="s">
        <v>381</v>
      </c>
      <c r="C110" s="143" t="s">
        <v>382</v>
      </c>
      <c r="D110" s="105"/>
      <c r="E110" s="106"/>
      <c r="F110" s="105"/>
      <c r="G110" s="106"/>
      <c r="H110" s="199" t="s">
        <v>383</v>
      </c>
      <c r="I110" s="200" t="s">
        <v>335</v>
      </c>
      <c r="J110" s="200" t="s">
        <v>309</v>
      </c>
      <c r="K110" s="200" t="s">
        <v>52</v>
      </c>
      <c r="L110" s="145" t="s">
        <v>310</v>
      </c>
      <c r="M110" s="145" t="str">
        <f t="shared" si="7"/>
        <v>OneCo Networks AS</v>
      </c>
      <c r="N11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0" s="268" t="str">
        <f ca="1">IFERROR(IF(
OR(Table1[[#This Row],[Product category]]="Service items",Table1[[#This Row],[Product category]]="Additional services",Table1[[#This Row],[Product category]]="Additional materials"),
"NOK",IF(($N$3&lt;&gt;""),VLOOKUP(Table1[[#This Row],[Product code]],INDIRECT(Aux!$A$1),6,FALSE),"")),"")</f>
        <v/>
      </c>
      <c r="P110" s="41" t="str">
        <f ca="1">IFERROR(IF(AND(Table1[[#This Row],[Quantity]]&lt;&gt;"",Table1[[#This Row],[Currency]]="NOK"),Table1[[#This Row],[Quantity]]*Table1[[#This Row],[Unit Price]],""),"")</f>
        <v/>
      </c>
      <c r="Q110" s="41" t="str">
        <f ca="1">IFERROR(IF(AND(Table1[[#This Row],[ACT_Qty]]&lt;&gt;"",Table1[[#This Row],[Currency]]="NOK"),Table1[[#This Row],[ACT_Qty]]*Table1[[#This Row],[Unit Price]],""),"")</f>
        <v/>
      </c>
      <c r="R110" s="41" t="str">
        <f ca="1">IFERROR(IF(AND(Table1[[#This Row],[Quantity]]&lt;&gt;"",Table1[[#This Row],[Currency]]="EUR"),Table1[[#This Row],[Quantity]]*Table1[[#This Row],[Unit Price]],""),"")</f>
        <v/>
      </c>
      <c r="S110" s="41" t="str">
        <f ca="1">IFERROR(IF(AND(Table1[[#This Row],[ACT_Qty]]&lt;&gt;"",Table1[[#This Row],[Currency]]="EUR"),Table1[[#This Row],[ACT_Qty]]*Table1[[#This Row],[Unit Price]],""),"")</f>
        <v/>
      </c>
      <c r="T110" s="269" t="str">
        <f ca="1">IFERROR(IF(AND(($N$3&lt;&gt;""),INDIRECT(Aux!$D$1)),VLOOKUP(Table1[[#This Row],[Product code]],Aux!B:E,4,FALSE),""),"")</f>
        <v/>
      </c>
      <c r="U110" s="145" t="str">
        <f>IFERROR(IF(OR(Table1[[#This Row],[Quantity]]&lt;&gt;"",Table1[[#This Row],[ACT_Qty]]&lt;&gt;""),Table1[[#This Row],[ACT_Qty]]-Table1[[#This Row],[Quantity]],""),"")</f>
        <v/>
      </c>
      <c r="V110" s="45"/>
      <c r="W110" s="45"/>
      <c r="X110" s="45"/>
    </row>
    <row r="111" spans="1:24" ht="15" customHeight="1">
      <c r="A111" s="143" t="str">
        <f t="shared" si="4"/>
        <v>AKH12345</v>
      </c>
      <c r="B111" s="256" t="s">
        <v>384</v>
      </c>
      <c r="C111" s="143" t="s">
        <v>385</v>
      </c>
      <c r="D111" s="105"/>
      <c r="E111" s="106"/>
      <c r="F111" s="105"/>
      <c r="G111" s="106"/>
      <c r="H111" s="199" t="s">
        <v>386</v>
      </c>
      <c r="I111" s="200" t="s">
        <v>308</v>
      </c>
      <c r="J111" s="200" t="s">
        <v>309</v>
      </c>
      <c r="K111" s="200" t="s">
        <v>52</v>
      </c>
      <c r="L111" s="145" t="s">
        <v>310</v>
      </c>
      <c r="M111" s="145" t="str">
        <f t="shared" si="1"/>
        <v>OneCo Networks AS</v>
      </c>
      <c r="N1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1" s="268" t="str">
        <f ca="1">IFERROR(IF(
OR(Table1[[#This Row],[Product category]]="Service items",Table1[[#This Row],[Product category]]="Additional services",Table1[[#This Row],[Product category]]="Additional materials"),
"NOK",IF(($N$3&lt;&gt;""),VLOOKUP(Table1[[#This Row],[Product code]],INDIRECT(Aux!$A$1),6,FALSE),"")),"")</f>
        <v/>
      </c>
      <c r="P111" s="41" t="str">
        <f ca="1">IFERROR(IF(AND(Table1[[#This Row],[Quantity]]&lt;&gt;"",Table1[[#This Row],[Currency]]="NOK"),Table1[[#This Row],[Quantity]]*Table1[[#This Row],[Unit Price]],""),"")</f>
        <v/>
      </c>
      <c r="Q111" s="41" t="str">
        <f ca="1">IFERROR(IF(AND(Table1[[#This Row],[ACT_Qty]]&lt;&gt;"",Table1[[#This Row],[Currency]]="NOK"),Table1[[#This Row],[ACT_Qty]]*Table1[[#This Row],[Unit Price]],""),"")</f>
        <v/>
      </c>
      <c r="R111" s="41" t="str">
        <f ca="1">IFERROR(IF(AND(Table1[[#This Row],[Quantity]]&lt;&gt;"",Table1[[#This Row],[Currency]]="EUR"),Table1[[#This Row],[Quantity]]*Table1[[#This Row],[Unit Price]],""),"")</f>
        <v/>
      </c>
      <c r="S111" s="41" t="str">
        <f ca="1">IFERROR(IF(AND(Table1[[#This Row],[ACT_Qty]]&lt;&gt;"",Table1[[#This Row],[Currency]]="EUR"),Table1[[#This Row],[ACT_Qty]]*Table1[[#This Row],[Unit Price]],""),"")</f>
        <v/>
      </c>
      <c r="T111" s="269" t="str">
        <f ca="1">IFERROR(IF(AND(($N$3&lt;&gt;""),INDIRECT(Aux!$D$1)),VLOOKUP(Table1[[#This Row],[Product code]],Aux!B:E,4,FALSE),""),"")</f>
        <v/>
      </c>
      <c r="U111" s="145" t="str">
        <f>IFERROR(IF(OR(Table1[[#This Row],[Quantity]]&lt;&gt;"",Table1[[#This Row],[ACT_Qty]]&lt;&gt;""),Table1[[#This Row],[ACT_Qty]]-Table1[[#This Row],[Quantity]],""),"")</f>
        <v/>
      </c>
      <c r="V111" s="45"/>
      <c r="W111" s="45"/>
      <c r="X111" s="45"/>
    </row>
    <row r="112" spans="1:24" ht="15" customHeight="1">
      <c r="A112" s="143" t="str">
        <f t="shared" si="4"/>
        <v>AKH12345</v>
      </c>
      <c r="B112" s="256" t="s">
        <v>387</v>
      </c>
      <c r="C112" s="143" t="s">
        <v>388</v>
      </c>
      <c r="D112" s="105"/>
      <c r="E112" s="106"/>
      <c r="F112" s="105"/>
      <c r="G112" s="106"/>
      <c r="H112" s="199" t="s">
        <v>389</v>
      </c>
      <c r="I112" s="200" t="s">
        <v>308</v>
      </c>
      <c r="J112" s="200" t="s">
        <v>309</v>
      </c>
      <c r="K112" s="200" t="s">
        <v>52</v>
      </c>
      <c r="L112" s="145" t="s">
        <v>310</v>
      </c>
      <c r="M112" s="145" t="str">
        <f t="shared" si="1"/>
        <v>OneCo Networks AS</v>
      </c>
      <c r="N11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2" s="268" t="str">
        <f ca="1">IFERROR(IF(
OR(Table1[[#This Row],[Product category]]="Service items",Table1[[#This Row],[Product category]]="Additional services",Table1[[#This Row],[Product category]]="Additional materials"),
"NOK",IF(($N$3&lt;&gt;""),VLOOKUP(Table1[[#This Row],[Product code]],INDIRECT(Aux!$A$1),6,FALSE),"")),"")</f>
        <v/>
      </c>
      <c r="P112" s="41" t="str">
        <f ca="1">IFERROR(IF(AND(Table1[[#This Row],[Quantity]]&lt;&gt;"",Table1[[#This Row],[Currency]]="NOK"),Table1[[#This Row],[Quantity]]*Table1[[#This Row],[Unit Price]],""),"")</f>
        <v/>
      </c>
      <c r="Q112" s="41" t="str">
        <f ca="1">IFERROR(IF(AND(Table1[[#This Row],[ACT_Qty]]&lt;&gt;"",Table1[[#This Row],[Currency]]="NOK"),Table1[[#This Row],[ACT_Qty]]*Table1[[#This Row],[Unit Price]],""),"")</f>
        <v/>
      </c>
      <c r="R112" s="41" t="str">
        <f ca="1">IFERROR(IF(AND(Table1[[#This Row],[Quantity]]&lt;&gt;"",Table1[[#This Row],[Currency]]="EUR"),Table1[[#This Row],[Quantity]]*Table1[[#This Row],[Unit Price]],""),"")</f>
        <v/>
      </c>
      <c r="S112" s="41" t="str">
        <f ca="1">IFERROR(IF(AND(Table1[[#This Row],[ACT_Qty]]&lt;&gt;"",Table1[[#This Row],[Currency]]="EUR"),Table1[[#This Row],[ACT_Qty]]*Table1[[#This Row],[Unit Price]],""),"")</f>
        <v/>
      </c>
      <c r="T112" s="269" t="str">
        <f ca="1">IFERROR(IF(AND(($N$3&lt;&gt;""),INDIRECT(Aux!$D$1)),VLOOKUP(Table1[[#This Row],[Product code]],Aux!B:E,4,FALSE),""),"")</f>
        <v/>
      </c>
      <c r="U112" s="145" t="str">
        <f>IFERROR(IF(OR(Table1[[#This Row],[Quantity]]&lt;&gt;"",Table1[[#This Row],[ACT_Qty]]&lt;&gt;""),Table1[[#This Row],[ACT_Qty]]-Table1[[#This Row],[Quantity]],""),"")</f>
        <v/>
      </c>
      <c r="V112" s="45"/>
      <c r="W112" s="45"/>
      <c r="X112" s="45"/>
    </row>
    <row r="113" spans="1:24" ht="15" customHeight="1">
      <c r="A113" s="143" t="str">
        <f t="shared" si="4"/>
        <v>AKH12345</v>
      </c>
      <c r="B113" s="256" t="s">
        <v>390</v>
      </c>
      <c r="C113" s="143" t="s">
        <v>391</v>
      </c>
      <c r="D113" s="105"/>
      <c r="E113" s="106" t="s">
        <v>392</v>
      </c>
      <c r="F113" s="105"/>
      <c r="G113" s="106"/>
      <c r="H113" s="199" t="s">
        <v>393</v>
      </c>
      <c r="I113" s="200" t="s">
        <v>308</v>
      </c>
      <c r="J113" s="200" t="s">
        <v>394</v>
      </c>
      <c r="K113" s="200" t="s">
        <v>52</v>
      </c>
      <c r="L113" s="145" t="s">
        <v>310</v>
      </c>
      <c r="M113" s="145" t="str">
        <f t="shared" ref="M113:M127" si="8">IF($C$3&lt;&gt;"",$C$3,"")</f>
        <v>OneCo Networks AS</v>
      </c>
      <c r="N1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3" s="268" t="str">
        <f ca="1">IFERROR(IF(
OR(Table1[[#This Row],[Product category]]="Service items",Table1[[#This Row],[Product category]]="Additional services",Table1[[#This Row],[Product category]]="Additional materials"),
"NOK",IF(($N$3&lt;&gt;""),VLOOKUP(Table1[[#This Row],[Product code]],INDIRECT(Aux!$A$1),6,FALSE),"")),"")</f>
        <v/>
      </c>
      <c r="P113" s="41" t="str">
        <f ca="1">IFERROR(IF(AND(Table1[[#This Row],[Quantity]]&lt;&gt;"",Table1[[#This Row],[Currency]]="NOK"),Table1[[#This Row],[Quantity]]*Table1[[#This Row],[Unit Price]],""),"")</f>
        <v/>
      </c>
      <c r="Q113" s="41" t="str">
        <f ca="1">IFERROR(IF(AND(Table1[[#This Row],[ACT_Qty]]&lt;&gt;"",Table1[[#This Row],[Currency]]="NOK"),Table1[[#This Row],[ACT_Qty]]*Table1[[#This Row],[Unit Price]],""),"")</f>
        <v/>
      </c>
      <c r="R113" s="41" t="str">
        <f ca="1">IFERROR(IF(AND(Table1[[#This Row],[Quantity]]&lt;&gt;"",Table1[[#This Row],[Currency]]="EUR"),Table1[[#This Row],[Quantity]]*Table1[[#This Row],[Unit Price]],""),"")</f>
        <v/>
      </c>
      <c r="S113" s="41" t="str">
        <f ca="1">IFERROR(IF(AND(Table1[[#This Row],[ACT_Qty]]&lt;&gt;"",Table1[[#This Row],[Currency]]="EUR"),Table1[[#This Row],[ACT_Qty]]*Table1[[#This Row],[Unit Price]],""),"")</f>
        <v/>
      </c>
      <c r="T113" s="269" t="str">
        <f ca="1">IFERROR(IF(AND(($N$3&lt;&gt;""),INDIRECT(Aux!$D$1)),VLOOKUP(Table1[[#This Row],[Product code]],Aux!B:E,4,FALSE),""),"")</f>
        <v/>
      </c>
      <c r="U113" s="145" t="str">
        <f>IFERROR(IF(OR(Table1[[#This Row],[Quantity]]&lt;&gt;"",Table1[[#This Row],[ACT_Qty]]&lt;&gt;""),Table1[[#This Row],[ACT_Qty]]-Table1[[#This Row],[Quantity]],""),"")</f>
        <v/>
      </c>
      <c r="V113" s="45"/>
      <c r="W113" s="45"/>
      <c r="X113" s="45"/>
    </row>
    <row r="114" spans="1:24" ht="15" customHeight="1">
      <c r="A114" s="143" t="str">
        <f t="shared" si="4"/>
        <v>AKH12345</v>
      </c>
      <c r="B114" s="256">
        <v>5326121</v>
      </c>
      <c r="C114" s="143" t="s">
        <v>395</v>
      </c>
      <c r="D114" s="105"/>
      <c r="E114" s="106"/>
      <c r="F114" s="105"/>
      <c r="G114" s="106"/>
      <c r="H114" s="199" t="s">
        <v>396</v>
      </c>
      <c r="I114" s="200" t="s">
        <v>308</v>
      </c>
      <c r="J114" s="200" t="s">
        <v>397</v>
      </c>
      <c r="K114" s="200" t="s">
        <v>52</v>
      </c>
      <c r="L114" s="145" t="s">
        <v>398</v>
      </c>
      <c r="M114" s="145" t="str">
        <f t="shared" si="8"/>
        <v>OneCo Networks AS</v>
      </c>
      <c r="N11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4" s="268" t="str">
        <f ca="1">IFERROR(IF(
OR(Table1[[#This Row],[Product category]]="Service items",Table1[[#This Row],[Product category]]="Additional services",Table1[[#This Row],[Product category]]="Additional materials"),
"NOK",IF(($N$3&lt;&gt;""),VLOOKUP(Table1[[#This Row],[Product code]],INDIRECT(Aux!$A$1),6,FALSE),"")),"")</f>
        <v/>
      </c>
      <c r="P114" s="41" t="str">
        <f ca="1">IFERROR(IF(AND(Table1[[#This Row],[Quantity]]&lt;&gt;"",Table1[[#This Row],[Currency]]="NOK"),Table1[[#This Row],[Quantity]]*Table1[[#This Row],[Unit Price]],""),"")</f>
        <v/>
      </c>
      <c r="Q114" s="41" t="str">
        <f ca="1">IFERROR(IF(AND(Table1[[#This Row],[ACT_Qty]]&lt;&gt;"",Table1[[#This Row],[Currency]]="NOK"),Table1[[#This Row],[ACT_Qty]]*Table1[[#This Row],[Unit Price]],""),"")</f>
        <v/>
      </c>
      <c r="R114" s="41" t="str">
        <f ca="1">IFERROR(IF(AND(Table1[[#This Row],[Quantity]]&lt;&gt;"",Table1[[#This Row],[Currency]]="EUR"),Table1[[#This Row],[Quantity]]*Table1[[#This Row],[Unit Price]],""),"")</f>
        <v/>
      </c>
      <c r="S114" s="41" t="str">
        <f ca="1">IFERROR(IF(AND(Table1[[#This Row],[ACT_Qty]]&lt;&gt;"",Table1[[#This Row],[Currency]]="EUR"),Table1[[#This Row],[ACT_Qty]]*Table1[[#This Row],[Unit Price]],""),"")</f>
        <v/>
      </c>
      <c r="T114" s="269" t="str">
        <f ca="1">IFERROR(IF(AND(($N$3&lt;&gt;""),INDIRECT(Aux!$D$1)),VLOOKUP(Table1[[#This Row],[Product code]],Aux!B:E,4,FALSE),""),"")</f>
        <v/>
      </c>
      <c r="U114" s="145" t="str">
        <f>IFERROR(IF(OR(Table1[[#This Row],[Quantity]]&lt;&gt;"",Table1[[#This Row],[ACT_Qty]]&lt;&gt;""),Table1[[#This Row],[ACT_Qty]]-Table1[[#This Row],[Quantity]],""),"")</f>
        <v/>
      </c>
      <c r="V114" s="45"/>
      <c r="W114" s="45"/>
      <c r="X114" s="45"/>
    </row>
    <row r="115" spans="1:24" ht="15" customHeight="1">
      <c r="A115" s="143" t="str">
        <f t="shared" si="4"/>
        <v>AKH12345</v>
      </c>
      <c r="B115" s="256">
        <v>8170245</v>
      </c>
      <c r="C115" s="143" t="s">
        <v>399</v>
      </c>
      <c r="D115" s="105"/>
      <c r="E115" s="106"/>
      <c r="F115" s="105"/>
      <c r="G115" s="106"/>
      <c r="H115" s="199" t="s">
        <v>400</v>
      </c>
      <c r="I115" s="200" t="s">
        <v>308</v>
      </c>
      <c r="J115" s="200" t="s">
        <v>397</v>
      </c>
      <c r="K115" s="200" t="s">
        <v>52</v>
      </c>
      <c r="L115" s="145" t="s">
        <v>398</v>
      </c>
      <c r="M115" s="145" t="str">
        <f t="shared" si="8"/>
        <v>OneCo Networks AS</v>
      </c>
      <c r="N1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5" s="268" t="str">
        <f ca="1">IFERROR(IF(
OR(Table1[[#This Row],[Product category]]="Service items",Table1[[#This Row],[Product category]]="Additional services",Table1[[#This Row],[Product category]]="Additional materials"),
"NOK",IF(($N$3&lt;&gt;""),VLOOKUP(Table1[[#This Row],[Product code]],INDIRECT(Aux!$A$1),6,FALSE),"")),"")</f>
        <v/>
      </c>
      <c r="P115" s="41" t="str">
        <f ca="1">IFERROR(IF(AND(Table1[[#This Row],[Quantity]]&lt;&gt;"",Table1[[#This Row],[Currency]]="NOK"),Table1[[#This Row],[Quantity]]*Table1[[#This Row],[Unit Price]],""),"")</f>
        <v/>
      </c>
      <c r="Q115" s="41" t="str">
        <f ca="1">IFERROR(IF(AND(Table1[[#This Row],[ACT_Qty]]&lt;&gt;"",Table1[[#This Row],[Currency]]="NOK"),Table1[[#This Row],[ACT_Qty]]*Table1[[#This Row],[Unit Price]],""),"")</f>
        <v/>
      </c>
      <c r="R115" s="41" t="str">
        <f ca="1">IFERROR(IF(AND(Table1[[#This Row],[Quantity]]&lt;&gt;"",Table1[[#This Row],[Currency]]="EUR"),Table1[[#This Row],[Quantity]]*Table1[[#This Row],[Unit Price]],""),"")</f>
        <v/>
      </c>
      <c r="S115" s="41" t="str">
        <f ca="1">IFERROR(IF(AND(Table1[[#This Row],[ACT_Qty]]&lt;&gt;"",Table1[[#This Row],[Currency]]="EUR"),Table1[[#This Row],[ACT_Qty]]*Table1[[#This Row],[Unit Price]],""),"")</f>
        <v/>
      </c>
      <c r="T115" s="269" t="str">
        <f ca="1">IFERROR(IF(AND(($N$3&lt;&gt;""),INDIRECT(Aux!$D$1)),VLOOKUP(Table1[[#This Row],[Product code]],Aux!B:E,4,FALSE),""),"")</f>
        <v/>
      </c>
      <c r="U115" s="145" t="str">
        <f>IFERROR(IF(OR(Table1[[#This Row],[Quantity]]&lt;&gt;"",Table1[[#This Row],[ACT_Qty]]&lt;&gt;""),Table1[[#This Row],[ACT_Qty]]-Table1[[#This Row],[Quantity]],""),"")</f>
        <v/>
      </c>
      <c r="V115" s="45"/>
      <c r="W115" s="45"/>
      <c r="X115" s="45"/>
    </row>
    <row r="116" spans="1:24" ht="15" customHeight="1">
      <c r="A116" s="143" t="str">
        <f t="shared" si="4"/>
        <v>AKH12345</v>
      </c>
      <c r="B116" s="256" t="s">
        <v>401</v>
      </c>
      <c r="C116" s="143" t="s">
        <v>402</v>
      </c>
      <c r="D116" s="105"/>
      <c r="E116" s="106"/>
      <c r="F116" s="105"/>
      <c r="G116" s="106"/>
      <c r="H116" s="199" t="s">
        <v>403</v>
      </c>
      <c r="I116" s="200" t="s">
        <v>308</v>
      </c>
      <c r="J116" s="200" t="s">
        <v>404</v>
      </c>
      <c r="K116" s="200" t="s">
        <v>52</v>
      </c>
      <c r="L116" s="145" t="s">
        <v>398</v>
      </c>
      <c r="M116" s="145" t="str">
        <f t="shared" ref="M116:M122" si="9">IF($C$3&lt;&gt;"",$C$3,"")</f>
        <v>OneCo Networks AS</v>
      </c>
      <c r="N11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6" s="268" t="str">
        <f ca="1">IFERROR(IF(
OR(Table1[[#This Row],[Product category]]="Service items",Table1[[#This Row],[Product category]]="Additional services",Table1[[#This Row],[Product category]]="Additional materials"),
"NOK",IF(($N$3&lt;&gt;""),VLOOKUP(Table1[[#This Row],[Product code]],INDIRECT(Aux!$A$1),6,FALSE),"")),"")</f>
        <v/>
      </c>
      <c r="P116" s="41" t="str">
        <f ca="1">IFERROR(IF(AND(Table1[[#This Row],[Quantity]]&lt;&gt;"",Table1[[#This Row],[Currency]]="NOK"),Table1[[#This Row],[Quantity]]*Table1[[#This Row],[Unit Price]],""),"")</f>
        <v/>
      </c>
      <c r="Q116" s="41" t="str">
        <f ca="1">IFERROR(IF(AND(Table1[[#This Row],[ACT_Qty]]&lt;&gt;"",Table1[[#This Row],[Currency]]="NOK"),Table1[[#This Row],[ACT_Qty]]*Table1[[#This Row],[Unit Price]],""),"")</f>
        <v/>
      </c>
      <c r="R116" s="41" t="str">
        <f ca="1">IFERROR(IF(AND(Table1[[#This Row],[Quantity]]&lt;&gt;"",Table1[[#This Row],[Currency]]="EUR"),Table1[[#This Row],[Quantity]]*Table1[[#This Row],[Unit Price]],""),"")</f>
        <v/>
      </c>
      <c r="S116" s="41" t="str">
        <f ca="1">IFERROR(IF(AND(Table1[[#This Row],[ACT_Qty]]&lt;&gt;"",Table1[[#This Row],[Currency]]="EUR"),Table1[[#This Row],[ACT_Qty]]*Table1[[#This Row],[Unit Price]],""),"")</f>
        <v/>
      </c>
      <c r="T116" s="269" t="str">
        <f ca="1">IFERROR(IF(AND(($N$3&lt;&gt;""),INDIRECT(Aux!$D$1)),VLOOKUP(Table1[[#This Row],[Product code]],Aux!B:E,4,FALSE),""),"")</f>
        <v/>
      </c>
      <c r="U116" s="145" t="str">
        <f>IFERROR(IF(OR(Table1[[#This Row],[Quantity]]&lt;&gt;"",Table1[[#This Row],[ACT_Qty]]&lt;&gt;""),Table1[[#This Row],[ACT_Qty]]-Table1[[#This Row],[Quantity]],""),"")</f>
        <v/>
      </c>
      <c r="V116" s="45"/>
      <c r="W116" s="45"/>
      <c r="X116" s="45"/>
    </row>
    <row r="117" spans="1:24" ht="15" customHeight="1">
      <c r="A117" s="143" t="str">
        <f t="shared" si="4"/>
        <v>AKH12345</v>
      </c>
      <c r="B117" s="256">
        <v>5302167</v>
      </c>
      <c r="C117" s="143" t="s">
        <v>405</v>
      </c>
      <c r="D117" s="105"/>
      <c r="E117" s="106"/>
      <c r="F117" s="105"/>
      <c r="G117" s="106"/>
      <c r="H117" s="199" t="s">
        <v>406</v>
      </c>
      <c r="I117" s="200" t="s">
        <v>308</v>
      </c>
      <c r="J117" s="200" t="s">
        <v>404</v>
      </c>
      <c r="K117" s="200" t="s">
        <v>52</v>
      </c>
      <c r="L117" s="145" t="s">
        <v>398</v>
      </c>
      <c r="M117" s="145" t="str">
        <f t="shared" si="9"/>
        <v>OneCo Networks AS</v>
      </c>
      <c r="N1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7" s="268" t="str">
        <f ca="1">IFERROR(IF(
OR(Table1[[#This Row],[Product category]]="Service items",Table1[[#This Row],[Product category]]="Additional services",Table1[[#This Row],[Product category]]="Additional materials"),
"NOK",IF(($N$3&lt;&gt;""),VLOOKUP(Table1[[#This Row],[Product code]],INDIRECT(Aux!$A$1),6,FALSE),"")),"")</f>
        <v/>
      </c>
      <c r="P117" s="41" t="str">
        <f ca="1">IFERROR(IF(AND(Table1[[#This Row],[Quantity]]&lt;&gt;"",Table1[[#This Row],[Currency]]="NOK"),Table1[[#This Row],[Quantity]]*Table1[[#This Row],[Unit Price]],""),"")</f>
        <v/>
      </c>
      <c r="Q117" s="41" t="str">
        <f ca="1">IFERROR(IF(AND(Table1[[#This Row],[ACT_Qty]]&lt;&gt;"",Table1[[#This Row],[Currency]]="NOK"),Table1[[#This Row],[ACT_Qty]]*Table1[[#This Row],[Unit Price]],""),"")</f>
        <v/>
      </c>
      <c r="R117" s="41" t="str">
        <f ca="1">IFERROR(IF(AND(Table1[[#This Row],[Quantity]]&lt;&gt;"",Table1[[#This Row],[Currency]]="EUR"),Table1[[#This Row],[Quantity]]*Table1[[#This Row],[Unit Price]],""),"")</f>
        <v/>
      </c>
      <c r="S117" s="41" t="str">
        <f ca="1">IFERROR(IF(AND(Table1[[#This Row],[ACT_Qty]]&lt;&gt;"",Table1[[#This Row],[Currency]]="EUR"),Table1[[#This Row],[ACT_Qty]]*Table1[[#This Row],[Unit Price]],""),"")</f>
        <v/>
      </c>
      <c r="T117" s="269" t="str">
        <f ca="1">IFERROR(IF(AND(($N$3&lt;&gt;""),INDIRECT(Aux!$D$1)),VLOOKUP(Table1[[#This Row],[Product code]],Aux!B:E,4,FALSE),""),"")</f>
        <v/>
      </c>
      <c r="U117" s="145" t="str">
        <f>IFERROR(IF(OR(Table1[[#This Row],[Quantity]]&lt;&gt;"",Table1[[#This Row],[ACT_Qty]]&lt;&gt;""),Table1[[#This Row],[ACT_Qty]]-Table1[[#This Row],[Quantity]],""),"")</f>
        <v/>
      </c>
      <c r="V117" s="45"/>
      <c r="W117" s="45"/>
      <c r="X117" s="45"/>
    </row>
    <row r="118" spans="1:24" ht="15" customHeight="1">
      <c r="A118" s="143" t="str">
        <f t="shared" si="4"/>
        <v>AKH12345</v>
      </c>
      <c r="B118" s="256">
        <v>5501460</v>
      </c>
      <c r="C118" s="143" t="s">
        <v>407</v>
      </c>
      <c r="D118" s="105"/>
      <c r="E118" s="106"/>
      <c r="F118" s="105"/>
      <c r="G118" s="106"/>
      <c r="H118" s="199" t="s">
        <v>406</v>
      </c>
      <c r="I118" s="200" t="s">
        <v>308</v>
      </c>
      <c r="J118" s="200" t="s">
        <v>404</v>
      </c>
      <c r="K118" s="200" t="s">
        <v>52</v>
      </c>
      <c r="L118" s="145" t="s">
        <v>398</v>
      </c>
      <c r="M118" s="145" t="str">
        <f t="shared" si="9"/>
        <v>OneCo Networks AS</v>
      </c>
      <c r="N11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8" s="268" t="str">
        <f ca="1">IFERROR(IF(
OR(Table1[[#This Row],[Product category]]="Service items",Table1[[#This Row],[Product category]]="Additional services",Table1[[#This Row],[Product category]]="Additional materials"),
"NOK",IF(($N$3&lt;&gt;""),VLOOKUP(Table1[[#This Row],[Product code]],INDIRECT(Aux!$A$1),6,FALSE),"")),"")</f>
        <v/>
      </c>
      <c r="P118" s="41" t="str">
        <f ca="1">IFERROR(IF(AND(Table1[[#This Row],[Quantity]]&lt;&gt;"",Table1[[#This Row],[Currency]]="NOK"),Table1[[#This Row],[Quantity]]*Table1[[#This Row],[Unit Price]],""),"")</f>
        <v/>
      </c>
      <c r="Q118" s="41" t="str">
        <f ca="1">IFERROR(IF(AND(Table1[[#This Row],[ACT_Qty]]&lt;&gt;"",Table1[[#This Row],[Currency]]="NOK"),Table1[[#This Row],[ACT_Qty]]*Table1[[#This Row],[Unit Price]],""),"")</f>
        <v/>
      </c>
      <c r="R118" s="41" t="str">
        <f ca="1">IFERROR(IF(AND(Table1[[#This Row],[Quantity]]&lt;&gt;"",Table1[[#This Row],[Currency]]="EUR"),Table1[[#This Row],[Quantity]]*Table1[[#This Row],[Unit Price]],""),"")</f>
        <v/>
      </c>
      <c r="S118" s="41" t="str">
        <f ca="1">IFERROR(IF(AND(Table1[[#This Row],[ACT_Qty]]&lt;&gt;"",Table1[[#This Row],[Currency]]="EUR"),Table1[[#This Row],[ACT_Qty]]*Table1[[#This Row],[Unit Price]],""),"")</f>
        <v/>
      </c>
      <c r="T118" s="269" t="str">
        <f ca="1">IFERROR(IF(AND(($N$3&lt;&gt;""),INDIRECT(Aux!$D$1)),VLOOKUP(Table1[[#This Row],[Product code]],Aux!B:E,4,FALSE),""),"")</f>
        <v/>
      </c>
      <c r="U118" s="145" t="str">
        <f>IFERROR(IF(OR(Table1[[#This Row],[Quantity]]&lt;&gt;"",Table1[[#This Row],[ACT_Qty]]&lt;&gt;""),Table1[[#This Row],[ACT_Qty]]-Table1[[#This Row],[Quantity]],""),"")</f>
        <v/>
      </c>
      <c r="V118" s="45"/>
      <c r="W118" s="45"/>
      <c r="X118" s="45"/>
    </row>
    <row r="119" spans="1:24" ht="15" customHeight="1">
      <c r="A119" s="143" t="str">
        <f t="shared" si="4"/>
        <v>AKH12345</v>
      </c>
      <c r="B119" s="256">
        <v>4612000</v>
      </c>
      <c r="C119" s="143" t="s">
        <v>408</v>
      </c>
      <c r="D119" s="105"/>
      <c r="E119" s="106"/>
      <c r="F119" s="105"/>
      <c r="G119" s="106"/>
      <c r="H119" s="199" t="s">
        <v>406</v>
      </c>
      <c r="I119" s="200" t="s">
        <v>308</v>
      </c>
      <c r="J119" s="200" t="s">
        <v>404</v>
      </c>
      <c r="K119" s="200" t="s">
        <v>52</v>
      </c>
      <c r="L119" s="145" t="s">
        <v>398</v>
      </c>
      <c r="M119" s="145" t="str">
        <f t="shared" si="9"/>
        <v>OneCo Networks AS</v>
      </c>
      <c r="N1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19" s="268" t="str">
        <f ca="1">IFERROR(IF(
OR(Table1[[#This Row],[Product category]]="Service items",Table1[[#This Row],[Product category]]="Additional services",Table1[[#This Row],[Product category]]="Additional materials"),
"NOK",IF(($N$3&lt;&gt;""),VLOOKUP(Table1[[#This Row],[Product code]],INDIRECT(Aux!$A$1),6,FALSE),"")),"")</f>
        <v/>
      </c>
      <c r="P119" s="41" t="str">
        <f ca="1">IFERROR(IF(AND(Table1[[#This Row],[Quantity]]&lt;&gt;"",Table1[[#This Row],[Currency]]="NOK"),Table1[[#This Row],[Quantity]]*Table1[[#This Row],[Unit Price]],""),"")</f>
        <v/>
      </c>
      <c r="Q119" s="41" t="str">
        <f ca="1">IFERROR(IF(AND(Table1[[#This Row],[ACT_Qty]]&lt;&gt;"",Table1[[#This Row],[Currency]]="NOK"),Table1[[#This Row],[ACT_Qty]]*Table1[[#This Row],[Unit Price]],""),"")</f>
        <v/>
      </c>
      <c r="R119" s="41" t="str">
        <f ca="1">IFERROR(IF(AND(Table1[[#This Row],[Quantity]]&lt;&gt;"",Table1[[#This Row],[Currency]]="EUR"),Table1[[#This Row],[Quantity]]*Table1[[#This Row],[Unit Price]],""),"")</f>
        <v/>
      </c>
      <c r="S119" s="41" t="str">
        <f ca="1">IFERROR(IF(AND(Table1[[#This Row],[ACT_Qty]]&lt;&gt;"",Table1[[#This Row],[Currency]]="EUR"),Table1[[#This Row],[ACT_Qty]]*Table1[[#This Row],[Unit Price]],""),"")</f>
        <v/>
      </c>
      <c r="T119" s="269" t="str">
        <f ca="1">IFERROR(IF(AND(($N$3&lt;&gt;""),INDIRECT(Aux!$D$1)),VLOOKUP(Table1[[#This Row],[Product code]],Aux!B:E,4,FALSE),""),"")</f>
        <v/>
      </c>
      <c r="U119" s="145" t="str">
        <f>IFERROR(IF(OR(Table1[[#This Row],[Quantity]]&lt;&gt;"",Table1[[#This Row],[ACT_Qty]]&lt;&gt;""),Table1[[#This Row],[ACT_Qty]]-Table1[[#This Row],[Quantity]],""),"")</f>
        <v/>
      </c>
      <c r="V119" s="45"/>
      <c r="W119" s="45"/>
      <c r="X119" s="45"/>
    </row>
    <row r="120" spans="1:24" ht="15" customHeight="1">
      <c r="A120" s="143" t="str">
        <f t="shared" si="4"/>
        <v>AKH12345</v>
      </c>
      <c r="B120" s="256">
        <v>7113000</v>
      </c>
      <c r="C120" s="143" t="s">
        <v>409</v>
      </c>
      <c r="D120" s="105"/>
      <c r="E120" s="106"/>
      <c r="F120" s="105"/>
      <c r="G120" s="106"/>
      <c r="H120" s="199" t="s">
        <v>406</v>
      </c>
      <c r="I120" s="200" t="s">
        <v>308</v>
      </c>
      <c r="J120" s="200" t="s">
        <v>404</v>
      </c>
      <c r="K120" s="200" t="s">
        <v>52</v>
      </c>
      <c r="L120" s="145" t="s">
        <v>398</v>
      </c>
      <c r="M120" s="145" t="str">
        <f t="shared" si="9"/>
        <v>OneCo Networks AS</v>
      </c>
      <c r="N12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0" s="268" t="str">
        <f ca="1">IFERROR(IF(
OR(Table1[[#This Row],[Product category]]="Service items",Table1[[#This Row],[Product category]]="Additional services",Table1[[#This Row],[Product category]]="Additional materials"),
"NOK",IF(($N$3&lt;&gt;""),VLOOKUP(Table1[[#This Row],[Product code]],INDIRECT(Aux!$A$1),6,FALSE),"")),"")</f>
        <v/>
      </c>
      <c r="P120" s="41" t="str">
        <f ca="1">IFERROR(IF(AND(Table1[[#This Row],[Quantity]]&lt;&gt;"",Table1[[#This Row],[Currency]]="NOK"),Table1[[#This Row],[Quantity]]*Table1[[#This Row],[Unit Price]],""),"")</f>
        <v/>
      </c>
      <c r="Q120" s="41" t="str">
        <f ca="1">IFERROR(IF(AND(Table1[[#This Row],[ACT_Qty]]&lt;&gt;"",Table1[[#This Row],[Currency]]="NOK"),Table1[[#This Row],[ACT_Qty]]*Table1[[#This Row],[Unit Price]],""),"")</f>
        <v/>
      </c>
      <c r="R120" s="41" t="str">
        <f ca="1">IFERROR(IF(AND(Table1[[#This Row],[Quantity]]&lt;&gt;"",Table1[[#This Row],[Currency]]="EUR"),Table1[[#This Row],[Quantity]]*Table1[[#This Row],[Unit Price]],""),"")</f>
        <v/>
      </c>
      <c r="S120" s="41" t="str">
        <f ca="1">IFERROR(IF(AND(Table1[[#This Row],[ACT_Qty]]&lt;&gt;"",Table1[[#This Row],[Currency]]="EUR"),Table1[[#This Row],[ACT_Qty]]*Table1[[#This Row],[Unit Price]],""),"")</f>
        <v/>
      </c>
      <c r="T120" s="269" t="str">
        <f ca="1">IFERROR(IF(AND(($N$3&lt;&gt;""),INDIRECT(Aux!$D$1)),VLOOKUP(Table1[[#This Row],[Product code]],Aux!B:E,4,FALSE),""),"")</f>
        <v/>
      </c>
      <c r="U120" s="145" t="str">
        <f>IFERROR(IF(OR(Table1[[#This Row],[Quantity]]&lt;&gt;"",Table1[[#This Row],[ACT_Qty]]&lt;&gt;""),Table1[[#This Row],[ACT_Qty]]-Table1[[#This Row],[Quantity]],""),"")</f>
        <v/>
      </c>
      <c r="V120" s="45"/>
      <c r="W120" s="45"/>
      <c r="X120" s="45"/>
    </row>
    <row r="121" spans="1:24" ht="15" customHeight="1">
      <c r="A121" s="143" t="str">
        <f t="shared" si="4"/>
        <v>AKH12345</v>
      </c>
      <c r="B121" s="256" t="s">
        <v>410</v>
      </c>
      <c r="C121" s="143" t="s">
        <v>411</v>
      </c>
      <c r="D121" s="105"/>
      <c r="E121" s="106"/>
      <c r="F121" s="105"/>
      <c r="G121" s="106"/>
      <c r="H121" s="199" t="s">
        <v>406</v>
      </c>
      <c r="I121" s="200" t="s">
        <v>308</v>
      </c>
      <c r="J121" s="200" t="s">
        <v>404</v>
      </c>
      <c r="K121" s="200" t="s">
        <v>52</v>
      </c>
      <c r="L121" s="145" t="s">
        <v>398</v>
      </c>
      <c r="M121" s="145" t="str">
        <f t="shared" si="9"/>
        <v>OneCo Networks AS</v>
      </c>
      <c r="N1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1" s="268" t="str">
        <f ca="1">IFERROR(IF(
OR(Table1[[#This Row],[Product category]]="Service items",Table1[[#This Row],[Product category]]="Additional services",Table1[[#This Row],[Product category]]="Additional materials"),
"NOK",IF(($N$3&lt;&gt;""),VLOOKUP(Table1[[#This Row],[Product code]],INDIRECT(Aux!$A$1),6,FALSE),"")),"")</f>
        <v/>
      </c>
      <c r="P121" s="41" t="str">
        <f ca="1">IFERROR(IF(AND(Table1[[#This Row],[Quantity]]&lt;&gt;"",Table1[[#This Row],[Currency]]="NOK"),Table1[[#This Row],[Quantity]]*Table1[[#This Row],[Unit Price]],""),"")</f>
        <v/>
      </c>
      <c r="Q121" s="41" t="str">
        <f ca="1">IFERROR(IF(AND(Table1[[#This Row],[ACT_Qty]]&lt;&gt;"",Table1[[#This Row],[Currency]]="NOK"),Table1[[#This Row],[ACT_Qty]]*Table1[[#This Row],[Unit Price]],""),"")</f>
        <v/>
      </c>
      <c r="R121" s="41" t="str">
        <f ca="1">IFERROR(IF(AND(Table1[[#This Row],[Quantity]]&lt;&gt;"",Table1[[#This Row],[Currency]]="EUR"),Table1[[#This Row],[Quantity]]*Table1[[#This Row],[Unit Price]],""),"")</f>
        <v/>
      </c>
      <c r="S121" s="41" t="str">
        <f ca="1">IFERROR(IF(AND(Table1[[#This Row],[ACT_Qty]]&lt;&gt;"",Table1[[#This Row],[Currency]]="EUR"),Table1[[#This Row],[ACT_Qty]]*Table1[[#This Row],[Unit Price]],""),"")</f>
        <v/>
      </c>
      <c r="T121" s="269" t="str">
        <f ca="1">IFERROR(IF(AND(($N$3&lt;&gt;""),INDIRECT(Aux!$D$1)),VLOOKUP(Table1[[#This Row],[Product code]],Aux!B:E,4,FALSE),""),"")</f>
        <v/>
      </c>
      <c r="U121" s="145" t="str">
        <f>IFERROR(IF(OR(Table1[[#This Row],[Quantity]]&lt;&gt;"",Table1[[#This Row],[ACT_Qty]]&lt;&gt;""),Table1[[#This Row],[ACT_Qty]]-Table1[[#This Row],[Quantity]],""),"")</f>
        <v/>
      </c>
      <c r="V121" s="45"/>
      <c r="W121" s="45"/>
      <c r="X121" s="45"/>
    </row>
    <row r="122" spans="1:24" ht="15" customHeight="1">
      <c r="A122" s="143" t="str">
        <f t="shared" si="4"/>
        <v>AKH12345</v>
      </c>
      <c r="B122" s="256">
        <v>7111000</v>
      </c>
      <c r="C122" s="143" t="s">
        <v>412</v>
      </c>
      <c r="D122" s="105"/>
      <c r="E122" s="106"/>
      <c r="F122" s="105"/>
      <c r="G122" s="106"/>
      <c r="H122" s="199" t="s">
        <v>406</v>
      </c>
      <c r="I122" s="200" t="s">
        <v>308</v>
      </c>
      <c r="J122" s="200" t="s">
        <v>404</v>
      </c>
      <c r="K122" s="200" t="s">
        <v>52</v>
      </c>
      <c r="L122" s="145" t="s">
        <v>398</v>
      </c>
      <c r="M122" s="145" t="str">
        <f t="shared" si="9"/>
        <v>OneCo Networks AS</v>
      </c>
      <c r="N12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2" s="268" t="str">
        <f ca="1">IFERROR(IF(
OR(Table1[[#This Row],[Product category]]="Service items",Table1[[#This Row],[Product category]]="Additional services",Table1[[#This Row],[Product category]]="Additional materials"),
"NOK",IF(($N$3&lt;&gt;""),VLOOKUP(Table1[[#This Row],[Product code]],INDIRECT(Aux!$A$1),6,FALSE),"")),"")</f>
        <v/>
      </c>
      <c r="P122" s="41" t="str">
        <f ca="1">IFERROR(IF(AND(Table1[[#This Row],[Quantity]]&lt;&gt;"",Table1[[#This Row],[Currency]]="NOK"),Table1[[#This Row],[Quantity]]*Table1[[#This Row],[Unit Price]],""),"")</f>
        <v/>
      </c>
      <c r="Q122" s="41" t="str">
        <f ca="1">IFERROR(IF(AND(Table1[[#This Row],[ACT_Qty]]&lt;&gt;"",Table1[[#This Row],[Currency]]="NOK"),Table1[[#This Row],[ACT_Qty]]*Table1[[#This Row],[Unit Price]],""),"")</f>
        <v/>
      </c>
      <c r="R122" s="41" t="str">
        <f ca="1">IFERROR(IF(AND(Table1[[#This Row],[Quantity]]&lt;&gt;"",Table1[[#This Row],[Currency]]="EUR"),Table1[[#This Row],[Quantity]]*Table1[[#This Row],[Unit Price]],""),"")</f>
        <v/>
      </c>
      <c r="S122" s="41" t="str">
        <f ca="1">IFERROR(IF(AND(Table1[[#This Row],[ACT_Qty]]&lt;&gt;"",Table1[[#This Row],[Currency]]="EUR"),Table1[[#This Row],[ACT_Qty]]*Table1[[#This Row],[Unit Price]],""),"")</f>
        <v/>
      </c>
      <c r="T122" s="269" t="str">
        <f ca="1">IFERROR(IF(AND(($N$3&lt;&gt;""),INDIRECT(Aux!$D$1)),VLOOKUP(Table1[[#This Row],[Product code]],Aux!B:E,4,FALSE),""),"")</f>
        <v/>
      </c>
      <c r="U122" s="145" t="str">
        <f>IFERROR(IF(OR(Table1[[#This Row],[Quantity]]&lt;&gt;"",Table1[[#This Row],[ACT_Qty]]&lt;&gt;""),Table1[[#This Row],[ACT_Qty]]-Table1[[#This Row],[Quantity]],""),"")</f>
        <v/>
      </c>
      <c r="V122" s="45"/>
      <c r="W122" s="45"/>
      <c r="X122" s="45"/>
    </row>
    <row r="123" spans="1:24" ht="15" customHeight="1">
      <c r="A123" s="143" t="str">
        <f t="shared" si="4"/>
        <v>AKH12345</v>
      </c>
      <c r="B123" s="256">
        <v>7246400</v>
      </c>
      <c r="C123" s="143" t="s">
        <v>413</v>
      </c>
      <c r="D123" s="105"/>
      <c r="E123" s="106" t="s">
        <v>414</v>
      </c>
      <c r="F123" s="105"/>
      <c r="G123" s="106"/>
      <c r="H123" s="199" t="s">
        <v>415</v>
      </c>
      <c r="I123" s="200" t="s">
        <v>308</v>
      </c>
      <c r="J123" s="200" t="s">
        <v>404</v>
      </c>
      <c r="K123" s="200" t="s">
        <v>52</v>
      </c>
      <c r="L123" s="145" t="s">
        <v>398</v>
      </c>
      <c r="M123" s="145" t="str">
        <f t="shared" si="8"/>
        <v>OneCo Networks AS</v>
      </c>
      <c r="N1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3" s="268" t="str">
        <f ca="1">IFERROR(IF(
OR(Table1[[#This Row],[Product category]]="Service items",Table1[[#This Row],[Product category]]="Additional services",Table1[[#This Row],[Product category]]="Additional materials"),
"NOK",IF(($N$3&lt;&gt;""),VLOOKUP(Table1[[#This Row],[Product code]],INDIRECT(Aux!$A$1),6,FALSE),"")),"")</f>
        <v/>
      </c>
      <c r="P123" s="41" t="str">
        <f ca="1">IFERROR(IF(AND(Table1[[#This Row],[Quantity]]&lt;&gt;"",Table1[[#This Row],[Currency]]="NOK"),Table1[[#This Row],[Quantity]]*Table1[[#This Row],[Unit Price]],""),"")</f>
        <v/>
      </c>
      <c r="Q123" s="41" t="str">
        <f ca="1">IFERROR(IF(AND(Table1[[#This Row],[ACT_Qty]]&lt;&gt;"",Table1[[#This Row],[Currency]]="NOK"),Table1[[#This Row],[ACT_Qty]]*Table1[[#This Row],[Unit Price]],""),"")</f>
        <v/>
      </c>
      <c r="R123" s="41" t="str">
        <f ca="1">IFERROR(IF(AND(Table1[[#This Row],[Quantity]]&lt;&gt;"",Table1[[#This Row],[Currency]]="EUR"),Table1[[#This Row],[Quantity]]*Table1[[#This Row],[Unit Price]],""),"")</f>
        <v/>
      </c>
      <c r="S123" s="41" t="str">
        <f ca="1">IFERROR(IF(AND(Table1[[#This Row],[ACT_Qty]]&lt;&gt;"",Table1[[#This Row],[Currency]]="EUR"),Table1[[#This Row],[ACT_Qty]]*Table1[[#This Row],[Unit Price]],""),"")</f>
        <v/>
      </c>
      <c r="T123" s="269" t="str">
        <f ca="1">IFERROR(IF(AND(($N$3&lt;&gt;""),INDIRECT(Aux!$D$1)),VLOOKUP(Table1[[#This Row],[Product code]],Aux!B:E,4,FALSE),""),"")</f>
        <v/>
      </c>
      <c r="U123" s="145" t="str">
        <f>IFERROR(IF(OR(Table1[[#This Row],[Quantity]]&lt;&gt;"",Table1[[#This Row],[ACT_Qty]]&lt;&gt;""),Table1[[#This Row],[ACT_Qty]]-Table1[[#This Row],[Quantity]],""),"")</f>
        <v/>
      </c>
      <c r="V123" s="45"/>
      <c r="W123" s="45"/>
      <c r="X123" s="45"/>
    </row>
    <row r="124" spans="1:24" ht="15" customHeight="1">
      <c r="A124" s="143" t="str">
        <f t="shared" si="4"/>
        <v>AKH12345</v>
      </c>
      <c r="B124" s="256" t="s">
        <v>416</v>
      </c>
      <c r="C124" s="143" t="s">
        <v>417</v>
      </c>
      <c r="D124" s="105"/>
      <c r="E124" s="106"/>
      <c r="F124" s="105"/>
      <c r="G124" s="106"/>
      <c r="H124" s="199" t="s">
        <v>418</v>
      </c>
      <c r="I124" s="200" t="s">
        <v>308</v>
      </c>
      <c r="J124" s="200" t="s">
        <v>404</v>
      </c>
      <c r="K124" s="200" t="s">
        <v>52</v>
      </c>
      <c r="L124" s="145" t="s">
        <v>419</v>
      </c>
      <c r="M124" s="145" t="str">
        <f t="shared" si="8"/>
        <v>OneCo Networks AS</v>
      </c>
      <c r="N12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4" s="268" t="str">
        <f ca="1">IFERROR(IF(
OR(Table1[[#This Row],[Product category]]="Service items",Table1[[#This Row],[Product category]]="Additional services",Table1[[#This Row],[Product category]]="Additional materials"),
"NOK",IF(($N$3&lt;&gt;""),VLOOKUP(Table1[[#This Row],[Product code]],INDIRECT(Aux!$A$1),6,FALSE),"")),"")</f>
        <v/>
      </c>
      <c r="P124" s="41" t="str">
        <f ca="1">IFERROR(IF(AND(Table1[[#This Row],[Quantity]]&lt;&gt;"",Table1[[#This Row],[Currency]]="NOK"),Table1[[#This Row],[Quantity]]*Table1[[#This Row],[Unit Price]],""),"")</f>
        <v/>
      </c>
      <c r="Q124" s="41" t="str">
        <f ca="1">IFERROR(IF(AND(Table1[[#This Row],[ACT_Qty]]&lt;&gt;"",Table1[[#This Row],[Currency]]="NOK"),Table1[[#This Row],[ACT_Qty]]*Table1[[#This Row],[Unit Price]],""),"")</f>
        <v/>
      </c>
      <c r="R124" s="41" t="str">
        <f ca="1">IFERROR(IF(AND(Table1[[#This Row],[Quantity]]&lt;&gt;"",Table1[[#This Row],[Currency]]="EUR"),Table1[[#This Row],[Quantity]]*Table1[[#This Row],[Unit Price]],""),"")</f>
        <v/>
      </c>
      <c r="S124" s="41" t="str">
        <f ca="1">IFERROR(IF(AND(Table1[[#This Row],[ACT_Qty]]&lt;&gt;"",Table1[[#This Row],[Currency]]="EUR"),Table1[[#This Row],[ACT_Qty]]*Table1[[#This Row],[Unit Price]],""),"")</f>
        <v/>
      </c>
      <c r="T124" s="269" t="str">
        <f ca="1">IFERROR(IF(AND(($N$3&lt;&gt;""),INDIRECT(Aux!$D$1)),VLOOKUP(Table1[[#This Row],[Product code]],Aux!B:E,4,FALSE),""),"")</f>
        <v/>
      </c>
      <c r="U124" s="145" t="str">
        <f>IFERROR(IF(OR(Table1[[#This Row],[Quantity]]&lt;&gt;"",Table1[[#This Row],[ACT_Qty]]&lt;&gt;""),Table1[[#This Row],[ACT_Qty]]-Table1[[#This Row],[Quantity]],""),"")</f>
        <v/>
      </c>
      <c r="V124" s="45"/>
      <c r="W124" s="45"/>
      <c r="X124" s="45"/>
    </row>
    <row r="125" spans="1:24" ht="15" customHeight="1">
      <c r="A125" s="143" t="str">
        <f t="shared" si="4"/>
        <v>AKH12345</v>
      </c>
      <c r="B125" s="256" t="s">
        <v>420</v>
      </c>
      <c r="C125" s="143" t="s">
        <v>421</v>
      </c>
      <c r="D125" s="105"/>
      <c r="E125" s="106" t="s">
        <v>422</v>
      </c>
      <c r="F125" s="105"/>
      <c r="G125" s="106"/>
      <c r="H125" s="199" t="s">
        <v>423</v>
      </c>
      <c r="I125" s="200" t="s">
        <v>308</v>
      </c>
      <c r="J125" s="200" t="s">
        <v>404</v>
      </c>
      <c r="K125" s="200" t="s">
        <v>52</v>
      </c>
      <c r="L125" s="145" t="s">
        <v>424</v>
      </c>
      <c r="M125" s="145" t="str">
        <f t="shared" si="8"/>
        <v>OneCo Networks AS</v>
      </c>
      <c r="N1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5" s="268" t="str">
        <f ca="1">IFERROR(IF(
OR(Table1[[#This Row],[Product category]]="Service items",Table1[[#This Row],[Product category]]="Additional services",Table1[[#This Row],[Product category]]="Additional materials"),
"NOK",IF(($N$3&lt;&gt;""),VLOOKUP(Table1[[#This Row],[Product code]],INDIRECT(Aux!$A$1),6,FALSE),"")),"")</f>
        <v/>
      </c>
      <c r="P125" s="41" t="str">
        <f ca="1">IFERROR(IF(AND(Table1[[#This Row],[Quantity]]&lt;&gt;"",Table1[[#This Row],[Currency]]="NOK"),Table1[[#This Row],[Quantity]]*Table1[[#This Row],[Unit Price]],""),"")</f>
        <v/>
      </c>
      <c r="Q125" s="41" t="str">
        <f ca="1">IFERROR(IF(AND(Table1[[#This Row],[ACT_Qty]]&lt;&gt;"",Table1[[#This Row],[Currency]]="NOK"),Table1[[#This Row],[ACT_Qty]]*Table1[[#This Row],[Unit Price]],""),"")</f>
        <v/>
      </c>
      <c r="R125" s="41" t="str">
        <f ca="1">IFERROR(IF(AND(Table1[[#This Row],[Quantity]]&lt;&gt;"",Table1[[#This Row],[Currency]]="EUR"),Table1[[#This Row],[Quantity]]*Table1[[#This Row],[Unit Price]],""),"")</f>
        <v/>
      </c>
      <c r="S125" s="41" t="str">
        <f ca="1">IFERROR(IF(AND(Table1[[#This Row],[ACT_Qty]]&lt;&gt;"",Table1[[#This Row],[Currency]]="EUR"),Table1[[#This Row],[ACT_Qty]]*Table1[[#This Row],[Unit Price]],""),"")</f>
        <v/>
      </c>
      <c r="T125" s="269" t="str">
        <f ca="1">IFERROR(IF(AND(($N$3&lt;&gt;""),INDIRECT(Aux!$D$1)),VLOOKUP(Table1[[#This Row],[Product code]],Aux!B:E,4,FALSE),""),"")</f>
        <v/>
      </c>
      <c r="U125" s="145" t="str">
        <f>IFERROR(IF(OR(Table1[[#This Row],[Quantity]]&lt;&gt;"",Table1[[#This Row],[ACT_Qty]]&lt;&gt;""),Table1[[#This Row],[ACT_Qty]]-Table1[[#This Row],[Quantity]],""),"")</f>
        <v/>
      </c>
      <c r="V125" s="45"/>
      <c r="W125" s="45"/>
      <c r="X125" s="45"/>
    </row>
    <row r="126" spans="1:24" ht="15" customHeight="1">
      <c r="A126" s="143" t="str">
        <f t="shared" si="4"/>
        <v>AKH12345</v>
      </c>
      <c r="B126" s="256" t="s">
        <v>425</v>
      </c>
      <c r="C126" s="143" t="s">
        <v>426</v>
      </c>
      <c r="D126" s="105"/>
      <c r="E126" s="106"/>
      <c r="F126" s="105"/>
      <c r="G126" s="106"/>
      <c r="H126" s="199" t="s">
        <v>427</v>
      </c>
      <c r="I126" s="200" t="s">
        <v>308</v>
      </c>
      <c r="J126" s="200" t="s">
        <v>309</v>
      </c>
      <c r="K126" s="200" t="s">
        <v>52</v>
      </c>
      <c r="L126" s="145" t="s">
        <v>310</v>
      </c>
      <c r="M126" s="145" t="str">
        <f t="shared" si="8"/>
        <v>OneCo Networks AS</v>
      </c>
      <c r="N12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6" s="268" t="str">
        <f ca="1">IFERROR(IF(
OR(Table1[[#This Row],[Product category]]="Service items",Table1[[#This Row],[Product category]]="Additional services",Table1[[#This Row],[Product category]]="Additional materials"),
"NOK",IF(($N$3&lt;&gt;""),VLOOKUP(Table1[[#This Row],[Product code]],INDIRECT(Aux!$A$1),6,FALSE),"")),"")</f>
        <v/>
      </c>
      <c r="P126" s="41" t="str">
        <f ca="1">IFERROR(IF(AND(Table1[[#This Row],[Quantity]]&lt;&gt;"",Table1[[#This Row],[Currency]]="NOK"),Table1[[#This Row],[Quantity]]*Table1[[#This Row],[Unit Price]],""),"")</f>
        <v/>
      </c>
      <c r="Q126" s="41" t="str">
        <f ca="1">IFERROR(IF(AND(Table1[[#This Row],[ACT_Qty]]&lt;&gt;"",Table1[[#This Row],[Currency]]="NOK"),Table1[[#This Row],[ACT_Qty]]*Table1[[#This Row],[Unit Price]],""),"")</f>
        <v/>
      </c>
      <c r="R126" s="41" t="str">
        <f ca="1">IFERROR(IF(AND(Table1[[#This Row],[Quantity]]&lt;&gt;"",Table1[[#This Row],[Currency]]="EUR"),Table1[[#This Row],[Quantity]]*Table1[[#This Row],[Unit Price]],""),"")</f>
        <v/>
      </c>
      <c r="S126" s="41" t="str">
        <f ca="1">IFERROR(IF(AND(Table1[[#This Row],[ACT_Qty]]&lt;&gt;"",Table1[[#This Row],[Currency]]="EUR"),Table1[[#This Row],[ACT_Qty]]*Table1[[#This Row],[Unit Price]],""),"")</f>
        <v/>
      </c>
      <c r="T126" s="269" t="str">
        <f ca="1">IFERROR(IF(AND(($N$3&lt;&gt;""),INDIRECT(Aux!$D$1)),VLOOKUP(Table1[[#This Row],[Product code]],Aux!B:E,4,FALSE),""),"")</f>
        <v/>
      </c>
      <c r="U126" s="145" t="str">
        <f>IFERROR(IF(OR(Table1[[#This Row],[Quantity]]&lt;&gt;"",Table1[[#This Row],[ACT_Qty]]&lt;&gt;""),Table1[[#This Row],[ACT_Qty]]-Table1[[#This Row],[Quantity]],""),"")</f>
        <v/>
      </c>
      <c r="V126" s="45"/>
      <c r="W126" s="45"/>
      <c r="X126" s="45"/>
    </row>
    <row r="127" spans="1:24" ht="15" customHeight="1">
      <c r="A127" s="143" t="str">
        <f t="shared" si="4"/>
        <v>AKH12345</v>
      </c>
      <c r="B127" s="256" t="s">
        <v>428</v>
      </c>
      <c r="C127" s="143" t="s">
        <v>429</v>
      </c>
      <c r="D127" s="105"/>
      <c r="E127" s="106"/>
      <c r="F127" s="105"/>
      <c r="G127" s="106"/>
      <c r="H127" s="199" t="s">
        <v>430</v>
      </c>
      <c r="I127" s="200" t="s">
        <v>335</v>
      </c>
      <c r="J127" s="200" t="s">
        <v>309</v>
      </c>
      <c r="K127" s="200" t="s">
        <v>52</v>
      </c>
      <c r="L127" s="145" t="s">
        <v>310</v>
      </c>
      <c r="M127" s="145" t="str">
        <f t="shared" si="8"/>
        <v>OneCo Networks AS</v>
      </c>
      <c r="N1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7" s="268" t="str">
        <f ca="1">IFERROR(IF(
OR(Table1[[#This Row],[Product category]]="Service items",Table1[[#This Row],[Product category]]="Additional services",Table1[[#This Row],[Product category]]="Additional materials"),
"NOK",IF(($N$3&lt;&gt;""),VLOOKUP(Table1[[#This Row],[Product code]],INDIRECT(Aux!$A$1),6,FALSE),"")),"")</f>
        <v/>
      </c>
      <c r="P127" s="41" t="str">
        <f ca="1">IFERROR(IF(AND(Table1[[#This Row],[Quantity]]&lt;&gt;"",Table1[[#This Row],[Currency]]="NOK"),Table1[[#This Row],[Quantity]]*Table1[[#This Row],[Unit Price]],""),"")</f>
        <v/>
      </c>
      <c r="Q127" s="41" t="str">
        <f ca="1">IFERROR(IF(AND(Table1[[#This Row],[ACT_Qty]]&lt;&gt;"",Table1[[#This Row],[Currency]]="NOK"),Table1[[#This Row],[ACT_Qty]]*Table1[[#This Row],[Unit Price]],""),"")</f>
        <v/>
      </c>
      <c r="R127" s="41" t="str">
        <f ca="1">IFERROR(IF(AND(Table1[[#This Row],[Quantity]]&lt;&gt;"",Table1[[#This Row],[Currency]]="EUR"),Table1[[#This Row],[Quantity]]*Table1[[#This Row],[Unit Price]],""),"")</f>
        <v/>
      </c>
      <c r="S127" s="41" t="str">
        <f ca="1">IFERROR(IF(AND(Table1[[#This Row],[ACT_Qty]]&lt;&gt;"",Table1[[#This Row],[Currency]]="EUR"),Table1[[#This Row],[ACT_Qty]]*Table1[[#This Row],[Unit Price]],""),"")</f>
        <v/>
      </c>
      <c r="T127" s="269" t="str">
        <f ca="1">IFERROR(IF(AND(($N$3&lt;&gt;""),INDIRECT(Aux!$D$1)),VLOOKUP(Table1[[#This Row],[Product code]],Aux!B:E,4,FALSE),""),"")</f>
        <v/>
      </c>
      <c r="U127" s="145" t="str">
        <f>IFERROR(IF(OR(Table1[[#This Row],[Quantity]]&lt;&gt;"",Table1[[#This Row],[ACT_Qty]]&lt;&gt;""),Table1[[#This Row],[ACT_Qty]]-Table1[[#This Row],[Quantity]],""),"")</f>
        <v/>
      </c>
      <c r="V127" s="45"/>
      <c r="W127" s="45"/>
      <c r="X127" s="45"/>
    </row>
    <row r="128" spans="1:24" ht="15" customHeight="1">
      <c r="A128" s="143" t="str">
        <f t="shared" si="4"/>
        <v>AKH12345</v>
      </c>
      <c r="B128" s="256" t="s">
        <v>431</v>
      </c>
      <c r="C128" s="143" t="s">
        <v>432</v>
      </c>
      <c r="D128" s="105"/>
      <c r="E128" s="106"/>
      <c r="F128" s="105"/>
      <c r="G128" s="106"/>
      <c r="H128" s="199"/>
      <c r="I128" s="200" t="s">
        <v>308</v>
      </c>
      <c r="J128" s="200" t="s">
        <v>433</v>
      </c>
      <c r="K128" s="200" t="s">
        <v>52</v>
      </c>
      <c r="L128" s="145" t="s">
        <v>310</v>
      </c>
      <c r="M128" s="145" t="str">
        <f t="shared" ref="M128:M135" si="10">IF($C$3&lt;&gt;"",$C$3,"")</f>
        <v>OneCo Networks AS</v>
      </c>
      <c r="N12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8" s="268" t="str">
        <f ca="1">IFERROR(IF(
OR(Table1[[#This Row],[Product category]]="Service items",Table1[[#This Row],[Product category]]="Additional services",Table1[[#This Row],[Product category]]="Additional materials"),
"NOK",IF(($N$3&lt;&gt;""),VLOOKUP(Table1[[#This Row],[Product code]],INDIRECT(Aux!$A$1),6,FALSE),"")),"")</f>
        <v/>
      </c>
      <c r="P128" s="41" t="str">
        <f ca="1">IFERROR(IF(AND(Table1[[#This Row],[Quantity]]&lt;&gt;"",Table1[[#This Row],[Currency]]="NOK"),Table1[[#This Row],[Quantity]]*Table1[[#This Row],[Unit Price]],""),"")</f>
        <v/>
      </c>
      <c r="Q128" s="41" t="str">
        <f ca="1">IFERROR(IF(AND(Table1[[#This Row],[ACT_Qty]]&lt;&gt;"",Table1[[#This Row],[Currency]]="NOK"),Table1[[#This Row],[ACT_Qty]]*Table1[[#This Row],[Unit Price]],""),"")</f>
        <v/>
      </c>
      <c r="R128" s="41" t="str">
        <f ca="1">IFERROR(IF(AND(Table1[[#This Row],[Quantity]]&lt;&gt;"",Table1[[#This Row],[Currency]]="EUR"),Table1[[#This Row],[Quantity]]*Table1[[#This Row],[Unit Price]],""),"")</f>
        <v/>
      </c>
      <c r="S128" s="41" t="str">
        <f ca="1">IFERROR(IF(AND(Table1[[#This Row],[ACT_Qty]]&lt;&gt;"",Table1[[#This Row],[Currency]]="EUR"),Table1[[#This Row],[ACT_Qty]]*Table1[[#This Row],[Unit Price]],""),"")</f>
        <v/>
      </c>
      <c r="T128" s="269" t="str">
        <f ca="1">IFERROR(IF(AND(($N$3&lt;&gt;""),INDIRECT(Aux!$D$1)),VLOOKUP(Table1[[#This Row],[Product code]],Aux!B:E,4,FALSE),""),"")</f>
        <v/>
      </c>
      <c r="U128" s="145" t="str">
        <f>IFERROR(IF(OR(Table1[[#This Row],[Quantity]]&lt;&gt;"",Table1[[#This Row],[ACT_Qty]]&lt;&gt;""),Table1[[#This Row],[ACT_Qty]]-Table1[[#This Row],[Quantity]],""),"")</f>
        <v/>
      </c>
      <c r="V128" s="45"/>
      <c r="W128" s="45"/>
      <c r="X128" s="45"/>
    </row>
    <row r="129" spans="1:24" ht="15" customHeight="1">
      <c r="A129" s="143" t="str">
        <f t="shared" si="4"/>
        <v>AKH12345</v>
      </c>
      <c r="B129" s="256" t="s">
        <v>434</v>
      </c>
      <c r="C129" s="143" t="s">
        <v>435</v>
      </c>
      <c r="D129" s="105"/>
      <c r="E129" s="106"/>
      <c r="F129" s="105"/>
      <c r="G129" s="106"/>
      <c r="H129" s="199"/>
      <c r="I129" s="200" t="s">
        <v>308</v>
      </c>
      <c r="J129" s="200" t="s">
        <v>433</v>
      </c>
      <c r="K129" s="200" t="s">
        <v>52</v>
      </c>
      <c r="L129" s="145" t="s">
        <v>310</v>
      </c>
      <c r="M129" s="145" t="str">
        <f t="shared" si="10"/>
        <v>OneCo Networks AS</v>
      </c>
      <c r="N1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29" s="268" t="str">
        <f ca="1">IFERROR(IF(
OR(Table1[[#This Row],[Product category]]="Service items",Table1[[#This Row],[Product category]]="Additional services",Table1[[#This Row],[Product category]]="Additional materials"),
"NOK",IF(($N$3&lt;&gt;""),VLOOKUP(Table1[[#This Row],[Product code]],INDIRECT(Aux!$A$1),6,FALSE),"")),"")</f>
        <v/>
      </c>
      <c r="P129" s="41" t="str">
        <f ca="1">IFERROR(IF(AND(Table1[[#This Row],[Quantity]]&lt;&gt;"",Table1[[#This Row],[Currency]]="NOK"),Table1[[#This Row],[Quantity]]*Table1[[#This Row],[Unit Price]],""),"")</f>
        <v/>
      </c>
      <c r="Q129" s="41" t="str">
        <f ca="1">IFERROR(IF(AND(Table1[[#This Row],[ACT_Qty]]&lt;&gt;"",Table1[[#This Row],[Currency]]="NOK"),Table1[[#This Row],[ACT_Qty]]*Table1[[#This Row],[Unit Price]],""),"")</f>
        <v/>
      </c>
      <c r="R129" s="41" t="str">
        <f ca="1">IFERROR(IF(AND(Table1[[#This Row],[Quantity]]&lt;&gt;"",Table1[[#This Row],[Currency]]="EUR"),Table1[[#This Row],[Quantity]]*Table1[[#This Row],[Unit Price]],""),"")</f>
        <v/>
      </c>
      <c r="S129" s="41" t="str">
        <f ca="1">IFERROR(IF(AND(Table1[[#This Row],[ACT_Qty]]&lt;&gt;"",Table1[[#This Row],[Currency]]="EUR"),Table1[[#This Row],[ACT_Qty]]*Table1[[#This Row],[Unit Price]],""),"")</f>
        <v/>
      </c>
      <c r="T129" s="269" t="str">
        <f ca="1">IFERROR(IF(AND(($N$3&lt;&gt;""),INDIRECT(Aux!$D$1)),VLOOKUP(Table1[[#This Row],[Product code]],Aux!B:E,4,FALSE),""),"")</f>
        <v/>
      </c>
      <c r="U129" s="145" t="str">
        <f>IFERROR(IF(OR(Table1[[#This Row],[Quantity]]&lt;&gt;"",Table1[[#This Row],[ACT_Qty]]&lt;&gt;""),Table1[[#This Row],[ACT_Qty]]-Table1[[#This Row],[Quantity]],""),"")</f>
        <v/>
      </c>
      <c r="V129" s="45"/>
      <c r="W129" s="45"/>
      <c r="X129" s="45"/>
    </row>
    <row r="130" spans="1:24" customFormat="1" ht="15" customHeight="1">
      <c r="A130" s="143" t="str">
        <f t="shared" si="4"/>
        <v>AKH12345</v>
      </c>
      <c r="B130" s="256" t="s">
        <v>436</v>
      </c>
      <c r="C130" s="143" t="s">
        <v>437</v>
      </c>
      <c r="D130" s="105"/>
      <c r="E130" s="106"/>
      <c r="F130" s="105"/>
      <c r="G130" s="106"/>
      <c r="H130" s="199"/>
      <c r="I130" s="200" t="s">
        <v>308</v>
      </c>
      <c r="J130" s="200" t="s">
        <v>433</v>
      </c>
      <c r="K130" s="200" t="s">
        <v>52</v>
      </c>
      <c r="L130" s="145" t="s">
        <v>310</v>
      </c>
      <c r="M130" s="145" t="str">
        <f t="shared" si="10"/>
        <v>OneCo Networks AS</v>
      </c>
      <c r="N130" s="40"/>
      <c r="O130" s="268"/>
      <c r="P130" s="41"/>
      <c r="Q130" s="41"/>
      <c r="R130" s="41"/>
      <c r="S130" s="41"/>
      <c r="T130" s="269"/>
      <c r="U130" s="145"/>
      <c r="V130" s="45"/>
      <c r="W130" s="45"/>
      <c r="X130" s="45"/>
    </row>
    <row r="131" spans="1:24" ht="15" customHeight="1">
      <c r="A131" s="143" t="str">
        <f t="shared" si="4"/>
        <v>AKH12345</v>
      </c>
      <c r="B131" s="256" t="s">
        <v>438</v>
      </c>
      <c r="C131" s="143" t="s">
        <v>439</v>
      </c>
      <c r="D131" s="105"/>
      <c r="E131" s="106"/>
      <c r="F131" s="105"/>
      <c r="G131" s="106"/>
      <c r="H131" s="199"/>
      <c r="I131" s="200" t="s">
        <v>308</v>
      </c>
      <c r="J131" s="200" t="s">
        <v>433</v>
      </c>
      <c r="K131" s="200" t="s">
        <v>52</v>
      </c>
      <c r="L131" s="145" t="s">
        <v>310</v>
      </c>
      <c r="M131" s="145" t="str">
        <f t="shared" si="10"/>
        <v>OneCo Networks AS</v>
      </c>
      <c r="N1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1" s="268" t="str">
        <f ca="1">IFERROR(IF(
OR(Table1[[#This Row],[Product category]]="Service items",Table1[[#This Row],[Product category]]="Additional services",Table1[[#This Row],[Product category]]="Additional materials"),
"NOK",IF(($N$3&lt;&gt;""),VLOOKUP(Table1[[#This Row],[Product code]],INDIRECT(Aux!$A$1),6,FALSE),"")),"")</f>
        <v/>
      </c>
      <c r="P131" s="41" t="str">
        <f ca="1">IFERROR(IF(AND(Table1[[#This Row],[Quantity]]&lt;&gt;"",Table1[[#This Row],[Currency]]="NOK"),Table1[[#This Row],[Quantity]]*Table1[[#This Row],[Unit Price]],""),"")</f>
        <v/>
      </c>
      <c r="Q131" s="41" t="str">
        <f ca="1">IFERROR(IF(AND(Table1[[#This Row],[ACT_Qty]]&lt;&gt;"",Table1[[#This Row],[Currency]]="NOK"),Table1[[#This Row],[ACT_Qty]]*Table1[[#This Row],[Unit Price]],""),"")</f>
        <v/>
      </c>
      <c r="R131" s="41" t="str">
        <f ca="1">IFERROR(IF(AND(Table1[[#This Row],[Quantity]]&lt;&gt;"",Table1[[#This Row],[Currency]]="EUR"),Table1[[#This Row],[Quantity]]*Table1[[#This Row],[Unit Price]],""),"")</f>
        <v/>
      </c>
      <c r="S131" s="41" t="str">
        <f ca="1">IFERROR(IF(AND(Table1[[#This Row],[ACT_Qty]]&lt;&gt;"",Table1[[#This Row],[Currency]]="EUR"),Table1[[#This Row],[ACT_Qty]]*Table1[[#This Row],[Unit Price]],""),"")</f>
        <v/>
      </c>
      <c r="T131" s="269" t="str">
        <f ca="1">IFERROR(IF(AND(($N$3&lt;&gt;""),INDIRECT(Aux!$D$1)),VLOOKUP(Table1[[#This Row],[Product code]],Aux!B:E,4,FALSE),""),"")</f>
        <v/>
      </c>
      <c r="U131" s="145" t="str">
        <f>IFERROR(IF(OR(Table1[[#This Row],[Quantity]]&lt;&gt;"",Table1[[#This Row],[ACT_Qty]]&lt;&gt;""),Table1[[#This Row],[ACT_Qty]]-Table1[[#This Row],[Quantity]],""),"")</f>
        <v/>
      </c>
      <c r="V131" s="45"/>
      <c r="W131" s="45"/>
      <c r="X131" s="45"/>
    </row>
    <row r="132" spans="1:24" ht="15" customHeight="1">
      <c r="A132" s="143" t="str">
        <f t="shared" si="4"/>
        <v>AKH12345</v>
      </c>
      <c r="B132" s="256" t="s">
        <v>440</v>
      </c>
      <c r="C132" s="143" t="s">
        <v>441</v>
      </c>
      <c r="D132" s="105"/>
      <c r="E132" s="106"/>
      <c r="F132" s="105"/>
      <c r="G132" s="106"/>
      <c r="H132" s="199" t="s">
        <v>442</v>
      </c>
      <c r="I132" s="200" t="s">
        <v>308</v>
      </c>
      <c r="J132" s="200" t="s">
        <v>433</v>
      </c>
      <c r="K132" s="200" t="s">
        <v>52</v>
      </c>
      <c r="L132" s="145" t="s">
        <v>310</v>
      </c>
      <c r="M132" s="145" t="str">
        <f t="shared" si="10"/>
        <v>OneCo Networks AS</v>
      </c>
      <c r="N13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2" s="268" t="str">
        <f ca="1">IFERROR(IF(
OR(Table1[[#This Row],[Product category]]="Service items",Table1[[#This Row],[Product category]]="Additional services",Table1[[#This Row],[Product category]]="Additional materials"),
"NOK",IF(($N$3&lt;&gt;""),VLOOKUP(Table1[[#This Row],[Product code]],INDIRECT(Aux!$A$1),6,FALSE),"")),"")</f>
        <v/>
      </c>
      <c r="P132" s="41" t="str">
        <f ca="1">IFERROR(IF(AND(Table1[[#This Row],[Quantity]]&lt;&gt;"",Table1[[#This Row],[Currency]]="NOK"),Table1[[#This Row],[Quantity]]*Table1[[#This Row],[Unit Price]],""),"")</f>
        <v/>
      </c>
      <c r="Q132" s="41" t="str">
        <f ca="1">IFERROR(IF(AND(Table1[[#This Row],[ACT_Qty]]&lt;&gt;"",Table1[[#This Row],[Currency]]="NOK"),Table1[[#This Row],[ACT_Qty]]*Table1[[#This Row],[Unit Price]],""),"")</f>
        <v/>
      </c>
      <c r="R132" s="41" t="str">
        <f ca="1">IFERROR(IF(AND(Table1[[#This Row],[Quantity]]&lt;&gt;"",Table1[[#This Row],[Currency]]="EUR"),Table1[[#This Row],[Quantity]]*Table1[[#This Row],[Unit Price]],""),"")</f>
        <v/>
      </c>
      <c r="S132" s="41" t="str">
        <f ca="1">IFERROR(IF(AND(Table1[[#This Row],[ACT_Qty]]&lt;&gt;"",Table1[[#This Row],[Currency]]="EUR"),Table1[[#This Row],[ACT_Qty]]*Table1[[#This Row],[Unit Price]],""),"")</f>
        <v/>
      </c>
      <c r="T132" s="269" t="str">
        <f ca="1">IFERROR(IF(AND(($N$3&lt;&gt;""),INDIRECT(Aux!$D$1)),VLOOKUP(Table1[[#This Row],[Product code]],Aux!B:E,4,FALSE),""),"")</f>
        <v/>
      </c>
      <c r="U132" s="145" t="str">
        <f>IFERROR(IF(OR(Table1[[#This Row],[Quantity]]&lt;&gt;"",Table1[[#This Row],[ACT_Qty]]&lt;&gt;""),Table1[[#This Row],[ACT_Qty]]-Table1[[#This Row],[Quantity]],""),"")</f>
        <v/>
      </c>
      <c r="V132" s="45"/>
      <c r="W132" s="45"/>
      <c r="X132" s="45"/>
    </row>
    <row r="133" spans="1:24" ht="15" customHeight="1">
      <c r="A133" s="143" t="str">
        <f t="shared" si="4"/>
        <v>AKH12345</v>
      </c>
      <c r="B133" s="256" t="s">
        <v>443</v>
      </c>
      <c r="C133" s="143" t="s">
        <v>444</v>
      </c>
      <c r="D133" s="105"/>
      <c r="E133" s="106"/>
      <c r="F133" s="105"/>
      <c r="G133" s="106"/>
      <c r="H133" s="199" t="s">
        <v>445</v>
      </c>
      <c r="I133" s="200" t="s">
        <v>308</v>
      </c>
      <c r="J133" s="200" t="s">
        <v>433</v>
      </c>
      <c r="K133" s="200" t="s">
        <v>52</v>
      </c>
      <c r="L133" s="145" t="s">
        <v>310</v>
      </c>
      <c r="M133" s="145" t="str">
        <f t="shared" si="10"/>
        <v>OneCo Networks AS</v>
      </c>
      <c r="N1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3" s="268" t="str">
        <f ca="1">IFERROR(IF(
OR(Table1[[#This Row],[Product category]]="Service items",Table1[[#This Row],[Product category]]="Additional services",Table1[[#This Row],[Product category]]="Additional materials"),
"NOK",IF(($N$3&lt;&gt;""),VLOOKUP(Table1[[#This Row],[Product code]],INDIRECT(Aux!$A$1),6,FALSE),"")),"")</f>
        <v/>
      </c>
      <c r="P133" s="41" t="str">
        <f ca="1">IFERROR(IF(AND(Table1[[#This Row],[Quantity]]&lt;&gt;"",Table1[[#This Row],[Currency]]="NOK"),Table1[[#This Row],[Quantity]]*Table1[[#This Row],[Unit Price]],""),"")</f>
        <v/>
      </c>
      <c r="Q133" s="41" t="str">
        <f ca="1">IFERROR(IF(AND(Table1[[#This Row],[ACT_Qty]]&lt;&gt;"",Table1[[#This Row],[Currency]]="NOK"),Table1[[#This Row],[ACT_Qty]]*Table1[[#This Row],[Unit Price]],""),"")</f>
        <v/>
      </c>
      <c r="R133" s="41" t="str">
        <f ca="1">IFERROR(IF(AND(Table1[[#This Row],[Quantity]]&lt;&gt;"",Table1[[#This Row],[Currency]]="EUR"),Table1[[#This Row],[Quantity]]*Table1[[#This Row],[Unit Price]],""),"")</f>
        <v/>
      </c>
      <c r="S133" s="41" t="str">
        <f ca="1">IFERROR(IF(AND(Table1[[#This Row],[ACT_Qty]]&lt;&gt;"",Table1[[#This Row],[Currency]]="EUR"),Table1[[#This Row],[ACT_Qty]]*Table1[[#This Row],[Unit Price]],""),"")</f>
        <v/>
      </c>
      <c r="T133" s="269" t="str">
        <f ca="1">IFERROR(IF(AND(($N$3&lt;&gt;""),INDIRECT(Aux!$D$1)),VLOOKUP(Table1[[#This Row],[Product code]],Aux!B:E,4,FALSE),""),"")</f>
        <v/>
      </c>
      <c r="U133" s="145" t="str">
        <f>IFERROR(IF(OR(Table1[[#This Row],[Quantity]]&lt;&gt;"",Table1[[#This Row],[ACT_Qty]]&lt;&gt;""),Table1[[#This Row],[ACT_Qty]]-Table1[[#This Row],[Quantity]],""),"")</f>
        <v/>
      </c>
      <c r="V133" s="45"/>
      <c r="W133" s="45"/>
      <c r="X133" s="45"/>
    </row>
    <row r="134" spans="1:24" ht="15" customHeight="1">
      <c r="A134" s="143" t="str">
        <f t="shared" si="4"/>
        <v>AKH12345</v>
      </c>
      <c r="B134" s="256" t="s">
        <v>446</v>
      </c>
      <c r="C134" s="143" t="s">
        <v>447</v>
      </c>
      <c r="D134" s="105"/>
      <c r="E134" s="106"/>
      <c r="F134" s="105"/>
      <c r="G134" s="106"/>
      <c r="H134" s="199"/>
      <c r="I134" s="200" t="s">
        <v>308</v>
      </c>
      <c r="J134" s="200" t="s">
        <v>433</v>
      </c>
      <c r="K134" s="200" t="s">
        <v>52</v>
      </c>
      <c r="L134" s="145" t="s">
        <v>310</v>
      </c>
      <c r="M134" s="145" t="str">
        <f t="shared" si="10"/>
        <v>OneCo Networks AS</v>
      </c>
      <c r="N13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4" s="268" t="str">
        <f ca="1">IFERROR(IF(
OR(Table1[[#This Row],[Product category]]="Service items",Table1[[#This Row],[Product category]]="Additional services",Table1[[#This Row],[Product category]]="Additional materials"),
"NOK",IF(($N$3&lt;&gt;""),VLOOKUP(Table1[[#This Row],[Product code]],INDIRECT(Aux!$A$1),6,FALSE),"")),"")</f>
        <v/>
      </c>
      <c r="P134" s="41" t="str">
        <f ca="1">IFERROR(IF(AND(Table1[[#This Row],[Quantity]]&lt;&gt;"",Table1[[#This Row],[Currency]]="NOK"),Table1[[#This Row],[Quantity]]*Table1[[#This Row],[Unit Price]],""),"")</f>
        <v/>
      </c>
      <c r="Q134" s="41" t="str">
        <f ca="1">IFERROR(IF(AND(Table1[[#This Row],[ACT_Qty]]&lt;&gt;"",Table1[[#This Row],[Currency]]="NOK"),Table1[[#This Row],[ACT_Qty]]*Table1[[#This Row],[Unit Price]],""),"")</f>
        <v/>
      </c>
      <c r="R134" s="41" t="str">
        <f ca="1">IFERROR(IF(AND(Table1[[#This Row],[Quantity]]&lt;&gt;"",Table1[[#This Row],[Currency]]="EUR"),Table1[[#This Row],[Quantity]]*Table1[[#This Row],[Unit Price]],""),"")</f>
        <v/>
      </c>
      <c r="S134" s="41" t="str">
        <f ca="1">IFERROR(IF(AND(Table1[[#This Row],[ACT_Qty]]&lt;&gt;"",Table1[[#This Row],[Currency]]="EUR"),Table1[[#This Row],[ACT_Qty]]*Table1[[#This Row],[Unit Price]],""),"")</f>
        <v/>
      </c>
      <c r="T134" s="269" t="str">
        <f ca="1">IFERROR(IF(AND(($N$3&lt;&gt;""),INDIRECT(Aux!$D$1)),VLOOKUP(Table1[[#This Row],[Product code]],Aux!B:E,4,FALSE),""),"")</f>
        <v/>
      </c>
      <c r="U134" s="145" t="str">
        <f>IFERROR(IF(OR(Table1[[#This Row],[Quantity]]&lt;&gt;"",Table1[[#This Row],[ACT_Qty]]&lt;&gt;""),Table1[[#This Row],[ACT_Qty]]-Table1[[#This Row],[Quantity]],""),"")</f>
        <v/>
      </c>
      <c r="V134" s="45"/>
      <c r="W134" s="45"/>
      <c r="X134" s="45"/>
    </row>
    <row r="135" spans="1:24" ht="15" customHeight="1">
      <c r="A135" s="143" t="str">
        <f t="shared" si="4"/>
        <v>AKH12345</v>
      </c>
      <c r="B135" s="256">
        <v>3799079655</v>
      </c>
      <c r="C135" s="143" t="s">
        <v>448</v>
      </c>
      <c r="D135" s="105"/>
      <c r="E135" s="106"/>
      <c r="F135" s="105"/>
      <c r="G135" s="106"/>
      <c r="H135" s="199"/>
      <c r="I135" s="200" t="s">
        <v>308</v>
      </c>
      <c r="J135" s="200" t="s">
        <v>433</v>
      </c>
      <c r="K135" s="200" t="s">
        <v>52</v>
      </c>
      <c r="L135" s="145" t="s">
        <v>310</v>
      </c>
      <c r="M135" s="145" t="str">
        <f t="shared" si="10"/>
        <v>OneCo Networks AS</v>
      </c>
      <c r="N1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5" s="268" t="str">
        <f ca="1">IFERROR(IF(
OR(Table1[[#This Row],[Product category]]="Service items",Table1[[#This Row],[Product category]]="Additional services",Table1[[#This Row],[Product category]]="Additional materials"),
"NOK",IF(($N$3&lt;&gt;""),VLOOKUP(Table1[[#This Row],[Product code]],INDIRECT(Aux!$A$1),6,FALSE),"")),"")</f>
        <v/>
      </c>
      <c r="P135" s="41" t="str">
        <f ca="1">IFERROR(IF(AND(Table1[[#This Row],[Quantity]]&lt;&gt;"",Table1[[#This Row],[Currency]]="NOK"),Table1[[#This Row],[Quantity]]*Table1[[#This Row],[Unit Price]],""),"")</f>
        <v/>
      </c>
      <c r="Q135" s="41" t="str">
        <f ca="1">IFERROR(IF(AND(Table1[[#This Row],[ACT_Qty]]&lt;&gt;"",Table1[[#This Row],[Currency]]="NOK"),Table1[[#This Row],[ACT_Qty]]*Table1[[#This Row],[Unit Price]],""),"")</f>
        <v/>
      </c>
      <c r="R135" s="41" t="str">
        <f ca="1">IFERROR(IF(AND(Table1[[#This Row],[Quantity]]&lt;&gt;"",Table1[[#This Row],[Currency]]="EUR"),Table1[[#This Row],[Quantity]]*Table1[[#This Row],[Unit Price]],""),"")</f>
        <v/>
      </c>
      <c r="S135" s="41" t="str">
        <f ca="1">IFERROR(IF(AND(Table1[[#This Row],[ACT_Qty]]&lt;&gt;"",Table1[[#This Row],[Currency]]="EUR"),Table1[[#This Row],[ACT_Qty]]*Table1[[#This Row],[Unit Price]],""),"")</f>
        <v/>
      </c>
      <c r="T135" s="269" t="str">
        <f ca="1">IFERROR(IF(AND(($N$3&lt;&gt;""),INDIRECT(Aux!$D$1)),VLOOKUP(Table1[[#This Row],[Product code]],Aux!B:E,4,FALSE),""),"")</f>
        <v/>
      </c>
      <c r="U135" s="145" t="str">
        <f>IFERROR(IF(OR(Table1[[#This Row],[Quantity]]&lt;&gt;"",Table1[[#This Row],[ACT_Qty]]&lt;&gt;""),Table1[[#This Row],[ACT_Qty]]-Table1[[#This Row],[Quantity]],""),"")</f>
        <v/>
      </c>
      <c r="V135" s="45"/>
      <c r="W135" s="45"/>
      <c r="X135" s="45"/>
    </row>
    <row r="136" spans="1:24" ht="15" customHeight="1">
      <c r="A136" s="143" t="str">
        <f t="shared" si="4"/>
        <v>AKH12345</v>
      </c>
      <c r="B136" s="256" t="s">
        <v>449</v>
      </c>
      <c r="C136" s="143" t="s">
        <v>450</v>
      </c>
      <c r="D136" s="105"/>
      <c r="E136" s="106"/>
      <c r="F136" s="105"/>
      <c r="G136" s="106"/>
      <c r="H136" s="199" t="s">
        <v>451</v>
      </c>
      <c r="I136" s="200" t="s">
        <v>364</v>
      </c>
      <c r="J136" s="200" t="s">
        <v>365</v>
      </c>
      <c r="K136" s="200" t="s">
        <v>52</v>
      </c>
      <c r="L136" s="145" t="s">
        <v>310</v>
      </c>
      <c r="M136" s="145" t="str">
        <f t="shared" ref="M136:M156" si="11">IF($C$3&lt;&gt;"",$C$3,"")</f>
        <v>OneCo Networks AS</v>
      </c>
      <c r="N13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6" s="268" t="str">
        <f ca="1">IFERROR(IF(
OR(Table1[[#This Row],[Product category]]="Service items",Table1[[#This Row],[Product category]]="Additional services",Table1[[#This Row],[Product category]]="Additional materials"),
"NOK",IF(($N$3&lt;&gt;""),VLOOKUP(Table1[[#This Row],[Product code]],INDIRECT(Aux!$A$1),6,FALSE),"")),"")</f>
        <v/>
      </c>
      <c r="P136" s="41" t="str">
        <f ca="1">IFERROR(IF(AND(Table1[[#This Row],[Quantity]]&lt;&gt;"",Table1[[#This Row],[Currency]]="NOK"),Table1[[#This Row],[Quantity]]*Table1[[#This Row],[Unit Price]],""),"")</f>
        <v/>
      </c>
      <c r="Q136" s="41" t="str">
        <f ca="1">IFERROR(IF(AND(Table1[[#This Row],[ACT_Qty]]&lt;&gt;"",Table1[[#This Row],[Currency]]="NOK"),Table1[[#This Row],[ACT_Qty]]*Table1[[#This Row],[Unit Price]],""),"")</f>
        <v/>
      </c>
      <c r="R136" s="41" t="str">
        <f ca="1">IFERROR(IF(AND(Table1[[#This Row],[Quantity]]&lt;&gt;"",Table1[[#This Row],[Currency]]="EUR"),Table1[[#This Row],[Quantity]]*Table1[[#This Row],[Unit Price]],""),"")</f>
        <v/>
      </c>
      <c r="S136" s="41" t="str">
        <f ca="1">IFERROR(IF(AND(Table1[[#This Row],[ACT_Qty]]&lt;&gt;"",Table1[[#This Row],[Currency]]="EUR"),Table1[[#This Row],[ACT_Qty]]*Table1[[#This Row],[Unit Price]],""),"")</f>
        <v/>
      </c>
      <c r="T136" s="269" t="str">
        <f ca="1">IFERROR(IF(AND(($N$3&lt;&gt;""),INDIRECT(Aux!$D$1)),VLOOKUP(Table1[[#This Row],[Product code]],Aux!B:E,4,FALSE),""),"")</f>
        <v/>
      </c>
      <c r="U136" s="145" t="str">
        <f>IFERROR(IF(OR(Table1[[#This Row],[Quantity]]&lt;&gt;"",Table1[[#This Row],[ACT_Qty]]&lt;&gt;""),Table1[[#This Row],[ACT_Qty]]-Table1[[#This Row],[Quantity]],""),"")</f>
        <v/>
      </c>
      <c r="V136" s="45"/>
      <c r="W136" s="45"/>
      <c r="X136" s="45"/>
    </row>
    <row r="137" spans="1:24" ht="15" customHeight="1">
      <c r="A137" s="143" t="str">
        <f t="shared" si="4"/>
        <v>AKH12345</v>
      </c>
      <c r="B137" s="256">
        <v>3799079654</v>
      </c>
      <c r="C137" s="143" t="s">
        <v>452</v>
      </c>
      <c r="D137" s="105"/>
      <c r="E137" s="106"/>
      <c r="F137" s="105"/>
      <c r="G137" s="106"/>
      <c r="H137" s="199" t="s">
        <v>453</v>
      </c>
      <c r="I137" s="200" t="s">
        <v>308</v>
      </c>
      <c r="J137" s="200" t="s">
        <v>309</v>
      </c>
      <c r="K137" s="200" t="s">
        <v>52</v>
      </c>
      <c r="L137" s="145" t="s">
        <v>310</v>
      </c>
      <c r="M137" s="145" t="str">
        <f t="shared" si="11"/>
        <v>OneCo Networks AS</v>
      </c>
      <c r="N1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7" s="268" t="str">
        <f ca="1">IFERROR(IF(
OR(Table1[[#This Row],[Product category]]="Service items",Table1[[#This Row],[Product category]]="Additional services",Table1[[#This Row],[Product category]]="Additional materials"),
"NOK",IF(($N$3&lt;&gt;""),VLOOKUP(Table1[[#This Row],[Product code]],INDIRECT(Aux!$A$1),6,FALSE),"")),"")</f>
        <v/>
      </c>
      <c r="P137" s="41" t="str">
        <f ca="1">IFERROR(IF(AND(Table1[[#This Row],[Quantity]]&lt;&gt;"",Table1[[#This Row],[Currency]]="NOK"),Table1[[#This Row],[Quantity]]*Table1[[#This Row],[Unit Price]],""),"")</f>
        <v/>
      </c>
      <c r="Q137" s="41" t="str">
        <f ca="1">IFERROR(IF(AND(Table1[[#This Row],[ACT_Qty]]&lt;&gt;"",Table1[[#This Row],[Currency]]="NOK"),Table1[[#This Row],[ACT_Qty]]*Table1[[#This Row],[Unit Price]],""),"")</f>
        <v/>
      </c>
      <c r="R137" s="41" t="str">
        <f ca="1">IFERROR(IF(AND(Table1[[#This Row],[Quantity]]&lt;&gt;"",Table1[[#This Row],[Currency]]="EUR"),Table1[[#This Row],[Quantity]]*Table1[[#This Row],[Unit Price]],""),"")</f>
        <v/>
      </c>
      <c r="S137" s="41" t="str">
        <f ca="1">IFERROR(IF(AND(Table1[[#This Row],[ACT_Qty]]&lt;&gt;"",Table1[[#This Row],[Currency]]="EUR"),Table1[[#This Row],[ACT_Qty]]*Table1[[#This Row],[Unit Price]],""),"")</f>
        <v/>
      </c>
      <c r="T137" s="269" t="str">
        <f ca="1">IFERROR(IF(AND(($N$3&lt;&gt;""),INDIRECT(Aux!$D$1)),VLOOKUP(Table1[[#This Row],[Product code]],Aux!B:E,4,FALSE),""),"")</f>
        <v/>
      </c>
      <c r="U137" s="145" t="str">
        <f>IFERROR(IF(OR(Table1[[#This Row],[Quantity]]&lt;&gt;"",Table1[[#This Row],[ACT_Qty]]&lt;&gt;""),Table1[[#This Row],[ACT_Qty]]-Table1[[#This Row],[Quantity]],""),"")</f>
        <v/>
      </c>
      <c r="V137" s="45"/>
      <c r="W137" s="45"/>
      <c r="X137" s="45"/>
    </row>
    <row r="138" spans="1:24" ht="15.75" customHeight="1">
      <c r="A138" s="143" t="str">
        <f t="shared" si="4"/>
        <v>AKH12345</v>
      </c>
      <c r="B138" s="256">
        <v>3799079649</v>
      </c>
      <c r="C138" s="143" t="s">
        <v>454</v>
      </c>
      <c r="D138" s="105"/>
      <c r="E138" s="106"/>
      <c r="F138" s="105"/>
      <c r="G138" s="106"/>
      <c r="H138" s="199" t="s">
        <v>455</v>
      </c>
      <c r="I138" s="200" t="s">
        <v>308</v>
      </c>
      <c r="J138" s="200" t="s">
        <v>309</v>
      </c>
      <c r="K138" s="200" t="s">
        <v>52</v>
      </c>
      <c r="L138" s="145" t="s">
        <v>310</v>
      </c>
      <c r="M138" s="145" t="str">
        <f t="shared" si="11"/>
        <v>OneCo Networks AS</v>
      </c>
      <c r="N13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8" s="268" t="str">
        <f ca="1">IFERROR(IF(
OR(Table1[[#This Row],[Product category]]="Service items",Table1[[#This Row],[Product category]]="Additional services",Table1[[#This Row],[Product category]]="Additional materials"),
"NOK",IF(($N$3&lt;&gt;""),VLOOKUP(Table1[[#This Row],[Product code]],INDIRECT(Aux!$A$1),6,FALSE),"")),"")</f>
        <v/>
      </c>
      <c r="P138" s="41" t="str">
        <f ca="1">IFERROR(IF(AND(Table1[[#This Row],[Quantity]]&lt;&gt;"",Table1[[#This Row],[Currency]]="NOK"),Table1[[#This Row],[Quantity]]*Table1[[#This Row],[Unit Price]],""),"")</f>
        <v/>
      </c>
      <c r="Q138" s="41" t="str">
        <f ca="1">IFERROR(IF(AND(Table1[[#This Row],[ACT_Qty]]&lt;&gt;"",Table1[[#This Row],[Currency]]="NOK"),Table1[[#This Row],[ACT_Qty]]*Table1[[#This Row],[Unit Price]],""),"")</f>
        <v/>
      </c>
      <c r="R138" s="41" t="str">
        <f ca="1">IFERROR(IF(AND(Table1[[#This Row],[Quantity]]&lt;&gt;"",Table1[[#This Row],[Currency]]="EUR"),Table1[[#This Row],[Quantity]]*Table1[[#This Row],[Unit Price]],""),"")</f>
        <v/>
      </c>
      <c r="S138" s="41" t="str">
        <f ca="1">IFERROR(IF(AND(Table1[[#This Row],[ACT_Qty]]&lt;&gt;"",Table1[[#This Row],[Currency]]="EUR"),Table1[[#This Row],[ACT_Qty]]*Table1[[#This Row],[Unit Price]],""),"")</f>
        <v/>
      </c>
      <c r="T138" s="269" t="str">
        <f ca="1">IFERROR(IF(AND(($N$3&lt;&gt;""),INDIRECT(Aux!$D$1)),VLOOKUP(Table1[[#This Row],[Product code]],Aux!B:E,4,FALSE),""),"")</f>
        <v/>
      </c>
      <c r="U138" s="145" t="str">
        <f>IFERROR(IF(OR(Table1[[#This Row],[Quantity]]&lt;&gt;"",Table1[[#This Row],[ACT_Qty]]&lt;&gt;""),Table1[[#This Row],[ACT_Qty]]-Table1[[#This Row],[Quantity]],""),"")</f>
        <v/>
      </c>
      <c r="V138" s="45"/>
      <c r="W138" s="45"/>
      <c r="X138" s="45"/>
    </row>
    <row r="139" spans="1:24" ht="15" customHeight="1">
      <c r="A139" s="143" t="str">
        <f t="shared" si="4"/>
        <v>AKH12345</v>
      </c>
      <c r="B139" s="256" t="s">
        <v>456</v>
      </c>
      <c r="C139" s="143" t="s">
        <v>457</v>
      </c>
      <c r="D139" s="105"/>
      <c r="E139" s="106"/>
      <c r="F139" s="105"/>
      <c r="G139" s="106"/>
      <c r="H139" s="199" t="s">
        <v>458</v>
      </c>
      <c r="I139" s="200" t="s">
        <v>459</v>
      </c>
      <c r="J139" s="200" t="s">
        <v>459</v>
      </c>
      <c r="K139" s="200" t="s">
        <v>52</v>
      </c>
      <c r="L139" s="145" t="s">
        <v>310</v>
      </c>
      <c r="M139" s="145" t="str">
        <f t="shared" si="11"/>
        <v>OneCo Networks AS</v>
      </c>
      <c r="N1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39" s="268" t="str">
        <f ca="1">IFERROR(IF(
OR(Table1[[#This Row],[Product category]]="Service items",Table1[[#This Row],[Product category]]="Additional services",Table1[[#This Row],[Product category]]="Additional materials"),
"NOK",IF(($N$3&lt;&gt;""),VLOOKUP(Table1[[#This Row],[Product code]],INDIRECT(Aux!$A$1),6,FALSE),"")),"")</f>
        <v/>
      </c>
      <c r="P139" s="41" t="str">
        <f ca="1">IFERROR(IF(AND(Table1[[#This Row],[Quantity]]&lt;&gt;"",Table1[[#This Row],[Currency]]="NOK"),Table1[[#This Row],[Quantity]]*Table1[[#This Row],[Unit Price]],""),"")</f>
        <v/>
      </c>
      <c r="Q139" s="41" t="str">
        <f ca="1">IFERROR(IF(AND(Table1[[#This Row],[ACT_Qty]]&lt;&gt;"",Table1[[#This Row],[Currency]]="NOK"),Table1[[#This Row],[ACT_Qty]]*Table1[[#This Row],[Unit Price]],""),"")</f>
        <v/>
      </c>
      <c r="R139" s="41" t="str">
        <f ca="1">IFERROR(IF(AND(Table1[[#This Row],[Quantity]]&lt;&gt;"",Table1[[#This Row],[Currency]]="EUR"),Table1[[#This Row],[Quantity]]*Table1[[#This Row],[Unit Price]],""),"")</f>
        <v/>
      </c>
      <c r="S139" s="41" t="str">
        <f ca="1">IFERROR(IF(AND(Table1[[#This Row],[ACT_Qty]]&lt;&gt;"",Table1[[#This Row],[Currency]]="EUR"),Table1[[#This Row],[ACT_Qty]]*Table1[[#This Row],[Unit Price]],""),"")</f>
        <v/>
      </c>
      <c r="T139" s="269" t="str">
        <f ca="1">IFERROR(IF(AND(($N$3&lt;&gt;""),INDIRECT(Aux!$D$1)),VLOOKUP(Table1[[#This Row],[Product code]],Aux!B:E,4,FALSE),""),"")</f>
        <v/>
      </c>
      <c r="U139" s="145" t="str">
        <f>IFERROR(IF(OR(Table1[[#This Row],[Quantity]]&lt;&gt;"",Table1[[#This Row],[ACT_Qty]]&lt;&gt;""),Table1[[#This Row],[ACT_Qty]]-Table1[[#This Row],[Quantity]],""),"")</f>
        <v/>
      </c>
      <c r="V139" s="45"/>
      <c r="W139" s="45"/>
      <c r="X139" s="45"/>
    </row>
    <row r="140" spans="1:24" ht="15" customHeight="1">
      <c r="A140" s="143" t="str">
        <f t="shared" si="4"/>
        <v>AKH12345</v>
      </c>
      <c r="B140" s="256">
        <v>341093</v>
      </c>
      <c r="C140" s="143" t="s">
        <v>460</v>
      </c>
      <c r="D140" s="105"/>
      <c r="E140" s="106"/>
      <c r="F140" s="105"/>
      <c r="G140" s="106"/>
      <c r="H140" s="199" t="s">
        <v>461</v>
      </c>
      <c r="I140" s="200" t="s">
        <v>462</v>
      </c>
      <c r="J140" s="200" t="s">
        <v>463</v>
      </c>
      <c r="K140" s="200" t="s">
        <v>52</v>
      </c>
      <c r="L140" s="145" t="s">
        <v>310</v>
      </c>
      <c r="M140" s="145" t="str">
        <f t="shared" si="11"/>
        <v>OneCo Networks AS</v>
      </c>
      <c r="N14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0" s="268" t="str">
        <f ca="1">IFERROR(IF(
OR(Table1[[#This Row],[Product category]]="Service items",Table1[[#This Row],[Product category]]="Additional services",Table1[[#This Row],[Product category]]="Additional materials"),
"NOK",IF(($N$3&lt;&gt;""),VLOOKUP(Table1[[#This Row],[Product code]],INDIRECT(Aux!$A$1),6,FALSE),"")),"")</f>
        <v/>
      </c>
      <c r="P140" s="41" t="str">
        <f ca="1">IFERROR(IF(AND(Table1[[#This Row],[Quantity]]&lt;&gt;"",Table1[[#This Row],[Currency]]="NOK"),Table1[[#This Row],[Quantity]]*Table1[[#This Row],[Unit Price]],""),"")</f>
        <v/>
      </c>
      <c r="Q140" s="41" t="str">
        <f ca="1">IFERROR(IF(AND(Table1[[#This Row],[ACT_Qty]]&lt;&gt;"",Table1[[#This Row],[Currency]]="NOK"),Table1[[#This Row],[ACT_Qty]]*Table1[[#This Row],[Unit Price]],""),"")</f>
        <v/>
      </c>
      <c r="R140" s="41" t="str">
        <f ca="1">IFERROR(IF(AND(Table1[[#This Row],[Quantity]]&lt;&gt;"",Table1[[#This Row],[Currency]]="EUR"),Table1[[#This Row],[Quantity]]*Table1[[#This Row],[Unit Price]],""),"")</f>
        <v/>
      </c>
      <c r="S140" s="41" t="str">
        <f ca="1">IFERROR(IF(AND(Table1[[#This Row],[ACT_Qty]]&lt;&gt;"",Table1[[#This Row],[Currency]]="EUR"),Table1[[#This Row],[ACT_Qty]]*Table1[[#This Row],[Unit Price]],""),"")</f>
        <v/>
      </c>
      <c r="T140" s="269" t="str">
        <f ca="1">IFERROR(IF(AND(($N$3&lt;&gt;""),INDIRECT(Aux!$D$1)),VLOOKUP(Table1[[#This Row],[Product code]],Aux!B:E,4,FALSE),""),"")</f>
        <v/>
      </c>
      <c r="U140" s="145" t="str">
        <f>IFERROR(IF(OR(Table1[[#This Row],[Quantity]]&lt;&gt;"",Table1[[#This Row],[ACT_Qty]]&lt;&gt;""),Table1[[#This Row],[ACT_Qty]]-Table1[[#This Row],[Quantity]],""),"")</f>
        <v/>
      </c>
      <c r="V140" s="45"/>
      <c r="W140" s="45"/>
      <c r="X140" s="45"/>
    </row>
    <row r="141" spans="1:24" ht="15" customHeight="1">
      <c r="A141" s="143" t="str">
        <f t="shared" si="4"/>
        <v>AKH12345</v>
      </c>
      <c r="B141" s="256" t="s">
        <v>464</v>
      </c>
      <c r="C141" s="143" t="s">
        <v>465</v>
      </c>
      <c r="D141" s="105"/>
      <c r="E141" s="106"/>
      <c r="F141" s="105"/>
      <c r="G141" s="106"/>
      <c r="H141" s="199" t="s">
        <v>466</v>
      </c>
      <c r="I141" s="200" t="s">
        <v>462</v>
      </c>
      <c r="J141" s="200" t="s">
        <v>463</v>
      </c>
      <c r="K141" s="200" t="s">
        <v>52</v>
      </c>
      <c r="L141" s="145" t="s">
        <v>310</v>
      </c>
      <c r="M141" s="145" t="str">
        <f t="shared" si="11"/>
        <v>OneCo Networks AS</v>
      </c>
      <c r="N1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1" s="268" t="str">
        <f ca="1">IFERROR(IF(
OR(Table1[[#This Row],[Product category]]="Service items",Table1[[#This Row],[Product category]]="Additional services",Table1[[#This Row],[Product category]]="Additional materials"),
"NOK",IF(($N$3&lt;&gt;""),VLOOKUP(Table1[[#This Row],[Product code]],INDIRECT(Aux!$A$1),6,FALSE),"")),"")</f>
        <v/>
      </c>
      <c r="P141" s="41" t="str">
        <f ca="1">IFERROR(IF(AND(Table1[[#This Row],[Quantity]]&lt;&gt;"",Table1[[#This Row],[Currency]]="NOK"),Table1[[#This Row],[Quantity]]*Table1[[#This Row],[Unit Price]],""),"")</f>
        <v/>
      </c>
      <c r="Q141" s="41" t="str">
        <f ca="1">IFERROR(IF(AND(Table1[[#This Row],[ACT_Qty]]&lt;&gt;"",Table1[[#This Row],[Currency]]="NOK"),Table1[[#This Row],[ACT_Qty]]*Table1[[#This Row],[Unit Price]],""),"")</f>
        <v/>
      </c>
      <c r="R141" s="41" t="str">
        <f ca="1">IFERROR(IF(AND(Table1[[#This Row],[Quantity]]&lt;&gt;"",Table1[[#This Row],[Currency]]="EUR"),Table1[[#This Row],[Quantity]]*Table1[[#This Row],[Unit Price]],""),"")</f>
        <v/>
      </c>
      <c r="S141" s="41" t="str">
        <f ca="1">IFERROR(IF(AND(Table1[[#This Row],[ACT_Qty]]&lt;&gt;"",Table1[[#This Row],[Currency]]="EUR"),Table1[[#This Row],[ACT_Qty]]*Table1[[#This Row],[Unit Price]],""),"")</f>
        <v/>
      </c>
      <c r="T141" s="269" t="str">
        <f ca="1">IFERROR(IF(AND(($N$3&lt;&gt;""),INDIRECT(Aux!$D$1)),VLOOKUP(Table1[[#This Row],[Product code]],Aux!B:E,4,FALSE),""),"")</f>
        <v/>
      </c>
      <c r="U141" s="145" t="str">
        <f>IFERROR(IF(OR(Table1[[#This Row],[Quantity]]&lt;&gt;"",Table1[[#This Row],[ACT_Qty]]&lt;&gt;""),Table1[[#This Row],[ACT_Qty]]-Table1[[#This Row],[Quantity]],""),"")</f>
        <v/>
      </c>
      <c r="V141" s="45"/>
      <c r="W141" s="45"/>
      <c r="X141" s="45"/>
    </row>
    <row r="142" spans="1:24" ht="15" customHeight="1">
      <c r="A142" s="143" t="str">
        <f t="shared" si="4"/>
        <v>AKH12345</v>
      </c>
      <c r="B142" s="256" t="s">
        <v>467</v>
      </c>
      <c r="C142" s="143" t="s">
        <v>468</v>
      </c>
      <c r="D142" s="105"/>
      <c r="E142" s="106"/>
      <c r="F142" s="105"/>
      <c r="G142" s="106"/>
      <c r="H142" s="199" t="s">
        <v>469</v>
      </c>
      <c r="I142" s="200" t="s">
        <v>462</v>
      </c>
      <c r="J142" s="200" t="s">
        <v>463</v>
      </c>
      <c r="K142" s="200" t="s">
        <v>52</v>
      </c>
      <c r="L142" s="145" t="s">
        <v>310</v>
      </c>
      <c r="M142" s="145" t="str">
        <f t="shared" si="11"/>
        <v>OneCo Networks AS</v>
      </c>
      <c r="N14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2" s="268" t="str">
        <f ca="1">IFERROR(IF(
OR(Table1[[#This Row],[Product category]]="Service items",Table1[[#This Row],[Product category]]="Additional services",Table1[[#This Row],[Product category]]="Additional materials"),
"NOK",IF(($N$3&lt;&gt;""),VLOOKUP(Table1[[#This Row],[Product code]],INDIRECT(Aux!$A$1),6,FALSE),"")),"")</f>
        <v/>
      </c>
      <c r="P142" s="41" t="str">
        <f ca="1">IFERROR(IF(AND(Table1[[#This Row],[Quantity]]&lt;&gt;"",Table1[[#This Row],[Currency]]="NOK"),Table1[[#This Row],[Quantity]]*Table1[[#This Row],[Unit Price]],""),"")</f>
        <v/>
      </c>
      <c r="Q142" s="41" t="str">
        <f ca="1">IFERROR(IF(AND(Table1[[#This Row],[ACT_Qty]]&lt;&gt;"",Table1[[#This Row],[Currency]]="NOK"),Table1[[#This Row],[ACT_Qty]]*Table1[[#This Row],[Unit Price]],""),"")</f>
        <v/>
      </c>
      <c r="R142" s="41" t="str">
        <f ca="1">IFERROR(IF(AND(Table1[[#This Row],[Quantity]]&lt;&gt;"",Table1[[#This Row],[Currency]]="EUR"),Table1[[#This Row],[Quantity]]*Table1[[#This Row],[Unit Price]],""),"")</f>
        <v/>
      </c>
      <c r="S142" s="41" t="str">
        <f ca="1">IFERROR(IF(AND(Table1[[#This Row],[ACT_Qty]]&lt;&gt;"",Table1[[#This Row],[Currency]]="EUR"),Table1[[#This Row],[ACT_Qty]]*Table1[[#This Row],[Unit Price]],""),"")</f>
        <v/>
      </c>
      <c r="T142" s="269" t="str">
        <f ca="1">IFERROR(IF(AND(($N$3&lt;&gt;""),INDIRECT(Aux!$D$1)),VLOOKUP(Table1[[#This Row],[Product code]],Aux!B:E,4,FALSE),""),"")</f>
        <v/>
      </c>
      <c r="U142" s="145" t="str">
        <f>IFERROR(IF(OR(Table1[[#This Row],[Quantity]]&lt;&gt;"",Table1[[#This Row],[ACT_Qty]]&lt;&gt;""),Table1[[#This Row],[ACT_Qty]]-Table1[[#This Row],[Quantity]],""),"")</f>
        <v/>
      </c>
      <c r="V142" s="45"/>
      <c r="W142" s="45"/>
      <c r="X142" s="45"/>
    </row>
    <row r="143" spans="1:24" ht="15" customHeight="1">
      <c r="A143" s="143" t="str">
        <f t="shared" si="4"/>
        <v>AKH12345</v>
      </c>
      <c r="B143" s="256" t="s">
        <v>470</v>
      </c>
      <c r="C143" s="143" t="s">
        <v>471</v>
      </c>
      <c r="D143" s="105"/>
      <c r="E143" s="106"/>
      <c r="F143" s="105"/>
      <c r="G143" s="106"/>
      <c r="H143" s="199" t="s">
        <v>472</v>
      </c>
      <c r="I143" s="200" t="s">
        <v>462</v>
      </c>
      <c r="J143" s="200" t="s">
        <v>463</v>
      </c>
      <c r="K143" s="200" t="s">
        <v>52</v>
      </c>
      <c r="L143" s="145" t="s">
        <v>310</v>
      </c>
      <c r="M143" s="145" t="str">
        <f t="shared" si="11"/>
        <v>OneCo Networks AS</v>
      </c>
      <c r="N1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3" s="268" t="str">
        <f ca="1">IFERROR(IF(
OR(Table1[[#This Row],[Product category]]="Service items",Table1[[#This Row],[Product category]]="Additional services",Table1[[#This Row],[Product category]]="Additional materials"),
"NOK",IF(($N$3&lt;&gt;""),VLOOKUP(Table1[[#This Row],[Product code]],INDIRECT(Aux!$A$1),6,FALSE),"")),"")</f>
        <v/>
      </c>
      <c r="P143" s="41" t="str">
        <f ca="1">IFERROR(IF(AND(Table1[[#This Row],[Quantity]]&lt;&gt;"",Table1[[#This Row],[Currency]]="NOK"),Table1[[#This Row],[Quantity]]*Table1[[#This Row],[Unit Price]],""),"")</f>
        <v/>
      </c>
      <c r="Q143" s="41" t="str">
        <f ca="1">IFERROR(IF(AND(Table1[[#This Row],[ACT_Qty]]&lt;&gt;"",Table1[[#This Row],[Currency]]="NOK"),Table1[[#This Row],[ACT_Qty]]*Table1[[#This Row],[Unit Price]],""),"")</f>
        <v/>
      </c>
      <c r="R143" s="41" t="str">
        <f ca="1">IFERROR(IF(AND(Table1[[#This Row],[Quantity]]&lt;&gt;"",Table1[[#This Row],[Currency]]="EUR"),Table1[[#This Row],[Quantity]]*Table1[[#This Row],[Unit Price]],""),"")</f>
        <v/>
      </c>
      <c r="S143" s="41" t="str">
        <f ca="1">IFERROR(IF(AND(Table1[[#This Row],[ACT_Qty]]&lt;&gt;"",Table1[[#This Row],[Currency]]="EUR"),Table1[[#This Row],[ACT_Qty]]*Table1[[#This Row],[Unit Price]],""),"")</f>
        <v/>
      </c>
      <c r="T143" s="269" t="str">
        <f ca="1">IFERROR(IF(AND(($N$3&lt;&gt;""),INDIRECT(Aux!$D$1)),VLOOKUP(Table1[[#This Row],[Product code]],Aux!B:E,4,FALSE),""),"")</f>
        <v/>
      </c>
      <c r="U143" s="145" t="str">
        <f>IFERROR(IF(OR(Table1[[#This Row],[Quantity]]&lt;&gt;"",Table1[[#This Row],[ACT_Qty]]&lt;&gt;""),Table1[[#This Row],[ACT_Qty]]-Table1[[#This Row],[Quantity]],""),"")</f>
        <v/>
      </c>
      <c r="V143" s="45"/>
      <c r="W143" s="45"/>
      <c r="X143" s="45"/>
    </row>
    <row r="144" spans="1:24" ht="15" customHeight="1">
      <c r="A144" s="143" t="str">
        <f t="shared" si="4"/>
        <v>AKH12345</v>
      </c>
      <c r="B144" s="256" t="s">
        <v>473</v>
      </c>
      <c r="C144" s="143" t="s">
        <v>474</v>
      </c>
      <c r="D144" s="105"/>
      <c r="E144" s="106" t="s">
        <v>475</v>
      </c>
      <c r="F144" s="105"/>
      <c r="G144" s="106"/>
      <c r="H144" s="199" t="s">
        <v>476</v>
      </c>
      <c r="I144" s="200" t="s">
        <v>364</v>
      </c>
      <c r="J144" s="200" t="s">
        <v>477</v>
      </c>
      <c r="K144" s="200" t="s">
        <v>52</v>
      </c>
      <c r="L144" s="145" t="s">
        <v>478</v>
      </c>
      <c r="M144" s="145" t="str">
        <f t="shared" si="11"/>
        <v>OneCo Networks AS</v>
      </c>
      <c r="N14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4" s="268" t="str">
        <f ca="1">IFERROR(IF(
OR(Table1[[#This Row],[Product category]]="Service items",Table1[[#This Row],[Product category]]="Additional services",Table1[[#This Row],[Product category]]="Additional materials"),
"NOK",IF(($N$3&lt;&gt;""),VLOOKUP(Table1[[#This Row],[Product code]],INDIRECT(Aux!$A$1),6,FALSE),"")),"")</f>
        <v/>
      </c>
      <c r="P144" s="41" t="str">
        <f ca="1">IFERROR(IF(AND(Table1[[#This Row],[Quantity]]&lt;&gt;"",Table1[[#This Row],[Currency]]="NOK"),Table1[[#This Row],[Quantity]]*Table1[[#This Row],[Unit Price]],""),"")</f>
        <v/>
      </c>
      <c r="Q144" s="41" t="str">
        <f ca="1">IFERROR(IF(AND(Table1[[#This Row],[ACT_Qty]]&lt;&gt;"",Table1[[#This Row],[Currency]]="NOK"),Table1[[#This Row],[ACT_Qty]]*Table1[[#This Row],[Unit Price]],""),"")</f>
        <v/>
      </c>
      <c r="R144" s="41" t="str">
        <f ca="1">IFERROR(IF(AND(Table1[[#This Row],[Quantity]]&lt;&gt;"",Table1[[#This Row],[Currency]]="EUR"),Table1[[#This Row],[Quantity]]*Table1[[#This Row],[Unit Price]],""),"")</f>
        <v/>
      </c>
      <c r="S144" s="41" t="str">
        <f ca="1">IFERROR(IF(AND(Table1[[#This Row],[ACT_Qty]]&lt;&gt;"",Table1[[#This Row],[Currency]]="EUR"),Table1[[#This Row],[ACT_Qty]]*Table1[[#This Row],[Unit Price]],""),"")</f>
        <v/>
      </c>
      <c r="T144" s="269" t="str">
        <f ca="1">IFERROR(IF(AND(($N$3&lt;&gt;""),INDIRECT(Aux!$D$1)),VLOOKUP(Table1[[#This Row],[Product code]],Aux!B:E,4,FALSE),""),"")</f>
        <v/>
      </c>
      <c r="U144" s="145" t="str">
        <f>IFERROR(IF(OR(Table1[[#This Row],[Quantity]]&lt;&gt;"",Table1[[#This Row],[ACT_Qty]]&lt;&gt;""),Table1[[#This Row],[ACT_Qty]]-Table1[[#This Row],[Quantity]],""),"")</f>
        <v/>
      </c>
      <c r="V144" s="45"/>
      <c r="W144" s="45"/>
      <c r="X144" s="45"/>
    </row>
    <row r="145" spans="1:24" ht="15" customHeight="1">
      <c r="A145" s="143" t="str">
        <f t="shared" si="4"/>
        <v>AKH12345</v>
      </c>
      <c r="B145" s="256" t="s">
        <v>479</v>
      </c>
      <c r="C145" s="143" t="s">
        <v>480</v>
      </c>
      <c r="D145" s="105"/>
      <c r="E145" s="106" t="s">
        <v>481</v>
      </c>
      <c r="F145" s="105"/>
      <c r="G145" s="106"/>
      <c r="H145" s="199" t="s">
        <v>482</v>
      </c>
      <c r="I145" s="200" t="s">
        <v>364</v>
      </c>
      <c r="J145" s="200" t="s">
        <v>365</v>
      </c>
      <c r="K145" s="200" t="s">
        <v>52</v>
      </c>
      <c r="L145" s="145" t="s">
        <v>478</v>
      </c>
      <c r="M145" s="145" t="str">
        <f t="shared" si="11"/>
        <v>OneCo Networks AS</v>
      </c>
      <c r="N1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5" s="268" t="str">
        <f ca="1">IFERROR(IF(
OR(Table1[[#This Row],[Product category]]="Service items",Table1[[#This Row],[Product category]]="Additional services",Table1[[#This Row],[Product category]]="Additional materials"),
"NOK",IF(($N$3&lt;&gt;""),VLOOKUP(Table1[[#This Row],[Product code]],INDIRECT(Aux!$A$1),6,FALSE),"")),"")</f>
        <v/>
      </c>
      <c r="P145" s="41" t="str">
        <f ca="1">IFERROR(IF(AND(Table1[[#This Row],[Quantity]]&lt;&gt;"",Table1[[#This Row],[Currency]]="NOK"),Table1[[#This Row],[Quantity]]*Table1[[#This Row],[Unit Price]],""),"")</f>
        <v/>
      </c>
      <c r="Q145" s="41" t="str">
        <f ca="1">IFERROR(IF(AND(Table1[[#This Row],[ACT_Qty]]&lt;&gt;"",Table1[[#This Row],[Currency]]="NOK"),Table1[[#This Row],[ACT_Qty]]*Table1[[#This Row],[Unit Price]],""),"")</f>
        <v/>
      </c>
      <c r="R145" s="41" t="str">
        <f ca="1">IFERROR(IF(AND(Table1[[#This Row],[Quantity]]&lt;&gt;"",Table1[[#This Row],[Currency]]="EUR"),Table1[[#This Row],[Quantity]]*Table1[[#This Row],[Unit Price]],""),"")</f>
        <v/>
      </c>
      <c r="S145" s="41" t="str">
        <f ca="1">IFERROR(IF(AND(Table1[[#This Row],[ACT_Qty]]&lt;&gt;"",Table1[[#This Row],[Currency]]="EUR"),Table1[[#This Row],[ACT_Qty]]*Table1[[#This Row],[Unit Price]],""),"")</f>
        <v/>
      </c>
      <c r="T145" s="269" t="str">
        <f ca="1">IFERROR(IF(AND(($N$3&lt;&gt;""),INDIRECT(Aux!$D$1)),VLOOKUP(Table1[[#This Row],[Product code]],Aux!B:E,4,FALSE),""),"")</f>
        <v/>
      </c>
      <c r="U145" s="145" t="str">
        <f>IFERROR(IF(OR(Table1[[#This Row],[Quantity]]&lt;&gt;"",Table1[[#This Row],[ACT_Qty]]&lt;&gt;""),Table1[[#This Row],[ACT_Qty]]-Table1[[#This Row],[Quantity]],""),"")</f>
        <v/>
      </c>
      <c r="V145" s="45"/>
      <c r="W145" s="45"/>
      <c r="X145" s="45"/>
    </row>
    <row r="146" spans="1:24" ht="15" customHeight="1">
      <c r="A146" s="143" t="str">
        <f t="shared" si="4"/>
        <v>AKH12345</v>
      </c>
      <c r="B146" s="256" t="s">
        <v>483</v>
      </c>
      <c r="C146" s="143" t="s">
        <v>484</v>
      </c>
      <c r="D146" s="105"/>
      <c r="E146" s="106"/>
      <c r="F146" s="105"/>
      <c r="G146" s="106"/>
      <c r="H146" s="199" t="s">
        <v>485</v>
      </c>
      <c r="I146" s="200" t="s">
        <v>364</v>
      </c>
      <c r="J146" s="200" t="s">
        <v>365</v>
      </c>
      <c r="K146" s="200" t="s">
        <v>52</v>
      </c>
      <c r="L146" s="145" t="s">
        <v>478</v>
      </c>
      <c r="M146" s="145" t="str">
        <f t="shared" si="11"/>
        <v>OneCo Networks AS</v>
      </c>
      <c r="N14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6" s="268" t="str">
        <f ca="1">IFERROR(IF(
OR(Table1[[#This Row],[Product category]]="Service items",Table1[[#This Row],[Product category]]="Additional services",Table1[[#This Row],[Product category]]="Additional materials"),
"NOK",IF(($N$3&lt;&gt;""),VLOOKUP(Table1[[#This Row],[Product code]],INDIRECT(Aux!$A$1),6,FALSE),"")),"")</f>
        <v/>
      </c>
      <c r="P146" s="41" t="str">
        <f ca="1">IFERROR(IF(AND(Table1[[#This Row],[Quantity]]&lt;&gt;"",Table1[[#This Row],[Currency]]="NOK"),Table1[[#This Row],[Quantity]]*Table1[[#This Row],[Unit Price]],""),"")</f>
        <v/>
      </c>
      <c r="Q146" s="41" t="str">
        <f ca="1">IFERROR(IF(AND(Table1[[#This Row],[ACT_Qty]]&lt;&gt;"",Table1[[#This Row],[Currency]]="NOK"),Table1[[#This Row],[ACT_Qty]]*Table1[[#This Row],[Unit Price]],""),"")</f>
        <v/>
      </c>
      <c r="R146" s="41" t="str">
        <f ca="1">IFERROR(IF(AND(Table1[[#This Row],[Quantity]]&lt;&gt;"",Table1[[#This Row],[Currency]]="EUR"),Table1[[#This Row],[Quantity]]*Table1[[#This Row],[Unit Price]],""),"")</f>
        <v/>
      </c>
      <c r="S146" s="41" t="str">
        <f ca="1">IFERROR(IF(AND(Table1[[#This Row],[ACT_Qty]]&lt;&gt;"",Table1[[#This Row],[Currency]]="EUR"),Table1[[#This Row],[ACT_Qty]]*Table1[[#This Row],[Unit Price]],""),"")</f>
        <v/>
      </c>
      <c r="T146" s="269" t="str">
        <f ca="1">IFERROR(IF(AND(($N$3&lt;&gt;""),INDIRECT(Aux!$D$1)),VLOOKUP(Table1[[#This Row],[Product code]],Aux!B:E,4,FALSE),""),"")</f>
        <v/>
      </c>
      <c r="U146" s="145" t="str">
        <f>IFERROR(IF(OR(Table1[[#This Row],[Quantity]]&lt;&gt;"",Table1[[#This Row],[ACT_Qty]]&lt;&gt;""),Table1[[#This Row],[ACT_Qty]]-Table1[[#This Row],[Quantity]],""),"")</f>
        <v/>
      </c>
      <c r="V146" s="45"/>
      <c r="W146" s="45"/>
      <c r="X146" s="45"/>
    </row>
    <row r="147" spans="1:24" ht="15" customHeight="1">
      <c r="A147" s="143" t="str">
        <f t="shared" si="4"/>
        <v>AKH12345</v>
      </c>
      <c r="B147" s="256" t="s">
        <v>486</v>
      </c>
      <c r="C147" s="143" t="s">
        <v>487</v>
      </c>
      <c r="D147" s="105"/>
      <c r="E147" s="106"/>
      <c r="F147" s="105"/>
      <c r="G147" s="106"/>
      <c r="H147" s="199" t="s">
        <v>488</v>
      </c>
      <c r="I147" s="200" t="s">
        <v>364</v>
      </c>
      <c r="J147" s="200" t="s">
        <v>365</v>
      </c>
      <c r="K147" s="200" t="s">
        <v>52</v>
      </c>
      <c r="L147" s="145" t="s">
        <v>310</v>
      </c>
      <c r="M147" s="145" t="str">
        <f t="shared" si="11"/>
        <v>OneCo Networks AS</v>
      </c>
      <c r="N1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7" s="268" t="str">
        <f ca="1">IFERROR(IF(
OR(Table1[[#This Row],[Product category]]="Service items",Table1[[#This Row],[Product category]]="Additional services",Table1[[#This Row],[Product category]]="Additional materials"),
"NOK",IF(($N$3&lt;&gt;""),VLOOKUP(Table1[[#This Row],[Product code]],INDIRECT(Aux!$A$1),6,FALSE),"")),"")</f>
        <v/>
      </c>
      <c r="P147" s="41" t="str">
        <f ca="1">IFERROR(IF(AND(Table1[[#This Row],[Quantity]]&lt;&gt;"",Table1[[#This Row],[Currency]]="NOK"),Table1[[#This Row],[Quantity]]*Table1[[#This Row],[Unit Price]],""),"")</f>
        <v/>
      </c>
      <c r="Q147" s="41" t="str">
        <f ca="1">IFERROR(IF(AND(Table1[[#This Row],[ACT_Qty]]&lt;&gt;"",Table1[[#This Row],[Currency]]="NOK"),Table1[[#This Row],[ACT_Qty]]*Table1[[#This Row],[Unit Price]],""),"")</f>
        <v/>
      </c>
      <c r="R147" s="41" t="str">
        <f ca="1">IFERROR(IF(AND(Table1[[#This Row],[Quantity]]&lt;&gt;"",Table1[[#This Row],[Currency]]="EUR"),Table1[[#This Row],[Quantity]]*Table1[[#This Row],[Unit Price]],""),"")</f>
        <v/>
      </c>
      <c r="S147" s="41" t="str">
        <f ca="1">IFERROR(IF(AND(Table1[[#This Row],[ACT_Qty]]&lt;&gt;"",Table1[[#This Row],[Currency]]="EUR"),Table1[[#This Row],[ACT_Qty]]*Table1[[#This Row],[Unit Price]],""),"")</f>
        <v/>
      </c>
      <c r="T147" s="269" t="str">
        <f ca="1">IFERROR(IF(AND(($N$3&lt;&gt;""),INDIRECT(Aux!$D$1)),VLOOKUP(Table1[[#This Row],[Product code]],Aux!B:E,4,FALSE),""),"")</f>
        <v/>
      </c>
      <c r="U147" s="145" t="str">
        <f>IFERROR(IF(OR(Table1[[#This Row],[Quantity]]&lt;&gt;"",Table1[[#This Row],[ACT_Qty]]&lt;&gt;""),Table1[[#This Row],[ACT_Qty]]-Table1[[#This Row],[Quantity]],""),"")</f>
        <v/>
      </c>
      <c r="V147" s="45"/>
      <c r="W147" s="45"/>
      <c r="X147" s="45"/>
    </row>
    <row r="148" spans="1:24" ht="15" customHeight="1">
      <c r="A148" s="143" t="str">
        <f t="shared" si="4"/>
        <v>AKH12345</v>
      </c>
      <c r="B148" s="256" t="s">
        <v>489</v>
      </c>
      <c r="C148" s="143" t="s">
        <v>490</v>
      </c>
      <c r="D148" s="105"/>
      <c r="E148" s="106" t="s">
        <v>491</v>
      </c>
      <c r="F148" s="105"/>
      <c r="G148" s="106"/>
      <c r="H148" s="199" t="s">
        <v>492</v>
      </c>
      <c r="I148" s="200" t="s">
        <v>308</v>
      </c>
      <c r="J148" s="200" t="s">
        <v>493</v>
      </c>
      <c r="K148" s="200" t="s">
        <v>52</v>
      </c>
      <c r="L148" s="145" t="s">
        <v>310</v>
      </c>
      <c r="M148" s="145" t="str">
        <f t="shared" si="11"/>
        <v>OneCo Networks AS</v>
      </c>
      <c r="N14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8" s="268" t="str">
        <f ca="1">IFERROR(IF(
OR(Table1[[#This Row],[Product category]]="Service items",Table1[[#This Row],[Product category]]="Additional services",Table1[[#This Row],[Product category]]="Additional materials"),
"NOK",IF(($N$3&lt;&gt;""),VLOOKUP(Table1[[#This Row],[Product code]],INDIRECT(Aux!$A$1),6,FALSE),"")),"")</f>
        <v/>
      </c>
      <c r="P148" s="41" t="str">
        <f ca="1">IFERROR(IF(AND(Table1[[#This Row],[Quantity]]&lt;&gt;"",Table1[[#This Row],[Currency]]="NOK"),Table1[[#This Row],[Quantity]]*Table1[[#This Row],[Unit Price]],""),"")</f>
        <v/>
      </c>
      <c r="Q148" s="41" t="str">
        <f ca="1">IFERROR(IF(AND(Table1[[#This Row],[ACT_Qty]]&lt;&gt;"",Table1[[#This Row],[Currency]]="NOK"),Table1[[#This Row],[ACT_Qty]]*Table1[[#This Row],[Unit Price]],""),"")</f>
        <v/>
      </c>
      <c r="R148" s="41" t="str">
        <f ca="1">IFERROR(IF(AND(Table1[[#This Row],[Quantity]]&lt;&gt;"",Table1[[#This Row],[Currency]]="EUR"),Table1[[#This Row],[Quantity]]*Table1[[#This Row],[Unit Price]],""),"")</f>
        <v/>
      </c>
      <c r="S148" s="41" t="str">
        <f ca="1">IFERROR(IF(AND(Table1[[#This Row],[ACT_Qty]]&lt;&gt;"",Table1[[#This Row],[Currency]]="EUR"),Table1[[#This Row],[ACT_Qty]]*Table1[[#This Row],[Unit Price]],""),"")</f>
        <v/>
      </c>
      <c r="T148" s="269" t="str">
        <f ca="1">IFERROR(IF(AND(($N$3&lt;&gt;""),INDIRECT(Aux!$D$1)),VLOOKUP(Table1[[#This Row],[Product code]],Aux!B:E,4,FALSE),""),"")</f>
        <v/>
      </c>
      <c r="U148" s="145" t="str">
        <f>IFERROR(IF(OR(Table1[[#This Row],[Quantity]]&lt;&gt;"",Table1[[#This Row],[ACT_Qty]]&lt;&gt;""),Table1[[#This Row],[ACT_Qty]]-Table1[[#This Row],[Quantity]],""),"")</f>
        <v/>
      </c>
      <c r="V148" s="45"/>
      <c r="W148" s="45"/>
      <c r="X148" s="45"/>
    </row>
    <row r="149" spans="1:24" ht="15" customHeight="1">
      <c r="A149" s="143" t="str">
        <f t="shared" si="4"/>
        <v>AKH12345</v>
      </c>
      <c r="B149" s="256" t="s">
        <v>494</v>
      </c>
      <c r="C149" s="143" t="s">
        <v>495</v>
      </c>
      <c r="D149" s="105"/>
      <c r="E149" s="106"/>
      <c r="F149" s="105"/>
      <c r="G149" s="106"/>
      <c r="H149" s="199" t="s">
        <v>496</v>
      </c>
      <c r="I149" s="200" t="s">
        <v>364</v>
      </c>
      <c r="J149" s="200" t="s">
        <v>493</v>
      </c>
      <c r="K149" s="200" t="s">
        <v>52</v>
      </c>
      <c r="L149" s="145" t="s">
        <v>310</v>
      </c>
      <c r="M149" s="145" t="str">
        <f>IF($C$3&lt;&gt;"",$C$3,"")</f>
        <v>OneCo Networks AS</v>
      </c>
      <c r="N1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49" s="268" t="str">
        <f ca="1">IFERROR(IF(
OR(Table1[[#This Row],[Product category]]="Service items",Table1[[#This Row],[Product category]]="Additional services",Table1[[#This Row],[Product category]]="Additional materials"),
"NOK",IF(($N$3&lt;&gt;""),VLOOKUP(Table1[[#This Row],[Product code]],INDIRECT(Aux!$A$1),6,FALSE),"")),"")</f>
        <v/>
      </c>
      <c r="P149" s="41" t="str">
        <f ca="1">IFERROR(IF(AND(Table1[[#This Row],[Quantity]]&lt;&gt;"",Table1[[#This Row],[Currency]]="NOK"),Table1[[#This Row],[Quantity]]*Table1[[#This Row],[Unit Price]],""),"")</f>
        <v/>
      </c>
      <c r="Q149" s="41" t="str">
        <f ca="1">IFERROR(IF(AND(Table1[[#This Row],[ACT_Qty]]&lt;&gt;"",Table1[[#This Row],[Currency]]="NOK"),Table1[[#This Row],[ACT_Qty]]*Table1[[#This Row],[Unit Price]],""),"")</f>
        <v/>
      </c>
      <c r="R149" s="41" t="str">
        <f ca="1">IFERROR(IF(AND(Table1[[#This Row],[Quantity]]&lt;&gt;"",Table1[[#This Row],[Currency]]="EUR"),Table1[[#This Row],[Quantity]]*Table1[[#This Row],[Unit Price]],""),"")</f>
        <v/>
      </c>
      <c r="S149" s="41" t="str">
        <f ca="1">IFERROR(IF(AND(Table1[[#This Row],[ACT_Qty]]&lt;&gt;"",Table1[[#This Row],[Currency]]="EUR"),Table1[[#This Row],[ACT_Qty]]*Table1[[#This Row],[Unit Price]],""),"")</f>
        <v/>
      </c>
      <c r="T149" s="269" t="str">
        <f ca="1">IFERROR(IF(AND(($N$3&lt;&gt;""),INDIRECT(Aux!$D$1)),VLOOKUP(Table1[[#This Row],[Product code]],Aux!B:E,4,FALSE),""),"")</f>
        <v/>
      </c>
      <c r="U149" s="145" t="str">
        <f>IFERROR(IF(OR(Table1[[#This Row],[Quantity]]&lt;&gt;"",Table1[[#This Row],[ACT_Qty]]&lt;&gt;""),Table1[[#This Row],[ACT_Qty]]-Table1[[#This Row],[Quantity]],""),"")</f>
        <v/>
      </c>
      <c r="V149" s="45"/>
      <c r="W149" s="45"/>
      <c r="X149" s="45"/>
    </row>
    <row r="150" spans="1:24" ht="15" customHeight="1">
      <c r="A150" s="143" t="str">
        <f t="shared" si="4"/>
        <v>AKH12345</v>
      </c>
      <c r="B150" s="256" t="s">
        <v>497</v>
      </c>
      <c r="C150" s="143" t="s">
        <v>498</v>
      </c>
      <c r="D150" s="105"/>
      <c r="E150" s="106"/>
      <c r="F150" s="105"/>
      <c r="G150" s="106"/>
      <c r="H150" s="199" t="s">
        <v>499</v>
      </c>
      <c r="I150" s="200" t="s">
        <v>364</v>
      </c>
      <c r="J150" s="200" t="s">
        <v>493</v>
      </c>
      <c r="K150" s="200" t="s">
        <v>52</v>
      </c>
      <c r="L150" s="145" t="s">
        <v>310</v>
      </c>
      <c r="M150" s="145" t="str">
        <f t="shared" si="11"/>
        <v>OneCo Networks AS</v>
      </c>
      <c r="N15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0" s="268" t="str">
        <f ca="1">IFERROR(IF(
OR(Table1[[#This Row],[Product category]]="Service items",Table1[[#This Row],[Product category]]="Additional services",Table1[[#This Row],[Product category]]="Additional materials"),
"NOK",IF(($N$3&lt;&gt;""),VLOOKUP(Table1[[#This Row],[Product code]],INDIRECT(Aux!$A$1),6,FALSE),"")),"")</f>
        <v/>
      </c>
      <c r="P150" s="41" t="str">
        <f ca="1">IFERROR(IF(AND(Table1[[#This Row],[Quantity]]&lt;&gt;"",Table1[[#This Row],[Currency]]="NOK"),Table1[[#This Row],[Quantity]]*Table1[[#This Row],[Unit Price]],""),"")</f>
        <v/>
      </c>
      <c r="Q150" s="41" t="str">
        <f ca="1">IFERROR(IF(AND(Table1[[#This Row],[ACT_Qty]]&lt;&gt;"",Table1[[#This Row],[Currency]]="NOK"),Table1[[#This Row],[ACT_Qty]]*Table1[[#This Row],[Unit Price]],""),"")</f>
        <v/>
      </c>
      <c r="R150" s="41" t="str">
        <f ca="1">IFERROR(IF(AND(Table1[[#This Row],[Quantity]]&lt;&gt;"",Table1[[#This Row],[Currency]]="EUR"),Table1[[#This Row],[Quantity]]*Table1[[#This Row],[Unit Price]],""),"")</f>
        <v/>
      </c>
      <c r="S150" s="41" t="str">
        <f ca="1">IFERROR(IF(AND(Table1[[#This Row],[ACT_Qty]]&lt;&gt;"",Table1[[#This Row],[Currency]]="EUR"),Table1[[#This Row],[ACT_Qty]]*Table1[[#This Row],[Unit Price]],""),"")</f>
        <v/>
      </c>
      <c r="T150" s="269" t="str">
        <f ca="1">IFERROR(IF(AND(($N$3&lt;&gt;""),INDIRECT(Aux!$D$1)),VLOOKUP(Table1[[#This Row],[Product code]],Aux!B:E,4,FALSE),""),"")</f>
        <v/>
      </c>
      <c r="U150" s="145" t="str">
        <f>IFERROR(IF(OR(Table1[[#This Row],[Quantity]]&lt;&gt;"",Table1[[#This Row],[ACT_Qty]]&lt;&gt;""),Table1[[#This Row],[ACT_Qty]]-Table1[[#This Row],[Quantity]],""),"")</f>
        <v/>
      </c>
      <c r="V150" s="45"/>
      <c r="W150" s="45"/>
      <c r="X150" s="45"/>
    </row>
    <row r="151" spans="1:24" ht="15" customHeight="1">
      <c r="A151" s="143" t="str">
        <f t="shared" si="4"/>
        <v>AKH12345</v>
      </c>
      <c r="B151" s="256" t="s">
        <v>500</v>
      </c>
      <c r="C151" s="143" t="s">
        <v>501</v>
      </c>
      <c r="D151" s="105"/>
      <c r="E151" s="106"/>
      <c r="F151" s="105"/>
      <c r="G151" s="106"/>
      <c r="H151" s="199" t="s">
        <v>502</v>
      </c>
      <c r="I151" s="200" t="s">
        <v>335</v>
      </c>
      <c r="J151" s="200" t="s">
        <v>493</v>
      </c>
      <c r="K151" s="200" t="s">
        <v>52</v>
      </c>
      <c r="L151" s="145" t="s">
        <v>310</v>
      </c>
      <c r="M151" s="145" t="str">
        <f t="shared" si="11"/>
        <v>OneCo Networks AS</v>
      </c>
      <c r="N1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1" s="268" t="str">
        <f ca="1">IFERROR(IF(
OR(Table1[[#This Row],[Product category]]="Service items",Table1[[#This Row],[Product category]]="Additional services",Table1[[#This Row],[Product category]]="Additional materials"),
"NOK",IF(($N$3&lt;&gt;""),VLOOKUP(Table1[[#This Row],[Product code]],INDIRECT(Aux!$A$1),6,FALSE),"")),"")</f>
        <v/>
      </c>
      <c r="P151" s="41" t="str">
        <f ca="1">IFERROR(IF(AND(Table1[[#This Row],[Quantity]]&lt;&gt;"",Table1[[#This Row],[Currency]]="NOK"),Table1[[#This Row],[Quantity]]*Table1[[#This Row],[Unit Price]],""),"")</f>
        <v/>
      </c>
      <c r="Q151" s="41" t="str">
        <f ca="1">IFERROR(IF(AND(Table1[[#This Row],[ACT_Qty]]&lt;&gt;"",Table1[[#This Row],[Currency]]="NOK"),Table1[[#This Row],[ACT_Qty]]*Table1[[#This Row],[Unit Price]],""),"")</f>
        <v/>
      </c>
      <c r="R151" s="41" t="str">
        <f ca="1">IFERROR(IF(AND(Table1[[#This Row],[Quantity]]&lt;&gt;"",Table1[[#This Row],[Currency]]="EUR"),Table1[[#This Row],[Quantity]]*Table1[[#This Row],[Unit Price]],""),"")</f>
        <v/>
      </c>
      <c r="S151" s="41" t="str">
        <f ca="1">IFERROR(IF(AND(Table1[[#This Row],[ACT_Qty]]&lt;&gt;"",Table1[[#This Row],[Currency]]="EUR"),Table1[[#This Row],[ACT_Qty]]*Table1[[#This Row],[Unit Price]],""),"")</f>
        <v/>
      </c>
      <c r="T151" s="269" t="str">
        <f ca="1">IFERROR(IF(AND(($N$3&lt;&gt;""),INDIRECT(Aux!$D$1)),VLOOKUP(Table1[[#This Row],[Product code]],Aux!B:E,4,FALSE),""),"")</f>
        <v/>
      </c>
      <c r="U151" s="145" t="str">
        <f>IFERROR(IF(OR(Table1[[#This Row],[Quantity]]&lt;&gt;"",Table1[[#This Row],[ACT_Qty]]&lt;&gt;""),Table1[[#This Row],[ACT_Qty]]-Table1[[#This Row],[Quantity]],""),"")</f>
        <v/>
      </c>
      <c r="V151" s="45"/>
      <c r="W151" s="45"/>
      <c r="X151" s="45"/>
    </row>
    <row r="152" spans="1:24" ht="15" customHeight="1">
      <c r="A152" s="143" t="str">
        <f t="shared" ref="A152:A217" si="12">$C$4</f>
        <v>AKH12345</v>
      </c>
      <c r="B152" s="256">
        <v>831070819</v>
      </c>
      <c r="C152" s="143" t="s">
        <v>503</v>
      </c>
      <c r="D152" s="105"/>
      <c r="E152" s="106"/>
      <c r="F152" s="105"/>
      <c r="G152" s="106"/>
      <c r="H152" s="199" t="s">
        <v>504</v>
      </c>
      <c r="I152" s="200" t="s">
        <v>308</v>
      </c>
      <c r="J152" s="200" t="s">
        <v>433</v>
      </c>
      <c r="K152" s="200" t="s">
        <v>52</v>
      </c>
      <c r="L152" s="145" t="s">
        <v>310</v>
      </c>
      <c r="M152" s="145" t="str">
        <f t="shared" si="11"/>
        <v>OneCo Networks AS</v>
      </c>
      <c r="N15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2" s="268" t="str">
        <f ca="1">IFERROR(IF(
OR(Table1[[#This Row],[Product category]]="Service items",Table1[[#This Row],[Product category]]="Additional services",Table1[[#This Row],[Product category]]="Additional materials"),
"NOK",IF(($N$3&lt;&gt;""),VLOOKUP(Table1[[#This Row],[Product code]],INDIRECT(Aux!$A$1),6,FALSE),"")),"")</f>
        <v/>
      </c>
      <c r="P152" s="41" t="str">
        <f ca="1">IFERROR(IF(AND(Table1[[#This Row],[Quantity]]&lt;&gt;"",Table1[[#This Row],[Currency]]="NOK"),Table1[[#This Row],[Quantity]]*Table1[[#This Row],[Unit Price]],""),"")</f>
        <v/>
      </c>
      <c r="Q152" s="41" t="str">
        <f ca="1">IFERROR(IF(AND(Table1[[#This Row],[ACT_Qty]]&lt;&gt;"",Table1[[#This Row],[Currency]]="NOK"),Table1[[#This Row],[ACT_Qty]]*Table1[[#This Row],[Unit Price]],""),"")</f>
        <v/>
      </c>
      <c r="R152" s="41" t="str">
        <f ca="1">IFERROR(IF(AND(Table1[[#This Row],[Quantity]]&lt;&gt;"",Table1[[#This Row],[Currency]]="EUR"),Table1[[#This Row],[Quantity]]*Table1[[#This Row],[Unit Price]],""),"")</f>
        <v/>
      </c>
      <c r="S152" s="41" t="str">
        <f ca="1">IFERROR(IF(AND(Table1[[#This Row],[ACT_Qty]]&lt;&gt;"",Table1[[#This Row],[Currency]]="EUR"),Table1[[#This Row],[ACT_Qty]]*Table1[[#This Row],[Unit Price]],""),"")</f>
        <v/>
      </c>
      <c r="T152" s="269" t="str">
        <f ca="1">IFERROR(IF(AND(($N$3&lt;&gt;""),INDIRECT(Aux!$D$1)),VLOOKUP(Table1[[#This Row],[Product code]],Aux!B:E,4,FALSE),""),"")</f>
        <v/>
      </c>
      <c r="U152" s="145" t="str">
        <f>IFERROR(IF(OR(Table1[[#This Row],[Quantity]]&lt;&gt;"",Table1[[#This Row],[ACT_Qty]]&lt;&gt;""),Table1[[#This Row],[ACT_Qty]]-Table1[[#This Row],[Quantity]],""),"")</f>
        <v/>
      </c>
      <c r="V152" s="45"/>
      <c r="W152" s="45"/>
      <c r="X152" s="45"/>
    </row>
    <row r="153" spans="1:24" ht="15" customHeight="1">
      <c r="A153" s="143" t="str">
        <f t="shared" si="12"/>
        <v>AKH12345</v>
      </c>
      <c r="B153" s="256" t="s">
        <v>505</v>
      </c>
      <c r="C153" s="143" t="s">
        <v>506</v>
      </c>
      <c r="D153" s="105"/>
      <c r="E153" s="106" t="s">
        <v>507</v>
      </c>
      <c r="F153" s="105"/>
      <c r="G153" s="106"/>
      <c r="H153" s="199" t="s">
        <v>508</v>
      </c>
      <c r="I153" s="200" t="s">
        <v>507</v>
      </c>
      <c r="J153" s="200" t="s">
        <v>509</v>
      </c>
      <c r="K153" s="200" t="s">
        <v>52</v>
      </c>
      <c r="L153" s="145" t="s">
        <v>510</v>
      </c>
      <c r="M153" s="145" t="str">
        <f t="shared" si="11"/>
        <v>OneCo Networks AS</v>
      </c>
      <c r="N1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3" s="268" t="str">
        <f ca="1">IFERROR(IF(
OR(Table1[[#This Row],[Product category]]="Service items",Table1[[#This Row],[Product category]]="Additional services",Table1[[#This Row],[Product category]]="Additional materials"),
"NOK",IF(($N$3&lt;&gt;""),VLOOKUP(Table1[[#This Row],[Product code]],INDIRECT(Aux!$A$1),6,FALSE),"")),"")</f>
        <v/>
      </c>
      <c r="P153" s="41" t="str">
        <f ca="1">IFERROR(IF(AND(Table1[[#This Row],[Quantity]]&lt;&gt;"",Table1[[#This Row],[Currency]]="NOK"),Table1[[#This Row],[Quantity]]*Table1[[#This Row],[Unit Price]],""),"")</f>
        <v/>
      </c>
      <c r="Q153" s="41" t="str">
        <f ca="1">IFERROR(IF(AND(Table1[[#This Row],[ACT_Qty]]&lt;&gt;"",Table1[[#This Row],[Currency]]="NOK"),Table1[[#This Row],[ACT_Qty]]*Table1[[#This Row],[Unit Price]],""),"")</f>
        <v/>
      </c>
      <c r="R153" s="41" t="str">
        <f ca="1">IFERROR(IF(AND(Table1[[#This Row],[Quantity]]&lt;&gt;"",Table1[[#This Row],[Currency]]="EUR"),Table1[[#This Row],[Quantity]]*Table1[[#This Row],[Unit Price]],""),"")</f>
        <v/>
      </c>
      <c r="S153" s="41" t="str">
        <f ca="1">IFERROR(IF(AND(Table1[[#This Row],[ACT_Qty]]&lt;&gt;"",Table1[[#This Row],[Currency]]="EUR"),Table1[[#This Row],[ACT_Qty]]*Table1[[#This Row],[Unit Price]],""),"")</f>
        <v/>
      </c>
      <c r="T153" s="269" t="str">
        <f ca="1">IFERROR(IF(AND(($N$3&lt;&gt;""),INDIRECT(Aux!$D$1)),VLOOKUP(Table1[[#This Row],[Product code]],Aux!B:E,4,FALSE),""),"")</f>
        <v/>
      </c>
      <c r="U153" s="145" t="str">
        <f>IFERROR(IF(OR(Table1[[#This Row],[Quantity]]&lt;&gt;"",Table1[[#This Row],[ACT_Qty]]&lt;&gt;""),Table1[[#This Row],[ACT_Qty]]-Table1[[#This Row],[Quantity]],""),"")</f>
        <v/>
      </c>
      <c r="V153" s="45"/>
      <c r="W153" s="45"/>
      <c r="X153" s="45"/>
    </row>
    <row r="154" spans="1:24" ht="15" customHeight="1">
      <c r="A154" s="143" t="str">
        <f t="shared" si="12"/>
        <v>AKH12345</v>
      </c>
      <c r="B154" s="256" t="s">
        <v>511</v>
      </c>
      <c r="C154" s="143" t="s">
        <v>512</v>
      </c>
      <c r="D154" s="105"/>
      <c r="E154" s="106" t="s">
        <v>507</v>
      </c>
      <c r="F154" s="105"/>
      <c r="G154" s="106"/>
      <c r="H154" s="199" t="s">
        <v>508</v>
      </c>
      <c r="I154" s="200" t="s">
        <v>507</v>
      </c>
      <c r="J154" s="200" t="s">
        <v>513</v>
      </c>
      <c r="K154" s="200" t="s">
        <v>52</v>
      </c>
      <c r="L154" s="145" t="s">
        <v>510</v>
      </c>
      <c r="M154" s="145" t="str">
        <f t="shared" si="11"/>
        <v>OneCo Networks AS</v>
      </c>
      <c r="N15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4" s="268" t="str">
        <f ca="1">IFERROR(IF(
OR(Table1[[#This Row],[Product category]]="Service items",Table1[[#This Row],[Product category]]="Additional services",Table1[[#This Row],[Product category]]="Additional materials"),
"NOK",IF(($N$3&lt;&gt;""),VLOOKUP(Table1[[#This Row],[Product code]],INDIRECT(Aux!$A$1),6,FALSE),"")),"")</f>
        <v/>
      </c>
      <c r="P154" s="41" t="str">
        <f ca="1">IFERROR(IF(AND(Table1[[#This Row],[Quantity]]&lt;&gt;"",Table1[[#This Row],[Currency]]="NOK"),Table1[[#This Row],[Quantity]]*Table1[[#This Row],[Unit Price]],""),"")</f>
        <v/>
      </c>
      <c r="Q154" s="41" t="str">
        <f ca="1">IFERROR(IF(AND(Table1[[#This Row],[ACT_Qty]]&lt;&gt;"",Table1[[#This Row],[Currency]]="NOK"),Table1[[#This Row],[ACT_Qty]]*Table1[[#This Row],[Unit Price]],""),"")</f>
        <v/>
      </c>
      <c r="R154" s="41" t="str">
        <f ca="1">IFERROR(IF(AND(Table1[[#This Row],[Quantity]]&lt;&gt;"",Table1[[#This Row],[Currency]]="EUR"),Table1[[#This Row],[Quantity]]*Table1[[#This Row],[Unit Price]],""),"")</f>
        <v/>
      </c>
      <c r="S154" s="41" t="str">
        <f ca="1">IFERROR(IF(AND(Table1[[#This Row],[ACT_Qty]]&lt;&gt;"",Table1[[#This Row],[Currency]]="EUR"),Table1[[#This Row],[ACT_Qty]]*Table1[[#This Row],[Unit Price]],""),"")</f>
        <v/>
      </c>
      <c r="T154" s="269" t="str">
        <f ca="1">IFERROR(IF(AND(($N$3&lt;&gt;""),INDIRECT(Aux!$D$1)),VLOOKUP(Table1[[#This Row],[Product code]],Aux!B:E,4,FALSE),""),"")</f>
        <v/>
      </c>
      <c r="U154" s="145" t="str">
        <f>IFERROR(IF(OR(Table1[[#This Row],[Quantity]]&lt;&gt;"",Table1[[#This Row],[ACT_Qty]]&lt;&gt;""),Table1[[#This Row],[ACT_Qty]]-Table1[[#This Row],[Quantity]],""),"")</f>
        <v/>
      </c>
      <c r="V154" s="45"/>
      <c r="W154" s="45"/>
      <c r="X154" s="45"/>
    </row>
    <row r="155" spans="1:24" ht="15" customHeight="1">
      <c r="A155" s="143" t="str">
        <f t="shared" si="12"/>
        <v>AKH12345</v>
      </c>
      <c r="B155" s="256" t="s">
        <v>514</v>
      </c>
      <c r="C155" s="143" t="s">
        <v>515</v>
      </c>
      <c r="D155" s="105"/>
      <c r="E155" s="106" t="s">
        <v>507</v>
      </c>
      <c r="F155" s="105"/>
      <c r="G155" s="106"/>
      <c r="H155" s="199" t="s">
        <v>508</v>
      </c>
      <c r="I155" s="200" t="s">
        <v>507</v>
      </c>
      <c r="J155" s="200" t="s">
        <v>509</v>
      </c>
      <c r="K155" s="200" t="s">
        <v>52</v>
      </c>
      <c r="L155" s="145" t="s">
        <v>510</v>
      </c>
      <c r="M155" s="145" t="str">
        <f t="shared" si="11"/>
        <v>OneCo Networks AS</v>
      </c>
      <c r="N1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5" s="268" t="str">
        <f ca="1">IFERROR(IF(
OR(Table1[[#This Row],[Product category]]="Service items",Table1[[#This Row],[Product category]]="Additional services",Table1[[#This Row],[Product category]]="Additional materials"),
"NOK",IF(($N$3&lt;&gt;""),VLOOKUP(Table1[[#This Row],[Product code]],INDIRECT(Aux!$A$1),6,FALSE),"")),"")</f>
        <v/>
      </c>
      <c r="P155" s="41" t="str">
        <f ca="1">IFERROR(IF(AND(Table1[[#This Row],[Quantity]]&lt;&gt;"",Table1[[#This Row],[Currency]]="NOK"),Table1[[#This Row],[Quantity]]*Table1[[#This Row],[Unit Price]],""),"")</f>
        <v/>
      </c>
      <c r="Q155" s="41" t="str">
        <f ca="1">IFERROR(IF(AND(Table1[[#This Row],[ACT_Qty]]&lt;&gt;"",Table1[[#This Row],[Currency]]="NOK"),Table1[[#This Row],[ACT_Qty]]*Table1[[#This Row],[Unit Price]],""),"")</f>
        <v/>
      </c>
      <c r="R155" s="41" t="str">
        <f ca="1">IFERROR(IF(AND(Table1[[#This Row],[Quantity]]&lt;&gt;"",Table1[[#This Row],[Currency]]="EUR"),Table1[[#This Row],[Quantity]]*Table1[[#This Row],[Unit Price]],""),"")</f>
        <v/>
      </c>
      <c r="S155" s="41" t="str">
        <f ca="1">IFERROR(IF(AND(Table1[[#This Row],[ACT_Qty]]&lt;&gt;"",Table1[[#This Row],[Currency]]="EUR"),Table1[[#This Row],[ACT_Qty]]*Table1[[#This Row],[Unit Price]],""),"")</f>
        <v/>
      </c>
      <c r="T155" s="269" t="str">
        <f ca="1">IFERROR(IF(AND(($N$3&lt;&gt;""),INDIRECT(Aux!$D$1)),VLOOKUP(Table1[[#This Row],[Product code]],Aux!B:E,4,FALSE),""),"")</f>
        <v/>
      </c>
      <c r="U155" s="145" t="str">
        <f>IFERROR(IF(OR(Table1[[#This Row],[Quantity]]&lt;&gt;"",Table1[[#This Row],[ACT_Qty]]&lt;&gt;""),Table1[[#This Row],[ACT_Qty]]-Table1[[#This Row],[Quantity]],""),"")</f>
        <v/>
      </c>
      <c r="V155" s="45"/>
      <c r="W155" s="45"/>
      <c r="X155" s="45"/>
    </row>
    <row r="156" spans="1:24" ht="15" customHeight="1">
      <c r="A156" s="143" t="str">
        <f t="shared" si="12"/>
        <v>AKH12345</v>
      </c>
      <c r="B156" s="256" t="s">
        <v>516</v>
      </c>
      <c r="C156" s="143" t="s">
        <v>517</v>
      </c>
      <c r="D156" s="105"/>
      <c r="E156" s="106" t="s">
        <v>507</v>
      </c>
      <c r="F156" s="105"/>
      <c r="G156" s="106"/>
      <c r="H156" s="199" t="s">
        <v>508</v>
      </c>
      <c r="I156" s="200" t="s">
        <v>507</v>
      </c>
      <c r="J156" s="200" t="s">
        <v>513</v>
      </c>
      <c r="K156" s="200" t="s">
        <v>52</v>
      </c>
      <c r="L156" s="145" t="s">
        <v>510</v>
      </c>
      <c r="M156" s="145" t="str">
        <f t="shared" si="11"/>
        <v>OneCo Networks AS</v>
      </c>
      <c r="N15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6" s="268" t="str">
        <f ca="1">IFERROR(IF(
OR(Table1[[#This Row],[Product category]]="Service items",Table1[[#This Row],[Product category]]="Additional services",Table1[[#This Row],[Product category]]="Additional materials"),
"NOK",IF(($N$3&lt;&gt;""),VLOOKUP(Table1[[#This Row],[Product code]],INDIRECT(Aux!$A$1),6,FALSE),"")),"")</f>
        <v/>
      </c>
      <c r="P156" s="41" t="str">
        <f ca="1">IFERROR(IF(AND(Table1[[#This Row],[Quantity]]&lt;&gt;"",Table1[[#This Row],[Currency]]="NOK"),Table1[[#This Row],[Quantity]]*Table1[[#This Row],[Unit Price]],""),"")</f>
        <v/>
      </c>
      <c r="Q156" s="41" t="str">
        <f ca="1">IFERROR(IF(AND(Table1[[#This Row],[ACT_Qty]]&lt;&gt;"",Table1[[#This Row],[Currency]]="NOK"),Table1[[#This Row],[ACT_Qty]]*Table1[[#This Row],[Unit Price]],""),"")</f>
        <v/>
      </c>
      <c r="R156" s="41" t="str">
        <f ca="1">IFERROR(IF(AND(Table1[[#This Row],[Quantity]]&lt;&gt;"",Table1[[#This Row],[Currency]]="EUR"),Table1[[#This Row],[Quantity]]*Table1[[#This Row],[Unit Price]],""),"")</f>
        <v/>
      </c>
      <c r="S156" s="41" t="str">
        <f ca="1">IFERROR(IF(AND(Table1[[#This Row],[ACT_Qty]]&lt;&gt;"",Table1[[#This Row],[Currency]]="EUR"),Table1[[#This Row],[ACT_Qty]]*Table1[[#This Row],[Unit Price]],""),"")</f>
        <v/>
      </c>
      <c r="T156" s="269" t="str">
        <f ca="1">IFERROR(IF(AND(($N$3&lt;&gt;""),INDIRECT(Aux!$D$1)),VLOOKUP(Table1[[#This Row],[Product code]],Aux!B:E,4,FALSE),""),"")</f>
        <v/>
      </c>
      <c r="U156" s="145" t="str">
        <f>IFERROR(IF(OR(Table1[[#This Row],[Quantity]]&lt;&gt;"",Table1[[#This Row],[ACT_Qty]]&lt;&gt;""),Table1[[#This Row],[ACT_Qty]]-Table1[[#This Row],[Quantity]],""),"")</f>
        <v/>
      </c>
      <c r="V156" s="45"/>
      <c r="W156" s="45"/>
      <c r="X156" s="45"/>
    </row>
    <row r="157" spans="1:24" ht="15" customHeight="1">
      <c r="A157" s="143" t="str">
        <f t="shared" si="12"/>
        <v>AKH12345</v>
      </c>
      <c r="B157" s="256" t="s">
        <v>518</v>
      </c>
      <c r="C157" s="143" t="s">
        <v>519</v>
      </c>
      <c r="D157" s="105"/>
      <c r="E157" s="106" t="s">
        <v>507</v>
      </c>
      <c r="F157" s="105"/>
      <c r="G157" s="106"/>
      <c r="H157" s="199" t="s">
        <v>520</v>
      </c>
      <c r="I157" s="200" t="s">
        <v>507</v>
      </c>
      <c r="J157" s="200" t="s">
        <v>521</v>
      </c>
      <c r="K157" s="200" t="s">
        <v>52</v>
      </c>
      <c r="L157" s="145" t="s">
        <v>510</v>
      </c>
      <c r="M157" s="145" t="str">
        <f>IF($C$3&lt;&gt;"",$C$3,"")</f>
        <v>OneCo Networks AS</v>
      </c>
      <c r="N1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7" s="268" t="str">
        <f ca="1">IFERROR(IF(
OR(Table1[[#This Row],[Product category]]="Service items",Table1[[#This Row],[Product category]]="Additional services",Table1[[#This Row],[Product category]]="Additional materials"),
"NOK",IF(($N$3&lt;&gt;""),VLOOKUP(Table1[[#This Row],[Product code]],INDIRECT(Aux!$A$1),6,FALSE),"")),"")</f>
        <v/>
      </c>
      <c r="P157" s="41" t="str">
        <f ca="1">IFERROR(IF(AND(Table1[[#This Row],[Quantity]]&lt;&gt;"",Table1[[#This Row],[Currency]]="NOK"),Table1[[#This Row],[Quantity]]*Table1[[#This Row],[Unit Price]],""),"")</f>
        <v/>
      </c>
      <c r="Q157" s="41" t="str">
        <f ca="1">IFERROR(IF(AND(Table1[[#This Row],[ACT_Qty]]&lt;&gt;"",Table1[[#This Row],[Currency]]="NOK"),Table1[[#This Row],[ACT_Qty]]*Table1[[#This Row],[Unit Price]],""),"")</f>
        <v/>
      </c>
      <c r="R157" s="41" t="str">
        <f ca="1">IFERROR(IF(AND(Table1[[#This Row],[Quantity]]&lt;&gt;"",Table1[[#This Row],[Currency]]="EUR"),Table1[[#This Row],[Quantity]]*Table1[[#This Row],[Unit Price]],""),"")</f>
        <v/>
      </c>
      <c r="S157" s="41" t="str">
        <f ca="1">IFERROR(IF(AND(Table1[[#This Row],[ACT_Qty]]&lt;&gt;"",Table1[[#This Row],[Currency]]="EUR"),Table1[[#This Row],[ACT_Qty]]*Table1[[#This Row],[Unit Price]],""),"")</f>
        <v/>
      </c>
      <c r="T157" s="269" t="str">
        <f ca="1">IFERROR(IF(AND(($N$3&lt;&gt;""),INDIRECT(Aux!$D$1)),VLOOKUP(Table1[[#This Row],[Product code]],Aux!B:E,4,FALSE),""),"")</f>
        <v/>
      </c>
      <c r="U157" s="145" t="str">
        <f>IFERROR(IF(OR(Table1[[#This Row],[Quantity]]&lt;&gt;"",Table1[[#This Row],[ACT_Qty]]&lt;&gt;""),Table1[[#This Row],[ACT_Qty]]-Table1[[#This Row],[Quantity]],""),"")</f>
        <v/>
      </c>
      <c r="V157" s="45"/>
      <c r="W157" s="45"/>
      <c r="X157" s="45"/>
    </row>
    <row r="158" spans="1:24" ht="15" customHeight="1">
      <c r="A158" s="143" t="str">
        <f t="shared" si="12"/>
        <v>AKH12345</v>
      </c>
      <c r="B158" s="256" t="s">
        <v>522</v>
      </c>
      <c r="C158" s="143" t="s">
        <v>523</v>
      </c>
      <c r="D158" s="105"/>
      <c r="E158" s="106" t="s">
        <v>507</v>
      </c>
      <c r="F158" s="105"/>
      <c r="G158" s="106"/>
      <c r="H158" s="199" t="s">
        <v>520</v>
      </c>
      <c r="I158" s="200" t="s">
        <v>507</v>
      </c>
      <c r="J158" s="200" t="s">
        <v>521</v>
      </c>
      <c r="K158" s="200" t="s">
        <v>52</v>
      </c>
      <c r="L158" s="145" t="s">
        <v>510</v>
      </c>
      <c r="M158" s="145" t="str">
        <f t="shared" ref="M158:M205" si="13">IF($C$3&lt;&gt;"",$C$3,"")</f>
        <v>OneCo Networks AS</v>
      </c>
      <c r="N15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8" s="268" t="str">
        <f ca="1">IFERROR(IF(
OR(Table1[[#This Row],[Product category]]="Service items",Table1[[#This Row],[Product category]]="Additional services",Table1[[#This Row],[Product category]]="Additional materials"),
"NOK",IF(($N$3&lt;&gt;""),VLOOKUP(Table1[[#This Row],[Product code]],INDIRECT(Aux!$A$1),6,FALSE),"")),"")</f>
        <v/>
      </c>
      <c r="P158" s="41" t="str">
        <f ca="1">IFERROR(IF(AND(Table1[[#This Row],[Quantity]]&lt;&gt;"",Table1[[#This Row],[Currency]]="NOK"),Table1[[#This Row],[Quantity]]*Table1[[#This Row],[Unit Price]],""),"")</f>
        <v/>
      </c>
      <c r="Q158" s="41" t="str">
        <f ca="1">IFERROR(IF(AND(Table1[[#This Row],[ACT_Qty]]&lt;&gt;"",Table1[[#This Row],[Currency]]="NOK"),Table1[[#This Row],[ACT_Qty]]*Table1[[#This Row],[Unit Price]],""),"")</f>
        <v/>
      </c>
      <c r="R158" s="41" t="str">
        <f ca="1">IFERROR(IF(AND(Table1[[#This Row],[Quantity]]&lt;&gt;"",Table1[[#This Row],[Currency]]="EUR"),Table1[[#This Row],[Quantity]]*Table1[[#This Row],[Unit Price]],""),"")</f>
        <v/>
      </c>
      <c r="S158" s="41" t="str">
        <f ca="1">IFERROR(IF(AND(Table1[[#This Row],[ACT_Qty]]&lt;&gt;"",Table1[[#This Row],[Currency]]="EUR"),Table1[[#This Row],[ACT_Qty]]*Table1[[#This Row],[Unit Price]],""),"")</f>
        <v/>
      </c>
      <c r="T158" s="269" t="str">
        <f ca="1">IFERROR(IF(AND(($N$3&lt;&gt;""),INDIRECT(Aux!$D$1)),VLOOKUP(Table1[[#This Row],[Product code]],Aux!B:E,4,FALSE),""),"")</f>
        <v/>
      </c>
      <c r="U158" s="145" t="str">
        <f>IFERROR(IF(OR(Table1[[#This Row],[Quantity]]&lt;&gt;"",Table1[[#This Row],[ACT_Qty]]&lt;&gt;""),Table1[[#This Row],[ACT_Qty]]-Table1[[#This Row],[Quantity]],""),"")</f>
        <v/>
      </c>
      <c r="V158" s="45"/>
      <c r="W158" s="45"/>
      <c r="X158" s="45"/>
    </row>
    <row r="159" spans="1:24" ht="15" customHeight="1">
      <c r="A159" s="143" t="str">
        <f t="shared" si="12"/>
        <v>AKH12345</v>
      </c>
      <c r="B159" s="256" t="s">
        <v>524</v>
      </c>
      <c r="C159" s="143" t="s">
        <v>525</v>
      </c>
      <c r="D159" s="105"/>
      <c r="E159" s="106" t="s">
        <v>507</v>
      </c>
      <c r="F159" s="105"/>
      <c r="G159" s="106"/>
      <c r="H159" s="199" t="s">
        <v>520</v>
      </c>
      <c r="I159" s="200" t="s">
        <v>507</v>
      </c>
      <c r="J159" s="200" t="s">
        <v>521</v>
      </c>
      <c r="K159" s="200" t="s">
        <v>52</v>
      </c>
      <c r="L159" s="145" t="s">
        <v>510</v>
      </c>
      <c r="M159" s="145" t="str">
        <f t="shared" si="13"/>
        <v>OneCo Networks AS</v>
      </c>
      <c r="N1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59" s="268" t="str">
        <f ca="1">IFERROR(IF(
OR(Table1[[#This Row],[Product category]]="Service items",Table1[[#This Row],[Product category]]="Additional services",Table1[[#This Row],[Product category]]="Additional materials"),
"NOK",IF(($N$3&lt;&gt;""),VLOOKUP(Table1[[#This Row],[Product code]],INDIRECT(Aux!$A$1),6,FALSE),"")),"")</f>
        <v/>
      </c>
      <c r="P159" s="41" t="str">
        <f ca="1">IFERROR(IF(AND(Table1[[#This Row],[Quantity]]&lt;&gt;"",Table1[[#This Row],[Currency]]="NOK"),Table1[[#This Row],[Quantity]]*Table1[[#This Row],[Unit Price]],""),"")</f>
        <v/>
      </c>
      <c r="Q159" s="41" t="str">
        <f ca="1">IFERROR(IF(AND(Table1[[#This Row],[ACT_Qty]]&lt;&gt;"",Table1[[#This Row],[Currency]]="NOK"),Table1[[#This Row],[ACT_Qty]]*Table1[[#This Row],[Unit Price]],""),"")</f>
        <v/>
      </c>
      <c r="R159" s="41" t="str">
        <f ca="1">IFERROR(IF(AND(Table1[[#This Row],[Quantity]]&lt;&gt;"",Table1[[#This Row],[Currency]]="EUR"),Table1[[#This Row],[Quantity]]*Table1[[#This Row],[Unit Price]],""),"")</f>
        <v/>
      </c>
      <c r="S159" s="41" t="str">
        <f ca="1">IFERROR(IF(AND(Table1[[#This Row],[ACT_Qty]]&lt;&gt;"",Table1[[#This Row],[Currency]]="EUR"),Table1[[#This Row],[ACT_Qty]]*Table1[[#This Row],[Unit Price]],""),"")</f>
        <v/>
      </c>
      <c r="T159" s="269" t="str">
        <f ca="1">IFERROR(IF(AND(($N$3&lt;&gt;""),INDIRECT(Aux!$D$1)),VLOOKUP(Table1[[#This Row],[Product code]],Aux!B:E,4,FALSE),""),"")</f>
        <v/>
      </c>
      <c r="U159" s="145" t="str">
        <f>IFERROR(IF(OR(Table1[[#This Row],[Quantity]]&lt;&gt;"",Table1[[#This Row],[ACT_Qty]]&lt;&gt;""),Table1[[#This Row],[ACT_Qty]]-Table1[[#This Row],[Quantity]],""),"")</f>
        <v/>
      </c>
      <c r="V159" s="45"/>
      <c r="W159" s="45"/>
      <c r="X159" s="45"/>
    </row>
    <row r="160" spans="1:24" ht="15" customHeight="1">
      <c r="A160" s="143" t="str">
        <f t="shared" si="12"/>
        <v>AKH12345</v>
      </c>
      <c r="B160" s="256" t="s">
        <v>526</v>
      </c>
      <c r="C160" s="143" t="s">
        <v>527</v>
      </c>
      <c r="D160" s="105"/>
      <c r="E160" s="106" t="s">
        <v>507</v>
      </c>
      <c r="F160" s="105"/>
      <c r="G160" s="106"/>
      <c r="H160" s="199" t="s">
        <v>520</v>
      </c>
      <c r="I160" s="200" t="s">
        <v>507</v>
      </c>
      <c r="J160" s="200" t="s">
        <v>528</v>
      </c>
      <c r="K160" s="200" t="s">
        <v>52</v>
      </c>
      <c r="L160" s="145" t="s">
        <v>510</v>
      </c>
      <c r="M160" s="145" t="str">
        <f t="shared" si="13"/>
        <v>OneCo Networks AS</v>
      </c>
      <c r="N16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0" s="268" t="str">
        <f ca="1">IFERROR(IF(
OR(Table1[[#This Row],[Product category]]="Service items",Table1[[#This Row],[Product category]]="Additional services",Table1[[#This Row],[Product category]]="Additional materials"),
"NOK",IF(($N$3&lt;&gt;""),VLOOKUP(Table1[[#This Row],[Product code]],INDIRECT(Aux!$A$1),6,FALSE),"")),"")</f>
        <v/>
      </c>
      <c r="P160" s="41" t="str">
        <f ca="1">IFERROR(IF(AND(Table1[[#This Row],[Quantity]]&lt;&gt;"",Table1[[#This Row],[Currency]]="NOK"),Table1[[#This Row],[Quantity]]*Table1[[#This Row],[Unit Price]],""),"")</f>
        <v/>
      </c>
      <c r="Q160" s="41" t="str">
        <f ca="1">IFERROR(IF(AND(Table1[[#This Row],[ACT_Qty]]&lt;&gt;"",Table1[[#This Row],[Currency]]="NOK"),Table1[[#This Row],[ACT_Qty]]*Table1[[#This Row],[Unit Price]],""),"")</f>
        <v/>
      </c>
      <c r="R160" s="41" t="str">
        <f ca="1">IFERROR(IF(AND(Table1[[#This Row],[Quantity]]&lt;&gt;"",Table1[[#This Row],[Currency]]="EUR"),Table1[[#This Row],[Quantity]]*Table1[[#This Row],[Unit Price]],""),"")</f>
        <v/>
      </c>
      <c r="S160" s="41" t="str">
        <f ca="1">IFERROR(IF(AND(Table1[[#This Row],[ACT_Qty]]&lt;&gt;"",Table1[[#This Row],[Currency]]="EUR"),Table1[[#This Row],[ACT_Qty]]*Table1[[#This Row],[Unit Price]],""),"")</f>
        <v/>
      </c>
      <c r="T160" s="269" t="str">
        <f ca="1">IFERROR(IF(AND(($N$3&lt;&gt;""),INDIRECT(Aux!$D$1)),VLOOKUP(Table1[[#This Row],[Product code]],Aux!B:E,4,FALSE),""),"")</f>
        <v/>
      </c>
      <c r="U160" s="145" t="str">
        <f>IFERROR(IF(OR(Table1[[#This Row],[Quantity]]&lt;&gt;"",Table1[[#This Row],[ACT_Qty]]&lt;&gt;""),Table1[[#This Row],[ACT_Qty]]-Table1[[#This Row],[Quantity]],""),"")</f>
        <v/>
      </c>
      <c r="V160" s="45"/>
      <c r="W160" s="45"/>
      <c r="X160" s="45"/>
    </row>
    <row r="161" spans="1:24" ht="14.45" customHeight="1">
      <c r="A161" s="143" t="str">
        <f t="shared" si="12"/>
        <v>AKH12345</v>
      </c>
      <c r="B161" s="256" t="s">
        <v>529</v>
      </c>
      <c r="C161" s="143" t="s">
        <v>530</v>
      </c>
      <c r="D161" s="105"/>
      <c r="E161" s="106" t="s">
        <v>507</v>
      </c>
      <c r="F161" s="105"/>
      <c r="G161" s="106"/>
      <c r="H161" s="199" t="s">
        <v>520</v>
      </c>
      <c r="I161" s="200" t="s">
        <v>507</v>
      </c>
      <c r="J161" s="200" t="s">
        <v>528</v>
      </c>
      <c r="K161" s="200" t="s">
        <v>52</v>
      </c>
      <c r="L161" s="145" t="s">
        <v>510</v>
      </c>
      <c r="M161" s="145" t="str">
        <f t="shared" si="13"/>
        <v>OneCo Networks AS</v>
      </c>
      <c r="N1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1" s="268" t="str">
        <f ca="1">IFERROR(IF(
OR(Table1[[#This Row],[Product category]]="Service items",Table1[[#This Row],[Product category]]="Additional services",Table1[[#This Row],[Product category]]="Additional materials"),
"NOK",IF(($N$3&lt;&gt;""),VLOOKUP(Table1[[#This Row],[Product code]],INDIRECT(Aux!$A$1),6,FALSE),"")),"")</f>
        <v/>
      </c>
      <c r="P161" s="41" t="str">
        <f ca="1">IFERROR(IF(AND(Table1[[#This Row],[Quantity]]&lt;&gt;"",Table1[[#This Row],[Currency]]="NOK"),Table1[[#This Row],[Quantity]]*Table1[[#This Row],[Unit Price]],""),"")</f>
        <v/>
      </c>
      <c r="Q161" s="41" t="str">
        <f ca="1">IFERROR(IF(AND(Table1[[#This Row],[ACT_Qty]]&lt;&gt;"",Table1[[#This Row],[Currency]]="NOK"),Table1[[#This Row],[ACT_Qty]]*Table1[[#This Row],[Unit Price]],""),"")</f>
        <v/>
      </c>
      <c r="R161" s="41" t="str">
        <f ca="1">IFERROR(IF(AND(Table1[[#This Row],[Quantity]]&lt;&gt;"",Table1[[#This Row],[Currency]]="EUR"),Table1[[#This Row],[Quantity]]*Table1[[#This Row],[Unit Price]],""),"")</f>
        <v/>
      </c>
      <c r="S161" s="41" t="str">
        <f ca="1">IFERROR(IF(AND(Table1[[#This Row],[ACT_Qty]]&lt;&gt;"",Table1[[#This Row],[Currency]]="EUR"),Table1[[#This Row],[ACT_Qty]]*Table1[[#This Row],[Unit Price]],""),"")</f>
        <v/>
      </c>
      <c r="T161" s="269" t="str">
        <f ca="1">IFERROR(IF(AND(($N$3&lt;&gt;""),INDIRECT(Aux!$D$1)),VLOOKUP(Table1[[#This Row],[Product code]],Aux!B:E,4,FALSE),""),"")</f>
        <v/>
      </c>
      <c r="U161" s="145" t="str">
        <f>IFERROR(IF(OR(Table1[[#This Row],[Quantity]]&lt;&gt;"",Table1[[#This Row],[ACT_Qty]]&lt;&gt;""),Table1[[#This Row],[ACT_Qty]]-Table1[[#This Row],[Quantity]],""),"")</f>
        <v/>
      </c>
      <c r="V161" s="45"/>
      <c r="W161" s="45"/>
      <c r="X161" s="45"/>
    </row>
    <row r="162" spans="1:24" ht="15" customHeight="1">
      <c r="A162" s="143" t="str">
        <f t="shared" si="12"/>
        <v>AKH12345</v>
      </c>
      <c r="B162" s="256" t="s">
        <v>531</v>
      </c>
      <c r="C162" s="143" t="s">
        <v>532</v>
      </c>
      <c r="D162" s="105"/>
      <c r="E162" s="106"/>
      <c r="F162" s="105"/>
      <c r="G162" s="106"/>
      <c r="H162" s="199" t="s">
        <v>533</v>
      </c>
      <c r="I162" s="200" t="s">
        <v>534</v>
      </c>
      <c r="J162" s="200" t="s">
        <v>535</v>
      </c>
      <c r="K162" s="200" t="s">
        <v>52</v>
      </c>
      <c r="L162" s="145" t="s">
        <v>510</v>
      </c>
      <c r="M162" s="145" t="str">
        <f t="shared" si="13"/>
        <v>OneCo Networks AS</v>
      </c>
      <c r="N16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2" s="268" t="str">
        <f ca="1">IFERROR(IF(
OR(Table1[[#This Row],[Product category]]="Service items",Table1[[#This Row],[Product category]]="Additional services",Table1[[#This Row],[Product category]]="Additional materials"),
"NOK",IF(($N$3&lt;&gt;""),VLOOKUP(Table1[[#This Row],[Product code]],INDIRECT(Aux!$A$1),6,FALSE),"")),"")</f>
        <v/>
      </c>
      <c r="P162" s="41" t="str">
        <f ca="1">IFERROR(IF(AND(Table1[[#This Row],[Quantity]]&lt;&gt;"",Table1[[#This Row],[Currency]]="NOK"),Table1[[#This Row],[Quantity]]*Table1[[#This Row],[Unit Price]],""),"")</f>
        <v/>
      </c>
      <c r="Q162" s="41" t="str">
        <f ca="1">IFERROR(IF(AND(Table1[[#This Row],[ACT_Qty]]&lt;&gt;"",Table1[[#This Row],[Currency]]="NOK"),Table1[[#This Row],[ACT_Qty]]*Table1[[#This Row],[Unit Price]],""),"")</f>
        <v/>
      </c>
      <c r="R162" s="41" t="str">
        <f ca="1">IFERROR(IF(AND(Table1[[#This Row],[Quantity]]&lt;&gt;"",Table1[[#This Row],[Currency]]="EUR"),Table1[[#This Row],[Quantity]]*Table1[[#This Row],[Unit Price]],""),"")</f>
        <v/>
      </c>
      <c r="S162" s="41" t="str">
        <f ca="1">IFERROR(IF(AND(Table1[[#This Row],[ACT_Qty]]&lt;&gt;"",Table1[[#This Row],[Currency]]="EUR"),Table1[[#This Row],[ACT_Qty]]*Table1[[#This Row],[Unit Price]],""),"")</f>
        <v/>
      </c>
      <c r="T162" s="269" t="str">
        <f ca="1">IFERROR(IF(AND(($N$3&lt;&gt;""),INDIRECT(Aux!$D$1)),VLOOKUP(Table1[[#This Row],[Product code]],Aux!B:E,4,FALSE),""),"")</f>
        <v/>
      </c>
      <c r="U162" s="145" t="str">
        <f>IFERROR(IF(OR(Table1[[#This Row],[Quantity]]&lt;&gt;"",Table1[[#This Row],[ACT_Qty]]&lt;&gt;""),Table1[[#This Row],[ACT_Qty]]-Table1[[#This Row],[Quantity]],""),"")</f>
        <v/>
      </c>
      <c r="V162" s="45"/>
      <c r="W162" s="45"/>
      <c r="X162" s="45"/>
    </row>
    <row r="163" spans="1:24" ht="15" customHeight="1">
      <c r="A163" s="143" t="str">
        <f t="shared" si="12"/>
        <v>AKH12345</v>
      </c>
      <c r="B163" s="256" t="s">
        <v>536</v>
      </c>
      <c r="C163" s="143" t="s">
        <v>537</v>
      </c>
      <c r="D163" s="105"/>
      <c r="E163" s="106"/>
      <c r="F163" s="105"/>
      <c r="G163" s="106"/>
      <c r="H163" s="199" t="s">
        <v>533</v>
      </c>
      <c r="I163" s="200" t="s">
        <v>534</v>
      </c>
      <c r="J163" s="200" t="s">
        <v>538</v>
      </c>
      <c r="K163" s="200" t="s">
        <v>52</v>
      </c>
      <c r="L163" s="145" t="s">
        <v>510</v>
      </c>
      <c r="M163" s="145" t="str">
        <f t="shared" si="13"/>
        <v>OneCo Networks AS</v>
      </c>
      <c r="N1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3" s="268" t="str">
        <f ca="1">IFERROR(IF(
OR(Table1[[#This Row],[Product category]]="Service items",Table1[[#This Row],[Product category]]="Additional services",Table1[[#This Row],[Product category]]="Additional materials"),
"NOK",IF(($N$3&lt;&gt;""),VLOOKUP(Table1[[#This Row],[Product code]],INDIRECT(Aux!$A$1),6,FALSE),"")),"")</f>
        <v/>
      </c>
      <c r="P163" s="41" t="str">
        <f ca="1">IFERROR(IF(AND(Table1[[#This Row],[Quantity]]&lt;&gt;"",Table1[[#This Row],[Currency]]="NOK"),Table1[[#This Row],[Quantity]]*Table1[[#This Row],[Unit Price]],""),"")</f>
        <v/>
      </c>
      <c r="Q163" s="41" t="str">
        <f ca="1">IFERROR(IF(AND(Table1[[#This Row],[ACT_Qty]]&lt;&gt;"",Table1[[#This Row],[Currency]]="NOK"),Table1[[#This Row],[ACT_Qty]]*Table1[[#This Row],[Unit Price]],""),"")</f>
        <v/>
      </c>
      <c r="R163" s="41" t="str">
        <f ca="1">IFERROR(IF(AND(Table1[[#This Row],[Quantity]]&lt;&gt;"",Table1[[#This Row],[Currency]]="EUR"),Table1[[#This Row],[Quantity]]*Table1[[#This Row],[Unit Price]],""),"")</f>
        <v/>
      </c>
      <c r="S163" s="41" t="str">
        <f ca="1">IFERROR(IF(AND(Table1[[#This Row],[ACT_Qty]]&lt;&gt;"",Table1[[#This Row],[Currency]]="EUR"),Table1[[#This Row],[ACT_Qty]]*Table1[[#This Row],[Unit Price]],""),"")</f>
        <v/>
      </c>
      <c r="T163" s="269" t="str">
        <f ca="1">IFERROR(IF(AND(($N$3&lt;&gt;""),INDIRECT(Aux!$D$1)),VLOOKUP(Table1[[#This Row],[Product code]],Aux!B:E,4,FALSE),""),"")</f>
        <v/>
      </c>
      <c r="U163" s="145" t="str">
        <f>IFERROR(IF(OR(Table1[[#This Row],[Quantity]]&lt;&gt;"",Table1[[#This Row],[ACT_Qty]]&lt;&gt;""),Table1[[#This Row],[ACT_Qty]]-Table1[[#This Row],[Quantity]],""),"")</f>
        <v/>
      </c>
      <c r="V163" s="45"/>
      <c r="W163" s="45"/>
      <c r="X163" s="45"/>
    </row>
    <row r="164" spans="1:24" ht="15" customHeight="1">
      <c r="A164" s="143" t="str">
        <f t="shared" si="12"/>
        <v>AKH12345</v>
      </c>
      <c r="B164" s="256" t="s">
        <v>539</v>
      </c>
      <c r="C164" s="143" t="s">
        <v>540</v>
      </c>
      <c r="D164" s="105"/>
      <c r="E164" s="106" t="s">
        <v>541</v>
      </c>
      <c r="F164" s="105"/>
      <c r="G164" s="106"/>
      <c r="H164" s="199" t="s">
        <v>542</v>
      </c>
      <c r="I164" s="200" t="s">
        <v>534</v>
      </c>
      <c r="J164" s="200" t="s">
        <v>535</v>
      </c>
      <c r="K164" s="200" t="s">
        <v>52</v>
      </c>
      <c r="L164" s="145" t="s">
        <v>510</v>
      </c>
      <c r="M164" s="145" t="str">
        <f t="shared" si="13"/>
        <v>OneCo Networks AS</v>
      </c>
      <c r="N16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4" s="268" t="str">
        <f ca="1">IFERROR(IF(
OR(Table1[[#This Row],[Product category]]="Service items",Table1[[#This Row],[Product category]]="Additional services",Table1[[#This Row],[Product category]]="Additional materials"),
"NOK",IF(($N$3&lt;&gt;""),VLOOKUP(Table1[[#This Row],[Product code]],INDIRECT(Aux!$A$1),6,FALSE),"")),"")</f>
        <v/>
      </c>
      <c r="P164" s="41" t="str">
        <f ca="1">IFERROR(IF(AND(Table1[[#This Row],[Quantity]]&lt;&gt;"",Table1[[#This Row],[Currency]]="NOK"),Table1[[#This Row],[Quantity]]*Table1[[#This Row],[Unit Price]],""),"")</f>
        <v/>
      </c>
      <c r="Q164" s="41" t="str">
        <f ca="1">IFERROR(IF(AND(Table1[[#This Row],[ACT_Qty]]&lt;&gt;"",Table1[[#This Row],[Currency]]="NOK"),Table1[[#This Row],[ACT_Qty]]*Table1[[#This Row],[Unit Price]],""),"")</f>
        <v/>
      </c>
      <c r="R164" s="41" t="str">
        <f ca="1">IFERROR(IF(AND(Table1[[#This Row],[Quantity]]&lt;&gt;"",Table1[[#This Row],[Currency]]="EUR"),Table1[[#This Row],[Quantity]]*Table1[[#This Row],[Unit Price]],""),"")</f>
        <v/>
      </c>
      <c r="S164" s="41" t="str">
        <f ca="1">IFERROR(IF(AND(Table1[[#This Row],[ACT_Qty]]&lt;&gt;"",Table1[[#This Row],[Currency]]="EUR"),Table1[[#This Row],[ACT_Qty]]*Table1[[#This Row],[Unit Price]],""),"")</f>
        <v/>
      </c>
      <c r="T164" s="269" t="str">
        <f ca="1">IFERROR(IF(AND(($N$3&lt;&gt;""),INDIRECT(Aux!$D$1)),VLOOKUP(Table1[[#This Row],[Product code]],Aux!B:E,4,FALSE),""),"")</f>
        <v/>
      </c>
      <c r="U164" s="145" t="str">
        <f>IFERROR(IF(OR(Table1[[#This Row],[Quantity]]&lt;&gt;"",Table1[[#This Row],[ACT_Qty]]&lt;&gt;""),Table1[[#This Row],[ACT_Qty]]-Table1[[#This Row],[Quantity]],""),"")</f>
        <v/>
      </c>
      <c r="V164" s="45"/>
      <c r="W164" s="45"/>
      <c r="X164" s="45"/>
    </row>
    <row r="165" spans="1:24">
      <c r="A165" s="143" t="str">
        <f t="shared" si="12"/>
        <v>AKH12345</v>
      </c>
      <c r="B165" s="256" t="s">
        <v>543</v>
      </c>
      <c r="C165" s="143" t="s">
        <v>544</v>
      </c>
      <c r="D165" s="105"/>
      <c r="E165" s="106" t="s">
        <v>541</v>
      </c>
      <c r="F165" s="105"/>
      <c r="G165" s="106"/>
      <c r="H165" s="199" t="s">
        <v>545</v>
      </c>
      <c r="I165" s="200" t="s">
        <v>534</v>
      </c>
      <c r="J165" s="200" t="s">
        <v>535</v>
      </c>
      <c r="K165" s="200" t="s">
        <v>52</v>
      </c>
      <c r="L165" s="145" t="s">
        <v>510</v>
      </c>
      <c r="M165" s="145" t="str">
        <f t="shared" si="13"/>
        <v>OneCo Networks AS</v>
      </c>
      <c r="N1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5" s="268" t="str">
        <f ca="1">IFERROR(IF(
OR(Table1[[#This Row],[Product category]]="Service items",Table1[[#This Row],[Product category]]="Additional services",Table1[[#This Row],[Product category]]="Additional materials"),
"NOK",IF(($N$3&lt;&gt;""),VLOOKUP(Table1[[#This Row],[Product code]],INDIRECT(Aux!$A$1),6,FALSE),"")),"")</f>
        <v/>
      </c>
      <c r="P165" s="41" t="str">
        <f ca="1">IFERROR(IF(AND(Table1[[#This Row],[Quantity]]&lt;&gt;"",Table1[[#This Row],[Currency]]="NOK"),Table1[[#This Row],[Quantity]]*Table1[[#This Row],[Unit Price]],""),"")</f>
        <v/>
      </c>
      <c r="Q165" s="41" t="str">
        <f ca="1">IFERROR(IF(AND(Table1[[#This Row],[ACT_Qty]]&lt;&gt;"",Table1[[#This Row],[Currency]]="NOK"),Table1[[#This Row],[ACT_Qty]]*Table1[[#This Row],[Unit Price]],""),"")</f>
        <v/>
      </c>
      <c r="R165" s="41" t="str">
        <f ca="1">IFERROR(IF(AND(Table1[[#This Row],[Quantity]]&lt;&gt;"",Table1[[#This Row],[Currency]]="EUR"),Table1[[#This Row],[Quantity]]*Table1[[#This Row],[Unit Price]],""),"")</f>
        <v/>
      </c>
      <c r="S165" s="41" t="str">
        <f ca="1">IFERROR(IF(AND(Table1[[#This Row],[ACT_Qty]]&lt;&gt;"",Table1[[#This Row],[Currency]]="EUR"),Table1[[#This Row],[ACT_Qty]]*Table1[[#This Row],[Unit Price]],""),"")</f>
        <v/>
      </c>
      <c r="T165" s="269" t="str">
        <f ca="1">IFERROR(IF(AND(($N$3&lt;&gt;""),INDIRECT(Aux!$D$1)),VLOOKUP(Table1[[#This Row],[Product code]],Aux!B:E,4,FALSE),""),"")</f>
        <v/>
      </c>
      <c r="U165" s="145" t="str">
        <f>IFERROR(IF(OR(Table1[[#This Row],[Quantity]]&lt;&gt;"",Table1[[#This Row],[ACT_Qty]]&lt;&gt;""),Table1[[#This Row],[ACT_Qty]]-Table1[[#This Row],[Quantity]],""),"")</f>
        <v/>
      </c>
      <c r="V165" s="45"/>
      <c r="W165" s="45"/>
      <c r="X165" s="45"/>
    </row>
    <row r="166" spans="1:24" ht="14.45" customHeight="1">
      <c r="A166" s="143" t="str">
        <f t="shared" si="12"/>
        <v>AKH12345</v>
      </c>
      <c r="B166" s="256" t="s">
        <v>546</v>
      </c>
      <c r="C166" s="143" t="s">
        <v>547</v>
      </c>
      <c r="D166" s="105"/>
      <c r="E166" s="106" t="s">
        <v>548</v>
      </c>
      <c r="F166" s="105"/>
      <c r="G166" s="106"/>
      <c r="H166" s="199" t="s">
        <v>549</v>
      </c>
      <c r="I166" s="200" t="s">
        <v>534</v>
      </c>
      <c r="J166" s="200" t="s">
        <v>535</v>
      </c>
      <c r="K166" s="200" t="s">
        <v>52</v>
      </c>
      <c r="L166" s="145" t="s">
        <v>510</v>
      </c>
      <c r="M166" s="145" t="str">
        <f t="shared" si="13"/>
        <v>OneCo Networks AS</v>
      </c>
      <c r="N16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6" s="268" t="str">
        <f ca="1">IFERROR(IF(
OR(Table1[[#This Row],[Product category]]="Service items",Table1[[#This Row],[Product category]]="Additional services",Table1[[#This Row],[Product category]]="Additional materials"),
"NOK",IF(($N$3&lt;&gt;""),VLOOKUP(Table1[[#This Row],[Product code]],INDIRECT(Aux!$A$1),6,FALSE),"")),"")</f>
        <v/>
      </c>
      <c r="P166" s="41" t="str">
        <f ca="1">IFERROR(IF(AND(Table1[[#This Row],[Quantity]]&lt;&gt;"",Table1[[#This Row],[Currency]]="NOK"),Table1[[#This Row],[Quantity]]*Table1[[#This Row],[Unit Price]],""),"")</f>
        <v/>
      </c>
      <c r="Q166" s="41" t="str">
        <f ca="1">IFERROR(IF(AND(Table1[[#This Row],[ACT_Qty]]&lt;&gt;"",Table1[[#This Row],[Currency]]="NOK"),Table1[[#This Row],[ACT_Qty]]*Table1[[#This Row],[Unit Price]],""),"")</f>
        <v/>
      </c>
      <c r="R166" s="41" t="str">
        <f ca="1">IFERROR(IF(AND(Table1[[#This Row],[Quantity]]&lt;&gt;"",Table1[[#This Row],[Currency]]="EUR"),Table1[[#This Row],[Quantity]]*Table1[[#This Row],[Unit Price]],""),"")</f>
        <v/>
      </c>
      <c r="S166" s="41" t="str">
        <f ca="1">IFERROR(IF(AND(Table1[[#This Row],[ACT_Qty]]&lt;&gt;"",Table1[[#This Row],[Currency]]="EUR"),Table1[[#This Row],[ACT_Qty]]*Table1[[#This Row],[Unit Price]],""),"")</f>
        <v/>
      </c>
      <c r="T166" s="269" t="str">
        <f ca="1">IFERROR(IF(AND(($N$3&lt;&gt;""),INDIRECT(Aux!$D$1)),VLOOKUP(Table1[[#This Row],[Product code]],Aux!B:E,4,FALSE),""),"")</f>
        <v/>
      </c>
      <c r="U166" s="145" t="str">
        <f>IFERROR(IF(OR(Table1[[#This Row],[Quantity]]&lt;&gt;"",Table1[[#This Row],[ACT_Qty]]&lt;&gt;""),Table1[[#This Row],[ACT_Qty]]-Table1[[#This Row],[Quantity]],""),"")</f>
        <v/>
      </c>
      <c r="V166" s="45"/>
      <c r="W166" s="45"/>
      <c r="X166" s="45"/>
    </row>
    <row r="167" spans="1:24" ht="14.45" customHeight="1">
      <c r="A167" s="143" t="str">
        <f t="shared" si="12"/>
        <v>AKH12345</v>
      </c>
      <c r="B167" s="256" t="s">
        <v>550</v>
      </c>
      <c r="C167" s="143" t="s">
        <v>551</v>
      </c>
      <c r="D167" s="105"/>
      <c r="E167" s="106" t="s">
        <v>552</v>
      </c>
      <c r="F167" s="105"/>
      <c r="G167" s="106"/>
      <c r="H167" s="199" t="s">
        <v>553</v>
      </c>
      <c r="I167" s="200" t="s">
        <v>534</v>
      </c>
      <c r="J167" s="200" t="s">
        <v>535</v>
      </c>
      <c r="K167" s="200" t="s">
        <v>52</v>
      </c>
      <c r="L167" s="145" t="s">
        <v>510</v>
      </c>
      <c r="M167" s="145" t="str">
        <f t="shared" si="13"/>
        <v>OneCo Networks AS</v>
      </c>
      <c r="N1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7" s="268" t="str">
        <f ca="1">IFERROR(IF(
OR(Table1[[#This Row],[Product category]]="Service items",Table1[[#This Row],[Product category]]="Additional services",Table1[[#This Row],[Product category]]="Additional materials"),
"NOK",IF(($N$3&lt;&gt;""),VLOOKUP(Table1[[#This Row],[Product code]],INDIRECT(Aux!$A$1),6,FALSE),"")),"")</f>
        <v/>
      </c>
      <c r="P167" s="41" t="str">
        <f ca="1">IFERROR(IF(AND(Table1[[#This Row],[Quantity]]&lt;&gt;"",Table1[[#This Row],[Currency]]="NOK"),Table1[[#This Row],[Quantity]]*Table1[[#This Row],[Unit Price]],""),"")</f>
        <v/>
      </c>
      <c r="Q167" s="41" t="str">
        <f ca="1">IFERROR(IF(AND(Table1[[#This Row],[ACT_Qty]]&lt;&gt;"",Table1[[#This Row],[Currency]]="NOK"),Table1[[#This Row],[ACT_Qty]]*Table1[[#This Row],[Unit Price]],""),"")</f>
        <v/>
      </c>
      <c r="R167" s="41" t="str">
        <f ca="1">IFERROR(IF(AND(Table1[[#This Row],[Quantity]]&lt;&gt;"",Table1[[#This Row],[Currency]]="EUR"),Table1[[#This Row],[Quantity]]*Table1[[#This Row],[Unit Price]],""),"")</f>
        <v/>
      </c>
      <c r="S167" s="41" t="str">
        <f ca="1">IFERROR(IF(AND(Table1[[#This Row],[ACT_Qty]]&lt;&gt;"",Table1[[#This Row],[Currency]]="EUR"),Table1[[#This Row],[ACT_Qty]]*Table1[[#This Row],[Unit Price]],""),"")</f>
        <v/>
      </c>
      <c r="T167" s="269" t="str">
        <f ca="1">IFERROR(IF(AND(($N$3&lt;&gt;""),INDIRECT(Aux!$D$1)),VLOOKUP(Table1[[#This Row],[Product code]],Aux!B:E,4,FALSE),""),"")</f>
        <v/>
      </c>
      <c r="U167" s="145" t="str">
        <f>IFERROR(IF(OR(Table1[[#This Row],[Quantity]]&lt;&gt;"",Table1[[#This Row],[ACT_Qty]]&lt;&gt;""),Table1[[#This Row],[ACT_Qty]]-Table1[[#This Row],[Quantity]],""),"")</f>
        <v/>
      </c>
      <c r="V167" s="45"/>
      <c r="W167" s="45"/>
      <c r="X167" s="45"/>
    </row>
    <row r="168" spans="1:24" ht="14.45" customHeight="1">
      <c r="A168" s="143" t="str">
        <f t="shared" si="12"/>
        <v>AKH12345</v>
      </c>
      <c r="B168" s="256" t="s">
        <v>554</v>
      </c>
      <c r="C168" s="143" t="s">
        <v>555</v>
      </c>
      <c r="D168" s="105"/>
      <c r="E168" s="106" t="s">
        <v>552</v>
      </c>
      <c r="F168" s="105"/>
      <c r="G168" s="106"/>
      <c r="H168" s="199" t="s">
        <v>556</v>
      </c>
      <c r="I168" s="200" t="s">
        <v>534</v>
      </c>
      <c r="J168" s="200" t="s">
        <v>535</v>
      </c>
      <c r="K168" s="200" t="s">
        <v>52</v>
      </c>
      <c r="L168" s="145" t="s">
        <v>510</v>
      </c>
      <c r="M168" s="145" t="str">
        <f t="shared" si="13"/>
        <v>OneCo Networks AS</v>
      </c>
      <c r="N16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8" s="268" t="str">
        <f ca="1">IFERROR(IF(
OR(Table1[[#This Row],[Product category]]="Service items",Table1[[#This Row],[Product category]]="Additional services",Table1[[#This Row],[Product category]]="Additional materials"),
"NOK",IF(($N$3&lt;&gt;""),VLOOKUP(Table1[[#This Row],[Product code]],INDIRECT(Aux!$A$1),6,FALSE),"")),"")</f>
        <v/>
      </c>
      <c r="P168" s="41" t="str">
        <f ca="1">IFERROR(IF(AND(Table1[[#This Row],[Quantity]]&lt;&gt;"",Table1[[#This Row],[Currency]]="NOK"),Table1[[#This Row],[Quantity]]*Table1[[#This Row],[Unit Price]],""),"")</f>
        <v/>
      </c>
      <c r="Q168" s="41" t="str">
        <f ca="1">IFERROR(IF(AND(Table1[[#This Row],[ACT_Qty]]&lt;&gt;"",Table1[[#This Row],[Currency]]="NOK"),Table1[[#This Row],[ACT_Qty]]*Table1[[#This Row],[Unit Price]],""),"")</f>
        <v/>
      </c>
      <c r="R168" s="41" t="str">
        <f ca="1">IFERROR(IF(AND(Table1[[#This Row],[Quantity]]&lt;&gt;"",Table1[[#This Row],[Currency]]="EUR"),Table1[[#This Row],[Quantity]]*Table1[[#This Row],[Unit Price]],""),"")</f>
        <v/>
      </c>
      <c r="S168" s="41" t="str">
        <f ca="1">IFERROR(IF(AND(Table1[[#This Row],[ACT_Qty]]&lt;&gt;"",Table1[[#This Row],[Currency]]="EUR"),Table1[[#This Row],[ACT_Qty]]*Table1[[#This Row],[Unit Price]],""),"")</f>
        <v/>
      </c>
      <c r="T168" s="269" t="str">
        <f ca="1">IFERROR(IF(AND(($N$3&lt;&gt;""),INDIRECT(Aux!$D$1)),VLOOKUP(Table1[[#This Row],[Product code]],Aux!B:E,4,FALSE),""),"")</f>
        <v/>
      </c>
      <c r="U168" s="145" t="str">
        <f>IFERROR(IF(OR(Table1[[#This Row],[Quantity]]&lt;&gt;"",Table1[[#This Row],[ACT_Qty]]&lt;&gt;""),Table1[[#This Row],[ACT_Qty]]-Table1[[#This Row],[Quantity]],""),"")</f>
        <v/>
      </c>
      <c r="V168" s="45"/>
      <c r="W168" s="45"/>
      <c r="X168" s="45"/>
    </row>
    <row r="169" spans="1:24" ht="14.65" customHeight="1">
      <c r="A169" s="143" t="str">
        <f t="shared" si="12"/>
        <v>AKH12345</v>
      </c>
      <c r="B169" s="256" t="s">
        <v>557</v>
      </c>
      <c r="C169" s="143" t="s">
        <v>558</v>
      </c>
      <c r="D169" s="105"/>
      <c r="E169" s="106" t="s">
        <v>559</v>
      </c>
      <c r="F169" s="105"/>
      <c r="G169" s="106"/>
      <c r="H169" s="199" t="s">
        <v>560</v>
      </c>
      <c r="I169" s="200" t="s">
        <v>534</v>
      </c>
      <c r="J169" s="200" t="s">
        <v>535</v>
      </c>
      <c r="K169" s="200" t="s">
        <v>52</v>
      </c>
      <c r="L169" s="145" t="s">
        <v>510</v>
      </c>
      <c r="M169" s="145" t="str">
        <f t="shared" si="13"/>
        <v>OneCo Networks AS</v>
      </c>
      <c r="N1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69" s="268" t="str">
        <f ca="1">IFERROR(IF(
OR(Table1[[#This Row],[Product category]]="Service items",Table1[[#This Row],[Product category]]="Additional services",Table1[[#This Row],[Product category]]="Additional materials"),
"NOK",IF(($N$3&lt;&gt;""),VLOOKUP(Table1[[#This Row],[Product code]],INDIRECT(Aux!$A$1),6,FALSE),"")),"")</f>
        <v/>
      </c>
      <c r="P169" s="41" t="str">
        <f ca="1">IFERROR(IF(AND(Table1[[#This Row],[Quantity]]&lt;&gt;"",Table1[[#This Row],[Currency]]="NOK"),Table1[[#This Row],[Quantity]]*Table1[[#This Row],[Unit Price]],""),"")</f>
        <v/>
      </c>
      <c r="Q169" s="41" t="str">
        <f ca="1">IFERROR(IF(AND(Table1[[#This Row],[ACT_Qty]]&lt;&gt;"",Table1[[#This Row],[Currency]]="NOK"),Table1[[#This Row],[ACT_Qty]]*Table1[[#This Row],[Unit Price]],""),"")</f>
        <v/>
      </c>
      <c r="R169" s="41" t="str">
        <f ca="1">IFERROR(IF(AND(Table1[[#This Row],[Quantity]]&lt;&gt;"",Table1[[#This Row],[Currency]]="EUR"),Table1[[#This Row],[Quantity]]*Table1[[#This Row],[Unit Price]],""),"")</f>
        <v/>
      </c>
      <c r="S169" s="41" t="str">
        <f ca="1">IFERROR(IF(AND(Table1[[#This Row],[ACT_Qty]]&lt;&gt;"",Table1[[#This Row],[Currency]]="EUR"),Table1[[#This Row],[ACT_Qty]]*Table1[[#This Row],[Unit Price]],""),"")</f>
        <v/>
      </c>
      <c r="T169" s="269" t="str">
        <f ca="1">IFERROR(IF(AND(($N$3&lt;&gt;""),INDIRECT(Aux!$D$1)),VLOOKUP(Table1[[#This Row],[Product code]],Aux!B:E,4,FALSE),""),"")</f>
        <v/>
      </c>
      <c r="U169" s="145" t="str">
        <f>IFERROR(IF(OR(Table1[[#This Row],[Quantity]]&lt;&gt;"",Table1[[#This Row],[ACT_Qty]]&lt;&gt;""),Table1[[#This Row],[ACT_Qty]]-Table1[[#This Row],[Quantity]],""),"")</f>
        <v/>
      </c>
      <c r="V169" s="45"/>
      <c r="W169" s="45"/>
      <c r="X169" s="45"/>
    </row>
    <row r="170" spans="1:24" ht="15" customHeight="1">
      <c r="A170" s="143" t="str">
        <f t="shared" si="12"/>
        <v>AKH12345</v>
      </c>
      <c r="B170" s="256" t="s">
        <v>561</v>
      </c>
      <c r="C170" s="143" t="s">
        <v>562</v>
      </c>
      <c r="D170" s="105"/>
      <c r="E170" s="106"/>
      <c r="F170" s="105"/>
      <c r="G170" s="106"/>
      <c r="H170" s="199" t="s">
        <v>563</v>
      </c>
      <c r="I170" s="200" t="s">
        <v>507</v>
      </c>
      <c r="J170" s="200" t="s">
        <v>528</v>
      </c>
      <c r="K170" s="200" t="s">
        <v>52</v>
      </c>
      <c r="L170" s="145" t="s">
        <v>510</v>
      </c>
      <c r="M170" s="145" t="str">
        <f t="shared" si="13"/>
        <v>OneCo Networks AS</v>
      </c>
      <c r="N17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0" s="268" t="str">
        <f ca="1">IFERROR(IF(
OR(Table1[[#This Row],[Product category]]="Service items",Table1[[#This Row],[Product category]]="Additional services",Table1[[#This Row],[Product category]]="Additional materials"),
"NOK",IF(($N$3&lt;&gt;""),VLOOKUP(Table1[[#This Row],[Product code]],INDIRECT(Aux!$A$1),6,FALSE),"")),"")</f>
        <v/>
      </c>
      <c r="P170" s="41" t="str">
        <f ca="1">IFERROR(IF(AND(Table1[[#This Row],[Quantity]]&lt;&gt;"",Table1[[#This Row],[Currency]]="NOK"),Table1[[#This Row],[Quantity]]*Table1[[#This Row],[Unit Price]],""),"")</f>
        <v/>
      </c>
      <c r="Q170" s="41" t="str">
        <f ca="1">IFERROR(IF(AND(Table1[[#This Row],[ACT_Qty]]&lt;&gt;"",Table1[[#This Row],[Currency]]="NOK"),Table1[[#This Row],[ACT_Qty]]*Table1[[#This Row],[Unit Price]],""),"")</f>
        <v/>
      </c>
      <c r="R170" s="41" t="str">
        <f ca="1">IFERROR(IF(AND(Table1[[#This Row],[Quantity]]&lt;&gt;"",Table1[[#This Row],[Currency]]="EUR"),Table1[[#This Row],[Quantity]]*Table1[[#This Row],[Unit Price]],""),"")</f>
        <v/>
      </c>
      <c r="S170" s="41" t="str">
        <f ca="1">IFERROR(IF(AND(Table1[[#This Row],[ACT_Qty]]&lt;&gt;"",Table1[[#This Row],[Currency]]="EUR"),Table1[[#This Row],[ACT_Qty]]*Table1[[#This Row],[Unit Price]],""),"")</f>
        <v/>
      </c>
      <c r="T170" s="269" t="str">
        <f ca="1">IFERROR(IF(AND(($N$3&lt;&gt;""),INDIRECT(Aux!$D$1)),VLOOKUP(Table1[[#This Row],[Product code]],Aux!B:E,4,FALSE),""),"")</f>
        <v/>
      </c>
      <c r="U170" s="145" t="str">
        <f>IFERROR(IF(OR(Table1[[#This Row],[Quantity]]&lt;&gt;"",Table1[[#This Row],[ACT_Qty]]&lt;&gt;""),Table1[[#This Row],[ACT_Qty]]-Table1[[#This Row],[Quantity]],""),"")</f>
        <v/>
      </c>
      <c r="V170" s="45"/>
      <c r="W170" s="45"/>
      <c r="X170" s="45"/>
    </row>
    <row r="171" spans="1:24" ht="15" customHeight="1">
      <c r="A171" s="143" t="str">
        <f t="shared" si="12"/>
        <v>AKH12345</v>
      </c>
      <c r="B171" s="256" t="s">
        <v>564</v>
      </c>
      <c r="C171" s="143" t="s">
        <v>565</v>
      </c>
      <c r="D171" s="105"/>
      <c r="E171" s="106"/>
      <c r="F171" s="105"/>
      <c r="G171" s="106"/>
      <c r="H171" s="199" t="s">
        <v>566</v>
      </c>
      <c r="I171" s="200" t="s">
        <v>507</v>
      </c>
      <c r="J171" s="200" t="s">
        <v>528</v>
      </c>
      <c r="K171" s="200" t="s">
        <v>52</v>
      </c>
      <c r="L171" s="145" t="s">
        <v>510</v>
      </c>
      <c r="M171" s="145" t="str">
        <f t="shared" si="13"/>
        <v>OneCo Networks AS</v>
      </c>
      <c r="N1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1" s="268" t="str">
        <f ca="1">IFERROR(IF(
OR(Table1[[#This Row],[Product category]]="Service items",Table1[[#This Row],[Product category]]="Additional services",Table1[[#This Row],[Product category]]="Additional materials"),
"NOK",IF(($N$3&lt;&gt;""),VLOOKUP(Table1[[#This Row],[Product code]],INDIRECT(Aux!$A$1),6,FALSE),"")),"")</f>
        <v/>
      </c>
      <c r="P171" s="41" t="str">
        <f ca="1">IFERROR(IF(AND(Table1[[#This Row],[Quantity]]&lt;&gt;"",Table1[[#This Row],[Currency]]="NOK"),Table1[[#This Row],[Quantity]]*Table1[[#This Row],[Unit Price]],""),"")</f>
        <v/>
      </c>
      <c r="Q171" s="41" t="str">
        <f ca="1">IFERROR(IF(AND(Table1[[#This Row],[ACT_Qty]]&lt;&gt;"",Table1[[#This Row],[Currency]]="NOK"),Table1[[#This Row],[ACT_Qty]]*Table1[[#This Row],[Unit Price]],""),"")</f>
        <v/>
      </c>
      <c r="R171" s="41" t="str">
        <f ca="1">IFERROR(IF(AND(Table1[[#This Row],[Quantity]]&lt;&gt;"",Table1[[#This Row],[Currency]]="EUR"),Table1[[#This Row],[Quantity]]*Table1[[#This Row],[Unit Price]],""),"")</f>
        <v/>
      </c>
      <c r="S171" s="41" t="str">
        <f ca="1">IFERROR(IF(AND(Table1[[#This Row],[ACT_Qty]]&lt;&gt;"",Table1[[#This Row],[Currency]]="EUR"),Table1[[#This Row],[ACT_Qty]]*Table1[[#This Row],[Unit Price]],""),"")</f>
        <v/>
      </c>
      <c r="T171" s="269" t="str">
        <f ca="1">IFERROR(IF(AND(($N$3&lt;&gt;""),INDIRECT(Aux!$D$1)),VLOOKUP(Table1[[#This Row],[Product code]],Aux!B:E,4,FALSE),""),"")</f>
        <v/>
      </c>
      <c r="U171" s="145" t="str">
        <f>IFERROR(IF(OR(Table1[[#This Row],[Quantity]]&lt;&gt;"",Table1[[#This Row],[ACT_Qty]]&lt;&gt;""),Table1[[#This Row],[ACT_Qty]]-Table1[[#This Row],[Quantity]],""),"")</f>
        <v/>
      </c>
      <c r="V171" s="45"/>
      <c r="W171" s="45"/>
      <c r="X171" s="45"/>
    </row>
    <row r="172" spans="1:24" ht="15" customHeight="1">
      <c r="A172" s="143" t="str">
        <f t="shared" si="12"/>
        <v>AKH12345</v>
      </c>
      <c r="B172" s="256">
        <v>1716909</v>
      </c>
      <c r="C172" s="143" t="s">
        <v>567</v>
      </c>
      <c r="D172" s="105"/>
      <c r="E172" s="106"/>
      <c r="F172" s="105"/>
      <c r="G172" s="106"/>
      <c r="H172" s="199" t="s">
        <v>568</v>
      </c>
      <c r="I172" s="200" t="s">
        <v>507</v>
      </c>
      <c r="J172" s="200" t="s">
        <v>569</v>
      </c>
      <c r="K172" s="200" t="s">
        <v>52</v>
      </c>
      <c r="L172" s="145" t="s">
        <v>510</v>
      </c>
      <c r="M172" s="145" t="str">
        <f t="shared" si="13"/>
        <v>OneCo Networks AS</v>
      </c>
      <c r="N17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2" s="268" t="str">
        <f ca="1">IFERROR(IF(
OR(Table1[[#This Row],[Product category]]="Service items",Table1[[#This Row],[Product category]]="Additional services",Table1[[#This Row],[Product category]]="Additional materials"),
"NOK",IF(($N$3&lt;&gt;""),VLOOKUP(Table1[[#This Row],[Product code]],INDIRECT(Aux!$A$1),6,FALSE),"")),"")</f>
        <v/>
      </c>
      <c r="P172" s="41" t="str">
        <f ca="1">IFERROR(IF(AND(Table1[[#This Row],[Quantity]]&lt;&gt;"",Table1[[#This Row],[Currency]]="NOK"),Table1[[#This Row],[Quantity]]*Table1[[#This Row],[Unit Price]],""),"")</f>
        <v/>
      </c>
      <c r="Q172" s="41" t="str">
        <f ca="1">IFERROR(IF(AND(Table1[[#This Row],[ACT_Qty]]&lt;&gt;"",Table1[[#This Row],[Currency]]="NOK"),Table1[[#This Row],[ACT_Qty]]*Table1[[#This Row],[Unit Price]],""),"")</f>
        <v/>
      </c>
      <c r="R172" s="41" t="str">
        <f ca="1">IFERROR(IF(AND(Table1[[#This Row],[Quantity]]&lt;&gt;"",Table1[[#This Row],[Currency]]="EUR"),Table1[[#This Row],[Quantity]]*Table1[[#This Row],[Unit Price]],""),"")</f>
        <v/>
      </c>
      <c r="S172" s="41" t="str">
        <f ca="1">IFERROR(IF(AND(Table1[[#This Row],[ACT_Qty]]&lt;&gt;"",Table1[[#This Row],[Currency]]="EUR"),Table1[[#This Row],[ACT_Qty]]*Table1[[#This Row],[Unit Price]],""),"")</f>
        <v/>
      </c>
      <c r="T172" s="269" t="str">
        <f ca="1">IFERROR(IF(AND(($N$3&lt;&gt;""),INDIRECT(Aux!$D$1)),VLOOKUP(Table1[[#This Row],[Product code]],Aux!B:E,4,FALSE),""),"")</f>
        <v/>
      </c>
      <c r="U172" s="145" t="str">
        <f>IFERROR(IF(OR(Table1[[#This Row],[Quantity]]&lt;&gt;"",Table1[[#This Row],[ACT_Qty]]&lt;&gt;""),Table1[[#This Row],[ACT_Qty]]-Table1[[#This Row],[Quantity]],""),"")</f>
        <v/>
      </c>
      <c r="V172" s="45"/>
      <c r="W172" s="45"/>
      <c r="X172" s="45"/>
    </row>
    <row r="173" spans="1:24" ht="15" customHeight="1">
      <c r="A173" s="143" t="str">
        <f t="shared" si="12"/>
        <v>AKH12345</v>
      </c>
      <c r="B173" s="256" t="s">
        <v>570</v>
      </c>
      <c r="C173" s="143" t="s">
        <v>571</v>
      </c>
      <c r="D173" s="105"/>
      <c r="E173" s="106"/>
      <c r="F173" s="105"/>
      <c r="G173" s="106"/>
      <c r="H173" s="199" t="s">
        <v>572</v>
      </c>
      <c r="I173" s="200" t="s">
        <v>507</v>
      </c>
      <c r="J173" s="200" t="s">
        <v>569</v>
      </c>
      <c r="K173" s="200" t="s">
        <v>52</v>
      </c>
      <c r="L173" s="145" t="s">
        <v>510</v>
      </c>
      <c r="M173" s="145" t="str">
        <f t="shared" si="13"/>
        <v>OneCo Networks AS</v>
      </c>
      <c r="N1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3" s="268" t="str">
        <f ca="1">IFERROR(IF(
OR(Table1[[#This Row],[Product category]]="Service items",Table1[[#This Row],[Product category]]="Additional services",Table1[[#This Row],[Product category]]="Additional materials"),
"NOK",IF(($N$3&lt;&gt;""),VLOOKUP(Table1[[#This Row],[Product code]],INDIRECT(Aux!$A$1),6,FALSE),"")),"")</f>
        <v/>
      </c>
      <c r="P173" s="41" t="str">
        <f ca="1">IFERROR(IF(AND(Table1[[#This Row],[Quantity]]&lt;&gt;"",Table1[[#This Row],[Currency]]="NOK"),Table1[[#This Row],[Quantity]]*Table1[[#This Row],[Unit Price]],""),"")</f>
        <v/>
      </c>
      <c r="Q173" s="41" t="str">
        <f ca="1">IFERROR(IF(AND(Table1[[#This Row],[ACT_Qty]]&lt;&gt;"",Table1[[#This Row],[Currency]]="NOK"),Table1[[#This Row],[ACT_Qty]]*Table1[[#This Row],[Unit Price]],""),"")</f>
        <v/>
      </c>
      <c r="R173" s="41" t="str">
        <f ca="1">IFERROR(IF(AND(Table1[[#This Row],[Quantity]]&lt;&gt;"",Table1[[#This Row],[Currency]]="EUR"),Table1[[#This Row],[Quantity]]*Table1[[#This Row],[Unit Price]],""),"")</f>
        <v/>
      </c>
      <c r="S173" s="41" t="str">
        <f ca="1">IFERROR(IF(AND(Table1[[#This Row],[ACT_Qty]]&lt;&gt;"",Table1[[#This Row],[Currency]]="EUR"),Table1[[#This Row],[ACT_Qty]]*Table1[[#This Row],[Unit Price]],""),"")</f>
        <v/>
      </c>
      <c r="T173" s="269" t="str">
        <f ca="1">IFERROR(IF(AND(($N$3&lt;&gt;""),INDIRECT(Aux!$D$1)),VLOOKUP(Table1[[#This Row],[Product code]],Aux!B:E,4,FALSE),""),"")</f>
        <v/>
      </c>
      <c r="U173" s="145" t="str">
        <f>IFERROR(IF(OR(Table1[[#This Row],[Quantity]]&lt;&gt;"",Table1[[#This Row],[ACT_Qty]]&lt;&gt;""),Table1[[#This Row],[ACT_Qty]]-Table1[[#This Row],[Quantity]],""),"")</f>
        <v/>
      </c>
      <c r="V173" s="45"/>
      <c r="W173" s="45"/>
      <c r="X173" s="45"/>
    </row>
    <row r="174" spans="1:24" ht="15" customHeight="1">
      <c r="A174" s="143" t="str">
        <f t="shared" si="12"/>
        <v>AKH12345</v>
      </c>
      <c r="B174" s="256" t="s">
        <v>573</v>
      </c>
      <c r="C174" s="143" t="s">
        <v>574</v>
      </c>
      <c r="D174" s="105"/>
      <c r="E174" s="106"/>
      <c r="F174" s="105"/>
      <c r="G174" s="106"/>
      <c r="H174" s="199" t="s">
        <v>572</v>
      </c>
      <c r="I174" s="200" t="s">
        <v>507</v>
      </c>
      <c r="J174" s="200" t="s">
        <v>569</v>
      </c>
      <c r="K174" s="200" t="s">
        <v>52</v>
      </c>
      <c r="L174" s="145" t="s">
        <v>510</v>
      </c>
      <c r="M174" s="145" t="str">
        <f t="shared" ref="M174:M180" si="14">IF($C$3&lt;&gt;"",$C$3,"")</f>
        <v>OneCo Networks AS</v>
      </c>
      <c r="N17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4" s="268" t="str">
        <f ca="1">IFERROR(IF(
OR(Table1[[#This Row],[Product category]]="Service items",Table1[[#This Row],[Product category]]="Additional services",Table1[[#This Row],[Product category]]="Additional materials"),
"NOK",IF(($N$3&lt;&gt;""),VLOOKUP(Table1[[#This Row],[Product code]],INDIRECT(Aux!$A$1),6,FALSE),"")),"")</f>
        <v/>
      </c>
      <c r="P174" s="41" t="str">
        <f ca="1">IFERROR(IF(AND(Table1[[#This Row],[Quantity]]&lt;&gt;"",Table1[[#This Row],[Currency]]="NOK"),Table1[[#This Row],[Quantity]]*Table1[[#This Row],[Unit Price]],""),"")</f>
        <v/>
      </c>
      <c r="Q174" s="41" t="str">
        <f ca="1">IFERROR(IF(AND(Table1[[#This Row],[ACT_Qty]]&lt;&gt;"",Table1[[#This Row],[Currency]]="NOK"),Table1[[#This Row],[ACT_Qty]]*Table1[[#This Row],[Unit Price]],""),"")</f>
        <v/>
      </c>
      <c r="R174" s="41" t="str">
        <f ca="1">IFERROR(IF(AND(Table1[[#This Row],[Quantity]]&lt;&gt;"",Table1[[#This Row],[Currency]]="EUR"),Table1[[#This Row],[Quantity]]*Table1[[#This Row],[Unit Price]],""),"")</f>
        <v/>
      </c>
      <c r="S174" s="41" t="str">
        <f ca="1">IFERROR(IF(AND(Table1[[#This Row],[ACT_Qty]]&lt;&gt;"",Table1[[#This Row],[Currency]]="EUR"),Table1[[#This Row],[ACT_Qty]]*Table1[[#This Row],[Unit Price]],""),"")</f>
        <v/>
      </c>
      <c r="T174" s="269" t="str">
        <f ca="1">IFERROR(IF(AND(($N$3&lt;&gt;""),INDIRECT(Aux!$D$1)),VLOOKUP(Table1[[#This Row],[Product code]],Aux!B:E,4,FALSE),""),"")</f>
        <v/>
      </c>
      <c r="U174" s="145" t="str">
        <f>IFERROR(IF(OR(Table1[[#This Row],[Quantity]]&lt;&gt;"",Table1[[#This Row],[ACT_Qty]]&lt;&gt;""),Table1[[#This Row],[ACT_Qty]]-Table1[[#This Row],[Quantity]],""),"")</f>
        <v/>
      </c>
      <c r="V174" s="45"/>
      <c r="W174" s="45"/>
      <c r="X174" s="45"/>
    </row>
    <row r="175" spans="1:24" ht="15" customHeight="1">
      <c r="A175" s="143" t="str">
        <f t="shared" si="12"/>
        <v>AKH12345</v>
      </c>
      <c r="B175" s="256" t="s">
        <v>575</v>
      </c>
      <c r="C175" s="143" t="s">
        <v>576</v>
      </c>
      <c r="D175" s="105"/>
      <c r="E175" s="106"/>
      <c r="F175" s="105"/>
      <c r="G175" s="106"/>
      <c r="H175" s="199" t="s">
        <v>572</v>
      </c>
      <c r="I175" s="200" t="s">
        <v>507</v>
      </c>
      <c r="J175" s="200" t="s">
        <v>569</v>
      </c>
      <c r="K175" s="200" t="s">
        <v>52</v>
      </c>
      <c r="L175" s="145" t="s">
        <v>510</v>
      </c>
      <c r="M175" s="145" t="str">
        <f t="shared" si="14"/>
        <v>OneCo Networks AS</v>
      </c>
      <c r="N1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5" s="268" t="str">
        <f ca="1">IFERROR(IF(
OR(Table1[[#This Row],[Product category]]="Service items",Table1[[#This Row],[Product category]]="Additional services",Table1[[#This Row],[Product category]]="Additional materials"),
"NOK",IF(($N$3&lt;&gt;""),VLOOKUP(Table1[[#This Row],[Product code]],INDIRECT(Aux!$A$1),6,FALSE),"")),"")</f>
        <v/>
      </c>
      <c r="P175" s="41" t="str">
        <f ca="1">IFERROR(IF(AND(Table1[[#This Row],[Quantity]]&lt;&gt;"",Table1[[#This Row],[Currency]]="NOK"),Table1[[#This Row],[Quantity]]*Table1[[#This Row],[Unit Price]],""),"")</f>
        <v/>
      </c>
      <c r="Q175" s="41" t="str">
        <f ca="1">IFERROR(IF(AND(Table1[[#This Row],[ACT_Qty]]&lt;&gt;"",Table1[[#This Row],[Currency]]="NOK"),Table1[[#This Row],[ACT_Qty]]*Table1[[#This Row],[Unit Price]],""),"")</f>
        <v/>
      </c>
      <c r="R175" s="41" t="str">
        <f ca="1">IFERROR(IF(AND(Table1[[#This Row],[Quantity]]&lt;&gt;"",Table1[[#This Row],[Currency]]="EUR"),Table1[[#This Row],[Quantity]]*Table1[[#This Row],[Unit Price]],""),"")</f>
        <v/>
      </c>
      <c r="S175" s="41" t="str">
        <f ca="1">IFERROR(IF(AND(Table1[[#This Row],[ACT_Qty]]&lt;&gt;"",Table1[[#This Row],[Currency]]="EUR"),Table1[[#This Row],[ACT_Qty]]*Table1[[#This Row],[Unit Price]],""),"")</f>
        <v/>
      </c>
      <c r="T175" s="269" t="str">
        <f ca="1">IFERROR(IF(AND(($N$3&lt;&gt;""),INDIRECT(Aux!$D$1)),VLOOKUP(Table1[[#This Row],[Product code]],Aux!B:E,4,FALSE),""),"")</f>
        <v/>
      </c>
      <c r="U175" s="145" t="str">
        <f>IFERROR(IF(OR(Table1[[#This Row],[Quantity]]&lt;&gt;"",Table1[[#This Row],[ACT_Qty]]&lt;&gt;""),Table1[[#This Row],[ACT_Qty]]-Table1[[#This Row],[Quantity]],""),"")</f>
        <v/>
      </c>
      <c r="V175" s="45"/>
      <c r="W175" s="45"/>
      <c r="X175" s="45"/>
    </row>
    <row r="176" spans="1:24" ht="15" customHeight="1">
      <c r="A176" s="143" t="str">
        <f t="shared" si="12"/>
        <v>AKH12345</v>
      </c>
      <c r="B176" s="256" t="s">
        <v>577</v>
      </c>
      <c r="C176" s="143" t="s">
        <v>578</v>
      </c>
      <c r="D176" s="105"/>
      <c r="E176" s="106"/>
      <c r="F176" s="105"/>
      <c r="G176" s="106"/>
      <c r="H176" s="199" t="s">
        <v>572</v>
      </c>
      <c r="I176" s="200" t="s">
        <v>507</v>
      </c>
      <c r="J176" s="200" t="s">
        <v>569</v>
      </c>
      <c r="K176" s="200" t="s">
        <v>52</v>
      </c>
      <c r="L176" s="145" t="s">
        <v>510</v>
      </c>
      <c r="M176" s="145" t="str">
        <f t="shared" si="14"/>
        <v>OneCo Networks AS</v>
      </c>
      <c r="N17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6" s="268" t="str">
        <f ca="1">IFERROR(IF(
OR(Table1[[#This Row],[Product category]]="Service items",Table1[[#This Row],[Product category]]="Additional services",Table1[[#This Row],[Product category]]="Additional materials"),
"NOK",IF(($N$3&lt;&gt;""),VLOOKUP(Table1[[#This Row],[Product code]],INDIRECT(Aux!$A$1),6,FALSE),"")),"")</f>
        <v/>
      </c>
      <c r="P176" s="41" t="str">
        <f ca="1">IFERROR(IF(AND(Table1[[#This Row],[Quantity]]&lt;&gt;"",Table1[[#This Row],[Currency]]="NOK"),Table1[[#This Row],[Quantity]]*Table1[[#This Row],[Unit Price]],""),"")</f>
        <v/>
      </c>
      <c r="Q176" s="41" t="str">
        <f ca="1">IFERROR(IF(AND(Table1[[#This Row],[ACT_Qty]]&lt;&gt;"",Table1[[#This Row],[Currency]]="NOK"),Table1[[#This Row],[ACT_Qty]]*Table1[[#This Row],[Unit Price]],""),"")</f>
        <v/>
      </c>
      <c r="R176" s="41" t="str">
        <f ca="1">IFERROR(IF(AND(Table1[[#This Row],[Quantity]]&lt;&gt;"",Table1[[#This Row],[Currency]]="EUR"),Table1[[#This Row],[Quantity]]*Table1[[#This Row],[Unit Price]],""),"")</f>
        <v/>
      </c>
      <c r="S176" s="41" t="str">
        <f ca="1">IFERROR(IF(AND(Table1[[#This Row],[ACT_Qty]]&lt;&gt;"",Table1[[#This Row],[Currency]]="EUR"),Table1[[#This Row],[ACT_Qty]]*Table1[[#This Row],[Unit Price]],""),"")</f>
        <v/>
      </c>
      <c r="T176" s="269" t="str">
        <f ca="1">IFERROR(IF(AND(($N$3&lt;&gt;""),INDIRECT(Aux!$D$1)),VLOOKUP(Table1[[#This Row],[Product code]],Aux!B:E,4,FALSE),""),"")</f>
        <v/>
      </c>
      <c r="U176" s="145" t="str">
        <f>IFERROR(IF(OR(Table1[[#This Row],[Quantity]]&lt;&gt;"",Table1[[#This Row],[ACT_Qty]]&lt;&gt;""),Table1[[#This Row],[ACT_Qty]]-Table1[[#This Row],[Quantity]],""),"")</f>
        <v/>
      </c>
      <c r="V176" s="45"/>
      <c r="W176" s="45"/>
      <c r="X176" s="45"/>
    </row>
    <row r="177" spans="1:24" ht="15" customHeight="1">
      <c r="A177" s="143" t="str">
        <f t="shared" si="12"/>
        <v>AKH12345</v>
      </c>
      <c r="B177" s="256" t="s">
        <v>579</v>
      </c>
      <c r="C177" s="143" t="s">
        <v>580</v>
      </c>
      <c r="D177" s="105"/>
      <c r="E177" s="106"/>
      <c r="F177" s="105"/>
      <c r="G177" s="106"/>
      <c r="H177" s="199" t="s">
        <v>572</v>
      </c>
      <c r="I177" s="200" t="s">
        <v>507</v>
      </c>
      <c r="J177" s="200" t="s">
        <v>569</v>
      </c>
      <c r="K177" s="200" t="s">
        <v>52</v>
      </c>
      <c r="L177" s="145" t="s">
        <v>510</v>
      </c>
      <c r="M177" s="145" t="str">
        <f t="shared" si="14"/>
        <v>OneCo Networks AS</v>
      </c>
      <c r="N1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7" s="268" t="str">
        <f ca="1">IFERROR(IF(
OR(Table1[[#This Row],[Product category]]="Service items",Table1[[#This Row],[Product category]]="Additional services",Table1[[#This Row],[Product category]]="Additional materials"),
"NOK",IF(($N$3&lt;&gt;""),VLOOKUP(Table1[[#This Row],[Product code]],INDIRECT(Aux!$A$1),6,FALSE),"")),"")</f>
        <v/>
      </c>
      <c r="P177" s="41" t="str">
        <f ca="1">IFERROR(IF(AND(Table1[[#This Row],[Quantity]]&lt;&gt;"",Table1[[#This Row],[Currency]]="NOK"),Table1[[#This Row],[Quantity]]*Table1[[#This Row],[Unit Price]],""),"")</f>
        <v/>
      </c>
      <c r="Q177" s="41" t="str">
        <f ca="1">IFERROR(IF(AND(Table1[[#This Row],[ACT_Qty]]&lt;&gt;"",Table1[[#This Row],[Currency]]="NOK"),Table1[[#This Row],[ACT_Qty]]*Table1[[#This Row],[Unit Price]],""),"")</f>
        <v/>
      </c>
      <c r="R177" s="41" t="str">
        <f ca="1">IFERROR(IF(AND(Table1[[#This Row],[Quantity]]&lt;&gt;"",Table1[[#This Row],[Currency]]="EUR"),Table1[[#This Row],[Quantity]]*Table1[[#This Row],[Unit Price]],""),"")</f>
        <v/>
      </c>
      <c r="S177" s="41" t="str">
        <f ca="1">IFERROR(IF(AND(Table1[[#This Row],[ACT_Qty]]&lt;&gt;"",Table1[[#This Row],[Currency]]="EUR"),Table1[[#This Row],[ACT_Qty]]*Table1[[#This Row],[Unit Price]],""),"")</f>
        <v/>
      </c>
      <c r="T177" s="269" t="str">
        <f ca="1">IFERROR(IF(AND(($N$3&lt;&gt;""),INDIRECT(Aux!$D$1)),VLOOKUP(Table1[[#This Row],[Product code]],Aux!B:E,4,FALSE),""),"")</f>
        <v/>
      </c>
      <c r="U177" s="145" t="str">
        <f>IFERROR(IF(OR(Table1[[#This Row],[Quantity]]&lt;&gt;"",Table1[[#This Row],[ACT_Qty]]&lt;&gt;""),Table1[[#This Row],[ACT_Qty]]-Table1[[#This Row],[Quantity]],""),"")</f>
        <v/>
      </c>
      <c r="V177" s="45"/>
      <c r="W177" s="45"/>
      <c r="X177" s="45"/>
    </row>
    <row r="178" spans="1:24" ht="15" customHeight="1">
      <c r="A178" s="143" t="str">
        <f t="shared" si="12"/>
        <v>AKH12345</v>
      </c>
      <c r="B178" s="256" t="s">
        <v>581</v>
      </c>
      <c r="C178" s="143" t="s">
        <v>582</v>
      </c>
      <c r="D178" s="105"/>
      <c r="E178" s="106"/>
      <c r="F178" s="105"/>
      <c r="G178" s="106"/>
      <c r="H178" s="199" t="s">
        <v>572</v>
      </c>
      <c r="I178" s="200" t="s">
        <v>507</v>
      </c>
      <c r="J178" s="200" t="s">
        <v>569</v>
      </c>
      <c r="K178" s="200" t="s">
        <v>52</v>
      </c>
      <c r="L178" s="145" t="s">
        <v>510</v>
      </c>
      <c r="M178" s="145" t="str">
        <f t="shared" si="14"/>
        <v>OneCo Networks AS</v>
      </c>
      <c r="N17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8" s="268" t="str">
        <f ca="1">IFERROR(IF(
OR(Table1[[#This Row],[Product category]]="Service items",Table1[[#This Row],[Product category]]="Additional services",Table1[[#This Row],[Product category]]="Additional materials"),
"NOK",IF(($N$3&lt;&gt;""),VLOOKUP(Table1[[#This Row],[Product code]],INDIRECT(Aux!$A$1),6,FALSE),"")),"")</f>
        <v/>
      </c>
      <c r="P178" s="41" t="str">
        <f ca="1">IFERROR(IF(AND(Table1[[#This Row],[Quantity]]&lt;&gt;"",Table1[[#This Row],[Currency]]="NOK"),Table1[[#This Row],[Quantity]]*Table1[[#This Row],[Unit Price]],""),"")</f>
        <v/>
      </c>
      <c r="Q178" s="41" t="str">
        <f ca="1">IFERROR(IF(AND(Table1[[#This Row],[ACT_Qty]]&lt;&gt;"",Table1[[#This Row],[Currency]]="NOK"),Table1[[#This Row],[ACT_Qty]]*Table1[[#This Row],[Unit Price]],""),"")</f>
        <v/>
      </c>
      <c r="R178" s="41" t="str">
        <f ca="1">IFERROR(IF(AND(Table1[[#This Row],[Quantity]]&lt;&gt;"",Table1[[#This Row],[Currency]]="EUR"),Table1[[#This Row],[Quantity]]*Table1[[#This Row],[Unit Price]],""),"")</f>
        <v/>
      </c>
      <c r="S178" s="41" t="str">
        <f ca="1">IFERROR(IF(AND(Table1[[#This Row],[ACT_Qty]]&lt;&gt;"",Table1[[#This Row],[Currency]]="EUR"),Table1[[#This Row],[ACT_Qty]]*Table1[[#This Row],[Unit Price]],""),"")</f>
        <v/>
      </c>
      <c r="T178" s="269" t="str">
        <f ca="1">IFERROR(IF(AND(($N$3&lt;&gt;""),INDIRECT(Aux!$D$1)),VLOOKUP(Table1[[#This Row],[Product code]],Aux!B:E,4,FALSE),""),"")</f>
        <v/>
      </c>
      <c r="U178" s="145" t="str">
        <f>IFERROR(IF(OR(Table1[[#This Row],[Quantity]]&lt;&gt;"",Table1[[#This Row],[ACT_Qty]]&lt;&gt;""),Table1[[#This Row],[ACT_Qty]]-Table1[[#This Row],[Quantity]],""),"")</f>
        <v/>
      </c>
      <c r="V178" s="45"/>
      <c r="W178" s="45"/>
      <c r="X178" s="45"/>
    </row>
    <row r="179" spans="1:24" ht="15" customHeight="1">
      <c r="A179" s="143" t="str">
        <f t="shared" si="12"/>
        <v>AKH12345</v>
      </c>
      <c r="B179" s="256">
        <v>1695194</v>
      </c>
      <c r="C179" s="143" t="s">
        <v>583</v>
      </c>
      <c r="D179" s="105"/>
      <c r="E179" s="106"/>
      <c r="F179" s="105"/>
      <c r="G179" s="106"/>
      <c r="H179" s="199" t="s">
        <v>572</v>
      </c>
      <c r="I179" s="200" t="s">
        <v>507</v>
      </c>
      <c r="J179" s="200" t="s">
        <v>569</v>
      </c>
      <c r="K179" s="200" t="s">
        <v>52</v>
      </c>
      <c r="L179" s="145" t="s">
        <v>510</v>
      </c>
      <c r="M179" s="145" t="str">
        <f>IF($C$3&lt;&gt;"",$C$3,"")</f>
        <v>OneCo Networks AS</v>
      </c>
      <c r="N1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79" s="268" t="str">
        <f ca="1">IFERROR(IF(
OR(Table1[[#This Row],[Product category]]="Service items",Table1[[#This Row],[Product category]]="Additional services",Table1[[#This Row],[Product category]]="Additional materials"),
"NOK",IF(($N$3&lt;&gt;""),VLOOKUP(Table1[[#This Row],[Product code]],INDIRECT(Aux!$A$1),6,FALSE),"")),"")</f>
        <v/>
      </c>
      <c r="P179" s="41" t="str">
        <f ca="1">IFERROR(IF(AND(Table1[[#This Row],[Quantity]]&lt;&gt;"",Table1[[#This Row],[Currency]]="NOK"),Table1[[#This Row],[Quantity]]*Table1[[#This Row],[Unit Price]],""),"")</f>
        <v/>
      </c>
      <c r="Q179" s="41" t="str">
        <f ca="1">IFERROR(IF(AND(Table1[[#This Row],[ACT_Qty]]&lt;&gt;"",Table1[[#This Row],[Currency]]="NOK"),Table1[[#This Row],[ACT_Qty]]*Table1[[#This Row],[Unit Price]],""),"")</f>
        <v/>
      </c>
      <c r="R179" s="41" t="str">
        <f ca="1">IFERROR(IF(AND(Table1[[#This Row],[Quantity]]&lt;&gt;"",Table1[[#This Row],[Currency]]="EUR"),Table1[[#This Row],[Quantity]]*Table1[[#This Row],[Unit Price]],""),"")</f>
        <v/>
      </c>
      <c r="S179" s="41" t="str">
        <f ca="1">IFERROR(IF(AND(Table1[[#This Row],[ACT_Qty]]&lt;&gt;"",Table1[[#This Row],[Currency]]="EUR"),Table1[[#This Row],[ACT_Qty]]*Table1[[#This Row],[Unit Price]],""),"")</f>
        <v/>
      </c>
      <c r="T179" s="269" t="str">
        <f ca="1">IFERROR(IF(AND(($N$3&lt;&gt;""),INDIRECT(Aux!$D$1)),VLOOKUP(Table1[[#This Row],[Product code]],Aux!B:E,4,FALSE),""),"")</f>
        <v/>
      </c>
      <c r="U179" s="145" t="str">
        <f>IFERROR(IF(OR(Table1[[#This Row],[Quantity]]&lt;&gt;"",Table1[[#This Row],[ACT_Qty]]&lt;&gt;""),Table1[[#This Row],[ACT_Qty]]-Table1[[#This Row],[Quantity]],""),"")</f>
        <v/>
      </c>
      <c r="V179" s="45"/>
      <c r="W179" s="45"/>
      <c r="X179" s="45"/>
    </row>
    <row r="180" spans="1:24" ht="15" customHeight="1">
      <c r="A180" s="143" t="str">
        <f t="shared" si="12"/>
        <v>AKH12345</v>
      </c>
      <c r="B180" s="256" t="s">
        <v>584</v>
      </c>
      <c r="C180" s="143" t="s">
        <v>585</v>
      </c>
      <c r="D180" s="105"/>
      <c r="E180" s="106"/>
      <c r="F180" s="105"/>
      <c r="G180" s="106"/>
      <c r="H180" s="199" t="s">
        <v>586</v>
      </c>
      <c r="I180" s="200" t="s">
        <v>507</v>
      </c>
      <c r="J180" s="200" t="s">
        <v>569</v>
      </c>
      <c r="K180" s="200" t="s">
        <v>52</v>
      </c>
      <c r="L180" s="145" t="s">
        <v>152</v>
      </c>
      <c r="M180" s="145" t="str">
        <f t="shared" si="14"/>
        <v>OneCo Networks AS</v>
      </c>
      <c r="N18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0" s="268" t="str">
        <f ca="1">IFERROR(IF(
OR(Table1[[#This Row],[Product category]]="Service items",Table1[[#This Row],[Product category]]="Additional services",Table1[[#This Row],[Product category]]="Additional materials"),
"NOK",IF(($N$3&lt;&gt;""),VLOOKUP(Table1[[#This Row],[Product code]],INDIRECT(Aux!$A$1),6,FALSE),"")),"")</f>
        <v/>
      </c>
      <c r="P180" s="41" t="str">
        <f ca="1">IFERROR(IF(AND(Table1[[#This Row],[Quantity]]&lt;&gt;"",Table1[[#This Row],[Currency]]="NOK"),Table1[[#This Row],[Quantity]]*Table1[[#This Row],[Unit Price]],""),"")</f>
        <v/>
      </c>
      <c r="Q180" s="41" t="str">
        <f ca="1">IFERROR(IF(AND(Table1[[#This Row],[ACT_Qty]]&lt;&gt;"",Table1[[#This Row],[Currency]]="NOK"),Table1[[#This Row],[ACT_Qty]]*Table1[[#This Row],[Unit Price]],""),"")</f>
        <v/>
      </c>
      <c r="R180" s="41" t="str">
        <f ca="1">IFERROR(IF(AND(Table1[[#This Row],[Quantity]]&lt;&gt;"",Table1[[#This Row],[Currency]]="EUR"),Table1[[#This Row],[Quantity]]*Table1[[#This Row],[Unit Price]],""),"")</f>
        <v/>
      </c>
      <c r="S180" s="41" t="str">
        <f ca="1">IFERROR(IF(AND(Table1[[#This Row],[ACT_Qty]]&lt;&gt;"",Table1[[#This Row],[Currency]]="EUR"),Table1[[#This Row],[ACT_Qty]]*Table1[[#This Row],[Unit Price]],""),"")</f>
        <v/>
      </c>
      <c r="T180" s="269" t="str">
        <f ca="1">IFERROR(IF(AND(($N$3&lt;&gt;""),INDIRECT(Aux!$D$1)),VLOOKUP(Table1[[#This Row],[Product code]],Aux!B:E,4,FALSE),""),"")</f>
        <v/>
      </c>
      <c r="U180" s="145" t="str">
        <f>IFERROR(IF(OR(Table1[[#This Row],[Quantity]]&lt;&gt;"",Table1[[#This Row],[ACT_Qty]]&lt;&gt;""),Table1[[#This Row],[ACT_Qty]]-Table1[[#This Row],[Quantity]],""),"")</f>
        <v/>
      </c>
      <c r="V180" s="45"/>
      <c r="W180" s="45"/>
      <c r="X180" s="45"/>
    </row>
    <row r="181" spans="1:24" ht="15" customHeight="1">
      <c r="A181" s="143" t="str">
        <f t="shared" si="12"/>
        <v>AKH12345</v>
      </c>
      <c r="B181" s="256" t="s">
        <v>587</v>
      </c>
      <c r="C181" s="143" t="s">
        <v>588</v>
      </c>
      <c r="D181" s="105"/>
      <c r="E181" s="106" t="s">
        <v>589</v>
      </c>
      <c r="F181" s="105"/>
      <c r="G181" s="106"/>
      <c r="H181" s="199" t="s">
        <v>590</v>
      </c>
      <c r="I181" s="200" t="s">
        <v>507</v>
      </c>
      <c r="J181" s="200" t="s">
        <v>588</v>
      </c>
      <c r="K181" s="200" t="s">
        <v>52</v>
      </c>
      <c r="L181" s="145" t="s">
        <v>152</v>
      </c>
      <c r="M181" s="145" t="str">
        <f t="shared" si="13"/>
        <v>OneCo Networks AS</v>
      </c>
      <c r="N1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1" s="268" t="str">
        <f ca="1">IFERROR(IF(
OR(Table1[[#This Row],[Product category]]="Service items",Table1[[#This Row],[Product category]]="Additional services",Table1[[#This Row],[Product category]]="Additional materials"),
"NOK",IF(($N$3&lt;&gt;""),VLOOKUP(Table1[[#This Row],[Product code]],INDIRECT(Aux!$A$1),6,FALSE),"")),"")</f>
        <v/>
      </c>
      <c r="P181" s="41" t="str">
        <f ca="1">IFERROR(IF(AND(Table1[[#This Row],[Quantity]]&lt;&gt;"",Table1[[#This Row],[Currency]]="NOK"),Table1[[#This Row],[Quantity]]*Table1[[#This Row],[Unit Price]],""),"")</f>
        <v/>
      </c>
      <c r="Q181" s="41" t="str">
        <f ca="1">IFERROR(IF(AND(Table1[[#This Row],[ACT_Qty]]&lt;&gt;"",Table1[[#This Row],[Currency]]="NOK"),Table1[[#This Row],[ACT_Qty]]*Table1[[#This Row],[Unit Price]],""),"")</f>
        <v/>
      </c>
      <c r="R181" s="41" t="str">
        <f ca="1">IFERROR(IF(AND(Table1[[#This Row],[Quantity]]&lt;&gt;"",Table1[[#This Row],[Currency]]="EUR"),Table1[[#This Row],[Quantity]]*Table1[[#This Row],[Unit Price]],""),"")</f>
        <v/>
      </c>
      <c r="S181" s="41" t="str">
        <f ca="1">IFERROR(IF(AND(Table1[[#This Row],[ACT_Qty]]&lt;&gt;"",Table1[[#This Row],[Currency]]="EUR"),Table1[[#This Row],[ACT_Qty]]*Table1[[#This Row],[Unit Price]],""),"")</f>
        <v/>
      </c>
      <c r="T181" s="269" t="str">
        <f ca="1">IFERROR(IF(AND(($N$3&lt;&gt;""),INDIRECT(Aux!$D$1)),VLOOKUP(Table1[[#This Row],[Product code]],Aux!B:E,4,FALSE),""),"")</f>
        <v/>
      </c>
      <c r="U181" s="145" t="str">
        <f>IFERROR(IF(OR(Table1[[#This Row],[Quantity]]&lt;&gt;"",Table1[[#This Row],[ACT_Qty]]&lt;&gt;""),Table1[[#This Row],[ACT_Qty]]-Table1[[#This Row],[Quantity]],""),"")</f>
        <v/>
      </c>
      <c r="V181" s="45"/>
      <c r="W181" s="45"/>
      <c r="X181" s="45"/>
    </row>
    <row r="182" spans="1:24" ht="15" customHeight="1">
      <c r="A182" s="143" t="str">
        <f t="shared" si="12"/>
        <v>AKH12345</v>
      </c>
      <c r="B182" s="256" t="s">
        <v>591</v>
      </c>
      <c r="C182" s="143" t="s">
        <v>592</v>
      </c>
      <c r="D182" s="105"/>
      <c r="E182" s="106" t="s">
        <v>593</v>
      </c>
      <c r="F182" s="105"/>
      <c r="G182" s="106"/>
      <c r="H182" s="199" t="s">
        <v>594</v>
      </c>
      <c r="I182" s="200" t="s">
        <v>507</v>
      </c>
      <c r="J182" s="200" t="s">
        <v>588</v>
      </c>
      <c r="K182" s="200" t="s">
        <v>52</v>
      </c>
      <c r="L182" s="145" t="s">
        <v>510</v>
      </c>
      <c r="M182" s="145" t="str">
        <f t="shared" si="13"/>
        <v>OneCo Networks AS</v>
      </c>
      <c r="N18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2" s="268" t="str">
        <f ca="1">IFERROR(IF(
OR(Table1[[#This Row],[Product category]]="Service items",Table1[[#This Row],[Product category]]="Additional services",Table1[[#This Row],[Product category]]="Additional materials"),
"NOK",IF(($N$3&lt;&gt;""),VLOOKUP(Table1[[#This Row],[Product code]],INDIRECT(Aux!$A$1),6,FALSE),"")),"")</f>
        <v/>
      </c>
      <c r="P182" s="41" t="str">
        <f ca="1">IFERROR(IF(AND(Table1[[#This Row],[Quantity]]&lt;&gt;"",Table1[[#This Row],[Currency]]="NOK"),Table1[[#This Row],[Quantity]]*Table1[[#This Row],[Unit Price]],""),"")</f>
        <v/>
      </c>
      <c r="Q182" s="41" t="str">
        <f ca="1">IFERROR(IF(AND(Table1[[#This Row],[ACT_Qty]]&lt;&gt;"",Table1[[#This Row],[Currency]]="NOK"),Table1[[#This Row],[ACT_Qty]]*Table1[[#This Row],[Unit Price]],""),"")</f>
        <v/>
      </c>
      <c r="R182" s="41" t="str">
        <f ca="1">IFERROR(IF(AND(Table1[[#This Row],[Quantity]]&lt;&gt;"",Table1[[#This Row],[Currency]]="EUR"),Table1[[#This Row],[Quantity]]*Table1[[#This Row],[Unit Price]],""),"")</f>
        <v/>
      </c>
      <c r="S182" s="41" t="str">
        <f ca="1">IFERROR(IF(AND(Table1[[#This Row],[ACT_Qty]]&lt;&gt;"",Table1[[#This Row],[Currency]]="EUR"),Table1[[#This Row],[ACT_Qty]]*Table1[[#This Row],[Unit Price]],""),"")</f>
        <v/>
      </c>
      <c r="T182" s="269" t="str">
        <f ca="1">IFERROR(IF(AND(($N$3&lt;&gt;""),INDIRECT(Aux!$D$1)),VLOOKUP(Table1[[#This Row],[Product code]],Aux!B:E,4,FALSE),""),"")</f>
        <v/>
      </c>
      <c r="U182" s="145" t="str">
        <f>IFERROR(IF(OR(Table1[[#This Row],[Quantity]]&lt;&gt;"",Table1[[#This Row],[ACT_Qty]]&lt;&gt;""),Table1[[#This Row],[ACT_Qty]]-Table1[[#This Row],[Quantity]],""),"")</f>
        <v/>
      </c>
      <c r="V182" s="45"/>
      <c r="W182" s="45"/>
      <c r="X182" s="45"/>
    </row>
    <row r="183" spans="1:24" ht="15" customHeight="1">
      <c r="A183" s="143" t="str">
        <f t="shared" si="12"/>
        <v>AKH12345</v>
      </c>
      <c r="B183" s="256" t="s">
        <v>595</v>
      </c>
      <c r="C183" s="143" t="s">
        <v>596</v>
      </c>
      <c r="D183" s="105"/>
      <c r="E183" s="106"/>
      <c r="F183" s="105"/>
      <c r="G183" s="106"/>
      <c r="H183" s="199" t="s">
        <v>597</v>
      </c>
      <c r="I183" s="200" t="s">
        <v>507</v>
      </c>
      <c r="J183" s="200" t="s">
        <v>588</v>
      </c>
      <c r="K183" s="200" t="s">
        <v>52</v>
      </c>
      <c r="L183" s="145" t="s">
        <v>510</v>
      </c>
      <c r="M183" s="145" t="str">
        <f>IF($C$3&lt;&gt;"",$C$3,"")</f>
        <v>OneCo Networks AS</v>
      </c>
      <c r="N1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3" s="268" t="str">
        <f ca="1">IFERROR(IF(
OR(Table1[[#This Row],[Product category]]="Service items",Table1[[#This Row],[Product category]]="Additional services",Table1[[#This Row],[Product category]]="Additional materials"),
"NOK",IF(($N$3&lt;&gt;""),VLOOKUP(Table1[[#This Row],[Product code]],INDIRECT(Aux!$A$1),6,FALSE),"")),"")</f>
        <v/>
      </c>
      <c r="P183" s="41" t="str">
        <f ca="1">IFERROR(IF(AND(Table1[[#This Row],[Quantity]]&lt;&gt;"",Table1[[#This Row],[Currency]]="NOK"),Table1[[#This Row],[Quantity]]*Table1[[#This Row],[Unit Price]],""),"")</f>
        <v/>
      </c>
      <c r="Q183" s="41" t="str">
        <f ca="1">IFERROR(IF(AND(Table1[[#This Row],[ACT_Qty]]&lt;&gt;"",Table1[[#This Row],[Currency]]="NOK"),Table1[[#This Row],[ACT_Qty]]*Table1[[#This Row],[Unit Price]],""),"")</f>
        <v/>
      </c>
      <c r="R183" s="41" t="str">
        <f ca="1">IFERROR(IF(AND(Table1[[#This Row],[Quantity]]&lt;&gt;"",Table1[[#This Row],[Currency]]="EUR"),Table1[[#This Row],[Quantity]]*Table1[[#This Row],[Unit Price]],""),"")</f>
        <v/>
      </c>
      <c r="S183" s="41" t="str">
        <f ca="1">IFERROR(IF(AND(Table1[[#This Row],[ACT_Qty]]&lt;&gt;"",Table1[[#This Row],[Currency]]="EUR"),Table1[[#This Row],[ACT_Qty]]*Table1[[#This Row],[Unit Price]],""),"")</f>
        <v/>
      </c>
      <c r="T183" s="269" t="str">
        <f ca="1">IFERROR(IF(AND(($N$3&lt;&gt;""),INDIRECT(Aux!$D$1)),VLOOKUP(Table1[[#This Row],[Product code]],Aux!B:E,4,FALSE),""),"")</f>
        <v/>
      </c>
      <c r="U183" s="145" t="str">
        <f>IFERROR(IF(OR(Table1[[#This Row],[Quantity]]&lt;&gt;"",Table1[[#This Row],[ACT_Qty]]&lt;&gt;""),Table1[[#This Row],[ACT_Qty]]-Table1[[#This Row],[Quantity]],""),"")</f>
        <v/>
      </c>
      <c r="V183" s="45"/>
      <c r="W183" s="45"/>
      <c r="X183" s="45"/>
    </row>
    <row r="184" spans="1:24" ht="15" customHeight="1">
      <c r="A184" s="143" t="str">
        <f t="shared" si="12"/>
        <v>AKH12345</v>
      </c>
      <c r="B184" s="256" t="s">
        <v>598</v>
      </c>
      <c r="C184" s="143" t="s">
        <v>599</v>
      </c>
      <c r="D184" s="105"/>
      <c r="E184" s="106" t="s">
        <v>599</v>
      </c>
      <c r="F184" s="105"/>
      <c r="G184" s="106"/>
      <c r="H184" s="199" t="s">
        <v>600</v>
      </c>
      <c r="I184" s="200" t="s">
        <v>507</v>
      </c>
      <c r="J184" s="200" t="s">
        <v>569</v>
      </c>
      <c r="K184" s="200" t="s">
        <v>52</v>
      </c>
      <c r="L184" s="145" t="s">
        <v>601</v>
      </c>
      <c r="M184" s="145" t="str">
        <f t="shared" si="13"/>
        <v>OneCo Networks AS</v>
      </c>
      <c r="N18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4" s="268" t="str">
        <f ca="1">IFERROR(IF(
OR(Table1[[#This Row],[Product category]]="Service items",Table1[[#This Row],[Product category]]="Additional services",Table1[[#This Row],[Product category]]="Additional materials"),
"NOK",IF(($N$3&lt;&gt;""),VLOOKUP(Table1[[#This Row],[Product code]],INDIRECT(Aux!$A$1),6,FALSE),"")),"")</f>
        <v/>
      </c>
      <c r="P184" s="41" t="str">
        <f ca="1">IFERROR(IF(AND(Table1[[#This Row],[Quantity]]&lt;&gt;"",Table1[[#This Row],[Currency]]="NOK"),Table1[[#This Row],[Quantity]]*Table1[[#This Row],[Unit Price]],""),"")</f>
        <v/>
      </c>
      <c r="Q184" s="41" t="str">
        <f ca="1">IFERROR(IF(AND(Table1[[#This Row],[ACT_Qty]]&lt;&gt;"",Table1[[#This Row],[Currency]]="NOK"),Table1[[#This Row],[ACT_Qty]]*Table1[[#This Row],[Unit Price]],""),"")</f>
        <v/>
      </c>
      <c r="R184" s="41" t="str">
        <f ca="1">IFERROR(IF(AND(Table1[[#This Row],[Quantity]]&lt;&gt;"",Table1[[#This Row],[Currency]]="EUR"),Table1[[#This Row],[Quantity]]*Table1[[#This Row],[Unit Price]],""),"")</f>
        <v/>
      </c>
      <c r="S184" s="41" t="str">
        <f ca="1">IFERROR(IF(AND(Table1[[#This Row],[ACT_Qty]]&lt;&gt;"",Table1[[#This Row],[Currency]]="EUR"),Table1[[#This Row],[ACT_Qty]]*Table1[[#This Row],[Unit Price]],""),"")</f>
        <v/>
      </c>
      <c r="T184" s="269" t="str">
        <f ca="1">IFERROR(IF(AND(($N$3&lt;&gt;""),INDIRECT(Aux!$D$1)),VLOOKUP(Table1[[#This Row],[Product code]],Aux!B:E,4,FALSE),""),"")</f>
        <v/>
      </c>
      <c r="U184" s="145" t="str">
        <f>IFERROR(IF(OR(Table1[[#This Row],[Quantity]]&lt;&gt;"",Table1[[#This Row],[ACT_Qty]]&lt;&gt;""),Table1[[#This Row],[ACT_Qty]]-Table1[[#This Row],[Quantity]],""),"")</f>
        <v/>
      </c>
      <c r="V184" s="45"/>
      <c r="W184" s="45"/>
      <c r="X184" s="45"/>
    </row>
    <row r="185" spans="1:24" ht="15" customHeight="1">
      <c r="A185" s="143" t="str">
        <f t="shared" si="12"/>
        <v>AKH12345</v>
      </c>
      <c r="B185" s="256" t="s">
        <v>602</v>
      </c>
      <c r="C185" s="143" t="s">
        <v>603</v>
      </c>
      <c r="D185" s="105"/>
      <c r="E185" s="106" t="s">
        <v>604</v>
      </c>
      <c r="F185" s="105"/>
      <c r="G185" s="106"/>
      <c r="H185" s="199" t="s">
        <v>605</v>
      </c>
      <c r="I185" s="200" t="s">
        <v>507</v>
      </c>
      <c r="J185" s="200" t="s">
        <v>569</v>
      </c>
      <c r="K185" s="200" t="s">
        <v>52</v>
      </c>
      <c r="L185" s="145" t="s">
        <v>510</v>
      </c>
      <c r="M185" s="145" t="str">
        <f>IF($C$3&lt;&gt;"",$C$3,"")</f>
        <v>OneCo Networks AS</v>
      </c>
      <c r="N1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5" s="268" t="str">
        <f ca="1">IFERROR(IF(
OR(Table1[[#This Row],[Product category]]="Service items",Table1[[#This Row],[Product category]]="Additional services",Table1[[#This Row],[Product category]]="Additional materials"),
"NOK",IF(($N$3&lt;&gt;""),VLOOKUP(Table1[[#This Row],[Product code]],INDIRECT(Aux!$A$1),6,FALSE),"")),"")</f>
        <v/>
      </c>
      <c r="P185" s="41" t="str">
        <f ca="1">IFERROR(IF(AND(Table1[[#This Row],[Quantity]]&lt;&gt;"",Table1[[#This Row],[Currency]]="NOK"),Table1[[#This Row],[Quantity]]*Table1[[#This Row],[Unit Price]],""),"")</f>
        <v/>
      </c>
      <c r="Q185" s="41" t="str">
        <f ca="1">IFERROR(IF(AND(Table1[[#This Row],[ACT_Qty]]&lt;&gt;"",Table1[[#This Row],[Currency]]="NOK"),Table1[[#This Row],[ACT_Qty]]*Table1[[#This Row],[Unit Price]],""),"")</f>
        <v/>
      </c>
      <c r="R185" s="41" t="str">
        <f ca="1">IFERROR(IF(AND(Table1[[#This Row],[Quantity]]&lt;&gt;"",Table1[[#This Row],[Currency]]="EUR"),Table1[[#This Row],[Quantity]]*Table1[[#This Row],[Unit Price]],""),"")</f>
        <v/>
      </c>
      <c r="S185" s="41" t="str">
        <f ca="1">IFERROR(IF(AND(Table1[[#This Row],[ACT_Qty]]&lt;&gt;"",Table1[[#This Row],[Currency]]="EUR"),Table1[[#This Row],[ACT_Qty]]*Table1[[#This Row],[Unit Price]],""),"")</f>
        <v/>
      </c>
      <c r="T185" s="269" t="str">
        <f ca="1">IFERROR(IF(AND(($N$3&lt;&gt;""),INDIRECT(Aux!$D$1)),VLOOKUP(Table1[[#This Row],[Product code]],Aux!B:E,4,FALSE),""),"")</f>
        <v/>
      </c>
      <c r="U185" s="145" t="str">
        <f>IFERROR(IF(OR(Table1[[#This Row],[Quantity]]&lt;&gt;"",Table1[[#This Row],[ACT_Qty]]&lt;&gt;""),Table1[[#This Row],[ACT_Qty]]-Table1[[#This Row],[Quantity]],""),"")</f>
        <v/>
      </c>
      <c r="V185" s="45"/>
      <c r="W185" s="45"/>
      <c r="X185" s="45"/>
    </row>
    <row r="186" spans="1:24" ht="15" customHeight="1">
      <c r="A186" s="143" t="str">
        <f t="shared" si="12"/>
        <v>AKH12345</v>
      </c>
      <c r="B186" s="256" t="s">
        <v>606</v>
      </c>
      <c r="C186" s="143" t="s">
        <v>607</v>
      </c>
      <c r="D186" s="105"/>
      <c r="E186" s="106"/>
      <c r="F186" s="105"/>
      <c r="G186" s="106"/>
      <c r="H186" s="199" t="s">
        <v>608</v>
      </c>
      <c r="I186" s="200" t="s">
        <v>173</v>
      </c>
      <c r="J186" s="200" t="s">
        <v>609</v>
      </c>
      <c r="K186" s="200" t="s">
        <v>52</v>
      </c>
      <c r="L186" s="145" t="s">
        <v>610</v>
      </c>
      <c r="M186" s="145" t="str">
        <f t="shared" si="13"/>
        <v>OneCo Networks AS</v>
      </c>
      <c r="N18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6" s="268" t="str">
        <f ca="1">IFERROR(IF(
OR(Table1[[#This Row],[Product category]]="Service items",Table1[[#This Row],[Product category]]="Additional services",Table1[[#This Row],[Product category]]="Additional materials"),
"NOK",IF(($N$3&lt;&gt;""),VLOOKUP(Table1[[#This Row],[Product code]],INDIRECT(Aux!$A$1),6,FALSE),"")),"")</f>
        <v/>
      </c>
      <c r="P186" s="41" t="str">
        <f ca="1">IFERROR(IF(AND(Table1[[#This Row],[Quantity]]&lt;&gt;"",Table1[[#This Row],[Currency]]="NOK"),Table1[[#This Row],[Quantity]]*Table1[[#This Row],[Unit Price]],""),"")</f>
        <v/>
      </c>
      <c r="Q186" s="41" t="str">
        <f ca="1">IFERROR(IF(AND(Table1[[#This Row],[ACT_Qty]]&lt;&gt;"",Table1[[#This Row],[Currency]]="NOK"),Table1[[#This Row],[ACT_Qty]]*Table1[[#This Row],[Unit Price]],""),"")</f>
        <v/>
      </c>
      <c r="R186" s="41" t="str">
        <f ca="1">IFERROR(IF(AND(Table1[[#This Row],[Quantity]]&lt;&gt;"",Table1[[#This Row],[Currency]]="EUR"),Table1[[#This Row],[Quantity]]*Table1[[#This Row],[Unit Price]],""),"")</f>
        <v/>
      </c>
      <c r="S186" s="41" t="str">
        <f ca="1">IFERROR(IF(AND(Table1[[#This Row],[ACT_Qty]]&lt;&gt;"",Table1[[#This Row],[Currency]]="EUR"),Table1[[#This Row],[ACT_Qty]]*Table1[[#This Row],[Unit Price]],""),"")</f>
        <v/>
      </c>
      <c r="T186" s="269" t="str">
        <f ca="1">IFERROR(IF(AND(($N$3&lt;&gt;""),INDIRECT(Aux!$D$1)),VLOOKUP(Table1[[#This Row],[Product code]],Aux!B:E,4,FALSE),""),"")</f>
        <v/>
      </c>
      <c r="U186" s="145" t="str">
        <f>IFERROR(IF(OR(Table1[[#This Row],[Quantity]]&lt;&gt;"",Table1[[#This Row],[ACT_Qty]]&lt;&gt;""),Table1[[#This Row],[ACT_Qty]]-Table1[[#This Row],[Quantity]],""),"")</f>
        <v/>
      </c>
      <c r="V186" s="45"/>
      <c r="W186" s="45"/>
      <c r="X186" s="45"/>
    </row>
    <row r="187" spans="1:24" ht="15" customHeight="1">
      <c r="A187" s="143" t="str">
        <f t="shared" si="12"/>
        <v>AKH12345</v>
      </c>
      <c r="B187" s="256" t="s">
        <v>611</v>
      </c>
      <c r="C187" s="143" t="s">
        <v>612</v>
      </c>
      <c r="D187" s="105"/>
      <c r="E187" s="106"/>
      <c r="F187" s="105"/>
      <c r="G187" s="106"/>
      <c r="H187" s="199" t="s">
        <v>613</v>
      </c>
      <c r="I187" s="200" t="s">
        <v>173</v>
      </c>
      <c r="J187" s="200" t="s">
        <v>609</v>
      </c>
      <c r="K187" s="200" t="s">
        <v>52</v>
      </c>
      <c r="L187" s="145" t="s">
        <v>610</v>
      </c>
      <c r="M187" s="145" t="str">
        <f t="shared" si="13"/>
        <v>OneCo Networks AS</v>
      </c>
      <c r="N1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7" s="268" t="str">
        <f ca="1">IFERROR(IF(
OR(Table1[[#This Row],[Product category]]="Service items",Table1[[#This Row],[Product category]]="Additional services",Table1[[#This Row],[Product category]]="Additional materials"),
"NOK",IF(($N$3&lt;&gt;""),VLOOKUP(Table1[[#This Row],[Product code]],INDIRECT(Aux!$A$1),6,FALSE),"")),"")</f>
        <v/>
      </c>
      <c r="P187" s="41" t="str">
        <f ca="1">IFERROR(IF(AND(Table1[[#This Row],[Quantity]]&lt;&gt;"",Table1[[#This Row],[Currency]]="NOK"),Table1[[#This Row],[Quantity]]*Table1[[#This Row],[Unit Price]],""),"")</f>
        <v/>
      </c>
      <c r="Q187" s="41" t="str">
        <f ca="1">IFERROR(IF(AND(Table1[[#This Row],[ACT_Qty]]&lt;&gt;"",Table1[[#This Row],[Currency]]="NOK"),Table1[[#This Row],[ACT_Qty]]*Table1[[#This Row],[Unit Price]],""),"")</f>
        <v/>
      </c>
      <c r="R187" s="41" t="str">
        <f ca="1">IFERROR(IF(AND(Table1[[#This Row],[Quantity]]&lt;&gt;"",Table1[[#This Row],[Currency]]="EUR"),Table1[[#This Row],[Quantity]]*Table1[[#This Row],[Unit Price]],""),"")</f>
        <v/>
      </c>
      <c r="S187" s="41" t="str">
        <f ca="1">IFERROR(IF(AND(Table1[[#This Row],[ACT_Qty]]&lt;&gt;"",Table1[[#This Row],[Currency]]="EUR"),Table1[[#This Row],[ACT_Qty]]*Table1[[#This Row],[Unit Price]],""),"")</f>
        <v/>
      </c>
      <c r="T187" s="269" t="str">
        <f ca="1">IFERROR(IF(AND(($N$3&lt;&gt;""),INDIRECT(Aux!$D$1)),VLOOKUP(Table1[[#This Row],[Product code]],Aux!B:E,4,FALSE),""),"")</f>
        <v/>
      </c>
      <c r="U187" s="145" t="str">
        <f>IFERROR(IF(OR(Table1[[#This Row],[Quantity]]&lt;&gt;"",Table1[[#This Row],[ACT_Qty]]&lt;&gt;""),Table1[[#This Row],[ACT_Qty]]-Table1[[#This Row],[Quantity]],""),"")</f>
        <v/>
      </c>
      <c r="V187" s="45"/>
      <c r="W187" s="45"/>
      <c r="X187" s="45"/>
    </row>
    <row r="188" spans="1:24" ht="15" customHeight="1">
      <c r="A188" s="143" t="str">
        <f t="shared" si="12"/>
        <v>AKH12345</v>
      </c>
      <c r="B188" s="256" t="s">
        <v>614</v>
      </c>
      <c r="C188" s="143" t="s">
        <v>615</v>
      </c>
      <c r="D188" s="105"/>
      <c r="E188" s="106"/>
      <c r="F188" s="105"/>
      <c r="G188" s="106"/>
      <c r="H188" s="199" t="s">
        <v>616</v>
      </c>
      <c r="I188" s="200" t="s">
        <v>173</v>
      </c>
      <c r="J188" s="200" t="s">
        <v>609</v>
      </c>
      <c r="K188" s="200" t="s">
        <v>52</v>
      </c>
      <c r="L188" s="145" t="s">
        <v>610</v>
      </c>
      <c r="M188" s="145" t="str">
        <f t="shared" si="13"/>
        <v>OneCo Networks AS</v>
      </c>
      <c r="N18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8" s="268" t="str">
        <f ca="1">IFERROR(IF(
OR(Table1[[#This Row],[Product category]]="Service items",Table1[[#This Row],[Product category]]="Additional services",Table1[[#This Row],[Product category]]="Additional materials"),
"NOK",IF(($N$3&lt;&gt;""),VLOOKUP(Table1[[#This Row],[Product code]],INDIRECT(Aux!$A$1),6,FALSE),"")),"")</f>
        <v/>
      </c>
      <c r="P188" s="41" t="str">
        <f ca="1">IFERROR(IF(AND(Table1[[#This Row],[Quantity]]&lt;&gt;"",Table1[[#This Row],[Currency]]="NOK"),Table1[[#This Row],[Quantity]]*Table1[[#This Row],[Unit Price]],""),"")</f>
        <v/>
      </c>
      <c r="Q188" s="41" t="str">
        <f ca="1">IFERROR(IF(AND(Table1[[#This Row],[ACT_Qty]]&lt;&gt;"",Table1[[#This Row],[Currency]]="NOK"),Table1[[#This Row],[ACT_Qty]]*Table1[[#This Row],[Unit Price]],""),"")</f>
        <v/>
      </c>
      <c r="R188" s="41" t="str">
        <f ca="1">IFERROR(IF(AND(Table1[[#This Row],[Quantity]]&lt;&gt;"",Table1[[#This Row],[Currency]]="EUR"),Table1[[#This Row],[Quantity]]*Table1[[#This Row],[Unit Price]],""),"")</f>
        <v/>
      </c>
      <c r="S188" s="41" t="str">
        <f ca="1">IFERROR(IF(AND(Table1[[#This Row],[ACT_Qty]]&lt;&gt;"",Table1[[#This Row],[Currency]]="EUR"),Table1[[#This Row],[ACT_Qty]]*Table1[[#This Row],[Unit Price]],""),"")</f>
        <v/>
      </c>
      <c r="T188" s="269" t="str">
        <f ca="1">IFERROR(IF(AND(($N$3&lt;&gt;""),INDIRECT(Aux!$D$1)),VLOOKUP(Table1[[#This Row],[Product code]],Aux!B:E,4,FALSE),""),"")</f>
        <v/>
      </c>
      <c r="U188" s="145" t="str">
        <f>IFERROR(IF(OR(Table1[[#This Row],[Quantity]]&lt;&gt;"",Table1[[#This Row],[ACT_Qty]]&lt;&gt;""),Table1[[#This Row],[ACT_Qty]]-Table1[[#This Row],[Quantity]],""),"")</f>
        <v/>
      </c>
      <c r="V188" s="45"/>
      <c r="W188" s="45"/>
      <c r="X188" s="45"/>
    </row>
    <row r="189" spans="1:24" ht="15" customHeight="1">
      <c r="A189" s="143" t="str">
        <f t="shared" si="12"/>
        <v>AKH12345</v>
      </c>
      <c r="B189" s="256" t="s">
        <v>617</v>
      </c>
      <c r="C189" s="143" t="s">
        <v>618</v>
      </c>
      <c r="D189" s="105"/>
      <c r="E189" s="106"/>
      <c r="F189" s="105"/>
      <c r="G189" s="106"/>
      <c r="H189" s="199" t="s">
        <v>619</v>
      </c>
      <c r="I189" s="200" t="s">
        <v>173</v>
      </c>
      <c r="J189" s="200" t="s">
        <v>620</v>
      </c>
      <c r="K189" s="200" t="s">
        <v>52</v>
      </c>
      <c r="L189" s="145" t="s">
        <v>610</v>
      </c>
      <c r="M189" s="145" t="str">
        <f t="shared" si="13"/>
        <v>OneCo Networks AS</v>
      </c>
      <c r="N1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89" s="268" t="str">
        <f ca="1">IFERROR(IF(
OR(Table1[[#This Row],[Product category]]="Service items",Table1[[#This Row],[Product category]]="Additional services",Table1[[#This Row],[Product category]]="Additional materials"),
"NOK",IF(($N$3&lt;&gt;""),VLOOKUP(Table1[[#This Row],[Product code]],INDIRECT(Aux!$A$1),6,FALSE),"")),"")</f>
        <v/>
      </c>
      <c r="P189" s="41" t="str">
        <f ca="1">IFERROR(IF(AND(Table1[[#This Row],[Quantity]]&lt;&gt;"",Table1[[#This Row],[Currency]]="NOK"),Table1[[#This Row],[Quantity]]*Table1[[#This Row],[Unit Price]],""),"")</f>
        <v/>
      </c>
      <c r="Q189" s="41" t="str">
        <f ca="1">IFERROR(IF(AND(Table1[[#This Row],[ACT_Qty]]&lt;&gt;"",Table1[[#This Row],[Currency]]="NOK"),Table1[[#This Row],[ACT_Qty]]*Table1[[#This Row],[Unit Price]],""),"")</f>
        <v/>
      </c>
      <c r="R189" s="41" t="str">
        <f ca="1">IFERROR(IF(AND(Table1[[#This Row],[Quantity]]&lt;&gt;"",Table1[[#This Row],[Currency]]="EUR"),Table1[[#This Row],[Quantity]]*Table1[[#This Row],[Unit Price]],""),"")</f>
        <v/>
      </c>
      <c r="S189" s="41" t="str">
        <f ca="1">IFERROR(IF(AND(Table1[[#This Row],[ACT_Qty]]&lt;&gt;"",Table1[[#This Row],[Currency]]="EUR"),Table1[[#This Row],[ACT_Qty]]*Table1[[#This Row],[Unit Price]],""),"")</f>
        <v/>
      </c>
      <c r="T189" s="269" t="str">
        <f ca="1">IFERROR(IF(AND(($N$3&lt;&gt;""),INDIRECT(Aux!$D$1)),VLOOKUP(Table1[[#This Row],[Product code]],Aux!B:E,4,FALSE),""),"")</f>
        <v/>
      </c>
      <c r="U189" s="145" t="str">
        <f>IFERROR(IF(OR(Table1[[#This Row],[Quantity]]&lt;&gt;"",Table1[[#This Row],[ACT_Qty]]&lt;&gt;""),Table1[[#This Row],[ACT_Qty]]-Table1[[#This Row],[Quantity]],""),"")</f>
        <v/>
      </c>
      <c r="V189" s="45"/>
      <c r="W189" s="45"/>
      <c r="X189" s="45"/>
    </row>
    <row r="190" spans="1:24" ht="15" customHeight="1">
      <c r="A190" s="143" t="str">
        <f t="shared" si="12"/>
        <v>AKH12345</v>
      </c>
      <c r="B190" s="256" t="s">
        <v>621</v>
      </c>
      <c r="C190" s="143" t="s">
        <v>622</v>
      </c>
      <c r="D190" s="105"/>
      <c r="E190" s="106" t="s">
        <v>623</v>
      </c>
      <c r="F190" s="105"/>
      <c r="G190" s="106"/>
      <c r="H190" s="199" t="s">
        <v>624</v>
      </c>
      <c r="I190" s="200" t="s">
        <v>173</v>
      </c>
      <c r="J190" s="200" t="s">
        <v>625</v>
      </c>
      <c r="K190" s="200" t="s">
        <v>52</v>
      </c>
      <c r="L190" s="145" t="s">
        <v>339</v>
      </c>
      <c r="M190" s="145" t="str">
        <f t="shared" si="13"/>
        <v>OneCo Networks AS</v>
      </c>
      <c r="N19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0" s="268" t="str">
        <f ca="1">IFERROR(IF(
OR(Table1[[#This Row],[Product category]]="Service items",Table1[[#This Row],[Product category]]="Additional services",Table1[[#This Row],[Product category]]="Additional materials"),
"NOK",IF(($N$3&lt;&gt;""),VLOOKUP(Table1[[#This Row],[Product code]],INDIRECT(Aux!$A$1),6,FALSE),"")),"")</f>
        <v/>
      </c>
      <c r="P190" s="41" t="str">
        <f ca="1">IFERROR(IF(AND(Table1[[#This Row],[Quantity]]&lt;&gt;"",Table1[[#This Row],[Currency]]="NOK"),Table1[[#This Row],[Quantity]]*Table1[[#This Row],[Unit Price]],""),"")</f>
        <v/>
      </c>
      <c r="Q190" s="41" t="str">
        <f ca="1">IFERROR(IF(AND(Table1[[#This Row],[ACT_Qty]]&lt;&gt;"",Table1[[#This Row],[Currency]]="NOK"),Table1[[#This Row],[ACT_Qty]]*Table1[[#This Row],[Unit Price]],""),"")</f>
        <v/>
      </c>
      <c r="R190" s="41" t="str">
        <f ca="1">IFERROR(IF(AND(Table1[[#This Row],[Quantity]]&lt;&gt;"",Table1[[#This Row],[Currency]]="EUR"),Table1[[#This Row],[Quantity]]*Table1[[#This Row],[Unit Price]],""),"")</f>
        <v/>
      </c>
      <c r="S190" s="41" t="str">
        <f ca="1">IFERROR(IF(AND(Table1[[#This Row],[ACT_Qty]]&lt;&gt;"",Table1[[#This Row],[Currency]]="EUR"),Table1[[#This Row],[ACT_Qty]]*Table1[[#This Row],[Unit Price]],""),"")</f>
        <v/>
      </c>
      <c r="T190" s="269" t="str">
        <f ca="1">IFERROR(IF(AND(($N$3&lt;&gt;""),INDIRECT(Aux!$D$1)),VLOOKUP(Table1[[#This Row],[Product code]],Aux!B:E,4,FALSE),""),"")</f>
        <v/>
      </c>
      <c r="U190" s="145" t="str">
        <f>IFERROR(IF(OR(Table1[[#This Row],[Quantity]]&lt;&gt;"",Table1[[#This Row],[ACT_Qty]]&lt;&gt;""),Table1[[#This Row],[ACT_Qty]]-Table1[[#This Row],[Quantity]],""),"")</f>
        <v/>
      </c>
      <c r="V190" s="45"/>
      <c r="W190" s="45"/>
      <c r="X190" s="45"/>
    </row>
    <row r="191" spans="1:24" ht="15" customHeight="1">
      <c r="A191" s="143" t="str">
        <f t="shared" si="12"/>
        <v>AKH12345</v>
      </c>
      <c r="B191" s="256" t="s">
        <v>626</v>
      </c>
      <c r="C191" s="143" t="s">
        <v>627</v>
      </c>
      <c r="D191" s="105"/>
      <c r="E191" s="106" t="s">
        <v>623</v>
      </c>
      <c r="F191" s="105"/>
      <c r="G191" s="106"/>
      <c r="H191" s="199" t="s">
        <v>628</v>
      </c>
      <c r="I191" s="200" t="s">
        <v>173</v>
      </c>
      <c r="J191" s="200" t="s">
        <v>629</v>
      </c>
      <c r="K191" s="200" t="s">
        <v>52</v>
      </c>
      <c r="L191" s="145" t="s">
        <v>339</v>
      </c>
      <c r="M191" s="145" t="str">
        <f t="shared" si="13"/>
        <v>OneCo Networks AS</v>
      </c>
      <c r="N1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1" s="268" t="str">
        <f ca="1">IFERROR(IF(
OR(Table1[[#This Row],[Product category]]="Service items",Table1[[#This Row],[Product category]]="Additional services",Table1[[#This Row],[Product category]]="Additional materials"),
"NOK",IF(($N$3&lt;&gt;""),VLOOKUP(Table1[[#This Row],[Product code]],INDIRECT(Aux!$A$1),6,FALSE),"")),"")</f>
        <v/>
      </c>
      <c r="P191" s="41" t="str">
        <f ca="1">IFERROR(IF(AND(Table1[[#This Row],[Quantity]]&lt;&gt;"",Table1[[#This Row],[Currency]]="NOK"),Table1[[#This Row],[Quantity]]*Table1[[#This Row],[Unit Price]],""),"")</f>
        <v/>
      </c>
      <c r="Q191" s="41" t="str">
        <f ca="1">IFERROR(IF(AND(Table1[[#This Row],[ACT_Qty]]&lt;&gt;"",Table1[[#This Row],[Currency]]="NOK"),Table1[[#This Row],[ACT_Qty]]*Table1[[#This Row],[Unit Price]],""),"")</f>
        <v/>
      </c>
      <c r="R191" s="41" t="str">
        <f ca="1">IFERROR(IF(AND(Table1[[#This Row],[Quantity]]&lt;&gt;"",Table1[[#This Row],[Currency]]="EUR"),Table1[[#This Row],[Quantity]]*Table1[[#This Row],[Unit Price]],""),"")</f>
        <v/>
      </c>
      <c r="S191" s="41" t="str">
        <f ca="1">IFERROR(IF(AND(Table1[[#This Row],[ACT_Qty]]&lt;&gt;"",Table1[[#This Row],[Currency]]="EUR"),Table1[[#This Row],[ACT_Qty]]*Table1[[#This Row],[Unit Price]],""),"")</f>
        <v/>
      </c>
      <c r="T191" s="269" t="str">
        <f ca="1">IFERROR(IF(AND(($N$3&lt;&gt;""),INDIRECT(Aux!$D$1)),VLOOKUP(Table1[[#This Row],[Product code]],Aux!B:E,4,FALSE),""),"")</f>
        <v/>
      </c>
      <c r="U191" s="145" t="str">
        <f>IFERROR(IF(OR(Table1[[#This Row],[Quantity]]&lt;&gt;"",Table1[[#This Row],[ACT_Qty]]&lt;&gt;""),Table1[[#This Row],[ACT_Qty]]-Table1[[#This Row],[Quantity]],""),"")</f>
        <v/>
      </c>
      <c r="V191" s="45"/>
      <c r="W191" s="45"/>
      <c r="X191" s="45"/>
    </row>
    <row r="192" spans="1:24" ht="15" customHeight="1">
      <c r="A192" s="143" t="str">
        <f t="shared" si="12"/>
        <v>AKH12345</v>
      </c>
      <c r="B192" s="256" t="s">
        <v>630</v>
      </c>
      <c r="C192" s="143" t="s">
        <v>631</v>
      </c>
      <c r="D192" s="105"/>
      <c r="E192" s="106" t="s">
        <v>632</v>
      </c>
      <c r="F192" s="105"/>
      <c r="G192" s="106"/>
      <c r="H192" s="199" t="s">
        <v>633</v>
      </c>
      <c r="I192" s="200" t="s">
        <v>173</v>
      </c>
      <c r="J192" s="200" t="s">
        <v>620</v>
      </c>
      <c r="K192" s="200" t="s">
        <v>52</v>
      </c>
      <c r="L192" s="145" t="s">
        <v>339</v>
      </c>
      <c r="M192" s="145" t="str">
        <f t="shared" si="13"/>
        <v>OneCo Networks AS</v>
      </c>
      <c r="N19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2" s="268" t="str">
        <f ca="1">IFERROR(IF(
OR(Table1[[#This Row],[Product category]]="Service items",Table1[[#This Row],[Product category]]="Additional services",Table1[[#This Row],[Product category]]="Additional materials"),
"NOK",IF(($N$3&lt;&gt;""),VLOOKUP(Table1[[#This Row],[Product code]],INDIRECT(Aux!$A$1),6,FALSE),"")),"")</f>
        <v/>
      </c>
      <c r="P192" s="41" t="str">
        <f ca="1">IFERROR(IF(AND(Table1[[#This Row],[Quantity]]&lt;&gt;"",Table1[[#This Row],[Currency]]="NOK"),Table1[[#This Row],[Quantity]]*Table1[[#This Row],[Unit Price]],""),"")</f>
        <v/>
      </c>
      <c r="Q192" s="41" t="str">
        <f ca="1">IFERROR(IF(AND(Table1[[#This Row],[ACT_Qty]]&lt;&gt;"",Table1[[#This Row],[Currency]]="NOK"),Table1[[#This Row],[ACT_Qty]]*Table1[[#This Row],[Unit Price]],""),"")</f>
        <v/>
      </c>
      <c r="R192" s="41" t="str">
        <f ca="1">IFERROR(IF(AND(Table1[[#This Row],[Quantity]]&lt;&gt;"",Table1[[#This Row],[Currency]]="EUR"),Table1[[#This Row],[Quantity]]*Table1[[#This Row],[Unit Price]],""),"")</f>
        <v/>
      </c>
      <c r="S192" s="41" t="str">
        <f ca="1">IFERROR(IF(AND(Table1[[#This Row],[ACT_Qty]]&lt;&gt;"",Table1[[#This Row],[Currency]]="EUR"),Table1[[#This Row],[ACT_Qty]]*Table1[[#This Row],[Unit Price]],""),"")</f>
        <v/>
      </c>
      <c r="T192" s="269" t="str">
        <f ca="1">IFERROR(IF(AND(($N$3&lt;&gt;""),INDIRECT(Aux!$D$1)),VLOOKUP(Table1[[#This Row],[Product code]],Aux!B:E,4,FALSE),""),"")</f>
        <v/>
      </c>
      <c r="U192" s="145" t="str">
        <f>IFERROR(IF(OR(Table1[[#This Row],[Quantity]]&lt;&gt;"",Table1[[#This Row],[ACT_Qty]]&lt;&gt;""),Table1[[#This Row],[ACT_Qty]]-Table1[[#This Row],[Quantity]],""),"")</f>
        <v/>
      </c>
      <c r="V192" s="45"/>
      <c r="W192" s="45"/>
      <c r="X192" s="45"/>
    </row>
    <row r="193" spans="1:24" ht="15" customHeight="1">
      <c r="A193" s="143" t="str">
        <f t="shared" si="12"/>
        <v>AKH12345</v>
      </c>
      <c r="B193" s="256" t="s">
        <v>634</v>
      </c>
      <c r="C193" s="143" t="s">
        <v>634</v>
      </c>
      <c r="D193" s="105"/>
      <c r="E193" s="106"/>
      <c r="F193" s="105"/>
      <c r="G193" s="106"/>
      <c r="H193" s="199" t="s">
        <v>635</v>
      </c>
      <c r="I193" s="200" t="s">
        <v>173</v>
      </c>
      <c r="J193" s="200" t="s">
        <v>620</v>
      </c>
      <c r="K193" s="200" t="s">
        <v>52</v>
      </c>
      <c r="L193" s="145" t="s">
        <v>339</v>
      </c>
      <c r="M193" s="145" t="str">
        <f t="shared" si="13"/>
        <v>OneCo Networks AS</v>
      </c>
      <c r="N1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3" s="268" t="str">
        <f ca="1">IFERROR(IF(
OR(Table1[[#This Row],[Product category]]="Service items",Table1[[#This Row],[Product category]]="Additional services",Table1[[#This Row],[Product category]]="Additional materials"),
"NOK",IF(($N$3&lt;&gt;""),VLOOKUP(Table1[[#This Row],[Product code]],INDIRECT(Aux!$A$1),6,FALSE),"")),"")</f>
        <v/>
      </c>
      <c r="P193" s="41" t="str">
        <f ca="1">IFERROR(IF(AND(Table1[[#This Row],[Quantity]]&lt;&gt;"",Table1[[#This Row],[Currency]]="NOK"),Table1[[#This Row],[Quantity]]*Table1[[#This Row],[Unit Price]],""),"")</f>
        <v/>
      </c>
      <c r="Q193" s="41" t="str">
        <f ca="1">IFERROR(IF(AND(Table1[[#This Row],[ACT_Qty]]&lt;&gt;"",Table1[[#This Row],[Currency]]="NOK"),Table1[[#This Row],[ACT_Qty]]*Table1[[#This Row],[Unit Price]],""),"")</f>
        <v/>
      </c>
      <c r="R193" s="41" t="str">
        <f ca="1">IFERROR(IF(AND(Table1[[#This Row],[Quantity]]&lt;&gt;"",Table1[[#This Row],[Currency]]="EUR"),Table1[[#This Row],[Quantity]]*Table1[[#This Row],[Unit Price]],""),"")</f>
        <v/>
      </c>
      <c r="S193" s="41" t="str">
        <f ca="1">IFERROR(IF(AND(Table1[[#This Row],[ACT_Qty]]&lt;&gt;"",Table1[[#This Row],[Currency]]="EUR"),Table1[[#This Row],[ACT_Qty]]*Table1[[#This Row],[Unit Price]],""),"")</f>
        <v/>
      </c>
      <c r="T193" s="269" t="str">
        <f ca="1">IFERROR(IF(AND(($N$3&lt;&gt;""),INDIRECT(Aux!$D$1)),VLOOKUP(Table1[[#This Row],[Product code]],Aux!B:E,4,FALSE),""),"")</f>
        <v/>
      </c>
      <c r="U193" s="145" t="str">
        <f>IFERROR(IF(OR(Table1[[#This Row],[Quantity]]&lt;&gt;"",Table1[[#This Row],[ACT_Qty]]&lt;&gt;""),Table1[[#This Row],[ACT_Qty]]-Table1[[#This Row],[Quantity]],""),"")</f>
        <v/>
      </c>
      <c r="V193" s="45"/>
      <c r="W193" s="45"/>
      <c r="X193" s="45"/>
    </row>
    <row r="194" spans="1:24">
      <c r="A194" s="143" t="str">
        <f t="shared" si="12"/>
        <v>AKH12345</v>
      </c>
      <c r="B194" s="256" t="s">
        <v>636</v>
      </c>
      <c r="C194" s="143" t="s">
        <v>637</v>
      </c>
      <c r="D194" s="105"/>
      <c r="E194" s="106"/>
      <c r="F194" s="105"/>
      <c r="G194" s="106"/>
      <c r="H194" s="199" t="s">
        <v>638</v>
      </c>
      <c r="I194" s="200" t="s">
        <v>173</v>
      </c>
      <c r="J194" s="200" t="s">
        <v>609</v>
      </c>
      <c r="K194" s="200" t="s">
        <v>52</v>
      </c>
      <c r="L194" s="145" t="s">
        <v>339</v>
      </c>
      <c r="M194" s="145" t="str">
        <f t="shared" si="13"/>
        <v>OneCo Networks AS</v>
      </c>
      <c r="N19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4" s="268" t="str">
        <f ca="1">IFERROR(IF(
OR(Table1[[#This Row],[Product category]]="Service items",Table1[[#This Row],[Product category]]="Additional services",Table1[[#This Row],[Product category]]="Additional materials"),
"NOK",IF(($N$3&lt;&gt;""),VLOOKUP(Table1[[#This Row],[Product code]],INDIRECT(Aux!$A$1),6,FALSE),"")),"")</f>
        <v/>
      </c>
      <c r="P194" s="41" t="str">
        <f ca="1">IFERROR(IF(AND(Table1[[#This Row],[Quantity]]&lt;&gt;"",Table1[[#This Row],[Currency]]="NOK"),Table1[[#This Row],[Quantity]]*Table1[[#This Row],[Unit Price]],""),"")</f>
        <v/>
      </c>
      <c r="Q194" s="41" t="str">
        <f ca="1">IFERROR(IF(AND(Table1[[#This Row],[ACT_Qty]]&lt;&gt;"",Table1[[#This Row],[Currency]]="NOK"),Table1[[#This Row],[ACT_Qty]]*Table1[[#This Row],[Unit Price]],""),"")</f>
        <v/>
      </c>
      <c r="R194" s="41" t="str">
        <f ca="1">IFERROR(IF(AND(Table1[[#This Row],[Quantity]]&lt;&gt;"",Table1[[#This Row],[Currency]]="EUR"),Table1[[#This Row],[Quantity]]*Table1[[#This Row],[Unit Price]],""),"")</f>
        <v/>
      </c>
      <c r="S194" s="41" t="str">
        <f ca="1">IFERROR(IF(AND(Table1[[#This Row],[ACT_Qty]]&lt;&gt;"",Table1[[#This Row],[Currency]]="EUR"),Table1[[#This Row],[ACT_Qty]]*Table1[[#This Row],[Unit Price]],""),"")</f>
        <v/>
      </c>
      <c r="T194" s="269" t="str">
        <f ca="1">IFERROR(IF(AND(($N$3&lt;&gt;""),INDIRECT(Aux!$D$1)),VLOOKUP(Table1[[#This Row],[Product code]],Aux!B:E,4,FALSE),""),"")</f>
        <v/>
      </c>
      <c r="U194" s="145" t="str">
        <f>IFERROR(IF(OR(Table1[[#This Row],[Quantity]]&lt;&gt;"",Table1[[#This Row],[ACT_Qty]]&lt;&gt;""),Table1[[#This Row],[ACT_Qty]]-Table1[[#This Row],[Quantity]],""),"")</f>
        <v/>
      </c>
      <c r="V194" s="45"/>
      <c r="W194" s="45"/>
      <c r="X194" s="45"/>
    </row>
    <row r="195" spans="1:24">
      <c r="A195" s="143" t="str">
        <f t="shared" si="12"/>
        <v>AKH12345</v>
      </c>
      <c r="B195" s="256" t="s">
        <v>639</v>
      </c>
      <c r="C195" s="143" t="s">
        <v>640</v>
      </c>
      <c r="D195" s="105"/>
      <c r="E195" s="106"/>
      <c r="F195" s="105"/>
      <c r="G195" s="106"/>
      <c r="H195" s="199"/>
      <c r="I195" s="200" t="s">
        <v>173</v>
      </c>
      <c r="J195" s="200" t="s">
        <v>609</v>
      </c>
      <c r="K195" s="200" t="s">
        <v>52</v>
      </c>
      <c r="L195" s="145" t="s">
        <v>610</v>
      </c>
      <c r="M195" s="145" t="str">
        <f t="shared" ref="M195:M201" si="15">IF($C$3&lt;&gt;"",$C$3,"")</f>
        <v>OneCo Networks AS</v>
      </c>
      <c r="N1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5" s="268" t="str">
        <f ca="1">IFERROR(IF(
OR(Table1[[#This Row],[Product category]]="Service items",Table1[[#This Row],[Product category]]="Additional services",Table1[[#This Row],[Product category]]="Additional materials"),
"NOK",IF(($N$3&lt;&gt;""),VLOOKUP(Table1[[#This Row],[Product code]],INDIRECT(Aux!$A$1),6,FALSE),"")),"")</f>
        <v/>
      </c>
      <c r="P195" s="41" t="str">
        <f ca="1">IFERROR(IF(AND(Table1[[#This Row],[Quantity]]&lt;&gt;"",Table1[[#This Row],[Currency]]="NOK"),Table1[[#This Row],[Quantity]]*Table1[[#This Row],[Unit Price]],""),"")</f>
        <v/>
      </c>
      <c r="Q195" s="41" t="str">
        <f ca="1">IFERROR(IF(AND(Table1[[#This Row],[ACT_Qty]]&lt;&gt;"",Table1[[#This Row],[Currency]]="NOK"),Table1[[#This Row],[ACT_Qty]]*Table1[[#This Row],[Unit Price]],""),"")</f>
        <v/>
      </c>
      <c r="R195" s="41" t="str">
        <f ca="1">IFERROR(IF(AND(Table1[[#This Row],[Quantity]]&lt;&gt;"",Table1[[#This Row],[Currency]]="EUR"),Table1[[#This Row],[Quantity]]*Table1[[#This Row],[Unit Price]],""),"")</f>
        <v/>
      </c>
      <c r="S195" s="41" t="str">
        <f ca="1">IFERROR(IF(AND(Table1[[#This Row],[ACT_Qty]]&lt;&gt;"",Table1[[#This Row],[Currency]]="EUR"),Table1[[#This Row],[ACT_Qty]]*Table1[[#This Row],[Unit Price]],""),"")</f>
        <v/>
      </c>
      <c r="T195" s="269" t="str">
        <f ca="1">IFERROR(IF(AND(($N$3&lt;&gt;""),INDIRECT(Aux!$D$1)),VLOOKUP(Table1[[#This Row],[Product code]],Aux!B:E,4,FALSE),""),"")</f>
        <v/>
      </c>
      <c r="U195" s="145" t="str">
        <f>IFERROR(IF(OR(Table1[[#This Row],[Quantity]]&lt;&gt;"",Table1[[#This Row],[ACT_Qty]]&lt;&gt;""),Table1[[#This Row],[ACT_Qty]]-Table1[[#This Row],[Quantity]],""),"")</f>
        <v/>
      </c>
      <c r="V195" s="45"/>
      <c r="W195" s="45"/>
      <c r="X195" s="45"/>
    </row>
    <row r="196" spans="1:24">
      <c r="A196" s="143" t="str">
        <f t="shared" si="12"/>
        <v>AKH12345</v>
      </c>
      <c r="B196" s="256" t="s">
        <v>641</v>
      </c>
      <c r="C196" s="143" t="s">
        <v>642</v>
      </c>
      <c r="D196" s="105"/>
      <c r="E196" s="106"/>
      <c r="F196" s="105"/>
      <c r="G196" s="106"/>
      <c r="H196" s="199"/>
      <c r="I196" s="200" t="s">
        <v>173</v>
      </c>
      <c r="J196" s="200" t="s">
        <v>609</v>
      </c>
      <c r="K196" s="200" t="s">
        <v>52</v>
      </c>
      <c r="L196" s="145" t="s">
        <v>610</v>
      </c>
      <c r="M196" s="145" t="str">
        <f t="shared" si="15"/>
        <v>OneCo Networks AS</v>
      </c>
      <c r="N19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6" s="268" t="str">
        <f ca="1">IFERROR(IF(
OR(Table1[[#This Row],[Product category]]="Service items",Table1[[#This Row],[Product category]]="Additional services",Table1[[#This Row],[Product category]]="Additional materials"),
"NOK",IF(($N$3&lt;&gt;""),VLOOKUP(Table1[[#This Row],[Product code]],INDIRECT(Aux!$A$1),6,FALSE),"")),"")</f>
        <v/>
      </c>
      <c r="P196" s="41" t="str">
        <f ca="1">IFERROR(IF(AND(Table1[[#This Row],[Quantity]]&lt;&gt;"",Table1[[#This Row],[Currency]]="NOK"),Table1[[#This Row],[Quantity]]*Table1[[#This Row],[Unit Price]],""),"")</f>
        <v/>
      </c>
      <c r="Q196" s="41" t="str">
        <f ca="1">IFERROR(IF(AND(Table1[[#This Row],[ACT_Qty]]&lt;&gt;"",Table1[[#This Row],[Currency]]="NOK"),Table1[[#This Row],[ACT_Qty]]*Table1[[#This Row],[Unit Price]],""),"")</f>
        <v/>
      </c>
      <c r="R196" s="41" t="str">
        <f ca="1">IFERROR(IF(AND(Table1[[#This Row],[Quantity]]&lt;&gt;"",Table1[[#This Row],[Currency]]="EUR"),Table1[[#This Row],[Quantity]]*Table1[[#This Row],[Unit Price]],""),"")</f>
        <v/>
      </c>
      <c r="S196" s="41" t="str">
        <f ca="1">IFERROR(IF(AND(Table1[[#This Row],[ACT_Qty]]&lt;&gt;"",Table1[[#This Row],[Currency]]="EUR"),Table1[[#This Row],[ACT_Qty]]*Table1[[#This Row],[Unit Price]],""),"")</f>
        <v/>
      </c>
      <c r="T196" s="269" t="str">
        <f ca="1">IFERROR(IF(AND(($N$3&lt;&gt;""),INDIRECT(Aux!$D$1)),VLOOKUP(Table1[[#This Row],[Product code]],Aux!B:E,4,FALSE),""),"")</f>
        <v/>
      </c>
      <c r="U196" s="145" t="str">
        <f>IFERROR(IF(OR(Table1[[#This Row],[Quantity]]&lt;&gt;"",Table1[[#This Row],[ACT_Qty]]&lt;&gt;""),Table1[[#This Row],[ACT_Qty]]-Table1[[#This Row],[Quantity]],""),"")</f>
        <v/>
      </c>
      <c r="V196" s="45"/>
      <c r="W196" s="45"/>
      <c r="X196" s="45"/>
    </row>
    <row r="197" spans="1:24">
      <c r="A197" s="143" t="str">
        <f t="shared" si="12"/>
        <v>AKH12345</v>
      </c>
      <c r="B197" s="256" t="s">
        <v>643</v>
      </c>
      <c r="C197" s="143" t="s">
        <v>644</v>
      </c>
      <c r="D197" s="105"/>
      <c r="E197" s="106"/>
      <c r="F197" s="105"/>
      <c r="G197" s="106"/>
      <c r="H197" s="199"/>
      <c r="I197" s="200" t="s">
        <v>173</v>
      </c>
      <c r="J197" s="200" t="s">
        <v>609</v>
      </c>
      <c r="K197" s="200" t="s">
        <v>52</v>
      </c>
      <c r="L197" s="145" t="s">
        <v>645</v>
      </c>
      <c r="M197" s="145" t="str">
        <f t="shared" si="15"/>
        <v>OneCo Networks AS</v>
      </c>
      <c r="N1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7" s="268" t="str">
        <f ca="1">IFERROR(IF(
OR(Table1[[#This Row],[Product category]]="Service items",Table1[[#This Row],[Product category]]="Additional services",Table1[[#This Row],[Product category]]="Additional materials"),
"NOK",IF(($N$3&lt;&gt;""),VLOOKUP(Table1[[#This Row],[Product code]],INDIRECT(Aux!$A$1),6,FALSE),"")),"")</f>
        <v/>
      </c>
      <c r="P197" s="41" t="str">
        <f ca="1">IFERROR(IF(AND(Table1[[#This Row],[Quantity]]&lt;&gt;"",Table1[[#This Row],[Currency]]="NOK"),Table1[[#This Row],[Quantity]]*Table1[[#This Row],[Unit Price]],""),"")</f>
        <v/>
      </c>
      <c r="Q197" s="41" t="str">
        <f ca="1">IFERROR(IF(AND(Table1[[#This Row],[ACT_Qty]]&lt;&gt;"",Table1[[#This Row],[Currency]]="NOK"),Table1[[#This Row],[ACT_Qty]]*Table1[[#This Row],[Unit Price]],""),"")</f>
        <v/>
      </c>
      <c r="R197" s="41" t="str">
        <f ca="1">IFERROR(IF(AND(Table1[[#This Row],[Quantity]]&lt;&gt;"",Table1[[#This Row],[Currency]]="EUR"),Table1[[#This Row],[Quantity]]*Table1[[#This Row],[Unit Price]],""),"")</f>
        <v/>
      </c>
      <c r="S197" s="41" t="str">
        <f ca="1">IFERROR(IF(AND(Table1[[#This Row],[ACT_Qty]]&lt;&gt;"",Table1[[#This Row],[Currency]]="EUR"),Table1[[#This Row],[ACT_Qty]]*Table1[[#This Row],[Unit Price]],""),"")</f>
        <v/>
      </c>
      <c r="T197" s="269" t="str">
        <f ca="1">IFERROR(IF(AND(($N$3&lt;&gt;""),INDIRECT(Aux!$D$1)),VLOOKUP(Table1[[#This Row],[Product code]],Aux!B:E,4,FALSE),""),"")</f>
        <v/>
      </c>
      <c r="U197" s="145" t="str">
        <f>IFERROR(IF(OR(Table1[[#This Row],[Quantity]]&lt;&gt;"",Table1[[#This Row],[ACT_Qty]]&lt;&gt;""),Table1[[#This Row],[ACT_Qty]]-Table1[[#This Row],[Quantity]],""),"")</f>
        <v/>
      </c>
      <c r="V197" s="45"/>
      <c r="W197" s="45"/>
      <c r="X197" s="45"/>
    </row>
    <row r="198" spans="1:24">
      <c r="A198" s="143" t="str">
        <f t="shared" si="12"/>
        <v>AKH12345</v>
      </c>
      <c r="B198" s="256" t="s">
        <v>646</v>
      </c>
      <c r="C198" s="143" t="s">
        <v>647</v>
      </c>
      <c r="D198" s="105"/>
      <c r="E198" s="106"/>
      <c r="F198" s="105"/>
      <c r="G198" s="106"/>
      <c r="H198" s="199"/>
      <c r="I198" s="200" t="s">
        <v>173</v>
      </c>
      <c r="J198" s="200" t="s">
        <v>609</v>
      </c>
      <c r="K198" s="200" t="s">
        <v>52</v>
      </c>
      <c r="L198" s="145" t="s">
        <v>339</v>
      </c>
      <c r="M198" s="145" t="str">
        <f t="shared" si="15"/>
        <v>OneCo Networks AS</v>
      </c>
      <c r="N19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8" s="268" t="str">
        <f ca="1">IFERROR(IF(
OR(Table1[[#This Row],[Product category]]="Service items",Table1[[#This Row],[Product category]]="Additional services",Table1[[#This Row],[Product category]]="Additional materials"),
"NOK",IF(($N$3&lt;&gt;""),VLOOKUP(Table1[[#This Row],[Product code]],INDIRECT(Aux!$A$1),6,FALSE),"")),"")</f>
        <v/>
      </c>
      <c r="P198" s="41" t="str">
        <f ca="1">IFERROR(IF(AND(Table1[[#This Row],[Quantity]]&lt;&gt;"",Table1[[#This Row],[Currency]]="NOK"),Table1[[#This Row],[Quantity]]*Table1[[#This Row],[Unit Price]],""),"")</f>
        <v/>
      </c>
      <c r="Q198" s="41" t="str">
        <f ca="1">IFERROR(IF(AND(Table1[[#This Row],[ACT_Qty]]&lt;&gt;"",Table1[[#This Row],[Currency]]="NOK"),Table1[[#This Row],[ACT_Qty]]*Table1[[#This Row],[Unit Price]],""),"")</f>
        <v/>
      </c>
      <c r="R198" s="41" t="str">
        <f ca="1">IFERROR(IF(AND(Table1[[#This Row],[Quantity]]&lt;&gt;"",Table1[[#This Row],[Currency]]="EUR"),Table1[[#This Row],[Quantity]]*Table1[[#This Row],[Unit Price]],""),"")</f>
        <v/>
      </c>
      <c r="S198" s="41" t="str">
        <f ca="1">IFERROR(IF(AND(Table1[[#This Row],[ACT_Qty]]&lt;&gt;"",Table1[[#This Row],[Currency]]="EUR"),Table1[[#This Row],[ACT_Qty]]*Table1[[#This Row],[Unit Price]],""),"")</f>
        <v/>
      </c>
      <c r="T198" s="269" t="str">
        <f ca="1">IFERROR(IF(AND(($N$3&lt;&gt;""),INDIRECT(Aux!$D$1)),VLOOKUP(Table1[[#This Row],[Product code]],Aux!B:E,4,FALSE),""),"")</f>
        <v/>
      </c>
      <c r="U198" s="145" t="str">
        <f>IFERROR(IF(OR(Table1[[#This Row],[Quantity]]&lt;&gt;"",Table1[[#This Row],[ACT_Qty]]&lt;&gt;""),Table1[[#This Row],[ACT_Qty]]-Table1[[#This Row],[Quantity]],""),"")</f>
        <v/>
      </c>
      <c r="V198" s="45"/>
      <c r="W198" s="45"/>
      <c r="X198" s="45"/>
    </row>
    <row r="199" spans="1:24">
      <c r="A199" s="143" t="str">
        <f t="shared" si="12"/>
        <v>AKH12345</v>
      </c>
      <c r="B199" s="256" t="s">
        <v>648</v>
      </c>
      <c r="C199" s="143" t="s">
        <v>649</v>
      </c>
      <c r="D199" s="105"/>
      <c r="E199" s="106"/>
      <c r="F199" s="105"/>
      <c r="G199" s="106"/>
      <c r="H199" s="199"/>
      <c r="I199" s="200" t="s">
        <v>173</v>
      </c>
      <c r="J199" s="200" t="s">
        <v>609</v>
      </c>
      <c r="K199" s="200" t="s">
        <v>52</v>
      </c>
      <c r="L199" s="145" t="s">
        <v>650</v>
      </c>
      <c r="M199" s="145" t="str">
        <f t="shared" si="15"/>
        <v>OneCo Networks AS</v>
      </c>
      <c r="N1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199" s="268" t="str">
        <f ca="1">IFERROR(IF(
OR(Table1[[#This Row],[Product category]]="Service items",Table1[[#This Row],[Product category]]="Additional services",Table1[[#This Row],[Product category]]="Additional materials"),
"NOK",IF(($N$3&lt;&gt;""),VLOOKUP(Table1[[#This Row],[Product code]],INDIRECT(Aux!$A$1),6,FALSE),"")),"")</f>
        <v/>
      </c>
      <c r="P199" s="41" t="str">
        <f ca="1">IFERROR(IF(AND(Table1[[#This Row],[Quantity]]&lt;&gt;"",Table1[[#This Row],[Currency]]="NOK"),Table1[[#This Row],[Quantity]]*Table1[[#This Row],[Unit Price]],""),"")</f>
        <v/>
      </c>
      <c r="Q199" s="41" t="str">
        <f ca="1">IFERROR(IF(AND(Table1[[#This Row],[ACT_Qty]]&lt;&gt;"",Table1[[#This Row],[Currency]]="NOK"),Table1[[#This Row],[ACT_Qty]]*Table1[[#This Row],[Unit Price]],""),"")</f>
        <v/>
      </c>
      <c r="R199" s="41" t="str">
        <f ca="1">IFERROR(IF(AND(Table1[[#This Row],[Quantity]]&lt;&gt;"",Table1[[#This Row],[Currency]]="EUR"),Table1[[#This Row],[Quantity]]*Table1[[#This Row],[Unit Price]],""),"")</f>
        <v/>
      </c>
      <c r="S199" s="41" t="str">
        <f ca="1">IFERROR(IF(AND(Table1[[#This Row],[ACT_Qty]]&lt;&gt;"",Table1[[#This Row],[Currency]]="EUR"),Table1[[#This Row],[ACT_Qty]]*Table1[[#This Row],[Unit Price]],""),"")</f>
        <v/>
      </c>
      <c r="T199" s="269" t="str">
        <f ca="1">IFERROR(IF(AND(($N$3&lt;&gt;""),INDIRECT(Aux!$D$1)),VLOOKUP(Table1[[#This Row],[Product code]],Aux!B:E,4,FALSE),""),"")</f>
        <v/>
      </c>
      <c r="U199" s="145" t="str">
        <f>IFERROR(IF(OR(Table1[[#This Row],[Quantity]]&lt;&gt;"",Table1[[#This Row],[ACT_Qty]]&lt;&gt;""),Table1[[#This Row],[ACT_Qty]]-Table1[[#This Row],[Quantity]],""),"")</f>
        <v/>
      </c>
      <c r="V199" s="45"/>
      <c r="W199" s="45"/>
      <c r="X199" s="45"/>
    </row>
    <row r="200" spans="1:24">
      <c r="A200" s="143" t="str">
        <f t="shared" si="12"/>
        <v>AKH12345</v>
      </c>
      <c r="B200" s="256" t="s">
        <v>651</v>
      </c>
      <c r="C200" s="143" t="s">
        <v>652</v>
      </c>
      <c r="D200" s="105"/>
      <c r="E200" s="106"/>
      <c r="F200" s="105"/>
      <c r="G200" s="106"/>
      <c r="H200" s="199"/>
      <c r="I200" s="200" t="s">
        <v>173</v>
      </c>
      <c r="J200" s="200" t="s">
        <v>609</v>
      </c>
      <c r="K200" s="200" t="s">
        <v>52</v>
      </c>
      <c r="L200" s="145" t="s">
        <v>339</v>
      </c>
      <c r="M200" s="145" t="str">
        <f t="shared" si="15"/>
        <v>OneCo Networks AS</v>
      </c>
      <c r="N20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0" s="268" t="str">
        <f ca="1">IFERROR(IF(
OR(Table1[[#This Row],[Product category]]="Service items",Table1[[#This Row],[Product category]]="Additional services",Table1[[#This Row],[Product category]]="Additional materials"),
"NOK",IF(($N$3&lt;&gt;""),VLOOKUP(Table1[[#This Row],[Product code]],INDIRECT(Aux!$A$1),6,FALSE),"")),"")</f>
        <v/>
      </c>
      <c r="P200" s="41" t="str">
        <f ca="1">IFERROR(IF(AND(Table1[[#This Row],[Quantity]]&lt;&gt;"",Table1[[#This Row],[Currency]]="NOK"),Table1[[#This Row],[Quantity]]*Table1[[#This Row],[Unit Price]],""),"")</f>
        <v/>
      </c>
      <c r="Q200" s="41" t="str">
        <f ca="1">IFERROR(IF(AND(Table1[[#This Row],[ACT_Qty]]&lt;&gt;"",Table1[[#This Row],[Currency]]="NOK"),Table1[[#This Row],[ACT_Qty]]*Table1[[#This Row],[Unit Price]],""),"")</f>
        <v/>
      </c>
      <c r="R200" s="41" t="str">
        <f ca="1">IFERROR(IF(AND(Table1[[#This Row],[Quantity]]&lt;&gt;"",Table1[[#This Row],[Currency]]="EUR"),Table1[[#This Row],[Quantity]]*Table1[[#This Row],[Unit Price]],""),"")</f>
        <v/>
      </c>
      <c r="S200" s="41" t="str">
        <f ca="1">IFERROR(IF(AND(Table1[[#This Row],[ACT_Qty]]&lt;&gt;"",Table1[[#This Row],[Currency]]="EUR"),Table1[[#This Row],[ACT_Qty]]*Table1[[#This Row],[Unit Price]],""),"")</f>
        <v/>
      </c>
      <c r="T200" s="269" t="str">
        <f ca="1">IFERROR(IF(AND(($N$3&lt;&gt;""),INDIRECT(Aux!$D$1)),VLOOKUP(Table1[[#This Row],[Product code]],Aux!B:E,4,FALSE),""),"")</f>
        <v/>
      </c>
      <c r="U200" s="145" t="str">
        <f>IFERROR(IF(OR(Table1[[#This Row],[Quantity]]&lt;&gt;"",Table1[[#This Row],[ACT_Qty]]&lt;&gt;""),Table1[[#This Row],[ACT_Qty]]-Table1[[#This Row],[Quantity]],""),"")</f>
        <v/>
      </c>
      <c r="V200" s="45"/>
      <c r="W200" s="45"/>
      <c r="X200" s="45"/>
    </row>
    <row r="201" spans="1:24">
      <c r="A201" s="143" t="str">
        <f t="shared" si="12"/>
        <v>AKH12345</v>
      </c>
      <c r="B201" s="256" t="s">
        <v>653</v>
      </c>
      <c r="C201" s="143" t="s">
        <v>654</v>
      </c>
      <c r="D201" s="105"/>
      <c r="E201" s="106"/>
      <c r="F201" s="105"/>
      <c r="G201" s="106"/>
      <c r="H201" s="199" t="s">
        <v>655</v>
      </c>
      <c r="I201" s="200" t="s">
        <v>173</v>
      </c>
      <c r="J201" s="200" t="s">
        <v>609</v>
      </c>
      <c r="K201" s="200" t="s">
        <v>52</v>
      </c>
      <c r="L201" s="145" t="s">
        <v>610</v>
      </c>
      <c r="M201" s="145" t="str">
        <f t="shared" si="15"/>
        <v>OneCo Networks AS</v>
      </c>
      <c r="N2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1" s="268" t="str">
        <f ca="1">IFERROR(IF(
OR(Table1[[#This Row],[Product category]]="Service items",Table1[[#This Row],[Product category]]="Additional services",Table1[[#This Row],[Product category]]="Additional materials"),
"NOK",IF(($N$3&lt;&gt;""),VLOOKUP(Table1[[#This Row],[Product code]],INDIRECT(Aux!$A$1),6,FALSE),"")),"")</f>
        <v/>
      </c>
      <c r="P201" s="41" t="str">
        <f ca="1">IFERROR(IF(AND(Table1[[#This Row],[Quantity]]&lt;&gt;"",Table1[[#This Row],[Currency]]="NOK"),Table1[[#This Row],[Quantity]]*Table1[[#This Row],[Unit Price]],""),"")</f>
        <v/>
      </c>
      <c r="Q201" s="41" t="str">
        <f ca="1">IFERROR(IF(AND(Table1[[#This Row],[ACT_Qty]]&lt;&gt;"",Table1[[#This Row],[Currency]]="NOK"),Table1[[#This Row],[ACT_Qty]]*Table1[[#This Row],[Unit Price]],""),"")</f>
        <v/>
      </c>
      <c r="R201" s="41" t="str">
        <f ca="1">IFERROR(IF(AND(Table1[[#This Row],[Quantity]]&lt;&gt;"",Table1[[#This Row],[Currency]]="EUR"),Table1[[#This Row],[Quantity]]*Table1[[#This Row],[Unit Price]],""),"")</f>
        <v/>
      </c>
      <c r="S201" s="41" t="str">
        <f ca="1">IFERROR(IF(AND(Table1[[#This Row],[ACT_Qty]]&lt;&gt;"",Table1[[#This Row],[Currency]]="EUR"),Table1[[#This Row],[ACT_Qty]]*Table1[[#This Row],[Unit Price]],""),"")</f>
        <v/>
      </c>
      <c r="T201" s="269" t="str">
        <f ca="1">IFERROR(IF(AND(($N$3&lt;&gt;""),INDIRECT(Aux!$D$1)),VLOOKUP(Table1[[#This Row],[Product code]],Aux!B:E,4,FALSE),""),"")</f>
        <v/>
      </c>
      <c r="U201" s="145" t="str">
        <f>IFERROR(IF(OR(Table1[[#This Row],[Quantity]]&lt;&gt;"",Table1[[#This Row],[ACT_Qty]]&lt;&gt;""),Table1[[#This Row],[ACT_Qty]]-Table1[[#This Row],[Quantity]],""),"")</f>
        <v/>
      </c>
      <c r="V201" s="45"/>
      <c r="W201" s="45"/>
      <c r="X201" s="45"/>
    </row>
    <row r="202" spans="1:24">
      <c r="A202" s="143" t="str">
        <f t="shared" si="12"/>
        <v>AKH12345</v>
      </c>
      <c r="B202" s="256" t="s">
        <v>656</v>
      </c>
      <c r="C202" s="143" t="s">
        <v>657</v>
      </c>
      <c r="D202" s="105"/>
      <c r="E202" s="106"/>
      <c r="F202" s="105"/>
      <c r="G202" s="106"/>
      <c r="H202" s="199" t="s">
        <v>658</v>
      </c>
      <c r="I202" s="200" t="s">
        <v>173</v>
      </c>
      <c r="J202" s="200" t="s">
        <v>659</v>
      </c>
      <c r="K202" s="200" t="s">
        <v>52</v>
      </c>
      <c r="L202" s="145" t="s">
        <v>53</v>
      </c>
      <c r="M202" s="145" t="str">
        <f t="shared" si="13"/>
        <v>OneCo Networks AS</v>
      </c>
      <c r="N20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2" s="268" t="str">
        <f ca="1">IFERROR(IF(
OR(Table1[[#This Row],[Product category]]="Service items",Table1[[#This Row],[Product category]]="Additional services",Table1[[#This Row],[Product category]]="Additional materials"),
"NOK",IF(($N$3&lt;&gt;""),VLOOKUP(Table1[[#This Row],[Product code]],INDIRECT(Aux!$A$1),6,FALSE),"")),"")</f>
        <v/>
      </c>
      <c r="P202" s="41" t="str">
        <f ca="1">IFERROR(IF(AND(Table1[[#This Row],[Quantity]]&lt;&gt;"",Table1[[#This Row],[Currency]]="NOK"),Table1[[#This Row],[Quantity]]*Table1[[#This Row],[Unit Price]],""),"")</f>
        <v/>
      </c>
      <c r="Q202" s="41" t="str">
        <f ca="1">IFERROR(IF(AND(Table1[[#This Row],[ACT_Qty]]&lt;&gt;"",Table1[[#This Row],[Currency]]="NOK"),Table1[[#This Row],[ACT_Qty]]*Table1[[#This Row],[Unit Price]],""),"")</f>
        <v/>
      </c>
      <c r="R202" s="41" t="str">
        <f ca="1">IFERROR(IF(AND(Table1[[#This Row],[Quantity]]&lt;&gt;"",Table1[[#This Row],[Currency]]="EUR"),Table1[[#This Row],[Quantity]]*Table1[[#This Row],[Unit Price]],""),"")</f>
        <v/>
      </c>
      <c r="S202" s="41" t="str">
        <f ca="1">IFERROR(IF(AND(Table1[[#This Row],[ACT_Qty]]&lt;&gt;"",Table1[[#This Row],[Currency]]="EUR"),Table1[[#This Row],[ACT_Qty]]*Table1[[#This Row],[Unit Price]],""),"")</f>
        <v/>
      </c>
      <c r="T202" s="269" t="str">
        <f ca="1">IFERROR(IF(AND(($N$3&lt;&gt;""),INDIRECT(Aux!$D$1)),VLOOKUP(Table1[[#This Row],[Product code]],Aux!B:E,4,FALSE),""),"")</f>
        <v/>
      </c>
      <c r="U202" s="145" t="str">
        <f>IFERROR(IF(OR(Table1[[#This Row],[Quantity]]&lt;&gt;"",Table1[[#This Row],[ACT_Qty]]&lt;&gt;""),Table1[[#This Row],[ACT_Qty]]-Table1[[#This Row],[Quantity]],""),"")</f>
        <v/>
      </c>
      <c r="V202" s="45"/>
      <c r="W202" s="45"/>
      <c r="X202" s="45"/>
    </row>
    <row r="203" spans="1:24">
      <c r="A203" s="143" t="str">
        <f t="shared" si="12"/>
        <v>AKH12345</v>
      </c>
      <c r="B203" s="256" t="s">
        <v>660</v>
      </c>
      <c r="C203" s="143" t="s">
        <v>661</v>
      </c>
      <c r="D203" s="105"/>
      <c r="E203" s="106"/>
      <c r="F203" s="105"/>
      <c r="G203" s="106"/>
      <c r="H203" s="199" t="s">
        <v>662</v>
      </c>
      <c r="I203" s="200" t="s">
        <v>173</v>
      </c>
      <c r="J203" s="200" t="s">
        <v>620</v>
      </c>
      <c r="K203" s="200" t="s">
        <v>52</v>
      </c>
      <c r="L203" s="145" t="s">
        <v>53</v>
      </c>
      <c r="M203" s="145" t="str">
        <f t="shared" si="13"/>
        <v>OneCo Networks AS</v>
      </c>
      <c r="N2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3" s="268" t="str">
        <f ca="1">IFERROR(IF(
OR(Table1[[#This Row],[Product category]]="Service items",Table1[[#This Row],[Product category]]="Additional services",Table1[[#This Row],[Product category]]="Additional materials"),
"NOK",IF(($N$3&lt;&gt;""),VLOOKUP(Table1[[#This Row],[Product code]],INDIRECT(Aux!$A$1),6,FALSE),"")),"")</f>
        <v/>
      </c>
      <c r="P203" s="41" t="str">
        <f ca="1">IFERROR(IF(AND(Table1[[#This Row],[Quantity]]&lt;&gt;"",Table1[[#This Row],[Currency]]="NOK"),Table1[[#This Row],[Quantity]]*Table1[[#This Row],[Unit Price]],""),"")</f>
        <v/>
      </c>
      <c r="Q203" s="41" t="str">
        <f ca="1">IFERROR(IF(AND(Table1[[#This Row],[ACT_Qty]]&lt;&gt;"",Table1[[#This Row],[Currency]]="NOK"),Table1[[#This Row],[ACT_Qty]]*Table1[[#This Row],[Unit Price]],""),"")</f>
        <v/>
      </c>
      <c r="R203" s="41" t="str">
        <f ca="1">IFERROR(IF(AND(Table1[[#This Row],[Quantity]]&lt;&gt;"",Table1[[#This Row],[Currency]]="EUR"),Table1[[#This Row],[Quantity]]*Table1[[#This Row],[Unit Price]],""),"")</f>
        <v/>
      </c>
      <c r="S203" s="41" t="str">
        <f ca="1">IFERROR(IF(AND(Table1[[#This Row],[ACT_Qty]]&lt;&gt;"",Table1[[#This Row],[Currency]]="EUR"),Table1[[#This Row],[ACT_Qty]]*Table1[[#This Row],[Unit Price]],""),"")</f>
        <v/>
      </c>
      <c r="T203" s="269" t="str">
        <f ca="1">IFERROR(IF(AND(($N$3&lt;&gt;""),INDIRECT(Aux!$D$1)),VLOOKUP(Table1[[#This Row],[Product code]],Aux!B:E,4,FALSE),""),"")</f>
        <v/>
      </c>
      <c r="U203" s="145" t="str">
        <f>IFERROR(IF(OR(Table1[[#This Row],[Quantity]]&lt;&gt;"",Table1[[#This Row],[ACT_Qty]]&lt;&gt;""),Table1[[#This Row],[ACT_Qty]]-Table1[[#This Row],[Quantity]],""),"")</f>
        <v/>
      </c>
      <c r="V203" s="45"/>
      <c r="W203" s="45"/>
      <c r="X203" s="45"/>
    </row>
    <row r="204" spans="1:24">
      <c r="A204" s="143" t="str">
        <f t="shared" si="12"/>
        <v>AKH12345</v>
      </c>
      <c r="B204" s="256" t="s">
        <v>663</v>
      </c>
      <c r="C204" s="143" t="s">
        <v>664</v>
      </c>
      <c r="D204" s="105"/>
      <c r="E204" s="106"/>
      <c r="F204" s="105"/>
      <c r="G204" s="106"/>
      <c r="H204" s="199" t="s">
        <v>665</v>
      </c>
      <c r="I204" s="200" t="s">
        <v>173</v>
      </c>
      <c r="J204" s="200" t="s">
        <v>620</v>
      </c>
      <c r="K204" s="200" t="s">
        <v>52</v>
      </c>
      <c r="L204" s="145" t="s">
        <v>53</v>
      </c>
      <c r="M204" s="145" t="str">
        <f t="shared" si="13"/>
        <v>OneCo Networks AS</v>
      </c>
      <c r="N20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4" s="268" t="str">
        <f ca="1">IFERROR(IF(
OR(Table1[[#This Row],[Product category]]="Service items",Table1[[#This Row],[Product category]]="Additional services",Table1[[#This Row],[Product category]]="Additional materials"),
"NOK",IF(($N$3&lt;&gt;""),VLOOKUP(Table1[[#This Row],[Product code]],INDIRECT(Aux!$A$1),6,FALSE),"")),"")</f>
        <v/>
      </c>
      <c r="P204" s="41" t="str">
        <f ca="1">IFERROR(IF(AND(Table1[[#This Row],[Quantity]]&lt;&gt;"",Table1[[#This Row],[Currency]]="NOK"),Table1[[#This Row],[Quantity]]*Table1[[#This Row],[Unit Price]],""),"")</f>
        <v/>
      </c>
      <c r="Q204" s="41" t="str">
        <f ca="1">IFERROR(IF(AND(Table1[[#This Row],[ACT_Qty]]&lt;&gt;"",Table1[[#This Row],[Currency]]="NOK"),Table1[[#This Row],[ACT_Qty]]*Table1[[#This Row],[Unit Price]],""),"")</f>
        <v/>
      </c>
      <c r="R204" s="41" t="str">
        <f ca="1">IFERROR(IF(AND(Table1[[#This Row],[Quantity]]&lt;&gt;"",Table1[[#This Row],[Currency]]="EUR"),Table1[[#This Row],[Quantity]]*Table1[[#This Row],[Unit Price]],""),"")</f>
        <v/>
      </c>
      <c r="S204" s="41" t="str">
        <f ca="1">IFERROR(IF(AND(Table1[[#This Row],[ACT_Qty]]&lt;&gt;"",Table1[[#This Row],[Currency]]="EUR"),Table1[[#This Row],[ACT_Qty]]*Table1[[#This Row],[Unit Price]],""),"")</f>
        <v/>
      </c>
      <c r="T204" s="269" t="str">
        <f ca="1">IFERROR(IF(AND(($N$3&lt;&gt;""),INDIRECT(Aux!$D$1)),VLOOKUP(Table1[[#This Row],[Product code]],Aux!B:E,4,FALSE),""),"")</f>
        <v/>
      </c>
      <c r="U204" s="145" t="str">
        <f>IFERROR(IF(OR(Table1[[#This Row],[Quantity]]&lt;&gt;"",Table1[[#This Row],[ACT_Qty]]&lt;&gt;""),Table1[[#This Row],[ACT_Qty]]-Table1[[#This Row],[Quantity]],""),"")</f>
        <v/>
      </c>
      <c r="V204" s="45"/>
      <c r="W204" s="45"/>
      <c r="X204" s="45"/>
    </row>
    <row r="205" spans="1:24">
      <c r="A205" s="143" t="str">
        <f t="shared" si="12"/>
        <v>AKH12345</v>
      </c>
      <c r="B205" s="256" t="s">
        <v>666</v>
      </c>
      <c r="C205" s="143" t="s">
        <v>667</v>
      </c>
      <c r="D205" s="105"/>
      <c r="E205" s="106"/>
      <c r="F205" s="105"/>
      <c r="G205" s="106"/>
      <c r="H205" s="199" t="s">
        <v>668</v>
      </c>
      <c r="I205" s="200" t="s">
        <v>173</v>
      </c>
      <c r="J205" s="200" t="s">
        <v>620</v>
      </c>
      <c r="K205" s="200" t="s">
        <v>52</v>
      </c>
      <c r="L205" s="145" t="s">
        <v>610</v>
      </c>
      <c r="M205" s="145" t="str">
        <f t="shared" si="13"/>
        <v>OneCo Networks AS</v>
      </c>
      <c r="N2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5" s="268" t="str">
        <f ca="1">IFERROR(IF(
OR(Table1[[#This Row],[Product category]]="Service items",Table1[[#This Row],[Product category]]="Additional services",Table1[[#This Row],[Product category]]="Additional materials"),
"NOK",IF(($N$3&lt;&gt;""),VLOOKUP(Table1[[#This Row],[Product code]],INDIRECT(Aux!$A$1),6,FALSE),"")),"")</f>
        <v/>
      </c>
      <c r="P205" s="41" t="str">
        <f ca="1">IFERROR(IF(AND(Table1[[#This Row],[Quantity]]&lt;&gt;"",Table1[[#This Row],[Currency]]="NOK"),Table1[[#This Row],[Quantity]]*Table1[[#This Row],[Unit Price]],""),"")</f>
        <v/>
      </c>
      <c r="Q205" s="41" t="str">
        <f ca="1">IFERROR(IF(AND(Table1[[#This Row],[ACT_Qty]]&lt;&gt;"",Table1[[#This Row],[Currency]]="NOK"),Table1[[#This Row],[ACT_Qty]]*Table1[[#This Row],[Unit Price]],""),"")</f>
        <v/>
      </c>
      <c r="R205" s="41" t="str">
        <f ca="1">IFERROR(IF(AND(Table1[[#This Row],[Quantity]]&lt;&gt;"",Table1[[#This Row],[Currency]]="EUR"),Table1[[#This Row],[Quantity]]*Table1[[#This Row],[Unit Price]],""),"")</f>
        <v/>
      </c>
      <c r="S205" s="41" t="str">
        <f ca="1">IFERROR(IF(AND(Table1[[#This Row],[ACT_Qty]]&lt;&gt;"",Table1[[#This Row],[Currency]]="EUR"),Table1[[#This Row],[ACT_Qty]]*Table1[[#This Row],[Unit Price]],""),"")</f>
        <v/>
      </c>
      <c r="T205" s="269" t="str">
        <f ca="1">IFERROR(IF(AND(($N$3&lt;&gt;""),INDIRECT(Aux!$D$1)),VLOOKUP(Table1[[#This Row],[Product code]],Aux!B:E,4,FALSE),""),"")</f>
        <v/>
      </c>
      <c r="U205" s="145" t="str">
        <f>IFERROR(IF(OR(Table1[[#This Row],[Quantity]]&lt;&gt;"",Table1[[#This Row],[ACT_Qty]]&lt;&gt;""),Table1[[#This Row],[ACT_Qty]]-Table1[[#This Row],[Quantity]],""),"")</f>
        <v/>
      </c>
      <c r="V205" s="45"/>
      <c r="W205" s="45"/>
      <c r="X205" s="45"/>
    </row>
    <row r="206" spans="1:24">
      <c r="A206" s="143" t="str">
        <f t="shared" si="12"/>
        <v>AKH12345</v>
      </c>
      <c r="B206" s="256" t="s">
        <v>669</v>
      </c>
      <c r="C206" s="143" t="s">
        <v>670</v>
      </c>
      <c r="D206" s="105"/>
      <c r="E206" s="106"/>
      <c r="F206" s="105"/>
      <c r="G206" s="106"/>
      <c r="H206" s="199" t="s">
        <v>671</v>
      </c>
      <c r="I206" s="200" t="s">
        <v>173</v>
      </c>
      <c r="J206" s="200" t="s">
        <v>672</v>
      </c>
      <c r="K206" s="200" t="s">
        <v>52</v>
      </c>
      <c r="L206" s="145" t="s">
        <v>152</v>
      </c>
      <c r="M206" s="145" t="str">
        <f t="shared" ref="M206:M226" si="16">IF($C$3&lt;&gt;"",$C$3,"")</f>
        <v>OneCo Networks AS</v>
      </c>
      <c r="N20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6" s="268" t="str">
        <f ca="1">IFERROR(IF(
OR(Table1[[#This Row],[Product category]]="Service items",Table1[[#This Row],[Product category]]="Additional services",Table1[[#This Row],[Product category]]="Additional materials"),
"NOK",IF(($N$3&lt;&gt;""),VLOOKUP(Table1[[#This Row],[Product code]],INDIRECT(Aux!$A$1),6,FALSE),"")),"")</f>
        <v/>
      </c>
      <c r="P206" s="41" t="str">
        <f ca="1">IFERROR(IF(AND(Table1[[#This Row],[Quantity]]&lt;&gt;"",Table1[[#This Row],[Currency]]="NOK"),Table1[[#This Row],[Quantity]]*Table1[[#This Row],[Unit Price]],""),"")</f>
        <v/>
      </c>
      <c r="Q206" s="41" t="str">
        <f ca="1">IFERROR(IF(AND(Table1[[#This Row],[ACT_Qty]]&lt;&gt;"",Table1[[#This Row],[Currency]]="NOK"),Table1[[#This Row],[ACT_Qty]]*Table1[[#This Row],[Unit Price]],""),"")</f>
        <v/>
      </c>
      <c r="R206" s="41" t="str">
        <f ca="1">IFERROR(IF(AND(Table1[[#This Row],[Quantity]]&lt;&gt;"",Table1[[#This Row],[Currency]]="EUR"),Table1[[#This Row],[Quantity]]*Table1[[#This Row],[Unit Price]],""),"")</f>
        <v/>
      </c>
      <c r="S206" s="41" t="str">
        <f ca="1">IFERROR(IF(AND(Table1[[#This Row],[ACT_Qty]]&lt;&gt;"",Table1[[#This Row],[Currency]]="EUR"),Table1[[#This Row],[ACT_Qty]]*Table1[[#This Row],[Unit Price]],""),"")</f>
        <v/>
      </c>
      <c r="T206" s="269" t="str">
        <f ca="1">IFERROR(IF(AND(($N$3&lt;&gt;""),INDIRECT(Aux!$D$1)),VLOOKUP(Table1[[#This Row],[Product code]],Aux!B:E,4,FALSE),""),"")</f>
        <v/>
      </c>
      <c r="U206" s="145" t="str">
        <f>IFERROR(IF(OR(Table1[[#This Row],[Quantity]]&lt;&gt;"",Table1[[#This Row],[ACT_Qty]]&lt;&gt;""),Table1[[#This Row],[ACT_Qty]]-Table1[[#This Row],[Quantity]],""),"")</f>
        <v/>
      </c>
      <c r="V206" s="45"/>
      <c r="W206" s="45"/>
      <c r="X206" s="45"/>
    </row>
    <row r="207" spans="1:24">
      <c r="A207" s="143" t="str">
        <f t="shared" si="12"/>
        <v>AKH12345</v>
      </c>
      <c r="B207" s="256" t="s">
        <v>673</v>
      </c>
      <c r="C207" s="143" t="s">
        <v>674</v>
      </c>
      <c r="D207" s="105"/>
      <c r="E207" s="106"/>
      <c r="F207" s="105"/>
      <c r="G207" s="106"/>
      <c r="H207" s="199"/>
      <c r="I207" s="200" t="s">
        <v>173</v>
      </c>
      <c r="J207" s="200" t="s">
        <v>672</v>
      </c>
      <c r="K207" s="200" t="s">
        <v>52</v>
      </c>
      <c r="L207" s="145" t="s">
        <v>152</v>
      </c>
      <c r="M207" s="145" t="str">
        <f t="shared" si="16"/>
        <v>OneCo Networks AS</v>
      </c>
      <c r="N2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7" s="268" t="str">
        <f ca="1">IFERROR(IF(
OR(Table1[[#This Row],[Product category]]="Service items",Table1[[#This Row],[Product category]]="Additional services",Table1[[#This Row],[Product category]]="Additional materials"),
"NOK",IF(($N$3&lt;&gt;""),VLOOKUP(Table1[[#This Row],[Product code]],INDIRECT(Aux!$A$1),6,FALSE),"")),"")</f>
        <v/>
      </c>
      <c r="P207" s="41" t="str">
        <f ca="1">IFERROR(IF(AND(Table1[[#This Row],[Quantity]]&lt;&gt;"",Table1[[#This Row],[Currency]]="NOK"),Table1[[#This Row],[Quantity]]*Table1[[#This Row],[Unit Price]],""),"")</f>
        <v/>
      </c>
      <c r="Q207" s="41" t="str">
        <f ca="1">IFERROR(IF(AND(Table1[[#This Row],[ACT_Qty]]&lt;&gt;"",Table1[[#This Row],[Currency]]="NOK"),Table1[[#This Row],[ACT_Qty]]*Table1[[#This Row],[Unit Price]],""),"")</f>
        <v/>
      </c>
      <c r="R207" s="41" t="str">
        <f ca="1">IFERROR(IF(AND(Table1[[#This Row],[Quantity]]&lt;&gt;"",Table1[[#This Row],[Currency]]="EUR"),Table1[[#This Row],[Quantity]]*Table1[[#This Row],[Unit Price]],""),"")</f>
        <v/>
      </c>
      <c r="S207" s="41" t="str">
        <f ca="1">IFERROR(IF(AND(Table1[[#This Row],[ACT_Qty]]&lt;&gt;"",Table1[[#This Row],[Currency]]="EUR"),Table1[[#This Row],[ACT_Qty]]*Table1[[#This Row],[Unit Price]],""),"")</f>
        <v/>
      </c>
      <c r="T207" s="269" t="str">
        <f ca="1">IFERROR(IF(AND(($N$3&lt;&gt;""),INDIRECT(Aux!$D$1)),VLOOKUP(Table1[[#This Row],[Product code]],Aux!B:E,4,FALSE),""),"")</f>
        <v/>
      </c>
      <c r="U207" s="145" t="str">
        <f>IFERROR(IF(OR(Table1[[#This Row],[Quantity]]&lt;&gt;"",Table1[[#This Row],[ACT_Qty]]&lt;&gt;""),Table1[[#This Row],[ACT_Qty]]-Table1[[#This Row],[Quantity]],""),"")</f>
        <v/>
      </c>
      <c r="V207" s="45"/>
      <c r="W207" s="45"/>
      <c r="X207" s="45"/>
    </row>
    <row r="208" spans="1:24">
      <c r="A208" s="143" t="str">
        <f t="shared" si="12"/>
        <v>AKH12345</v>
      </c>
      <c r="B208" s="256" t="s">
        <v>675</v>
      </c>
      <c r="C208" s="143" t="s">
        <v>676</v>
      </c>
      <c r="D208" s="105"/>
      <c r="E208" s="106"/>
      <c r="F208" s="105"/>
      <c r="G208" s="106"/>
      <c r="H208" s="199"/>
      <c r="I208" s="200" t="s">
        <v>173</v>
      </c>
      <c r="J208" s="200" t="s">
        <v>672</v>
      </c>
      <c r="K208" s="200" t="s">
        <v>52</v>
      </c>
      <c r="L208" s="145" t="s">
        <v>152</v>
      </c>
      <c r="M208" s="145" t="str">
        <f>IF($C$3&lt;&gt;"",$C$3,"")</f>
        <v>OneCo Networks AS</v>
      </c>
      <c r="N20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8" s="268" t="str">
        <f ca="1">IFERROR(IF(
OR(Table1[[#This Row],[Product category]]="Service items",Table1[[#This Row],[Product category]]="Additional services",Table1[[#This Row],[Product category]]="Additional materials"),
"NOK",IF(($N$3&lt;&gt;""),VLOOKUP(Table1[[#This Row],[Product code]],INDIRECT(Aux!$A$1),6,FALSE),"")),"")</f>
        <v/>
      </c>
      <c r="P208" s="41" t="str">
        <f ca="1">IFERROR(IF(AND(Table1[[#This Row],[Quantity]]&lt;&gt;"",Table1[[#This Row],[Currency]]="NOK"),Table1[[#This Row],[Quantity]]*Table1[[#This Row],[Unit Price]],""),"")</f>
        <v/>
      </c>
      <c r="Q208" s="41" t="str">
        <f ca="1">IFERROR(IF(AND(Table1[[#This Row],[ACT_Qty]]&lt;&gt;"",Table1[[#This Row],[Currency]]="NOK"),Table1[[#This Row],[ACT_Qty]]*Table1[[#This Row],[Unit Price]],""),"")</f>
        <v/>
      </c>
      <c r="R208" s="41" t="str">
        <f ca="1">IFERROR(IF(AND(Table1[[#This Row],[Quantity]]&lt;&gt;"",Table1[[#This Row],[Currency]]="EUR"),Table1[[#This Row],[Quantity]]*Table1[[#This Row],[Unit Price]],""),"")</f>
        <v/>
      </c>
      <c r="S208" s="41" t="str">
        <f ca="1">IFERROR(IF(AND(Table1[[#This Row],[ACT_Qty]]&lt;&gt;"",Table1[[#This Row],[Currency]]="EUR"),Table1[[#This Row],[ACT_Qty]]*Table1[[#This Row],[Unit Price]],""),"")</f>
        <v/>
      </c>
      <c r="T208" s="269" t="str">
        <f ca="1">IFERROR(IF(AND(($N$3&lt;&gt;""),INDIRECT(Aux!$D$1)),VLOOKUP(Table1[[#This Row],[Product code]],Aux!B:E,4,FALSE),""),"")</f>
        <v/>
      </c>
      <c r="U208" s="145" t="str">
        <f>IFERROR(IF(OR(Table1[[#This Row],[Quantity]]&lt;&gt;"",Table1[[#This Row],[ACT_Qty]]&lt;&gt;""),Table1[[#This Row],[ACT_Qty]]-Table1[[#This Row],[Quantity]],""),"")</f>
        <v/>
      </c>
      <c r="V208" s="45"/>
      <c r="W208" s="45"/>
      <c r="X208" s="45"/>
    </row>
    <row r="209" spans="1:24">
      <c r="A209" s="143" t="str">
        <f t="shared" si="12"/>
        <v>AKH12345</v>
      </c>
      <c r="B209" s="256" t="s">
        <v>677</v>
      </c>
      <c r="C209" s="143" t="s">
        <v>678</v>
      </c>
      <c r="D209" s="105"/>
      <c r="E209" s="106"/>
      <c r="F209" s="105"/>
      <c r="G209" s="106"/>
      <c r="H209" s="199"/>
      <c r="I209" s="200" t="s">
        <v>173</v>
      </c>
      <c r="J209" s="200" t="s">
        <v>672</v>
      </c>
      <c r="K209" s="200" t="s">
        <v>52</v>
      </c>
      <c r="L209" s="145" t="s">
        <v>152</v>
      </c>
      <c r="M209" s="145" t="str">
        <f t="shared" si="16"/>
        <v>OneCo Networks AS</v>
      </c>
      <c r="N2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09" s="268" t="str">
        <f ca="1">IFERROR(IF(
OR(Table1[[#This Row],[Product category]]="Service items",Table1[[#This Row],[Product category]]="Additional services",Table1[[#This Row],[Product category]]="Additional materials"),
"NOK",IF(($N$3&lt;&gt;""),VLOOKUP(Table1[[#This Row],[Product code]],INDIRECT(Aux!$A$1),6,FALSE),"")),"")</f>
        <v/>
      </c>
      <c r="P209" s="41" t="str">
        <f ca="1">IFERROR(IF(AND(Table1[[#This Row],[Quantity]]&lt;&gt;"",Table1[[#This Row],[Currency]]="NOK"),Table1[[#This Row],[Quantity]]*Table1[[#This Row],[Unit Price]],""),"")</f>
        <v/>
      </c>
      <c r="Q209" s="41" t="str">
        <f ca="1">IFERROR(IF(AND(Table1[[#This Row],[ACT_Qty]]&lt;&gt;"",Table1[[#This Row],[Currency]]="NOK"),Table1[[#This Row],[ACT_Qty]]*Table1[[#This Row],[Unit Price]],""),"")</f>
        <v/>
      </c>
      <c r="R209" s="41" t="str">
        <f ca="1">IFERROR(IF(AND(Table1[[#This Row],[Quantity]]&lt;&gt;"",Table1[[#This Row],[Currency]]="EUR"),Table1[[#This Row],[Quantity]]*Table1[[#This Row],[Unit Price]],""),"")</f>
        <v/>
      </c>
      <c r="S209" s="41" t="str">
        <f ca="1">IFERROR(IF(AND(Table1[[#This Row],[ACT_Qty]]&lt;&gt;"",Table1[[#This Row],[Currency]]="EUR"),Table1[[#This Row],[ACT_Qty]]*Table1[[#This Row],[Unit Price]],""),"")</f>
        <v/>
      </c>
      <c r="T209" s="269" t="str">
        <f ca="1">IFERROR(IF(AND(($N$3&lt;&gt;""),INDIRECT(Aux!$D$1)),VLOOKUP(Table1[[#This Row],[Product code]],Aux!B:E,4,FALSE),""),"")</f>
        <v/>
      </c>
      <c r="U209" s="145" t="str">
        <f>IFERROR(IF(OR(Table1[[#This Row],[Quantity]]&lt;&gt;"",Table1[[#This Row],[ACT_Qty]]&lt;&gt;""),Table1[[#This Row],[ACT_Qty]]-Table1[[#This Row],[Quantity]],""),"")</f>
        <v/>
      </c>
      <c r="V209" s="45"/>
      <c r="W209" s="45"/>
      <c r="X209" s="45"/>
    </row>
    <row r="210" spans="1:24">
      <c r="A210" s="143" t="str">
        <f t="shared" si="12"/>
        <v>AKH12345</v>
      </c>
      <c r="B210" s="256" t="s">
        <v>679</v>
      </c>
      <c r="C210" s="143" t="s">
        <v>680</v>
      </c>
      <c r="D210" s="105"/>
      <c r="E210" s="106"/>
      <c r="F210" s="105"/>
      <c r="G210" s="106"/>
      <c r="H210" s="199"/>
      <c r="I210" s="200" t="s">
        <v>173</v>
      </c>
      <c r="J210" s="200" t="s">
        <v>672</v>
      </c>
      <c r="K210" s="200" t="s">
        <v>52</v>
      </c>
      <c r="L210" s="145" t="s">
        <v>152</v>
      </c>
      <c r="M210" s="145" t="str">
        <f t="shared" si="16"/>
        <v>OneCo Networks AS</v>
      </c>
      <c r="N21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0" s="268" t="str">
        <f ca="1">IFERROR(IF(
OR(Table1[[#This Row],[Product category]]="Service items",Table1[[#This Row],[Product category]]="Additional services",Table1[[#This Row],[Product category]]="Additional materials"),
"NOK",IF(($N$3&lt;&gt;""),VLOOKUP(Table1[[#This Row],[Product code]],INDIRECT(Aux!$A$1),6,FALSE),"")),"")</f>
        <v/>
      </c>
      <c r="P210" s="41" t="str">
        <f ca="1">IFERROR(IF(AND(Table1[[#This Row],[Quantity]]&lt;&gt;"",Table1[[#This Row],[Currency]]="NOK"),Table1[[#This Row],[Quantity]]*Table1[[#This Row],[Unit Price]],""),"")</f>
        <v/>
      </c>
      <c r="Q210" s="41" t="str">
        <f ca="1">IFERROR(IF(AND(Table1[[#This Row],[ACT_Qty]]&lt;&gt;"",Table1[[#This Row],[Currency]]="NOK"),Table1[[#This Row],[ACT_Qty]]*Table1[[#This Row],[Unit Price]],""),"")</f>
        <v/>
      </c>
      <c r="R210" s="41" t="str">
        <f ca="1">IFERROR(IF(AND(Table1[[#This Row],[Quantity]]&lt;&gt;"",Table1[[#This Row],[Currency]]="EUR"),Table1[[#This Row],[Quantity]]*Table1[[#This Row],[Unit Price]],""),"")</f>
        <v/>
      </c>
      <c r="S210" s="41" t="str">
        <f ca="1">IFERROR(IF(AND(Table1[[#This Row],[ACT_Qty]]&lt;&gt;"",Table1[[#This Row],[Currency]]="EUR"),Table1[[#This Row],[ACT_Qty]]*Table1[[#This Row],[Unit Price]],""),"")</f>
        <v/>
      </c>
      <c r="T210" s="269" t="str">
        <f ca="1">IFERROR(IF(AND(($N$3&lt;&gt;""),INDIRECT(Aux!$D$1)),VLOOKUP(Table1[[#This Row],[Product code]],Aux!B:E,4,FALSE),""),"")</f>
        <v/>
      </c>
      <c r="U210" s="145" t="str">
        <f>IFERROR(IF(OR(Table1[[#This Row],[Quantity]]&lt;&gt;"",Table1[[#This Row],[ACT_Qty]]&lt;&gt;""),Table1[[#This Row],[ACT_Qty]]-Table1[[#This Row],[Quantity]],""),"")</f>
        <v/>
      </c>
      <c r="V210" s="45"/>
      <c r="W210" s="45"/>
      <c r="X210" s="45"/>
    </row>
    <row r="211" spans="1:24">
      <c r="A211" s="143" t="str">
        <f t="shared" si="12"/>
        <v>AKH12345</v>
      </c>
      <c r="B211" s="256" t="s">
        <v>681</v>
      </c>
      <c r="C211" s="143" t="s">
        <v>682</v>
      </c>
      <c r="D211" s="105"/>
      <c r="E211" s="106"/>
      <c r="F211" s="105"/>
      <c r="G211" s="106"/>
      <c r="H211" s="199"/>
      <c r="I211" s="200" t="s">
        <v>173</v>
      </c>
      <c r="J211" s="200" t="s">
        <v>672</v>
      </c>
      <c r="K211" s="200" t="s">
        <v>52</v>
      </c>
      <c r="L211" s="145" t="s">
        <v>152</v>
      </c>
      <c r="M211" s="145" t="str">
        <f t="shared" si="16"/>
        <v>OneCo Networks AS</v>
      </c>
      <c r="N2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1" s="268" t="str">
        <f ca="1">IFERROR(IF(
OR(Table1[[#This Row],[Product category]]="Service items",Table1[[#This Row],[Product category]]="Additional services",Table1[[#This Row],[Product category]]="Additional materials"),
"NOK",IF(($N$3&lt;&gt;""),VLOOKUP(Table1[[#This Row],[Product code]],INDIRECT(Aux!$A$1),6,FALSE),"")),"")</f>
        <v/>
      </c>
      <c r="P211" s="41" t="str">
        <f ca="1">IFERROR(IF(AND(Table1[[#This Row],[Quantity]]&lt;&gt;"",Table1[[#This Row],[Currency]]="NOK"),Table1[[#This Row],[Quantity]]*Table1[[#This Row],[Unit Price]],""),"")</f>
        <v/>
      </c>
      <c r="Q211" s="41" t="str">
        <f ca="1">IFERROR(IF(AND(Table1[[#This Row],[ACT_Qty]]&lt;&gt;"",Table1[[#This Row],[Currency]]="NOK"),Table1[[#This Row],[ACT_Qty]]*Table1[[#This Row],[Unit Price]],""),"")</f>
        <v/>
      </c>
      <c r="R211" s="41" t="str">
        <f ca="1">IFERROR(IF(AND(Table1[[#This Row],[Quantity]]&lt;&gt;"",Table1[[#This Row],[Currency]]="EUR"),Table1[[#This Row],[Quantity]]*Table1[[#This Row],[Unit Price]],""),"")</f>
        <v/>
      </c>
      <c r="S211" s="41" t="str">
        <f ca="1">IFERROR(IF(AND(Table1[[#This Row],[ACT_Qty]]&lt;&gt;"",Table1[[#This Row],[Currency]]="EUR"),Table1[[#This Row],[ACT_Qty]]*Table1[[#This Row],[Unit Price]],""),"")</f>
        <v/>
      </c>
      <c r="T211" s="269" t="str">
        <f ca="1">IFERROR(IF(AND(($N$3&lt;&gt;""),INDIRECT(Aux!$D$1)),VLOOKUP(Table1[[#This Row],[Product code]],Aux!B:E,4,FALSE),""),"")</f>
        <v/>
      </c>
      <c r="U211" s="145" t="str">
        <f>IFERROR(IF(OR(Table1[[#This Row],[Quantity]]&lt;&gt;"",Table1[[#This Row],[ACT_Qty]]&lt;&gt;""),Table1[[#This Row],[ACT_Qty]]-Table1[[#This Row],[Quantity]],""),"")</f>
        <v/>
      </c>
      <c r="V211" s="45"/>
      <c r="W211" s="45"/>
      <c r="X211" s="45"/>
    </row>
    <row r="212" spans="1:24">
      <c r="A212" s="143" t="str">
        <f t="shared" si="12"/>
        <v>AKH12345</v>
      </c>
      <c r="B212" s="256" t="s">
        <v>683</v>
      </c>
      <c r="C212" s="143" t="s">
        <v>684</v>
      </c>
      <c r="D212" s="105"/>
      <c r="E212" s="106"/>
      <c r="F212" s="105"/>
      <c r="G212" s="106"/>
      <c r="H212" s="199"/>
      <c r="I212" s="200" t="s">
        <v>173</v>
      </c>
      <c r="J212" s="200" t="s">
        <v>672</v>
      </c>
      <c r="K212" s="200" t="s">
        <v>52</v>
      </c>
      <c r="L212" s="145" t="s">
        <v>152</v>
      </c>
      <c r="M212" s="145" t="str">
        <f t="shared" si="16"/>
        <v>OneCo Networks AS</v>
      </c>
      <c r="N21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2" s="268" t="str">
        <f ca="1">IFERROR(IF(
OR(Table1[[#This Row],[Product category]]="Service items",Table1[[#This Row],[Product category]]="Additional services",Table1[[#This Row],[Product category]]="Additional materials"),
"NOK",IF(($N$3&lt;&gt;""),VLOOKUP(Table1[[#This Row],[Product code]],INDIRECT(Aux!$A$1),6,FALSE),"")),"")</f>
        <v/>
      </c>
      <c r="P212" s="41" t="str">
        <f ca="1">IFERROR(IF(AND(Table1[[#This Row],[Quantity]]&lt;&gt;"",Table1[[#This Row],[Currency]]="NOK"),Table1[[#This Row],[Quantity]]*Table1[[#This Row],[Unit Price]],""),"")</f>
        <v/>
      </c>
      <c r="Q212" s="41" t="str">
        <f ca="1">IFERROR(IF(AND(Table1[[#This Row],[ACT_Qty]]&lt;&gt;"",Table1[[#This Row],[Currency]]="NOK"),Table1[[#This Row],[ACT_Qty]]*Table1[[#This Row],[Unit Price]],""),"")</f>
        <v/>
      </c>
      <c r="R212" s="41" t="str">
        <f ca="1">IFERROR(IF(AND(Table1[[#This Row],[Quantity]]&lt;&gt;"",Table1[[#This Row],[Currency]]="EUR"),Table1[[#This Row],[Quantity]]*Table1[[#This Row],[Unit Price]],""),"")</f>
        <v/>
      </c>
      <c r="S212" s="41" t="str">
        <f ca="1">IFERROR(IF(AND(Table1[[#This Row],[ACT_Qty]]&lt;&gt;"",Table1[[#This Row],[Currency]]="EUR"),Table1[[#This Row],[ACT_Qty]]*Table1[[#This Row],[Unit Price]],""),"")</f>
        <v/>
      </c>
      <c r="T212" s="269" t="str">
        <f ca="1">IFERROR(IF(AND(($N$3&lt;&gt;""),INDIRECT(Aux!$D$1)),VLOOKUP(Table1[[#This Row],[Product code]],Aux!B:E,4,FALSE),""),"")</f>
        <v/>
      </c>
      <c r="U212" s="145" t="str">
        <f>IFERROR(IF(OR(Table1[[#This Row],[Quantity]]&lt;&gt;"",Table1[[#This Row],[ACT_Qty]]&lt;&gt;""),Table1[[#This Row],[ACT_Qty]]-Table1[[#This Row],[Quantity]],""),"")</f>
        <v/>
      </c>
      <c r="V212" s="45"/>
      <c r="W212" s="45"/>
      <c r="X212" s="45"/>
    </row>
    <row r="213" spans="1:24">
      <c r="A213" s="143" t="str">
        <f t="shared" si="12"/>
        <v>AKH12345</v>
      </c>
      <c r="B213" s="256" t="s">
        <v>685</v>
      </c>
      <c r="C213" s="143" t="s">
        <v>686</v>
      </c>
      <c r="D213" s="105"/>
      <c r="E213" s="106"/>
      <c r="F213" s="105"/>
      <c r="G213" s="106"/>
      <c r="H213" s="199"/>
      <c r="I213" s="200" t="s">
        <v>173</v>
      </c>
      <c r="J213" s="200" t="s">
        <v>672</v>
      </c>
      <c r="K213" s="200" t="s">
        <v>52</v>
      </c>
      <c r="L213" s="145" t="s">
        <v>152</v>
      </c>
      <c r="M213" s="145" t="str">
        <f t="shared" si="16"/>
        <v>OneCo Networks AS</v>
      </c>
      <c r="N2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3" s="268" t="str">
        <f ca="1">IFERROR(IF(
OR(Table1[[#This Row],[Product category]]="Service items",Table1[[#This Row],[Product category]]="Additional services",Table1[[#This Row],[Product category]]="Additional materials"),
"NOK",IF(($N$3&lt;&gt;""),VLOOKUP(Table1[[#This Row],[Product code]],INDIRECT(Aux!$A$1),6,FALSE),"")),"")</f>
        <v/>
      </c>
      <c r="P213" s="41" t="str">
        <f ca="1">IFERROR(IF(AND(Table1[[#This Row],[Quantity]]&lt;&gt;"",Table1[[#This Row],[Currency]]="NOK"),Table1[[#This Row],[Quantity]]*Table1[[#This Row],[Unit Price]],""),"")</f>
        <v/>
      </c>
      <c r="Q213" s="41" t="str">
        <f ca="1">IFERROR(IF(AND(Table1[[#This Row],[ACT_Qty]]&lt;&gt;"",Table1[[#This Row],[Currency]]="NOK"),Table1[[#This Row],[ACT_Qty]]*Table1[[#This Row],[Unit Price]],""),"")</f>
        <v/>
      </c>
      <c r="R213" s="41" t="str">
        <f ca="1">IFERROR(IF(AND(Table1[[#This Row],[Quantity]]&lt;&gt;"",Table1[[#This Row],[Currency]]="EUR"),Table1[[#This Row],[Quantity]]*Table1[[#This Row],[Unit Price]],""),"")</f>
        <v/>
      </c>
      <c r="S213" s="41" t="str">
        <f ca="1">IFERROR(IF(AND(Table1[[#This Row],[ACT_Qty]]&lt;&gt;"",Table1[[#This Row],[Currency]]="EUR"),Table1[[#This Row],[ACT_Qty]]*Table1[[#This Row],[Unit Price]],""),"")</f>
        <v/>
      </c>
      <c r="T213" s="269" t="str">
        <f ca="1">IFERROR(IF(AND(($N$3&lt;&gt;""),INDIRECT(Aux!$D$1)),VLOOKUP(Table1[[#This Row],[Product code]],Aux!B:E,4,FALSE),""),"")</f>
        <v/>
      </c>
      <c r="U213" s="145" t="str">
        <f>IFERROR(IF(OR(Table1[[#This Row],[Quantity]]&lt;&gt;"",Table1[[#This Row],[ACT_Qty]]&lt;&gt;""),Table1[[#This Row],[ACT_Qty]]-Table1[[#This Row],[Quantity]],""),"")</f>
        <v/>
      </c>
      <c r="V213" s="45"/>
      <c r="W213" s="45"/>
      <c r="X213" s="45"/>
    </row>
    <row r="214" spans="1:24">
      <c r="A214" s="143" t="str">
        <f t="shared" si="12"/>
        <v>AKH12345</v>
      </c>
      <c r="B214" s="256" t="s">
        <v>687</v>
      </c>
      <c r="C214" s="143" t="s">
        <v>688</v>
      </c>
      <c r="D214" s="105"/>
      <c r="E214" s="106"/>
      <c r="F214" s="105"/>
      <c r="G214" s="106"/>
      <c r="H214" s="199" t="s">
        <v>689</v>
      </c>
      <c r="I214" s="200" t="s">
        <v>173</v>
      </c>
      <c r="J214" s="200" t="s">
        <v>690</v>
      </c>
      <c r="K214" s="200" t="s">
        <v>52</v>
      </c>
      <c r="L214" s="145" t="s">
        <v>152</v>
      </c>
      <c r="M214" s="145" t="str">
        <f t="shared" si="16"/>
        <v>OneCo Networks AS</v>
      </c>
      <c r="N21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4" s="268" t="str">
        <f ca="1">IFERROR(IF(
OR(Table1[[#This Row],[Product category]]="Service items",Table1[[#This Row],[Product category]]="Additional services",Table1[[#This Row],[Product category]]="Additional materials"),
"NOK",IF(($N$3&lt;&gt;""),VLOOKUP(Table1[[#This Row],[Product code]],INDIRECT(Aux!$A$1),6,FALSE),"")),"")</f>
        <v/>
      </c>
      <c r="P214" s="41" t="str">
        <f ca="1">IFERROR(IF(AND(Table1[[#This Row],[Quantity]]&lt;&gt;"",Table1[[#This Row],[Currency]]="NOK"),Table1[[#This Row],[Quantity]]*Table1[[#This Row],[Unit Price]],""),"")</f>
        <v/>
      </c>
      <c r="Q214" s="41" t="str">
        <f ca="1">IFERROR(IF(AND(Table1[[#This Row],[ACT_Qty]]&lt;&gt;"",Table1[[#This Row],[Currency]]="NOK"),Table1[[#This Row],[ACT_Qty]]*Table1[[#This Row],[Unit Price]],""),"")</f>
        <v/>
      </c>
      <c r="R214" s="41" t="str">
        <f ca="1">IFERROR(IF(AND(Table1[[#This Row],[Quantity]]&lt;&gt;"",Table1[[#This Row],[Currency]]="EUR"),Table1[[#This Row],[Quantity]]*Table1[[#This Row],[Unit Price]],""),"")</f>
        <v/>
      </c>
      <c r="S214" s="41" t="str">
        <f ca="1">IFERROR(IF(AND(Table1[[#This Row],[ACT_Qty]]&lt;&gt;"",Table1[[#This Row],[Currency]]="EUR"),Table1[[#This Row],[ACT_Qty]]*Table1[[#This Row],[Unit Price]],""),"")</f>
        <v/>
      </c>
      <c r="T214" s="269" t="str">
        <f ca="1">IFERROR(IF(AND(($N$3&lt;&gt;""),INDIRECT(Aux!$D$1)),VLOOKUP(Table1[[#This Row],[Product code]],Aux!B:E,4,FALSE),""),"")</f>
        <v/>
      </c>
      <c r="U214" s="145" t="str">
        <f>IFERROR(IF(OR(Table1[[#This Row],[Quantity]]&lt;&gt;"",Table1[[#This Row],[ACT_Qty]]&lt;&gt;""),Table1[[#This Row],[ACT_Qty]]-Table1[[#This Row],[Quantity]],""),"")</f>
        <v/>
      </c>
      <c r="V214" s="45"/>
      <c r="W214" s="45"/>
      <c r="X214" s="45"/>
    </row>
    <row r="215" spans="1:24">
      <c r="A215" s="143" t="str">
        <f t="shared" si="12"/>
        <v>AKH12345</v>
      </c>
      <c r="B215" s="256" t="s">
        <v>691</v>
      </c>
      <c r="C215" s="143" t="s">
        <v>692</v>
      </c>
      <c r="D215" s="105"/>
      <c r="E215" s="106"/>
      <c r="F215" s="105"/>
      <c r="G215" s="106"/>
      <c r="H215" s="199" t="s">
        <v>693</v>
      </c>
      <c r="I215" s="200" t="s">
        <v>173</v>
      </c>
      <c r="J215" s="200" t="s">
        <v>690</v>
      </c>
      <c r="K215" s="200" t="s">
        <v>52</v>
      </c>
      <c r="L215" s="145" t="s">
        <v>152</v>
      </c>
      <c r="M215" s="145" t="str">
        <f t="shared" si="16"/>
        <v>OneCo Networks AS</v>
      </c>
      <c r="N2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5" s="268" t="str">
        <f ca="1">IFERROR(IF(
OR(Table1[[#This Row],[Product category]]="Service items",Table1[[#This Row],[Product category]]="Additional services",Table1[[#This Row],[Product category]]="Additional materials"),
"NOK",IF(($N$3&lt;&gt;""),VLOOKUP(Table1[[#This Row],[Product code]],INDIRECT(Aux!$A$1),6,FALSE),"")),"")</f>
        <v/>
      </c>
      <c r="P215" s="41" t="str">
        <f ca="1">IFERROR(IF(AND(Table1[[#This Row],[Quantity]]&lt;&gt;"",Table1[[#This Row],[Currency]]="NOK"),Table1[[#This Row],[Quantity]]*Table1[[#This Row],[Unit Price]],""),"")</f>
        <v/>
      </c>
      <c r="Q215" s="41" t="str">
        <f ca="1">IFERROR(IF(AND(Table1[[#This Row],[ACT_Qty]]&lt;&gt;"",Table1[[#This Row],[Currency]]="NOK"),Table1[[#This Row],[ACT_Qty]]*Table1[[#This Row],[Unit Price]],""),"")</f>
        <v/>
      </c>
      <c r="R215" s="41" t="str">
        <f ca="1">IFERROR(IF(AND(Table1[[#This Row],[Quantity]]&lt;&gt;"",Table1[[#This Row],[Currency]]="EUR"),Table1[[#This Row],[Quantity]]*Table1[[#This Row],[Unit Price]],""),"")</f>
        <v/>
      </c>
      <c r="S215" s="41" t="str">
        <f ca="1">IFERROR(IF(AND(Table1[[#This Row],[ACT_Qty]]&lt;&gt;"",Table1[[#This Row],[Currency]]="EUR"),Table1[[#This Row],[ACT_Qty]]*Table1[[#This Row],[Unit Price]],""),"")</f>
        <v/>
      </c>
      <c r="T215" s="269" t="str">
        <f ca="1">IFERROR(IF(AND(($N$3&lt;&gt;""),INDIRECT(Aux!$D$1)),VLOOKUP(Table1[[#This Row],[Product code]],Aux!B:E,4,FALSE),""),"")</f>
        <v/>
      </c>
      <c r="U215" s="145" t="str">
        <f>IFERROR(IF(OR(Table1[[#This Row],[Quantity]]&lt;&gt;"",Table1[[#This Row],[ACT_Qty]]&lt;&gt;""),Table1[[#This Row],[ACT_Qty]]-Table1[[#This Row],[Quantity]],""),"")</f>
        <v/>
      </c>
      <c r="V215" s="45"/>
      <c r="W215" s="45"/>
      <c r="X215" s="45"/>
    </row>
    <row r="216" spans="1:24">
      <c r="A216" s="143" t="str">
        <f t="shared" si="12"/>
        <v>AKH12345</v>
      </c>
      <c r="B216" s="256" t="s">
        <v>694</v>
      </c>
      <c r="C216" s="143" t="s">
        <v>695</v>
      </c>
      <c r="D216" s="105"/>
      <c r="E216" s="106"/>
      <c r="F216" s="105"/>
      <c r="G216" s="106"/>
      <c r="H216" s="199" t="s">
        <v>696</v>
      </c>
      <c r="I216" s="200" t="s">
        <v>173</v>
      </c>
      <c r="J216" s="200" t="s">
        <v>690</v>
      </c>
      <c r="K216" s="200" t="s">
        <v>52</v>
      </c>
      <c r="L216" s="145" t="s">
        <v>152</v>
      </c>
      <c r="M216" s="145" t="str">
        <f t="shared" si="16"/>
        <v>OneCo Networks AS</v>
      </c>
      <c r="N21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6" s="268" t="str">
        <f ca="1">IFERROR(IF(
OR(Table1[[#This Row],[Product category]]="Service items",Table1[[#This Row],[Product category]]="Additional services",Table1[[#This Row],[Product category]]="Additional materials"),
"NOK",IF(($N$3&lt;&gt;""),VLOOKUP(Table1[[#This Row],[Product code]],INDIRECT(Aux!$A$1),6,FALSE),"")),"")</f>
        <v/>
      </c>
      <c r="P216" s="41" t="str">
        <f ca="1">IFERROR(IF(AND(Table1[[#This Row],[Quantity]]&lt;&gt;"",Table1[[#This Row],[Currency]]="NOK"),Table1[[#This Row],[Quantity]]*Table1[[#This Row],[Unit Price]],""),"")</f>
        <v/>
      </c>
      <c r="Q216" s="41" t="str">
        <f ca="1">IFERROR(IF(AND(Table1[[#This Row],[ACT_Qty]]&lt;&gt;"",Table1[[#This Row],[Currency]]="NOK"),Table1[[#This Row],[ACT_Qty]]*Table1[[#This Row],[Unit Price]],""),"")</f>
        <v/>
      </c>
      <c r="R216" s="41" t="str">
        <f ca="1">IFERROR(IF(AND(Table1[[#This Row],[Quantity]]&lt;&gt;"",Table1[[#This Row],[Currency]]="EUR"),Table1[[#This Row],[Quantity]]*Table1[[#This Row],[Unit Price]],""),"")</f>
        <v/>
      </c>
      <c r="S216" s="41" t="str">
        <f ca="1">IFERROR(IF(AND(Table1[[#This Row],[ACT_Qty]]&lt;&gt;"",Table1[[#This Row],[Currency]]="EUR"),Table1[[#This Row],[ACT_Qty]]*Table1[[#This Row],[Unit Price]],""),"")</f>
        <v/>
      </c>
      <c r="T216" s="269" t="str">
        <f ca="1">IFERROR(IF(AND(($N$3&lt;&gt;""),INDIRECT(Aux!$D$1)),VLOOKUP(Table1[[#This Row],[Product code]],Aux!B:E,4,FALSE),""),"")</f>
        <v/>
      </c>
      <c r="U216" s="145" t="str">
        <f>IFERROR(IF(OR(Table1[[#This Row],[Quantity]]&lt;&gt;"",Table1[[#This Row],[ACT_Qty]]&lt;&gt;""),Table1[[#This Row],[ACT_Qty]]-Table1[[#This Row],[Quantity]],""),"")</f>
        <v/>
      </c>
      <c r="V216" s="45"/>
      <c r="W216" s="45"/>
      <c r="X216" s="45"/>
    </row>
    <row r="217" spans="1:24" ht="15" customHeight="1">
      <c r="A217" s="143" t="str">
        <f t="shared" si="12"/>
        <v>AKH12345</v>
      </c>
      <c r="B217" s="256" t="s">
        <v>697</v>
      </c>
      <c r="C217" s="143" t="s">
        <v>698</v>
      </c>
      <c r="D217" s="105"/>
      <c r="E217" s="106"/>
      <c r="F217" s="105"/>
      <c r="G217" s="106"/>
      <c r="H217" s="199" t="s">
        <v>699</v>
      </c>
      <c r="I217" s="200" t="s">
        <v>173</v>
      </c>
      <c r="J217" s="200" t="s">
        <v>690</v>
      </c>
      <c r="K217" s="200" t="s">
        <v>52</v>
      </c>
      <c r="L217" s="145" t="s">
        <v>152</v>
      </c>
      <c r="M217" s="145" t="str">
        <f t="shared" si="16"/>
        <v>OneCo Networks AS</v>
      </c>
      <c r="N2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7" s="268" t="str">
        <f ca="1">IFERROR(IF(
OR(Table1[[#This Row],[Product category]]="Service items",Table1[[#This Row],[Product category]]="Additional services",Table1[[#This Row],[Product category]]="Additional materials"),
"NOK",IF(($N$3&lt;&gt;""),VLOOKUP(Table1[[#This Row],[Product code]],INDIRECT(Aux!$A$1),6,FALSE),"")),"")</f>
        <v/>
      </c>
      <c r="P217" s="41" t="str">
        <f ca="1">IFERROR(IF(AND(Table1[[#This Row],[Quantity]]&lt;&gt;"",Table1[[#This Row],[Currency]]="NOK"),Table1[[#This Row],[Quantity]]*Table1[[#This Row],[Unit Price]],""),"")</f>
        <v/>
      </c>
      <c r="Q217" s="41" t="str">
        <f ca="1">IFERROR(IF(AND(Table1[[#This Row],[ACT_Qty]]&lt;&gt;"",Table1[[#This Row],[Currency]]="NOK"),Table1[[#This Row],[ACT_Qty]]*Table1[[#This Row],[Unit Price]],""),"")</f>
        <v/>
      </c>
      <c r="R217" s="41" t="str">
        <f ca="1">IFERROR(IF(AND(Table1[[#This Row],[Quantity]]&lt;&gt;"",Table1[[#This Row],[Currency]]="EUR"),Table1[[#This Row],[Quantity]]*Table1[[#This Row],[Unit Price]],""),"")</f>
        <v/>
      </c>
      <c r="S217" s="41" t="str">
        <f ca="1">IFERROR(IF(AND(Table1[[#This Row],[ACT_Qty]]&lt;&gt;"",Table1[[#This Row],[Currency]]="EUR"),Table1[[#This Row],[ACT_Qty]]*Table1[[#This Row],[Unit Price]],""),"")</f>
        <v/>
      </c>
      <c r="T217" s="269" t="str">
        <f ca="1">IFERROR(IF(AND(($N$3&lt;&gt;""),INDIRECT(Aux!$D$1)),VLOOKUP(Table1[[#This Row],[Product code]],Aux!B:E,4,FALSE),""),"")</f>
        <v/>
      </c>
      <c r="U217" s="145" t="str">
        <f>IFERROR(IF(OR(Table1[[#This Row],[Quantity]]&lt;&gt;"",Table1[[#This Row],[ACT_Qty]]&lt;&gt;""),Table1[[#This Row],[ACT_Qty]]-Table1[[#This Row],[Quantity]],""),"")</f>
        <v/>
      </c>
      <c r="V217" s="45"/>
      <c r="W217" s="45"/>
      <c r="X217" s="45"/>
    </row>
    <row r="218" spans="1:24" ht="15" customHeight="1">
      <c r="A218" s="143" t="str">
        <f t="shared" ref="A218:A287" si="17">$C$4</f>
        <v>AKH12345</v>
      </c>
      <c r="B218" s="256" t="s">
        <v>700</v>
      </c>
      <c r="C218" s="143" t="s">
        <v>701</v>
      </c>
      <c r="D218" s="105"/>
      <c r="E218" s="106"/>
      <c r="F218" s="105"/>
      <c r="G218" s="106"/>
      <c r="H218" s="199" t="s">
        <v>693</v>
      </c>
      <c r="I218" s="200" t="s">
        <v>173</v>
      </c>
      <c r="J218" s="200" t="s">
        <v>690</v>
      </c>
      <c r="K218" s="200" t="s">
        <v>52</v>
      </c>
      <c r="L218" s="145" t="s">
        <v>152</v>
      </c>
      <c r="M218" s="145" t="str">
        <f>IF($C$3&lt;&gt;"",$C$3,"")</f>
        <v>OneCo Networks AS</v>
      </c>
      <c r="N21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8" s="268" t="str">
        <f ca="1">IFERROR(IF(
OR(Table1[[#This Row],[Product category]]="Service items",Table1[[#This Row],[Product category]]="Additional services",Table1[[#This Row],[Product category]]="Additional materials"),
"NOK",IF(($N$3&lt;&gt;""),VLOOKUP(Table1[[#This Row],[Product code]],INDIRECT(Aux!$A$1),6,FALSE),"")),"")</f>
        <v/>
      </c>
      <c r="P218" s="41" t="str">
        <f ca="1">IFERROR(IF(AND(Table1[[#This Row],[Quantity]]&lt;&gt;"",Table1[[#This Row],[Currency]]="NOK"),Table1[[#This Row],[Quantity]]*Table1[[#This Row],[Unit Price]],""),"")</f>
        <v/>
      </c>
      <c r="Q218" s="41" t="str">
        <f ca="1">IFERROR(IF(AND(Table1[[#This Row],[ACT_Qty]]&lt;&gt;"",Table1[[#This Row],[Currency]]="NOK"),Table1[[#This Row],[ACT_Qty]]*Table1[[#This Row],[Unit Price]],""),"")</f>
        <v/>
      </c>
      <c r="R218" s="41" t="str">
        <f ca="1">IFERROR(IF(AND(Table1[[#This Row],[Quantity]]&lt;&gt;"",Table1[[#This Row],[Currency]]="EUR"),Table1[[#This Row],[Quantity]]*Table1[[#This Row],[Unit Price]],""),"")</f>
        <v/>
      </c>
      <c r="S218" s="41" t="str">
        <f ca="1">IFERROR(IF(AND(Table1[[#This Row],[ACT_Qty]]&lt;&gt;"",Table1[[#This Row],[Currency]]="EUR"),Table1[[#This Row],[ACT_Qty]]*Table1[[#This Row],[Unit Price]],""),"")</f>
        <v/>
      </c>
      <c r="T218" s="269" t="str">
        <f ca="1">IFERROR(IF(AND(($N$3&lt;&gt;""),INDIRECT(Aux!$D$1)),VLOOKUP(Table1[[#This Row],[Product code]],Aux!B:E,4,FALSE),""),"")</f>
        <v/>
      </c>
      <c r="U218" s="145" t="str">
        <f>IFERROR(IF(OR(Table1[[#This Row],[Quantity]]&lt;&gt;"",Table1[[#This Row],[ACT_Qty]]&lt;&gt;""),Table1[[#This Row],[ACT_Qty]]-Table1[[#This Row],[Quantity]],""),"")</f>
        <v/>
      </c>
      <c r="V218" s="45"/>
      <c r="W218" s="45"/>
      <c r="X218" s="45"/>
    </row>
    <row r="219" spans="1:24" ht="15" customHeight="1">
      <c r="A219" s="143" t="str">
        <f t="shared" si="17"/>
        <v>AKH12345</v>
      </c>
      <c r="B219" s="256" t="s">
        <v>702</v>
      </c>
      <c r="C219" s="143" t="s">
        <v>703</v>
      </c>
      <c r="D219" s="105"/>
      <c r="E219" s="106"/>
      <c r="F219" s="105"/>
      <c r="G219" s="106"/>
      <c r="H219" s="199" t="s">
        <v>704</v>
      </c>
      <c r="I219" s="200" t="s">
        <v>173</v>
      </c>
      <c r="J219" s="200" t="s">
        <v>690</v>
      </c>
      <c r="K219" s="200" t="s">
        <v>52</v>
      </c>
      <c r="L219" s="145" t="s">
        <v>152</v>
      </c>
      <c r="M219" s="145" t="str">
        <f t="shared" si="16"/>
        <v>OneCo Networks AS</v>
      </c>
      <c r="N2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19" s="268" t="str">
        <f ca="1">IFERROR(IF(
OR(Table1[[#This Row],[Product category]]="Service items",Table1[[#This Row],[Product category]]="Additional services",Table1[[#This Row],[Product category]]="Additional materials"),
"NOK",IF(($N$3&lt;&gt;""),VLOOKUP(Table1[[#This Row],[Product code]],INDIRECT(Aux!$A$1),6,FALSE),"")),"")</f>
        <v/>
      </c>
      <c r="P219" s="41" t="str">
        <f ca="1">IFERROR(IF(AND(Table1[[#This Row],[Quantity]]&lt;&gt;"",Table1[[#This Row],[Currency]]="NOK"),Table1[[#This Row],[Quantity]]*Table1[[#This Row],[Unit Price]],""),"")</f>
        <v/>
      </c>
      <c r="Q219" s="41" t="str">
        <f ca="1">IFERROR(IF(AND(Table1[[#This Row],[ACT_Qty]]&lt;&gt;"",Table1[[#This Row],[Currency]]="NOK"),Table1[[#This Row],[ACT_Qty]]*Table1[[#This Row],[Unit Price]],""),"")</f>
        <v/>
      </c>
      <c r="R219" s="41" t="str">
        <f ca="1">IFERROR(IF(AND(Table1[[#This Row],[Quantity]]&lt;&gt;"",Table1[[#This Row],[Currency]]="EUR"),Table1[[#This Row],[Quantity]]*Table1[[#This Row],[Unit Price]],""),"")</f>
        <v/>
      </c>
      <c r="S219" s="41" t="str">
        <f ca="1">IFERROR(IF(AND(Table1[[#This Row],[ACT_Qty]]&lt;&gt;"",Table1[[#This Row],[Currency]]="EUR"),Table1[[#This Row],[ACT_Qty]]*Table1[[#This Row],[Unit Price]],""),"")</f>
        <v/>
      </c>
      <c r="T219" s="269" t="str">
        <f ca="1">IFERROR(IF(AND(($N$3&lt;&gt;""),INDIRECT(Aux!$D$1)),VLOOKUP(Table1[[#This Row],[Product code]],Aux!B:E,4,FALSE),""),"")</f>
        <v/>
      </c>
      <c r="U219" s="145" t="str">
        <f>IFERROR(IF(OR(Table1[[#This Row],[Quantity]]&lt;&gt;"",Table1[[#This Row],[ACT_Qty]]&lt;&gt;""),Table1[[#This Row],[ACT_Qty]]-Table1[[#This Row],[Quantity]],""),"")</f>
        <v/>
      </c>
      <c r="V219" s="45"/>
      <c r="W219" s="45"/>
      <c r="X219" s="45"/>
    </row>
    <row r="220" spans="1:24" ht="15" customHeight="1">
      <c r="A220" s="143" t="str">
        <f t="shared" si="17"/>
        <v>AKH12345</v>
      </c>
      <c r="B220" s="256" t="s">
        <v>705</v>
      </c>
      <c r="C220" s="143" t="s">
        <v>706</v>
      </c>
      <c r="D220" s="105"/>
      <c r="E220" s="106"/>
      <c r="F220" s="105"/>
      <c r="G220" s="106"/>
      <c r="H220" s="199" t="s">
        <v>693</v>
      </c>
      <c r="I220" s="200" t="s">
        <v>173</v>
      </c>
      <c r="J220" s="200" t="s">
        <v>690</v>
      </c>
      <c r="K220" s="200" t="s">
        <v>52</v>
      </c>
      <c r="L220" s="145" t="s">
        <v>152</v>
      </c>
      <c r="M220" s="145" t="str">
        <f t="shared" si="16"/>
        <v>OneCo Networks AS</v>
      </c>
      <c r="N22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0" s="268" t="str">
        <f ca="1">IFERROR(IF(
OR(Table1[[#This Row],[Product category]]="Service items",Table1[[#This Row],[Product category]]="Additional services",Table1[[#This Row],[Product category]]="Additional materials"),
"NOK",IF(($N$3&lt;&gt;""),VLOOKUP(Table1[[#This Row],[Product code]],INDIRECT(Aux!$A$1),6,FALSE),"")),"")</f>
        <v/>
      </c>
      <c r="P220" s="41" t="str">
        <f ca="1">IFERROR(IF(AND(Table1[[#This Row],[Quantity]]&lt;&gt;"",Table1[[#This Row],[Currency]]="NOK"),Table1[[#This Row],[Quantity]]*Table1[[#This Row],[Unit Price]],""),"")</f>
        <v/>
      </c>
      <c r="Q220" s="41" t="str">
        <f ca="1">IFERROR(IF(AND(Table1[[#This Row],[ACT_Qty]]&lt;&gt;"",Table1[[#This Row],[Currency]]="NOK"),Table1[[#This Row],[ACT_Qty]]*Table1[[#This Row],[Unit Price]],""),"")</f>
        <v/>
      </c>
      <c r="R220" s="41" t="str">
        <f ca="1">IFERROR(IF(AND(Table1[[#This Row],[Quantity]]&lt;&gt;"",Table1[[#This Row],[Currency]]="EUR"),Table1[[#This Row],[Quantity]]*Table1[[#This Row],[Unit Price]],""),"")</f>
        <v/>
      </c>
      <c r="S220" s="41" t="str">
        <f ca="1">IFERROR(IF(AND(Table1[[#This Row],[ACT_Qty]]&lt;&gt;"",Table1[[#This Row],[Currency]]="EUR"),Table1[[#This Row],[ACT_Qty]]*Table1[[#This Row],[Unit Price]],""),"")</f>
        <v/>
      </c>
      <c r="T220" s="269" t="str">
        <f ca="1">IFERROR(IF(AND(($N$3&lt;&gt;""),INDIRECT(Aux!$D$1)),VLOOKUP(Table1[[#This Row],[Product code]],Aux!B:E,4,FALSE),""),"")</f>
        <v/>
      </c>
      <c r="U220" s="145" t="str">
        <f>IFERROR(IF(OR(Table1[[#This Row],[Quantity]]&lt;&gt;"",Table1[[#This Row],[ACT_Qty]]&lt;&gt;""),Table1[[#This Row],[ACT_Qty]]-Table1[[#This Row],[Quantity]],""),"")</f>
        <v/>
      </c>
      <c r="V220" s="45"/>
      <c r="W220" s="45"/>
      <c r="X220" s="45"/>
    </row>
    <row r="221" spans="1:24" ht="15" customHeight="1">
      <c r="A221" s="143" t="str">
        <f t="shared" si="17"/>
        <v>AKH12345</v>
      </c>
      <c r="B221" s="256" t="s">
        <v>707</v>
      </c>
      <c r="C221" s="143" t="s">
        <v>708</v>
      </c>
      <c r="D221" s="105"/>
      <c r="E221" s="106"/>
      <c r="F221" s="105"/>
      <c r="G221" s="106"/>
      <c r="H221" s="199" t="s">
        <v>709</v>
      </c>
      <c r="I221" s="200" t="s">
        <v>173</v>
      </c>
      <c r="J221" s="200" t="s">
        <v>690</v>
      </c>
      <c r="K221" s="200" t="s">
        <v>52</v>
      </c>
      <c r="L221" s="145" t="s">
        <v>610</v>
      </c>
      <c r="M221" s="145" t="str">
        <f t="shared" si="16"/>
        <v>OneCo Networks AS</v>
      </c>
      <c r="N2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1" s="268" t="str">
        <f ca="1">IFERROR(IF(
OR(Table1[[#This Row],[Product category]]="Service items",Table1[[#This Row],[Product category]]="Additional services",Table1[[#This Row],[Product category]]="Additional materials"),
"NOK",IF(($N$3&lt;&gt;""),VLOOKUP(Table1[[#This Row],[Product code]],INDIRECT(Aux!$A$1),6,FALSE),"")),"")</f>
        <v/>
      </c>
      <c r="P221" s="41" t="str">
        <f ca="1">IFERROR(IF(AND(Table1[[#This Row],[Quantity]]&lt;&gt;"",Table1[[#This Row],[Currency]]="NOK"),Table1[[#This Row],[Quantity]]*Table1[[#This Row],[Unit Price]],""),"")</f>
        <v/>
      </c>
      <c r="Q221" s="41" t="str">
        <f ca="1">IFERROR(IF(AND(Table1[[#This Row],[ACT_Qty]]&lt;&gt;"",Table1[[#This Row],[Currency]]="NOK"),Table1[[#This Row],[ACT_Qty]]*Table1[[#This Row],[Unit Price]],""),"")</f>
        <v/>
      </c>
      <c r="R221" s="41" t="str">
        <f ca="1">IFERROR(IF(AND(Table1[[#This Row],[Quantity]]&lt;&gt;"",Table1[[#This Row],[Currency]]="EUR"),Table1[[#This Row],[Quantity]]*Table1[[#This Row],[Unit Price]],""),"")</f>
        <v/>
      </c>
      <c r="S221" s="41" t="str">
        <f ca="1">IFERROR(IF(AND(Table1[[#This Row],[ACT_Qty]]&lt;&gt;"",Table1[[#This Row],[Currency]]="EUR"),Table1[[#This Row],[ACT_Qty]]*Table1[[#This Row],[Unit Price]],""),"")</f>
        <v/>
      </c>
      <c r="T221" s="269" t="str">
        <f ca="1">IFERROR(IF(AND(($N$3&lt;&gt;""),INDIRECT(Aux!$D$1)),VLOOKUP(Table1[[#This Row],[Product code]],Aux!B:E,4,FALSE),""),"")</f>
        <v/>
      </c>
      <c r="U221" s="145" t="str">
        <f>IFERROR(IF(OR(Table1[[#This Row],[Quantity]]&lt;&gt;"",Table1[[#This Row],[ACT_Qty]]&lt;&gt;""),Table1[[#This Row],[ACT_Qty]]-Table1[[#This Row],[Quantity]],""),"")</f>
        <v/>
      </c>
      <c r="V221" s="45"/>
      <c r="W221" s="45"/>
      <c r="X221" s="45"/>
    </row>
    <row r="222" spans="1:24" ht="15" customHeight="1">
      <c r="A222" s="143" t="str">
        <f t="shared" si="17"/>
        <v>AKH12345</v>
      </c>
      <c r="B222" s="256" t="s">
        <v>710</v>
      </c>
      <c r="C222" s="143" t="s">
        <v>711</v>
      </c>
      <c r="D222" s="105"/>
      <c r="E222" s="106"/>
      <c r="F222" s="105"/>
      <c r="G222" s="106"/>
      <c r="H222" s="199" t="s">
        <v>693</v>
      </c>
      <c r="I222" s="200" t="s">
        <v>173</v>
      </c>
      <c r="J222" s="200" t="s">
        <v>690</v>
      </c>
      <c r="K222" s="200" t="s">
        <v>52</v>
      </c>
      <c r="L222" s="145" t="s">
        <v>610</v>
      </c>
      <c r="M222" s="145" t="str">
        <f t="shared" si="16"/>
        <v>OneCo Networks AS</v>
      </c>
      <c r="N22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2" s="268" t="str">
        <f ca="1">IFERROR(IF(
OR(Table1[[#This Row],[Product category]]="Service items",Table1[[#This Row],[Product category]]="Additional services",Table1[[#This Row],[Product category]]="Additional materials"),
"NOK",IF(($N$3&lt;&gt;""),VLOOKUP(Table1[[#This Row],[Product code]],INDIRECT(Aux!$A$1),6,FALSE),"")),"")</f>
        <v/>
      </c>
      <c r="P222" s="41" t="str">
        <f ca="1">IFERROR(IF(AND(Table1[[#This Row],[Quantity]]&lt;&gt;"",Table1[[#This Row],[Currency]]="NOK"),Table1[[#This Row],[Quantity]]*Table1[[#This Row],[Unit Price]],""),"")</f>
        <v/>
      </c>
      <c r="Q222" s="41" t="str">
        <f ca="1">IFERROR(IF(AND(Table1[[#This Row],[ACT_Qty]]&lt;&gt;"",Table1[[#This Row],[Currency]]="NOK"),Table1[[#This Row],[ACT_Qty]]*Table1[[#This Row],[Unit Price]],""),"")</f>
        <v/>
      </c>
      <c r="R222" s="41" t="str">
        <f ca="1">IFERROR(IF(AND(Table1[[#This Row],[Quantity]]&lt;&gt;"",Table1[[#This Row],[Currency]]="EUR"),Table1[[#This Row],[Quantity]]*Table1[[#This Row],[Unit Price]],""),"")</f>
        <v/>
      </c>
      <c r="S222" s="41" t="str">
        <f ca="1">IFERROR(IF(AND(Table1[[#This Row],[ACT_Qty]]&lt;&gt;"",Table1[[#This Row],[Currency]]="EUR"),Table1[[#This Row],[ACT_Qty]]*Table1[[#This Row],[Unit Price]],""),"")</f>
        <v/>
      </c>
      <c r="T222" s="269" t="str">
        <f ca="1">IFERROR(IF(AND(($N$3&lt;&gt;""),INDIRECT(Aux!$D$1)),VLOOKUP(Table1[[#This Row],[Product code]],Aux!B:E,4,FALSE),""),"")</f>
        <v/>
      </c>
      <c r="U222" s="145" t="str">
        <f>IFERROR(IF(OR(Table1[[#This Row],[Quantity]]&lt;&gt;"",Table1[[#This Row],[ACT_Qty]]&lt;&gt;""),Table1[[#This Row],[ACT_Qty]]-Table1[[#This Row],[Quantity]],""),"")</f>
        <v/>
      </c>
      <c r="V222" s="45"/>
      <c r="W222" s="45"/>
      <c r="X222" s="45"/>
    </row>
    <row r="223" spans="1:24" ht="15" customHeight="1">
      <c r="A223" s="143" t="str">
        <f t="shared" si="17"/>
        <v>AKH12345</v>
      </c>
      <c r="B223" s="256" t="s">
        <v>712</v>
      </c>
      <c r="C223" s="143" t="s">
        <v>713</v>
      </c>
      <c r="D223" s="105"/>
      <c r="E223" s="106"/>
      <c r="F223" s="105"/>
      <c r="G223" s="106"/>
      <c r="H223" s="199" t="s">
        <v>714</v>
      </c>
      <c r="I223" s="200" t="s">
        <v>173</v>
      </c>
      <c r="J223" s="200" t="s">
        <v>715</v>
      </c>
      <c r="K223" s="200" t="s">
        <v>52</v>
      </c>
      <c r="L223" s="145" t="s">
        <v>152</v>
      </c>
      <c r="M223" s="145" t="str">
        <f t="shared" si="16"/>
        <v>OneCo Networks AS</v>
      </c>
      <c r="N2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3" s="268" t="str">
        <f ca="1">IFERROR(IF(
OR(Table1[[#This Row],[Product category]]="Service items",Table1[[#This Row],[Product category]]="Additional services",Table1[[#This Row],[Product category]]="Additional materials"),
"NOK",IF(($N$3&lt;&gt;""),VLOOKUP(Table1[[#This Row],[Product code]],INDIRECT(Aux!$A$1),6,FALSE),"")),"")</f>
        <v/>
      </c>
      <c r="P223" s="41" t="str">
        <f ca="1">IFERROR(IF(AND(Table1[[#This Row],[Quantity]]&lt;&gt;"",Table1[[#This Row],[Currency]]="NOK"),Table1[[#This Row],[Quantity]]*Table1[[#This Row],[Unit Price]],""),"")</f>
        <v/>
      </c>
      <c r="Q223" s="41" t="str">
        <f ca="1">IFERROR(IF(AND(Table1[[#This Row],[ACT_Qty]]&lt;&gt;"",Table1[[#This Row],[Currency]]="NOK"),Table1[[#This Row],[ACT_Qty]]*Table1[[#This Row],[Unit Price]],""),"")</f>
        <v/>
      </c>
      <c r="R223" s="41" t="str">
        <f ca="1">IFERROR(IF(AND(Table1[[#This Row],[Quantity]]&lt;&gt;"",Table1[[#This Row],[Currency]]="EUR"),Table1[[#This Row],[Quantity]]*Table1[[#This Row],[Unit Price]],""),"")</f>
        <v/>
      </c>
      <c r="S223" s="41" t="str">
        <f ca="1">IFERROR(IF(AND(Table1[[#This Row],[ACT_Qty]]&lt;&gt;"",Table1[[#This Row],[Currency]]="EUR"),Table1[[#This Row],[ACT_Qty]]*Table1[[#This Row],[Unit Price]],""),"")</f>
        <v/>
      </c>
      <c r="T223" s="269" t="str">
        <f ca="1">IFERROR(IF(AND(($N$3&lt;&gt;""),INDIRECT(Aux!$D$1)),VLOOKUP(Table1[[#This Row],[Product code]],Aux!B:E,4,FALSE),""),"")</f>
        <v/>
      </c>
      <c r="U223" s="145" t="str">
        <f>IFERROR(IF(OR(Table1[[#This Row],[Quantity]]&lt;&gt;"",Table1[[#This Row],[ACT_Qty]]&lt;&gt;""),Table1[[#This Row],[ACT_Qty]]-Table1[[#This Row],[Quantity]],""),"")</f>
        <v/>
      </c>
      <c r="V223" s="45"/>
      <c r="W223" s="45"/>
      <c r="X223" s="45"/>
    </row>
    <row r="224" spans="1:24" ht="15" customHeight="1">
      <c r="A224" s="143" t="str">
        <f t="shared" si="17"/>
        <v>AKH12345</v>
      </c>
      <c r="B224" s="256" t="s">
        <v>716</v>
      </c>
      <c r="C224" s="143" t="s">
        <v>717</v>
      </c>
      <c r="D224" s="105"/>
      <c r="E224" s="106"/>
      <c r="F224" s="105"/>
      <c r="G224" s="106"/>
      <c r="H224" s="199" t="s">
        <v>718</v>
      </c>
      <c r="I224" s="200" t="s">
        <v>173</v>
      </c>
      <c r="J224" s="200" t="s">
        <v>715</v>
      </c>
      <c r="K224" s="200" t="s">
        <v>52</v>
      </c>
      <c r="L224" s="145" t="s">
        <v>152</v>
      </c>
      <c r="M224" s="145" t="str">
        <f t="shared" si="16"/>
        <v>OneCo Networks AS</v>
      </c>
      <c r="N22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4" s="268" t="str">
        <f ca="1">IFERROR(IF(
OR(Table1[[#This Row],[Product category]]="Service items",Table1[[#This Row],[Product category]]="Additional services",Table1[[#This Row],[Product category]]="Additional materials"),
"NOK",IF(($N$3&lt;&gt;""),VLOOKUP(Table1[[#This Row],[Product code]],INDIRECT(Aux!$A$1),6,FALSE),"")),"")</f>
        <v/>
      </c>
      <c r="P224" s="41" t="str">
        <f ca="1">IFERROR(IF(AND(Table1[[#This Row],[Quantity]]&lt;&gt;"",Table1[[#This Row],[Currency]]="NOK"),Table1[[#This Row],[Quantity]]*Table1[[#This Row],[Unit Price]],""),"")</f>
        <v/>
      </c>
      <c r="Q224" s="41" t="str">
        <f ca="1">IFERROR(IF(AND(Table1[[#This Row],[ACT_Qty]]&lt;&gt;"",Table1[[#This Row],[Currency]]="NOK"),Table1[[#This Row],[ACT_Qty]]*Table1[[#This Row],[Unit Price]],""),"")</f>
        <v/>
      </c>
      <c r="R224" s="41" t="str">
        <f ca="1">IFERROR(IF(AND(Table1[[#This Row],[Quantity]]&lt;&gt;"",Table1[[#This Row],[Currency]]="EUR"),Table1[[#This Row],[Quantity]]*Table1[[#This Row],[Unit Price]],""),"")</f>
        <v/>
      </c>
      <c r="S224" s="41" t="str">
        <f ca="1">IFERROR(IF(AND(Table1[[#This Row],[ACT_Qty]]&lt;&gt;"",Table1[[#This Row],[Currency]]="EUR"),Table1[[#This Row],[ACT_Qty]]*Table1[[#This Row],[Unit Price]],""),"")</f>
        <v/>
      </c>
      <c r="T224" s="269" t="str">
        <f ca="1">IFERROR(IF(AND(($N$3&lt;&gt;""),INDIRECT(Aux!$D$1)),VLOOKUP(Table1[[#This Row],[Product code]],Aux!B:E,4,FALSE),""),"")</f>
        <v/>
      </c>
      <c r="U224" s="145" t="str">
        <f>IFERROR(IF(OR(Table1[[#This Row],[Quantity]]&lt;&gt;"",Table1[[#This Row],[ACT_Qty]]&lt;&gt;""),Table1[[#This Row],[ACT_Qty]]-Table1[[#This Row],[Quantity]],""),"")</f>
        <v/>
      </c>
      <c r="V224" s="45"/>
      <c r="W224" s="45"/>
      <c r="X224" s="45"/>
    </row>
    <row r="225" spans="1:24" ht="15" customHeight="1">
      <c r="A225" s="143" t="str">
        <f t="shared" si="17"/>
        <v>AKH12345</v>
      </c>
      <c r="B225" s="256" t="s">
        <v>719</v>
      </c>
      <c r="C225" s="143" t="s">
        <v>720</v>
      </c>
      <c r="D225" s="105"/>
      <c r="E225" s="106"/>
      <c r="F225" s="105"/>
      <c r="G225" s="106"/>
      <c r="H225" s="199" t="s">
        <v>721</v>
      </c>
      <c r="I225" s="200" t="s">
        <v>173</v>
      </c>
      <c r="J225" s="200" t="s">
        <v>715</v>
      </c>
      <c r="K225" s="200" t="s">
        <v>52</v>
      </c>
      <c r="L225" s="145" t="s">
        <v>152</v>
      </c>
      <c r="M225" s="145" t="str">
        <f t="shared" si="16"/>
        <v>OneCo Networks AS</v>
      </c>
      <c r="N2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5" s="268" t="str">
        <f ca="1">IFERROR(IF(
OR(Table1[[#This Row],[Product category]]="Service items",Table1[[#This Row],[Product category]]="Additional services",Table1[[#This Row],[Product category]]="Additional materials"),
"NOK",IF(($N$3&lt;&gt;""),VLOOKUP(Table1[[#This Row],[Product code]],INDIRECT(Aux!$A$1),6,FALSE),"")),"")</f>
        <v/>
      </c>
      <c r="P225" s="41" t="str">
        <f ca="1">IFERROR(IF(AND(Table1[[#This Row],[Quantity]]&lt;&gt;"",Table1[[#This Row],[Currency]]="NOK"),Table1[[#This Row],[Quantity]]*Table1[[#This Row],[Unit Price]],""),"")</f>
        <v/>
      </c>
      <c r="Q225" s="41" t="str">
        <f ca="1">IFERROR(IF(AND(Table1[[#This Row],[ACT_Qty]]&lt;&gt;"",Table1[[#This Row],[Currency]]="NOK"),Table1[[#This Row],[ACT_Qty]]*Table1[[#This Row],[Unit Price]],""),"")</f>
        <v/>
      </c>
      <c r="R225" s="41" t="str">
        <f ca="1">IFERROR(IF(AND(Table1[[#This Row],[Quantity]]&lt;&gt;"",Table1[[#This Row],[Currency]]="EUR"),Table1[[#This Row],[Quantity]]*Table1[[#This Row],[Unit Price]],""),"")</f>
        <v/>
      </c>
      <c r="S225" s="41" t="str">
        <f ca="1">IFERROR(IF(AND(Table1[[#This Row],[ACT_Qty]]&lt;&gt;"",Table1[[#This Row],[Currency]]="EUR"),Table1[[#This Row],[ACT_Qty]]*Table1[[#This Row],[Unit Price]],""),"")</f>
        <v/>
      </c>
      <c r="T225" s="269" t="str">
        <f ca="1">IFERROR(IF(AND(($N$3&lt;&gt;""),INDIRECT(Aux!$D$1)),VLOOKUP(Table1[[#This Row],[Product code]],Aux!B:E,4,FALSE),""),"")</f>
        <v/>
      </c>
      <c r="U225" s="145" t="str">
        <f>IFERROR(IF(OR(Table1[[#This Row],[Quantity]]&lt;&gt;"",Table1[[#This Row],[ACT_Qty]]&lt;&gt;""),Table1[[#This Row],[ACT_Qty]]-Table1[[#This Row],[Quantity]],""),"")</f>
        <v/>
      </c>
      <c r="V225" s="45"/>
      <c r="W225" s="45"/>
      <c r="X225" s="45"/>
    </row>
    <row r="226" spans="1:24">
      <c r="A226" s="143" t="str">
        <f t="shared" si="17"/>
        <v>AKH12345</v>
      </c>
      <c r="B226" s="256" t="s">
        <v>722</v>
      </c>
      <c r="C226" s="143" t="s">
        <v>723</v>
      </c>
      <c r="D226" s="105"/>
      <c r="E226" s="106"/>
      <c r="F226" s="105"/>
      <c r="G226" s="106"/>
      <c r="H226" s="199" t="s">
        <v>724</v>
      </c>
      <c r="I226" s="200" t="s">
        <v>173</v>
      </c>
      <c r="J226" s="200" t="s">
        <v>715</v>
      </c>
      <c r="K226" s="200" t="s">
        <v>52</v>
      </c>
      <c r="L226" s="145" t="s">
        <v>152</v>
      </c>
      <c r="M226" s="145" t="str">
        <f t="shared" si="16"/>
        <v>OneCo Networks AS</v>
      </c>
      <c r="N22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6" s="268" t="str">
        <f ca="1">IFERROR(IF(
OR(Table1[[#This Row],[Product category]]="Service items",Table1[[#This Row],[Product category]]="Additional services",Table1[[#This Row],[Product category]]="Additional materials"),
"NOK",IF(($N$3&lt;&gt;""),VLOOKUP(Table1[[#This Row],[Product code]],INDIRECT(Aux!$A$1),6,FALSE),"")),"")</f>
        <v/>
      </c>
      <c r="P226" s="41" t="str">
        <f ca="1">IFERROR(IF(AND(Table1[[#This Row],[Quantity]]&lt;&gt;"",Table1[[#This Row],[Currency]]="NOK"),Table1[[#This Row],[Quantity]]*Table1[[#This Row],[Unit Price]],""),"")</f>
        <v/>
      </c>
      <c r="Q226" s="41" t="str">
        <f ca="1">IFERROR(IF(AND(Table1[[#This Row],[ACT_Qty]]&lt;&gt;"",Table1[[#This Row],[Currency]]="NOK"),Table1[[#This Row],[ACT_Qty]]*Table1[[#This Row],[Unit Price]],""),"")</f>
        <v/>
      </c>
      <c r="R226" s="41" t="str">
        <f ca="1">IFERROR(IF(AND(Table1[[#This Row],[Quantity]]&lt;&gt;"",Table1[[#This Row],[Currency]]="EUR"),Table1[[#This Row],[Quantity]]*Table1[[#This Row],[Unit Price]],""),"")</f>
        <v/>
      </c>
      <c r="S226" s="41" t="str">
        <f ca="1">IFERROR(IF(AND(Table1[[#This Row],[ACT_Qty]]&lt;&gt;"",Table1[[#This Row],[Currency]]="EUR"),Table1[[#This Row],[ACT_Qty]]*Table1[[#This Row],[Unit Price]],""),"")</f>
        <v/>
      </c>
      <c r="T226" s="269" t="str">
        <f ca="1">IFERROR(IF(AND(($N$3&lt;&gt;""),INDIRECT(Aux!$D$1)),VLOOKUP(Table1[[#This Row],[Product code]],Aux!B:E,4,FALSE),""),"")</f>
        <v/>
      </c>
      <c r="U226" s="145" t="str">
        <f>IFERROR(IF(OR(Table1[[#This Row],[Quantity]]&lt;&gt;"",Table1[[#This Row],[ACT_Qty]]&lt;&gt;""),Table1[[#This Row],[ACT_Qty]]-Table1[[#This Row],[Quantity]],""),"")</f>
        <v/>
      </c>
      <c r="V226" s="45"/>
      <c r="W226" s="45"/>
      <c r="X226" s="45"/>
    </row>
    <row r="227" spans="1:24" ht="15" customHeight="1">
      <c r="A227" s="143" t="str">
        <f t="shared" si="17"/>
        <v>AKH12345</v>
      </c>
      <c r="B227" s="256" t="s">
        <v>725</v>
      </c>
      <c r="C227" s="143" t="s">
        <v>726</v>
      </c>
      <c r="D227" s="105"/>
      <c r="E227" s="106"/>
      <c r="F227" s="105"/>
      <c r="G227" s="106"/>
      <c r="H227" s="199" t="s">
        <v>727</v>
      </c>
      <c r="I227" s="200" t="s">
        <v>173</v>
      </c>
      <c r="J227" s="200" t="s">
        <v>715</v>
      </c>
      <c r="K227" s="200" t="s">
        <v>52</v>
      </c>
      <c r="L227" s="145" t="s">
        <v>152</v>
      </c>
      <c r="M227" s="145" t="str">
        <f t="shared" ref="M227:M234" si="18">IF($C$3&lt;&gt;"",$C$3,"")</f>
        <v>OneCo Networks AS</v>
      </c>
      <c r="N2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7" s="268" t="str">
        <f ca="1">IFERROR(IF(
OR(Table1[[#This Row],[Product category]]="Service items",Table1[[#This Row],[Product category]]="Additional services",Table1[[#This Row],[Product category]]="Additional materials"),
"NOK",IF(($N$3&lt;&gt;""),VLOOKUP(Table1[[#This Row],[Product code]],INDIRECT(Aux!$A$1),6,FALSE),"")),"")</f>
        <v/>
      </c>
      <c r="P227" s="41" t="str">
        <f ca="1">IFERROR(IF(AND(Table1[[#This Row],[Quantity]]&lt;&gt;"",Table1[[#This Row],[Currency]]="NOK"),Table1[[#This Row],[Quantity]]*Table1[[#This Row],[Unit Price]],""),"")</f>
        <v/>
      </c>
      <c r="Q227" s="41" t="str">
        <f ca="1">IFERROR(IF(AND(Table1[[#This Row],[ACT_Qty]]&lt;&gt;"",Table1[[#This Row],[Currency]]="NOK"),Table1[[#This Row],[ACT_Qty]]*Table1[[#This Row],[Unit Price]],""),"")</f>
        <v/>
      </c>
      <c r="R227" s="41" t="str">
        <f ca="1">IFERROR(IF(AND(Table1[[#This Row],[Quantity]]&lt;&gt;"",Table1[[#This Row],[Currency]]="EUR"),Table1[[#This Row],[Quantity]]*Table1[[#This Row],[Unit Price]],""),"")</f>
        <v/>
      </c>
      <c r="S227" s="41" t="str">
        <f ca="1">IFERROR(IF(AND(Table1[[#This Row],[ACT_Qty]]&lt;&gt;"",Table1[[#This Row],[Currency]]="EUR"),Table1[[#This Row],[ACT_Qty]]*Table1[[#This Row],[Unit Price]],""),"")</f>
        <v/>
      </c>
      <c r="T227" s="269" t="str">
        <f ca="1">IFERROR(IF(AND(($N$3&lt;&gt;""),INDIRECT(Aux!$D$1)),VLOOKUP(Table1[[#This Row],[Product code]],Aux!B:E,4,FALSE),""),"")</f>
        <v/>
      </c>
      <c r="U227" s="145" t="str">
        <f>IFERROR(IF(OR(Table1[[#This Row],[Quantity]]&lt;&gt;"",Table1[[#This Row],[ACT_Qty]]&lt;&gt;""),Table1[[#This Row],[ACT_Qty]]-Table1[[#This Row],[Quantity]],""),"")</f>
        <v/>
      </c>
      <c r="V227" s="45"/>
      <c r="W227" s="45"/>
      <c r="X227" s="45"/>
    </row>
    <row r="228" spans="1:24" ht="15" customHeight="1">
      <c r="A228" s="143" t="str">
        <f t="shared" si="17"/>
        <v>AKH12345</v>
      </c>
      <c r="B228" s="256" t="s">
        <v>728</v>
      </c>
      <c r="C228" s="143" t="s">
        <v>729</v>
      </c>
      <c r="D228" s="105"/>
      <c r="E228" s="106"/>
      <c r="F228" s="105"/>
      <c r="G228" s="106"/>
      <c r="H228" s="199" t="s">
        <v>730</v>
      </c>
      <c r="I228" s="200" t="s">
        <v>173</v>
      </c>
      <c r="J228" s="200" t="s">
        <v>715</v>
      </c>
      <c r="K228" s="200" t="s">
        <v>52</v>
      </c>
      <c r="L228" s="145" t="s">
        <v>152</v>
      </c>
      <c r="M228" s="145" t="str">
        <f t="shared" si="18"/>
        <v>OneCo Networks AS</v>
      </c>
      <c r="N22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8" s="268" t="str">
        <f ca="1">IFERROR(IF(
OR(Table1[[#This Row],[Product category]]="Service items",Table1[[#This Row],[Product category]]="Additional services",Table1[[#This Row],[Product category]]="Additional materials"),
"NOK",IF(($N$3&lt;&gt;""),VLOOKUP(Table1[[#This Row],[Product code]],INDIRECT(Aux!$A$1),6,FALSE),"")),"")</f>
        <v/>
      </c>
      <c r="P228" s="41" t="str">
        <f ca="1">IFERROR(IF(AND(Table1[[#This Row],[Quantity]]&lt;&gt;"",Table1[[#This Row],[Currency]]="NOK"),Table1[[#This Row],[Quantity]]*Table1[[#This Row],[Unit Price]],""),"")</f>
        <v/>
      </c>
      <c r="Q228" s="41" t="str">
        <f ca="1">IFERROR(IF(AND(Table1[[#This Row],[ACT_Qty]]&lt;&gt;"",Table1[[#This Row],[Currency]]="NOK"),Table1[[#This Row],[ACT_Qty]]*Table1[[#This Row],[Unit Price]],""),"")</f>
        <v/>
      </c>
      <c r="R228" s="41" t="str">
        <f ca="1">IFERROR(IF(AND(Table1[[#This Row],[Quantity]]&lt;&gt;"",Table1[[#This Row],[Currency]]="EUR"),Table1[[#This Row],[Quantity]]*Table1[[#This Row],[Unit Price]],""),"")</f>
        <v/>
      </c>
      <c r="S228" s="41" t="str">
        <f ca="1">IFERROR(IF(AND(Table1[[#This Row],[ACT_Qty]]&lt;&gt;"",Table1[[#This Row],[Currency]]="EUR"),Table1[[#This Row],[ACT_Qty]]*Table1[[#This Row],[Unit Price]],""),"")</f>
        <v/>
      </c>
      <c r="T228" s="269" t="str">
        <f ca="1">IFERROR(IF(AND(($N$3&lt;&gt;""),INDIRECT(Aux!$D$1)),VLOOKUP(Table1[[#This Row],[Product code]],Aux!B:E,4,FALSE),""),"")</f>
        <v/>
      </c>
      <c r="U228" s="145" t="str">
        <f>IFERROR(IF(OR(Table1[[#This Row],[Quantity]]&lt;&gt;"",Table1[[#This Row],[ACT_Qty]]&lt;&gt;""),Table1[[#This Row],[ACT_Qty]]-Table1[[#This Row],[Quantity]],""),"")</f>
        <v/>
      </c>
      <c r="V228" s="45"/>
      <c r="W228" s="45"/>
      <c r="X228" s="45"/>
    </row>
    <row r="229" spans="1:24" ht="15" customHeight="1">
      <c r="A229" s="143" t="str">
        <f t="shared" si="17"/>
        <v>AKH12345</v>
      </c>
      <c r="B229" s="256" t="s">
        <v>731</v>
      </c>
      <c r="C229" s="143" t="s">
        <v>732</v>
      </c>
      <c r="D229" s="105"/>
      <c r="E229" s="106"/>
      <c r="F229" s="105"/>
      <c r="G229" s="106"/>
      <c r="H229" s="199" t="s">
        <v>733</v>
      </c>
      <c r="I229" s="200" t="s">
        <v>173</v>
      </c>
      <c r="J229" s="200" t="s">
        <v>715</v>
      </c>
      <c r="K229" s="200" t="s">
        <v>52</v>
      </c>
      <c r="L229" s="145" t="s">
        <v>152</v>
      </c>
      <c r="M229" s="145" t="str">
        <f t="shared" si="18"/>
        <v>OneCo Networks AS</v>
      </c>
      <c r="N2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29" s="268" t="str">
        <f ca="1">IFERROR(IF(
OR(Table1[[#This Row],[Product category]]="Service items",Table1[[#This Row],[Product category]]="Additional services",Table1[[#This Row],[Product category]]="Additional materials"),
"NOK",IF(($N$3&lt;&gt;""),VLOOKUP(Table1[[#This Row],[Product code]],INDIRECT(Aux!$A$1),6,FALSE),"")),"")</f>
        <v/>
      </c>
      <c r="P229" s="41" t="str">
        <f ca="1">IFERROR(IF(AND(Table1[[#This Row],[Quantity]]&lt;&gt;"",Table1[[#This Row],[Currency]]="NOK"),Table1[[#This Row],[Quantity]]*Table1[[#This Row],[Unit Price]],""),"")</f>
        <v/>
      </c>
      <c r="Q229" s="41" t="str">
        <f ca="1">IFERROR(IF(AND(Table1[[#This Row],[ACT_Qty]]&lt;&gt;"",Table1[[#This Row],[Currency]]="NOK"),Table1[[#This Row],[ACT_Qty]]*Table1[[#This Row],[Unit Price]],""),"")</f>
        <v/>
      </c>
      <c r="R229" s="41" t="str">
        <f ca="1">IFERROR(IF(AND(Table1[[#This Row],[Quantity]]&lt;&gt;"",Table1[[#This Row],[Currency]]="EUR"),Table1[[#This Row],[Quantity]]*Table1[[#This Row],[Unit Price]],""),"")</f>
        <v/>
      </c>
      <c r="S229" s="41" t="str">
        <f ca="1">IFERROR(IF(AND(Table1[[#This Row],[ACT_Qty]]&lt;&gt;"",Table1[[#This Row],[Currency]]="EUR"),Table1[[#This Row],[ACT_Qty]]*Table1[[#This Row],[Unit Price]],""),"")</f>
        <v/>
      </c>
      <c r="T229" s="269" t="str">
        <f ca="1">IFERROR(IF(AND(($N$3&lt;&gt;""),INDIRECT(Aux!$D$1)),VLOOKUP(Table1[[#This Row],[Product code]],Aux!B:E,4,FALSE),""),"")</f>
        <v/>
      </c>
      <c r="U229" s="145" t="str">
        <f>IFERROR(IF(OR(Table1[[#This Row],[Quantity]]&lt;&gt;"",Table1[[#This Row],[ACT_Qty]]&lt;&gt;""),Table1[[#This Row],[ACT_Qty]]-Table1[[#This Row],[Quantity]],""),"")</f>
        <v/>
      </c>
      <c r="V229" s="45"/>
      <c r="W229" s="45"/>
      <c r="X229" s="45"/>
    </row>
    <row r="230" spans="1:24" ht="15" customHeight="1">
      <c r="A230" s="143" t="str">
        <f t="shared" si="17"/>
        <v>AKH12345</v>
      </c>
      <c r="B230" s="256" t="s">
        <v>734</v>
      </c>
      <c r="C230" s="143" t="s">
        <v>735</v>
      </c>
      <c r="D230" s="105"/>
      <c r="E230" s="106"/>
      <c r="F230" s="105"/>
      <c r="G230" s="106"/>
      <c r="H230" s="199" t="s">
        <v>733</v>
      </c>
      <c r="I230" s="200" t="s">
        <v>173</v>
      </c>
      <c r="J230" s="200" t="s">
        <v>715</v>
      </c>
      <c r="K230" s="200" t="s">
        <v>52</v>
      </c>
      <c r="L230" s="145" t="s">
        <v>152</v>
      </c>
      <c r="M230" s="145" t="str">
        <f t="shared" si="18"/>
        <v>OneCo Networks AS</v>
      </c>
      <c r="N23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0" s="268" t="str">
        <f ca="1">IFERROR(IF(
OR(Table1[[#This Row],[Product category]]="Service items",Table1[[#This Row],[Product category]]="Additional services",Table1[[#This Row],[Product category]]="Additional materials"),
"NOK",IF(($N$3&lt;&gt;""),VLOOKUP(Table1[[#This Row],[Product code]],INDIRECT(Aux!$A$1),6,FALSE),"")),"")</f>
        <v/>
      </c>
      <c r="P230" s="41" t="str">
        <f ca="1">IFERROR(IF(AND(Table1[[#This Row],[Quantity]]&lt;&gt;"",Table1[[#This Row],[Currency]]="NOK"),Table1[[#This Row],[Quantity]]*Table1[[#This Row],[Unit Price]],""),"")</f>
        <v/>
      </c>
      <c r="Q230" s="41" t="str">
        <f ca="1">IFERROR(IF(AND(Table1[[#This Row],[ACT_Qty]]&lt;&gt;"",Table1[[#This Row],[Currency]]="NOK"),Table1[[#This Row],[ACT_Qty]]*Table1[[#This Row],[Unit Price]],""),"")</f>
        <v/>
      </c>
      <c r="R230" s="41" t="str">
        <f ca="1">IFERROR(IF(AND(Table1[[#This Row],[Quantity]]&lt;&gt;"",Table1[[#This Row],[Currency]]="EUR"),Table1[[#This Row],[Quantity]]*Table1[[#This Row],[Unit Price]],""),"")</f>
        <v/>
      </c>
      <c r="S230" s="41" t="str">
        <f ca="1">IFERROR(IF(AND(Table1[[#This Row],[ACT_Qty]]&lt;&gt;"",Table1[[#This Row],[Currency]]="EUR"),Table1[[#This Row],[ACT_Qty]]*Table1[[#This Row],[Unit Price]],""),"")</f>
        <v/>
      </c>
      <c r="T230" s="269" t="str">
        <f ca="1">IFERROR(IF(AND(($N$3&lt;&gt;""),INDIRECT(Aux!$D$1)),VLOOKUP(Table1[[#This Row],[Product code]],Aux!B:E,4,FALSE),""),"")</f>
        <v/>
      </c>
      <c r="U230" s="145" t="str">
        <f>IFERROR(IF(OR(Table1[[#This Row],[Quantity]]&lt;&gt;"",Table1[[#This Row],[ACT_Qty]]&lt;&gt;""),Table1[[#This Row],[ACT_Qty]]-Table1[[#This Row],[Quantity]],""),"")</f>
        <v/>
      </c>
      <c r="V230" s="45"/>
      <c r="W230" s="45"/>
      <c r="X230" s="45"/>
    </row>
    <row r="231" spans="1:24" ht="15" customHeight="1">
      <c r="A231" s="143" t="str">
        <f t="shared" si="17"/>
        <v>AKH12345</v>
      </c>
      <c r="B231" s="256" t="s">
        <v>736</v>
      </c>
      <c r="C231" s="143" t="s">
        <v>737</v>
      </c>
      <c r="D231" s="105"/>
      <c r="E231" s="106"/>
      <c r="F231" s="105"/>
      <c r="G231" s="106"/>
      <c r="H231" s="199" t="s">
        <v>733</v>
      </c>
      <c r="I231" s="200" t="s">
        <v>173</v>
      </c>
      <c r="J231" s="200" t="s">
        <v>715</v>
      </c>
      <c r="K231" s="200" t="s">
        <v>52</v>
      </c>
      <c r="L231" s="145" t="s">
        <v>152</v>
      </c>
      <c r="M231" s="145" t="str">
        <f t="shared" si="18"/>
        <v>OneCo Networks AS</v>
      </c>
      <c r="N2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1" s="268" t="str">
        <f ca="1">IFERROR(IF(
OR(Table1[[#This Row],[Product category]]="Service items",Table1[[#This Row],[Product category]]="Additional services",Table1[[#This Row],[Product category]]="Additional materials"),
"NOK",IF(($N$3&lt;&gt;""),VLOOKUP(Table1[[#This Row],[Product code]],INDIRECT(Aux!$A$1),6,FALSE),"")),"")</f>
        <v/>
      </c>
      <c r="P231" s="41" t="str">
        <f ca="1">IFERROR(IF(AND(Table1[[#This Row],[Quantity]]&lt;&gt;"",Table1[[#This Row],[Currency]]="NOK"),Table1[[#This Row],[Quantity]]*Table1[[#This Row],[Unit Price]],""),"")</f>
        <v/>
      </c>
      <c r="Q231" s="41" t="str">
        <f ca="1">IFERROR(IF(AND(Table1[[#This Row],[ACT_Qty]]&lt;&gt;"",Table1[[#This Row],[Currency]]="NOK"),Table1[[#This Row],[ACT_Qty]]*Table1[[#This Row],[Unit Price]],""),"")</f>
        <v/>
      </c>
      <c r="R231" s="41" t="str">
        <f ca="1">IFERROR(IF(AND(Table1[[#This Row],[Quantity]]&lt;&gt;"",Table1[[#This Row],[Currency]]="EUR"),Table1[[#This Row],[Quantity]]*Table1[[#This Row],[Unit Price]],""),"")</f>
        <v/>
      </c>
      <c r="S231" s="41" t="str">
        <f ca="1">IFERROR(IF(AND(Table1[[#This Row],[ACT_Qty]]&lt;&gt;"",Table1[[#This Row],[Currency]]="EUR"),Table1[[#This Row],[ACT_Qty]]*Table1[[#This Row],[Unit Price]],""),"")</f>
        <v/>
      </c>
      <c r="T231" s="269" t="str">
        <f ca="1">IFERROR(IF(AND(($N$3&lt;&gt;""),INDIRECT(Aux!$D$1)),VLOOKUP(Table1[[#This Row],[Product code]],Aux!B:E,4,FALSE),""),"")</f>
        <v/>
      </c>
      <c r="U231" s="145" t="str">
        <f>IFERROR(IF(OR(Table1[[#This Row],[Quantity]]&lt;&gt;"",Table1[[#This Row],[ACT_Qty]]&lt;&gt;""),Table1[[#This Row],[ACT_Qty]]-Table1[[#This Row],[Quantity]],""),"")</f>
        <v/>
      </c>
      <c r="V231" s="45"/>
      <c r="W231" s="45"/>
      <c r="X231" s="45"/>
    </row>
    <row r="232" spans="1:24" ht="15" customHeight="1">
      <c r="A232" s="143" t="str">
        <f t="shared" si="17"/>
        <v>AKH12345</v>
      </c>
      <c r="B232" s="256" t="s">
        <v>738</v>
      </c>
      <c r="C232" s="143" t="s">
        <v>739</v>
      </c>
      <c r="D232" s="105"/>
      <c r="E232" s="106"/>
      <c r="F232" s="105"/>
      <c r="G232" s="106"/>
      <c r="H232" s="199" t="s">
        <v>740</v>
      </c>
      <c r="I232" s="200" t="s">
        <v>173</v>
      </c>
      <c r="J232" s="200" t="s">
        <v>715</v>
      </c>
      <c r="K232" s="200" t="s">
        <v>52</v>
      </c>
      <c r="L232" s="145" t="s">
        <v>152</v>
      </c>
      <c r="M232" s="145" t="str">
        <f>IF($C$3&lt;&gt;"",$C$3,"")</f>
        <v>OneCo Networks AS</v>
      </c>
      <c r="N23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2" s="268" t="str">
        <f ca="1">IFERROR(IF(
OR(Table1[[#This Row],[Product category]]="Service items",Table1[[#This Row],[Product category]]="Additional services",Table1[[#This Row],[Product category]]="Additional materials"),
"NOK",IF(($N$3&lt;&gt;""),VLOOKUP(Table1[[#This Row],[Product code]],INDIRECT(Aux!$A$1),6,FALSE),"")),"")</f>
        <v/>
      </c>
      <c r="P232" s="41" t="str">
        <f ca="1">IFERROR(IF(AND(Table1[[#This Row],[Quantity]]&lt;&gt;"",Table1[[#This Row],[Currency]]="NOK"),Table1[[#This Row],[Quantity]]*Table1[[#This Row],[Unit Price]],""),"")</f>
        <v/>
      </c>
      <c r="Q232" s="41" t="str">
        <f ca="1">IFERROR(IF(AND(Table1[[#This Row],[ACT_Qty]]&lt;&gt;"",Table1[[#This Row],[Currency]]="NOK"),Table1[[#This Row],[ACT_Qty]]*Table1[[#This Row],[Unit Price]],""),"")</f>
        <v/>
      </c>
      <c r="R232" s="41" t="str">
        <f ca="1">IFERROR(IF(AND(Table1[[#This Row],[Quantity]]&lt;&gt;"",Table1[[#This Row],[Currency]]="EUR"),Table1[[#This Row],[Quantity]]*Table1[[#This Row],[Unit Price]],""),"")</f>
        <v/>
      </c>
      <c r="S232" s="41" t="str">
        <f ca="1">IFERROR(IF(AND(Table1[[#This Row],[ACT_Qty]]&lt;&gt;"",Table1[[#This Row],[Currency]]="EUR"),Table1[[#This Row],[ACT_Qty]]*Table1[[#This Row],[Unit Price]],""),"")</f>
        <v/>
      </c>
      <c r="T232" s="269" t="str">
        <f ca="1">IFERROR(IF(AND(($N$3&lt;&gt;""),INDIRECT(Aux!$D$1)),VLOOKUP(Table1[[#This Row],[Product code]],Aux!B:E,4,FALSE),""),"")</f>
        <v/>
      </c>
      <c r="U232" s="145" t="str">
        <f>IFERROR(IF(OR(Table1[[#This Row],[Quantity]]&lt;&gt;"",Table1[[#This Row],[ACT_Qty]]&lt;&gt;""),Table1[[#This Row],[ACT_Qty]]-Table1[[#This Row],[Quantity]],""),"")</f>
        <v/>
      </c>
      <c r="V232" s="45"/>
      <c r="W232" s="45"/>
      <c r="X232" s="45"/>
    </row>
    <row r="233" spans="1:24" ht="15" customHeight="1">
      <c r="A233" s="143" t="str">
        <f t="shared" si="17"/>
        <v>AKH12345</v>
      </c>
      <c r="B233" s="256" t="s">
        <v>741</v>
      </c>
      <c r="C233" s="143" t="s">
        <v>742</v>
      </c>
      <c r="D233" s="105"/>
      <c r="E233" s="106"/>
      <c r="F233" s="105"/>
      <c r="G233" s="106"/>
      <c r="H233" s="199" t="s">
        <v>740</v>
      </c>
      <c r="I233" s="200" t="s">
        <v>173</v>
      </c>
      <c r="J233" s="200" t="s">
        <v>715</v>
      </c>
      <c r="K233" s="200" t="s">
        <v>52</v>
      </c>
      <c r="L233" s="145" t="s">
        <v>152</v>
      </c>
      <c r="M233" s="145" t="str">
        <f>IF($C$3&lt;&gt;"",$C$3,"")</f>
        <v>OneCo Networks AS</v>
      </c>
      <c r="N2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3" s="268" t="str">
        <f ca="1">IFERROR(IF(
OR(Table1[[#This Row],[Product category]]="Service items",Table1[[#This Row],[Product category]]="Additional services",Table1[[#This Row],[Product category]]="Additional materials"),
"NOK",IF(($N$3&lt;&gt;""),VLOOKUP(Table1[[#This Row],[Product code]],INDIRECT(Aux!$A$1),6,FALSE),"")),"")</f>
        <v/>
      </c>
      <c r="P233" s="41" t="str">
        <f ca="1">IFERROR(IF(AND(Table1[[#This Row],[Quantity]]&lt;&gt;"",Table1[[#This Row],[Currency]]="NOK"),Table1[[#This Row],[Quantity]]*Table1[[#This Row],[Unit Price]],""),"")</f>
        <v/>
      </c>
      <c r="Q233" s="41" t="str">
        <f ca="1">IFERROR(IF(AND(Table1[[#This Row],[ACT_Qty]]&lt;&gt;"",Table1[[#This Row],[Currency]]="NOK"),Table1[[#This Row],[ACT_Qty]]*Table1[[#This Row],[Unit Price]],""),"")</f>
        <v/>
      </c>
      <c r="R233" s="41" t="str">
        <f ca="1">IFERROR(IF(AND(Table1[[#This Row],[Quantity]]&lt;&gt;"",Table1[[#This Row],[Currency]]="EUR"),Table1[[#This Row],[Quantity]]*Table1[[#This Row],[Unit Price]],""),"")</f>
        <v/>
      </c>
      <c r="S233" s="41" t="str">
        <f ca="1">IFERROR(IF(AND(Table1[[#This Row],[ACT_Qty]]&lt;&gt;"",Table1[[#This Row],[Currency]]="EUR"),Table1[[#This Row],[ACT_Qty]]*Table1[[#This Row],[Unit Price]],""),"")</f>
        <v/>
      </c>
      <c r="T233" s="269" t="str">
        <f ca="1">IFERROR(IF(AND(($N$3&lt;&gt;""),INDIRECT(Aux!$D$1)),VLOOKUP(Table1[[#This Row],[Product code]],Aux!B:E,4,FALSE),""),"")</f>
        <v/>
      </c>
      <c r="U233" s="145" t="str">
        <f>IFERROR(IF(OR(Table1[[#This Row],[Quantity]]&lt;&gt;"",Table1[[#This Row],[ACT_Qty]]&lt;&gt;""),Table1[[#This Row],[ACT_Qty]]-Table1[[#This Row],[Quantity]],""),"")</f>
        <v/>
      </c>
      <c r="V233" s="45"/>
      <c r="W233" s="45"/>
      <c r="X233" s="45"/>
    </row>
    <row r="234" spans="1:24" ht="15" customHeight="1">
      <c r="A234" s="143" t="str">
        <f t="shared" si="17"/>
        <v>AKH12345</v>
      </c>
      <c r="B234" s="256" t="s">
        <v>743</v>
      </c>
      <c r="C234" s="143" t="s">
        <v>744</v>
      </c>
      <c r="D234" s="105"/>
      <c r="E234" s="106"/>
      <c r="F234" s="105"/>
      <c r="G234" s="106"/>
      <c r="H234" s="199" t="s">
        <v>745</v>
      </c>
      <c r="I234" s="200" t="s">
        <v>173</v>
      </c>
      <c r="J234" s="200" t="s">
        <v>746</v>
      </c>
      <c r="K234" s="200" t="s">
        <v>52</v>
      </c>
      <c r="L234" s="145" t="s">
        <v>645</v>
      </c>
      <c r="M234" s="145" t="str">
        <f t="shared" si="18"/>
        <v>OneCo Networks AS</v>
      </c>
      <c r="N23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4" s="268" t="str">
        <f ca="1">IFERROR(IF(
OR(Table1[[#This Row],[Product category]]="Service items",Table1[[#This Row],[Product category]]="Additional services",Table1[[#This Row],[Product category]]="Additional materials"),
"NOK",IF(($N$3&lt;&gt;""),VLOOKUP(Table1[[#This Row],[Product code]],INDIRECT(Aux!$A$1),6,FALSE),"")),"")</f>
        <v/>
      </c>
      <c r="P234" s="41" t="str">
        <f ca="1">IFERROR(IF(AND(Table1[[#This Row],[Quantity]]&lt;&gt;"",Table1[[#This Row],[Currency]]="NOK"),Table1[[#This Row],[Quantity]]*Table1[[#This Row],[Unit Price]],""),"")</f>
        <v/>
      </c>
      <c r="Q234" s="41" t="str">
        <f ca="1">IFERROR(IF(AND(Table1[[#This Row],[ACT_Qty]]&lt;&gt;"",Table1[[#This Row],[Currency]]="NOK"),Table1[[#This Row],[ACT_Qty]]*Table1[[#This Row],[Unit Price]],""),"")</f>
        <v/>
      </c>
      <c r="R234" s="41" t="str">
        <f ca="1">IFERROR(IF(AND(Table1[[#This Row],[Quantity]]&lt;&gt;"",Table1[[#This Row],[Currency]]="EUR"),Table1[[#This Row],[Quantity]]*Table1[[#This Row],[Unit Price]],""),"")</f>
        <v/>
      </c>
      <c r="S234" s="41" t="str">
        <f ca="1">IFERROR(IF(AND(Table1[[#This Row],[ACT_Qty]]&lt;&gt;"",Table1[[#This Row],[Currency]]="EUR"),Table1[[#This Row],[ACT_Qty]]*Table1[[#This Row],[Unit Price]],""),"")</f>
        <v/>
      </c>
      <c r="T234" s="269" t="str">
        <f ca="1">IFERROR(IF(AND(($N$3&lt;&gt;""),INDIRECT(Aux!$D$1)),VLOOKUP(Table1[[#This Row],[Product code]],Aux!B:E,4,FALSE),""),"")</f>
        <v/>
      </c>
      <c r="U234" s="145" t="str">
        <f>IFERROR(IF(OR(Table1[[#This Row],[Quantity]]&lt;&gt;"",Table1[[#This Row],[ACT_Qty]]&lt;&gt;""),Table1[[#This Row],[ACT_Qty]]-Table1[[#This Row],[Quantity]],""),"")</f>
        <v/>
      </c>
      <c r="V234" s="45"/>
      <c r="W234" s="45"/>
      <c r="X234" s="45"/>
    </row>
    <row r="235" spans="1:24" ht="15" customHeight="1">
      <c r="A235" s="143" t="str">
        <f t="shared" si="17"/>
        <v>AKH12345</v>
      </c>
      <c r="B235" s="256" t="s">
        <v>747</v>
      </c>
      <c r="C235" s="143" t="s">
        <v>748</v>
      </c>
      <c r="D235" s="105"/>
      <c r="E235" s="106"/>
      <c r="F235" s="105"/>
      <c r="G235" s="106"/>
      <c r="H235" s="199" t="s">
        <v>749</v>
      </c>
      <c r="I235" s="200" t="s">
        <v>173</v>
      </c>
      <c r="J235" s="200" t="s">
        <v>746</v>
      </c>
      <c r="K235" s="200" t="s">
        <v>52</v>
      </c>
      <c r="L235" s="145" t="s">
        <v>645</v>
      </c>
      <c r="M235" s="145" t="str">
        <f t="shared" ref="M235:M349" si="19">IF($C$3&lt;&gt;"",$C$3,"")</f>
        <v>OneCo Networks AS</v>
      </c>
      <c r="N2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5" s="268" t="str">
        <f ca="1">IFERROR(IF(
OR(Table1[[#This Row],[Product category]]="Service items",Table1[[#This Row],[Product category]]="Additional services",Table1[[#This Row],[Product category]]="Additional materials"),
"NOK",IF(($N$3&lt;&gt;""),VLOOKUP(Table1[[#This Row],[Product code]],INDIRECT(Aux!$A$1),6,FALSE),"")),"")</f>
        <v/>
      </c>
      <c r="P235" s="41" t="str">
        <f ca="1">IFERROR(IF(AND(Table1[[#This Row],[Quantity]]&lt;&gt;"",Table1[[#This Row],[Currency]]="NOK"),Table1[[#This Row],[Quantity]]*Table1[[#This Row],[Unit Price]],""),"")</f>
        <v/>
      </c>
      <c r="Q235" s="41" t="str">
        <f ca="1">IFERROR(IF(AND(Table1[[#This Row],[ACT_Qty]]&lt;&gt;"",Table1[[#This Row],[Currency]]="NOK"),Table1[[#This Row],[ACT_Qty]]*Table1[[#This Row],[Unit Price]],""),"")</f>
        <v/>
      </c>
      <c r="R235" s="41" t="str">
        <f ca="1">IFERROR(IF(AND(Table1[[#This Row],[Quantity]]&lt;&gt;"",Table1[[#This Row],[Currency]]="EUR"),Table1[[#This Row],[Quantity]]*Table1[[#This Row],[Unit Price]],""),"")</f>
        <v/>
      </c>
      <c r="S235" s="41" t="str">
        <f ca="1">IFERROR(IF(AND(Table1[[#This Row],[ACT_Qty]]&lt;&gt;"",Table1[[#This Row],[Currency]]="EUR"),Table1[[#This Row],[ACT_Qty]]*Table1[[#This Row],[Unit Price]],""),"")</f>
        <v/>
      </c>
      <c r="T235" s="269" t="str">
        <f ca="1">IFERROR(IF(AND(($N$3&lt;&gt;""),INDIRECT(Aux!$D$1)),VLOOKUP(Table1[[#This Row],[Product code]],Aux!B:E,4,FALSE),""),"")</f>
        <v/>
      </c>
      <c r="U235" s="145" t="str">
        <f>IFERROR(IF(OR(Table1[[#This Row],[Quantity]]&lt;&gt;"",Table1[[#This Row],[ACT_Qty]]&lt;&gt;""),Table1[[#This Row],[ACT_Qty]]-Table1[[#This Row],[Quantity]],""),"")</f>
        <v/>
      </c>
      <c r="V235" s="45"/>
      <c r="W235" s="45"/>
      <c r="X235" s="45"/>
    </row>
    <row r="236" spans="1:24" ht="15" customHeight="1">
      <c r="A236" s="143" t="str">
        <f t="shared" si="17"/>
        <v>AKH12345</v>
      </c>
      <c r="B236" s="256" t="s">
        <v>750</v>
      </c>
      <c r="C236" s="143" t="s">
        <v>751</v>
      </c>
      <c r="D236" s="105"/>
      <c r="E236" s="106"/>
      <c r="F236" s="105"/>
      <c r="G236" s="106"/>
      <c r="H236" s="199" t="s">
        <v>752</v>
      </c>
      <c r="I236" s="200" t="s">
        <v>173</v>
      </c>
      <c r="J236" s="200" t="s">
        <v>746</v>
      </c>
      <c r="K236" s="200" t="s">
        <v>52</v>
      </c>
      <c r="L236" s="145" t="s">
        <v>645</v>
      </c>
      <c r="M236" s="145" t="str">
        <f t="shared" si="19"/>
        <v>OneCo Networks AS</v>
      </c>
      <c r="N23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6" s="268" t="str">
        <f ca="1">IFERROR(IF(
OR(Table1[[#This Row],[Product category]]="Service items",Table1[[#This Row],[Product category]]="Additional services",Table1[[#This Row],[Product category]]="Additional materials"),
"NOK",IF(($N$3&lt;&gt;""),VLOOKUP(Table1[[#This Row],[Product code]],INDIRECT(Aux!$A$1),6,FALSE),"")),"")</f>
        <v/>
      </c>
      <c r="P236" s="41" t="str">
        <f ca="1">IFERROR(IF(AND(Table1[[#This Row],[Quantity]]&lt;&gt;"",Table1[[#This Row],[Currency]]="NOK"),Table1[[#This Row],[Quantity]]*Table1[[#This Row],[Unit Price]],""),"")</f>
        <v/>
      </c>
      <c r="Q236" s="41" t="str">
        <f ca="1">IFERROR(IF(AND(Table1[[#This Row],[ACT_Qty]]&lt;&gt;"",Table1[[#This Row],[Currency]]="NOK"),Table1[[#This Row],[ACT_Qty]]*Table1[[#This Row],[Unit Price]],""),"")</f>
        <v/>
      </c>
      <c r="R236" s="41" t="str">
        <f ca="1">IFERROR(IF(AND(Table1[[#This Row],[Quantity]]&lt;&gt;"",Table1[[#This Row],[Currency]]="EUR"),Table1[[#This Row],[Quantity]]*Table1[[#This Row],[Unit Price]],""),"")</f>
        <v/>
      </c>
      <c r="S236" s="41" t="str">
        <f ca="1">IFERROR(IF(AND(Table1[[#This Row],[ACT_Qty]]&lt;&gt;"",Table1[[#This Row],[Currency]]="EUR"),Table1[[#This Row],[ACT_Qty]]*Table1[[#This Row],[Unit Price]],""),"")</f>
        <v/>
      </c>
      <c r="T236" s="269" t="str">
        <f ca="1">IFERROR(IF(AND(($N$3&lt;&gt;""),INDIRECT(Aux!$D$1)),VLOOKUP(Table1[[#This Row],[Product code]],Aux!B:E,4,FALSE),""),"")</f>
        <v/>
      </c>
      <c r="U236" s="145" t="str">
        <f>IFERROR(IF(OR(Table1[[#This Row],[Quantity]]&lt;&gt;"",Table1[[#This Row],[ACT_Qty]]&lt;&gt;""),Table1[[#This Row],[ACT_Qty]]-Table1[[#This Row],[Quantity]],""),"")</f>
        <v/>
      </c>
      <c r="V236" s="45"/>
      <c r="W236" s="45"/>
      <c r="X236" s="45"/>
    </row>
    <row r="237" spans="1:24" ht="15" customHeight="1">
      <c r="A237" s="143" t="str">
        <f t="shared" si="17"/>
        <v>AKH12345</v>
      </c>
      <c r="B237" s="256" t="s">
        <v>753</v>
      </c>
      <c r="C237" s="143" t="s">
        <v>754</v>
      </c>
      <c r="D237" s="105"/>
      <c r="E237" s="106"/>
      <c r="F237" s="105"/>
      <c r="G237" s="106"/>
      <c r="H237" s="199" t="s">
        <v>755</v>
      </c>
      <c r="I237" s="200" t="s">
        <v>173</v>
      </c>
      <c r="J237" s="200" t="s">
        <v>746</v>
      </c>
      <c r="K237" s="200" t="s">
        <v>52</v>
      </c>
      <c r="L237" s="145" t="s">
        <v>339</v>
      </c>
      <c r="M237" s="145" t="str">
        <f>IF($C$3&lt;&gt;"",$C$3,"")</f>
        <v>OneCo Networks AS</v>
      </c>
      <c r="N2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7" s="268" t="str">
        <f ca="1">IFERROR(IF(
OR(Table1[[#This Row],[Product category]]="Service items",Table1[[#This Row],[Product category]]="Additional services",Table1[[#This Row],[Product category]]="Additional materials"),
"NOK",IF(($N$3&lt;&gt;""),VLOOKUP(Table1[[#This Row],[Product code]],INDIRECT(Aux!$A$1),6,FALSE),"")),"")</f>
        <v/>
      </c>
      <c r="P237" s="41" t="str">
        <f ca="1">IFERROR(IF(AND(Table1[[#This Row],[Quantity]]&lt;&gt;"",Table1[[#This Row],[Currency]]="NOK"),Table1[[#This Row],[Quantity]]*Table1[[#This Row],[Unit Price]],""),"")</f>
        <v/>
      </c>
      <c r="Q237" s="41" t="str">
        <f ca="1">IFERROR(IF(AND(Table1[[#This Row],[ACT_Qty]]&lt;&gt;"",Table1[[#This Row],[Currency]]="NOK"),Table1[[#This Row],[ACT_Qty]]*Table1[[#This Row],[Unit Price]],""),"")</f>
        <v/>
      </c>
      <c r="R237" s="41" t="str">
        <f ca="1">IFERROR(IF(AND(Table1[[#This Row],[Quantity]]&lt;&gt;"",Table1[[#This Row],[Currency]]="EUR"),Table1[[#This Row],[Quantity]]*Table1[[#This Row],[Unit Price]],""),"")</f>
        <v/>
      </c>
      <c r="S237" s="41" t="str">
        <f ca="1">IFERROR(IF(AND(Table1[[#This Row],[ACT_Qty]]&lt;&gt;"",Table1[[#This Row],[Currency]]="EUR"),Table1[[#This Row],[ACT_Qty]]*Table1[[#This Row],[Unit Price]],""),"")</f>
        <v/>
      </c>
      <c r="T237" s="269" t="str">
        <f ca="1">IFERROR(IF(AND(($N$3&lt;&gt;""),INDIRECT(Aux!$D$1)),VLOOKUP(Table1[[#This Row],[Product code]],Aux!B:E,4,FALSE),""),"")</f>
        <v/>
      </c>
      <c r="U237" s="145" t="str">
        <f>IFERROR(IF(OR(Table1[[#This Row],[Quantity]]&lt;&gt;"",Table1[[#This Row],[ACT_Qty]]&lt;&gt;""),Table1[[#This Row],[ACT_Qty]]-Table1[[#This Row],[Quantity]],""),"")</f>
        <v/>
      </c>
      <c r="V237" s="45"/>
      <c r="W237" s="45"/>
      <c r="X237" s="45"/>
    </row>
    <row r="238" spans="1:24" ht="15" customHeight="1">
      <c r="A238" s="143" t="str">
        <f t="shared" si="17"/>
        <v>AKH12345</v>
      </c>
      <c r="B238" s="256" t="s">
        <v>756</v>
      </c>
      <c r="C238" s="143" t="s">
        <v>757</v>
      </c>
      <c r="D238" s="105"/>
      <c r="E238" s="106" t="s">
        <v>758</v>
      </c>
      <c r="F238" s="105"/>
      <c r="G238" s="106"/>
      <c r="H238" s="199" t="s">
        <v>759</v>
      </c>
      <c r="I238" s="200" t="s">
        <v>760</v>
      </c>
      <c r="J238" s="200" t="s">
        <v>761</v>
      </c>
      <c r="K238" s="200" t="s">
        <v>52</v>
      </c>
      <c r="L238" s="145" t="s">
        <v>152</v>
      </c>
      <c r="M238" s="145" t="str">
        <f t="shared" si="19"/>
        <v>OneCo Networks AS</v>
      </c>
      <c r="N23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8" s="268" t="str">
        <f ca="1">IFERROR(IF(
OR(Table1[[#This Row],[Product category]]="Service items",Table1[[#This Row],[Product category]]="Additional services",Table1[[#This Row],[Product category]]="Additional materials"),
"NOK",IF(($N$3&lt;&gt;""),VLOOKUP(Table1[[#This Row],[Product code]],INDIRECT(Aux!$A$1),6,FALSE),"")),"")</f>
        <v/>
      </c>
      <c r="P238" s="41" t="str">
        <f ca="1">IFERROR(IF(AND(Table1[[#This Row],[Quantity]]&lt;&gt;"",Table1[[#This Row],[Currency]]="NOK"),Table1[[#This Row],[Quantity]]*Table1[[#This Row],[Unit Price]],""),"")</f>
        <v/>
      </c>
      <c r="Q238" s="41" t="str">
        <f ca="1">IFERROR(IF(AND(Table1[[#This Row],[ACT_Qty]]&lt;&gt;"",Table1[[#This Row],[Currency]]="NOK"),Table1[[#This Row],[ACT_Qty]]*Table1[[#This Row],[Unit Price]],""),"")</f>
        <v/>
      </c>
      <c r="R238" s="41" t="str">
        <f ca="1">IFERROR(IF(AND(Table1[[#This Row],[Quantity]]&lt;&gt;"",Table1[[#This Row],[Currency]]="EUR"),Table1[[#This Row],[Quantity]]*Table1[[#This Row],[Unit Price]],""),"")</f>
        <v/>
      </c>
      <c r="S238" s="41" t="str">
        <f ca="1">IFERROR(IF(AND(Table1[[#This Row],[ACT_Qty]]&lt;&gt;"",Table1[[#This Row],[Currency]]="EUR"),Table1[[#This Row],[ACT_Qty]]*Table1[[#This Row],[Unit Price]],""),"")</f>
        <v/>
      </c>
      <c r="T238" s="269" t="str">
        <f ca="1">IFERROR(IF(AND(($N$3&lt;&gt;""),INDIRECT(Aux!$D$1)),VLOOKUP(Table1[[#This Row],[Product code]],Aux!B:E,4,FALSE),""),"")</f>
        <v/>
      </c>
      <c r="U238" s="145" t="str">
        <f>IFERROR(IF(OR(Table1[[#This Row],[Quantity]]&lt;&gt;"",Table1[[#This Row],[ACT_Qty]]&lt;&gt;""),Table1[[#This Row],[ACT_Qty]]-Table1[[#This Row],[Quantity]],""),"")</f>
        <v/>
      </c>
      <c r="V238" s="45"/>
      <c r="W238" s="45"/>
      <c r="X238" s="45"/>
    </row>
    <row r="239" spans="1:24" ht="15" customHeight="1">
      <c r="A239" s="143" t="str">
        <f t="shared" si="17"/>
        <v>AKH12345</v>
      </c>
      <c r="B239" s="256" t="s">
        <v>762</v>
      </c>
      <c r="C239" s="143" t="s">
        <v>763</v>
      </c>
      <c r="D239" s="105"/>
      <c r="E239" s="106" t="s">
        <v>764</v>
      </c>
      <c r="F239" s="105"/>
      <c r="G239" s="106"/>
      <c r="H239" s="199" t="s">
        <v>765</v>
      </c>
      <c r="I239" s="200" t="s">
        <v>760</v>
      </c>
      <c r="J239" s="200" t="s">
        <v>761</v>
      </c>
      <c r="K239" s="200" t="s">
        <v>52</v>
      </c>
      <c r="L239" s="145" t="s">
        <v>152</v>
      </c>
      <c r="M239" s="145" t="str">
        <f t="shared" si="19"/>
        <v>OneCo Networks AS</v>
      </c>
      <c r="N2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39" s="268" t="str">
        <f ca="1">IFERROR(IF(
OR(Table1[[#This Row],[Product category]]="Service items",Table1[[#This Row],[Product category]]="Additional services",Table1[[#This Row],[Product category]]="Additional materials"),
"NOK",IF(($N$3&lt;&gt;""),VLOOKUP(Table1[[#This Row],[Product code]],INDIRECT(Aux!$A$1),6,FALSE),"")),"")</f>
        <v/>
      </c>
      <c r="P239" s="41" t="str">
        <f ca="1">IFERROR(IF(AND(Table1[[#This Row],[Quantity]]&lt;&gt;"",Table1[[#This Row],[Currency]]="NOK"),Table1[[#This Row],[Quantity]]*Table1[[#This Row],[Unit Price]],""),"")</f>
        <v/>
      </c>
      <c r="Q239" s="41" t="str">
        <f ca="1">IFERROR(IF(AND(Table1[[#This Row],[ACT_Qty]]&lt;&gt;"",Table1[[#This Row],[Currency]]="NOK"),Table1[[#This Row],[ACT_Qty]]*Table1[[#This Row],[Unit Price]],""),"")</f>
        <v/>
      </c>
      <c r="R239" s="41" t="str">
        <f ca="1">IFERROR(IF(AND(Table1[[#This Row],[Quantity]]&lt;&gt;"",Table1[[#This Row],[Currency]]="EUR"),Table1[[#This Row],[Quantity]]*Table1[[#This Row],[Unit Price]],""),"")</f>
        <v/>
      </c>
      <c r="S239" s="41" t="str">
        <f ca="1">IFERROR(IF(AND(Table1[[#This Row],[ACT_Qty]]&lt;&gt;"",Table1[[#This Row],[Currency]]="EUR"),Table1[[#This Row],[ACT_Qty]]*Table1[[#This Row],[Unit Price]],""),"")</f>
        <v/>
      </c>
      <c r="T239" s="269" t="str">
        <f ca="1">IFERROR(IF(AND(($N$3&lt;&gt;""),INDIRECT(Aux!$D$1)),VLOOKUP(Table1[[#This Row],[Product code]],Aux!B:E,4,FALSE),""),"")</f>
        <v/>
      </c>
      <c r="U239" s="145" t="str">
        <f>IFERROR(IF(OR(Table1[[#This Row],[Quantity]]&lt;&gt;"",Table1[[#This Row],[ACT_Qty]]&lt;&gt;""),Table1[[#This Row],[ACT_Qty]]-Table1[[#This Row],[Quantity]],""),"")</f>
        <v/>
      </c>
      <c r="V239" s="45"/>
      <c r="W239" s="45"/>
      <c r="X239" s="45"/>
    </row>
    <row r="240" spans="1:24" ht="15" customHeight="1">
      <c r="A240" s="143" t="str">
        <f t="shared" si="17"/>
        <v>AKH12345</v>
      </c>
      <c r="B240" s="256" t="s">
        <v>766</v>
      </c>
      <c r="C240" s="143" t="s">
        <v>767</v>
      </c>
      <c r="D240" s="105"/>
      <c r="E240" s="106" t="s">
        <v>764</v>
      </c>
      <c r="F240" s="105"/>
      <c r="G240" s="106"/>
      <c r="H240" s="199" t="s">
        <v>768</v>
      </c>
      <c r="I240" s="200" t="s">
        <v>760</v>
      </c>
      <c r="J240" s="200" t="s">
        <v>761</v>
      </c>
      <c r="K240" s="200" t="s">
        <v>52</v>
      </c>
      <c r="L240" s="145" t="s">
        <v>152</v>
      </c>
      <c r="M240" s="145" t="str">
        <f t="shared" si="19"/>
        <v>OneCo Networks AS</v>
      </c>
      <c r="N24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0" s="268" t="str">
        <f ca="1">IFERROR(IF(
OR(Table1[[#This Row],[Product category]]="Service items",Table1[[#This Row],[Product category]]="Additional services",Table1[[#This Row],[Product category]]="Additional materials"),
"NOK",IF(($N$3&lt;&gt;""),VLOOKUP(Table1[[#This Row],[Product code]],INDIRECT(Aux!$A$1),6,FALSE),"")),"")</f>
        <v/>
      </c>
      <c r="P240" s="41" t="str">
        <f ca="1">IFERROR(IF(AND(Table1[[#This Row],[Quantity]]&lt;&gt;"",Table1[[#This Row],[Currency]]="NOK"),Table1[[#This Row],[Quantity]]*Table1[[#This Row],[Unit Price]],""),"")</f>
        <v/>
      </c>
      <c r="Q240" s="41" t="str">
        <f ca="1">IFERROR(IF(AND(Table1[[#This Row],[ACT_Qty]]&lt;&gt;"",Table1[[#This Row],[Currency]]="NOK"),Table1[[#This Row],[ACT_Qty]]*Table1[[#This Row],[Unit Price]],""),"")</f>
        <v/>
      </c>
      <c r="R240" s="41" t="str">
        <f ca="1">IFERROR(IF(AND(Table1[[#This Row],[Quantity]]&lt;&gt;"",Table1[[#This Row],[Currency]]="EUR"),Table1[[#This Row],[Quantity]]*Table1[[#This Row],[Unit Price]],""),"")</f>
        <v/>
      </c>
      <c r="S240" s="41" t="str">
        <f ca="1">IFERROR(IF(AND(Table1[[#This Row],[ACT_Qty]]&lt;&gt;"",Table1[[#This Row],[Currency]]="EUR"),Table1[[#This Row],[ACT_Qty]]*Table1[[#This Row],[Unit Price]],""),"")</f>
        <v/>
      </c>
      <c r="T240" s="269" t="str">
        <f ca="1">IFERROR(IF(AND(($N$3&lt;&gt;""),INDIRECT(Aux!$D$1)),VLOOKUP(Table1[[#This Row],[Product code]],Aux!B:E,4,FALSE),""),"")</f>
        <v/>
      </c>
      <c r="U240" s="145" t="str">
        <f>IFERROR(IF(OR(Table1[[#This Row],[Quantity]]&lt;&gt;"",Table1[[#This Row],[ACT_Qty]]&lt;&gt;""),Table1[[#This Row],[ACT_Qty]]-Table1[[#This Row],[Quantity]],""),"")</f>
        <v/>
      </c>
      <c r="V240" s="45"/>
      <c r="W240" s="45"/>
      <c r="X240" s="45"/>
    </row>
    <row r="241" spans="1:24" ht="15" customHeight="1">
      <c r="A241" s="143" t="str">
        <f t="shared" si="17"/>
        <v>AKH12345</v>
      </c>
      <c r="B241" s="256" t="s">
        <v>769</v>
      </c>
      <c r="C241" s="143" t="s">
        <v>770</v>
      </c>
      <c r="D241" s="105"/>
      <c r="E241" s="106" t="s">
        <v>764</v>
      </c>
      <c r="F241" s="105"/>
      <c r="G241" s="106"/>
      <c r="H241" s="199" t="s">
        <v>771</v>
      </c>
      <c r="I241" s="200" t="s">
        <v>760</v>
      </c>
      <c r="J241" s="200" t="s">
        <v>761</v>
      </c>
      <c r="K241" s="200" t="s">
        <v>52</v>
      </c>
      <c r="L241" s="145" t="s">
        <v>152</v>
      </c>
      <c r="M241" s="145" t="str">
        <f t="shared" si="19"/>
        <v>OneCo Networks AS</v>
      </c>
      <c r="N2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1" s="268" t="str">
        <f ca="1">IFERROR(IF(
OR(Table1[[#This Row],[Product category]]="Service items",Table1[[#This Row],[Product category]]="Additional services",Table1[[#This Row],[Product category]]="Additional materials"),
"NOK",IF(($N$3&lt;&gt;""),VLOOKUP(Table1[[#This Row],[Product code]],INDIRECT(Aux!$A$1),6,FALSE),"")),"")</f>
        <v/>
      </c>
      <c r="P241" s="41" t="str">
        <f ca="1">IFERROR(IF(AND(Table1[[#This Row],[Quantity]]&lt;&gt;"",Table1[[#This Row],[Currency]]="NOK"),Table1[[#This Row],[Quantity]]*Table1[[#This Row],[Unit Price]],""),"")</f>
        <v/>
      </c>
      <c r="Q241" s="41" t="str">
        <f ca="1">IFERROR(IF(AND(Table1[[#This Row],[ACT_Qty]]&lt;&gt;"",Table1[[#This Row],[Currency]]="NOK"),Table1[[#This Row],[ACT_Qty]]*Table1[[#This Row],[Unit Price]],""),"")</f>
        <v/>
      </c>
      <c r="R241" s="41" t="str">
        <f ca="1">IFERROR(IF(AND(Table1[[#This Row],[Quantity]]&lt;&gt;"",Table1[[#This Row],[Currency]]="EUR"),Table1[[#This Row],[Quantity]]*Table1[[#This Row],[Unit Price]],""),"")</f>
        <v/>
      </c>
      <c r="S241" s="41" t="str">
        <f ca="1">IFERROR(IF(AND(Table1[[#This Row],[ACT_Qty]]&lt;&gt;"",Table1[[#This Row],[Currency]]="EUR"),Table1[[#This Row],[ACT_Qty]]*Table1[[#This Row],[Unit Price]],""),"")</f>
        <v/>
      </c>
      <c r="T241" s="269" t="str">
        <f ca="1">IFERROR(IF(AND(($N$3&lt;&gt;""),INDIRECT(Aux!$D$1)),VLOOKUP(Table1[[#This Row],[Product code]],Aux!B:E,4,FALSE),""),"")</f>
        <v/>
      </c>
      <c r="U241" s="145" t="str">
        <f>IFERROR(IF(OR(Table1[[#This Row],[Quantity]]&lt;&gt;"",Table1[[#This Row],[ACT_Qty]]&lt;&gt;""),Table1[[#This Row],[ACT_Qty]]-Table1[[#This Row],[Quantity]],""),"")</f>
        <v/>
      </c>
      <c r="V241" s="45"/>
      <c r="W241" s="45"/>
      <c r="X241" s="45"/>
    </row>
    <row r="242" spans="1:24" ht="15" customHeight="1">
      <c r="A242" s="143" t="str">
        <f t="shared" si="17"/>
        <v>AKH12345</v>
      </c>
      <c r="B242" s="256" t="s">
        <v>772</v>
      </c>
      <c r="C242" s="143" t="s">
        <v>773</v>
      </c>
      <c r="D242" s="105"/>
      <c r="E242" s="106" t="s">
        <v>764</v>
      </c>
      <c r="F242" s="105"/>
      <c r="G242" s="106"/>
      <c r="H242" s="199" t="s">
        <v>774</v>
      </c>
      <c r="I242" s="200" t="s">
        <v>760</v>
      </c>
      <c r="J242" s="200" t="s">
        <v>761</v>
      </c>
      <c r="K242" s="200" t="s">
        <v>52</v>
      </c>
      <c r="L242" s="145" t="s">
        <v>152</v>
      </c>
      <c r="M242" s="145" t="str">
        <f t="shared" si="19"/>
        <v>OneCo Networks AS</v>
      </c>
      <c r="N24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2" s="268" t="str">
        <f ca="1">IFERROR(IF(
OR(Table1[[#This Row],[Product category]]="Service items",Table1[[#This Row],[Product category]]="Additional services",Table1[[#This Row],[Product category]]="Additional materials"),
"NOK",IF(($N$3&lt;&gt;""),VLOOKUP(Table1[[#This Row],[Product code]],INDIRECT(Aux!$A$1),6,FALSE),"")),"")</f>
        <v/>
      </c>
      <c r="P242" s="41" t="str">
        <f ca="1">IFERROR(IF(AND(Table1[[#This Row],[Quantity]]&lt;&gt;"",Table1[[#This Row],[Currency]]="NOK"),Table1[[#This Row],[Quantity]]*Table1[[#This Row],[Unit Price]],""),"")</f>
        <v/>
      </c>
      <c r="Q242" s="41" t="str">
        <f ca="1">IFERROR(IF(AND(Table1[[#This Row],[ACT_Qty]]&lt;&gt;"",Table1[[#This Row],[Currency]]="NOK"),Table1[[#This Row],[ACT_Qty]]*Table1[[#This Row],[Unit Price]],""),"")</f>
        <v/>
      </c>
      <c r="R242" s="41" t="str">
        <f ca="1">IFERROR(IF(AND(Table1[[#This Row],[Quantity]]&lt;&gt;"",Table1[[#This Row],[Currency]]="EUR"),Table1[[#This Row],[Quantity]]*Table1[[#This Row],[Unit Price]],""),"")</f>
        <v/>
      </c>
      <c r="S242" s="41" t="str">
        <f ca="1">IFERROR(IF(AND(Table1[[#This Row],[ACT_Qty]]&lt;&gt;"",Table1[[#This Row],[Currency]]="EUR"),Table1[[#This Row],[ACT_Qty]]*Table1[[#This Row],[Unit Price]],""),"")</f>
        <v/>
      </c>
      <c r="T242" s="269" t="str">
        <f ca="1">IFERROR(IF(AND(($N$3&lt;&gt;""),INDIRECT(Aux!$D$1)),VLOOKUP(Table1[[#This Row],[Product code]],Aux!B:E,4,FALSE),""),"")</f>
        <v/>
      </c>
      <c r="U242" s="145" t="str">
        <f>IFERROR(IF(OR(Table1[[#This Row],[Quantity]]&lt;&gt;"",Table1[[#This Row],[ACT_Qty]]&lt;&gt;""),Table1[[#This Row],[ACT_Qty]]-Table1[[#This Row],[Quantity]],""),"")</f>
        <v/>
      </c>
      <c r="V242" s="45"/>
      <c r="W242" s="45"/>
      <c r="X242" s="45"/>
    </row>
    <row r="243" spans="1:24" ht="15" customHeight="1">
      <c r="A243" s="143" t="str">
        <f t="shared" si="17"/>
        <v>AKH12345</v>
      </c>
      <c r="B243" s="256" t="s">
        <v>775</v>
      </c>
      <c r="C243" s="143" t="s">
        <v>776</v>
      </c>
      <c r="D243" s="105"/>
      <c r="E243" s="106" t="s">
        <v>764</v>
      </c>
      <c r="F243" s="105"/>
      <c r="G243" s="106"/>
      <c r="H243" s="199" t="s">
        <v>777</v>
      </c>
      <c r="I243" s="200" t="s">
        <v>760</v>
      </c>
      <c r="J243" s="200" t="s">
        <v>761</v>
      </c>
      <c r="K243" s="200" t="s">
        <v>52</v>
      </c>
      <c r="L243" s="145" t="s">
        <v>152</v>
      </c>
      <c r="M243" s="145" t="str">
        <f t="shared" si="19"/>
        <v>OneCo Networks AS</v>
      </c>
      <c r="N2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3" s="268" t="str">
        <f ca="1">IFERROR(IF(
OR(Table1[[#This Row],[Product category]]="Service items",Table1[[#This Row],[Product category]]="Additional services",Table1[[#This Row],[Product category]]="Additional materials"),
"NOK",IF(($N$3&lt;&gt;""),VLOOKUP(Table1[[#This Row],[Product code]],INDIRECT(Aux!$A$1),6,FALSE),"")),"")</f>
        <v/>
      </c>
      <c r="P243" s="41" t="str">
        <f ca="1">IFERROR(IF(AND(Table1[[#This Row],[Quantity]]&lt;&gt;"",Table1[[#This Row],[Currency]]="NOK"),Table1[[#This Row],[Quantity]]*Table1[[#This Row],[Unit Price]],""),"")</f>
        <v/>
      </c>
      <c r="Q243" s="41" t="str">
        <f ca="1">IFERROR(IF(AND(Table1[[#This Row],[ACT_Qty]]&lt;&gt;"",Table1[[#This Row],[Currency]]="NOK"),Table1[[#This Row],[ACT_Qty]]*Table1[[#This Row],[Unit Price]],""),"")</f>
        <v/>
      </c>
      <c r="R243" s="41" t="str">
        <f ca="1">IFERROR(IF(AND(Table1[[#This Row],[Quantity]]&lt;&gt;"",Table1[[#This Row],[Currency]]="EUR"),Table1[[#This Row],[Quantity]]*Table1[[#This Row],[Unit Price]],""),"")</f>
        <v/>
      </c>
      <c r="S243" s="41" t="str">
        <f ca="1">IFERROR(IF(AND(Table1[[#This Row],[ACT_Qty]]&lt;&gt;"",Table1[[#This Row],[Currency]]="EUR"),Table1[[#This Row],[ACT_Qty]]*Table1[[#This Row],[Unit Price]],""),"")</f>
        <v/>
      </c>
      <c r="T243" s="269" t="str">
        <f ca="1">IFERROR(IF(AND(($N$3&lt;&gt;""),INDIRECT(Aux!$D$1)),VLOOKUP(Table1[[#This Row],[Product code]],Aux!B:E,4,FALSE),""),"")</f>
        <v/>
      </c>
      <c r="U243" s="145" t="str">
        <f>IFERROR(IF(OR(Table1[[#This Row],[Quantity]]&lt;&gt;"",Table1[[#This Row],[ACT_Qty]]&lt;&gt;""),Table1[[#This Row],[ACT_Qty]]-Table1[[#This Row],[Quantity]],""),"")</f>
        <v/>
      </c>
      <c r="V243" s="45"/>
      <c r="W243" s="45"/>
      <c r="X243" s="45"/>
    </row>
    <row r="244" spans="1:24" ht="15" customHeight="1">
      <c r="A244" s="143" t="str">
        <f t="shared" si="17"/>
        <v>AKH12345</v>
      </c>
      <c r="B244" s="256" t="s">
        <v>778</v>
      </c>
      <c r="C244" s="143" t="s">
        <v>779</v>
      </c>
      <c r="D244" s="105"/>
      <c r="E244" s="106" t="s">
        <v>764</v>
      </c>
      <c r="F244" s="105"/>
      <c r="G244" s="106"/>
      <c r="H244" s="199" t="s">
        <v>780</v>
      </c>
      <c r="I244" s="200" t="s">
        <v>760</v>
      </c>
      <c r="J244" s="200" t="s">
        <v>761</v>
      </c>
      <c r="K244" s="200" t="s">
        <v>52</v>
      </c>
      <c r="L244" s="145" t="s">
        <v>152</v>
      </c>
      <c r="M244" s="145" t="str">
        <f t="shared" si="19"/>
        <v>OneCo Networks AS</v>
      </c>
      <c r="N24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4" s="268" t="str">
        <f ca="1">IFERROR(IF(
OR(Table1[[#This Row],[Product category]]="Service items",Table1[[#This Row],[Product category]]="Additional services",Table1[[#This Row],[Product category]]="Additional materials"),
"NOK",IF(($N$3&lt;&gt;""),VLOOKUP(Table1[[#This Row],[Product code]],INDIRECT(Aux!$A$1),6,FALSE),"")),"")</f>
        <v/>
      </c>
      <c r="P244" s="41" t="str">
        <f ca="1">IFERROR(IF(AND(Table1[[#This Row],[Quantity]]&lt;&gt;"",Table1[[#This Row],[Currency]]="NOK"),Table1[[#This Row],[Quantity]]*Table1[[#This Row],[Unit Price]],""),"")</f>
        <v/>
      </c>
      <c r="Q244" s="41" t="str">
        <f ca="1">IFERROR(IF(AND(Table1[[#This Row],[ACT_Qty]]&lt;&gt;"",Table1[[#This Row],[Currency]]="NOK"),Table1[[#This Row],[ACT_Qty]]*Table1[[#This Row],[Unit Price]],""),"")</f>
        <v/>
      </c>
      <c r="R244" s="41" t="str">
        <f ca="1">IFERROR(IF(AND(Table1[[#This Row],[Quantity]]&lt;&gt;"",Table1[[#This Row],[Currency]]="EUR"),Table1[[#This Row],[Quantity]]*Table1[[#This Row],[Unit Price]],""),"")</f>
        <v/>
      </c>
      <c r="S244" s="41" t="str">
        <f ca="1">IFERROR(IF(AND(Table1[[#This Row],[ACT_Qty]]&lt;&gt;"",Table1[[#This Row],[Currency]]="EUR"),Table1[[#This Row],[ACT_Qty]]*Table1[[#This Row],[Unit Price]],""),"")</f>
        <v/>
      </c>
      <c r="T244" s="269" t="str">
        <f ca="1">IFERROR(IF(AND(($N$3&lt;&gt;""),INDIRECT(Aux!$D$1)),VLOOKUP(Table1[[#This Row],[Product code]],Aux!B:E,4,FALSE),""),"")</f>
        <v/>
      </c>
      <c r="U244" s="145" t="str">
        <f>IFERROR(IF(OR(Table1[[#This Row],[Quantity]]&lt;&gt;"",Table1[[#This Row],[ACT_Qty]]&lt;&gt;""),Table1[[#This Row],[ACT_Qty]]-Table1[[#This Row],[Quantity]],""),"")</f>
        <v/>
      </c>
      <c r="V244" s="45"/>
      <c r="W244" s="45"/>
      <c r="X244" s="45"/>
    </row>
    <row r="245" spans="1:24" customFormat="1" ht="15" customHeight="1">
      <c r="A245" s="143" t="str">
        <f t="shared" si="17"/>
        <v>AKH12345</v>
      </c>
      <c r="B245" s="256">
        <v>6115020002</v>
      </c>
      <c r="C245" s="143" t="s">
        <v>781</v>
      </c>
      <c r="D245" s="105"/>
      <c r="E245" s="106"/>
      <c r="F245" s="105"/>
      <c r="G245" s="106"/>
      <c r="H245" s="199" t="s">
        <v>782</v>
      </c>
      <c r="I245" s="200" t="s">
        <v>760</v>
      </c>
      <c r="J245" s="200" t="s">
        <v>761</v>
      </c>
      <c r="K245" s="200" t="s">
        <v>52</v>
      </c>
      <c r="L245" s="145" t="s">
        <v>783</v>
      </c>
      <c r="M245" s="145" t="str">
        <f t="shared" si="19"/>
        <v>OneCo Networks AS</v>
      </c>
      <c r="N245" s="40"/>
      <c r="O245" s="268"/>
      <c r="P245" s="41"/>
      <c r="Q245" s="41"/>
      <c r="R245" s="41"/>
      <c r="S245" s="41"/>
      <c r="T245" s="269"/>
      <c r="U245" s="145"/>
      <c r="V245" s="45"/>
      <c r="W245" s="45"/>
      <c r="X245" s="45"/>
    </row>
    <row r="246" spans="1:24" ht="15" customHeight="1">
      <c r="A246" s="143" t="str">
        <f t="shared" si="17"/>
        <v>AKH12345</v>
      </c>
      <c r="B246" s="256" t="s">
        <v>784</v>
      </c>
      <c r="C246" s="143" t="s">
        <v>785</v>
      </c>
      <c r="D246" s="105"/>
      <c r="E246" s="106"/>
      <c r="F246" s="105"/>
      <c r="G246" s="106"/>
      <c r="H246" s="199" t="s">
        <v>786</v>
      </c>
      <c r="I246" s="200" t="s">
        <v>173</v>
      </c>
      <c r="J246" s="200" t="s">
        <v>787</v>
      </c>
      <c r="K246" s="200" t="s">
        <v>52</v>
      </c>
      <c r="L246" s="145" t="s">
        <v>339</v>
      </c>
      <c r="M246" s="145" t="str">
        <f t="shared" si="19"/>
        <v>OneCo Networks AS</v>
      </c>
      <c r="N24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6" s="268" t="str">
        <f ca="1">IFERROR(IF(
OR(Table1[[#This Row],[Product category]]="Service items",Table1[[#This Row],[Product category]]="Additional services",Table1[[#This Row],[Product category]]="Additional materials"),
"NOK",IF(($N$3&lt;&gt;""),VLOOKUP(Table1[[#This Row],[Product code]],INDIRECT(Aux!$A$1),6,FALSE),"")),"")</f>
        <v/>
      </c>
      <c r="P246" s="41" t="str">
        <f ca="1">IFERROR(IF(AND(Table1[[#This Row],[Quantity]]&lt;&gt;"",Table1[[#This Row],[Currency]]="NOK"),Table1[[#This Row],[Quantity]]*Table1[[#This Row],[Unit Price]],""),"")</f>
        <v/>
      </c>
      <c r="Q246" s="41" t="str">
        <f ca="1">IFERROR(IF(AND(Table1[[#This Row],[ACT_Qty]]&lt;&gt;"",Table1[[#This Row],[Currency]]="NOK"),Table1[[#This Row],[ACT_Qty]]*Table1[[#This Row],[Unit Price]],""),"")</f>
        <v/>
      </c>
      <c r="R246" s="41" t="str">
        <f ca="1">IFERROR(IF(AND(Table1[[#This Row],[Quantity]]&lt;&gt;"",Table1[[#This Row],[Currency]]="EUR"),Table1[[#This Row],[Quantity]]*Table1[[#This Row],[Unit Price]],""),"")</f>
        <v/>
      </c>
      <c r="S246" s="41" t="str">
        <f ca="1">IFERROR(IF(AND(Table1[[#This Row],[ACT_Qty]]&lt;&gt;"",Table1[[#This Row],[Currency]]="EUR"),Table1[[#This Row],[ACT_Qty]]*Table1[[#This Row],[Unit Price]],""),"")</f>
        <v/>
      </c>
      <c r="T246" s="269" t="str">
        <f ca="1">IFERROR(IF(AND(($N$3&lt;&gt;""),INDIRECT(Aux!$D$1)),VLOOKUP(Table1[[#This Row],[Product code]],Aux!B:E,4,FALSE),""),"")</f>
        <v/>
      </c>
      <c r="U246" s="145" t="str">
        <f>IFERROR(IF(OR(Table1[[#This Row],[Quantity]]&lt;&gt;"",Table1[[#This Row],[ACT_Qty]]&lt;&gt;""),Table1[[#This Row],[ACT_Qty]]-Table1[[#This Row],[Quantity]],""),"")</f>
        <v/>
      </c>
      <c r="V246" s="45"/>
      <c r="W246" s="45"/>
      <c r="X246" s="45"/>
    </row>
    <row r="247" spans="1:24" ht="15" customHeight="1">
      <c r="A247" s="143" t="str">
        <f t="shared" si="17"/>
        <v>AKH12345</v>
      </c>
      <c r="B247" s="256" t="s">
        <v>788</v>
      </c>
      <c r="C247" s="143" t="s">
        <v>789</v>
      </c>
      <c r="D247" s="105"/>
      <c r="E247" s="106"/>
      <c r="F247" s="105"/>
      <c r="G247" s="106"/>
      <c r="H247" s="199" t="s">
        <v>790</v>
      </c>
      <c r="I247" s="200" t="s">
        <v>791</v>
      </c>
      <c r="J247" s="200" t="s">
        <v>792</v>
      </c>
      <c r="K247" s="200" t="s">
        <v>52</v>
      </c>
      <c r="L247" s="145" t="s">
        <v>152</v>
      </c>
      <c r="M247" s="145" t="str">
        <f t="shared" si="19"/>
        <v>OneCo Networks AS</v>
      </c>
      <c r="N2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7" s="268" t="str">
        <f ca="1">IFERROR(IF(
OR(Table1[[#This Row],[Product category]]="Service items",Table1[[#This Row],[Product category]]="Additional services",Table1[[#This Row],[Product category]]="Additional materials"),
"NOK",IF(($N$3&lt;&gt;""),VLOOKUP(Table1[[#This Row],[Product code]],INDIRECT(Aux!$A$1),6,FALSE),"")),"")</f>
        <v/>
      </c>
      <c r="P247" s="41" t="str">
        <f ca="1">IFERROR(IF(AND(Table1[[#This Row],[Quantity]]&lt;&gt;"",Table1[[#This Row],[Currency]]="NOK"),Table1[[#This Row],[Quantity]]*Table1[[#This Row],[Unit Price]],""),"")</f>
        <v/>
      </c>
      <c r="Q247" s="41" t="str">
        <f ca="1">IFERROR(IF(AND(Table1[[#This Row],[ACT_Qty]]&lt;&gt;"",Table1[[#This Row],[Currency]]="NOK"),Table1[[#This Row],[ACT_Qty]]*Table1[[#This Row],[Unit Price]],""),"")</f>
        <v/>
      </c>
      <c r="R247" s="41" t="str">
        <f ca="1">IFERROR(IF(AND(Table1[[#This Row],[Quantity]]&lt;&gt;"",Table1[[#This Row],[Currency]]="EUR"),Table1[[#This Row],[Quantity]]*Table1[[#This Row],[Unit Price]],""),"")</f>
        <v/>
      </c>
      <c r="S247" s="41" t="str">
        <f ca="1">IFERROR(IF(AND(Table1[[#This Row],[ACT_Qty]]&lt;&gt;"",Table1[[#This Row],[Currency]]="EUR"),Table1[[#This Row],[ACT_Qty]]*Table1[[#This Row],[Unit Price]],""),"")</f>
        <v/>
      </c>
      <c r="T247" s="269" t="str">
        <f ca="1">IFERROR(IF(AND(($N$3&lt;&gt;""),INDIRECT(Aux!$D$1)),VLOOKUP(Table1[[#This Row],[Product code]],Aux!B:E,4,FALSE),""),"")</f>
        <v/>
      </c>
      <c r="U247" s="145" t="str">
        <f>IFERROR(IF(OR(Table1[[#This Row],[Quantity]]&lt;&gt;"",Table1[[#This Row],[ACT_Qty]]&lt;&gt;""),Table1[[#This Row],[ACT_Qty]]-Table1[[#This Row],[Quantity]],""),"")</f>
        <v/>
      </c>
      <c r="V247" s="45"/>
      <c r="W247" s="45"/>
      <c r="X247" s="45"/>
    </row>
    <row r="248" spans="1:24" ht="15" customHeight="1">
      <c r="A248" s="143" t="str">
        <f t="shared" si="17"/>
        <v>AKH12345</v>
      </c>
      <c r="B248" s="256" t="s">
        <v>793</v>
      </c>
      <c r="C248" s="143" t="s">
        <v>794</v>
      </c>
      <c r="D248" s="105"/>
      <c r="E248" s="106"/>
      <c r="F248" s="105"/>
      <c r="G248" s="106"/>
      <c r="H248" s="199" t="s">
        <v>790</v>
      </c>
      <c r="I248" s="200" t="s">
        <v>791</v>
      </c>
      <c r="J248" s="200" t="s">
        <v>795</v>
      </c>
      <c r="K248" s="200" t="s">
        <v>52</v>
      </c>
      <c r="L248" s="145" t="s">
        <v>152</v>
      </c>
      <c r="M248" s="145" t="str">
        <f t="shared" si="19"/>
        <v>OneCo Networks AS</v>
      </c>
      <c r="N24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48" s="268" t="str">
        <f ca="1">IFERROR(IF(
OR(Table1[[#This Row],[Product category]]="Service items",Table1[[#This Row],[Product category]]="Additional services",Table1[[#This Row],[Product category]]="Additional materials"),
"NOK",IF(($N$3&lt;&gt;""),VLOOKUP(Table1[[#This Row],[Product code]],INDIRECT(Aux!$A$1),6,FALSE),"")),"")</f>
        <v/>
      </c>
      <c r="P248" s="41" t="str">
        <f ca="1">IFERROR(IF(AND(Table1[[#This Row],[Quantity]]&lt;&gt;"",Table1[[#This Row],[Currency]]="NOK"),Table1[[#This Row],[Quantity]]*Table1[[#This Row],[Unit Price]],""),"")</f>
        <v/>
      </c>
      <c r="Q248" s="41" t="str">
        <f ca="1">IFERROR(IF(AND(Table1[[#This Row],[ACT_Qty]]&lt;&gt;"",Table1[[#This Row],[Currency]]="NOK"),Table1[[#This Row],[ACT_Qty]]*Table1[[#This Row],[Unit Price]],""),"")</f>
        <v/>
      </c>
      <c r="R248" s="41" t="str">
        <f ca="1">IFERROR(IF(AND(Table1[[#This Row],[Quantity]]&lt;&gt;"",Table1[[#This Row],[Currency]]="EUR"),Table1[[#This Row],[Quantity]]*Table1[[#This Row],[Unit Price]],""),"")</f>
        <v/>
      </c>
      <c r="S248" s="41" t="str">
        <f ca="1">IFERROR(IF(AND(Table1[[#This Row],[ACT_Qty]]&lt;&gt;"",Table1[[#This Row],[Currency]]="EUR"),Table1[[#This Row],[ACT_Qty]]*Table1[[#This Row],[Unit Price]],""),"")</f>
        <v/>
      </c>
      <c r="T248" s="269" t="str">
        <f ca="1">IFERROR(IF(AND(($N$3&lt;&gt;""),INDIRECT(Aux!$D$1)),VLOOKUP(Table1[[#This Row],[Product code]],Aux!B:E,4,FALSE),""),"")</f>
        <v/>
      </c>
      <c r="U248" s="145" t="str">
        <f>IFERROR(IF(OR(Table1[[#This Row],[Quantity]]&lt;&gt;"",Table1[[#This Row],[ACT_Qty]]&lt;&gt;""),Table1[[#This Row],[ACT_Qty]]-Table1[[#This Row],[Quantity]],""),"")</f>
        <v/>
      </c>
      <c r="V248" s="45"/>
      <c r="W248" s="45"/>
      <c r="X248" s="45"/>
    </row>
    <row r="249" spans="1:24" customFormat="1" ht="15" customHeight="1">
      <c r="A249" s="143" t="str">
        <f t="shared" si="17"/>
        <v>AKH12345</v>
      </c>
      <c r="B249" s="256" t="s">
        <v>796</v>
      </c>
      <c r="C249" s="143" t="s">
        <v>797</v>
      </c>
      <c r="D249" s="105"/>
      <c r="E249" s="106"/>
      <c r="F249" s="105"/>
      <c r="G249" s="106"/>
      <c r="H249" s="199" t="s">
        <v>798</v>
      </c>
      <c r="I249" s="200" t="s">
        <v>791</v>
      </c>
      <c r="J249" s="200" t="s">
        <v>795</v>
      </c>
      <c r="K249" s="200" t="s">
        <v>52</v>
      </c>
      <c r="L249" s="145" t="s">
        <v>783</v>
      </c>
      <c r="M249" s="145" t="str">
        <f t="shared" si="19"/>
        <v>OneCo Networks AS</v>
      </c>
      <c r="N249" s="40"/>
      <c r="O249" s="268"/>
      <c r="P249" s="41"/>
      <c r="Q249" s="41"/>
      <c r="R249" s="41"/>
      <c r="S249" s="41"/>
      <c r="T249" s="269"/>
      <c r="U249" s="145"/>
      <c r="V249" s="45"/>
      <c r="W249" s="45"/>
      <c r="X249" s="45"/>
    </row>
    <row r="250" spans="1:24" ht="15" customHeight="1">
      <c r="A250" s="143" t="str">
        <f t="shared" si="17"/>
        <v>AKH12345</v>
      </c>
      <c r="B250" s="256" t="s">
        <v>799</v>
      </c>
      <c r="C250" s="143" t="s">
        <v>800</v>
      </c>
      <c r="D250" s="105"/>
      <c r="E250" s="106" t="s">
        <v>801</v>
      </c>
      <c r="F250" s="105"/>
      <c r="G250" s="106"/>
      <c r="H250" s="199" t="s">
        <v>790</v>
      </c>
      <c r="I250" s="200" t="s">
        <v>791</v>
      </c>
      <c r="J250" s="200" t="s">
        <v>802</v>
      </c>
      <c r="K250" s="200" t="s">
        <v>52</v>
      </c>
      <c r="L250" s="145" t="s">
        <v>152</v>
      </c>
      <c r="M250" s="145" t="str">
        <f t="shared" si="19"/>
        <v>OneCo Networks AS</v>
      </c>
      <c r="N25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0" s="268" t="str">
        <f ca="1">IFERROR(IF(
OR(Table1[[#This Row],[Product category]]="Service items",Table1[[#This Row],[Product category]]="Additional services",Table1[[#This Row],[Product category]]="Additional materials"),
"NOK",IF(($N$3&lt;&gt;""),VLOOKUP(Table1[[#This Row],[Product code]],INDIRECT(Aux!$A$1),6,FALSE),"")),"")</f>
        <v/>
      </c>
      <c r="P250" s="41" t="str">
        <f ca="1">IFERROR(IF(AND(Table1[[#This Row],[Quantity]]&lt;&gt;"",Table1[[#This Row],[Currency]]="NOK"),Table1[[#This Row],[Quantity]]*Table1[[#This Row],[Unit Price]],""),"")</f>
        <v/>
      </c>
      <c r="Q250" s="41" t="str">
        <f ca="1">IFERROR(IF(AND(Table1[[#This Row],[ACT_Qty]]&lt;&gt;"",Table1[[#This Row],[Currency]]="NOK"),Table1[[#This Row],[ACT_Qty]]*Table1[[#This Row],[Unit Price]],""),"")</f>
        <v/>
      </c>
      <c r="R250" s="41" t="str">
        <f ca="1">IFERROR(IF(AND(Table1[[#This Row],[Quantity]]&lt;&gt;"",Table1[[#This Row],[Currency]]="EUR"),Table1[[#This Row],[Quantity]]*Table1[[#This Row],[Unit Price]],""),"")</f>
        <v/>
      </c>
      <c r="S250" s="41" t="str">
        <f ca="1">IFERROR(IF(AND(Table1[[#This Row],[ACT_Qty]]&lt;&gt;"",Table1[[#This Row],[Currency]]="EUR"),Table1[[#This Row],[ACT_Qty]]*Table1[[#This Row],[Unit Price]],""),"")</f>
        <v/>
      </c>
      <c r="T250" s="269" t="str">
        <f ca="1">IFERROR(IF(AND(($N$3&lt;&gt;""),INDIRECT(Aux!$D$1)),VLOOKUP(Table1[[#This Row],[Product code]],Aux!B:E,4,FALSE),""),"")</f>
        <v/>
      </c>
      <c r="U250" s="145" t="str">
        <f>IFERROR(IF(OR(Table1[[#This Row],[Quantity]]&lt;&gt;"",Table1[[#This Row],[ACT_Qty]]&lt;&gt;""),Table1[[#This Row],[ACT_Qty]]-Table1[[#This Row],[Quantity]],""),"")</f>
        <v/>
      </c>
      <c r="V250" s="45"/>
      <c r="W250" s="45"/>
      <c r="X250" s="45"/>
    </row>
    <row r="251" spans="1:24" ht="15" customHeight="1">
      <c r="A251" s="143" t="str">
        <f t="shared" si="17"/>
        <v>AKH12345</v>
      </c>
      <c r="B251" s="256" t="s">
        <v>803</v>
      </c>
      <c r="C251" s="143" t="s">
        <v>804</v>
      </c>
      <c r="D251" s="105"/>
      <c r="E251" s="106" t="s">
        <v>801</v>
      </c>
      <c r="F251" s="105"/>
      <c r="G251" s="106"/>
      <c r="H251" s="199"/>
      <c r="I251" s="200" t="s">
        <v>791</v>
      </c>
      <c r="J251" s="200" t="s">
        <v>792</v>
      </c>
      <c r="K251" s="200" t="s">
        <v>52</v>
      </c>
      <c r="L251" s="145" t="s">
        <v>152</v>
      </c>
      <c r="M251" s="145" t="str">
        <f>IF($C$3&lt;&gt;"",$C$3,"")</f>
        <v>OneCo Networks AS</v>
      </c>
      <c r="N2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1" s="268" t="str">
        <f ca="1">IFERROR(IF(
OR(Table1[[#This Row],[Product category]]="Service items",Table1[[#This Row],[Product category]]="Additional services",Table1[[#This Row],[Product category]]="Additional materials"),
"NOK",IF(($N$3&lt;&gt;""),VLOOKUP(Table1[[#This Row],[Product code]],INDIRECT(Aux!$A$1),6,FALSE),"")),"")</f>
        <v/>
      </c>
      <c r="P251" s="41" t="str">
        <f ca="1">IFERROR(IF(AND(Table1[[#This Row],[Quantity]]&lt;&gt;"",Table1[[#This Row],[Currency]]="NOK"),Table1[[#This Row],[Quantity]]*Table1[[#This Row],[Unit Price]],""),"")</f>
        <v/>
      </c>
      <c r="Q251" s="41" t="str">
        <f ca="1">IFERROR(IF(AND(Table1[[#This Row],[ACT_Qty]]&lt;&gt;"",Table1[[#This Row],[Currency]]="NOK"),Table1[[#This Row],[ACT_Qty]]*Table1[[#This Row],[Unit Price]],""),"")</f>
        <v/>
      </c>
      <c r="R251" s="41" t="str">
        <f ca="1">IFERROR(IF(AND(Table1[[#This Row],[Quantity]]&lt;&gt;"",Table1[[#This Row],[Currency]]="EUR"),Table1[[#This Row],[Quantity]]*Table1[[#This Row],[Unit Price]],""),"")</f>
        <v/>
      </c>
      <c r="S251" s="41" t="str">
        <f ca="1">IFERROR(IF(AND(Table1[[#This Row],[ACT_Qty]]&lt;&gt;"",Table1[[#This Row],[Currency]]="EUR"),Table1[[#This Row],[ACT_Qty]]*Table1[[#This Row],[Unit Price]],""),"")</f>
        <v/>
      </c>
      <c r="T251" s="269" t="str">
        <f ca="1">IFERROR(IF(AND(($N$3&lt;&gt;""),INDIRECT(Aux!$D$1)),VLOOKUP(Table1[[#This Row],[Product code]],Aux!B:E,4,FALSE),""),"")</f>
        <v/>
      </c>
      <c r="U251" s="145" t="str">
        <f>IFERROR(IF(OR(Table1[[#This Row],[Quantity]]&lt;&gt;"",Table1[[#This Row],[ACT_Qty]]&lt;&gt;""),Table1[[#This Row],[ACT_Qty]]-Table1[[#This Row],[Quantity]],""),"")</f>
        <v/>
      </c>
      <c r="V251" s="45"/>
      <c r="W251" s="45"/>
      <c r="X251" s="45"/>
    </row>
    <row r="252" spans="1:24" ht="15" customHeight="1">
      <c r="A252" s="143" t="str">
        <f t="shared" si="17"/>
        <v>AKH12345</v>
      </c>
      <c r="B252" s="256" t="s">
        <v>805</v>
      </c>
      <c r="C252" s="143" t="s">
        <v>806</v>
      </c>
      <c r="D252" s="105"/>
      <c r="E252" s="106" t="s">
        <v>801</v>
      </c>
      <c r="F252" s="105"/>
      <c r="G252" s="106"/>
      <c r="H252" s="199"/>
      <c r="I252" s="200" t="s">
        <v>791</v>
      </c>
      <c r="J252" s="200" t="s">
        <v>795</v>
      </c>
      <c r="K252" s="200" t="s">
        <v>52</v>
      </c>
      <c r="L252" s="145" t="s">
        <v>152</v>
      </c>
      <c r="M252" s="145" t="str">
        <f>IF($C$3&lt;&gt;"",$C$3,"")</f>
        <v>OneCo Networks AS</v>
      </c>
      <c r="N25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2" s="268" t="str">
        <f ca="1">IFERROR(IF(
OR(Table1[[#This Row],[Product category]]="Service items",Table1[[#This Row],[Product category]]="Additional services",Table1[[#This Row],[Product category]]="Additional materials"),
"NOK",IF(($N$3&lt;&gt;""),VLOOKUP(Table1[[#This Row],[Product code]],INDIRECT(Aux!$A$1),6,FALSE),"")),"")</f>
        <v/>
      </c>
      <c r="P252" s="41" t="str">
        <f ca="1">IFERROR(IF(AND(Table1[[#This Row],[Quantity]]&lt;&gt;"",Table1[[#This Row],[Currency]]="NOK"),Table1[[#This Row],[Quantity]]*Table1[[#This Row],[Unit Price]],""),"")</f>
        <v/>
      </c>
      <c r="Q252" s="41" t="str">
        <f ca="1">IFERROR(IF(AND(Table1[[#This Row],[ACT_Qty]]&lt;&gt;"",Table1[[#This Row],[Currency]]="NOK"),Table1[[#This Row],[ACT_Qty]]*Table1[[#This Row],[Unit Price]],""),"")</f>
        <v/>
      </c>
      <c r="R252" s="41" t="str">
        <f ca="1">IFERROR(IF(AND(Table1[[#This Row],[Quantity]]&lt;&gt;"",Table1[[#This Row],[Currency]]="EUR"),Table1[[#This Row],[Quantity]]*Table1[[#This Row],[Unit Price]],""),"")</f>
        <v/>
      </c>
      <c r="S252" s="41" t="str">
        <f ca="1">IFERROR(IF(AND(Table1[[#This Row],[ACT_Qty]]&lt;&gt;"",Table1[[#This Row],[Currency]]="EUR"),Table1[[#This Row],[ACT_Qty]]*Table1[[#This Row],[Unit Price]],""),"")</f>
        <v/>
      </c>
      <c r="T252" s="269" t="str">
        <f ca="1">IFERROR(IF(AND(($N$3&lt;&gt;""),INDIRECT(Aux!$D$1)),VLOOKUP(Table1[[#This Row],[Product code]],Aux!B:E,4,FALSE),""),"")</f>
        <v/>
      </c>
      <c r="U252" s="145" t="str">
        <f>IFERROR(IF(OR(Table1[[#This Row],[Quantity]]&lt;&gt;"",Table1[[#This Row],[ACT_Qty]]&lt;&gt;""),Table1[[#This Row],[ACT_Qty]]-Table1[[#This Row],[Quantity]],""),"")</f>
        <v/>
      </c>
      <c r="V252" s="45"/>
      <c r="W252" s="45"/>
      <c r="X252" s="45"/>
    </row>
    <row r="253" spans="1:24" ht="15" customHeight="1">
      <c r="A253" s="143" t="str">
        <f t="shared" si="17"/>
        <v>AKH12345</v>
      </c>
      <c r="B253" s="256" t="s">
        <v>807</v>
      </c>
      <c r="C253" s="143" t="s">
        <v>808</v>
      </c>
      <c r="D253" s="105"/>
      <c r="E253" s="106" t="s">
        <v>801</v>
      </c>
      <c r="F253" s="105"/>
      <c r="G253" s="106"/>
      <c r="H253" s="199"/>
      <c r="I253" s="200" t="s">
        <v>791</v>
      </c>
      <c r="J253" s="200" t="s">
        <v>802</v>
      </c>
      <c r="K253" s="200" t="s">
        <v>52</v>
      </c>
      <c r="L253" s="145" t="s">
        <v>152</v>
      </c>
      <c r="M253" s="145" t="str">
        <f>IF($C$3&lt;&gt;"",$C$3,"")</f>
        <v>OneCo Networks AS</v>
      </c>
      <c r="N2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3" s="268" t="str">
        <f ca="1">IFERROR(IF(
OR(Table1[[#This Row],[Product category]]="Service items",Table1[[#This Row],[Product category]]="Additional services",Table1[[#This Row],[Product category]]="Additional materials"),
"NOK",IF(($N$3&lt;&gt;""),VLOOKUP(Table1[[#This Row],[Product code]],INDIRECT(Aux!$A$1),6,FALSE),"")),"")</f>
        <v/>
      </c>
      <c r="P253" s="41" t="str">
        <f ca="1">IFERROR(IF(AND(Table1[[#This Row],[Quantity]]&lt;&gt;"",Table1[[#This Row],[Currency]]="NOK"),Table1[[#This Row],[Quantity]]*Table1[[#This Row],[Unit Price]],""),"")</f>
        <v/>
      </c>
      <c r="Q253" s="41" t="str">
        <f ca="1">IFERROR(IF(AND(Table1[[#This Row],[ACT_Qty]]&lt;&gt;"",Table1[[#This Row],[Currency]]="NOK"),Table1[[#This Row],[ACT_Qty]]*Table1[[#This Row],[Unit Price]],""),"")</f>
        <v/>
      </c>
      <c r="R253" s="41" t="str">
        <f ca="1">IFERROR(IF(AND(Table1[[#This Row],[Quantity]]&lt;&gt;"",Table1[[#This Row],[Currency]]="EUR"),Table1[[#This Row],[Quantity]]*Table1[[#This Row],[Unit Price]],""),"")</f>
        <v/>
      </c>
      <c r="S253" s="41" t="str">
        <f ca="1">IFERROR(IF(AND(Table1[[#This Row],[ACT_Qty]]&lt;&gt;"",Table1[[#This Row],[Currency]]="EUR"),Table1[[#This Row],[ACT_Qty]]*Table1[[#This Row],[Unit Price]],""),"")</f>
        <v/>
      </c>
      <c r="T253" s="269" t="str">
        <f ca="1">IFERROR(IF(AND(($N$3&lt;&gt;""),INDIRECT(Aux!$D$1)),VLOOKUP(Table1[[#This Row],[Product code]],Aux!B:E,4,FALSE),""),"")</f>
        <v/>
      </c>
      <c r="U253" s="145" t="str">
        <f>IFERROR(IF(OR(Table1[[#This Row],[Quantity]]&lt;&gt;"",Table1[[#This Row],[ACT_Qty]]&lt;&gt;""),Table1[[#This Row],[ACT_Qty]]-Table1[[#This Row],[Quantity]],""),"")</f>
        <v/>
      </c>
      <c r="V253" s="45"/>
      <c r="W253" s="45"/>
      <c r="X253" s="45"/>
    </row>
    <row r="254" spans="1:24" ht="15" customHeight="1">
      <c r="A254" s="143" t="str">
        <f t="shared" si="17"/>
        <v>AKH12345</v>
      </c>
      <c r="B254" s="256" t="s">
        <v>809</v>
      </c>
      <c r="C254" s="143" t="s">
        <v>810</v>
      </c>
      <c r="D254" s="105"/>
      <c r="E254" s="106" t="s">
        <v>801</v>
      </c>
      <c r="F254" s="105"/>
      <c r="G254" s="106"/>
      <c r="H254" s="199" t="s">
        <v>811</v>
      </c>
      <c r="I254" s="200" t="s">
        <v>791</v>
      </c>
      <c r="J254" s="200" t="s">
        <v>792</v>
      </c>
      <c r="K254" s="200" t="s">
        <v>52</v>
      </c>
      <c r="L254" s="145" t="s">
        <v>152</v>
      </c>
      <c r="M254" s="145" t="str">
        <f t="shared" si="19"/>
        <v>OneCo Networks AS</v>
      </c>
      <c r="N25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4" s="268" t="str">
        <f ca="1">IFERROR(IF(
OR(Table1[[#This Row],[Product category]]="Service items",Table1[[#This Row],[Product category]]="Additional services",Table1[[#This Row],[Product category]]="Additional materials"),
"NOK",IF(($N$3&lt;&gt;""),VLOOKUP(Table1[[#This Row],[Product code]],INDIRECT(Aux!$A$1),6,FALSE),"")),"")</f>
        <v/>
      </c>
      <c r="P254" s="41" t="str">
        <f ca="1">IFERROR(IF(AND(Table1[[#This Row],[Quantity]]&lt;&gt;"",Table1[[#This Row],[Currency]]="NOK"),Table1[[#This Row],[Quantity]]*Table1[[#This Row],[Unit Price]],""),"")</f>
        <v/>
      </c>
      <c r="Q254" s="41" t="str">
        <f ca="1">IFERROR(IF(AND(Table1[[#This Row],[ACT_Qty]]&lt;&gt;"",Table1[[#This Row],[Currency]]="NOK"),Table1[[#This Row],[ACT_Qty]]*Table1[[#This Row],[Unit Price]],""),"")</f>
        <v/>
      </c>
      <c r="R254" s="41" t="str">
        <f ca="1">IFERROR(IF(AND(Table1[[#This Row],[Quantity]]&lt;&gt;"",Table1[[#This Row],[Currency]]="EUR"),Table1[[#This Row],[Quantity]]*Table1[[#This Row],[Unit Price]],""),"")</f>
        <v/>
      </c>
      <c r="S254" s="41" t="str">
        <f ca="1">IFERROR(IF(AND(Table1[[#This Row],[ACT_Qty]]&lt;&gt;"",Table1[[#This Row],[Currency]]="EUR"),Table1[[#This Row],[ACT_Qty]]*Table1[[#This Row],[Unit Price]],""),"")</f>
        <v/>
      </c>
      <c r="T254" s="269" t="str">
        <f ca="1">IFERROR(IF(AND(($N$3&lt;&gt;""),INDIRECT(Aux!$D$1)),VLOOKUP(Table1[[#This Row],[Product code]],Aux!B:E,4,FALSE),""),"")</f>
        <v/>
      </c>
      <c r="U254" s="145" t="str">
        <f>IFERROR(IF(OR(Table1[[#This Row],[Quantity]]&lt;&gt;"",Table1[[#This Row],[ACT_Qty]]&lt;&gt;""),Table1[[#This Row],[ACT_Qty]]-Table1[[#This Row],[Quantity]],""),"")</f>
        <v/>
      </c>
      <c r="V254" s="45"/>
      <c r="W254" s="45"/>
      <c r="X254" s="45"/>
    </row>
    <row r="255" spans="1:24" ht="15" customHeight="1">
      <c r="A255" s="143" t="str">
        <f t="shared" si="17"/>
        <v>AKH12345</v>
      </c>
      <c r="B255" s="256" t="s">
        <v>812</v>
      </c>
      <c r="C255" s="143" t="s">
        <v>813</v>
      </c>
      <c r="D255" s="105"/>
      <c r="E255" s="106" t="s">
        <v>801</v>
      </c>
      <c r="F255" s="105"/>
      <c r="G255" s="106"/>
      <c r="H255" s="199" t="s">
        <v>811</v>
      </c>
      <c r="I255" s="200" t="s">
        <v>791</v>
      </c>
      <c r="J255" s="200" t="s">
        <v>795</v>
      </c>
      <c r="K255" s="200" t="s">
        <v>52</v>
      </c>
      <c r="L255" s="145" t="s">
        <v>152</v>
      </c>
      <c r="M255" s="145" t="str">
        <f t="shared" si="19"/>
        <v>OneCo Networks AS</v>
      </c>
      <c r="N2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5" s="268" t="str">
        <f ca="1">IFERROR(IF(
OR(Table1[[#This Row],[Product category]]="Service items",Table1[[#This Row],[Product category]]="Additional services",Table1[[#This Row],[Product category]]="Additional materials"),
"NOK",IF(($N$3&lt;&gt;""),VLOOKUP(Table1[[#This Row],[Product code]],INDIRECT(Aux!$A$1),6,FALSE),"")),"")</f>
        <v/>
      </c>
      <c r="P255" s="41" t="str">
        <f ca="1">IFERROR(IF(AND(Table1[[#This Row],[Quantity]]&lt;&gt;"",Table1[[#This Row],[Currency]]="NOK"),Table1[[#This Row],[Quantity]]*Table1[[#This Row],[Unit Price]],""),"")</f>
        <v/>
      </c>
      <c r="Q255" s="41" t="str">
        <f ca="1">IFERROR(IF(AND(Table1[[#This Row],[ACT_Qty]]&lt;&gt;"",Table1[[#This Row],[Currency]]="NOK"),Table1[[#This Row],[ACT_Qty]]*Table1[[#This Row],[Unit Price]],""),"")</f>
        <v/>
      </c>
      <c r="R255" s="41" t="str">
        <f ca="1">IFERROR(IF(AND(Table1[[#This Row],[Quantity]]&lt;&gt;"",Table1[[#This Row],[Currency]]="EUR"),Table1[[#This Row],[Quantity]]*Table1[[#This Row],[Unit Price]],""),"")</f>
        <v/>
      </c>
      <c r="S255" s="41" t="str">
        <f ca="1">IFERROR(IF(AND(Table1[[#This Row],[ACT_Qty]]&lt;&gt;"",Table1[[#This Row],[Currency]]="EUR"),Table1[[#This Row],[ACT_Qty]]*Table1[[#This Row],[Unit Price]],""),"")</f>
        <v/>
      </c>
      <c r="T255" s="269" t="str">
        <f ca="1">IFERROR(IF(AND(($N$3&lt;&gt;""),INDIRECT(Aux!$D$1)),VLOOKUP(Table1[[#This Row],[Product code]],Aux!B:E,4,FALSE),""),"")</f>
        <v/>
      </c>
      <c r="U255" s="145" t="str">
        <f>IFERROR(IF(OR(Table1[[#This Row],[Quantity]]&lt;&gt;"",Table1[[#This Row],[ACT_Qty]]&lt;&gt;""),Table1[[#This Row],[ACT_Qty]]-Table1[[#This Row],[Quantity]],""),"")</f>
        <v/>
      </c>
      <c r="V255" s="45"/>
      <c r="W255" s="45"/>
      <c r="X255" s="45"/>
    </row>
    <row r="256" spans="1:24" ht="15" customHeight="1">
      <c r="A256" s="143" t="str">
        <f t="shared" si="17"/>
        <v>AKH12345</v>
      </c>
      <c r="B256" s="256" t="s">
        <v>814</v>
      </c>
      <c r="C256" s="143" t="s">
        <v>815</v>
      </c>
      <c r="D256" s="105"/>
      <c r="E256" s="106" t="s">
        <v>801</v>
      </c>
      <c r="F256" s="105"/>
      <c r="G256" s="106"/>
      <c r="H256" s="199" t="s">
        <v>811</v>
      </c>
      <c r="I256" s="200" t="s">
        <v>791</v>
      </c>
      <c r="J256" s="200" t="s">
        <v>802</v>
      </c>
      <c r="K256" s="200" t="s">
        <v>52</v>
      </c>
      <c r="L256" s="145" t="s">
        <v>152</v>
      </c>
      <c r="M256" s="145" t="str">
        <f t="shared" si="19"/>
        <v>OneCo Networks AS</v>
      </c>
      <c r="N25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6" s="268" t="str">
        <f ca="1">IFERROR(IF(
OR(Table1[[#This Row],[Product category]]="Service items",Table1[[#This Row],[Product category]]="Additional services",Table1[[#This Row],[Product category]]="Additional materials"),
"NOK",IF(($N$3&lt;&gt;""),VLOOKUP(Table1[[#This Row],[Product code]],INDIRECT(Aux!$A$1),6,FALSE),"")),"")</f>
        <v/>
      </c>
      <c r="P256" s="41" t="str">
        <f ca="1">IFERROR(IF(AND(Table1[[#This Row],[Quantity]]&lt;&gt;"",Table1[[#This Row],[Currency]]="NOK"),Table1[[#This Row],[Quantity]]*Table1[[#This Row],[Unit Price]],""),"")</f>
        <v/>
      </c>
      <c r="Q256" s="41" t="str">
        <f ca="1">IFERROR(IF(AND(Table1[[#This Row],[ACT_Qty]]&lt;&gt;"",Table1[[#This Row],[Currency]]="NOK"),Table1[[#This Row],[ACT_Qty]]*Table1[[#This Row],[Unit Price]],""),"")</f>
        <v/>
      </c>
      <c r="R256" s="41" t="str">
        <f ca="1">IFERROR(IF(AND(Table1[[#This Row],[Quantity]]&lt;&gt;"",Table1[[#This Row],[Currency]]="EUR"),Table1[[#This Row],[Quantity]]*Table1[[#This Row],[Unit Price]],""),"")</f>
        <v/>
      </c>
      <c r="S256" s="41" t="str">
        <f ca="1">IFERROR(IF(AND(Table1[[#This Row],[ACT_Qty]]&lt;&gt;"",Table1[[#This Row],[Currency]]="EUR"),Table1[[#This Row],[ACT_Qty]]*Table1[[#This Row],[Unit Price]],""),"")</f>
        <v/>
      </c>
      <c r="T256" s="269" t="str">
        <f ca="1">IFERROR(IF(AND(($N$3&lt;&gt;""),INDIRECT(Aux!$D$1)),VLOOKUP(Table1[[#This Row],[Product code]],Aux!B:E,4,FALSE),""),"")</f>
        <v/>
      </c>
      <c r="U256" s="145" t="str">
        <f>IFERROR(IF(OR(Table1[[#This Row],[Quantity]]&lt;&gt;"",Table1[[#This Row],[ACT_Qty]]&lt;&gt;""),Table1[[#This Row],[ACT_Qty]]-Table1[[#This Row],[Quantity]],""),"")</f>
        <v/>
      </c>
      <c r="V256" s="45"/>
      <c r="W256" s="45"/>
      <c r="X256" s="45"/>
    </row>
    <row r="257" spans="1:24" ht="15" customHeight="1">
      <c r="A257" s="143" t="str">
        <f t="shared" si="17"/>
        <v>AKH12345</v>
      </c>
      <c r="B257" s="256" t="s">
        <v>816</v>
      </c>
      <c r="C257" s="143" t="s">
        <v>817</v>
      </c>
      <c r="D257" s="105"/>
      <c r="E257" s="106" t="s">
        <v>801</v>
      </c>
      <c r="F257" s="105"/>
      <c r="G257" s="106"/>
      <c r="H257" s="199" t="s">
        <v>818</v>
      </c>
      <c r="I257" s="200" t="s">
        <v>791</v>
      </c>
      <c r="J257" s="200" t="s">
        <v>792</v>
      </c>
      <c r="K257" s="200" t="s">
        <v>52</v>
      </c>
      <c r="L257" s="145" t="s">
        <v>152</v>
      </c>
      <c r="M257" s="145" t="str">
        <f t="shared" si="19"/>
        <v>OneCo Networks AS</v>
      </c>
      <c r="N2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7" s="268" t="str">
        <f ca="1">IFERROR(IF(
OR(Table1[[#This Row],[Product category]]="Service items",Table1[[#This Row],[Product category]]="Additional services",Table1[[#This Row],[Product category]]="Additional materials"),
"NOK",IF(($N$3&lt;&gt;""),VLOOKUP(Table1[[#This Row],[Product code]],INDIRECT(Aux!$A$1),6,FALSE),"")),"")</f>
        <v/>
      </c>
      <c r="P257" s="41" t="str">
        <f ca="1">IFERROR(IF(AND(Table1[[#This Row],[Quantity]]&lt;&gt;"",Table1[[#This Row],[Currency]]="NOK"),Table1[[#This Row],[Quantity]]*Table1[[#This Row],[Unit Price]],""),"")</f>
        <v/>
      </c>
      <c r="Q257" s="41" t="str">
        <f ca="1">IFERROR(IF(AND(Table1[[#This Row],[ACT_Qty]]&lt;&gt;"",Table1[[#This Row],[Currency]]="NOK"),Table1[[#This Row],[ACT_Qty]]*Table1[[#This Row],[Unit Price]],""),"")</f>
        <v/>
      </c>
      <c r="R257" s="41" t="str">
        <f ca="1">IFERROR(IF(AND(Table1[[#This Row],[Quantity]]&lt;&gt;"",Table1[[#This Row],[Currency]]="EUR"),Table1[[#This Row],[Quantity]]*Table1[[#This Row],[Unit Price]],""),"")</f>
        <v/>
      </c>
      <c r="S257" s="41" t="str">
        <f ca="1">IFERROR(IF(AND(Table1[[#This Row],[ACT_Qty]]&lt;&gt;"",Table1[[#This Row],[Currency]]="EUR"),Table1[[#This Row],[ACT_Qty]]*Table1[[#This Row],[Unit Price]],""),"")</f>
        <v/>
      </c>
      <c r="T257" s="269" t="str">
        <f ca="1">IFERROR(IF(AND(($N$3&lt;&gt;""),INDIRECT(Aux!$D$1)),VLOOKUP(Table1[[#This Row],[Product code]],Aux!B:E,4,FALSE),""),"")</f>
        <v/>
      </c>
      <c r="U257" s="145" t="str">
        <f>IFERROR(IF(OR(Table1[[#This Row],[Quantity]]&lt;&gt;"",Table1[[#This Row],[ACT_Qty]]&lt;&gt;""),Table1[[#This Row],[ACT_Qty]]-Table1[[#This Row],[Quantity]],""),"")</f>
        <v/>
      </c>
      <c r="V257" s="45"/>
      <c r="W257" s="45"/>
      <c r="X257" s="45"/>
    </row>
    <row r="258" spans="1:24" ht="15" customHeight="1">
      <c r="A258" s="143" t="str">
        <f t="shared" si="17"/>
        <v>AKH12345</v>
      </c>
      <c r="B258" s="256" t="s">
        <v>819</v>
      </c>
      <c r="C258" s="143" t="s">
        <v>820</v>
      </c>
      <c r="D258" s="105"/>
      <c r="E258" s="106" t="s">
        <v>801</v>
      </c>
      <c r="F258" s="105"/>
      <c r="G258" s="106"/>
      <c r="H258" s="199" t="s">
        <v>818</v>
      </c>
      <c r="I258" s="200" t="s">
        <v>791</v>
      </c>
      <c r="J258" s="200" t="s">
        <v>795</v>
      </c>
      <c r="K258" s="200" t="s">
        <v>52</v>
      </c>
      <c r="L258" s="145" t="s">
        <v>152</v>
      </c>
      <c r="M258" s="145" t="str">
        <f t="shared" si="19"/>
        <v>OneCo Networks AS</v>
      </c>
      <c r="N25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8" s="268" t="str">
        <f ca="1">IFERROR(IF(
OR(Table1[[#This Row],[Product category]]="Service items",Table1[[#This Row],[Product category]]="Additional services",Table1[[#This Row],[Product category]]="Additional materials"),
"NOK",IF(($N$3&lt;&gt;""),VLOOKUP(Table1[[#This Row],[Product code]],INDIRECT(Aux!$A$1),6,FALSE),"")),"")</f>
        <v/>
      </c>
      <c r="P258" s="41" t="str">
        <f ca="1">IFERROR(IF(AND(Table1[[#This Row],[Quantity]]&lt;&gt;"",Table1[[#This Row],[Currency]]="NOK"),Table1[[#This Row],[Quantity]]*Table1[[#This Row],[Unit Price]],""),"")</f>
        <v/>
      </c>
      <c r="Q258" s="41" t="str">
        <f ca="1">IFERROR(IF(AND(Table1[[#This Row],[ACT_Qty]]&lt;&gt;"",Table1[[#This Row],[Currency]]="NOK"),Table1[[#This Row],[ACT_Qty]]*Table1[[#This Row],[Unit Price]],""),"")</f>
        <v/>
      </c>
      <c r="R258" s="41" t="str">
        <f ca="1">IFERROR(IF(AND(Table1[[#This Row],[Quantity]]&lt;&gt;"",Table1[[#This Row],[Currency]]="EUR"),Table1[[#This Row],[Quantity]]*Table1[[#This Row],[Unit Price]],""),"")</f>
        <v/>
      </c>
      <c r="S258" s="41" t="str">
        <f ca="1">IFERROR(IF(AND(Table1[[#This Row],[ACT_Qty]]&lt;&gt;"",Table1[[#This Row],[Currency]]="EUR"),Table1[[#This Row],[ACT_Qty]]*Table1[[#This Row],[Unit Price]],""),"")</f>
        <v/>
      </c>
      <c r="T258" s="269" t="str">
        <f ca="1">IFERROR(IF(AND(($N$3&lt;&gt;""),INDIRECT(Aux!$D$1)),VLOOKUP(Table1[[#This Row],[Product code]],Aux!B:E,4,FALSE),""),"")</f>
        <v/>
      </c>
      <c r="U258" s="145" t="str">
        <f>IFERROR(IF(OR(Table1[[#This Row],[Quantity]]&lt;&gt;"",Table1[[#This Row],[ACT_Qty]]&lt;&gt;""),Table1[[#This Row],[ACT_Qty]]-Table1[[#This Row],[Quantity]],""),"")</f>
        <v/>
      </c>
      <c r="V258" s="45"/>
      <c r="W258" s="45"/>
      <c r="X258" s="45"/>
    </row>
    <row r="259" spans="1:24" ht="15" customHeight="1">
      <c r="A259" s="143" t="str">
        <f t="shared" si="17"/>
        <v>AKH12345</v>
      </c>
      <c r="B259" s="256" t="s">
        <v>821</v>
      </c>
      <c r="C259" s="143" t="s">
        <v>822</v>
      </c>
      <c r="D259" s="105"/>
      <c r="E259" s="106" t="s">
        <v>801</v>
      </c>
      <c r="F259" s="105"/>
      <c r="G259" s="106"/>
      <c r="H259" s="199" t="s">
        <v>818</v>
      </c>
      <c r="I259" s="200" t="s">
        <v>791</v>
      </c>
      <c r="J259" s="200" t="s">
        <v>802</v>
      </c>
      <c r="K259" s="200" t="s">
        <v>52</v>
      </c>
      <c r="L259" s="145" t="s">
        <v>152</v>
      </c>
      <c r="M259" s="145" t="str">
        <f t="shared" si="19"/>
        <v>OneCo Networks AS</v>
      </c>
      <c r="N2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59" s="268" t="str">
        <f ca="1">IFERROR(IF(
OR(Table1[[#This Row],[Product category]]="Service items",Table1[[#This Row],[Product category]]="Additional services",Table1[[#This Row],[Product category]]="Additional materials"),
"NOK",IF(($N$3&lt;&gt;""),VLOOKUP(Table1[[#This Row],[Product code]],INDIRECT(Aux!$A$1),6,FALSE),"")),"")</f>
        <v/>
      </c>
      <c r="P259" s="41" t="str">
        <f ca="1">IFERROR(IF(AND(Table1[[#This Row],[Quantity]]&lt;&gt;"",Table1[[#This Row],[Currency]]="NOK"),Table1[[#This Row],[Quantity]]*Table1[[#This Row],[Unit Price]],""),"")</f>
        <v/>
      </c>
      <c r="Q259" s="41" t="str">
        <f ca="1">IFERROR(IF(AND(Table1[[#This Row],[ACT_Qty]]&lt;&gt;"",Table1[[#This Row],[Currency]]="NOK"),Table1[[#This Row],[ACT_Qty]]*Table1[[#This Row],[Unit Price]],""),"")</f>
        <v/>
      </c>
      <c r="R259" s="41" t="str">
        <f ca="1">IFERROR(IF(AND(Table1[[#This Row],[Quantity]]&lt;&gt;"",Table1[[#This Row],[Currency]]="EUR"),Table1[[#This Row],[Quantity]]*Table1[[#This Row],[Unit Price]],""),"")</f>
        <v/>
      </c>
      <c r="S259" s="41" t="str">
        <f ca="1">IFERROR(IF(AND(Table1[[#This Row],[ACT_Qty]]&lt;&gt;"",Table1[[#This Row],[Currency]]="EUR"),Table1[[#This Row],[ACT_Qty]]*Table1[[#This Row],[Unit Price]],""),"")</f>
        <v/>
      </c>
      <c r="T259" s="269" t="str">
        <f ca="1">IFERROR(IF(AND(($N$3&lt;&gt;""),INDIRECT(Aux!$D$1)),VLOOKUP(Table1[[#This Row],[Product code]],Aux!B:E,4,FALSE),""),"")</f>
        <v/>
      </c>
      <c r="U259" s="145" t="str">
        <f>IFERROR(IF(OR(Table1[[#This Row],[Quantity]]&lt;&gt;"",Table1[[#This Row],[ACT_Qty]]&lt;&gt;""),Table1[[#This Row],[ACT_Qty]]-Table1[[#This Row],[Quantity]],""),"")</f>
        <v/>
      </c>
      <c r="V259" s="45"/>
      <c r="W259" s="45"/>
      <c r="X259" s="45"/>
    </row>
    <row r="260" spans="1:24" ht="15" customHeight="1">
      <c r="A260" s="143" t="str">
        <f t="shared" si="17"/>
        <v>AKH12345</v>
      </c>
      <c r="B260" s="256">
        <v>6115561412</v>
      </c>
      <c r="C260" s="143" t="s">
        <v>823</v>
      </c>
      <c r="D260" s="105"/>
      <c r="E260" s="106" t="s">
        <v>824</v>
      </c>
      <c r="F260" s="105"/>
      <c r="G260" s="106"/>
      <c r="H260" s="199" t="s">
        <v>825</v>
      </c>
      <c r="I260" s="200" t="s">
        <v>791</v>
      </c>
      <c r="J260" s="200" t="s">
        <v>795</v>
      </c>
      <c r="K260" s="200" t="s">
        <v>52</v>
      </c>
      <c r="L260" s="145" t="s">
        <v>783</v>
      </c>
      <c r="M260" s="145" t="str">
        <f t="shared" ref="M260:M261" si="20">IF($C$3&lt;&gt;"",$C$3,"")</f>
        <v>OneCo Networks AS</v>
      </c>
      <c r="N26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0" s="268" t="str">
        <f ca="1">IFERROR(IF(
OR(Table1[[#This Row],[Product category]]="Service items",Table1[[#This Row],[Product category]]="Additional services",Table1[[#This Row],[Product category]]="Additional materials"),
"NOK",IF(($N$3&lt;&gt;""),VLOOKUP(Table1[[#This Row],[Product code]],INDIRECT(Aux!$A$1),6,FALSE),"")),"")</f>
        <v/>
      </c>
      <c r="P260" s="41" t="str">
        <f ca="1">IFERROR(IF(AND(Table1[[#This Row],[Quantity]]&lt;&gt;"",Table1[[#This Row],[Currency]]="NOK"),Table1[[#This Row],[Quantity]]*Table1[[#This Row],[Unit Price]],""),"")</f>
        <v/>
      </c>
      <c r="Q260" s="41" t="str">
        <f ca="1">IFERROR(IF(AND(Table1[[#This Row],[ACT_Qty]]&lt;&gt;"",Table1[[#This Row],[Currency]]="NOK"),Table1[[#This Row],[ACT_Qty]]*Table1[[#This Row],[Unit Price]],""),"")</f>
        <v/>
      </c>
      <c r="R260" s="41" t="str">
        <f ca="1">IFERROR(IF(AND(Table1[[#This Row],[Quantity]]&lt;&gt;"",Table1[[#This Row],[Currency]]="EUR"),Table1[[#This Row],[Quantity]]*Table1[[#This Row],[Unit Price]],""),"")</f>
        <v/>
      </c>
      <c r="S260" s="41" t="str">
        <f ca="1">IFERROR(IF(AND(Table1[[#This Row],[ACT_Qty]]&lt;&gt;"",Table1[[#This Row],[Currency]]="EUR"),Table1[[#This Row],[ACT_Qty]]*Table1[[#This Row],[Unit Price]],""),"")</f>
        <v/>
      </c>
      <c r="T260" s="269" t="str">
        <f ca="1">IFERROR(IF(AND(($N$3&lt;&gt;""),INDIRECT(Aux!$D$1)),VLOOKUP(Table1[[#This Row],[Product code]],Aux!B:E,4,FALSE),""),"")</f>
        <v/>
      </c>
      <c r="U260" s="145" t="str">
        <f>IFERROR(IF(OR(Table1[[#This Row],[Quantity]]&lt;&gt;"",Table1[[#This Row],[ACT_Qty]]&lt;&gt;""),Table1[[#This Row],[ACT_Qty]]-Table1[[#This Row],[Quantity]],""),"")</f>
        <v/>
      </c>
      <c r="V260" s="45"/>
      <c r="W260" s="45"/>
      <c r="X260" s="45"/>
    </row>
    <row r="261" spans="1:24" ht="15" customHeight="1">
      <c r="A261" s="143" t="str">
        <f t="shared" si="17"/>
        <v>AKH12345</v>
      </c>
      <c r="B261" s="256">
        <v>6115511478</v>
      </c>
      <c r="C261" s="143" t="s">
        <v>826</v>
      </c>
      <c r="D261" s="105"/>
      <c r="E261" s="106" t="s">
        <v>824</v>
      </c>
      <c r="F261" s="105"/>
      <c r="G261" s="106"/>
      <c r="H261" s="199" t="s">
        <v>827</v>
      </c>
      <c r="I261" s="200" t="s">
        <v>791</v>
      </c>
      <c r="J261" s="200" t="s">
        <v>802</v>
      </c>
      <c r="K261" s="200" t="s">
        <v>52</v>
      </c>
      <c r="L261" s="145" t="s">
        <v>783</v>
      </c>
      <c r="M261" s="145" t="str">
        <f t="shared" si="20"/>
        <v>OneCo Networks AS</v>
      </c>
      <c r="N2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1" s="268" t="str">
        <f ca="1">IFERROR(IF(
OR(Table1[[#This Row],[Product category]]="Service items",Table1[[#This Row],[Product category]]="Additional services",Table1[[#This Row],[Product category]]="Additional materials"),
"NOK",IF(($N$3&lt;&gt;""),VLOOKUP(Table1[[#This Row],[Product code]],INDIRECT(Aux!$A$1),6,FALSE),"")),"")</f>
        <v/>
      </c>
      <c r="P261" s="41" t="str">
        <f ca="1">IFERROR(IF(AND(Table1[[#This Row],[Quantity]]&lt;&gt;"",Table1[[#This Row],[Currency]]="NOK"),Table1[[#This Row],[Quantity]]*Table1[[#This Row],[Unit Price]],""),"")</f>
        <v/>
      </c>
      <c r="Q261" s="41" t="str">
        <f ca="1">IFERROR(IF(AND(Table1[[#This Row],[ACT_Qty]]&lt;&gt;"",Table1[[#This Row],[Currency]]="NOK"),Table1[[#This Row],[ACT_Qty]]*Table1[[#This Row],[Unit Price]],""),"")</f>
        <v/>
      </c>
      <c r="R261" s="41" t="str">
        <f ca="1">IFERROR(IF(AND(Table1[[#This Row],[Quantity]]&lt;&gt;"",Table1[[#This Row],[Currency]]="EUR"),Table1[[#This Row],[Quantity]]*Table1[[#This Row],[Unit Price]],""),"")</f>
        <v/>
      </c>
      <c r="S261" s="41" t="str">
        <f ca="1">IFERROR(IF(AND(Table1[[#This Row],[ACT_Qty]]&lt;&gt;"",Table1[[#This Row],[Currency]]="EUR"),Table1[[#This Row],[ACT_Qty]]*Table1[[#This Row],[Unit Price]],""),"")</f>
        <v/>
      </c>
      <c r="T261" s="269" t="str">
        <f ca="1">IFERROR(IF(AND(($N$3&lt;&gt;""),INDIRECT(Aux!$D$1)),VLOOKUP(Table1[[#This Row],[Product code]],Aux!B:E,4,FALSE),""),"")</f>
        <v/>
      </c>
      <c r="U261" s="145" t="str">
        <f>IFERROR(IF(OR(Table1[[#This Row],[Quantity]]&lt;&gt;"",Table1[[#This Row],[ACT_Qty]]&lt;&gt;""),Table1[[#This Row],[ACT_Qty]]-Table1[[#This Row],[Quantity]],""),"")</f>
        <v/>
      </c>
      <c r="V261" s="45"/>
      <c r="W261" s="45"/>
      <c r="X261" s="45"/>
    </row>
    <row r="262" spans="1:24" ht="15" customHeight="1">
      <c r="A262" s="143" t="str">
        <f t="shared" si="17"/>
        <v>AKH12345</v>
      </c>
      <c r="B262" s="256">
        <v>6115560278</v>
      </c>
      <c r="C262" s="143" t="s">
        <v>828</v>
      </c>
      <c r="D262" s="105"/>
      <c r="E262" s="106" t="s">
        <v>824</v>
      </c>
      <c r="F262" s="105"/>
      <c r="G262" s="106"/>
      <c r="H262" s="199" t="s">
        <v>829</v>
      </c>
      <c r="I262" s="200" t="s">
        <v>791</v>
      </c>
      <c r="J262" s="200" t="s">
        <v>795</v>
      </c>
      <c r="K262" s="200" t="s">
        <v>52</v>
      </c>
      <c r="L262" s="145" t="s">
        <v>783</v>
      </c>
      <c r="M262" s="145" t="str">
        <f>IF($C$3&lt;&gt;"",$C$3,"")</f>
        <v>OneCo Networks AS</v>
      </c>
      <c r="N26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2" s="268" t="str">
        <f ca="1">IFERROR(IF(
OR(Table1[[#This Row],[Product category]]="Service items",Table1[[#This Row],[Product category]]="Additional services",Table1[[#This Row],[Product category]]="Additional materials"),
"NOK",IF(($N$3&lt;&gt;""),VLOOKUP(Table1[[#This Row],[Product code]],INDIRECT(Aux!$A$1),6,FALSE),"")),"")</f>
        <v/>
      </c>
      <c r="P262" s="41" t="str">
        <f ca="1">IFERROR(IF(AND(Table1[[#This Row],[Quantity]]&lt;&gt;"",Table1[[#This Row],[Currency]]="NOK"),Table1[[#This Row],[Quantity]]*Table1[[#This Row],[Unit Price]],""),"")</f>
        <v/>
      </c>
      <c r="Q262" s="41" t="str">
        <f ca="1">IFERROR(IF(AND(Table1[[#This Row],[ACT_Qty]]&lt;&gt;"",Table1[[#This Row],[Currency]]="NOK"),Table1[[#This Row],[ACT_Qty]]*Table1[[#This Row],[Unit Price]],""),"")</f>
        <v/>
      </c>
      <c r="R262" s="41" t="str">
        <f ca="1">IFERROR(IF(AND(Table1[[#This Row],[Quantity]]&lt;&gt;"",Table1[[#This Row],[Currency]]="EUR"),Table1[[#This Row],[Quantity]]*Table1[[#This Row],[Unit Price]],""),"")</f>
        <v/>
      </c>
      <c r="S262" s="41" t="str">
        <f ca="1">IFERROR(IF(AND(Table1[[#This Row],[ACT_Qty]]&lt;&gt;"",Table1[[#This Row],[Currency]]="EUR"),Table1[[#This Row],[ACT_Qty]]*Table1[[#This Row],[Unit Price]],""),"")</f>
        <v/>
      </c>
      <c r="T262" s="269" t="str">
        <f ca="1">IFERROR(IF(AND(($N$3&lt;&gt;""),INDIRECT(Aux!$D$1)),VLOOKUP(Table1[[#This Row],[Product code]],Aux!B:E,4,FALSE),""),"")</f>
        <v/>
      </c>
      <c r="U262" s="145" t="str">
        <f>IFERROR(IF(OR(Table1[[#This Row],[Quantity]]&lt;&gt;"",Table1[[#This Row],[ACT_Qty]]&lt;&gt;""),Table1[[#This Row],[ACT_Qty]]-Table1[[#This Row],[Quantity]],""),"")</f>
        <v/>
      </c>
      <c r="V262" s="45"/>
      <c r="W262" s="45"/>
      <c r="X262" s="45"/>
    </row>
    <row r="263" spans="1:24" ht="15" customHeight="1">
      <c r="A263" s="143" t="str">
        <f t="shared" si="17"/>
        <v>AKH12345</v>
      </c>
      <c r="B263" s="256">
        <v>6115560378</v>
      </c>
      <c r="C263" s="143" t="s">
        <v>830</v>
      </c>
      <c r="D263" s="105"/>
      <c r="E263" s="106" t="s">
        <v>824</v>
      </c>
      <c r="F263" s="105"/>
      <c r="G263" s="106"/>
      <c r="H263" s="199" t="s">
        <v>829</v>
      </c>
      <c r="I263" s="200" t="s">
        <v>791</v>
      </c>
      <c r="J263" s="200" t="s">
        <v>795</v>
      </c>
      <c r="K263" s="200" t="s">
        <v>52</v>
      </c>
      <c r="L263" s="145" t="s">
        <v>783</v>
      </c>
      <c r="M263" s="145" t="str">
        <f>IF($C$3&lt;&gt;"",$C$3,"")</f>
        <v>OneCo Networks AS</v>
      </c>
      <c r="N2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3" s="268" t="str">
        <f ca="1">IFERROR(IF(
OR(Table1[[#This Row],[Product category]]="Service items",Table1[[#This Row],[Product category]]="Additional services",Table1[[#This Row],[Product category]]="Additional materials"),
"NOK",IF(($N$3&lt;&gt;""),VLOOKUP(Table1[[#This Row],[Product code]],INDIRECT(Aux!$A$1),6,FALSE),"")),"")</f>
        <v/>
      </c>
      <c r="P263" s="41" t="str">
        <f ca="1">IFERROR(IF(AND(Table1[[#This Row],[Quantity]]&lt;&gt;"",Table1[[#This Row],[Currency]]="NOK"),Table1[[#This Row],[Quantity]]*Table1[[#This Row],[Unit Price]],""),"")</f>
        <v/>
      </c>
      <c r="Q263" s="41" t="str">
        <f ca="1">IFERROR(IF(AND(Table1[[#This Row],[ACT_Qty]]&lt;&gt;"",Table1[[#This Row],[Currency]]="NOK"),Table1[[#This Row],[ACT_Qty]]*Table1[[#This Row],[Unit Price]],""),"")</f>
        <v/>
      </c>
      <c r="R263" s="41" t="str">
        <f ca="1">IFERROR(IF(AND(Table1[[#This Row],[Quantity]]&lt;&gt;"",Table1[[#This Row],[Currency]]="EUR"),Table1[[#This Row],[Quantity]]*Table1[[#This Row],[Unit Price]],""),"")</f>
        <v/>
      </c>
      <c r="S263" s="41" t="str">
        <f ca="1">IFERROR(IF(AND(Table1[[#This Row],[ACT_Qty]]&lt;&gt;"",Table1[[#This Row],[Currency]]="EUR"),Table1[[#This Row],[ACT_Qty]]*Table1[[#This Row],[Unit Price]],""),"")</f>
        <v/>
      </c>
      <c r="T263" s="269" t="str">
        <f ca="1">IFERROR(IF(AND(($N$3&lt;&gt;""),INDIRECT(Aux!$D$1)),VLOOKUP(Table1[[#This Row],[Product code]],Aux!B:E,4,FALSE),""),"")</f>
        <v/>
      </c>
      <c r="U263" s="145" t="str">
        <f>IFERROR(IF(OR(Table1[[#This Row],[Quantity]]&lt;&gt;"",Table1[[#This Row],[ACT_Qty]]&lt;&gt;""),Table1[[#This Row],[ACT_Qty]]-Table1[[#This Row],[Quantity]],""),"")</f>
        <v/>
      </c>
      <c r="V263" s="45"/>
      <c r="W263" s="45"/>
      <c r="X263" s="45"/>
    </row>
    <row r="264" spans="1:24" ht="15" customHeight="1">
      <c r="A264" s="143" t="str">
        <f t="shared" si="17"/>
        <v>AKH12345</v>
      </c>
      <c r="B264" s="256">
        <v>4260054770793</v>
      </c>
      <c r="C264" s="143" t="s">
        <v>831</v>
      </c>
      <c r="D264" s="105"/>
      <c r="E264" s="106" t="s">
        <v>832</v>
      </c>
      <c r="F264" s="105"/>
      <c r="G264" s="106"/>
      <c r="H264" s="199" t="s">
        <v>833</v>
      </c>
      <c r="I264" s="200" t="s">
        <v>834</v>
      </c>
      <c r="J264" s="200" t="s">
        <v>835</v>
      </c>
      <c r="K264" s="200" t="s">
        <v>52</v>
      </c>
      <c r="L264" s="145" t="s">
        <v>836</v>
      </c>
      <c r="M264" s="145" t="str">
        <f t="shared" si="19"/>
        <v>OneCo Networks AS</v>
      </c>
      <c r="N26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4" s="268" t="str">
        <f ca="1">IFERROR(IF(
OR(Table1[[#This Row],[Product category]]="Service items",Table1[[#This Row],[Product category]]="Additional services",Table1[[#This Row],[Product category]]="Additional materials"),
"NOK",IF(($N$3&lt;&gt;""),VLOOKUP(Table1[[#This Row],[Product code]],INDIRECT(Aux!$A$1),6,FALSE),"")),"")</f>
        <v/>
      </c>
      <c r="P264" s="41" t="str">
        <f ca="1">IFERROR(IF(AND(Table1[[#This Row],[Quantity]]&lt;&gt;"",Table1[[#This Row],[Currency]]="NOK"),Table1[[#This Row],[Quantity]]*Table1[[#This Row],[Unit Price]],""),"")</f>
        <v/>
      </c>
      <c r="Q264" s="41" t="str">
        <f ca="1">IFERROR(IF(AND(Table1[[#This Row],[ACT_Qty]]&lt;&gt;"",Table1[[#This Row],[Currency]]="NOK"),Table1[[#This Row],[ACT_Qty]]*Table1[[#This Row],[Unit Price]],""),"")</f>
        <v/>
      </c>
      <c r="R264" s="41" t="str">
        <f ca="1">IFERROR(IF(AND(Table1[[#This Row],[Quantity]]&lt;&gt;"",Table1[[#This Row],[Currency]]="EUR"),Table1[[#This Row],[Quantity]]*Table1[[#This Row],[Unit Price]],""),"")</f>
        <v/>
      </c>
      <c r="S264" s="41" t="str">
        <f ca="1">IFERROR(IF(AND(Table1[[#This Row],[ACT_Qty]]&lt;&gt;"",Table1[[#This Row],[Currency]]="EUR"),Table1[[#This Row],[ACT_Qty]]*Table1[[#This Row],[Unit Price]],""),"")</f>
        <v/>
      </c>
      <c r="T264" s="269" t="str">
        <f ca="1">IFERROR(IF(AND(($N$3&lt;&gt;""),INDIRECT(Aux!$D$1)),VLOOKUP(Table1[[#This Row],[Product code]],Aux!B:E,4,FALSE),""),"")</f>
        <v/>
      </c>
      <c r="U264" s="145" t="str">
        <f>IFERROR(IF(OR(Table1[[#This Row],[Quantity]]&lt;&gt;"",Table1[[#This Row],[ACT_Qty]]&lt;&gt;""),Table1[[#This Row],[ACT_Qty]]-Table1[[#This Row],[Quantity]],""),"")</f>
        <v/>
      </c>
      <c r="V264" s="45"/>
      <c r="W264" s="45"/>
      <c r="X264" s="45"/>
    </row>
    <row r="265" spans="1:24" ht="15" customHeight="1">
      <c r="A265" s="143" t="str">
        <f t="shared" si="17"/>
        <v>AKH12345</v>
      </c>
      <c r="B265" s="256" t="s">
        <v>837</v>
      </c>
      <c r="C265" s="143" t="s">
        <v>838</v>
      </c>
      <c r="D265" s="105"/>
      <c r="E265" s="106" t="s">
        <v>839</v>
      </c>
      <c r="F265" s="105"/>
      <c r="G265" s="106"/>
      <c r="H265" s="199" t="s">
        <v>840</v>
      </c>
      <c r="I265" s="200" t="s">
        <v>841</v>
      </c>
      <c r="J265" s="200" t="s">
        <v>841</v>
      </c>
      <c r="K265" s="200" t="s">
        <v>52</v>
      </c>
      <c r="L265" s="145" t="s">
        <v>52</v>
      </c>
      <c r="M265" s="145" t="str">
        <f t="shared" si="19"/>
        <v>OneCo Networks AS</v>
      </c>
      <c r="N2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5" s="268" t="str">
        <f ca="1">IFERROR(IF(
OR(Table1[[#This Row],[Product category]]="Service items",Table1[[#This Row],[Product category]]="Additional services",Table1[[#This Row],[Product category]]="Additional materials"),
"NOK",IF(($N$3&lt;&gt;""),VLOOKUP(Table1[[#This Row],[Product code]],INDIRECT(Aux!$A$1),6,FALSE),"")),"")</f>
        <v/>
      </c>
      <c r="P265" s="41" t="str">
        <f ca="1">IFERROR(IF(AND(Table1[[#This Row],[Quantity]]&lt;&gt;"",Table1[[#This Row],[Currency]]="NOK"),Table1[[#This Row],[Quantity]]*Table1[[#This Row],[Unit Price]],""),"")</f>
        <v/>
      </c>
      <c r="Q265" s="41" t="str">
        <f ca="1">IFERROR(IF(AND(Table1[[#This Row],[ACT_Qty]]&lt;&gt;"",Table1[[#This Row],[Currency]]="NOK"),Table1[[#This Row],[ACT_Qty]]*Table1[[#This Row],[Unit Price]],""),"")</f>
        <v/>
      </c>
      <c r="R265" s="41" t="str">
        <f ca="1">IFERROR(IF(AND(Table1[[#This Row],[Quantity]]&lt;&gt;"",Table1[[#This Row],[Currency]]="EUR"),Table1[[#This Row],[Quantity]]*Table1[[#This Row],[Unit Price]],""),"")</f>
        <v/>
      </c>
      <c r="S265" s="41" t="str">
        <f ca="1">IFERROR(IF(AND(Table1[[#This Row],[ACT_Qty]]&lt;&gt;"",Table1[[#This Row],[Currency]]="EUR"),Table1[[#This Row],[ACT_Qty]]*Table1[[#This Row],[Unit Price]],""),"")</f>
        <v/>
      </c>
      <c r="T265" s="269" t="str">
        <f ca="1">IFERROR(IF(AND(($N$3&lt;&gt;""),INDIRECT(Aux!$D$1)),VLOOKUP(Table1[[#This Row],[Product code]],Aux!B:E,4,FALSE),""),"")</f>
        <v/>
      </c>
      <c r="U265" s="145" t="str">
        <f>IFERROR(IF(OR(Table1[[#This Row],[Quantity]]&lt;&gt;"",Table1[[#This Row],[ACT_Qty]]&lt;&gt;""),Table1[[#This Row],[ACT_Qty]]-Table1[[#This Row],[Quantity]],""),"")</f>
        <v/>
      </c>
      <c r="V265" s="45"/>
      <c r="W265" s="45"/>
      <c r="X265" s="45"/>
    </row>
    <row r="266" spans="1:24" ht="15" customHeight="1">
      <c r="A266" s="143" t="str">
        <f t="shared" si="17"/>
        <v>AKH12345</v>
      </c>
      <c r="B266" s="256" t="s">
        <v>842</v>
      </c>
      <c r="C266" s="143" t="s">
        <v>843</v>
      </c>
      <c r="D266" s="105"/>
      <c r="E266" s="106"/>
      <c r="F266" s="105"/>
      <c r="G266" s="106"/>
      <c r="H266" s="199" t="s">
        <v>844</v>
      </c>
      <c r="I266" s="200" t="s">
        <v>841</v>
      </c>
      <c r="J266" s="200" t="s">
        <v>841</v>
      </c>
      <c r="K266" s="200" t="s">
        <v>52</v>
      </c>
      <c r="L266" s="145" t="s">
        <v>52</v>
      </c>
      <c r="M266" s="145" t="str">
        <f t="shared" si="19"/>
        <v>OneCo Networks AS</v>
      </c>
      <c r="N26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6" s="268" t="str">
        <f ca="1">IFERROR(IF(
OR(Table1[[#This Row],[Product category]]="Service items",Table1[[#This Row],[Product category]]="Additional services",Table1[[#This Row],[Product category]]="Additional materials"),
"NOK",IF(($N$3&lt;&gt;""),VLOOKUP(Table1[[#This Row],[Product code]],INDIRECT(Aux!$A$1),6,FALSE),"")),"")</f>
        <v/>
      </c>
      <c r="P266" s="41" t="str">
        <f ca="1">IFERROR(IF(AND(Table1[[#This Row],[Quantity]]&lt;&gt;"",Table1[[#This Row],[Currency]]="NOK"),Table1[[#This Row],[Quantity]]*Table1[[#This Row],[Unit Price]],""),"")</f>
        <v/>
      </c>
      <c r="Q266" s="41" t="str">
        <f ca="1">IFERROR(IF(AND(Table1[[#This Row],[ACT_Qty]]&lt;&gt;"",Table1[[#This Row],[Currency]]="NOK"),Table1[[#This Row],[ACT_Qty]]*Table1[[#This Row],[Unit Price]],""),"")</f>
        <v/>
      </c>
      <c r="R266" s="41" t="str">
        <f ca="1">IFERROR(IF(AND(Table1[[#This Row],[Quantity]]&lt;&gt;"",Table1[[#This Row],[Currency]]="EUR"),Table1[[#This Row],[Quantity]]*Table1[[#This Row],[Unit Price]],""),"")</f>
        <v/>
      </c>
      <c r="S266" s="41" t="str">
        <f ca="1">IFERROR(IF(AND(Table1[[#This Row],[ACT_Qty]]&lt;&gt;"",Table1[[#This Row],[Currency]]="EUR"),Table1[[#This Row],[ACT_Qty]]*Table1[[#This Row],[Unit Price]],""),"")</f>
        <v/>
      </c>
      <c r="T266" s="269" t="str">
        <f ca="1">IFERROR(IF(AND(($N$3&lt;&gt;""),INDIRECT(Aux!$D$1)),VLOOKUP(Table1[[#This Row],[Product code]],Aux!B:E,4,FALSE),""),"")</f>
        <v/>
      </c>
      <c r="U266" s="145" t="str">
        <f>IFERROR(IF(OR(Table1[[#This Row],[Quantity]]&lt;&gt;"",Table1[[#This Row],[ACT_Qty]]&lt;&gt;""),Table1[[#This Row],[ACT_Qty]]-Table1[[#This Row],[Quantity]],""),"")</f>
        <v/>
      </c>
      <c r="V266" s="45"/>
      <c r="W266" s="45"/>
      <c r="X266" s="45"/>
    </row>
    <row r="267" spans="1:24" ht="15" customHeight="1">
      <c r="A267" s="143" t="str">
        <f t="shared" si="17"/>
        <v>AKH12345</v>
      </c>
      <c r="B267" s="256">
        <v>980100</v>
      </c>
      <c r="C267" s="143" t="s">
        <v>845</v>
      </c>
      <c r="D267" s="105"/>
      <c r="E267" s="106"/>
      <c r="F267" s="105"/>
      <c r="G267" s="106"/>
      <c r="H267" s="199" t="s">
        <v>846</v>
      </c>
      <c r="I267" s="200" t="s">
        <v>847</v>
      </c>
      <c r="J267" s="200" t="s">
        <v>847</v>
      </c>
      <c r="K267" s="200" t="s">
        <v>52</v>
      </c>
      <c r="L267" s="145" t="s">
        <v>848</v>
      </c>
      <c r="M267" s="145" t="str">
        <f t="shared" ref="M267:M297" si="21">IF($C$3&lt;&gt;"",$C$3,"")</f>
        <v>OneCo Networks AS</v>
      </c>
      <c r="N2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7" s="268" t="str">
        <f ca="1">IFERROR(IF(
OR(Table1[[#This Row],[Product category]]="Service items",Table1[[#This Row],[Product category]]="Additional services",Table1[[#This Row],[Product category]]="Additional materials"),
"NOK",IF(($N$3&lt;&gt;""),VLOOKUP(Table1[[#This Row],[Product code]],INDIRECT(Aux!$A$1),6,FALSE),"")),"")</f>
        <v/>
      </c>
      <c r="P267" s="41" t="str">
        <f ca="1">IFERROR(IF(AND(Table1[[#This Row],[Quantity]]&lt;&gt;"",Table1[[#This Row],[Currency]]="NOK"),Table1[[#This Row],[Quantity]]*Table1[[#This Row],[Unit Price]],""),"")</f>
        <v/>
      </c>
      <c r="Q267" s="41" t="str">
        <f ca="1">IFERROR(IF(AND(Table1[[#This Row],[ACT_Qty]]&lt;&gt;"",Table1[[#This Row],[Currency]]="NOK"),Table1[[#This Row],[ACT_Qty]]*Table1[[#This Row],[Unit Price]],""),"")</f>
        <v/>
      </c>
      <c r="R267" s="41" t="str">
        <f ca="1">IFERROR(IF(AND(Table1[[#This Row],[Quantity]]&lt;&gt;"",Table1[[#This Row],[Currency]]="EUR"),Table1[[#This Row],[Quantity]]*Table1[[#This Row],[Unit Price]],""),"")</f>
        <v/>
      </c>
      <c r="S267" s="41" t="str">
        <f ca="1">IFERROR(IF(AND(Table1[[#This Row],[ACT_Qty]]&lt;&gt;"",Table1[[#This Row],[Currency]]="EUR"),Table1[[#This Row],[ACT_Qty]]*Table1[[#This Row],[Unit Price]],""),"")</f>
        <v/>
      </c>
      <c r="T267" s="269" t="str">
        <f ca="1">IFERROR(IF(AND(($N$3&lt;&gt;""),INDIRECT(Aux!$D$1)),VLOOKUP(Table1[[#This Row],[Product code]],Aux!B:E,4,FALSE),""),"")</f>
        <v/>
      </c>
      <c r="U267" s="145" t="str">
        <f>IFERROR(IF(OR(Table1[[#This Row],[Quantity]]&lt;&gt;"",Table1[[#This Row],[ACT_Qty]]&lt;&gt;""),Table1[[#This Row],[ACT_Qty]]-Table1[[#This Row],[Quantity]],""),"")</f>
        <v/>
      </c>
      <c r="V267" s="45"/>
      <c r="W267" s="45"/>
      <c r="X267" s="45"/>
    </row>
    <row r="268" spans="1:24" ht="15" customHeight="1">
      <c r="A268" s="143" t="str">
        <f t="shared" si="17"/>
        <v>AKH12345</v>
      </c>
      <c r="B268" s="256">
        <v>985100</v>
      </c>
      <c r="C268" s="143" t="s">
        <v>849</v>
      </c>
      <c r="D268" s="105"/>
      <c r="E268" s="106"/>
      <c r="F268" s="105"/>
      <c r="G268" s="106"/>
      <c r="H268" s="199" t="s">
        <v>846</v>
      </c>
      <c r="I268" s="200" t="s">
        <v>847</v>
      </c>
      <c r="J268" s="200" t="s">
        <v>847</v>
      </c>
      <c r="K268" s="200" t="s">
        <v>52</v>
      </c>
      <c r="L268" s="145" t="s">
        <v>848</v>
      </c>
      <c r="M268" s="145" t="str">
        <f t="shared" si="21"/>
        <v>OneCo Networks AS</v>
      </c>
      <c r="N26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8" s="268" t="str">
        <f ca="1">IFERROR(IF(
OR(Table1[[#This Row],[Product category]]="Service items",Table1[[#This Row],[Product category]]="Additional services",Table1[[#This Row],[Product category]]="Additional materials"),
"NOK",IF(($N$3&lt;&gt;""),VLOOKUP(Table1[[#This Row],[Product code]],INDIRECT(Aux!$A$1),6,FALSE),"")),"")</f>
        <v/>
      </c>
      <c r="P268" s="41" t="str">
        <f ca="1">IFERROR(IF(AND(Table1[[#This Row],[Quantity]]&lt;&gt;"",Table1[[#This Row],[Currency]]="NOK"),Table1[[#This Row],[Quantity]]*Table1[[#This Row],[Unit Price]],""),"")</f>
        <v/>
      </c>
      <c r="Q268" s="41" t="str">
        <f ca="1">IFERROR(IF(AND(Table1[[#This Row],[ACT_Qty]]&lt;&gt;"",Table1[[#This Row],[Currency]]="NOK"),Table1[[#This Row],[ACT_Qty]]*Table1[[#This Row],[Unit Price]],""),"")</f>
        <v/>
      </c>
      <c r="R268" s="41" t="str">
        <f ca="1">IFERROR(IF(AND(Table1[[#This Row],[Quantity]]&lt;&gt;"",Table1[[#This Row],[Currency]]="EUR"),Table1[[#This Row],[Quantity]]*Table1[[#This Row],[Unit Price]],""),"")</f>
        <v/>
      </c>
      <c r="S268" s="41" t="str">
        <f ca="1">IFERROR(IF(AND(Table1[[#This Row],[ACT_Qty]]&lt;&gt;"",Table1[[#This Row],[Currency]]="EUR"),Table1[[#This Row],[ACT_Qty]]*Table1[[#This Row],[Unit Price]],""),"")</f>
        <v/>
      </c>
      <c r="T268" s="269" t="str">
        <f ca="1">IFERROR(IF(AND(($N$3&lt;&gt;""),INDIRECT(Aux!$D$1)),VLOOKUP(Table1[[#This Row],[Product code]],Aux!B:E,4,FALSE),""),"")</f>
        <v/>
      </c>
      <c r="U268" s="145" t="str">
        <f>IFERROR(IF(OR(Table1[[#This Row],[Quantity]]&lt;&gt;"",Table1[[#This Row],[ACT_Qty]]&lt;&gt;""),Table1[[#This Row],[ACT_Qty]]-Table1[[#This Row],[Quantity]],""),"")</f>
        <v/>
      </c>
      <c r="V268" s="45"/>
      <c r="W268" s="45"/>
      <c r="X268" s="45"/>
    </row>
    <row r="269" spans="1:24" ht="15" customHeight="1">
      <c r="A269" s="143" t="str">
        <f t="shared" si="17"/>
        <v>AKH12345</v>
      </c>
      <c r="B269" s="256">
        <v>980300</v>
      </c>
      <c r="C269" s="143" t="s">
        <v>850</v>
      </c>
      <c r="D269" s="105"/>
      <c r="E269" s="106"/>
      <c r="F269" s="105"/>
      <c r="G269" s="106"/>
      <c r="H269" s="199" t="s">
        <v>846</v>
      </c>
      <c r="I269" s="200" t="s">
        <v>847</v>
      </c>
      <c r="J269" s="200" t="s">
        <v>847</v>
      </c>
      <c r="K269" s="200" t="s">
        <v>52</v>
      </c>
      <c r="L269" s="145" t="s">
        <v>848</v>
      </c>
      <c r="M269" s="145" t="str">
        <f t="shared" si="21"/>
        <v>OneCo Networks AS</v>
      </c>
      <c r="N2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69" s="268" t="str">
        <f ca="1">IFERROR(IF(
OR(Table1[[#This Row],[Product category]]="Service items",Table1[[#This Row],[Product category]]="Additional services",Table1[[#This Row],[Product category]]="Additional materials"),
"NOK",IF(($N$3&lt;&gt;""),VLOOKUP(Table1[[#This Row],[Product code]],INDIRECT(Aux!$A$1),6,FALSE),"")),"")</f>
        <v/>
      </c>
      <c r="P269" s="41" t="str">
        <f ca="1">IFERROR(IF(AND(Table1[[#This Row],[Quantity]]&lt;&gt;"",Table1[[#This Row],[Currency]]="NOK"),Table1[[#This Row],[Quantity]]*Table1[[#This Row],[Unit Price]],""),"")</f>
        <v/>
      </c>
      <c r="Q269" s="41" t="str">
        <f ca="1">IFERROR(IF(AND(Table1[[#This Row],[ACT_Qty]]&lt;&gt;"",Table1[[#This Row],[Currency]]="NOK"),Table1[[#This Row],[ACT_Qty]]*Table1[[#This Row],[Unit Price]],""),"")</f>
        <v/>
      </c>
      <c r="R269" s="41" t="str">
        <f ca="1">IFERROR(IF(AND(Table1[[#This Row],[Quantity]]&lt;&gt;"",Table1[[#This Row],[Currency]]="EUR"),Table1[[#This Row],[Quantity]]*Table1[[#This Row],[Unit Price]],""),"")</f>
        <v/>
      </c>
      <c r="S269" s="41" t="str">
        <f ca="1">IFERROR(IF(AND(Table1[[#This Row],[ACT_Qty]]&lt;&gt;"",Table1[[#This Row],[Currency]]="EUR"),Table1[[#This Row],[ACT_Qty]]*Table1[[#This Row],[Unit Price]],""),"")</f>
        <v/>
      </c>
      <c r="T269" s="269" t="str">
        <f ca="1">IFERROR(IF(AND(($N$3&lt;&gt;""),INDIRECT(Aux!$D$1)),VLOOKUP(Table1[[#This Row],[Product code]],Aux!B:E,4,FALSE),""),"")</f>
        <v/>
      </c>
      <c r="U269" s="145" t="str">
        <f>IFERROR(IF(OR(Table1[[#This Row],[Quantity]]&lt;&gt;"",Table1[[#This Row],[ACT_Qty]]&lt;&gt;""),Table1[[#This Row],[ACT_Qty]]-Table1[[#This Row],[Quantity]],""),"")</f>
        <v/>
      </c>
      <c r="V269" s="45"/>
      <c r="W269" s="45"/>
      <c r="X269" s="45"/>
    </row>
    <row r="270" spans="1:24" ht="15" customHeight="1">
      <c r="A270" s="143" t="str">
        <f t="shared" si="17"/>
        <v>AKH12345</v>
      </c>
      <c r="B270" s="256">
        <v>985300</v>
      </c>
      <c r="C270" s="143" t="s">
        <v>851</v>
      </c>
      <c r="D270" s="105"/>
      <c r="E270" s="106"/>
      <c r="F270" s="105"/>
      <c r="G270" s="106"/>
      <c r="H270" s="199" t="s">
        <v>846</v>
      </c>
      <c r="I270" s="200" t="s">
        <v>847</v>
      </c>
      <c r="J270" s="200" t="s">
        <v>847</v>
      </c>
      <c r="K270" s="200" t="s">
        <v>52</v>
      </c>
      <c r="L270" s="145" t="s">
        <v>848</v>
      </c>
      <c r="M270" s="145" t="str">
        <f t="shared" si="21"/>
        <v>OneCo Networks AS</v>
      </c>
      <c r="N27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0" s="268" t="str">
        <f ca="1">IFERROR(IF(
OR(Table1[[#This Row],[Product category]]="Service items",Table1[[#This Row],[Product category]]="Additional services",Table1[[#This Row],[Product category]]="Additional materials"),
"NOK",IF(($N$3&lt;&gt;""),VLOOKUP(Table1[[#This Row],[Product code]],INDIRECT(Aux!$A$1),6,FALSE),"")),"")</f>
        <v/>
      </c>
      <c r="P270" s="41" t="str">
        <f ca="1">IFERROR(IF(AND(Table1[[#This Row],[Quantity]]&lt;&gt;"",Table1[[#This Row],[Currency]]="NOK"),Table1[[#This Row],[Quantity]]*Table1[[#This Row],[Unit Price]],""),"")</f>
        <v/>
      </c>
      <c r="Q270" s="41" t="str">
        <f ca="1">IFERROR(IF(AND(Table1[[#This Row],[ACT_Qty]]&lt;&gt;"",Table1[[#This Row],[Currency]]="NOK"),Table1[[#This Row],[ACT_Qty]]*Table1[[#This Row],[Unit Price]],""),"")</f>
        <v/>
      </c>
      <c r="R270" s="41" t="str">
        <f ca="1">IFERROR(IF(AND(Table1[[#This Row],[Quantity]]&lt;&gt;"",Table1[[#This Row],[Currency]]="EUR"),Table1[[#This Row],[Quantity]]*Table1[[#This Row],[Unit Price]],""),"")</f>
        <v/>
      </c>
      <c r="S270" s="41" t="str">
        <f ca="1">IFERROR(IF(AND(Table1[[#This Row],[ACT_Qty]]&lt;&gt;"",Table1[[#This Row],[Currency]]="EUR"),Table1[[#This Row],[ACT_Qty]]*Table1[[#This Row],[Unit Price]],""),"")</f>
        <v/>
      </c>
      <c r="T270" s="269" t="str">
        <f ca="1">IFERROR(IF(AND(($N$3&lt;&gt;""),INDIRECT(Aux!$D$1)),VLOOKUP(Table1[[#This Row],[Product code]],Aux!B:E,4,FALSE),""),"")</f>
        <v/>
      </c>
      <c r="U270" s="145" t="str">
        <f>IFERROR(IF(OR(Table1[[#This Row],[Quantity]]&lt;&gt;"",Table1[[#This Row],[ACT_Qty]]&lt;&gt;""),Table1[[#This Row],[ACT_Qty]]-Table1[[#This Row],[Quantity]],""),"")</f>
        <v/>
      </c>
      <c r="V270" s="45"/>
      <c r="W270" s="45"/>
      <c r="X270" s="45"/>
    </row>
    <row r="271" spans="1:24" ht="15" customHeight="1">
      <c r="A271" s="143" t="str">
        <f t="shared" si="17"/>
        <v>AKH12345</v>
      </c>
      <c r="B271" s="256">
        <v>920200</v>
      </c>
      <c r="C271" s="143" t="s">
        <v>852</v>
      </c>
      <c r="D271" s="105"/>
      <c r="E271" s="106"/>
      <c r="F271" s="105"/>
      <c r="G271" s="106"/>
      <c r="H271" s="199" t="s">
        <v>846</v>
      </c>
      <c r="I271" s="200" t="s">
        <v>847</v>
      </c>
      <c r="J271" s="200" t="s">
        <v>847</v>
      </c>
      <c r="K271" s="200" t="s">
        <v>52</v>
      </c>
      <c r="L271" s="145" t="s">
        <v>848</v>
      </c>
      <c r="M271" s="145" t="str">
        <f t="shared" si="21"/>
        <v>OneCo Networks AS</v>
      </c>
      <c r="N2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1" s="268" t="str">
        <f ca="1">IFERROR(IF(
OR(Table1[[#This Row],[Product category]]="Service items",Table1[[#This Row],[Product category]]="Additional services",Table1[[#This Row],[Product category]]="Additional materials"),
"NOK",IF(($N$3&lt;&gt;""),VLOOKUP(Table1[[#This Row],[Product code]],INDIRECT(Aux!$A$1),6,FALSE),"")),"")</f>
        <v/>
      </c>
      <c r="P271" s="41" t="str">
        <f ca="1">IFERROR(IF(AND(Table1[[#This Row],[Quantity]]&lt;&gt;"",Table1[[#This Row],[Currency]]="NOK"),Table1[[#This Row],[Quantity]]*Table1[[#This Row],[Unit Price]],""),"")</f>
        <v/>
      </c>
      <c r="Q271" s="41" t="str">
        <f ca="1">IFERROR(IF(AND(Table1[[#This Row],[ACT_Qty]]&lt;&gt;"",Table1[[#This Row],[Currency]]="NOK"),Table1[[#This Row],[ACT_Qty]]*Table1[[#This Row],[Unit Price]],""),"")</f>
        <v/>
      </c>
      <c r="R271" s="41" t="str">
        <f ca="1">IFERROR(IF(AND(Table1[[#This Row],[Quantity]]&lt;&gt;"",Table1[[#This Row],[Currency]]="EUR"),Table1[[#This Row],[Quantity]]*Table1[[#This Row],[Unit Price]],""),"")</f>
        <v/>
      </c>
      <c r="S271" s="41" t="str">
        <f ca="1">IFERROR(IF(AND(Table1[[#This Row],[ACT_Qty]]&lt;&gt;"",Table1[[#This Row],[Currency]]="EUR"),Table1[[#This Row],[ACT_Qty]]*Table1[[#This Row],[Unit Price]],""),"")</f>
        <v/>
      </c>
      <c r="T271" s="269" t="str">
        <f ca="1">IFERROR(IF(AND(($N$3&lt;&gt;""),INDIRECT(Aux!$D$1)),VLOOKUP(Table1[[#This Row],[Product code]],Aux!B:E,4,FALSE),""),"")</f>
        <v/>
      </c>
      <c r="U271" s="145" t="str">
        <f>IFERROR(IF(OR(Table1[[#This Row],[Quantity]]&lt;&gt;"",Table1[[#This Row],[ACT_Qty]]&lt;&gt;""),Table1[[#This Row],[ACT_Qty]]-Table1[[#This Row],[Quantity]],""),"")</f>
        <v/>
      </c>
      <c r="V271" s="45"/>
      <c r="W271" s="45"/>
      <c r="X271" s="45"/>
    </row>
    <row r="272" spans="1:24" ht="15" customHeight="1">
      <c r="A272" s="143" t="str">
        <f t="shared" si="17"/>
        <v>AKH12345</v>
      </c>
      <c r="B272" s="256">
        <v>920210</v>
      </c>
      <c r="C272" s="143" t="s">
        <v>853</v>
      </c>
      <c r="D272" s="105"/>
      <c r="E272" s="106"/>
      <c r="F272" s="105"/>
      <c r="G272" s="106"/>
      <c r="H272" s="199" t="s">
        <v>846</v>
      </c>
      <c r="I272" s="200" t="s">
        <v>847</v>
      </c>
      <c r="J272" s="200" t="s">
        <v>847</v>
      </c>
      <c r="K272" s="200" t="s">
        <v>52</v>
      </c>
      <c r="L272" s="145" t="s">
        <v>848</v>
      </c>
      <c r="M272" s="145" t="str">
        <f t="shared" si="21"/>
        <v>OneCo Networks AS</v>
      </c>
      <c r="N27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2" s="268" t="str">
        <f ca="1">IFERROR(IF(
OR(Table1[[#This Row],[Product category]]="Service items",Table1[[#This Row],[Product category]]="Additional services",Table1[[#This Row],[Product category]]="Additional materials"),
"NOK",IF(($N$3&lt;&gt;""),VLOOKUP(Table1[[#This Row],[Product code]],INDIRECT(Aux!$A$1),6,FALSE),"")),"")</f>
        <v/>
      </c>
      <c r="P272" s="41" t="str">
        <f ca="1">IFERROR(IF(AND(Table1[[#This Row],[Quantity]]&lt;&gt;"",Table1[[#This Row],[Currency]]="NOK"),Table1[[#This Row],[Quantity]]*Table1[[#This Row],[Unit Price]],""),"")</f>
        <v/>
      </c>
      <c r="Q272" s="41" t="str">
        <f ca="1">IFERROR(IF(AND(Table1[[#This Row],[ACT_Qty]]&lt;&gt;"",Table1[[#This Row],[Currency]]="NOK"),Table1[[#This Row],[ACT_Qty]]*Table1[[#This Row],[Unit Price]],""),"")</f>
        <v/>
      </c>
      <c r="R272" s="41" t="str">
        <f ca="1">IFERROR(IF(AND(Table1[[#This Row],[Quantity]]&lt;&gt;"",Table1[[#This Row],[Currency]]="EUR"),Table1[[#This Row],[Quantity]]*Table1[[#This Row],[Unit Price]],""),"")</f>
        <v/>
      </c>
      <c r="S272" s="41" t="str">
        <f ca="1">IFERROR(IF(AND(Table1[[#This Row],[ACT_Qty]]&lt;&gt;"",Table1[[#This Row],[Currency]]="EUR"),Table1[[#This Row],[ACT_Qty]]*Table1[[#This Row],[Unit Price]],""),"")</f>
        <v/>
      </c>
      <c r="T272" s="269" t="str">
        <f ca="1">IFERROR(IF(AND(($N$3&lt;&gt;""),INDIRECT(Aux!$D$1)),VLOOKUP(Table1[[#This Row],[Product code]],Aux!B:E,4,FALSE),""),"")</f>
        <v/>
      </c>
      <c r="U272" s="145" t="str">
        <f>IFERROR(IF(OR(Table1[[#This Row],[Quantity]]&lt;&gt;"",Table1[[#This Row],[ACT_Qty]]&lt;&gt;""),Table1[[#This Row],[ACT_Qty]]-Table1[[#This Row],[Quantity]],""),"")</f>
        <v/>
      </c>
      <c r="V272" s="45"/>
      <c r="W272" s="45"/>
      <c r="X272" s="45"/>
    </row>
    <row r="273" spans="1:24" ht="15" customHeight="1">
      <c r="A273" s="143" t="str">
        <f t="shared" si="17"/>
        <v>AKH12345</v>
      </c>
      <c r="B273" s="256">
        <v>930100</v>
      </c>
      <c r="C273" s="143" t="s">
        <v>854</v>
      </c>
      <c r="D273" s="105"/>
      <c r="E273" s="106"/>
      <c r="F273" s="105"/>
      <c r="G273" s="106"/>
      <c r="H273" s="199" t="s">
        <v>846</v>
      </c>
      <c r="I273" s="200" t="s">
        <v>847</v>
      </c>
      <c r="J273" s="200" t="s">
        <v>847</v>
      </c>
      <c r="K273" s="200" t="s">
        <v>52</v>
      </c>
      <c r="L273" s="145" t="s">
        <v>848</v>
      </c>
      <c r="M273" s="145" t="str">
        <f t="shared" si="21"/>
        <v>OneCo Networks AS</v>
      </c>
      <c r="N2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3" s="268" t="str">
        <f ca="1">IFERROR(IF(
OR(Table1[[#This Row],[Product category]]="Service items",Table1[[#This Row],[Product category]]="Additional services",Table1[[#This Row],[Product category]]="Additional materials"),
"NOK",IF(($N$3&lt;&gt;""),VLOOKUP(Table1[[#This Row],[Product code]],INDIRECT(Aux!$A$1),6,FALSE),"")),"")</f>
        <v/>
      </c>
      <c r="P273" s="41" t="str">
        <f ca="1">IFERROR(IF(AND(Table1[[#This Row],[Quantity]]&lt;&gt;"",Table1[[#This Row],[Currency]]="NOK"),Table1[[#This Row],[Quantity]]*Table1[[#This Row],[Unit Price]],""),"")</f>
        <v/>
      </c>
      <c r="Q273" s="41" t="str">
        <f ca="1">IFERROR(IF(AND(Table1[[#This Row],[ACT_Qty]]&lt;&gt;"",Table1[[#This Row],[Currency]]="NOK"),Table1[[#This Row],[ACT_Qty]]*Table1[[#This Row],[Unit Price]],""),"")</f>
        <v/>
      </c>
      <c r="R273" s="41" t="str">
        <f ca="1">IFERROR(IF(AND(Table1[[#This Row],[Quantity]]&lt;&gt;"",Table1[[#This Row],[Currency]]="EUR"),Table1[[#This Row],[Quantity]]*Table1[[#This Row],[Unit Price]],""),"")</f>
        <v/>
      </c>
      <c r="S273" s="41" t="str">
        <f ca="1">IFERROR(IF(AND(Table1[[#This Row],[ACT_Qty]]&lt;&gt;"",Table1[[#This Row],[Currency]]="EUR"),Table1[[#This Row],[ACT_Qty]]*Table1[[#This Row],[Unit Price]],""),"")</f>
        <v/>
      </c>
      <c r="T273" s="269" t="str">
        <f ca="1">IFERROR(IF(AND(($N$3&lt;&gt;""),INDIRECT(Aux!$D$1)),VLOOKUP(Table1[[#This Row],[Product code]],Aux!B:E,4,FALSE),""),"")</f>
        <v/>
      </c>
      <c r="U273" s="145" t="str">
        <f>IFERROR(IF(OR(Table1[[#This Row],[Quantity]]&lt;&gt;"",Table1[[#This Row],[ACT_Qty]]&lt;&gt;""),Table1[[#This Row],[ACT_Qty]]-Table1[[#This Row],[Quantity]],""),"")</f>
        <v/>
      </c>
      <c r="V273" s="45"/>
      <c r="W273" s="45"/>
      <c r="X273" s="45"/>
    </row>
    <row r="274" spans="1:24" ht="15" customHeight="1">
      <c r="A274" s="143" t="str">
        <f t="shared" si="17"/>
        <v>AKH12345</v>
      </c>
      <c r="B274" s="256">
        <v>930300</v>
      </c>
      <c r="C274" s="143" t="s">
        <v>855</v>
      </c>
      <c r="D274" s="105"/>
      <c r="E274" s="106"/>
      <c r="F274" s="105"/>
      <c r="G274" s="106"/>
      <c r="H274" s="199" t="s">
        <v>846</v>
      </c>
      <c r="I274" s="200" t="s">
        <v>847</v>
      </c>
      <c r="J274" s="200" t="s">
        <v>847</v>
      </c>
      <c r="K274" s="200" t="s">
        <v>52</v>
      </c>
      <c r="L274" s="145" t="s">
        <v>848</v>
      </c>
      <c r="M274" s="145" t="str">
        <f t="shared" si="21"/>
        <v>OneCo Networks AS</v>
      </c>
      <c r="N27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4" s="268" t="str">
        <f ca="1">IFERROR(IF(
OR(Table1[[#This Row],[Product category]]="Service items",Table1[[#This Row],[Product category]]="Additional services",Table1[[#This Row],[Product category]]="Additional materials"),
"NOK",IF(($N$3&lt;&gt;""),VLOOKUP(Table1[[#This Row],[Product code]],INDIRECT(Aux!$A$1),6,FALSE),"")),"")</f>
        <v/>
      </c>
      <c r="P274" s="41" t="str">
        <f ca="1">IFERROR(IF(AND(Table1[[#This Row],[Quantity]]&lt;&gt;"",Table1[[#This Row],[Currency]]="NOK"),Table1[[#This Row],[Quantity]]*Table1[[#This Row],[Unit Price]],""),"")</f>
        <v/>
      </c>
      <c r="Q274" s="41" t="str">
        <f ca="1">IFERROR(IF(AND(Table1[[#This Row],[ACT_Qty]]&lt;&gt;"",Table1[[#This Row],[Currency]]="NOK"),Table1[[#This Row],[ACT_Qty]]*Table1[[#This Row],[Unit Price]],""),"")</f>
        <v/>
      </c>
      <c r="R274" s="41" t="str">
        <f ca="1">IFERROR(IF(AND(Table1[[#This Row],[Quantity]]&lt;&gt;"",Table1[[#This Row],[Currency]]="EUR"),Table1[[#This Row],[Quantity]]*Table1[[#This Row],[Unit Price]],""),"")</f>
        <v/>
      </c>
      <c r="S274" s="41" t="str">
        <f ca="1">IFERROR(IF(AND(Table1[[#This Row],[ACT_Qty]]&lt;&gt;"",Table1[[#This Row],[Currency]]="EUR"),Table1[[#This Row],[ACT_Qty]]*Table1[[#This Row],[Unit Price]],""),"")</f>
        <v/>
      </c>
      <c r="T274" s="269" t="str">
        <f ca="1">IFERROR(IF(AND(($N$3&lt;&gt;""),INDIRECT(Aux!$D$1)),VLOOKUP(Table1[[#This Row],[Product code]],Aux!B:E,4,FALSE),""),"")</f>
        <v/>
      </c>
      <c r="U274" s="145" t="str">
        <f>IFERROR(IF(OR(Table1[[#This Row],[Quantity]]&lt;&gt;"",Table1[[#This Row],[ACT_Qty]]&lt;&gt;""),Table1[[#This Row],[ACT_Qty]]-Table1[[#This Row],[Quantity]],""),"")</f>
        <v/>
      </c>
      <c r="V274" s="45"/>
      <c r="W274" s="45"/>
      <c r="X274" s="45"/>
    </row>
    <row r="275" spans="1:24" ht="15" customHeight="1">
      <c r="A275" s="143" t="str">
        <f t="shared" si="17"/>
        <v>AKH12345</v>
      </c>
      <c r="B275" s="256">
        <v>4409</v>
      </c>
      <c r="C275" s="143" t="s">
        <v>856</v>
      </c>
      <c r="D275" s="105"/>
      <c r="E275" s="106"/>
      <c r="F275" s="105"/>
      <c r="G275" s="106"/>
      <c r="H275" s="199" t="s">
        <v>857</v>
      </c>
      <c r="I275" s="200" t="s">
        <v>847</v>
      </c>
      <c r="J275" s="200" t="s">
        <v>847</v>
      </c>
      <c r="K275" s="200" t="s">
        <v>52</v>
      </c>
      <c r="L275" s="145" t="s">
        <v>848</v>
      </c>
      <c r="M275" s="145" t="str">
        <f>IF($C$3&lt;&gt;"",$C$3,"")</f>
        <v>OneCo Networks AS</v>
      </c>
      <c r="N2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5" s="268" t="str">
        <f ca="1">IFERROR(IF(
OR(Table1[[#This Row],[Product category]]="Service items",Table1[[#This Row],[Product category]]="Additional services",Table1[[#This Row],[Product category]]="Additional materials"),
"NOK",IF(($N$3&lt;&gt;""),VLOOKUP(Table1[[#This Row],[Product code]],INDIRECT(Aux!$A$1),6,FALSE),"")),"")</f>
        <v/>
      </c>
      <c r="P275" s="41" t="str">
        <f ca="1">IFERROR(IF(AND(Table1[[#This Row],[Quantity]]&lt;&gt;"",Table1[[#This Row],[Currency]]="NOK"),Table1[[#This Row],[Quantity]]*Table1[[#This Row],[Unit Price]],""),"")</f>
        <v/>
      </c>
      <c r="Q275" s="41" t="str">
        <f ca="1">IFERROR(IF(AND(Table1[[#This Row],[ACT_Qty]]&lt;&gt;"",Table1[[#This Row],[Currency]]="NOK"),Table1[[#This Row],[ACT_Qty]]*Table1[[#This Row],[Unit Price]],""),"")</f>
        <v/>
      </c>
      <c r="R275" s="41" t="str">
        <f ca="1">IFERROR(IF(AND(Table1[[#This Row],[Quantity]]&lt;&gt;"",Table1[[#This Row],[Currency]]="EUR"),Table1[[#This Row],[Quantity]]*Table1[[#This Row],[Unit Price]],""),"")</f>
        <v/>
      </c>
      <c r="S275" s="41" t="str">
        <f ca="1">IFERROR(IF(AND(Table1[[#This Row],[ACT_Qty]]&lt;&gt;"",Table1[[#This Row],[Currency]]="EUR"),Table1[[#This Row],[ACT_Qty]]*Table1[[#This Row],[Unit Price]],""),"")</f>
        <v/>
      </c>
      <c r="T275" s="269" t="str">
        <f ca="1">IFERROR(IF(AND(($N$3&lt;&gt;""),INDIRECT(Aux!$D$1)),VLOOKUP(Table1[[#This Row],[Product code]],Aux!B:E,4,FALSE),""),"")</f>
        <v/>
      </c>
      <c r="U275" s="145" t="str">
        <f>IFERROR(IF(OR(Table1[[#This Row],[Quantity]]&lt;&gt;"",Table1[[#This Row],[ACT_Qty]]&lt;&gt;""),Table1[[#This Row],[ACT_Qty]]-Table1[[#This Row],[Quantity]],""),"")</f>
        <v/>
      </c>
      <c r="V275" s="45"/>
      <c r="W275" s="45"/>
      <c r="X275" s="45"/>
    </row>
    <row r="276" spans="1:24" ht="15" customHeight="1">
      <c r="A276" s="143" t="str">
        <f t="shared" si="17"/>
        <v>AKH12345</v>
      </c>
      <c r="B276" s="256">
        <v>91410</v>
      </c>
      <c r="C276" s="143" t="s">
        <v>858</v>
      </c>
      <c r="D276" s="105"/>
      <c r="E276" s="106"/>
      <c r="F276" s="105"/>
      <c r="G276" s="106"/>
      <c r="H276" s="199" t="s">
        <v>859</v>
      </c>
      <c r="I276" s="200" t="s">
        <v>847</v>
      </c>
      <c r="J276" s="200" t="s">
        <v>847</v>
      </c>
      <c r="K276" s="200" t="s">
        <v>52</v>
      </c>
      <c r="L276" s="145" t="s">
        <v>848</v>
      </c>
      <c r="M276" s="145" t="str">
        <f t="shared" si="21"/>
        <v>OneCo Networks AS</v>
      </c>
      <c r="N27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6" s="268" t="str">
        <f ca="1">IFERROR(IF(
OR(Table1[[#This Row],[Product category]]="Service items",Table1[[#This Row],[Product category]]="Additional services",Table1[[#This Row],[Product category]]="Additional materials"),
"NOK",IF(($N$3&lt;&gt;""),VLOOKUP(Table1[[#This Row],[Product code]],INDIRECT(Aux!$A$1),6,FALSE),"")),"")</f>
        <v/>
      </c>
      <c r="P276" s="41" t="str">
        <f ca="1">IFERROR(IF(AND(Table1[[#This Row],[Quantity]]&lt;&gt;"",Table1[[#This Row],[Currency]]="NOK"),Table1[[#This Row],[Quantity]]*Table1[[#This Row],[Unit Price]],""),"")</f>
        <v/>
      </c>
      <c r="Q276" s="41" t="str">
        <f ca="1">IFERROR(IF(AND(Table1[[#This Row],[ACT_Qty]]&lt;&gt;"",Table1[[#This Row],[Currency]]="NOK"),Table1[[#This Row],[ACT_Qty]]*Table1[[#This Row],[Unit Price]],""),"")</f>
        <v/>
      </c>
      <c r="R276" s="41" t="str">
        <f ca="1">IFERROR(IF(AND(Table1[[#This Row],[Quantity]]&lt;&gt;"",Table1[[#This Row],[Currency]]="EUR"),Table1[[#This Row],[Quantity]]*Table1[[#This Row],[Unit Price]],""),"")</f>
        <v/>
      </c>
      <c r="S276" s="41" t="str">
        <f ca="1">IFERROR(IF(AND(Table1[[#This Row],[ACT_Qty]]&lt;&gt;"",Table1[[#This Row],[Currency]]="EUR"),Table1[[#This Row],[ACT_Qty]]*Table1[[#This Row],[Unit Price]],""),"")</f>
        <v/>
      </c>
      <c r="T276" s="269" t="str">
        <f ca="1">IFERROR(IF(AND(($N$3&lt;&gt;""),INDIRECT(Aux!$D$1)),VLOOKUP(Table1[[#This Row],[Product code]],Aux!B:E,4,FALSE),""),"")</f>
        <v/>
      </c>
      <c r="U276" s="145" t="str">
        <f>IFERROR(IF(OR(Table1[[#This Row],[Quantity]]&lt;&gt;"",Table1[[#This Row],[ACT_Qty]]&lt;&gt;""),Table1[[#This Row],[ACT_Qty]]-Table1[[#This Row],[Quantity]],""),"")</f>
        <v/>
      </c>
      <c r="V276" s="45"/>
      <c r="W276" s="45"/>
      <c r="X276" s="45"/>
    </row>
    <row r="277" spans="1:24" ht="15" customHeight="1">
      <c r="A277" s="143" t="str">
        <f t="shared" si="17"/>
        <v>AKH12345</v>
      </c>
      <c r="B277" s="256">
        <v>91379</v>
      </c>
      <c r="C277" s="143" t="s">
        <v>860</v>
      </c>
      <c r="D277" s="105"/>
      <c r="E277" s="106"/>
      <c r="F277" s="105"/>
      <c r="G277" s="106"/>
      <c r="H277" s="199" t="s">
        <v>859</v>
      </c>
      <c r="I277" s="200" t="s">
        <v>847</v>
      </c>
      <c r="J277" s="200" t="s">
        <v>847</v>
      </c>
      <c r="K277" s="200" t="s">
        <v>52</v>
      </c>
      <c r="L277" s="145" t="s">
        <v>848</v>
      </c>
      <c r="M277" s="145" t="str">
        <f>IF($C$3&lt;&gt;"",$C$3,"")</f>
        <v>OneCo Networks AS</v>
      </c>
      <c r="N2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7" s="268" t="str">
        <f ca="1">IFERROR(IF(
OR(Table1[[#This Row],[Product category]]="Service items",Table1[[#This Row],[Product category]]="Additional services",Table1[[#This Row],[Product category]]="Additional materials"),
"NOK",IF(($N$3&lt;&gt;""),VLOOKUP(Table1[[#This Row],[Product code]],INDIRECT(Aux!$A$1),6,FALSE),"")),"")</f>
        <v/>
      </c>
      <c r="P277" s="41" t="str">
        <f ca="1">IFERROR(IF(AND(Table1[[#This Row],[Quantity]]&lt;&gt;"",Table1[[#This Row],[Currency]]="NOK"),Table1[[#This Row],[Quantity]]*Table1[[#This Row],[Unit Price]],""),"")</f>
        <v/>
      </c>
      <c r="Q277" s="41" t="str">
        <f ca="1">IFERROR(IF(AND(Table1[[#This Row],[ACT_Qty]]&lt;&gt;"",Table1[[#This Row],[Currency]]="NOK"),Table1[[#This Row],[ACT_Qty]]*Table1[[#This Row],[Unit Price]],""),"")</f>
        <v/>
      </c>
      <c r="R277" s="41" t="str">
        <f ca="1">IFERROR(IF(AND(Table1[[#This Row],[Quantity]]&lt;&gt;"",Table1[[#This Row],[Currency]]="EUR"),Table1[[#This Row],[Quantity]]*Table1[[#This Row],[Unit Price]],""),"")</f>
        <v/>
      </c>
      <c r="S277" s="41" t="str">
        <f ca="1">IFERROR(IF(AND(Table1[[#This Row],[ACT_Qty]]&lt;&gt;"",Table1[[#This Row],[Currency]]="EUR"),Table1[[#This Row],[ACT_Qty]]*Table1[[#This Row],[Unit Price]],""),"")</f>
        <v/>
      </c>
      <c r="T277" s="269" t="str">
        <f ca="1">IFERROR(IF(AND(($N$3&lt;&gt;""),INDIRECT(Aux!$D$1)),VLOOKUP(Table1[[#This Row],[Product code]],Aux!B:E,4,FALSE),""),"")</f>
        <v/>
      </c>
      <c r="U277" s="145" t="str">
        <f>IFERROR(IF(OR(Table1[[#This Row],[Quantity]]&lt;&gt;"",Table1[[#This Row],[ACT_Qty]]&lt;&gt;""),Table1[[#This Row],[ACT_Qty]]-Table1[[#This Row],[Quantity]],""),"")</f>
        <v/>
      </c>
      <c r="V277" s="45"/>
      <c r="W277" s="45"/>
      <c r="X277" s="45"/>
    </row>
    <row r="278" spans="1:24" ht="15" customHeight="1">
      <c r="A278" s="143" t="str">
        <f t="shared" si="17"/>
        <v>AKH12345</v>
      </c>
      <c r="B278" s="256">
        <v>42072</v>
      </c>
      <c r="C278" s="143" t="s">
        <v>861</v>
      </c>
      <c r="D278" s="105"/>
      <c r="E278" s="106"/>
      <c r="F278" s="105"/>
      <c r="G278" s="106"/>
      <c r="H278" s="199" t="s">
        <v>859</v>
      </c>
      <c r="I278" s="200" t="s">
        <v>847</v>
      </c>
      <c r="J278" s="200" t="s">
        <v>847</v>
      </c>
      <c r="K278" s="200" t="s">
        <v>52</v>
      </c>
      <c r="L278" s="145" t="s">
        <v>848</v>
      </c>
      <c r="M278" s="145" t="str">
        <f t="shared" si="21"/>
        <v>OneCo Networks AS</v>
      </c>
      <c r="N27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8" s="268" t="str">
        <f ca="1">IFERROR(IF(
OR(Table1[[#This Row],[Product category]]="Service items",Table1[[#This Row],[Product category]]="Additional services",Table1[[#This Row],[Product category]]="Additional materials"),
"NOK",IF(($N$3&lt;&gt;""),VLOOKUP(Table1[[#This Row],[Product code]],INDIRECT(Aux!$A$1),6,FALSE),"")),"")</f>
        <v/>
      </c>
      <c r="P278" s="41" t="str">
        <f ca="1">IFERROR(IF(AND(Table1[[#This Row],[Quantity]]&lt;&gt;"",Table1[[#This Row],[Currency]]="NOK"),Table1[[#This Row],[Quantity]]*Table1[[#This Row],[Unit Price]],""),"")</f>
        <v/>
      </c>
      <c r="Q278" s="41" t="str">
        <f ca="1">IFERROR(IF(AND(Table1[[#This Row],[ACT_Qty]]&lt;&gt;"",Table1[[#This Row],[Currency]]="NOK"),Table1[[#This Row],[ACT_Qty]]*Table1[[#This Row],[Unit Price]],""),"")</f>
        <v/>
      </c>
      <c r="R278" s="41" t="str">
        <f ca="1">IFERROR(IF(AND(Table1[[#This Row],[Quantity]]&lt;&gt;"",Table1[[#This Row],[Currency]]="EUR"),Table1[[#This Row],[Quantity]]*Table1[[#This Row],[Unit Price]],""),"")</f>
        <v/>
      </c>
      <c r="S278" s="41" t="str">
        <f ca="1">IFERROR(IF(AND(Table1[[#This Row],[ACT_Qty]]&lt;&gt;"",Table1[[#This Row],[Currency]]="EUR"),Table1[[#This Row],[ACT_Qty]]*Table1[[#This Row],[Unit Price]],""),"")</f>
        <v/>
      </c>
      <c r="T278" s="269" t="str">
        <f ca="1">IFERROR(IF(AND(($N$3&lt;&gt;""),INDIRECT(Aux!$D$1)),VLOOKUP(Table1[[#This Row],[Product code]],Aux!B:E,4,FALSE),""),"")</f>
        <v/>
      </c>
      <c r="U278" s="145" t="str">
        <f>IFERROR(IF(OR(Table1[[#This Row],[Quantity]]&lt;&gt;"",Table1[[#This Row],[ACT_Qty]]&lt;&gt;""),Table1[[#This Row],[ACT_Qty]]-Table1[[#This Row],[Quantity]],""),"")</f>
        <v/>
      </c>
      <c r="V278" s="45"/>
      <c r="W278" s="45"/>
      <c r="X278" s="45"/>
    </row>
    <row r="279" spans="1:24" ht="15" customHeight="1">
      <c r="A279" s="143" t="str">
        <f t="shared" si="17"/>
        <v>AKH12345</v>
      </c>
      <c r="B279" s="256">
        <v>9671</v>
      </c>
      <c r="C279" s="143" t="s">
        <v>862</v>
      </c>
      <c r="D279" s="105"/>
      <c r="E279" s="106"/>
      <c r="F279" s="105"/>
      <c r="G279" s="106"/>
      <c r="H279" s="199" t="s">
        <v>859</v>
      </c>
      <c r="I279" s="200" t="s">
        <v>847</v>
      </c>
      <c r="J279" s="200" t="s">
        <v>847</v>
      </c>
      <c r="K279" s="200" t="s">
        <v>52</v>
      </c>
      <c r="L279" s="145" t="s">
        <v>848</v>
      </c>
      <c r="M279" s="145" t="str">
        <f t="shared" si="21"/>
        <v>OneCo Networks AS</v>
      </c>
      <c r="N2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79" s="268" t="str">
        <f ca="1">IFERROR(IF(
OR(Table1[[#This Row],[Product category]]="Service items",Table1[[#This Row],[Product category]]="Additional services",Table1[[#This Row],[Product category]]="Additional materials"),
"NOK",IF(($N$3&lt;&gt;""),VLOOKUP(Table1[[#This Row],[Product code]],INDIRECT(Aux!$A$1),6,FALSE),"")),"")</f>
        <v/>
      </c>
      <c r="P279" s="41" t="str">
        <f ca="1">IFERROR(IF(AND(Table1[[#This Row],[Quantity]]&lt;&gt;"",Table1[[#This Row],[Currency]]="NOK"),Table1[[#This Row],[Quantity]]*Table1[[#This Row],[Unit Price]],""),"")</f>
        <v/>
      </c>
      <c r="Q279" s="41" t="str">
        <f ca="1">IFERROR(IF(AND(Table1[[#This Row],[ACT_Qty]]&lt;&gt;"",Table1[[#This Row],[Currency]]="NOK"),Table1[[#This Row],[ACT_Qty]]*Table1[[#This Row],[Unit Price]],""),"")</f>
        <v/>
      </c>
      <c r="R279" s="41" t="str">
        <f ca="1">IFERROR(IF(AND(Table1[[#This Row],[Quantity]]&lt;&gt;"",Table1[[#This Row],[Currency]]="EUR"),Table1[[#This Row],[Quantity]]*Table1[[#This Row],[Unit Price]],""),"")</f>
        <v/>
      </c>
      <c r="S279" s="41" t="str">
        <f ca="1">IFERROR(IF(AND(Table1[[#This Row],[ACT_Qty]]&lt;&gt;"",Table1[[#This Row],[Currency]]="EUR"),Table1[[#This Row],[ACT_Qty]]*Table1[[#This Row],[Unit Price]],""),"")</f>
        <v/>
      </c>
      <c r="T279" s="269" t="str">
        <f ca="1">IFERROR(IF(AND(($N$3&lt;&gt;""),INDIRECT(Aux!$D$1)),VLOOKUP(Table1[[#This Row],[Product code]],Aux!B:E,4,FALSE),""),"")</f>
        <v/>
      </c>
      <c r="U279" s="145" t="str">
        <f>IFERROR(IF(OR(Table1[[#This Row],[Quantity]]&lt;&gt;"",Table1[[#This Row],[ACT_Qty]]&lt;&gt;""),Table1[[#This Row],[ACT_Qty]]-Table1[[#This Row],[Quantity]],""),"")</f>
        <v/>
      </c>
      <c r="V279" s="45"/>
      <c r="W279" s="45"/>
      <c r="X279" s="45"/>
    </row>
    <row r="280" spans="1:24" ht="15" customHeight="1">
      <c r="A280" s="143" t="str">
        <f t="shared" si="17"/>
        <v>AKH12345</v>
      </c>
      <c r="B280" s="256">
        <v>9283</v>
      </c>
      <c r="C280" s="143" t="s">
        <v>863</v>
      </c>
      <c r="D280" s="105"/>
      <c r="E280" s="106"/>
      <c r="F280" s="105"/>
      <c r="G280" s="106"/>
      <c r="H280" s="199" t="s">
        <v>859</v>
      </c>
      <c r="I280" s="200" t="s">
        <v>847</v>
      </c>
      <c r="J280" s="200" t="s">
        <v>847</v>
      </c>
      <c r="K280" s="200" t="s">
        <v>52</v>
      </c>
      <c r="L280" s="145" t="s">
        <v>848</v>
      </c>
      <c r="M280" s="145" t="str">
        <f t="shared" si="21"/>
        <v>OneCo Networks AS</v>
      </c>
      <c r="N28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0" s="268" t="str">
        <f ca="1">IFERROR(IF(
OR(Table1[[#This Row],[Product category]]="Service items",Table1[[#This Row],[Product category]]="Additional services",Table1[[#This Row],[Product category]]="Additional materials"),
"NOK",IF(($N$3&lt;&gt;""),VLOOKUP(Table1[[#This Row],[Product code]],INDIRECT(Aux!$A$1),6,FALSE),"")),"")</f>
        <v/>
      </c>
      <c r="P280" s="41" t="str">
        <f ca="1">IFERROR(IF(AND(Table1[[#This Row],[Quantity]]&lt;&gt;"",Table1[[#This Row],[Currency]]="NOK"),Table1[[#This Row],[Quantity]]*Table1[[#This Row],[Unit Price]],""),"")</f>
        <v/>
      </c>
      <c r="Q280" s="41" t="str">
        <f ca="1">IFERROR(IF(AND(Table1[[#This Row],[ACT_Qty]]&lt;&gt;"",Table1[[#This Row],[Currency]]="NOK"),Table1[[#This Row],[ACT_Qty]]*Table1[[#This Row],[Unit Price]],""),"")</f>
        <v/>
      </c>
      <c r="R280" s="41" t="str">
        <f ca="1">IFERROR(IF(AND(Table1[[#This Row],[Quantity]]&lt;&gt;"",Table1[[#This Row],[Currency]]="EUR"),Table1[[#This Row],[Quantity]]*Table1[[#This Row],[Unit Price]],""),"")</f>
        <v/>
      </c>
      <c r="S280" s="41" t="str">
        <f ca="1">IFERROR(IF(AND(Table1[[#This Row],[ACT_Qty]]&lt;&gt;"",Table1[[#This Row],[Currency]]="EUR"),Table1[[#This Row],[ACT_Qty]]*Table1[[#This Row],[Unit Price]],""),"")</f>
        <v/>
      </c>
      <c r="T280" s="269" t="str">
        <f ca="1">IFERROR(IF(AND(($N$3&lt;&gt;""),INDIRECT(Aux!$D$1)),VLOOKUP(Table1[[#This Row],[Product code]],Aux!B:E,4,FALSE),""),"")</f>
        <v/>
      </c>
      <c r="U280" s="145" t="str">
        <f>IFERROR(IF(OR(Table1[[#This Row],[Quantity]]&lt;&gt;"",Table1[[#This Row],[ACT_Qty]]&lt;&gt;""),Table1[[#This Row],[ACT_Qty]]-Table1[[#This Row],[Quantity]],""),"")</f>
        <v/>
      </c>
      <c r="V280" s="45"/>
      <c r="W280" s="45"/>
      <c r="X280" s="45"/>
    </row>
    <row r="281" spans="1:24" ht="15" customHeight="1">
      <c r="A281" s="143" t="str">
        <f t="shared" si="17"/>
        <v>AKH12345</v>
      </c>
      <c r="B281" s="256">
        <v>9494</v>
      </c>
      <c r="C281" s="143" t="s">
        <v>864</v>
      </c>
      <c r="D281" s="105"/>
      <c r="E281" s="106"/>
      <c r="F281" s="105"/>
      <c r="G281" s="106"/>
      <c r="H281" s="199" t="s">
        <v>859</v>
      </c>
      <c r="I281" s="200" t="s">
        <v>847</v>
      </c>
      <c r="J281" s="200" t="s">
        <v>847</v>
      </c>
      <c r="K281" s="200" t="s">
        <v>52</v>
      </c>
      <c r="L281" s="145" t="s">
        <v>848</v>
      </c>
      <c r="M281" s="145" t="str">
        <f t="shared" si="21"/>
        <v>OneCo Networks AS</v>
      </c>
      <c r="N2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1" s="268" t="str">
        <f ca="1">IFERROR(IF(
OR(Table1[[#This Row],[Product category]]="Service items",Table1[[#This Row],[Product category]]="Additional services",Table1[[#This Row],[Product category]]="Additional materials"),
"NOK",IF(($N$3&lt;&gt;""),VLOOKUP(Table1[[#This Row],[Product code]],INDIRECT(Aux!$A$1),6,FALSE),"")),"")</f>
        <v/>
      </c>
      <c r="P281" s="41" t="str">
        <f ca="1">IFERROR(IF(AND(Table1[[#This Row],[Quantity]]&lt;&gt;"",Table1[[#This Row],[Currency]]="NOK"),Table1[[#This Row],[Quantity]]*Table1[[#This Row],[Unit Price]],""),"")</f>
        <v/>
      </c>
      <c r="Q281" s="41" t="str">
        <f ca="1">IFERROR(IF(AND(Table1[[#This Row],[ACT_Qty]]&lt;&gt;"",Table1[[#This Row],[Currency]]="NOK"),Table1[[#This Row],[ACT_Qty]]*Table1[[#This Row],[Unit Price]],""),"")</f>
        <v/>
      </c>
      <c r="R281" s="41" t="str">
        <f ca="1">IFERROR(IF(AND(Table1[[#This Row],[Quantity]]&lt;&gt;"",Table1[[#This Row],[Currency]]="EUR"),Table1[[#This Row],[Quantity]]*Table1[[#This Row],[Unit Price]],""),"")</f>
        <v/>
      </c>
      <c r="S281" s="41" t="str">
        <f ca="1">IFERROR(IF(AND(Table1[[#This Row],[ACT_Qty]]&lt;&gt;"",Table1[[#This Row],[Currency]]="EUR"),Table1[[#This Row],[ACT_Qty]]*Table1[[#This Row],[Unit Price]],""),"")</f>
        <v/>
      </c>
      <c r="T281" s="269" t="str">
        <f ca="1">IFERROR(IF(AND(($N$3&lt;&gt;""),INDIRECT(Aux!$D$1)),VLOOKUP(Table1[[#This Row],[Product code]],Aux!B:E,4,FALSE),""),"")</f>
        <v/>
      </c>
      <c r="U281" s="145" t="str">
        <f>IFERROR(IF(OR(Table1[[#This Row],[Quantity]]&lt;&gt;"",Table1[[#This Row],[ACT_Qty]]&lt;&gt;""),Table1[[#This Row],[ACT_Qty]]-Table1[[#This Row],[Quantity]],""),"")</f>
        <v/>
      </c>
      <c r="V281" s="45"/>
      <c r="W281" s="45"/>
      <c r="X281" s="45"/>
    </row>
    <row r="282" spans="1:24" ht="15" customHeight="1">
      <c r="A282" s="143" t="str">
        <f t="shared" si="17"/>
        <v>AKH12345</v>
      </c>
      <c r="B282" s="256" t="s">
        <v>865</v>
      </c>
      <c r="C282" s="143" t="s">
        <v>866</v>
      </c>
      <c r="D282" s="105"/>
      <c r="E282" s="106"/>
      <c r="F282" s="105"/>
      <c r="G282" s="106"/>
      <c r="H282" s="199" t="s">
        <v>859</v>
      </c>
      <c r="I282" s="200" t="s">
        <v>847</v>
      </c>
      <c r="J282" s="200" t="s">
        <v>847</v>
      </c>
      <c r="K282" s="200" t="s">
        <v>52</v>
      </c>
      <c r="L282" s="145" t="s">
        <v>848</v>
      </c>
      <c r="M282" s="145" t="str">
        <f>IF($C$3&lt;&gt;"",$C$3,"")</f>
        <v>OneCo Networks AS</v>
      </c>
      <c r="N28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2" s="268" t="str">
        <f ca="1">IFERROR(IF(
OR(Table1[[#This Row],[Product category]]="Service items",Table1[[#This Row],[Product category]]="Additional services",Table1[[#This Row],[Product category]]="Additional materials"),
"NOK",IF(($N$3&lt;&gt;""),VLOOKUP(Table1[[#This Row],[Product code]],INDIRECT(Aux!$A$1),6,FALSE),"")),"")</f>
        <v/>
      </c>
      <c r="P282" s="41" t="str">
        <f ca="1">IFERROR(IF(AND(Table1[[#This Row],[Quantity]]&lt;&gt;"",Table1[[#This Row],[Currency]]="NOK"),Table1[[#This Row],[Quantity]]*Table1[[#This Row],[Unit Price]],""),"")</f>
        <v/>
      </c>
      <c r="Q282" s="41" t="str">
        <f ca="1">IFERROR(IF(AND(Table1[[#This Row],[ACT_Qty]]&lt;&gt;"",Table1[[#This Row],[Currency]]="NOK"),Table1[[#This Row],[ACT_Qty]]*Table1[[#This Row],[Unit Price]],""),"")</f>
        <v/>
      </c>
      <c r="R282" s="41" t="str">
        <f ca="1">IFERROR(IF(AND(Table1[[#This Row],[Quantity]]&lt;&gt;"",Table1[[#This Row],[Currency]]="EUR"),Table1[[#This Row],[Quantity]]*Table1[[#This Row],[Unit Price]],""),"")</f>
        <v/>
      </c>
      <c r="S282" s="41" t="str">
        <f ca="1">IFERROR(IF(AND(Table1[[#This Row],[ACT_Qty]]&lt;&gt;"",Table1[[#This Row],[Currency]]="EUR"),Table1[[#This Row],[ACT_Qty]]*Table1[[#This Row],[Unit Price]],""),"")</f>
        <v/>
      </c>
      <c r="T282" s="269" t="str">
        <f ca="1">IFERROR(IF(AND(($N$3&lt;&gt;""),INDIRECT(Aux!$D$1)),VLOOKUP(Table1[[#This Row],[Product code]],Aux!B:E,4,FALSE),""),"")</f>
        <v/>
      </c>
      <c r="U282" s="145" t="str">
        <f>IFERROR(IF(OR(Table1[[#This Row],[Quantity]]&lt;&gt;"",Table1[[#This Row],[ACT_Qty]]&lt;&gt;""),Table1[[#This Row],[ACT_Qty]]-Table1[[#This Row],[Quantity]],""),"")</f>
        <v/>
      </c>
      <c r="V282" s="45"/>
      <c r="W282" s="45"/>
      <c r="X282" s="45"/>
    </row>
    <row r="283" spans="1:24" ht="15" customHeight="1">
      <c r="A283" s="143" t="str">
        <f t="shared" si="17"/>
        <v>AKH12345</v>
      </c>
      <c r="B283" s="256" t="s">
        <v>867</v>
      </c>
      <c r="C283" s="143" t="s">
        <v>868</v>
      </c>
      <c r="D283" s="105"/>
      <c r="E283" s="106"/>
      <c r="F283" s="105"/>
      <c r="G283" s="106"/>
      <c r="H283" s="199" t="s">
        <v>859</v>
      </c>
      <c r="I283" s="200" t="s">
        <v>847</v>
      </c>
      <c r="J283" s="200" t="s">
        <v>847</v>
      </c>
      <c r="K283" s="200" t="s">
        <v>52</v>
      </c>
      <c r="L283" s="145" t="s">
        <v>848</v>
      </c>
      <c r="M283" s="145" t="str">
        <f>IF($C$3&lt;&gt;"",$C$3,"")</f>
        <v>OneCo Networks AS</v>
      </c>
      <c r="N2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3" s="268" t="str">
        <f ca="1">IFERROR(IF(
OR(Table1[[#This Row],[Product category]]="Service items",Table1[[#This Row],[Product category]]="Additional services",Table1[[#This Row],[Product category]]="Additional materials"),
"NOK",IF(($N$3&lt;&gt;""),VLOOKUP(Table1[[#This Row],[Product code]],INDIRECT(Aux!$A$1),6,FALSE),"")),"")</f>
        <v/>
      </c>
      <c r="P283" s="41" t="str">
        <f ca="1">IFERROR(IF(AND(Table1[[#This Row],[Quantity]]&lt;&gt;"",Table1[[#This Row],[Currency]]="NOK"),Table1[[#This Row],[Quantity]]*Table1[[#This Row],[Unit Price]],""),"")</f>
        <v/>
      </c>
      <c r="Q283" s="41" t="str">
        <f ca="1">IFERROR(IF(AND(Table1[[#This Row],[ACT_Qty]]&lt;&gt;"",Table1[[#This Row],[Currency]]="NOK"),Table1[[#This Row],[ACT_Qty]]*Table1[[#This Row],[Unit Price]],""),"")</f>
        <v/>
      </c>
      <c r="R283" s="41" t="str">
        <f ca="1">IFERROR(IF(AND(Table1[[#This Row],[Quantity]]&lt;&gt;"",Table1[[#This Row],[Currency]]="EUR"),Table1[[#This Row],[Quantity]]*Table1[[#This Row],[Unit Price]],""),"")</f>
        <v/>
      </c>
      <c r="S283" s="41" t="str">
        <f ca="1">IFERROR(IF(AND(Table1[[#This Row],[ACT_Qty]]&lt;&gt;"",Table1[[#This Row],[Currency]]="EUR"),Table1[[#This Row],[ACT_Qty]]*Table1[[#This Row],[Unit Price]],""),"")</f>
        <v/>
      </c>
      <c r="T283" s="269" t="str">
        <f ca="1">IFERROR(IF(AND(($N$3&lt;&gt;""),INDIRECT(Aux!$D$1)),VLOOKUP(Table1[[#This Row],[Product code]],Aux!B:E,4,FALSE),""),"")</f>
        <v/>
      </c>
      <c r="U283" s="145" t="str">
        <f>IFERROR(IF(OR(Table1[[#This Row],[Quantity]]&lt;&gt;"",Table1[[#This Row],[ACT_Qty]]&lt;&gt;""),Table1[[#This Row],[ACT_Qty]]-Table1[[#This Row],[Quantity]],""),"")</f>
        <v/>
      </c>
      <c r="V283" s="45"/>
      <c r="W283" s="45"/>
      <c r="X283" s="45"/>
    </row>
    <row r="284" spans="1:24" ht="15" customHeight="1">
      <c r="A284" s="143" t="str">
        <f t="shared" si="17"/>
        <v>AKH12345</v>
      </c>
      <c r="B284" s="256" t="s">
        <v>869</v>
      </c>
      <c r="C284" s="143" t="s">
        <v>870</v>
      </c>
      <c r="D284" s="105"/>
      <c r="E284" s="106"/>
      <c r="F284" s="105"/>
      <c r="G284" s="106"/>
      <c r="H284" s="199" t="s">
        <v>859</v>
      </c>
      <c r="I284" s="200" t="s">
        <v>847</v>
      </c>
      <c r="J284" s="200" t="s">
        <v>847</v>
      </c>
      <c r="K284" s="200" t="s">
        <v>52</v>
      </c>
      <c r="L284" s="145" t="s">
        <v>848</v>
      </c>
      <c r="M284" s="145" t="str">
        <f t="shared" si="21"/>
        <v>OneCo Networks AS</v>
      </c>
      <c r="N28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4" s="268" t="str">
        <f ca="1">IFERROR(IF(
OR(Table1[[#This Row],[Product category]]="Service items",Table1[[#This Row],[Product category]]="Additional services",Table1[[#This Row],[Product category]]="Additional materials"),
"NOK",IF(($N$3&lt;&gt;""),VLOOKUP(Table1[[#This Row],[Product code]],INDIRECT(Aux!$A$1),6,FALSE),"")),"")</f>
        <v/>
      </c>
      <c r="P284" s="41" t="str">
        <f ca="1">IFERROR(IF(AND(Table1[[#This Row],[Quantity]]&lt;&gt;"",Table1[[#This Row],[Currency]]="NOK"),Table1[[#This Row],[Quantity]]*Table1[[#This Row],[Unit Price]],""),"")</f>
        <v/>
      </c>
      <c r="Q284" s="41" t="str">
        <f ca="1">IFERROR(IF(AND(Table1[[#This Row],[ACT_Qty]]&lt;&gt;"",Table1[[#This Row],[Currency]]="NOK"),Table1[[#This Row],[ACT_Qty]]*Table1[[#This Row],[Unit Price]],""),"")</f>
        <v/>
      </c>
      <c r="R284" s="41" t="str">
        <f ca="1">IFERROR(IF(AND(Table1[[#This Row],[Quantity]]&lt;&gt;"",Table1[[#This Row],[Currency]]="EUR"),Table1[[#This Row],[Quantity]]*Table1[[#This Row],[Unit Price]],""),"")</f>
        <v/>
      </c>
      <c r="S284" s="41" t="str">
        <f ca="1">IFERROR(IF(AND(Table1[[#This Row],[ACT_Qty]]&lt;&gt;"",Table1[[#This Row],[Currency]]="EUR"),Table1[[#This Row],[ACT_Qty]]*Table1[[#This Row],[Unit Price]],""),"")</f>
        <v/>
      </c>
      <c r="T284" s="269" t="str">
        <f ca="1">IFERROR(IF(AND(($N$3&lt;&gt;""),INDIRECT(Aux!$D$1)),VLOOKUP(Table1[[#This Row],[Product code]],Aux!B:E,4,FALSE),""),"")</f>
        <v/>
      </c>
      <c r="U284" s="145" t="str">
        <f>IFERROR(IF(OR(Table1[[#This Row],[Quantity]]&lt;&gt;"",Table1[[#This Row],[ACT_Qty]]&lt;&gt;""),Table1[[#This Row],[ACT_Qty]]-Table1[[#This Row],[Quantity]],""),"")</f>
        <v/>
      </c>
      <c r="V284" s="45"/>
      <c r="W284" s="45"/>
      <c r="X284" s="45"/>
    </row>
    <row r="285" spans="1:24" ht="15" customHeight="1">
      <c r="A285" s="143" t="str">
        <f t="shared" si="17"/>
        <v>AKH12345</v>
      </c>
      <c r="B285" s="256" t="s">
        <v>871</v>
      </c>
      <c r="C285" s="143" t="s">
        <v>872</v>
      </c>
      <c r="D285" s="105"/>
      <c r="E285" s="106"/>
      <c r="F285" s="105"/>
      <c r="G285" s="106"/>
      <c r="H285" s="199" t="s">
        <v>859</v>
      </c>
      <c r="I285" s="200" t="s">
        <v>847</v>
      </c>
      <c r="J285" s="200" t="s">
        <v>847</v>
      </c>
      <c r="K285" s="200" t="s">
        <v>52</v>
      </c>
      <c r="L285" s="145" t="s">
        <v>848</v>
      </c>
      <c r="M285" s="145" t="str">
        <f t="shared" si="21"/>
        <v>OneCo Networks AS</v>
      </c>
      <c r="N2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5" s="268" t="str">
        <f ca="1">IFERROR(IF(
OR(Table1[[#This Row],[Product category]]="Service items",Table1[[#This Row],[Product category]]="Additional services",Table1[[#This Row],[Product category]]="Additional materials"),
"NOK",IF(($N$3&lt;&gt;""),VLOOKUP(Table1[[#This Row],[Product code]],INDIRECT(Aux!$A$1),6,FALSE),"")),"")</f>
        <v/>
      </c>
      <c r="P285" s="41" t="str">
        <f ca="1">IFERROR(IF(AND(Table1[[#This Row],[Quantity]]&lt;&gt;"",Table1[[#This Row],[Currency]]="NOK"),Table1[[#This Row],[Quantity]]*Table1[[#This Row],[Unit Price]],""),"")</f>
        <v/>
      </c>
      <c r="Q285" s="41" t="str">
        <f ca="1">IFERROR(IF(AND(Table1[[#This Row],[ACT_Qty]]&lt;&gt;"",Table1[[#This Row],[Currency]]="NOK"),Table1[[#This Row],[ACT_Qty]]*Table1[[#This Row],[Unit Price]],""),"")</f>
        <v/>
      </c>
      <c r="R285" s="41" t="str">
        <f ca="1">IFERROR(IF(AND(Table1[[#This Row],[Quantity]]&lt;&gt;"",Table1[[#This Row],[Currency]]="EUR"),Table1[[#This Row],[Quantity]]*Table1[[#This Row],[Unit Price]],""),"")</f>
        <v/>
      </c>
      <c r="S285" s="41" t="str">
        <f ca="1">IFERROR(IF(AND(Table1[[#This Row],[ACT_Qty]]&lt;&gt;"",Table1[[#This Row],[Currency]]="EUR"),Table1[[#This Row],[ACT_Qty]]*Table1[[#This Row],[Unit Price]],""),"")</f>
        <v/>
      </c>
      <c r="T285" s="269" t="str">
        <f ca="1">IFERROR(IF(AND(($N$3&lt;&gt;""),INDIRECT(Aux!$D$1)),VLOOKUP(Table1[[#This Row],[Product code]],Aux!B:E,4,FALSE),""),"")</f>
        <v/>
      </c>
      <c r="U285" s="145" t="str">
        <f>IFERROR(IF(OR(Table1[[#This Row],[Quantity]]&lt;&gt;"",Table1[[#This Row],[ACT_Qty]]&lt;&gt;""),Table1[[#This Row],[ACT_Qty]]-Table1[[#This Row],[Quantity]],""),"")</f>
        <v/>
      </c>
      <c r="V285" s="45"/>
      <c r="W285" s="45"/>
      <c r="X285" s="45"/>
    </row>
    <row r="286" spans="1:24" ht="15" customHeight="1">
      <c r="A286" s="143" t="str">
        <f t="shared" si="17"/>
        <v>AKH12345</v>
      </c>
      <c r="B286" s="256" t="s">
        <v>873</v>
      </c>
      <c r="C286" s="143" t="s">
        <v>874</v>
      </c>
      <c r="D286" s="105"/>
      <c r="E286" s="106"/>
      <c r="F286" s="105"/>
      <c r="G286" s="106"/>
      <c r="H286" s="199" t="s">
        <v>859</v>
      </c>
      <c r="I286" s="200" t="s">
        <v>847</v>
      </c>
      <c r="J286" s="200" t="s">
        <v>847</v>
      </c>
      <c r="K286" s="200" t="s">
        <v>52</v>
      </c>
      <c r="L286" s="145" t="s">
        <v>848</v>
      </c>
      <c r="M286" s="145" t="str">
        <f t="shared" si="21"/>
        <v>OneCo Networks AS</v>
      </c>
      <c r="N28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6" s="268" t="str">
        <f ca="1">IFERROR(IF(
OR(Table1[[#This Row],[Product category]]="Service items",Table1[[#This Row],[Product category]]="Additional services",Table1[[#This Row],[Product category]]="Additional materials"),
"NOK",IF(($N$3&lt;&gt;""),VLOOKUP(Table1[[#This Row],[Product code]],INDIRECT(Aux!$A$1),6,FALSE),"")),"")</f>
        <v/>
      </c>
      <c r="P286" s="41" t="str">
        <f ca="1">IFERROR(IF(AND(Table1[[#This Row],[Quantity]]&lt;&gt;"",Table1[[#This Row],[Currency]]="NOK"),Table1[[#This Row],[Quantity]]*Table1[[#This Row],[Unit Price]],""),"")</f>
        <v/>
      </c>
      <c r="Q286" s="41" t="str">
        <f ca="1">IFERROR(IF(AND(Table1[[#This Row],[ACT_Qty]]&lt;&gt;"",Table1[[#This Row],[Currency]]="NOK"),Table1[[#This Row],[ACT_Qty]]*Table1[[#This Row],[Unit Price]],""),"")</f>
        <v/>
      </c>
      <c r="R286" s="41" t="str">
        <f ca="1">IFERROR(IF(AND(Table1[[#This Row],[Quantity]]&lt;&gt;"",Table1[[#This Row],[Currency]]="EUR"),Table1[[#This Row],[Quantity]]*Table1[[#This Row],[Unit Price]],""),"")</f>
        <v/>
      </c>
      <c r="S286" s="41" t="str">
        <f ca="1">IFERROR(IF(AND(Table1[[#This Row],[ACT_Qty]]&lt;&gt;"",Table1[[#This Row],[Currency]]="EUR"),Table1[[#This Row],[ACT_Qty]]*Table1[[#This Row],[Unit Price]],""),"")</f>
        <v/>
      </c>
      <c r="T286" s="269" t="str">
        <f ca="1">IFERROR(IF(AND(($N$3&lt;&gt;""),INDIRECT(Aux!$D$1)),VLOOKUP(Table1[[#This Row],[Product code]],Aux!B:E,4,FALSE),""),"")</f>
        <v/>
      </c>
      <c r="U286" s="145" t="str">
        <f>IFERROR(IF(OR(Table1[[#This Row],[Quantity]]&lt;&gt;"",Table1[[#This Row],[ACT_Qty]]&lt;&gt;""),Table1[[#This Row],[ACT_Qty]]-Table1[[#This Row],[Quantity]],""),"")</f>
        <v/>
      </c>
      <c r="V286" s="45"/>
      <c r="W286" s="45"/>
      <c r="X286" s="45"/>
    </row>
    <row r="287" spans="1:24" ht="15" customHeight="1">
      <c r="A287" s="143" t="str">
        <f t="shared" si="17"/>
        <v>AKH12345</v>
      </c>
      <c r="B287" s="256" t="s">
        <v>875</v>
      </c>
      <c r="C287" s="143" t="s">
        <v>876</v>
      </c>
      <c r="D287" s="105"/>
      <c r="E287" s="106"/>
      <c r="F287" s="105"/>
      <c r="G287" s="106"/>
      <c r="H287" s="199" t="s">
        <v>859</v>
      </c>
      <c r="I287" s="200" t="s">
        <v>847</v>
      </c>
      <c r="J287" s="200" t="s">
        <v>847</v>
      </c>
      <c r="K287" s="200" t="s">
        <v>52</v>
      </c>
      <c r="L287" s="145" t="s">
        <v>848</v>
      </c>
      <c r="M287" s="145" t="str">
        <f t="shared" si="21"/>
        <v>OneCo Networks AS</v>
      </c>
      <c r="N2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7" s="268" t="str">
        <f ca="1">IFERROR(IF(
OR(Table1[[#This Row],[Product category]]="Service items",Table1[[#This Row],[Product category]]="Additional services",Table1[[#This Row],[Product category]]="Additional materials"),
"NOK",IF(($N$3&lt;&gt;""),VLOOKUP(Table1[[#This Row],[Product code]],INDIRECT(Aux!$A$1),6,FALSE),"")),"")</f>
        <v/>
      </c>
      <c r="P287" s="41" t="str">
        <f ca="1">IFERROR(IF(AND(Table1[[#This Row],[Quantity]]&lt;&gt;"",Table1[[#This Row],[Currency]]="NOK"),Table1[[#This Row],[Quantity]]*Table1[[#This Row],[Unit Price]],""),"")</f>
        <v/>
      </c>
      <c r="Q287" s="41" t="str">
        <f ca="1">IFERROR(IF(AND(Table1[[#This Row],[ACT_Qty]]&lt;&gt;"",Table1[[#This Row],[Currency]]="NOK"),Table1[[#This Row],[ACT_Qty]]*Table1[[#This Row],[Unit Price]],""),"")</f>
        <v/>
      </c>
      <c r="R287" s="41" t="str">
        <f ca="1">IFERROR(IF(AND(Table1[[#This Row],[Quantity]]&lt;&gt;"",Table1[[#This Row],[Currency]]="EUR"),Table1[[#This Row],[Quantity]]*Table1[[#This Row],[Unit Price]],""),"")</f>
        <v/>
      </c>
      <c r="S287" s="41" t="str">
        <f ca="1">IFERROR(IF(AND(Table1[[#This Row],[ACT_Qty]]&lt;&gt;"",Table1[[#This Row],[Currency]]="EUR"),Table1[[#This Row],[ACT_Qty]]*Table1[[#This Row],[Unit Price]],""),"")</f>
        <v/>
      </c>
      <c r="T287" s="269" t="str">
        <f ca="1">IFERROR(IF(AND(($N$3&lt;&gt;""),INDIRECT(Aux!$D$1)),VLOOKUP(Table1[[#This Row],[Product code]],Aux!B:E,4,FALSE),""),"")</f>
        <v/>
      </c>
      <c r="U287" s="145" t="str">
        <f>IFERROR(IF(OR(Table1[[#This Row],[Quantity]]&lt;&gt;"",Table1[[#This Row],[ACT_Qty]]&lt;&gt;""),Table1[[#This Row],[ACT_Qty]]-Table1[[#This Row],[Quantity]],""),"")</f>
        <v/>
      </c>
      <c r="V287" s="45"/>
      <c r="W287" s="45"/>
      <c r="X287" s="45"/>
    </row>
    <row r="288" spans="1:24" ht="15" customHeight="1">
      <c r="A288" s="143" t="str">
        <f t="shared" ref="A288:A353" si="22">$C$4</f>
        <v>AKH12345</v>
      </c>
      <c r="B288" s="256">
        <v>2414</v>
      </c>
      <c r="C288" s="143" t="s">
        <v>877</v>
      </c>
      <c r="D288" s="105"/>
      <c r="E288" s="106"/>
      <c r="F288" s="105"/>
      <c r="G288" s="106"/>
      <c r="H288" s="199" t="s">
        <v>859</v>
      </c>
      <c r="I288" s="200" t="s">
        <v>847</v>
      </c>
      <c r="J288" s="200" t="s">
        <v>847</v>
      </c>
      <c r="K288" s="200" t="s">
        <v>52</v>
      </c>
      <c r="L288" s="145" t="s">
        <v>848</v>
      </c>
      <c r="M288" s="145" t="str">
        <f t="shared" si="21"/>
        <v>OneCo Networks AS</v>
      </c>
      <c r="N28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8" s="268" t="str">
        <f ca="1">IFERROR(IF(
OR(Table1[[#This Row],[Product category]]="Service items",Table1[[#This Row],[Product category]]="Additional services",Table1[[#This Row],[Product category]]="Additional materials"),
"NOK",IF(($N$3&lt;&gt;""),VLOOKUP(Table1[[#This Row],[Product code]],INDIRECT(Aux!$A$1),6,FALSE),"")),"")</f>
        <v/>
      </c>
      <c r="P288" s="41" t="str">
        <f ca="1">IFERROR(IF(AND(Table1[[#This Row],[Quantity]]&lt;&gt;"",Table1[[#This Row],[Currency]]="NOK"),Table1[[#This Row],[Quantity]]*Table1[[#This Row],[Unit Price]],""),"")</f>
        <v/>
      </c>
      <c r="Q288" s="41" t="str">
        <f ca="1">IFERROR(IF(AND(Table1[[#This Row],[ACT_Qty]]&lt;&gt;"",Table1[[#This Row],[Currency]]="NOK"),Table1[[#This Row],[ACT_Qty]]*Table1[[#This Row],[Unit Price]],""),"")</f>
        <v/>
      </c>
      <c r="R288" s="41" t="str">
        <f ca="1">IFERROR(IF(AND(Table1[[#This Row],[Quantity]]&lt;&gt;"",Table1[[#This Row],[Currency]]="EUR"),Table1[[#This Row],[Quantity]]*Table1[[#This Row],[Unit Price]],""),"")</f>
        <v/>
      </c>
      <c r="S288" s="41" t="str">
        <f ca="1">IFERROR(IF(AND(Table1[[#This Row],[ACT_Qty]]&lt;&gt;"",Table1[[#This Row],[Currency]]="EUR"),Table1[[#This Row],[ACT_Qty]]*Table1[[#This Row],[Unit Price]],""),"")</f>
        <v/>
      </c>
      <c r="T288" s="269" t="str">
        <f ca="1">IFERROR(IF(AND(($N$3&lt;&gt;""),INDIRECT(Aux!$D$1)),VLOOKUP(Table1[[#This Row],[Product code]],Aux!B:E,4,FALSE),""),"")</f>
        <v/>
      </c>
      <c r="U288" s="145" t="str">
        <f>IFERROR(IF(OR(Table1[[#This Row],[Quantity]]&lt;&gt;"",Table1[[#This Row],[ACT_Qty]]&lt;&gt;""),Table1[[#This Row],[ACT_Qty]]-Table1[[#This Row],[Quantity]],""),"")</f>
        <v/>
      </c>
      <c r="V288" s="45"/>
      <c r="W288" s="45"/>
      <c r="X288" s="45"/>
    </row>
    <row r="289" spans="1:24" ht="15" customHeight="1">
      <c r="A289" s="143" t="str">
        <f t="shared" si="22"/>
        <v>AKH12345</v>
      </c>
      <c r="B289" s="256">
        <v>2514</v>
      </c>
      <c r="C289" s="143" t="s">
        <v>878</v>
      </c>
      <c r="D289" s="105"/>
      <c r="E289" s="106"/>
      <c r="F289" s="105"/>
      <c r="G289" s="106"/>
      <c r="H289" s="199" t="s">
        <v>859</v>
      </c>
      <c r="I289" s="200" t="s">
        <v>847</v>
      </c>
      <c r="J289" s="200" t="s">
        <v>847</v>
      </c>
      <c r="K289" s="200" t="s">
        <v>52</v>
      </c>
      <c r="L289" s="145" t="s">
        <v>848</v>
      </c>
      <c r="M289" s="145" t="str">
        <f t="shared" si="21"/>
        <v>OneCo Networks AS</v>
      </c>
      <c r="N2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89" s="268" t="str">
        <f ca="1">IFERROR(IF(
OR(Table1[[#This Row],[Product category]]="Service items",Table1[[#This Row],[Product category]]="Additional services",Table1[[#This Row],[Product category]]="Additional materials"),
"NOK",IF(($N$3&lt;&gt;""),VLOOKUP(Table1[[#This Row],[Product code]],INDIRECT(Aux!$A$1),6,FALSE),"")),"")</f>
        <v/>
      </c>
      <c r="P289" s="41" t="str">
        <f ca="1">IFERROR(IF(AND(Table1[[#This Row],[Quantity]]&lt;&gt;"",Table1[[#This Row],[Currency]]="NOK"),Table1[[#This Row],[Quantity]]*Table1[[#This Row],[Unit Price]],""),"")</f>
        <v/>
      </c>
      <c r="Q289" s="41" t="str">
        <f ca="1">IFERROR(IF(AND(Table1[[#This Row],[ACT_Qty]]&lt;&gt;"",Table1[[#This Row],[Currency]]="NOK"),Table1[[#This Row],[ACT_Qty]]*Table1[[#This Row],[Unit Price]],""),"")</f>
        <v/>
      </c>
      <c r="R289" s="41" t="str">
        <f ca="1">IFERROR(IF(AND(Table1[[#This Row],[Quantity]]&lt;&gt;"",Table1[[#This Row],[Currency]]="EUR"),Table1[[#This Row],[Quantity]]*Table1[[#This Row],[Unit Price]],""),"")</f>
        <v/>
      </c>
      <c r="S289" s="41" t="str">
        <f ca="1">IFERROR(IF(AND(Table1[[#This Row],[ACT_Qty]]&lt;&gt;"",Table1[[#This Row],[Currency]]="EUR"),Table1[[#This Row],[ACT_Qty]]*Table1[[#This Row],[Unit Price]],""),"")</f>
        <v/>
      </c>
      <c r="T289" s="269" t="str">
        <f ca="1">IFERROR(IF(AND(($N$3&lt;&gt;""),INDIRECT(Aux!$D$1)),VLOOKUP(Table1[[#This Row],[Product code]],Aux!B:E,4,FALSE),""),"")</f>
        <v/>
      </c>
      <c r="U289" s="145" t="str">
        <f>IFERROR(IF(OR(Table1[[#This Row],[Quantity]]&lt;&gt;"",Table1[[#This Row],[ACT_Qty]]&lt;&gt;""),Table1[[#This Row],[ACT_Qty]]-Table1[[#This Row],[Quantity]],""),"")</f>
        <v/>
      </c>
      <c r="V289" s="45"/>
      <c r="W289" s="45"/>
      <c r="X289" s="45"/>
    </row>
    <row r="290" spans="1:24" ht="15" customHeight="1">
      <c r="A290" s="143" t="str">
        <f t="shared" si="22"/>
        <v>AKH12345</v>
      </c>
      <c r="B290" s="256">
        <v>2515</v>
      </c>
      <c r="C290" s="143" t="s">
        <v>879</v>
      </c>
      <c r="D290" s="105"/>
      <c r="E290" s="106"/>
      <c r="F290" s="105"/>
      <c r="G290" s="106"/>
      <c r="H290" s="199" t="s">
        <v>859</v>
      </c>
      <c r="I290" s="200" t="s">
        <v>847</v>
      </c>
      <c r="J290" s="200" t="s">
        <v>847</v>
      </c>
      <c r="K290" s="200" t="s">
        <v>52</v>
      </c>
      <c r="L290" s="145" t="s">
        <v>848</v>
      </c>
      <c r="M290" s="145" t="str">
        <f>IF($C$3&lt;&gt;"",$C$3,"")</f>
        <v>OneCo Networks AS</v>
      </c>
      <c r="N29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0" s="268" t="str">
        <f ca="1">IFERROR(IF(
OR(Table1[[#This Row],[Product category]]="Service items",Table1[[#This Row],[Product category]]="Additional services",Table1[[#This Row],[Product category]]="Additional materials"),
"NOK",IF(($N$3&lt;&gt;""),VLOOKUP(Table1[[#This Row],[Product code]],INDIRECT(Aux!$A$1),6,FALSE),"")),"")</f>
        <v/>
      </c>
      <c r="P290" s="41" t="str">
        <f ca="1">IFERROR(IF(AND(Table1[[#This Row],[Quantity]]&lt;&gt;"",Table1[[#This Row],[Currency]]="NOK"),Table1[[#This Row],[Quantity]]*Table1[[#This Row],[Unit Price]],""),"")</f>
        <v/>
      </c>
      <c r="Q290" s="41" t="str">
        <f ca="1">IFERROR(IF(AND(Table1[[#This Row],[ACT_Qty]]&lt;&gt;"",Table1[[#This Row],[Currency]]="NOK"),Table1[[#This Row],[ACT_Qty]]*Table1[[#This Row],[Unit Price]],""),"")</f>
        <v/>
      </c>
      <c r="R290" s="41" t="str">
        <f ca="1">IFERROR(IF(AND(Table1[[#This Row],[Quantity]]&lt;&gt;"",Table1[[#This Row],[Currency]]="EUR"),Table1[[#This Row],[Quantity]]*Table1[[#This Row],[Unit Price]],""),"")</f>
        <v/>
      </c>
      <c r="S290" s="41" t="str">
        <f ca="1">IFERROR(IF(AND(Table1[[#This Row],[ACT_Qty]]&lt;&gt;"",Table1[[#This Row],[Currency]]="EUR"),Table1[[#This Row],[ACT_Qty]]*Table1[[#This Row],[Unit Price]],""),"")</f>
        <v/>
      </c>
      <c r="T290" s="269" t="str">
        <f ca="1">IFERROR(IF(AND(($N$3&lt;&gt;""),INDIRECT(Aux!$D$1)),VLOOKUP(Table1[[#This Row],[Product code]],Aux!B:E,4,FALSE),""),"")</f>
        <v/>
      </c>
      <c r="U290" s="145" t="str">
        <f>IFERROR(IF(OR(Table1[[#This Row],[Quantity]]&lt;&gt;"",Table1[[#This Row],[ACT_Qty]]&lt;&gt;""),Table1[[#This Row],[ACT_Qty]]-Table1[[#This Row],[Quantity]],""),"")</f>
        <v/>
      </c>
      <c r="V290" s="45"/>
      <c r="W290" s="45"/>
      <c r="X290" s="45"/>
    </row>
    <row r="291" spans="1:24" ht="15" customHeight="1">
      <c r="A291" s="143" t="str">
        <f t="shared" si="22"/>
        <v>AKH12345</v>
      </c>
      <c r="B291" s="256">
        <v>3625</v>
      </c>
      <c r="C291" s="143" t="s">
        <v>880</v>
      </c>
      <c r="D291" s="105"/>
      <c r="E291" s="106" t="s">
        <v>881</v>
      </c>
      <c r="F291" s="105"/>
      <c r="G291" s="106"/>
      <c r="H291" s="199" t="s">
        <v>859</v>
      </c>
      <c r="I291" s="200" t="s">
        <v>847</v>
      </c>
      <c r="J291" s="200" t="s">
        <v>847</v>
      </c>
      <c r="K291" s="200" t="s">
        <v>52</v>
      </c>
      <c r="L291" s="145" t="s">
        <v>848</v>
      </c>
      <c r="M291" s="145" t="str">
        <f t="shared" si="21"/>
        <v>OneCo Networks AS</v>
      </c>
      <c r="N2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1" s="268" t="str">
        <f ca="1">IFERROR(IF(
OR(Table1[[#This Row],[Product category]]="Service items",Table1[[#This Row],[Product category]]="Additional services",Table1[[#This Row],[Product category]]="Additional materials"),
"NOK",IF(($N$3&lt;&gt;""),VLOOKUP(Table1[[#This Row],[Product code]],INDIRECT(Aux!$A$1),6,FALSE),"")),"")</f>
        <v/>
      </c>
      <c r="P291" s="41" t="str">
        <f ca="1">IFERROR(IF(AND(Table1[[#This Row],[Quantity]]&lt;&gt;"",Table1[[#This Row],[Currency]]="NOK"),Table1[[#This Row],[Quantity]]*Table1[[#This Row],[Unit Price]],""),"")</f>
        <v/>
      </c>
      <c r="Q291" s="41" t="str">
        <f ca="1">IFERROR(IF(AND(Table1[[#This Row],[ACT_Qty]]&lt;&gt;"",Table1[[#This Row],[Currency]]="NOK"),Table1[[#This Row],[ACT_Qty]]*Table1[[#This Row],[Unit Price]],""),"")</f>
        <v/>
      </c>
      <c r="R291" s="41" t="str">
        <f ca="1">IFERROR(IF(AND(Table1[[#This Row],[Quantity]]&lt;&gt;"",Table1[[#This Row],[Currency]]="EUR"),Table1[[#This Row],[Quantity]]*Table1[[#This Row],[Unit Price]],""),"")</f>
        <v/>
      </c>
      <c r="S291" s="41" t="str">
        <f ca="1">IFERROR(IF(AND(Table1[[#This Row],[ACT_Qty]]&lt;&gt;"",Table1[[#This Row],[Currency]]="EUR"),Table1[[#This Row],[ACT_Qty]]*Table1[[#This Row],[Unit Price]],""),"")</f>
        <v/>
      </c>
      <c r="T291" s="269" t="str">
        <f ca="1">IFERROR(IF(AND(($N$3&lt;&gt;""),INDIRECT(Aux!$D$1)),VLOOKUP(Table1[[#This Row],[Product code]],Aux!B:E,4,FALSE),""),"")</f>
        <v/>
      </c>
      <c r="U291" s="145" t="str">
        <f>IFERROR(IF(OR(Table1[[#This Row],[Quantity]]&lt;&gt;"",Table1[[#This Row],[ACT_Qty]]&lt;&gt;""),Table1[[#This Row],[ACT_Qty]]-Table1[[#This Row],[Quantity]],""),"")</f>
        <v/>
      </c>
      <c r="V291" s="45"/>
      <c r="W291" s="45"/>
      <c r="X291" s="45"/>
    </row>
    <row r="292" spans="1:24" ht="15" customHeight="1">
      <c r="A292" s="143" t="str">
        <f t="shared" si="22"/>
        <v>AKH12345</v>
      </c>
      <c r="B292" s="256">
        <v>3127</v>
      </c>
      <c r="C292" s="143" t="s">
        <v>882</v>
      </c>
      <c r="D292" s="105"/>
      <c r="E292" s="106"/>
      <c r="F292" s="105"/>
      <c r="G292" s="106"/>
      <c r="H292" s="199" t="s">
        <v>859</v>
      </c>
      <c r="I292" s="200" t="s">
        <v>847</v>
      </c>
      <c r="J292" s="200" t="s">
        <v>847</v>
      </c>
      <c r="K292" s="200" t="s">
        <v>52</v>
      </c>
      <c r="L292" s="145" t="s">
        <v>848</v>
      </c>
      <c r="M292" s="145" t="str">
        <f t="shared" si="21"/>
        <v>OneCo Networks AS</v>
      </c>
      <c r="N29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2" s="268" t="str">
        <f ca="1">IFERROR(IF(
OR(Table1[[#This Row],[Product category]]="Service items",Table1[[#This Row],[Product category]]="Additional services",Table1[[#This Row],[Product category]]="Additional materials"),
"NOK",IF(($N$3&lt;&gt;""),VLOOKUP(Table1[[#This Row],[Product code]],INDIRECT(Aux!$A$1),6,FALSE),"")),"")</f>
        <v/>
      </c>
      <c r="P292" s="41" t="str">
        <f ca="1">IFERROR(IF(AND(Table1[[#This Row],[Quantity]]&lt;&gt;"",Table1[[#This Row],[Currency]]="NOK"),Table1[[#This Row],[Quantity]]*Table1[[#This Row],[Unit Price]],""),"")</f>
        <v/>
      </c>
      <c r="Q292" s="41" t="str">
        <f ca="1">IFERROR(IF(AND(Table1[[#This Row],[ACT_Qty]]&lt;&gt;"",Table1[[#This Row],[Currency]]="NOK"),Table1[[#This Row],[ACT_Qty]]*Table1[[#This Row],[Unit Price]],""),"")</f>
        <v/>
      </c>
      <c r="R292" s="41" t="str">
        <f ca="1">IFERROR(IF(AND(Table1[[#This Row],[Quantity]]&lt;&gt;"",Table1[[#This Row],[Currency]]="EUR"),Table1[[#This Row],[Quantity]]*Table1[[#This Row],[Unit Price]],""),"")</f>
        <v/>
      </c>
      <c r="S292" s="41" t="str">
        <f ca="1">IFERROR(IF(AND(Table1[[#This Row],[ACT_Qty]]&lt;&gt;"",Table1[[#This Row],[Currency]]="EUR"),Table1[[#This Row],[ACT_Qty]]*Table1[[#This Row],[Unit Price]],""),"")</f>
        <v/>
      </c>
      <c r="T292" s="269" t="str">
        <f ca="1">IFERROR(IF(AND(($N$3&lt;&gt;""),INDIRECT(Aux!$D$1)),VLOOKUP(Table1[[#This Row],[Product code]],Aux!B:E,4,FALSE),""),"")</f>
        <v/>
      </c>
      <c r="U292" s="145" t="str">
        <f>IFERROR(IF(OR(Table1[[#This Row],[Quantity]]&lt;&gt;"",Table1[[#This Row],[ACT_Qty]]&lt;&gt;""),Table1[[#This Row],[ACT_Qty]]-Table1[[#This Row],[Quantity]],""),"")</f>
        <v/>
      </c>
      <c r="V292" s="45"/>
      <c r="W292" s="45"/>
      <c r="X292" s="45"/>
    </row>
    <row r="293" spans="1:24" ht="15" customHeight="1">
      <c r="A293" s="143" t="str">
        <f t="shared" si="22"/>
        <v>AKH12345</v>
      </c>
      <c r="B293" s="256">
        <v>91376</v>
      </c>
      <c r="C293" s="143" t="s">
        <v>883</v>
      </c>
      <c r="D293" s="105"/>
      <c r="E293" s="106"/>
      <c r="F293" s="105"/>
      <c r="G293" s="106"/>
      <c r="H293" s="199" t="s">
        <v>859</v>
      </c>
      <c r="I293" s="200" t="s">
        <v>847</v>
      </c>
      <c r="J293" s="200" t="s">
        <v>847</v>
      </c>
      <c r="K293" s="200" t="s">
        <v>52</v>
      </c>
      <c r="L293" s="145" t="s">
        <v>848</v>
      </c>
      <c r="M293" s="145" t="str">
        <f t="shared" si="21"/>
        <v>OneCo Networks AS</v>
      </c>
      <c r="N2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3" s="268" t="str">
        <f ca="1">IFERROR(IF(
OR(Table1[[#This Row],[Product category]]="Service items",Table1[[#This Row],[Product category]]="Additional services",Table1[[#This Row],[Product category]]="Additional materials"),
"NOK",IF(($N$3&lt;&gt;""),VLOOKUP(Table1[[#This Row],[Product code]],INDIRECT(Aux!$A$1),6,FALSE),"")),"")</f>
        <v/>
      </c>
      <c r="P293" s="41" t="str">
        <f ca="1">IFERROR(IF(AND(Table1[[#This Row],[Quantity]]&lt;&gt;"",Table1[[#This Row],[Currency]]="NOK"),Table1[[#This Row],[Quantity]]*Table1[[#This Row],[Unit Price]],""),"")</f>
        <v/>
      </c>
      <c r="Q293" s="41" t="str">
        <f ca="1">IFERROR(IF(AND(Table1[[#This Row],[ACT_Qty]]&lt;&gt;"",Table1[[#This Row],[Currency]]="NOK"),Table1[[#This Row],[ACT_Qty]]*Table1[[#This Row],[Unit Price]],""),"")</f>
        <v/>
      </c>
      <c r="R293" s="41" t="str">
        <f ca="1">IFERROR(IF(AND(Table1[[#This Row],[Quantity]]&lt;&gt;"",Table1[[#This Row],[Currency]]="EUR"),Table1[[#This Row],[Quantity]]*Table1[[#This Row],[Unit Price]],""),"")</f>
        <v/>
      </c>
      <c r="S293" s="41" t="str">
        <f ca="1">IFERROR(IF(AND(Table1[[#This Row],[ACT_Qty]]&lt;&gt;"",Table1[[#This Row],[Currency]]="EUR"),Table1[[#This Row],[ACT_Qty]]*Table1[[#This Row],[Unit Price]],""),"")</f>
        <v/>
      </c>
      <c r="T293" s="269" t="str">
        <f ca="1">IFERROR(IF(AND(($N$3&lt;&gt;""),INDIRECT(Aux!$D$1)),VLOOKUP(Table1[[#This Row],[Product code]],Aux!B:E,4,FALSE),""),"")</f>
        <v/>
      </c>
      <c r="U293" s="145" t="str">
        <f>IFERROR(IF(OR(Table1[[#This Row],[Quantity]]&lt;&gt;"",Table1[[#This Row],[ACT_Qty]]&lt;&gt;""),Table1[[#This Row],[ACT_Qty]]-Table1[[#This Row],[Quantity]],""),"")</f>
        <v/>
      </c>
      <c r="V293" s="45"/>
      <c r="W293" s="45"/>
      <c r="X293" s="45"/>
    </row>
    <row r="294" spans="1:24" ht="15" customHeight="1">
      <c r="A294" s="143" t="str">
        <f t="shared" si="22"/>
        <v>AKH12345</v>
      </c>
      <c r="B294" s="256">
        <v>6072</v>
      </c>
      <c r="C294" s="143" t="s">
        <v>884</v>
      </c>
      <c r="D294" s="105"/>
      <c r="E294" s="106"/>
      <c r="F294" s="105"/>
      <c r="G294" s="106"/>
      <c r="H294" s="199" t="s">
        <v>859</v>
      </c>
      <c r="I294" s="200" t="s">
        <v>847</v>
      </c>
      <c r="J294" s="200" t="s">
        <v>847</v>
      </c>
      <c r="K294" s="200" t="s">
        <v>52</v>
      </c>
      <c r="L294" s="145" t="s">
        <v>848</v>
      </c>
      <c r="M294" s="145" t="str">
        <f t="shared" si="21"/>
        <v>OneCo Networks AS</v>
      </c>
      <c r="N29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4" s="268" t="str">
        <f ca="1">IFERROR(IF(
OR(Table1[[#This Row],[Product category]]="Service items",Table1[[#This Row],[Product category]]="Additional services",Table1[[#This Row],[Product category]]="Additional materials"),
"NOK",IF(($N$3&lt;&gt;""),VLOOKUP(Table1[[#This Row],[Product code]],INDIRECT(Aux!$A$1),6,FALSE),"")),"")</f>
        <v/>
      </c>
      <c r="P294" s="41" t="str">
        <f ca="1">IFERROR(IF(AND(Table1[[#This Row],[Quantity]]&lt;&gt;"",Table1[[#This Row],[Currency]]="NOK"),Table1[[#This Row],[Quantity]]*Table1[[#This Row],[Unit Price]],""),"")</f>
        <v/>
      </c>
      <c r="Q294" s="41" t="str">
        <f ca="1">IFERROR(IF(AND(Table1[[#This Row],[ACT_Qty]]&lt;&gt;"",Table1[[#This Row],[Currency]]="NOK"),Table1[[#This Row],[ACT_Qty]]*Table1[[#This Row],[Unit Price]],""),"")</f>
        <v/>
      </c>
      <c r="R294" s="41" t="str">
        <f ca="1">IFERROR(IF(AND(Table1[[#This Row],[Quantity]]&lt;&gt;"",Table1[[#This Row],[Currency]]="EUR"),Table1[[#This Row],[Quantity]]*Table1[[#This Row],[Unit Price]],""),"")</f>
        <v/>
      </c>
      <c r="S294" s="41" t="str">
        <f ca="1">IFERROR(IF(AND(Table1[[#This Row],[ACT_Qty]]&lt;&gt;"",Table1[[#This Row],[Currency]]="EUR"),Table1[[#This Row],[ACT_Qty]]*Table1[[#This Row],[Unit Price]],""),"")</f>
        <v/>
      </c>
      <c r="T294" s="269" t="str">
        <f ca="1">IFERROR(IF(AND(($N$3&lt;&gt;""),INDIRECT(Aux!$D$1)),VLOOKUP(Table1[[#This Row],[Product code]],Aux!B:E,4,FALSE),""),"")</f>
        <v/>
      </c>
      <c r="U294" s="145" t="str">
        <f>IFERROR(IF(OR(Table1[[#This Row],[Quantity]]&lt;&gt;"",Table1[[#This Row],[ACT_Qty]]&lt;&gt;""),Table1[[#This Row],[ACT_Qty]]-Table1[[#This Row],[Quantity]],""),"")</f>
        <v/>
      </c>
      <c r="V294" s="45"/>
      <c r="W294" s="45"/>
      <c r="X294" s="45"/>
    </row>
    <row r="295" spans="1:24" ht="15" customHeight="1">
      <c r="A295" s="143" t="str">
        <f t="shared" si="22"/>
        <v>AKH12345</v>
      </c>
      <c r="B295" s="256">
        <v>5310</v>
      </c>
      <c r="C295" s="143" t="s">
        <v>885</v>
      </c>
      <c r="D295" s="105"/>
      <c r="E295" s="106"/>
      <c r="F295" s="105"/>
      <c r="G295" s="106"/>
      <c r="H295" s="199" t="s">
        <v>859</v>
      </c>
      <c r="I295" s="200" t="s">
        <v>847</v>
      </c>
      <c r="J295" s="200" t="s">
        <v>847</v>
      </c>
      <c r="K295" s="200" t="s">
        <v>52</v>
      </c>
      <c r="L295" s="145" t="s">
        <v>848</v>
      </c>
      <c r="M295" s="145" t="str">
        <f t="shared" si="21"/>
        <v>OneCo Networks AS</v>
      </c>
      <c r="N2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5" s="268" t="str">
        <f ca="1">IFERROR(IF(
OR(Table1[[#This Row],[Product category]]="Service items",Table1[[#This Row],[Product category]]="Additional services",Table1[[#This Row],[Product category]]="Additional materials"),
"NOK",IF(($N$3&lt;&gt;""),VLOOKUP(Table1[[#This Row],[Product code]],INDIRECT(Aux!$A$1),6,FALSE),"")),"")</f>
        <v/>
      </c>
      <c r="P295" s="41" t="str">
        <f ca="1">IFERROR(IF(AND(Table1[[#This Row],[Quantity]]&lt;&gt;"",Table1[[#This Row],[Currency]]="NOK"),Table1[[#This Row],[Quantity]]*Table1[[#This Row],[Unit Price]],""),"")</f>
        <v/>
      </c>
      <c r="Q295" s="41" t="str">
        <f ca="1">IFERROR(IF(AND(Table1[[#This Row],[ACT_Qty]]&lt;&gt;"",Table1[[#This Row],[Currency]]="NOK"),Table1[[#This Row],[ACT_Qty]]*Table1[[#This Row],[Unit Price]],""),"")</f>
        <v/>
      </c>
      <c r="R295" s="41" t="str">
        <f ca="1">IFERROR(IF(AND(Table1[[#This Row],[Quantity]]&lt;&gt;"",Table1[[#This Row],[Currency]]="EUR"),Table1[[#This Row],[Quantity]]*Table1[[#This Row],[Unit Price]],""),"")</f>
        <v/>
      </c>
      <c r="S295" s="41" t="str">
        <f ca="1">IFERROR(IF(AND(Table1[[#This Row],[ACT_Qty]]&lt;&gt;"",Table1[[#This Row],[Currency]]="EUR"),Table1[[#This Row],[ACT_Qty]]*Table1[[#This Row],[Unit Price]],""),"")</f>
        <v/>
      </c>
      <c r="T295" s="269" t="str">
        <f ca="1">IFERROR(IF(AND(($N$3&lt;&gt;""),INDIRECT(Aux!$D$1)),VLOOKUP(Table1[[#This Row],[Product code]],Aux!B:E,4,FALSE),""),"")</f>
        <v/>
      </c>
      <c r="U295" s="145" t="str">
        <f>IFERROR(IF(OR(Table1[[#This Row],[Quantity]]&lt;&gt;"",Table1[[#This Row],[ACT_Qty]]&lt;&gt;""),Table1[[#This Row],[ACT_Qty]]-Table1[[#This Row],[Quantity]],""),"")</f>
        <v/>
      </c>
      <c r="V295" s="45"/>
      <c r="W295" s="45"/>
      <c r="X295" s="45"/>
    </row>
    <row r="296" spans="1:24" ht="15" customHeight="1">
      <c r="A296" s="143" t="str">
        <f t="shared" si="22"/>
        <v>AKH12345</v>
      </c>
      <c r="B296" s="256">
        <v>5320</v>
      </c>
      <c r="C296" s="143" t="s">
        <v>886</v>
      </c>
      <c r="D296" s="105"/>
      <c r="E296" s="106"/>
      <c r="F296" s="105"/>
      <c r="G296" s="106"/>
      <c r="H296" s="199" t="s">
        <v>859</v>
      </c>
      <c r="I296" s="200" t="s">
        <v>847</v>
      </c>
      <c r="J296" s="200" t="s">
        <v>847</v>
      </c>
      <c r="K296" s="200" t="s">
        <v>52</v>
      </c>
      <c r="L296" s="145" t="s">
        <v>848</v>
      </c>
      <c r="M296" s="145" t="str">
        <f t="shared" si="21"/>
        <v>OneCo Networks AS</v>
      </c>
      <c r="N29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6" s="268" t="str">
        <f ca="1">IFERROR(IF(
OR(Table1[[#This Row],[Product category]]="Service items",Table1[[#This Row],[Product category]]="Additional services",Table1[[#This Row],[Product category]]="Additional materials"),
"NOK",IF(($N$3&lt;&gt;""),VLOOKUP(Table1[[#This Row],[Product code]],INDIRECT(Aux!$A$1),6,FALSE),"")),"")</f>
        <v/>
      </c>
      <c r="P296" s="41" t="str">
        <f ca="1">IFERROR(IF(AND(Table1[[#This Row],[Quantity]]&lt;&gt;"",Table1[[#This Row],[Currency]]="NOK"),Table1[[#This Row],[Quantity]]*Table1[[#This Row],[Unit Price]],""),"")</f>
        <v/>
      </c>
      <c r="Q296" s="41" t="str">
        <f ca="1">IFERROR(IF(AND(Table1[[#This Row],[ACT_Qty]]&lt;&gt;"",Table1[[#This Row],[Currency]]="NOK"),Table1[[#This Row],[ACT_Qty]]*Table1[[#This Row],[Unit Price]],""),"")</f>
        <v/>
      </c>
      <c r="R296" s="41" t="str">
        <f ca="1">IFERROR(IF(AND(Table1[[#This Row],[Quantity]]&lt;&gt;"",Table1[[#This Row],[Currency]]="EUR"),Table1[[#This Row],[Quantity]]*Table1[[#This Row],[Unit Price]],""),"")</f>
        <v/>
      </c>
      <c r="S296" s="41" t="str">
        <f ca="1">IFERROR(IF(AND(Table1[[#This Row],[ACT_Qty]]&lt;&gt;"",Table1[[#This Row],[Currency]]="EUR"),Table1[[#This Row],[ACT_Qty]]*Table1[[#This Row],[Unit Price]],""),"")</f>
        <v/>
      </c>
      <c r="T296" s="269" t="str">
        <f ca="1">IFERROR(IF(AND(($N$3&lt;&gt;""),INDIRECT(Aux!$D$1)),VLOOKUP(Table1[[#This Row],[Product code]],Aux!B:E,4,FALSE),""),"")</f>
        <v/>
      </c>
      <c r="U296" s="145" t="str">
        <f>IFERROR(IF(OR(Table1[[#This Row],[Quantity]]&lt;&gt;"",Table1[[#This Row],[ACT_Qty]]&lt;&gt;""),Table1[[#This Row],[ACT_Qty]]-Table1[[#This Row],[Quantity]],""),"")</f>
        <v/>
      </c>
      <c r="V296" s="45"/>
      <c r="W296" s="45"/>
      <c r="X296" s="45"/>
    </row>
    <row r="297" spans="1:24" ht="15" customHeight="1">
      <c r="A297" s="143" t="str">
        <f t="shared" si="22"/>
        <v>AKH12345</v>
      </c>
      <c r="B297" s="256">
        <v>4440</v>
      </c>
      <c r="C297" s="143" t="s">
        <v>887</v>
      </c>
      <c r="D297" s="105"/>
      <c r="E297" s="106"/>
      <c r="F297" s="105"/>
      <c r="G297" s="106"/>
      <c r="H297" s="199" t="s">
        <v>888</v>
      </c>
      <c r="I297" s="200" t="s">
        <v>847</v>
      </c>
      <c r="J297" s="200" t="s">
        <v>847</v>
      </c>
      <c r="K297" s="200" t="s">
        <v>52</v>
      </c>
      <c r="L297" s="145" t="s">
        <v>848</v>
      </c>
      <c r="M297" s="145" t="str">
        <f t="shared" si="21"/>
        <v>OneCo Networks AS</v>
      </c>
      <c r="N2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7" s="268" t="str">
        <f ca="1">IFERROR(IF(
OR(Table1[[#This Row],[Product category]]="Service items",Table1[[#This Row],[Product category]]="Additional services",Table1[[#This Row],[Product category]]="Additional materials"),
"NOK",IF(($N$3&lt;&gt;""),VLOOKUP(Table1[[#This Row],[Product code]],INDIRECT(Aux!$A$1),6,FALSE),"")),"")</f>
        <v/>
      </c>
      <c r="P297" s="41" t="str">
        <f ca="1">IFERROR(IF(AND(Table1[[#This Row],[Quantity]]&lt;&gt;"",Table1[[#This Row],[Currency]]="NOK"),Table1[[#This Row],[Quantity]]*Table1[[#This Row],[Unit Price]],""),"")</f>
        <v/>
      </c>
      <c r="Q297" s="41" t="str">
        <f ca="1">IFERROR(IF(AND(Table1[[#This Row],[ACT_Qty]]&lt;&gt;"",Table1[[#This Row],[Currency]]="NOK"),Table1[[#This Row],[ACT_Qty]]*Table1[[#This Row],[Unit Price]],""),"")</f>
        <v/>
      </c>
      <c r="R297" s="41" t="str">
        <f ca="1">IFERROR(IF(AND(Table1[[#This Row],[Quantity]]&lt;&gt;"",Table1[[#This Row],[Currency]]="EUR"),Table1[[#This Row],[Quantity]]*Table1[[#This Row],[Unit Price]],""),"")</f>
        <v/>
      </c>
      <c r="S297" s="41" t="str">
        <f ca="1">IFERROR(IF(AND(Table1[[#This Row],[ACT_Qty]]&lt;&gt;"",Table1[[#This Row],[Currency]]="EUR"),Table1[[#This Row],[ACT_Qty]]*Table1[[#This Row],[Unit Price]],""),"")</f>
        <v/>
      </c>
      <c r="T297" s="269" t="str">
        <f ca="1">IFERROR(IF(AND(($N$3&lt;&gt;""),INDIRECT(Aux!$D$1)),VLOOKUP(Table1[[#This Row],[Product code]],Aux!B:E,4,FALSE),""),"")</f>
        <v/>
      </c>
      <c r="U297" s="145" t="str">
        <f>IFERROR(IF(OR(Table1[[#This Row],[Quantity]]&lt;&gt;"",Table1[[#This Row],[ACT_Qty]]&lt;&gt;""),Table1[[#This Row],[ACT_Qty]]-Table1[[#This Row],[Quantity]],""),"")</f>
        <v/>
      </c>
      <c r="V297" s="45"/>
      <c r="W297" s="45"/>
      <c r="X297" s="45"/>
    </row>
    <row r="298" spans="1:24" ht="15" customHeight="1">
      <c r="A298" s="143" t="str">
        <f t="shared" si="22"/>
        <v>AKH12345</v>
      </c>
      <c r="B298" s="256" t="s">
        <v>889</v>
      </c>
      <c r="C298" s="143" t="s">
        <v>890</v>
      </c>
      <c r="D298" s="105"/>
      <c r="E298" s="106" t="s">
        <v>891</v>
      </c>
      <c r="F298" s="105"/>
      <c r="G298" s="106"/>
      <c r="H298" s="199" t="s">
        <v>892</v>
      </c>
      <c r="I298" s="200" t="s">
        <v>893</v>
      </c>
      <c r="J298" s="200" t="s">
        <v>893</v>
      </c>
      <c r="K298" s="200" t="s">
        <v>52</v>
      </c>
      <c r="L298" s="145" t="s">
        <v>894</v>
      </c>
      <c r="M298" s="145" t="str">
        <f t="shared" ref="M298:M317" si="23">IF($C$3&lt;&gt;"",$C$3,"")</f>
        <v>OneCo Networks AS</v>
      </c>
      <c r="N29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8" s="268" t="str">
        <f ca="1">IFERROR(IF(
OR(Table1[[#This Row],[Product category]]="Service items",Table1[[#This Row],[Product category]]="Additional services",Table1[[#This Row],[Product category]]="Additional materials"),
"NOK",IF(($N$3&lt;&gt;""),VLOOKUP(Table1[[#This Row],[Product code]],INDIRECT(Aux!$A$1),6,FALSE),"")),"")</f>
        <v/>
      </c>
      <c r="P298" s="41" t="str">
        <f ca="1">IFERROR(IF(AND(Table1[[#This Row],[Quantity]]&lt;&gt;"",Table1[[#This Row],[Currency]]="NOK"),Table1[[#This Row],[Quantity]]*Table1[[#This Row],[Unit Price]],""),"")</f>
        <v/>
      </c>
      <c r="Q298" s="41" t="str">
        <f ca="1">IFERROR(IF(AND(Table1[[#This Row],[ACT_Qty]]&lt;&gt;"",Table1[[#This Row],[Currency]]="NOK"),Table1[[#This Row],[ACT_Qty]]*Table1[[#This Row],[Unit Price]],""),"")</f>
        <v/>
      </c>
      <c r="R298" s="41" t="str">
        <f ca="1">IFERROR(IF(AND(Table1[[#This Row],[Quantity]]&lt;&gt;"",Table1[[#This Row],[Currency]]="EUR"),Table1[[#This Row],[Quantity]]*Table1[[#This Row],[Unit Price]],""),"")</f>
        <v/>
      </c>
      <c r="S298" s="41" t="str">
        <f ca="1">IFERROR(IF(AND(Table1[[#This Row],[ACT_Qty]]&lt;&gt;"",Table1[[#This Row],[Currency]]="EUR"),Table1[[#This Row],[ACT_Qty]]*Table1[[#This Row],[Unit Price]],""),"")</f>
        <v/>
      </c>
      <c r="T298" s="269" t="str">
        <f ca="1">IFERROR(IF(AND(($N$3&lt;&gt;""),INDIRECT(Aux!$D$1)),VLOOKUP(Table1[[#This Row],[Product code]],Aux!B:E,4,FALSE),""),"")</f>
        <v/>
      </c>
      <c r="U298" s="145" t="str">
        <f>IFERROR(IF(OR(Table1[[#This Row],[Quantity]]&lt;&gt;"",Table1[[#This Row],[ACT_Qty]]&lt;&gt;""),Table1[[#This Row],[ACT_Qty]]-Table1[[#This Row],[Quantity]],""),"")</f>
        <v/>
      </c>
      <c r="V298" s="45"/>
      <c r="W298" s="45"/>
      <c r="X298" s="45"/>
    </row>
    <row r="299" spans="1:24" ht="15" customHeight="1">
      <c r="A299" s="143" t="str">
        <f t="shared" si="22"/>
        <v>AKH12345</v>
      </c>
      <c r="B299" s="256" t="s">
        <v>895</v>
      </c>
      <c r="C299" s="143" t="s">
        <v>896</v>
      </c>
      <c r="D299" s="105"/>
      <c r="E299" s="106" t="s">
        <v>891</v>
      </c>
      <c r="F299" s="105"/>
      <c r="G299" s="106"/>
      <c r="H299" s="199" t="s">
        <v>892</v>
      </c>
      <c r="I299" s="200" t="s">
        <v>893</v>
      </c>
      <c r="J299" s="200" t="s">
        <v>893</v>
      </c>
      <c r="K299" s="200" t="s">
        <v>52</v>
      </c>
      <c r="L299" s="145" t="s">
        <v>894</v>
      </c>
      <c r="M299" s="145" t="str">
        <f t="shared" si="23"/>
        <v>OneCo Networks AS</v>
      </c>
      <c r="N2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299" s="268" t="str">
        <f ca="1">IFERROR(IF(
OR(Table1[[#This Row],[Product category]]="Service items",Table1[[#This Row],[Product category]]="Additional services",Table1[[#This Row],[Product category]]="Additional materials"),
"NOK",IF(($N$3&lt;&gt;""),VLOOKUP(Table1[[#This Row],[Product code]],INDIRECT(Aux!$A$1),6,FALSE),"")),"")</f>
        <v/>
      </c>
      <c r="P299" s="41" t="str">
        <f ca="1">IFERROR(IF(AND(Table1[[#This Row],[Quantity]]&lt;&gt;"",Table1[[#This Row],[Currency]]="NOK"),Table1[[#This Row],[Quantity]]*Table1[[#This Row],[Unit Price]],""),"")</f>
        <v/>
      </c>
      <c r="Q299" s="41" t="str">
        <f ca="1">IFERROR(IF(AND(Table1[[#This Row],[ACT_Qty]]&lt;&gt;"",Table1[[#This Row],[Currency]]="NOK"),Table1[[#This Row],[ACT_Qty]]*Table1[[#This Row],[Unit Price]],""),"")</f>
        <v/>
      </c>
      <c r="R299" s="41" t="str">
        <f ca="1">IFERROR(IF(AND(Table1[[#This Row],[Quantity]]&lt;&gt;"",Table1[[#This Row],[Currency]]="EUR"),Table1[[#This Row],[Quantity]]*Table1[[#This Row],[Unit Price]],""),"")</f>
        <v/>
      </c>
      <c r="S299" s="41" t="str">
        <f ca="1">IFERROR(IF(AND(Table1[[#This Row],[ACT_Qty]]&lt;&gt;"",Table1[[#This Row],[Currency]]="EUR"),Table1[[#This Row],[ACT_Qty]]*Table1[[#This Row],[Unit Price]],""),"")</f>
        <v/>
      </c>
      <c r="T299" s="269" t="str">
        <f ca="1">IFERROR(IF(AND(($N$3&lt;&gt;""),INDIRECT(Aux!$D$1)),VLOOKUP(Table1[[#This Row],[Product code]],Aux!B:E,4,FALSE),""),"")</f>
        <v/>
      </c>
      <c r="U299" s="145" t="str">
        <f>IFERROR(IF(OR(Table1[[#This Row],[Quantity]]&lt;&gt;"",Table1[[#This Row],[ACT_Qty]]&lt;&gt;""),Table1[[#This Row],[ACT_Qty]]-Table1[[#This Row],[Quantity]],""),"")</f>
        <v/>
      </c>
      <c r="V299" s="45"/>
      <c r="W299" s="45"/>
      <c r="X299" s="45"/>
    </row>
    <row r="300" spans="1:24" ht="15" customHeight="1">
      <c r="A300" s="143" t="str">
        <f t="shared" si="22"/>
        <v>AKH12345</v>
      </c>
      <c r="B300" s="256" t="s">
        <v>897</v>
      </c>
      <c r="C300" s="143" t="s">
        <v>898</v>
      </c>
      <c r="D300" s="105"/>
      <c r="E300" s="106" t="s">
        <v>899</v>
      </c>
      <c r="F300" s="105"/>
      <c r="G300" s="106"/>
      <c r="H300" s="199" t="s">
        <v>892</v>
      </c>
      <c r="I300" s="200" t="s">
        <v>893</v>
      </c>
      <c r="J300" s="200" t="s">
        <v>893</v>
      </c>
      <c r="K300" s="200" t="s">
        <v>52</v>
      </c>
      <c r="L300" s="145" t="s">
        <v>894</v>
      </c>
      <c r="M300" s="145" t="str">
        <f t="shared" si="23"/>
        <v>OneCo Networks AS</v>
      </c>
      <c r="N30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0" s="268" t="str">
        <f ca="1">IFERROR(IF(
OR(Table1[[#This Row],[Product category]]="Service items",Table1[[#This Row],[Product category]]="Additional services",Table1[[#This Row],[Product category]]="Additional materials"),
"NOK",IF(($N$3&lt;&gt;""),VLOOKUP(Table1[[#This Row],[Product code]],INDIRECT(Aux!$A$1),6,FALSE),"")),"")</f>
        <v/>
      </c>
      <c r="P300" s="41" t="str">
        <f ca="1">IFERROR(IF(AND(Table1[[#This Row],[Quantity]]&lt;&gt;"",Table1[[#This Row],[Currency]]="NOK"),Table1[[#This Row],[Quantity]]*Table1[[#This Row],[Unit Price]],""),"")</f>
        <v/>
      </c>
      <c r="Q300" s="41" t="str">
        <f ca="1">IFERROR(IF(AND(Table1[[#This Row],[ACT_Qty]]&lt;&gt;"",Table1[[#This Row],[Currency]]="NOK"),Table1[[#This Row],[ACT_Qty]]*Table1[[#This Row],[Unit Price]],""),"")</f>
        <v/>
      </c>
      <c r="R300" s="41" t="str">
        <f ca="1">IFERROR(IF(AND(Table1[[#This Row],[Quantity]]&lt;&gt;"",Table1[[#This Row],[Currency]]="EUR"),Table1[[#This Row],[Quantity]]*Table1[[#This Row],[Unit Price]],""),"")</f>
        <v/>
      </c>
      <c r="S300" s="41" t="str">
        <f ca="1">IFERROR(IF(AND(Table1[[#This Row],[ACT_Qty]]&lt;&gt;"",Table1[[#This Row],[Currency]]="EUR"),Table1[[#This Row],[ACT_Qty]]*Table1[[#This Row],[Unit Price]],""),"")</f>
        <v/>
      </c>
      <c r="T300" s="269" t="str">
        <f ca="1">IFERROR(IF(AND(($N$3&lt;&gt;""),INDIRECT(Aux!$D$1)),VLOOKUP(Table1[[#This Row],[Product code]],Aux!B:E,4,FALSE),""),"")</f>
        <v/>
      </c>
      <c r="U300" s="145" t="str">
        <f>IFERROR(IF(OR(Table1[[#This Row],[Quantity]]&lt;&gt;"",Table1[[#This Row],[ACT_Qty]]&lt;&gt;""),Table1[[#This Row],[ACT_Qty]]-Table1[[#This Row],[Quantity]],""),"")</f>
        <v/>
      </c>
      <c r="V300" s="45"/>
      <c r="W300" s="45"/>
      <c r="X300" s="45"/>
    </row>
    <row r="301" spans="1:24" ht="15" customHeight="1">
      <c r="A301" s="143" t="str">
        <f t="shared" si="22"/>
        <v>AKH12345</v>
      </c>
      <c r="B301" s="256" t="s">
        <v>900</v>
      </c>
      <c r="C301" s="143" t="s">
        <v>901</v>
      </c>
      <c r="D301" s="105"/>
      <c r="E301" s="106" t="s">
        <v>902</v>
      </c>
      <c r="F301" s="105"/>
      <c r="G301" s="106"/>
      <c r="H301" s="199" t="s">
        <v>892</v>
      </c>
      <c r="I301" s="200" t="s">
        <v>893</v>
      </c>
      <c r="J301" s="200" t="s">
        <v>893</v>
      </c>
      <c r="K301" s="200" t="s">
        <v>52</v>
      </c>
      <c r="L301" s="145" t="s">
        <v>894</v>
      </c>
      <c r="M301" s="145" t="str">
        <f t="shared" si="23"/>
        <v>OneCo Networks AS</v>
      </c>
      <c r="N3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1" s="268" t="str">
        <f ca="1">IFERROR(IF(
OR(Table1[[#This Row],[Product category]]="Service items",Table1[[#This Row],[Product category]]="Additional services",Table1[[#This Row],[Product category]]="Additional materials"),
"NOK",IF(($N$3&lt;&gt;""),VLOOKUP(Table1[[#This Row],[Product code]],INDIRECT(Aux!$A$1),6,FALSE),"")),"")</f>
        <v/>
      </c>
      <c r="P301" s="41" t="str">
        <f ca="1">IFERROR(IF(AND(Table1[[#This Row],[Quantity]]&lt;&gt;"",Table1[[#This Row],[Currency]]="NOK"),Table1[[#This Row],[Quantity]]*Table1[[#This Row],[Unit Price]],""),"")</f>
        <v/>
      </c>
      <c r="Q301" s="41" t="str">
        <f ca="1">IFERROR(IF(AND(Table1[[#This Row],[ACT_Qty]]&lt;&gt;"",Table1[[#This Row],[Currency]]="NOK"),Table1[[#This Row],[ACT_Qty]]*Table1[[#This Row],[Unit Price]],""),"")</f>
        <v/>
      </c>
      <c r="R301" s="41" t="str">
        <f ca="1">IFERROR(IF(AND(Table1[[#This Row],[Quantity]]&lt;&gt;"",Table1[[#This Row],[Currency]]="EUR"),Table1[[#This Row],[Quantity]]*Table1[[#This Row],[Unit Price]],""),"")</f>
        <v/>
      </c>
      <c r="S301" s="41" t="str">
        <f ca="1">IFERROR(IF(AND(Table1[[#This Row],[ACT_Qty]]&lt;&gt;"",Table1[[#This Row],[Currency]]="EUR"),Table1[[#This Row],[ACT_Qty]]*Table1[[#This Row],[Unit Price]],""),"")</f>
        <v/>
      </c>
      <c r="T301" s="269" t="str">
        <f ca="1">IFERROR(IF(AND(($N$3&lt;&gt;""),INDIRECT(Aux!$D$1)),VLOOKUP(Table1[[#This Row],[Product code]],Aux!B:E,4,FALSE),""),"")</f>
        <v/>
      </c>
      <c r="U301" s="145" t="str">
        <f>IFERROR(IF(OR(Table1[[#This Row],[Quantity]]&lt;&gt;"",Table1[[#This Row],[ACT_Qty]]&lt;&gt;""),Table1[[#This Row],[ACT_Qty]]-Table1[[#This Row],[Quantity]],""),"")</f>
        <v/>
      </c>
      <c r="V301" s="45"/>
      <c r="W301" s="45"/>
      <c r="X301" s="45"/>
    </row>
    <row r="302" spans="1:24" ht="15" customHeight="1">
      <c r="A302" s="143" t="str">
        <f t="shared" si="22"/>
        <v>AKH12345</v>
      </c>
      <c r="B302" s="256" t="s">
        <v>903</v>
      </c>
      <c r="C302" s="143" t="s">
        <v>904</v>
      </c>
      <c r="D302" s="105"/>
      <c r="E302" s="106" t="s">
        <v>905</v>
      </c>
      <c r="F302" s="105"/>
      <c r="G302" s="106"/>
      <c r="H302" s="199" t="s">
        <v>892</v>
      </c>
      <c r="I302" s="200" t="s">
        <v>893</v>
      </c>
      <c r="J302" s="200" t="s">
        <v>893</v>
      </c>
      <c r="K302" s="200" t="s">
        <v>52</v>
      </c>
      <c r="L302" s="145" t="s">
        <v>894</v>
      </c>
      <c r="M302" s="145" t="str">
        <f t="shared" si="23"/>
        <v>OneCo Networks AS</v>
      </c>
      <c r="N30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2" s="268" t="str">
        <f ca="1">IFERROR(IF(
OR(Table1[[#This Row],[Product category]]="Service items",Table1[[#This Row],[Product category]]="Additional services",Table1[[#This Row],[Product category]]="Additional materials"),
"NOK",IF(($N$3&lt;&gt;""),VLOOKUP(Table1[[#This Row],[Product code]],INDIRECT(Aux!$A$1),6,FALSE),"")),"")</f>
        <v/>
      </c>
      <c r="P302" s="41" t="str">
        <f ca="1">IFERROR(IF(AND(Table1[[#This Row],[Quantity]]&lt;&gt;"",Table1[[#This Row],[Currency]]="NOK"),Table1[[#This Row],[Quantity]]*Table1[[#This Row],[Unit Price]],""),"")</f>
        <v/>
      </c>
      <c r="Q302" s="41" t="str">
        <f ca="1">IFERROR(IF(AND(Table1[[#This Row],[ACT_Qty]]&lt;&gt;"",Table1[[#This Row],[Currency]]="NOK"),Table1[[#This Row],[ACT_Qty]]*Table1[[#This Row],[Unit Price]],""),"")</f>
        <v/>
      </c>
      <c r="R302" s="41" t="str">
        <f ca="1">IFERROR(IF(AND(Table1[[#This Row],[Quantity]]&lt;&gt;"",Table1[[#This Row],[Currency]]="EUR"),Table1[[#This Row],[Quantity]]*Table1[[#This Row],[Unit Price]],""),"")</f>
        <v/>
      </c>
      <c r="S302" s="41" t="str">
        <f ca="1">IFERROR(IF(AND(Table1[[#This Row],[ACT_Qty]]&lt;&gt;"",Table1[[#This Row],[Currency]]="EUR"),Table1[[#This Row],[ACT_Qty]]*Table1[[#This Row],[Unit Price]],""),"")</f>
        <v/>
      </c>
      <c r="T302" s="269" t="str">
        <f ca="1">IFERROR(IF(AND(($N$3&lt;&gt;""),INDIRECT(Aux!$D$1)),VLOOKUP(Table1[[#This Row],[Product code]],Aux!B:E,4,FALSE),""),"")</f>
        <v/>
      </c>
      <c r="U302" s="145" t="str">
        <f>IFERROR(IF(OR(Table1[[#This Row],[Quantity]]&lt;&gt;"",Table1[[#This Row],[ACT_Qty]]&lt;&gt;""),Table1[[#This Row],[ACT_Qty]]-Table1[[#This Row],[Quantity]],""),"")</f>
        <v/>
      </c>
      <c r="V302" s="45"/>
      <c r="W302" s="45"/>
      <c r="X302" s="45"/>
    </row>
    <row r="303" spans="1:24" ht="15" customHeight="1">
      <c r="A303" s="143" t="str">
        <f t="shared" si="22"/>
        <v>AKH12345</v>
      </c>
      <c r="B303" s="256" t="s">
        <v>906</v>
      </c>
      <c r="C303" s="143" t="s">
        <v>907</v>
      </c>
      <c r="D303" s="105"/>
      <c r="E303" s="106" t="s">
        <v>899</v>
      </c>
      <c r="F303" s="105"/>
      <c r="G303" s="106"/>
      <c r="H303" s="199" t="s">
        <v>892</v>
      </c>
      <c r="I303" s="200" t="s">
        <v>893</v>
      </c>
      <c r="J303" s="200" t="s">
        <v>893</v>
      </c>
      <c r="K303" s="200" t="s">
        <v>52</v>
      </c>
      <c r="L303" s="145" t="s">
        <v>894</v>
      </c>
      <c r="M303" s="145" t="str">
        <f t="shared" si="23"/>
        <v>OneCo Networks AS</v>
      </c>
      <c r="N3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3" s="268" t="str">
        <f ca="1">IFERROR(IF(
OR(Table1[[#This Row],[Product category]]="Service items",Table1[[#This Row],[Product category]]="Additional services",Table1[[#This Row],[Product category]]="Additional materials"),
"NOK",IF(($N$3&lt;&gt;""),VLOOKUP(Table1[[#This Row],[Product code]],INDIRECT(Aux!$A$1),6,FALSE),"")),"")</f>
        <v/>
      </c>
      <c r="P303" s="41" t="str">
        <f ca="1">IFERROR(IF(AND(Table1[[#This Row],[Quantity]]&lt;&gt;"",Table1[[#This Row],[Currency]]="NOK"),Table1[[#This Row],[Quantity]]*Table1[[#This Row],[Unit Price]],""),"")</f>
        <v/>
      </c>
      <c r="Q303" s="41" t="str">
        <f ca="1">IFERROR(IF(AND(Table1[[#This Row],[ACT_Qty]]&lt;&gt;"",Table1[[#This Row],[Currency]]="NOK"),Table1[[#This Row],[ACT_Qty]]*Table1[[#This Row],[Unit Price]],""),"")</f>
        <v/>
      </c>
      <c r="R303" s="41" t="str">
        <f ca="1">IFERROR(IF(AND(Table1[[#This Row],[Quantity]]&lt;&gt;"",Table1[[#This Row],[Currency]]="EUR"),Table1[[#This Row],[Quantity]]*Table1[[#This Row],[Unit Price]],""),"")</f>
        <v/>
      </c>
      <c r="S303" s="41" t="str">
        <f ca="1">IFERROR(IF(AND(Table1[[#This Row],[ACT_Qty]]&lt;&gt;"",Table1[[#This Row],[Currency]]="EUR"),Table1[[#This Row],[ACT_Qty]]*Table1[[#This Row],[Unit Price]],""),"")</f>
        <v/>
      </c>
      <c r="T303" s="269" t="str">
        <f ca="1">IFERROR(IF(AND(($N$3&lt;&gt;""),INDIRECT(Aux!$D$1)),VLOOKUP(Table1[[#This Row],[Product code]],Aux!B:E,4,FALSE),""),"")</f>
        <v/>
      </c>
      <c r="U303" s="145" t="str">
        <f>IFERROR(IF(OR(Table1[[#This Row],[Quantity]]&lt;&gt;"",Table1[[#This Row],[ACT_Qty]]&lt;&gt;""),Table1[[#This Row],[ACT_Qty]]-Table1[[#This Row],[Quantity]],""),"")</f>
        <v/>
      </c>
      <c r="V303" s="45"/>
      <c r="W303" s="45"/>
      <c r="X303" s="45"/>
    </row>
    <row r="304" spans="1:24" ht="15" customHeight="1">
      <c r="A304" s="143" t="str">
        <f t="shared" si="22"/>
        <v>AKH12345</v>
      </c>
      <c r="B304" s="256" t="s">
        <v>908</v>
      </c>
      <c r="C304" s="143" t="s">
        <v>909</v>
      </c>
      <c r="D304" s="105"/>
      <c r="E304" s="106" t="s">
        <v>910</v>
      </c>
      <c r="F304" s="105"/>
      <c r="G304" s="106"/>
      <c r="H304" s="199" t="s">
        <v>892</v>
      </c>
      <c r="I304" s="200" t="s">
        <v>893</v>
      </c>
      <c r="J304" s="200" t="s">
        <v>893</v>
      </c>
      <c r="K304" s="200" t="s">
        <v>52</v>
      </c>
      <c r="L304" s="145" t="s">
        <v>894</v>
      </c>
      <c r="M304" s="145" t="str">
        <f t="shared" si="23"/>
        <v>OneCo Networks AS</v>
      </c>
      <c r="N30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4" s="268" t="str">
        <f ca="1">IFERROR(IF(
OR(Table1[[#This Row],[Product category]]="Service items",Table1[[#This Row],[Product category]]="Additional services",Table1[[#This Row],[Product category]]="Additional materials"),
"NOK",IF(($N$3&lt;&gt;""),VLOOKUP(Table1[[#This Row],[Product code]],INDIRECT(Aux!$A$1),6,FALSE),"")),"")</f>
        <v/>
      </c>
      <c r="P304" s="41" t="str">
        <f ca="1">IFERROR(IF(AND(Table1[[#This Row],[Quantity]]&lt;&gt;"",Table1[[#This Row],[Currency]]="NOK"),Table1[[#This Row],[Quantity]]*Table1[[#This Row],[Unit Price]],""),"")</f>
        <v/>
      </c>
      <c r="Q304" s="41" t="str">
        <f ca="1">IFERROR(IF(AND(Table1[[#This Row],[ACT_Qty]]&lt;&gt;"",Table1[[#This Row],[Currency]]="NOK"),Table1[[#This Row],[ACT_Qty]]*Table1[[#This Row],[Unit Price]],""),"")</f>
        <v/>
      </c>
      <c r="R304" s="41" t="str">
        <f ca="1">IFERROR(IF(AND(Table1[[#This Row],[Quantity]]&lt;&gt;"",Table1[[#This Row],[Currency]]="EUR"),Table1[[#This Row],[Quantity]]*Table1[[#This Row],[Unit Price]],""),"")</f>
        <v/>
      </c>
      <c r="S304" s="41" t="str">
        <f ca="1">IFERROR(IF(AND(Table1[[#This Row],[ACT_Qty]]&lt;&gt;"",Table1[[#This Row],[Currency]]="EUR"),Table1[[#This Row],[ACT_Qty]]*Table1[[#This Row],[Unit Price]],""),"")</f>
        <v/>
      </c>
      <c r="T304" s="269" t="str">
        <f ca="1">IFERROR(IF(AND(($N$3&lt;&gt;""),INDIRECT(Aux!$D$1)),VLOOKUP(Table1[[#This Row],[Product code]],Aux!B:E,4,FALSE),""),"")</f>
        <v/>
      </c>
      <c r="U304" s="145" t="str">
        <f>IFERROR(IF(OR(Table1[[#This Row],[Quantity]]&lt;&gt;"",Table1[[#This Row],[ACT_Qty]]&lt;&gt;""),Table1[[#This Row],[ACT_Qty]]-Table1[[#This Row],[Quantity]],""),"")</f>
        <v/>
      </c>
      <c r="V304" s="45"/>
      <c r="W304" s="45"/>
      <c r="X304" s="45"/>
    </row>
    <row r="305" spans="1:24" ht="15" customHeight="1">
      <c r="A305" s="143" t="str">
        <f t="shared" si="22"/>
        <v>AKH12345</v>
      </c>
      <c r="B305" s="256" t="s">
        <v>911</v>
      </c>
      <c r="C305" s="143" t="s">
        <v>912</v>
      </c>
      <c r="D305" s="105"/>
      <c r="E305" s="106" t="s">
        <v>913</v>
      </c>
      <c r="F305" s="105"/>
      <c r="G305" s="106"/>
      <c r="H305" s="199" t="s">
        <v>892</v>
      </c>
      <c r="I305" s="200" t="s">
        <v>893</v>
      </c>
      <c r="J305" s="200" t="s">
        <v>893</v>
      </c>
      <c r="K305" s="200" t="s">
        <v>52</v>
      </c>
      <c r="L305" s="145" t="s">
        <v>894</v>
      </c>
      <c r="M305" s="145" t="str">
        <f t="shared" si="23"/>
        <v>OneCo Networks AS</v>
      </c>
      <c r="N3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5" s="268" t="str">
        <f ca="1">IFERROR(IF(
OR(Table1[[#This Row],[Product category]]="Service items",Table1[[#This Row],[Product category]]="Additional services",Table1[[#This Row],[Product category]]="Additional materials"),
"NOK",IF(($N$3&lt;&gt;""),VLOOKUP(Table1[[#This Row],[Product code]],INDIRECT(Aux!$A$1),6,FALSE),"")),"")</f>
        <v/>
      </c>
      <c r="P305" s="41" t="str">
        <f ca="1">IFERROR(IF(AND(Table1[[#This Row],[Quantity]]&lt;&gt;"",Table1[[#This Row],[Currency]]="NOK"),Table1[[#This Row],[Quantity]]*Table1[[#This Row],[Unit Price]],""),"")</f>
        <v/>
      </c>
      <c r="Q305" s="41" t="str">
        <f ca="1">IFERROR(IF(AND(Table1[[#This Row],[ACT_Qty]]&lt;&gt;"",Table1[[#This Row],[Currency]]="NOK"),Table1[[#This Row],[ACT_Qty]]*Table1[[#This Row],[Unit Price]],""),"")</f>
        <v/>
      </c>
      <c r="R305" s="41" t="str">
        <f ca="1">IFERROR(IF(AND(Table1[[#This Row],[Quantity]]&lt;&gt;"",Table1[[#This Row],[Currency]]="EUR"),Table1[[#This Row],[Quantity]]*Table1[[#This Row],[Unit Price]],""),"")</f>
        <v/>
      </c>
      <c r="S305" s="41" t="str">
        <f ca="1">IFERROR(IF(AND(Table1[[#This Row],[ACT_Qty]]&lt;&gt;"",Table1[[#This Row],[Currency]]="EUR"),Table1[[#This Row],[ACT_Qty]]*Table1[[#This Row],[Unit Price]],""),"")</f>
        <v/>
      </c>
      <c r="T305" s="269" t="str">
        <f ca="1">IFERROR(IF(AND(($N$3&lt;&gt;""),INDIRECT(Aux!$D$1)),VLOOKUP(Table1[[#This Row],[Product code]],Aux!B:E,4,FALSE),""),"")</f>
        <v/>
      </c>
      <c r="U305" s="145" t="str">
        <f>IFERROR(IF(OR(Table1[[#This Row],[Quantity]]&lt;&gt;"",Table1[[#This Row],[ACT_Qty]]&lt;&gt;""),Table1[[#This Row],[ACT_Qty]]-Table1[[#This Row],[Quantity]],""),"")</f>
        <v/>
      </c>
      <c r="V305" s="45"/>
      <c r="W305" s="45"/>
      <c r="X305" s="45"/>
    </row>
    <row r="306" spans="1:24" ht="15" customHeight="1">
      <c r="A306" s="143" t="str">
        <f t="shared" si="22"/>
        <v>AKH12345</v>
      </c>
      <c r="B306" s="256" t="s">
        <v>914</v>
      </c>
      <c r="C306" s="143" t="s">
        <v>915</v>
      </c>
      <c r="D306" s="105"/>
      <c r="E306" s="106" t="s">
        <v>913</v>
      </c>
      <c r="F306" s="105"/>
      <c r="G306" s="106"/>
      <c r="H306" s="199" t="s">
        <v>892</v>
      </c>
      <c r="I306" s="200" t="s">
        <v>893</v>
      </c>
      <c r="J306" s="200" t="s">
        <v>893</v>
      </c>
      <c r="K306" s="200" t="s">
        <v>52</v>
      </c>
      <c r="L306" s="145" t="s">
        <v>894</v>
      </c>
      <c r="M306" s="145" t="str">
        <f t="shared" si="23"/>
        <v>OneCo Networks AS</v>
      </c>
      <c r="N30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6" s="268" t="str">
        <f ca="1">IFERROR(IF(
OR(Table1[[#This Row],[Product category]]="Service items",Table1[[#This Row],[Product category]]="Additional services",Table1[[#This Row],[Product category]]="Additional materials"),
"NOK",IF(($N$3&lt;&gt;""),VLOOKUP(Table1[[#This Row],[Product code]],INDIRECT(Aux!$A$1),6,FALSE),"")),"")</f>
        <v/>
      </c>
      <c r="P306" s="41" t="str">
        <f ca="1">IFERROR(IF(AND(Table1[[#This Row],[Quantity]]&lt;&gt;"",Table1[[#This Row],[Currency]]="NOK"),Table1[[#This Row],[Quantity]]*Table1[[#This Row],[Unit Price]],""),"")</f>
        <v/>
      </c>
      <c r="Q306" s="41" t="str">
        <f ca="1">IFERROR(IF(AND(Table1[[#This Row],[ACT_Qty]]&lt;&gt;"",Table1[[#This Row],[Currency]]="NOK"),Table1[[#This Row],[ACT_Qty]]*Table1[[#This Row],[Unit Price]],""),"")</f>
        <v/>
      </c>
      <c r="R306" s="41" t="str">
        <f ca="1">IFERROR(IF(AND(Table1[[#This Row],[Quantity]]&lt;&gt;"",Table1[[#This Row],[Currency]]="EUR"),Table1[[#This Row],[Quantity]]*Table1[[#This Row],[Unit Price]],""),"")</f>
        <v/>
      </c>
      <c r="S306" s="41" t="str">
        <f ca="1">IFERROR(IF(AND(Table1[[#This Row],[ACT_Qty]]&lt;&gt;"",Table1[[#This Row],[Currency]]="EUR"),Table1[[#This Row],[ACT_Qty]]*Table1[[#This Row],[Unit Price]],""),"")</f>
        <v/>
      </c>
      <c r="T306" s="269" t="str">
        <f ca="1">IFERROR(IF(AND(($N$3&lt;&gt;""),INDIRECT(Aux!$D$1)),VLOOKUP(Table1[[#This Row],[Product code]],Aux!B:E,4,FALSE),""),"")</f>
        <v/>
      </c>
      <c r="U306" s="145" t="str">
        <f>IFERROR(IF(OR(Table1[[#This Row],[Quantity]]&lt;&gt;"",Table1[[#This Row],[ACT_Qty]]&lt;&gt;""),Table1[[#This Row],[ACT_Qty]]-Table1[[#This Row],[Quantity]],""),"")</f>
        <v/>
      </c>
      <c r="V306" s="45"/>
      <c r="W306" s="45"/>
      <c r="X306" s="45"/>
    </row>
    <row r="307" spans="1:24" ht="15" customHeight="1">
      <c r="A307" s="143" t="str">
        <f t="shared" si="22"/>
        <v>AKH12345</v>
      </c>
      <c r="B307" s="256" t="s">
        <v>916</v>
      </c>
      <c r="C307" s="143" t="s">
        <v>917</v>
      </c>
      <c r="D307" s="105"/>
      <c r="E307" s="106" t="s">
        <v>918</v>
      </c>
      <c r="F307" s="105"/>
      <c r="G307" s="106"/>
      <c r="H307" s="199" t="s">
        <v>892</v>
      </c>
      <c r="I307" s="200" t="s">
        <v>893</v>
      </c>
      <c r="J307" s="200" t="s">
        <v>893</v>
      </c>
      <c r="K307" s="200" t="s">
        <v>52</v>
      </c>
      <c r="L307" s="145" t="s">
        <v>894</v>
      </c>
      <c r="M307" s="145" t="str">
        <f t="shared" si="23"/>
        <v>OneCo Networks AS</v>
      </c>
      <c r="N3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7" s="268" t="str">
        <f ca="1">IFERROR(IF(
OR(Table1[[#This Row],[Product category]]="Service items",Table1[[#This Row],[Product category]]="Additional services",Table1[[#This Row],[Product category]]="Additional materials"),
"NOK",IF(($N$3&lt;&gt;""),VLOOKUP(Table1[[#This Row],[Product code]],INDIRECT(Aux!$A$1),6,FALSE),"")),"")</f>
        <v/>
      </c>
      <c r="P307" s="41" t="str">
        <f ca="1">IFERROR(IF(AND(Table1[[#This Row],[Quantity]]&lt;&gt;"",Table1[[#This Row],[Currency]]="NOK"),Table1[[#This Row],[Quantity]]*Table1[[#This Row],[Unit Price]],""),"")</f>
        <v/>
      </c>
      <c r="Q307" s="41" t="str">
        <f ca="1">IFERROR(IF(AND(Table1[[#This Row],[ACT_Qty]]&lt;&gt;"",Table1[[#This Row],[Currency]]="NOK"),Table1[[#This Row],[ACT_Qty]]*Table1[[#This Row],[Unit Price]],""),"")</f>
        <v/>
      </c>
      <c r="R307" s="41" t="str">
        <f ca="1">IFERROR(IF(AND(Table1[[#This Row],[Quantity]]&lt;&gt;"",Table1[[#This Row],[Currency]]="EUR"),Table1[[#This Row],[Quantity]]*Table1[[#This Row],[Unit Price]],""),"")</f>
        <v/>
      </c>
      <c r="S307" s="41" t="str">
        <f ca="1">IFERROR(IF(AND(Table1[[#This Row],[ACT_Qty]]&lt;&gt;"",Table1[[#This Row],[Currency]]="EUR"),Table1[[#This Row],[ACT_Qty]]*Table1[[#This Row],[Unit Price]],""),"")</f>
        <v/>
      </c>
      <c r="T307" s="269" t="str">
        <f ca="1">IFERROR(IF(AND(($N$3&lt;&gt;""),INDIRECT(Aux!$D$1)),VLOOKUP(Table1[[#This Row],[Product code]],Aux!B:E,4,FALSE),""),"")</f>
        <v/>
      </c>
      <c r="U307" s="145" t="str">
        <f>IFERROR(IF(OR(Table1[[#This Row],[Quantity]]&lt;&gt;"",Table1[[#This Row],[ACT_Qty]]&lt;&gt;""),Table1[[#This Row],[ACT_Qty]]-Table1[[#This Row],[Quantity]],""),"")</f>
        <v/>
      </c>
      <c r="V307" s="45"/>
      <c r="W307" s="45"/>
      <c r="X307" s="45"/>
    </row>
    <row r="308" spans="1:24" ht="15" customHeight="1">
      <c r="A308" s="143" t="str">
        <f t="shared" si="22"/>
        <v>AKH12345</v>
      </c>
      <c r="B308" s="256" t="s">
        <v>919</v>
      </c>
      <c r="C308" s="143" t="s">
        <v>920</v>
      </c>
      <c r="D308" s="105"/>
      <c r="E308" s="106" t="s">
        <v>918</v>
      </c>
      <c r="F308" s="105"/>
      <c r="G308" s="106"/>
      <c r="H308" s="199" t="s">
        <v>892</v>
      </c>
      <c r="I308" s="200" t="s">
        <v>893</v>
      </c>
      <c r="J308" s="200" t="s">
        <v>893</v>
      </c>
      <c r="K308" s="200" t="s">
        <v>52</v>
      </c>
      <c r="L308" s="145" t="s">
        <v>894</v>
      </c>
      <c r="M308" s="145" t="str">
        <f t="shared" si="23"/>
        <v>OneCo Networks AS</v>
      </c>
      <c r="N30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8" s="268" t="str">
        <f ca="1">IFERROR(IF(
OR(Table1[[#This Row],[Product category]]="Service items",Table1[[#This Row],[Product category]]="Additional services",Table1[[#This Row],[Product category]]="Additional materials"),
"NOK",IF(($N$3&lt;&gt;""),VLOOKUP(Table1[[#This Row],[Product code]],INDIRECT(Aux!$A$1),6,FALSE),"")),"")</f>
        <v/>
      </c>
      <c r="P308" s="41" t="str">
        <f ca="1">IFERROR(IF(AND(Table1[[#This Row],[Quantity]]&lt;&gt;"",Table1[[#This Row],[Currency]]="NOK"),Table1[[#This Row],[Quantity]]*Table1[[#This Row],[Unit Price]],""),"")</f>
        <v/>
      </c>
      <c r="Q308" s="41" t="str">
        <f ca="1">IFERROR(IF(AND(Table1[[#This Row],[ACT_Qty]]&lt;&gt;"",Table1[[#This Row],[Currency]]="NOK"),Table1[[#This Row],[ACT_Qty]]*Table1[[#This Row],[Unit Price]],""),"")</f>
        <v/>
      </c>
      <c r="R308" s="41" t="str">
        <f ca="1">IFERROR(IF(AND(Table1[[#This Row],[Quantity]]&lt;&gt;"",Table1[[#This Row],[Currency]]="EUR"),Table1[[#This Row],[Quantity]]*Table1[[#This Row],[Unit Price]],""),"")</f>
        <v/>
      </c>
      <c r="S308" s="41" t="str">
        <f ca="1">IFERROR(IF(AND(Table1[[#This Row],[ACT_Qty]]&lt;&gt;"",Table1[[#This Row],[Currency]]="EUR"),Table1[[#This Row],[ACT_Qty]]*Table1[[#This Row],[Unit Price]],""),"")</f>
        <v/>
      </c>
      <c r="T308" s="269" t="str">
        <f ca="1">IFERROR(IF(AND(($N$3&lt;&gt;""),INDIRECT(Aux!$D$1)),VLOOKUP(Table1[[#This Row],[Product code]],Aux!B:E,4,FALSE),""),"")</f>
        <v/>
      </c>
      <c r="U308" s="145" t="str">
        <f>IFERROR(IF(OR(Table1[[#This Row],[Quantity]]&lt;&gt;"",Table1[[#This Row],[ACT_Qty]]&lt;&gt;""),Table1[[#This Row],[ACT_Qty]]-Table1[[#This Row],[Quantity]],""),"")</f>
        <v/>
      </c>
      <c r="V308" s="45"/>
      <c r="W308" s="45"/>
      <c r="X308" s="45"/>
    </row>
    <row r="309" spans="1:24" ht="15" customHeight="1">
      <c r="A309" s="143" t="str">
        <f t="shared" si="22"/>
        <v>AKH12345</v>
      </c>
      <c r="B309" s="256" t="s">
        <v>921</v>
      </c>
      <c r="C309" s="143" t="s">
        <v>922</v>
      </c>
      <c r="D309" s="105"/>
      <c r="E309" s="106" t="s">
        <v>910</v>
      </c>
      <c r="F309" s="105"/>
      <c r="G309" s="106"/>
      <c r="H309" s="199" t="s">
        <v>892</v>
      </c>
      <c r="I309" s="200" t="s">
        <v>893</v>
      </c>
      <c r="J309" s="200" t="s">
        <v>893</v>
      </c>
      <c r="K309" s="200" t="s">
        <v>52</v>
      </c>
      <c r="L309" s="145" t="s">
        <v>894</v>
      </c>
      <c r="M309" s="145" t="str">
        <f t="shared" si="23"/>
        <v>OneCo Networks AS</v>
      </c>
      <c r="N3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09" s="268" t="str">
        <f ca="1">IFERROR(IF(
OR(Table1[[#This Row],[Product category]]="Service items",Table1[[#This Row],[Product category]]="Additional services",Table1[[#This Row],[Product category]]="Additional materials"),
"NOK",IF(($N$3&lt;&gt;""),VLOOKUP(Table1[[#This Row],[Product code]],INDIRECT(Aux!$A$1),6,FALSE),"")),"")</f>
        <v/>
      </c>
      <c r="P309" s="41" t="str">
        <f ca="1">IFERROR(IF(AND(Table1[[#This Row],[Quantity]]&lt;&gt;"",Table1[[#This Row],[Currency]]="NOK"),Table1[[#This Row],[Quantity]]*Table1[[#This Row],[Unit Price]],""),"")</f>
        <v/>
      </c>
      <c r="Q309" s="41" t="str">
        <f ca="1">IFERROR(IF(AND(Table1[[#This Row],[ACT_Qty]]&lt;&gt;"",Table1[[#This Row],[Currency]]="NOK"),Table1[[#This Row],[ACT_Qty]]*Table1[[#This Row],[Unit Price]],""),"")</f>
        <v/>
      </c>
      <c r="R309" s="41" t="str">
        <f ca="1">IFERROR(IF(AND(Table1[[#This Row],[Quantity]]&lt;&gt;"",Table1[[#This Row],[Currency]]="EUR"),Table1[[#This Row],[Quantity]]*Table1[[#This Row],[Unit Price]],""),"")</f>
        <v/>
      </c>
      <c r="S309" s="41" t="str">
        <f ca="1">IFERROR(IF(AND(Table1[[#This Row],[ACT_Qty]]&lt;&gt;"",Table1[[#This Row],[Currency]]="EUR"),Table1[[#This Row],[ACT_Qty]]*Table1[[#This Row],[Unit Price]],""),"")</f>
        <v/>
      </c>
      <c r="T309" s="269" t="str">
        <f ca="1">IFERROR(IF(AND(($N$3&lt;&gt;""),INDIRECT(Aux!$D$1)),VLOOKUP(Table1[[#This Row],[Product code]],Aux!B:E,4,FALSE),""),"")</f>
        <v/>
      </c>
      <c r="U309" s="145" t="str">
        <f>IFERROR(IF(OR(Table1[[#This Row],[Quantity]]&lt;&gt;"",Table1[[#This Row],[ACT_Qty]]&lt;&gt;""),Table1[[#This Row],[ACT_Qty]]-Table1[[#This Row],[Quantity]],""),"")</f>
        <v/>
      </c>
      <c r="V309" s="45"/>
      <c r="W309" s="45"/>
      <c r="X309" s="45"/>
    </row>
    <row r="310" spans="1:24" ht="15" customHeight="1">
      <c r="A310" s="143" t="str">
        <f t="shared" si="22"/>
        <v>AKH12345</v>
      </c>
      <c r="B310" s="256" t="s">
        <v>923</v>
      </c>
      <c r="C310" s="143" t="s">
        <v>924</v>
      </c>
      <c r="D310" s="105"/>
      <c r="E310" s="106" t="s">
        <v>918</v>
      </c>
      <c r="F310" s="105"/>
      <c r="G310" s="106"/>
      <c r="H310" s="199" t="s">
        <v>892</v>
      </c>
      <c r="I310" s="200" t="s">
        <v>893</v>
      </c>
      <c r="J310" s="200" t="s">
        <v>893</v>
      </c>
      <c r="K310" s="200" t="s">
        <v>52</v>
      </c>
      <c r="L310" s="145" t="s">
        <v>894</v>
      </c>
      <c r="M310" s="145" t="str">
        <f t="shared" si="23"/>
        <v>OneCo Networks AS</v>
      </c>
      <c r="N31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0" s="268" t="str">
        <f ca="1">IFERROR(IF(
OR(Table1[[#This Row],[Product category]]="Service items",Table1[[#This Row],[Product category]]="Additional services",Table1[[#This Row],[Product category]]="Additional materials"),
"NOK",IF(($N$3&lt;&gt;""),VLOOKUP(Table1[[#This Row],[Product code]],INDIRECT(Aux!$A$1),6,FALSE),"")),"")</f>
        <v/>
      </c>
      <c r="P310" s="41" t="str">
        <f ca="1">IFERROR(IF(AND(Table1[[#This Row],[Quantity]]&lt;&gt;"",Table1[[#This Row],[Currency]]="NOK"),Table1[[#This Row],[Quantity]]*Table1[[#This Row],[Unit Price]],""),"")</f>
        <v/>
      </c>
      <c r="Q310" s="41" t="str">
        <f ca="1">IFERROR(IF(AND(Table1[[#This Row],[ACT_Qty]]&lt;&gt;"",Table1[[#This Row],[Currency]]="NOK"),Table1[[#This Row],[ACT_Qty]]*Table1[[#This Row],[Unit Price]],""),"")</f>
        <v/>
      </c>
      <c r="R310" s="41" t="str">
        <f ca="1">IFERROR(IF(AND(Table1[[#This Row],[Quantity]]&lt;&gt;"",Table1[[#This Row],[Currency]]="EUR"),Table1[[#This Row],[Quantity]]*Table1[[#This Row],[Unit Price]],""),"")</f>
        <v/>
      </c>
      <c r="S310" s="41" t="str">
        <f ca="1">IFERROR(IF(AND(Table1[[#This Row],[ACT_Qty]]&lt;&gt;"",Table1[[#This Row],[Currency]]="EUR"),Table1[[#This Row],[ACT_Qty]]*Table1[[#This Row],[Unit Price]],""),"")</f>
        <v/>
      </c>
      <c r="T310" s="269" t="str">
        <f ca="1">IFERROR(IF(AND(($N$3&lt;&gt;""),INDIRECT(Aux!$D$1)),VLOOKUP(Table1[[#This Row],[Product code]],Aux!B:E,4,FALSE),""),"")</f>
        <v/>
      </c>
      <c r="U310" s="145" t="str">
        <f>IFERROR(IF(OR(Table1[[#This Row],[Quantity]]&lt;&gt;"",Table1[[#This Row],[ACT_Qty]]&lt;&gt;""),Table1[[#This Row],[ACT_Qty]]-Table1[[#This Row],[Quantity]],""),"")</f>
        <v/>
      </c>
      <c r="V310" s="45"/>
      <c r="W310" s="45"/>
      <c r="X310" s="45"/>
    </row>
    <row r="311" spans="1:24" ht="15" customHeight="1">
      <c r="A311" s="143" t="str">
        <f t="shared" si="22"/>
        <v>AKH12345</v>
      </c>
      <c r="B311" s="256" t="s">
        <v>925</v>
      </c>
      <c r="C311" s="143" t="s">
        <v>926</v>
      </c>
      <c r="D311" s="105"/>
      <c r="E311" s="106" t="s">
        <v>927</v>
      </c>
      <c r="F311" s="105"/>
      <c r="G311" s="106"/>
      <c r="H311" s="199" t="s">
        <v>892</v>
      </c>
      <c r="I311" s="200" t="s">
        <v>893</v>
      </c>
      <c r="J311" s="200" t="s">
        <v>893</v>
      </c>
      <c r="K311" s="200" t="s">
        <v>52</v>
      </c>
      <c r="L311" s="145" t="s">
        <v>894</v>
      </c>
      <c r="M311" s="145" t="str">
        <f t="shared" si="23"/>
        <v>OneCo Networks AS</v>
      </c>
      <c r="N3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1" s="268" t="str">
        <f ca="1">IFERROR(IF(
OR(Table1[[#This Row],[Product category]]="Service items",Table1[[#This Row],[Product category]]="Additional services",Table1[[#This Row],[Product category]]="Additional materials"),
"NOK",IF(($N$3&lt;&gt;""),VLOOKUP(Table1[[#This Row],[Product code]],INDIRECT(Aux!$A$1),6,FALSE),"")),"")</f>
        <v/>
      </c>
      <c r="P311" s="41" t="str">
        <f ca="1">IFERROR(IF(AND(Table1[[#This Row],[Quantity]]&lt;&gt;"",Table1[[#This Row],[Currency]]="NOK"),Table1[[#This Row],[Quantity]]*Table1[[#This Row],[Unit Price]],""),"")</f>
        <v/>
      </c>
      <c r="Q311" s="41" t="str">
        <f ca="1">IFERROR(IF(AND(Table1[[#This Row],[ACT_Qty]]&lt;&gt;"",Table1[[#This Row],[Currency]]="NOK"),Table1[[#This Row],[ACT_Qty]]*Table1[[#This Row],[Unit Price]],""),"")</f>
        <v/>
      </c>
      <c r="R311" s="41" t="str">
        <f ca="1">IFERROR(IF(AND(Table1[[#This Row],[Quantity]]&lt;&gt;"",Table1[[#This Row],[Currency]]="EUR"),Table1[[#This Row],[Quantity]]*Table1[[#This Row],[Unit Price]],""),"")</f>
        <v/>
      </c>
      <c r="S311" s="41" t="str">
        <f ca="1">IFERROR(IF(AND(Table1[[#This Row],[ACT_Qty]]&lt;&gt;"",Table1[[#This Row],[Currency]]="EUR"),Table1[[#This Row],[ACT_Qty]]*Table1[[#This Row],[Unit Price]],""),"")</f>
        <v/>
      </c>
      <c r="T311" s="269" t="str">
        <f ca="1">IFERROR(IF(AND(($N$3&lt;&gt;""),INDIRECT(Aux!$D$1)),VLOOKUP(Table1[[#This Row],[Product code]],Aux!B:E,4,FALSE),""),"")</f>
        <v/>
      </c>
      <c r="U311" s="145" t="str">
        <f>IFERROR(IF(OR(Table1[[#This Row],[Quantity]]&lt;&gt;"",Table1[[#This Row],[ACT_Qty]]&lt;&gt;""),Table1[[#This Row],[ACT_Qty]]-Table1[[#This Row],[Quantity]],""),"")</f>
        <v/>
      </c>
      <c r="V311" s="45"/>
      <c r="W311" s="45"/>
      <c r="X311" s="45"/>
    </row>
    <row r="312" spans="1:24" ht="15" customHeight="1">
      <c r="A312" s="143" t="str">
        <f t="shared" si="22"/>
        <v>AKH12345</v>
      </c>
      <c r="B312" s="256" t="s">
        <v>928</v>
      </c>
      <c r="C312" s="143" t="s">
        <v>929</v>
      </c>
      <c r="D312" s="105"/>
      <c r="E312" s="106" t="s">
        <v>918</v>
      </c>
      <c r="F312" s="105"/>
      <c r="G312" s="106"/>
      <c r="H312" s="199" t="s">
        <v>892</v>
      </c>
      <c r="I312" s="200" t="s">
        <v>893</v>
      </c>
      <c r="J312" s="200" t="s">
        <v>893</v>
      </c>
      <c r="K312" s="200" t="s">
        <v>52</v>
      </c>
      <c r="L312" s="145" t="s">
        <v>894</v>
      </c>
      <c r="M312" s="145" t="str">
        <f t="shared" si="23"/>
        <v>OneCo Networks AS</v>
      </c>
      <c r="N31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2" s="268" t="str">
        <f ca="1">IFERROR(IF(
OR(Table1[[#This Row],[Product category]]="Service items",Table1[[#This Row],[Product category]]="Additional services",Table1[[#This Row],[Product category]]="Additional materials"),
"NOK",IF(($N$3&lt;&gt;""),VLOOKUP(Table1[[#This Row],[Product code]],INDIRECT(Aux!$A$1),6,FALSE),"")),"")</f>
        <v/>
      </c>
      <c r="P312" s="41" t="str">
        <f ca="1">IFERROR(IF(AND(Table1[[#This Row],[Quantity]]&lt;&gt;"",Table1[[#This Row],[Currency]]="NOK"),Table1[[#This Row],[Quantity]]*Table1[[#This Row],[Unit Price]],""),"")</f>
        <v/>
      </c>
      <c r="Q312" s="41" t="str">
        <f ca="1">IFERROR(IF(AND(Table1[[#This Row],[ACT_Qty]]&lt;&gt;"",Table1[[#This Row],[Currency]]="NOK"),Table1[[#This Row],[ACT_Qty]]*Table1[[#This Row],[Unit Price]],""),"")</f>
        <v/>
      </c>
      <c r="R312" s="41" t="str">
        <f ca="1">IFERROR(IF(AND(Table1[[#This Row],[Quantity]]&lt;&gt;"",Table1[[#This Row],[Currency]]="EUR"),Table1[[#This Row],[Quantity]]*Table1[[#This Row],[Unit Price]],""),"")</f>
        <v/>
      </c>
      <c r="S312" s="41" t="str">
        <f ca="1">IFERROR(IF(AND(Table1[[#This Row],[ACT_Qty]]&lt;&gt;"",Table1[[#This Row],[Currency]]="EUR"),Table1[[#This Row],[ACT_Qty]]*Table1[[#This Row],[Unit Price]],""),"")</f>
        <v/>
      </c>
      <c r="T312" s="269" t="str">
        <f ca="1">IFERROR(IF(AND(($N$3&lt;&gt;""),INDIRECT(Aux!$D$1)),VLOOKUP(Table1[[#This Row],[Product code]],Aux!B:E,4,FALSE),""),"")</f>
        <v/>
      </c>
      <c r="U312" s="145" t="str">
        <f>IFERROR(IF(OR(Table1[[#This Row],[Quantity]]&lt;&gt;"",Table1[[#This Row],[ACT_Qty]]&lt;&gt;""),Table1[[#This Row],[ACT_Qty]]-Table1[[#This Row],[Quantity]],""),"")</f>
        <v/>
      </c>
      <c r="V312" s="45"/>
      <c r="W312" s="45"/>
      <c r="X312" s="45"/>
    </row>
    <row r="313" spans="1:24" ht="15" customHeight="1">
      <c r="A313" s="143" t="str">
        <f t="shared" si="22"/>
        <v>AKH12345</v>
      </c>
      <c r="B313" s="256" t="s">
        <v>930</v>
      </c>
      <c r="C313" s="143" t="s">
        <v>931</v>
      </c>
      <c r="D313" s="105"/>
      <c r="E313" s="106" t="s">
        <v>910</v>
      </c>
      <c r="F313" s="105"/>
      <c r="G313" s="106"/>
      <c r="H313" s="199" t="s">
        <v>892</v>
      </c>
      <c r="I313" s="200" t="s">
        <v>893</v>
      </c>
      <c r="J313" s="200" t="s">
        <v>893</v>
      </c>
      <c r="K313" s="200" t="s">
        <v>52</v>
      </c>
      <c r="L313" s="145" t="s">
        <v>894</v>
      </c>
      <c r="M313" s="145" t="str">
        <f t="shared" si="23"/>
        <v>OneCo Networks AS</v>
      </c>
      <c r="N3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3" s="268" t="str">
        <f ca="1">IFERROR(IF(
OR(Table1[[#This Row],[Product category]]="Service items",Table1[[#This Row],[Product category]]="Additional services",Table1[[#This Row],[Product category]]="Additional materials"),
"NOK",IF(($N$3&lt;&gt;""),VLOOKUP(Table1[[#This Row],[Product code]],INDIRECT(Aux!$A$1),6,FALSE),"")),"")</f>
        <v/>
      </c>
      <c r="P313" s="41" t="str">
        <f ca="1">IFERROR(IF(AND(Table1[[#This Row],[Quantity]]&lt;&gt;"",Table1[[#This Row],[Currency]]="NOK"),Table1[[#This Row],[Quantity]]*Table1[[#This Row],[Unit Price]],""),"")</f>
        <v/>
      </c>
      <c r="Q313" s="41" t="str">
        <f ca="1">IFERROR(IF(AND(Table1[[#This Row],[ACT_Qty]]&lt;&gt;"",Table1[[#This Row],[Currency]]="NOK"),Table1[[#This Row],[ACT_Qty]]*Table1[[#This Row],[Unit Price]],""),"")</f>
        <v/>
      </c>
      <c r="R313" s="41" t="str">
        <f ca="1">IFERROR(IF(AND(Table1[[#This Row],[Quantity]]&lt;&gt;"",Table1[[#This Row],[Currency]]="EUR"),Table1[[#This Row],[Quantity]]*Table1[[#This Row],[Unit Price]],""),"")</f>
        <v/>
      </c>
      <c r="S313" s="41" t="str">
        <f ca="1">IFERROR(IF(AND(Table1[[#This Row],[ACT_Qty]]&lt;&gt;"",Table1[[#This Row],[Currency]]="EUR"),Table1[[#This Row],[ACT_Qty]]*Table1[[#This Row],[Unit Price]],""),"")</f>
        <v/>
      </c>
      <c r="T313" s="269" t="str">
        <f ca="1">IFERROR(IF(AND(($N$3&lt;&gt;""),INDIRECT(Aux!$D$1)),VLOOKUP(Table1[[#This Row],[Product code]],Aux!B:E,4,FALSE),""),"")</f>
        <v/>
      </c>
      <c r="U313" s="145" t="str">
        <f>IFERROR(IF(OR(Table1[[#This Row],[Quantity]]&lt;&gt;"",Table1[[#This Row],[ACT_Qty]]&lt;&gt;""),Table1[[#This Row],[ACT_Qty]]-Table1[[#This Row],[Quantity]],""),"")</f>
        <v/>
      </c>
      <c r="V313" s="45"/>
      <c r="W313" s="45"/>
      <c r="X313" s="45"/>
    </row>
    <row r="314" spans="1:24" ht="15" customHeight="1">
      <c r="A314" s="143" t="str">
        <f t="shared" si="22"/>
        <v>AKH12345</v>
      </c>
      <c r="B314" s="256" t="s">
        <v>932</v>
      </c>
      <c r="C314" s="143" t="s">
        <v>933</v>
      </c>
      <c r="D314" s="105"/>
      <c r="E314" s="106" t="s">
        <v>934</v>
      </c>
      <c r="F314" s="105"/>
      <c r="G314" s="106"/>
      <c r="H314" s="199" t="s">
        <v>892</v>
      </c>
      <c r="I314" s="200" t="s">
        <v>893</v>
      </c>
      <c r="J314" s="200" t="s">
        <v>893</v>
      </c>
      <c r="K314" s="200" t="s">
        <v>52</v>
      </c>
      <c r="L314" s="145" t="s">
        <v>152</v>
      </c>
      <c r="M314" s="145" t="str">
        <f t="shared" si="23"/>
        <v>OneCo Networks AS</v>
      </c>
      <c r="N31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4" s="268" t="str">
        <f ca="1">IFERROR(IF(
OR(Table1[[#This Row],[Product category]]="Service items",Table1[[#This Row],[Product category]]="Additional services",Table1[[#This Row],[Product category]]="Additional materials"),
"NOK",IF(($N$3&lt;&gt;""),VLOOKUP(Table1[[#This Row],[Product code]],INDIRECT(Aux!$A$1),6,FALSE),"")),"")</f>
        <v/>
      </c>
      <c r="P314" s="41" t="str">
        <f ca="1">IFERROR(IF(AND(Table1[[#This Row],[Quantity]]&lt;&gt;"",Table1[[#This Row],[Currency]]="NOK"),Table1[[#This Row],[Quantity]]*Table1[[#This Row],[Unit Price]],""),"")</f>
        <v/>
      </c>
      <c r="Q314" s="41" t="str">
        <f ca="1">IFERROR(IF(AND(Table1[[#This Row],[ACT_Qty]]&lt;&gt;"",Table1[[#This Row],[Currency]]="NOK"),Table1[[#This Row],[ACT_Qty]]*Table1[[#This Row],[Unit Price]],""),"")</f>
        <v/>
      </c>
      <c r="R314" s="41" t="str">
        <f ca="1">IFERROR(IF(AND(Table1[[#This Row],[Quantity]]&lt;&gt;"",Table1[[#This Row],[Currency]]="EUR"),Table1[[#This Row],[Quantity]]*Table1[[#This Row],[Unit Price]],""),"")</f>
        <v/>
      </c>
      <c r="S314" s="41" t="str">
        <f ca="1">IFERROR(IF(AND(Table1[[#This Row],[ACT_Qty]]&lt;&gt;"",Table1[[#This Row],[Currency]]="EUR"),Table1[[#This Row],[ACT_Qty]]*Table1[[#This Row],[Unit Price]],""),"")</f>
        <v/>
      </c>
      <c r="T314" s="269" t="str">
        <f ca="1">IFERROR(IF(AND(($N$3&lt;&gt;""),INDIRECT(Aux!$D$1)),VLOOKUP(Table1[[#This Row],[Product code]],Aux!B:E,4,FALSE),""),"")</f>
        <v/>
      </c>
      <c r="U314" s="145" t="str">
        <f>IFERROR(IF(OR(Table1[[#This Row],[Quantity]]&lt;&gt;"",Table1[[#This Row],[ACT_Qty]]&lt;&gt;""),Table1[[#This Row],[ACT_Qty]]-Table1[[#This Row],[Quantity]],""),"")</f>
        <v/>
      </c>
      <c r="V314" s="45"/>
      <c r="W314" s="45"/>
      <c r="X314" s="45"/>
    </row>
    <row r="315" spans="1:24" ht="15" customHeight="1">
      <c r="A315" s="143" t="str">
        <f t="shared" si="22"/>
        <v>AKH12345</v>
      </c>
      <c r="B315" s="256" t="s">
        <v>935</v>
      </c>
      <c r="C315" s="143" t="s">
        <v>936</v>
      </c>
      <c r="D315" s="105"/>
      <c r="E315" s="106" t="s">
        <v>934</v>
      </c>
      <c r="F315" s="105"/>
      <c r="G315" s="106"/>
      <c r="H315" s="199" t="s">
        <v>892</v>
      </c>
      <c r="I315" s="200" t="s">
        <v>893</v>
      </c>
      <c r="J315" s="200" t="s">
        <v>893</v>
      </c>
      <c r="K315" s="200" t="s">
        <v>52</v>
      </c>
      <c r="L315" s="145" t="s">
        <v>152</v>
      </c>
      <c r="M315" s="145" t="str">
        <f t="shared" si="23"/>
        <v>OneCo Networks AS</v>
      </c>
      <c r="N3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5" s="268" t="str">
        <f ca="1">IFERROR(IF(
OR(Table1[[#This Row],[Product category]]="Service items",Table1[[#This Row],[Product category]]="Additional services",Table1[[#This Row],[Product category]]="Additional materials"),
"NOK",IF(($N$3&lt;&gt;""),VLOOKUP(Table1[[#This Row],[Product code]],INDIRECT(Aux!$A$1),6,FALSE),"")),"")</f>
        <v/>
      </c>
      <c r="P315" s="41" t="str">
        <f ca="1">IFERROR(IF(AND(Table1[[#This Row],[Quantity]]&lt;&gt;"",Table1[[#This Row],[Currency]]="NOK"),Table1[[#This Row],[Quantity]]*Table1[[#This Row],[Unit Price]],""),"")</f>
        <v/>
      </c>
      <c r="Q315" s="41" t="str">
        <f ca="1">IFERROR(IF(AND(Table1[[#This Row],[ACT_Qty]]&lt;&gt;"",Table1[[#This Row],[Currency]]="NOK"),Table1[[#This Row],[ACT_Qty]]*Table1[[#This Row],[Unit Price]],""),"")</f>
        <v/>
      </c>
      <c r="R315" s="41" t="str">
        <f ca="1">IFERROR(IF(AND(Table1[[#This Row],[Quantity]]&lt;&gt;"",Table1[[#This Row],[Currency]]="EUR"),Table1[[#This Row],[Quantity]]*Table1[[#This Row],[Unit Price]],""),"")</f>
        <v/>
      </c>
      <c r="S315" s="41" t="str">
        <f ca="1">IFERROR(IF(AND(Table1[[#This Row],[ACT_Qty]]&lt;&gt;"",Table1[[#This Row],[Currency]]="EUR"),Table1[[#This Row],[ACT_Qty]]*Table1[[#This Row],[Unit Price]],""),"")</f>
        <v/>
      </c>
      <c r="T315" s="269" t="str">
        <f ca="1">IFERROR(IF(AND(($N$3&lt;&gt;""),INDIRECT(Aux!$D$1)),VLOOKUP(Table1[[#This Row],[Product code]],Aux!B:E,4,FALSE),""),"")</f>
        <v/>
      </c>
      <c r="U315" s="145" t="str">
        <f>IFERROR(IF(OR(Table1[[#This Row],[Quantity]]&lt;&gt;"",Table1[[#This Row],[ACT_Qty]]&lt;&gt;""),Table1[[#This Row],[ACT_Qty]]-Table1[[#This Row],[Quantity]],""),"")</f>
        <v/>
      </c>
      <c r="V315" s="45"/>
      <c r="W315" s="45"/>
      <c r="X315" s="45"/>
    </row>
    <row r="316" spans="1:24" ht="15" customHeight="1">
      <c r="A316" s="143" t="str">
        <f t="shared" si="22"/>
        <v>AKH12345</v>
      </c>
      <c r="B316" s="256" t="s">
        <v>937</v>
      </c>
      <c r="C316" s="143" t="s">
        <v>938</v>
      </c>
      <c r="D316" s="105"/>
      <c r="E316" s="106" t="s">
        <v>934</v>
      </c>
      <c r="F316" s="105"/>
      <c r="G316" s="106"/>
      <c r="H316" s="199" t="s">
        <v>892</v>
      </c>
      <c r="I316" s="200" t="s">
        <v>893</v>
      </c>
      <c r="J316" s="200" t="s">
        <v>893</v>
      </c>
      <c r="K316" s="200" t="s">
        <v>52</v>
      </c>
      <c r="L316" s="145" t="s">
        <v>152</v>
      </c>
      <c r="M316" s="145" t="str">
        <f t="shared" si="23"/>
        <v>OneCo Networks AS</v>
      </c>
      <c r="N31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6" s="268" t="str">
        <f ca="1">IFERROR(IF(
OR(Table1[[#This Row],[Product category]]="Service items",Table1[[#This Row],[Product category]]="Additional services",Table1[[#This Row],[Product category]]="Additional materials"),
"NOK",IF(($N$3&lt;&gt;""),VLOOKUP(Table1[[#This Row],[Product code]],INDIRECT(Aux!$A$1),6,FALSE),"")),"")</f>
        <v/>
      </c>
      <c r="P316" s="41" t="str">
        <f ca="1">IFERROR(IF(AND(Table1[[#This Row],[Quantity]]&lt;&gt;"",Table1[[#This Row],[Currency]]="NOK"),Table1[[#This Row],[Quantity]]*Table1[[#This Row],[Unit Price]],""),"")</f>
        <v/>
      </c>
      <c r="Q316" s="41" t="str">
        <f ca="1">IFERROR(IF(AND(Table1[[#This Row],[ACT_Qty]]&lt;&gt;"",Table1[[#This Row],[Currency]]="NOK"),Table1[[#This Row],[ACT_Qty]]*Table1[[#This Row],[Unit Price]],""),"")</f>
        <v/>
      </c>
      <c r="R316" s="41" t="str">
        <f ca="1">IFERROR(IF(AND(Table1[[#This Row],[Quantity]]&lt;&gt;"",Table1[[#This Row],[Currency]]="EUR"),Table1[[#This Row],[Quantity]]*Table1[[#This Row],[Unit Price]],""),"")</f>
        <v/>
      </c>
      <c r="S316" s="41" t="str">
        <f ca="1">IFERROR(IF(AND(Table1[[#This Row],[ACT_Qty]]&lt;&gt;"",Table1[[#This Row],[Currency]]="EUR"),Table1[[#This Row],[ACT_Qty]]*Table1[[#This Row],[Unit Price]],""),"")</f>
        <v/>
      </c>
      <c r="T316" s="269" t="str">
        <f ca="1">IFERROR(IF(AND(($N$3&lt;&gt;""),INDIRECT(Aux!$D$1)),VLOOKUP(Table1[[#This Row],[Product code]],Aux!B:E,4,FALSE),""),"")</f>
        <v/>
      </c>
      <c r="U316" s="145" t="str">
        <f>IFERROR(IF(OR(Table1[[#This Row],[Quantity]]&lt;&gt;"",Table1[[#This Row],[ACT_Qty]]&lt;&gt;""),Table1[[#This Row],[ACT_Qty]]-Table1[[#This Row],[Quantity]],""),"")</f>
        <v/>
      </c>
      <c r="V316" s="45"/>
      <c r="W316" s="45"/>
      <c r="X316" s="45"/>
    </row>
    <row r="317" spans="1:24" ht="15" customHeight="1">
      <c r="A317" s="143" t="str">
        <f t="shared" si="22"/>
        <v>AKH12345</v>
      </c>
      <c r="B317" s="256" t="s">
        <v>939</v>
      </c>
      <c r="C317" s="143" t="s">
        <v>940</v>
      </c>
      <c r="D317" s="105"/>
      <c r="E317" s="106" t="s">
        <v>934</v>
      </c>
      <c r="F317" s="105"/>
      <c r="G317" s="106"/>
      <c r="H317" s="199" t="s">
        <v>892</v>
      </c>
      <c r="I317" s="200" t="s">
        <v>893</v>
      </c>
      <c r="J317" s="200" t="s">
        <v>893</v>
      </c>
      <c r="K317" s="200" t="s">
        <v>52</v>
      </c>
      <c r="L317" s="145" t="s">
        <v>152</v>
      </c>
      <c r="M317" s="145" t="str">
        <f t="shared" si="23"/>
        <v>OneCo Networks AS</v>
      </c>
      <c r="N3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7" s="268" t="str">
        <f ca="1">IFERROR(IF(
OR(Table1[[#This Row],[Product category]]="Service items",Table1[[#This Row],[Product category]]="Additional services",Table1[[#This Row],[Product category]]="Additional materials"),
"NOK",IF(($N$3&lt;&gt;""),VLOOKUP(Table1[[#This Row],[Product code]],INDIRECT(Aux!$A$1),6,FALSE),"")),"")</f>
        <v/>
      </c>
      <c r="P317" s="41" t="str">
        <f ca="1">IFERROR(IF(AND(Table1[[#This Row],[Quantity]]&lt;&gt;"",Table1[[#This Row],[Currency]]="NOK"),Table1[[#This Row],[Quantity]]*Table1[[#This Row],[Unit Price]],""),"")</f>
        <v/>
      </c>
      <c r="Q317" s="41" t="str">
        <f ca="1">IFERROR(IF(AND(Table1[[#This Row],[ACT_Qty]]&lt;&gt;"",Table1[[#This Row],[Currency]]="NOK"),Table1[[#This Row],[ACT_Qty]]*Table1[[#This Row],[Unit Price]],""),"")</f>
        <v/>
      </c>
      <c r="R317" s="41" t="str">
        <f ca="1">IFERROR(IF(AND(Table1[[#This Row],[Quantity]]&lt;&gt;"",Table1[[#This Row],[Currency]]="EUR"),Table1[[#This Row],[Quantity]]*Table1[[#This Row],[Unit Price]],""),"")</f>
        <v/>
      </c>
      <c r="S317" s="41" t="str">
        <f ca="1">IFERROR(IF(AND(Table1[[#This Row],[ACT_Qty]]&lt;&gt;"",Table1[[#This Row],[Currency]]="EUR"),Table1[[#This Row],[ACT_Qty]]*Table1[[#This Row],[Unit Price]],""),"")</f>
        <v/>
      </c>
      <c r="T317" s="269" t="str">
        <f ca="1">IFERROR(IF(AND(($N$3&lt;&gt;""),INDIRECT(Aux!$D$1)),VLOOKUP(Table1[[#This Row],[Product code]],Aux!B:E,4,FALSE),""),"")</f>
        <v/>
      </c>
      <c r="U317" s="145" t="str">
        <f>IFERROR(IF(OR(Table1[[#This Row],[Quantity]]&lt;&gt;"",Table1[[#This Row],[ACT_Qty]]&lt;&gt;""),Table1[[#This Row],[ACT_Qty]]-Table1[[#This Row],[Quantity]],""),"")</f>
        <v/>
      </c>
      <c r="V317" s="45"/>
      <c r="W317" s="45"/>
      <c r="X317" s="45"/>
    </row>
    <row r="318" spans="1:24" ht="15" customHeight="1">
      <c r="A318" s="143" t="str">
        <f t="shared" si="22"/>
        <v>AKH12345</v>
      </c>
      <c r="B318" s="256" t="s">
        <v>941</v>
      </c>
      <c r="C318" s="143" t="s">
        <v>942</v>
      </c>
      <c r="D318" s="105"/>
      <c r="E318" s="106"/>
      <c r="F318" s="105"/>
      <c r="G318" s="106"/>
      <c r="H318" s="199" t="s">
        <v>943</v>
      </c>
      <c r="I318" s="200" t="s">
        <v>893</v>
      </c>
      <c r="J318" s="200" t="s">
        <v>893</v>
      </c>
      <c r="K318" s="200" t="s">
        <v>52</v>
      </c>
      <c r="L318" s="145" t="s">
        <v>152</v>
      </c>
      <c r="M318" s="145" t="str">
        <f>IF($C$3&lt;&gt;"",$C$3,"")</f>
        <v>OneCo Networks AS</v>
      </c>
      <c r="N31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8" s="268" t="str">
        <f ca="1">IFERROR(IF(
OR(Table1[[#This Row],[Product category]]="Service items",Table1[[#This Row],[Product category]]="Additional services",Table1[[#This Row],[Product category]]="Additional materials"),
"NOK",IF(($N$3&lt;&gt;""),VLOOKUP(Table1[[#This Row],[Product code]],INDIRECT(Aux!$A$1),6,FALSE),"")),"")</f>
        <v/>
      </c>
      <c r="P318" s="41" t="str">
        <f ca="1">IFERROR(IF(AND(Table1[[#This Row],[Quantity]]&lt;&gt;"",Table1[[#This Row],[Currency]]="NOK"),Table1[[#This Row],[Quantity]]*Table1[[#This Row],[Unit Price]],""),"")</f>
        <v/>
      </c>
      <c r="Q318" s="41" t="str">
        <f ca="1">IFERROR(IF(AND(Table1[[#This Row],[ACT_Qty]]&lt;&gt;"",Table1[[#This Row],[Currency]]="NOK"),Table1[[#This Row],[ACT_Qty]]*Table1[[#This Row],[Unit Price]],""),"")</f>
        <v/>
      </c>
      <c r="R318" s="41" t="str">
        <f ca="1">IFERROR(IF(AND(Table1[[#This Row],[Quantity]]&lt;&gt;"",Table1[[#This Row],[Currency]]="EUR"),Table1[[#This Row],[Quantity]]*Table1[[#This Row],[Unit Price]],""),"")</f>
        <v/>
      </c>
      <c r="S318" s="41" t="str">
        <f ca="1">IFERROR(IF(AND(Table1[[#This Row],[ACT_Qty]]&lt;&gt;"",Table1[[#This Row],[Currency]]="EUR"),Table1[[#This Row],[ACT_Qty]]*Table1[[#This Row],[Unit Price]],""),"")</f>
        <v/>
      </c>
      <c r="T318" s="269" t="str">
        <f ca="1">IFERROR(IF(AND(($N$3&lt;&gt;""),INDIRECT(Aux!$D$1)),VLOOKUP(Table1[[#This Row],[Product code]],Aux!B:E,4,FALSE),""),"")</f>
        <v/>
      </c>
      <c r="U318" s="145" t="str">
        <f>IFERROR(IF(OR(Table1[[#This Row],[Quantity]]&lt;&gt;"",Table1[[#This Row],[ACT_Qty]]&lt;&gt;""),Table1[[#This Row],[ACT_Qty]]-Table1[[#This Row],[Quantity]],""),"")</f>
        <v/>
      </c>
      <c r="V318" s="45"/>
      <c r="W318" s="45"/>
      <c r="X318" s="45"/>
    </row>
    <row r="319" spans="1:24" ht="15" customHeight="1">
      <c r="A319" s="143" t="str">
        <f t="shared" si="22"/>
        <v>AKH12345</v>
      </c>
      <c r="B319" s="256" t="s">
        <v>944</v>
      </c>
      <c r="C319" s="143" t="s">
        <v>945</v>
      </c>
      <c r="D319" s="105"/>
      <c r="E319" s="106" t="s">
        <v>946</v>
      </c>
      <c r="F319" s="105"/>
      <c r="G319" s="106"/>
      <c r="H319" s="199" t="s">
        <v>947</v>
      </c>
      <c r="I319" s="200" t="s">
        <v>948</v>
      </c>
      <c r="J319" s="200" t="s">
        <v>948</v>
      </c>
      <c r="K319" s="200" t="s">
        <v>52</v>
      </c>
      <c r="L319" s="145" t="s">
        <v>949</v>
      </c>
      <c r="M319" s="145" t="str">
        <f>IF($C$3&lt;&gt;"",$C$3,"")</f>
        <v>OneCo Networks AS</v>
      </c>
      <c r="N3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19" s="268" t="str">
        <f ca="1">IFERROR(IF(
OR(Table1[[#This Row],[Product category]]="Service items",Table1[[#This Row],[Product category]]="Additional services",Table1[[#This Row],[Product category]]="Additional materials"),
"NOK",IF(($N$3&lt;&gt;""),VLOOKUP(Table1[[#This Row],[Product code]],INDIRECT(Aux!$A$1),6,FALSE),"")),"")</f>
        <v/>
      </c>
      <c r="P319" s="41" t="str">
        <f ca="1">IFERROR(IF(AND(Table1[[#This Row],[Quantity]]&lt;&gt;"",Table1[[#This Row],[Currency]]="NOK"),Table1[[#This Row],[Quantity]]*Table1[[#This Row],[Unit Price]],""),"")</f>
        <v/>
      </c>
      <c r="Q319" s="41" t="str">
        <f ca="1">IFERROR(IF(AND(Table1[[#This Row],[ACT_Qty]]&lt;&gt;"",Table1[[#This Row],[Currency]]="NOK"),Table1[[#This Row],[ACT_Qty]]*Table1[[#This Row],[Unit Price]],""),"")</f>
        <v/>
      </c>
      <c r="R319" s="41" t="str">
        <f ca="1">IFERROR(IF(AND(Table1[[#This Row],[Quantity]]&lt;&gt;"",Table1[[#This Row],[Currency]]="EUR"),Table1[[#This Row],[Quantity]]*Table1[[#This Row],[Unit Price]],""),"")</f>
        <v/>
      </c>
      <c r="S319" s="41" t="str">
        <f ca="1">IFERROR(IF(AND(Table1[[#This Row],[ACT_Qty]]&lt;&gt;"",Table1[[#This Row],[Currency]]="EUR"),Table1[[#This Row],[ACT_Qty]]*Table1[[#This Row],[Unit Price]],""),"")</f>
        <v/>
      </c>
      <c r="T319" s="269" t="str">
        <f ca="1">IFERROR(IF(AND(($N$3&lt;&gt;""),INDIRECT(Aux!$D$1)),VLOOKUP(Table1[[#This Row],[Product code]],Aux!B:E,4,FALSE),""),"")</f>
        <v/>
      </c>
      <c r="U319" s="145" t="str">
        <f>IFERROR(IF(OR(Table1[[#This Row],[Quantity]]&lt;&gt;"",Table1[[#This Row],[ACT_Qty]]&lt;&gt;""),Table1[[#This Row],[ACT_Qty]]-Table1[[#This Row],[Quantity]],""),"")</f>
        <v/>
      </c>
      <c r="V319" s="45"/>
      <c r="W319" s="45"/>
      <c r="X319" s="45"/>
    </row>
    <row r="320" spans="1:24" ht="15" customHeight="1">
      <c r="A320" s="143" t="str">
        <f t="shared" si="22"/>
        <v>AKH12345</v>
      </c>
      <c r="B320" s="256" t="s">
        <v>950</v>
      </c>
      <c r="C320" s="143" t="s">
        <v>951</v>
      </c>
      <c r="D320" s="105"/>
      <c r="E320" s="106" t="s">
        <v>952</v>
      </c>
      <c r="F320" s="105"/>
      <c r="G320" s="106"/>
      <c r="H320" s="199" t="s">
        <v>953</v>
      </c>
      <c r="I320" s="200" t="s">
        <v>948</v>
      </c>
      <c r="J320" s="200" t="s">
        <v>948</v>
      </c>
      <c r="K320" s="200" t="s">
        <v>52</v>
      </c>
      <c r="L320" s="145" t="s">
        <v>949</v>
      </c>
      <c r="M320" s="145" t="str">
        <f>IF($C$3&lt;&gt;"",$C$3,"")</f>
        <v>OneCo Networks AS</v>
      </c>
      <c r="N32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0" s="268" t="str">
        <f ca="1">IFERROR(IF(
OR(Table1[[#This Row],[Product category]]="Service items",Table1[[#This Row],[Product category]]="Additional services",Table1[[#This Row],[Product category]]="Additional materials"),
"NOK",IF(($N$3&lt;&gt;""),VLOOKUP(Table1[[#This Row],[Product code]],INDIRECT(Aux!$A$1),6,FALSE),"")),"")</f>
        <v/>
      </c>
      <c r="P320" s="41" t="str">
        <f ca="1">IFERROR(IF(AND(Table1[[#This Row],[Quantity]]&lt;&gt;"",Table1[[#This Row],[Currency]]="NOK"),Table1[[#This Row],[Quantity]]*Table1[[#This Row],[Unit Price]],""),"")</f>
        <v/>
      </c>
      <c r="Q320" s="41" t="str">
        <f ca="1">IFERROR(IF(AND(Table1[[#This Row],[ACT_Qty]]&lt;&gt;"",Table1[[#This Row],[Currency]]="NOK"),Table1[[#This Row],[ACT_Qty]]*Table1[[#This Row],[Unit Price]],""),"")</f>
        <v/>
      </c>
      <c r="R320" s="41" t="str">
        <f ca="1">IFERROR(IF(AND(Table1[[#This Row],[Quantity]]&lt;&gt;"",Table1[[#This Row],[Currency]]="EUR"),Table1[[#This Row],[Quantity]]*Table1[[#This Row],[Unit Price]],""),"")</f>
        <v/>
      </c>
      <c r="S320" s="41" t="str">
        <f ca="1">IFERROR(IF(AND(Table1[[#This Row],[ACT_Qty]]&lt;&gt;"",Table1[[#This Row],[Currency]]="EUR"),Table1[[#This Row],[ACT_Qty]]*Table1[[#This Row],[Unit Price]],""),"")</f>
        <v/>
      </c>
      <c r="T320" s="269" t="str">
        <f ca="1">IFERROR(IF(AND(($N$3&lt;&gt;""),INDIRECT(Aux!$D$1)),VLOOKUP(Table1[[#This Row],[Product code]],Aux!B:E,4,FALSE),""),"")</f>
        <v/>
      </c>
      <c r="U320" s="145" t="str">
        <f>IFERROR(IF(OR(Table1[[#This Row],[Quantity]]&lt;&gt;"",Table1[[#This Row],[ACT_Qty]]&lt;&gt;""),Table1[[#This Row],[ACT_Qty]]-Table1[[#This Row],[Quantity]],""),"")</f>
        <v/>
      </c>
      <c r="V320" s="45"/>
      <c r="W320" s="45"/>
      <c r="X320" s="45"/>
    </row>
    <row r="321" spans="1:24" ht="15" customHeight="1">
      <c r="A321" s="143" t="str">
        <f t="shared" si="22"/>
        <v>AKH12345</v>
      </c>
      <c r="B321" s="256" t="s">
        <v>954</v>
      </c>
      <c r="C321" s="143" t="s">
        <v>955</v>
      </c>
      <c r="D321" s="105"/>
      <c r="E321" s="106" t="s">
        <v>956</v>
      </c>
      <c r="F321" s="105"/>
      <c r="G321" s="106"/>
      <c r="H321" s="199" t="s">
        <v>957</v>
      </c>
      <c r="I321" s="200" t="s">
        <v>948</v>
      </c>
      <c r="J321" s="200" t="s">
        <v>948</v>
      </c>
      <c r="K321" s="200" t="s">
        <v>52</v>
      </c>
      <c r="L321" s="145" t="s">
        <v>949</v>
      </c>
      <c r="M321" s="145" t="str">
        <f>IF($C$3&lt;&gt;"",$C$3,"")</f>
        <v>OneCo Networks AS</v>
      </c>
      <c r="N3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1" s="268" t="str">
        <f ca="1">IFERROR(IF(
OR(Table1[[#This Row],[Product category]]="Service items",Table1[[#This Row],[Product category]]="Additional services",Table1[[#This Row],[Product category]]="Additional materials"),
"NOK",IF(($N$3&lt;&gt;""),VLOOKUP(Table1[[#This Row],[Product code]],INDIRECT(Aux!$A$1),6,FALSE),"")),"")</f>
        <v/>
      </c>
      <c r="P321" s="41" t="str">
        <f ca="1">IFERROR(IF(AND(Table1[[#This Row],[Quantity]]&lt;&gt;"",Table1[[#This Row],[Currency]]="NOK"),Table1[[#This Row],[Quantity]]*Table1[[#This Row],[Unit Price]],""),"")</f>
        <v/>
      </c>
      <c r="Q321" s="41" t="str">
        <f ca="1">IFERROR(IF(AND(Table1[[#This Row],[ACT_Qty]]&lt;&gt;"",Table1[[#This Row],[Currency]]="NOK"),Table1[[#This Row],[ACT_Qty]]*Table1[[#This Row],[Unit Price]],""),"")</f>
        <v/>
      </c>
      <c r="R321" s="41" t="str">
        <f ca="1">IFERROR(IF(AND(Table1[[#This Row],[Quantity]]&lt;&gt;"",Table1[[#This Row],[Currency]]="EUR"),Table1[[#This Row],[Quantity]]*Table1[[#This Row],[Unit Price]],""),"")</f>
        <v/>
      </c>
      <c r="S321" s="41" t="str">
        <f ca="1">IFERROR(IF(AND(Table1[[#This Row],[ACT_Qty]]&lt;&gt;"",Table1[[#This Row],[Currency]]="EUR"),Table1[[#This Row],[ACT_Qty]]*Table1[[#This Row],[Unit Price]],""),"")</f>
        <v/>
      </c>
      <c r="T321" s="269" t="str">
        <f ca="1">IFERROR(IF(AND(($N$3&lt;&gt;""),INDIRECT(Aux!$D$1)),VLOOKUP(Table1[[#This Row],[Product code]],Aux!B:E,4,FALSE),""),"")</f>
        <v/>
      </c>
      <c r="U321" s="145" t="str">
        <f>IFERROR(IF(OR(Table1[[#This Row],[Quantity]]&lt;&gt;"",Table1[[#This Row],[ACT_Qty]]&lt;&gt;""),Table1[[#This Row],[ACT_Qty]]-Table1[[#This Row],[Quantity]],""),"")</f>
        <v/>
      </c>
      <c r="V321" s="45"/>
      <c r="W321" s="45"/>
      <c r="X321" s="45"/>
    </row>
    <row r="322" spans="1:24" ht="15" customHeight="1">
      <c r="A322" s="228" t="str">
        <f t="shared" si="22"/>
        <v>AKH12345</v>
      </c>
      <c r="B322" s="259" t="s">
        <v>958</v>
      </c>
      <c r="C322" s="228" t="s">
        <v>959</v>
      </c>
      <c r="D322" s="105"/>
      <c r="E322" s="106"/>
      <c r="F322" s="105"/>
      <c r="G322" s="106"/>
      <c r="H322" s="204" t="s">
        <v>960</v>
      </c>
      <c r="I322" s="205" t="s">
        <v>961</v>
      </c>
      <c r="J322" s="205" t="s">
        <v>962</v>
      </c>
      <c r="K322" s="205" t="s">
        <v>52</v>
      </c>
      <c r="L322" s="206" t="s">
        <v>645</v>
      </c>
      <c r="M322" s="206" t="str">
        <f t="shared" si="19"/>
        <v>OneCo Networks AS</v>
      </c>
      <c r="N32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2" s="279" t="str">
        <f ca="1">IFERROR(IF(
OR(Table1[[#This Row],[Product category]]="Service items",Table1[[#This Row],[Product category]]="Additional services",Table1[[#This Row],[Product category]]="Additional materials"),
"NOK",IF(($N$3&lt;&gt;""),VLOOKUP(Table1[[#This Row],[Product code]],INDIRECT(Aux!$A$1),6,FALSE),"")),"")</f>
        <v/>
      </c>
      <c r="P322" s="280" t="str">
        <f ca="1">IFERROR(IF(AND(Table1[[#This Row],[Quantity]]&lt;&gt;"",Table1[[#This Row],[Currency]]="NOK"),Table1[[#This Row],[Quantity]]*Table1[[#This Row],[Unit Price]],""),"")</f>
        <v/>
      </c>
      <c r="Q322" s="280" t="str">
        <f ca="1">IFERROR(IF(AND(Table1[[#This Row],[ACT_Qty]]&lt;&gt;"",Table1[[#This Row],[Currency]]="NOK"),Table1[[#This Row],[ACT_Qty]]*Table1[[#This Row],[Unit Price]],""),"")</f>
        <v/>
      </c>
      <c r="R322" s="280" t="str">
        <f ca="1">IFERROR(IF(AND(Table1[[#This Row],[Quantity]]&lt;&gt;"",Table1[[#This Row],[Currency]]="EUR"),Table1[[#This Row],[Quantity]]*Table1[[#This Row],[Unit Price]],""),"")</f>
        <v/>
      </c>
      <c r="S322" s="280" t="str">
        <f ca="1">IFERROR(IF(AND(Table1[[#This Row],[ACT_Qty]]&lt;&gt;"",Table1[[#This Row],[Currency]]="EUR"),Table1[[#This Row],[ACT_Qty]]*Table1[[#This Row],[Unit Price]],""),"")</f>
        <v/>
      </c>
      <c r="T322" s="281" t="str">
        <f ca="1">IFERROR(IF(AND(($N$3&lt;&gt;""),INDIRECT(Aux!$D$1)),VLOOKUP(Table1[[#This Row],[Product code]],Aux!B:E,4,FALSE),""),"")</f>
        <v/>
      </c>
      <c r="U322" s="206" t="str">
        <f>IFERROR(IF(OR(Table1[[#This Row],[Quantity]]&lt;&gt;"",Table1[[#This Row],[ACT_Qty]]&lt;&gt;""),Table1[[#This Row],[ACT_Qty]]-Table1[[#This Row],[Quantity]],""),"")</f>
        <v/>
      </c>
      <c r="V322" s="282"/>
      <c r="W322" s="282"/>
      <c r="X322" s="282"/>
    </row>
    <row r="323" spans="1:24" ht="15" customHeight="1">
      <c r="A323" s="227" t="str">
        <f t="shared" si="22"/>
        <v>AKH12345</v>
      </c>
      <c r="B323" s="258" t="s">
        <v>963</v>
      </c>
      <c r="C323" s="227" t="s">
        <v>964</v>
      </c>
      <c r="D323" s="105"/>
      <c r="E323" s="106"/>
      <c r="F323" s="105"/>
      <c r="G323" s="106"/>
      <c r="H323" s="201" t="s">
        <v>960</v>
      </c>
      <c r="I323" s="202" t="s">
        <v>961</v>
      </c>
      <c r="J323" s="202" t="s">
        <v>962</v>
      </c>
      <c r="K323" s="202" t="s">
        <v>52</v>
      </c>
      <c r="L323" s="203" t="s">
        <v>645</v>
      </c>
      <c r="M323" s="203" t="str">
        <f t="shared" si="19"/>
        <v>OneCo Networks AS</v>
      </c>
      <c r="N32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3" s="284" t="str">
        <f ca="1">IFERROR(IF(
OR(Table1[[#This Row],[Product category]]="Service items",Table1[[#This Row],[Product category]]="Additional services",Table1[[#This Row],[Product category]]="Additional materials"),
"NOK",IF(($N$3&lt;&gt;""),VLOOKUP(Table1[[#This Row],[Product code]],INDIRECT(Aux!$A$1),6,FALSE),"")),"")</f>
        <v/>
      </c>
      <c r="P323" s="285" t="str">
        <f ca="1">IFERROR(IF(AND(Table1[[#This Row],[Quantity]]&lt;&gt;"",Table1[[#This Row],[Currency]]="NOK"),Table1[[#This Row],[Quantity]]*Table1[[#This Row],[Unit Price]],""),"")</f>
        <v/>
      </c>
      <c r="Q323" s="285" t="str">
        <f ca="1">IFERROR(IF(AND(Table1[[#This Row],[ACT_Qty]]&lt;&gt;"",Table1[[#This Row],[Currency]]="NOK"),Table1[[#This Row],[ACT_Qty]]*Table1[[#This Row],[Unit Price]],""),"")</f>
        <v/>
      </c>
      <c r="R323" s="285" t="str">
        <f ca="1">IFERROR(IF(AND(Table1[[#This Row],[Quantity]]&lt;&gt;"",Table1[[#This Row],[Currency]]="EUR"),Table1[[#This Row],[Quantity]]*Table1[[#This Row],[Unit Price]],""),"")</f>
        <v/>
      </c>
      <c r="S323" s="285" t="str">
        <f ca="1">IFERROR(IF(AND(Table1[[#This Row],[ACT_Qty]]&lt;&gt;"",Table1[[#This Row],[Currency]]="EUR"),Table1[[#This Row],[ACT_Qty]]*Table1[[#This Row],[Unit Price]],""),"")</f>
        <v/>
      </c>
      <c r="T323" s="286" t="str">
        <f ca="1">IFERROR(IF(AND(($N$3&lt;&gt;""),INDIRECT(Aux!$D$1)),VLOOKUP(Table1[[#This Row],[Product code]],Aux!B:E,4,FALSE),""),"")</f>
        <v/>
      </c>
      <c r="U323" s="203" t="str">
        <f>IFERROR(IF(OR(Table1[[#This Row],[Quantity]]&lt;&gt;"",Table1[[#This Row],[ACT_Qty]]&lt;&gt;""),Table1[[#This Row],[ACT_Qty]]-Table1[[#This Row],[Quantity]],""),"")</f>
        <v/>
      </c>
      <c r="V323" s="287"/>
      <c r="W323" s="287"/>
      <c r="X323" s="287"/>
    </row>
    <row r="324" spans="1:24" ht="15" customHeight="1">
      <c r="A324" s="228" t="str">
        <f t="shared" si="22"/>
        <v>AKH12345</v>
      </c>
      <c r="B324" s="259" t="s">
        <v>965</v>
      </c>
      <c r="C324" s="228" t="s">
        <v>966</v>
      </c>
      <c r="D324" s="105"/>
      <c r="E324" s="106"/>
      <c r="F324" s="105"/>
      <c r="G324" s="106"/>
      <c r="H324" s="204" t="s">
        <v>960</v>
      </c>
      <c r="I324" s="205" t="s">
        <v>961</v>
      </c>
      <c r="J324" s="205" t="s">
        <v>962</v>
      </c>
      <c r="K324" s="205" t="s">
        <v>52</v>
      </c>
      <c r="L324" s="206" t="s">
        <v>645</v>
      </c>
      <c r="M324" s="206" t="str">
        <f t="shared" si="19"/>
        <v>OneCo Networks AS</v>
      </c>
      <c r="N32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4" s="279" t="str">
        <f ca="1">IFERROR(IF(
OR(Table1[[#This Row],[Product category]]="Service items",Table1[[#This Row],[Product category]]="Additional services",Table1[[#This Row],[Product category]]="Additional materials"),
"NOK",IF(($N$3&lt;&gt;""),VLOOKUP(Table1[[#This Row],[Product code]],INDIRECT(Aux!$A$1),6,FALSE),"")),"")</f>
        <v/>
      </c>
      <c r="P324" s="280" t="str">
        <f ca="1">IFERROR(IF(AND(Table1[[#This Row],[Quantity]]&lt;&gt;"",Table1[[#This Row],[Currency]]="NOK"),Table1[[#This Row],[Quantity]]*Table1[[#This Row],[Unit Price]],""),"")</f>
        <v/>
      </c>
      <c r="Q324" s="280" t="str">
        <f ca="1">IFERROR(IF(AND(Table1[[#This Row],[ACT_Qty]]&lt;&gt;"",Table1[[#This Row],[Currency]]="NOK"),Table1[[#This Row],[ACT_Qty]]*Table1[[#This Row],[Unit Price]],""),"")</f>
        <v/>
      </c>
      <c r="R324" s="280" t="str">
        <f ca="1">IFERROR(IF(AND(Table1[[#This Row],[Quantity]]&lt;&gt;"",Table1[[#This Row],[Currency]]="EUR"),Table1[[#This Row],[Quantity]]*Table1[[#This Row],[Unit Price]],""),"")</f>
        <v/>
      </c>
      <c r="S324" s="280" t="str">
        <f ca="1">IFERROR(IF(AND(Table1[[#This Row],[ACT_Qty]]&lt;&gt;"",Table1[[#This Row],[Currency]]="EUR"),Table1[[#This Row],[ACT_Qty]]*Table1[[#This Row],[Unit Price]],""),"")</f>
        <v/>
      </c>
      <c r="T324" s="281" t="str">
        <f ca="1">IFERROR(IF(AND(($N$3&lt;&gt;""),INDIRECT(Aux!$D$1)),VLOOKUP(Table1[[#This Row],[Product code]],Aux!B:E,4,FALSE),""),"")</f>
        <v/>
      </c>
      <c r="U324" s="206" t="str">
        <f>IFERROR(IF(OR(Table1[[#This Row],[Quantity]]&lt;&gt;"",Table1[[#This Row],[ACT_Qty]]&lt;&gt;""),Table1[[#This Row],[ACT_Qty]]-Table1[[#This Row],[Quantity]],""),"")</f>
        <v/>
      </c>
      <c r="V324" s="282"/>
      <c r="W324" s="282"/>
      <c r="X324" s="282"/>
    </row>
    <row r="325" spans="1:24" ht="15" customHeight="1">
      <c r="A325" s="227" t="str">
        <f t="shared" si="22"/>
        <v>AKH12345</v>
      </c>
      <c r="B325" s="258" t="s">
        <v>967</v>
      </c>
      <c r="C325" s="227" t="s">
        <v>968</v>
      </c>
      <c r="D325" s="105"/>
      <c r="E325" s="106"/>
      <c r="F325" s="105"/>
      <c r="G325" s="106"/>
      <c r="H325" s="201" t="s">
        <v>960</v>
      </c>
      <c r="I325" s="202" t="s">
        <v>961</v>
      </c>
      <c r="J325" s="202" t="s">
        <v>962</v>
      </c>
      <c r="K325" s="202" t="s">
        <v>52</v>
      </c>
      <c r="L325" s="203" t="s">
        <v>645</v>
      </c>
      <c r="M325" s="203" t="str">
        <f t="shared" si="19"/>
        <v>OneCo Networks AS</v>
      </c>
      <c r="N32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5" s="284" t="str">
        <f ca="1">IFERROR(IF(
OR(Table1[[#This Row],[Product category]]="Service items",Table1[[#This Row],[Product category]]="Additional services",Table1[[#This Row],[Product category]]="Additional materials"),
"NOK",IF(($N$3&lt;&gt;""),VLOOKUP(Table1[[#This Row],[Product code]],INDIRECT(Aux!$A$1),6,FALSE),"")),"")</f>
        <v/>
      </c>
      <c r="P325" s="285" t="str">
        <f ca="1">IFERROR(IF(AND(Table1[[#This Row],[Quantity]]&lt;&gt;"",Table1[[#This Row],[Currency]]="NOK"),Table1[[#This Row],[Quantity]]*Table1[[#This Row],[Unit Price]],""),"")</f>
        <v/>
      </c>
      <c r="Q325" s="285" t="str">
        <f ca="1">IFERROR(IF(AND(Table1[[#This Row],[ACT_Qty]]&lt;&gt;"",Table1[[#This Row],[Currency]]="NOK"),Table1[[#This Row],[ACT_Qty]]*Table1[[#This Row],[Unit Price]],""),"")</f>
        <v/>
      </c>
      <c r="R325" s="285" t="str">
        <f ca="1">IFERROR(IF(AND(Table1[[#This Row],[Quantity]]&lt;&gt;"",Table1[[#This Row],[Currency]]="EUR"),Table1[[#This Row],[Quantity]]*Table1[[#This Row],[Unit Price]],""),"")</f>
        <v/>
      </c>
      <c r="S325" s="285" t="str">
        <f ca="1">IFERROR(IF(AND(Table1[[#This Row],[ACT_Qty]]&lt;&gt;"",Table1[[#This Row],[Currency]]="EUR"),Table1[[#This Row],[ACT_Qty]]*Table1[[#This Row],[Unit Price]],""),"")</f>
        <v/>
      </c>
      <c r="T325" s="286" t="str">
        <f ca="1">IFERROR(IF(AND(($N$3&lt;&gt;""),INDIRECT(Aux!$D$1)),VLOOKUP(Table1[[#This Row],[Product code]],Aux!B:E,4,FALSE),""),"")</f>
        <v/>
      </c>
      <c r="U325" s="203" t="str">
        <f>IFERROR(IF(OR(Table1[[#This Row],[Quantity]]&lt;&gt;"",Table1[[#This Row],[ACT_Qty]]&lt;&gt;""),Table1[[#This Row],[ACT_Qty]]-Table1[[#This Row],[Quantity]],""),"")</f>
        <v/>
      </c>
      <c r="V325" s="287"/>
      <c r="W325" s="287"/>
      <c r="X325" s="287"/>
    </row>
    <row r="326" spans="1:24" ht="15" customHeight="1">
      <c r="A326" s="228" t="str">
        <f t="shared" si="22"/>
        <v>AKH12345</v>
      </c>
      <c r="B326" s="259" t="s">
        <v>969</v>
      </c>
      <c r="C326" s="228" t="s">
        <v>970</v>
      </c>
      <c r="D326" s="105"/>
      <c r="E326" s="106"/>
      <c r="F326" s="105"/>
      <c r="G326" s="106"/>
      <c r="H326" s="204" t="s">
        <v>960</v>
      </c>
      <c r="I326" s="205" t="s">
        <v>961</v>
      </c>
      <c r="J326" s="205" t="s">
        <v>962</v>
      </c>
      <c r="K326" s="205" t="s">
        <v>52</v>
      </c>
      <c r="L326" s="206" t="s">
        <v>645</v>
      </c>
      <c r="M326" s="206" t="str">
        <f>IF($C$3&lt;&gt;"",$C$3,"")</f>
        <v>OneCo Networks AS</v>
      </c>
      <c r="N32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6" s="279" t="str">
        <f ca="1">IFERROR(IF(
OR(Table1[[#This Row],[Product category]]="Service items",Table1[[#This Row],[Product category]]="Additional services",Table1[[#This Row],[Product category]]="Additional materials"),
"NOK",IF(($N$3&lt;&gt;""),VLOOKUP(Table1[[#This Row],[Product code]],INDIRECT(Aux!$A$1),6,FALSE),"")),"")</f>
        <v/>
      </c>
      <c r="P326" s="280" t="str">
        <f ca="1">IFERROR(IF(AND(Table1[[#This Row],[Quantity]]&lt;&gt;"",Table1[[#This Row],[Currency]]="NOK"),Table1[[#This Row],[Quantity]]*Table1[[#This Row],[Unit Price]],""),"")</f>
        <v/>
      </c>
      <c r="Q326" s="280" t="str">
        <f ca="1">IFERROR(IF(AND(Table1[[#This Row],[ACT_Qty]]&lt;&gt;"",Table1[[#This Row],[Currency]]="NOK"),Table1[[#This Row],[ACT_Qty]]*Table1[[#This Row],[Unit Price]],""),"")</f>
        <v/>
      </c>
      <c r="R326" s="280" t="str">
        <f ca="1">IFERROR(IF(AND(Table1[[#This Row],[Quantity]]&lt;&gt;"",Table1[[#This Row],[Currency]]="EUR"),Table1[[#This Row],[Quantity]]*Table1[[#This Row],[Unit Price]],""),"")</f>
        <v/>
      </c>
      <c r="S326" s="280" t="str">
        <f ca="1">IFERROR(IF(AND(Table1[[#This Row],[ACT_Qty]]&lt;&gt;"",Table1[[#This Row],[Currency]]="EUR"),Table1[[#This Row],[ACT_Qty]]*Table1[[#This Row],[Unit Price]],""),"")</f>
        <v/>
      </c>
      <c r="T326" s="281" t="str">
        <f ca="1">IFERROR(IF(AND(($N$3&lt;&gt;""),INDIRECT(Aux!$D$1)),VLOOKUP(Table1[[#This Row],[Product code]],Aux!B:E,4,FALSE),""),"")</f>
        <v/>
      </c>
      <c r="U326" s="206" t="str">
        <f>IFERROR(IF(OR(Table1[[#This Row],[Quantity]]&lt;&gt;"",Table1[[#This Row],[ACT_Qty]]&lt;&gt;""),Table1[[#This Row],[ACT_Qty]]-Table1[[#This Row],[Quantity]],""),"")</f>
        <v/>
      </c>
      <c r="V326" s="282"/>
      <c r="W326" s="282"/>
      <c r="X326" s="282"/>
    </row>
    <row r="327" spans="1:24" ht="15" customHeight="1">
      <c r="A327" s="227" t="str">
        <f t="shared" si="22"/>
        <v>AKH12345</v>
      </c>
      <c r="B327" s="258" t="s">
        <v>971</v>
      </c>
      <c r="C327" s="227" t="s">
        <v>972</v>
      </c>
      <c r="D327" s="105"/>
      <c r="E327" s="106"/>
      <c r="F327" s="105"/>
      <c r="G327" s="106"/>
      <c r="H327" s="201" t="s">
        <v>960</v>
      </c>
      <c r="I327" s="202" t="s">
        <v>961</v>
      </c>
      <c r="J327" s="202" t="s">
        <v>962</v>
      </c>
      <c r="K327" s="202" t="s">
        <v>52</v>
      </c>
      <c r="L327" s="203" t="s">
        <v>645</v>
      </c>
      <c r="M327" s="203" t="str">
        <f t="shared" si="19"/>
        <v>OneCo Networks AS</v>
      </c>
      <c r="N32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7" s="284" t="str">
        <f ca="1">IFERROR(IF(
OR(Table1[[#This Row],[Product category]]="Service items",Table1[[#This Row],[Product category]]="Additional services",Table1[[#This Row],[Product category]]="Additional materials"),
"NOK",IF(($N$3&lt;&gt;""),VLOOKUP(Table1[[#This Row],[Product code]],INDIRECT(Aux!$A$1),6,FALSE),"")),"")</f>
        <v/>
      </c>
      <c r="P327" s="285" t="str">
        <f ca="1">IFERROR(IF(AND(Table1[[#This Row],[Quantity]]&lt;&gt;"",Table1[[#This Row],[Currency]]="NOK"),Table1[[#This Row],[Quantity]]*Table1[[#This Row],[Unit Price]],""),"")</f>
        <v/>
      </c>
      <c r="Q327" s="285" t="str">
        <f ca="1">IFERROR(IF(AND(Table1[[#This Row],[ACT_Qty]]&lt;&gt;"",Table1[[#This Row],[Currency]]="NOK"),Table1[[#This Row],[ACT_Qty]]*Table1[[#This Row],[Unit Price]],""),"")</f>
        <v/>
      </c>
      <c r="R327" s="285" t="str">
        <f ca="1">IFERROR(IF(AND(Table1[[#This Row],[Quantity]]&lt;&gt;"",Table1[[#This Row],[Currency]]="EUR"),Table1[[#This Row],[Quantity]]*Table1[[#This Row],[Unit Price]],""),"")</f>
        <v/>
      </c>
      <c r="S327" s="285" t="str">
        <f ca="1">IFERROR(IF(AND(Table1[[#This Row],[ACT_Qty]]&lt;&gt;"",Table1[[#This Row],[Currency]]="EUR"),Table1[[#This Row],[ACT_Qty]]*Table1[[#This Row],[Unit Price]],""),"")</f>
        <v/>
      </c>
      <c r="T327" s="286" t="str">
        <f ca="1">IFERROR(IF(AND(($N$3&lt;&gt;""),INDIRECT(Aux!$D$1)),VLOOKUP(Table1[[#This Row],[Product code]],Aux!B:E,4,FALSE),""),"")</f>
        <v/>
      </c>
      <c r="U327" s="203" t="str">
        <f>IFERROR(IF(OR(Table1[[#This Row],[Quantity]]&lt;&gt;"",Table1[[#This Row],[ACT_Qty]]&lt;&gt;""),Table1[[#This Row],[ACT_Qty]]-Table1[[#This Row],[Quantity]],""),"")</f>
        <v/>
      </c>
      <c r="V327" s="287"/>
      <c r="W327" s="287"/>
      <c r="X327" s="287"/>
    </row>
    <row r="328" spans="1:24" ht="15" customHeight="1">
      <c r="A328" s="228" t="str">
        <f t="shared" si="22"/>
        <v>AKH12345</v>
      </c>
      <c r="B328" s="259" t="s">
        <v>973</v>
      </c>
      <c r="C328" s="228" t="s">
        <v>972</v>
      </c>
      <c r="D328" s="105"/>
      <c r="E328" s="106"/>
      <c r="F328" s="105"/>
      <c r="G328" s="106"/>
      <c r="H328" s="204" t="s">
        <v>960</v>
      </c>
      <c r="I328" s="205" t="s">
        <v>961</v>
      </c>
      <c r="J328" s="205" t="s">
        <v>962</v>
      </c>
      <c r="K328" s="205" t="s">
        <v>52</v>
      </c>
      <c r="L328" s="206" t="s">
        <v>645</v>
      </c>
      <c r="M328" s="206" t="str">
        <f>IF($C$3&lt;&gt;"",$C$3,"")</f>
        <v>OneCo Networks AS</v>
      </c>
      <c r="N32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8" s="279" t="str">
        <f ca="1">IFERROR(IF(
OR(Table1[[#This Row],[Product category]]="Service items",Table1[[#This Row],[Product category]]="Additional services",Table1[[#This Row],[Product category]]="Additional materials"),
"NOK",IF(($N$3&lt;&gt;""),VLOOKUP(Table1[[#This Row],[Product code]],INDIRECT(Aux!$A$1),6,FALSE),"")),"")</f>
        <v/>
      </c>
      <c r="P328" s="280" t="str">
        <f ca="1">IFERROR(IF(AND(Table1[[#This Row],[Quantity]]&lt;&gt;"",Table1[[#This Row],[Currency]]="NOK"),Table1[[#This Row],[Quantity]]*Table1[[#This Row],[Unit Price]],""),"")</f>
        <v/>
      </c>
      <c r="Q328" s="280" t="str">
        <f ca="1">IFERROR(IF(AND(Table1[[#This Row],[ACT_Qty]]&lt;&gt;"",Table1[[#This Row],[Currency]]="NOK"),Table1[[#This Row],[ACT_Qty]]*Table1[[#This Row],[Unit Price]],""),"")</f>
        <v/>
      </c>
      <c r="R328" s="280" t="str">
        <f ca="1">IFERROR(IF(AND(Table1[[#This Row],[Quantity]]&lt;&gt;"",Table1[[#This Row],[Currency]]="EUR"),Table1[[#This Row],[Quantity]]*Table1[[#This Row],[Unit Price]],""),"")</f>
        <v/>
      </c>
      <c r="S328" s="280" t="str">
        <f ca="1">IFERROR(IF(AND(Table1[[#This Row],[ACT_Qty]]&lt;&gt;"",Table1[[#This Row],[Currency]]="EUR"),Table1[[#This Row],[ACT_Qty]]*Table1[[#This Row],[Unit Price]],""),"")</f>
        <v/>
      </c>
      <c r="T328" s="281" t="str">
        <f ca="1">IFERROR(IF(AND(($N$3&lt;&gt;""),INDIRECT(Aux!$D$1)),VLOOKUP(Table1[[#This Row],[Product code]],Aux!B:E,4,FALSE),""),"")</f>
        <v/>
      </c>
      <c r="U328" s="206" t="str">
        <f>IFERROR(IF(OR(Table1[[#This Row],[Quantity]]&lt;&gt;"",Table1[[#This Row],[ACT_Qty]]&lt;&gt;""),Table1[[#This Row],[ACT_Qty]]-Table1[[#This Row],[Quantity]],""),"")</f>
        <v/>
      </c>
      <c r="V328" s="282"/>
      <c r="W328" s="282"/>
      <c r="X328" s="282"/>
    </row>
    <row r="329" spans="1:24" ht="15" customHeight="1">
      <c r="A329" s="227" t="str">
        <f t="shared" si="22"/>
        <v>AKH12345</v>
      </c>
      <c r="B329" s="258" t="s">
        <v>974</v>
      </c>
      <c r="C329" s="227" t="s">
        <v>975</v>
      </c>
      <c r="D329" s="105"/>
      <c r="E329" s="106"/>
      <c r="F329" s="105"/>
      <c r="G329" s="106"/>
      <c r="H329" s="201" t="s">
        <v>960</v>
      </c>
      <c r="I329" s="202" t="s">
        <v>961</v>
      </c>
      <c r="J329" s="202" t="s">
        <v>962</v>
      </c>
      <c r="K329" s="202" t="s">
        <v>52</v>
      </c>
      <c r="L329" s="203" t="s">
        <v>645</v>
      </c>
      <c r="M329" s="203" t="str">
        <f>IF($C$3&lt;&gt;"",$C$3,"")</f>
        <v>OneCo Networks AS</v>
      </c>
      <c r="N32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29" s="284" t="str">
        <f ca="1">IFERROR(IF(
OR(Table1[[#This Row],[Product category]]="Service items",Table1[[#This Row],[Product category]]="Additional services",Table1[[#This Row],[Product category]]="Additional materials"),
"NOK",IF(($N$3&lt;&gt;""),VLOOKUP(Table1[[#This Row],[Product code]],INDIRECT(Aux!$A$1),6,FALSE),"")),"")</f>
        <v/>
      </c>
      <c r="P329" s="285" t="str">
        <f ca="1">IFERROR(IF(AND(Table1[[#This Row],[Quantity]]&lt;&gt;"",Table1[[#This Row],[Currency]]="NOK"),Table1[[#This Row],[Quantity]]*Table1[[#This Row],[Unit Price]],""),"")</f>
        <v/>
      </c>
      <c r="Q329" s="285" t="str">
        <f ca="1">IFERROR(IF(AND(Table1[[#This Row],[ACT_Qty]]&lt;&gt;"",Table1[[#This Row],[Currency]]="NOK"),Table1[[#This Row],[ACT_Qty]]*Table1[[#This Row],[Unit Price]],""),"")</f>
        <v/>
      </c>
      <c r="R329" s="285" t="str">
        <f ca="1">IFERROR(IF(AND(Table1[[#This Row],[Quantity]]&lt;&gt;"",Table1[[#This Row],[Currency]]="EUR"),Table1[[#This Row],[Quantity]]*Table1[[#This Row],[Unit Price]],""),"")</f>
        <v/>
      </c>
      <c r="S329" s="285" t="str">
        <f ca="1">IFERROR(IF(AND(Table1[[#This Row],[ACT_Qty]]&lt;&gt;"",Table1[[#This Row],[Currency]]="EUR"),Table1[[#This Row],[ACT_Qty]]*Table1[[#This Row],[Unit Price]],""),"")</f>
        <v/>
      </c>
      <c r="T329" s="286" t="str">
        <f ca="1">IFERROR(IF(AND(($N$3&lt;&gt;""),INDIRECT(Aux!$D$1)),VLOOKUP(Table1[[#This Row],[Product code]],Aux!B:E,4,FALSE),""),"")</f>
        <v/>
      </c>
      <c r="U329" s="203" t="str">
        <f>IFERROR(IF(OR(Table1[[#This Row],[Quantity]]&lt;&gt;"",Table1[[#This Row],[ACT_Qty]]&lt;&gt;""),Table1[[#This Row],[ACT_Qty]]-Table1[[#This Row],[Quantity]],""),"")</f>
        <v/>
      </c>
      <c r="V329" s="287"/>
      <c r="W329" s="287"/>
      <c r="X329" s="287"/>
    </row>
    <row r="330" spans="1:24" ht="15" customHeight="1">
      <c r="A330" s="228" t="str">
        <f t="shared" si="22"/>
        <v>AKH12345</v>
      </c>
      <c r="B330" s="259" t="s">
        <v>976</v>
      </c>
      <c r="C330" s="228" t="s">
        <v>975</v>
      </c>
      <c r="D330" s="105"/>
      <c r="E330" s="106"/>
      <c r="F330" s="105"/>
      <c r="G330" s="106"/>
      <c r="H330" s="204" t="s">
        <v>960</v>
      </c>
      <c r="I330" s="205" t="s">
        <v>961</v>
      </c>
      <c r="J330" s="205" t="s">
        <v>962</v>
      </c>
      <c r="K330" s="205" t="s">
        <v>52</v>
      </c>
      <c r="L330" s="206" t="s">
        <v>645</v>
      </c>
      <c r="M330" s="206" t="str">
        <f>IF($C$3&lt;&gt;"",$C$3,"")</f>
        <v>OneCo Networks AS</v>
      </c>
      <c r="N33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0" s="279" t="str">
        <f ca="1">IFERROR(IF(
OR(Table1[[#This Row],[Product category]]="Service items",Table1[[#This Row],[Product category]]="Additional services",Table1[[#This Row],[Product category]]="Additional materials"),
"NOK",IF(($N$3&lt;&gt;""),VLOOKUP(Table1[[#This Row],[Product code]],INDIRECT(Aux!$A$1),6,FALSE),"")),"")</f>
        <v/>
      </c>
      <c r="P330" s="280" t="str">
        <f ca="1">IFERROR(IF(AND(Table1[[#This Row],[Quantity]]&lt;&gt;"",Table1[[#This Row],[Currency]]="NOK"),Table1[[#This Row],[Quantity]]*Table1[[#This Row],[Unit Price]],""),"")</f>
        <v/>
      </c>
      <c r="Q330" s="280" t="str">
        <f ca="1">IFERROR(IF(AND(Table1[[#This Row],[ACT_Qty]]&lt;&gt;"",Table1[[#This Row],[Currency]]="NOK"),Table1[[#This Row],[ACT_Qty]]*Table1[[#This Row],[Unit Price]],""),"")</f>
        <v/>
      </c>
      <c r="R330" s="280" t="str">
        <f ca="1">IFERROR(IF(AND(Table1[[#This Row],[Quantity]]&lt;&gt;"",Table1[[#This Row],[Currency]]="EUR"),Table1[[#This Row],[Quantity]]*Table1[[#This Row],[Unit Price]],""),"")</f>
        <v/>
      </c>
      <c r="S330" s="280" t="str">
        <f ca="1">IFERROR(IF(AND(Table1[[#This Row],[ACT_Qty]]&lt;&gt;"",Table1[[#This Row],[Currency]]="EUR"),Table1[[#This Row],[ACT_Qty]]*Table1[[#This Row],[Unit Price]],""),"")</f>
        <v/>
      </c>
      <c r="T330" s="281" t="str">
        <f ca="1">IFERROR(IF(AND(($N$3&lt;&gt;""),INDIRECT(Aux!$D$1)),VLOOKUP(Table1[[#This Row],[Product code]],Aux!B:E,4,FALSE),""),"")</f>
        <v/>
      </c>
      <c r="U330" s="206" t="str">
        <f>IFERROR(IF(OR(Table1[[#This Row],[Quantity]]&lt;&gt;"",Table1[[#This Row],[ACT_Qty]]&lt;&gt;""),Table1[[#This Row],[ACT_Qty]]-Table1[[#This Row],[Quantity]],""),"")</f>
        <v/>
      </c>
      <c r="V330" s="282"/>
      <c r="W330" s="282"/>
      <c r="X330" s="282"/>
    </row>
    <row r="331" spans="1:24" ht="15" customHeight="1">
      <c r="A331" s="227" t="str">
        <f t="shared" si="22"/>
        <v>AKH12345</v>
      </c>
      <c r="B331" s="258" t="s">
        <v>977</v>
      </c>
      <c r="C331" s="227" t="s">
        <v>978</v>
      </c>
      <c r="D331" s="105"/>
      <c r="E331" s="106"/>
      <c r="F331" s="105"/>
      <c r="G331" s="106"/>
      <c r="H331" s="201" t="s">
        <v>960</v>
      </c>
      <c r="I331" s="202" t="s">
        <v>961</v>
      </c>
      <c r="J331" s="202" t="s">
        <v>962</v>
      </c>
      <c r="K331" s="202" t="s">
        <v>52</v>
      </c>
      <c r="L331" s="203" t="s">
        <v>645</v>
      </c>
      <c r="M331" s="203" t="str">
        <f>IF($C$3&lt;&gt;"",$C$3,"")</f>
        <v>OneCo Networks AS</v>
      </c>
      <c r="N33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1" s="284" t="str">
        <f ca="1">IFERROR(IF(
OR(Table1[[#This Row],[Product category]]="Service items",Table1[[#This Row],[Product category]]="Additional services",Table1[[#This Row],[Product category]]="Additional materials"),
"NOK",IF(($N$3&lt;&gt;""),VLOOKUP(Table1[[#This Row],[Product code]],INDIRECT(Aux!$A$1),6,FALSE),"")),"")</f>
        <v/>
      </c>
      <c r="P331" s="285" t="str">
        <f ca="1">IFERROR(IF(AND(Table1[[#This Row],[Quantity]]&lt;&gt;"",Table1[[#This Row],[Currency]]="NOK"),Table1[[#This Row],[Quantity]]*Table1[[#This Row],[Unit Price]],""),"")</f>
        <v/>
      </c>
      <c r="Q331" s="285" t="str">
        <f ca="1">IFERROR(IF(AND(Table1[[#This Row],[ACT_Qty]]&lt;&gt;"",Table1[[#This Row],[Currency]]="NOK"),Table1[[#This Row],[ACT_Qty]]*Table1[[#This Row],[Unit Price]],""),"")</f>
        <v/>
      </c>
      <c r="R331" s="285" t="str">
        <f ca="1">IFERROR(IF(AND(Table1[[#This Row],[Quantity]]&lt;&gt;"",Table1[[#This Row],[Currency]]="EUR"),Table1[[#This Row],[Quantity]]*Table1[[#This Row],[Unit Price]],""),"")</f>
        <v/>
      </c>
      <c r="S331" s="285" t="str">
        <f ca="1">IFERROR(IF(AND(Table1[[#This Row],[ACT_Qty]]&lt;&gt;"",Table1[[#This Row],[Currency]]="EUR"),Table1[[#This Row],[ACT_Qty]]*Table1[[#This Row],[Unit Price]],""),"")</f>
        <v/>
      </c>
      <c r="T331" s="286" t="str">
        <f ca="1">IFERROR(IF(AND(($N$3&lt;&gt;""),INDIRECT(Aux!$D$1)),VLOOKUP(Table1[[#This Row],[Product code]],Aux!B:E,4,FALSE),""),"")</f>
        <v/>
      </c>
      <c r="U331" s="203" t="str">
        <f>IFERROR(IF(OR(Table1[[#This Row],[Quantity]]&lt;&gt;"",Table1[[#This Row],[ACT_Qty]]&lt;&gt;""),Table1[[#This Row],[ACT_Qty]]-Table1[[#This Row],[Quantity]],""),"")</f>
        <v/>
      </c>
      <c r="V331" s="287"/>
      <c r="W331" s="287"/>
      <c r="X331" s="287"/>
    </row>
    <row r="332" spans="1:24" ht="15" customHeight="1">
      <c r="A332" s="228" t="str">
        <f t="shared" si="22"/>
        <v>AKH12345</v>
      </c>
      <c r="B332" s="259" t="s">
        <v>979</v>
      </c>
      <c r="C332" s="228" t="s">
        <v>980</v>
      </c>
      <c r="D332" s="105"/>
      <c r="E332" s="106"/>
      <c r="F332" s="105"/>
      <c r="G332" s="106"/>
      <c r="H332" s="204" t="s">
        <v>960</v>
      </c>
      <c r="I332" s="205" t="s">
        <v>961</v>
      </c>
      <c r="J332" s="205" t="s">
        <v>962</v>
      </c>
      <c r="K332" s="205" t="s">
        <v>52</v>
      </c>
      <c r="L332" s="206" t="s">
        <v>645</v>
      </c>
      <c r="M332" s="206" t="str">
        <f t="shared" si="19"/>
        <v>OneCo Networks AS</v>
      </c>
      <c r="N33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2" s="279" t="str">
        <f ca="1">IFERROR(IF(
OR(Table1[[#This Row],[Product category]]="Service items",Table1[[#This Row],[Product category]]="Additional services",Table1[[#This Row],[Product category]]="Additional materials"),
"NOK",IF(($N$3&lt;&gt;""),VLOOKUP(Table1[[#This Row],[Product code]],INDIRECT(Aux!$A$1),6,FALSE),"")),"")</f>
        <v/>
      </c>
      <c r="P332" s="280" t="str">
        <f ca="1">IFERROR(IF(AND(Table1[[#This Row],[Quantity]]&lt;&gt;"",Table1[[#This Row],[Currency]]="NOK"),Table1[[#This Row],[Quantity]]*Table1[[#This Row],[Unit Price]],""),"")</f>
        <v/>
      </c>
      <c r="Q332" s="280" t="str">
        <f ca="1">IFERROR(IF(AND(Table1[[#This Row],[ACT_Qty]]&lt;&gt;"",Table1[[#This Row],[Currency]]="NOK"),Table1[[#This Row],[ACT_Qty]]*Table1[[#This Row],[Unit Price]],""),"")</f>
        <v/>
      </c>
      <c r="R332" s="280" t="str">
        <f ca="1">IFERROR(IF(AND(Table1[[#This Row],[Quantity]]&lt;&gt;"",Table1[[#This Row],[Currency]]="EUR"),Table1[[#This Row],[Quantity]]*Table1[[#This Row],[Unit Price]],""),"")</f>
        <v/>
      </c>
      <c r="S332" s="280" t="str">
        <f ca="1">IFERROR(IF(AND(Table1[[#This Row],[ACT_Qty]]&lt;&gt;"",Table1[[#This Row],[Currency]]="EUR"),Table1[[#This Row],[ACT_Qty]]*Table1[[#This Row],[Unit Price]],""),"")</f>
        <v/>
      </c>
      <c r="T332" s="281" t="str">
        <f ca="1">IFERROR(IF(AND(($N$3&lt;&gt;""),INDIRECT(Aux!$D$1)),VLOOKUP(Table1[[#This Row],[Product code]],Aux!B:E,4,FALSE),""),"")</f>
        <v/>
      </c>
      <c r="U332" s="206" t="str">
        <f>IFERROR(IF(OR(Table1[[#This Row],[Quantity]]&lt;&gt;"",Table1[[#This Row],[ACT_Qty]]&lt;&gt;""),Table1[[#This Row],[ACT_Qty]]-Table1[[#This Row],[Quantity]],""),"")</f>
        <v/>
      </c>
      <c r="V332" s="282"/>
      <c r="W332" s="282"/>
      <c r="X332" s="282"/>
    </row>
    <row r="333" spans="1:24" ht="15" customHeight="1">
      <c r="A333" s="227" t="str">
        <f t="shared" si="22"/>
        <v>AKH12345</v>
      </c>
      <c r="B333" s="258" t="s">
        <v>981</v>
      </c>
      <c r="C333" s="227" t="s">
        <v>980</v>
      </c>
      <c r="D333" s="105"/>
      <c r="E333" s="106"/>
      <c r="F333" s="105"/>
      <c r="G333" s="106"/>
      <c r="H333" s="201" t="s">
        <v>960</v>
      </c>
      <c r="I333" s="202" t="s">
        <v>961</v>
      </c>
      <c r="J333" s="202" t="s">
        <v>962</v>
      </c>
      <c r="K333" s="202" t="s">
        <v>52</v>
      </c>
      <c r="L333" s="203" t="s">
        <v>645</v>
      </c>
      <c r="M333" s="203" t="str">
        <f t="shared" si="19"/>
        <v>OneCo Networks AS</v>
      </c>
      <c r="N33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3" s="284" t="str">
        <f ca="1">IFERROR(IF(
OR(Table1[[#This Row],[Product category]]="Service items",Table1[[#This Row],[Product category]]="Additional services",Table1[[#This Row],[Product category]]="Additional materials"),
"NOK",IF(($N$3&lt;&gt;""),VLOOKUP(Table1[[#This Row],[Product code]],INDIRECT(Aux!$A$1),6,FALSE),"")),"")</f>
        <v/>
      </c>
      <c r="P333" s="285" t="str">
        <f ca="1">IFERROR(IF(AND(Table1[[#This Row],[Quantity]]&lt;&gt;"",Table1[[#This Row],[Currency]]="NOK"),Table1[[#This Row],[Quantity]]*Table1[[#This Row],[Unit Price]],""),"")</f>
        <v/>
      </c>
      <c r="Q333" s="285" t="str">
        <f ca="1">IFERROR(IF(AND(Table1[[#This Row],[ACT_Qty]]&lt;&gt;"",Table1[[#This Row],[Currency]]="NOK"),Table1[[#This Row],[ACT_Qty]]*Table1[[#This Row],[Unit Price]],""),"")</f>
        <v/>
      </c>
      <c r="R333" s="285" t="str">
        <f ca="1">IFERROR(IF(AND(Table1[[#This Row],[Quantity]]&lt;&gt;"",Table1[[#This Row],[Currency]]="EUR"),Table1[[#This Row],[Quantity]]*Table1[[#This Row],[Unit Price]],""),"")</f>
        <v/>
      </c>
      <c r="S333" s="285" t="str">
        <f ca="1">IFERROR(IF(AND(Table1[[#This Row],[ACT_Qty]]&lt;&gt;"",Table1[[#This Row],[Currency]]="EUR"),Table1[[#This Row],[ACT_Qty]]*Table1[[#This Row],[Unit Price]],""),"")</f>
        <v/>
      </c>
      <c r="T333" s="286" t="str">
        <f ca="1">IFERROR(IF(AND(($N$3&lt;&gt;""),INDIRECT(Aux!$D$1)),VLOOKUP(Table1[[#This Row],[Product code]],Aux!B:E,4,FALSE),""),"")</f>
        <v/>
      </c>
      <c r="U333" s="203" t="str">
        <f>IFERROR(IF(OR(Table1[[#This Row],[Quantity]]&lt;&gt;"",Table1[[#This Row],[ACT_Qty]]&lt;&gt;""),Table1[[#This Row],[ACT_Qty]]-Table1[[#This Row],[Quantity]],""),"")</f>
        <v/>
      </c>
      <c r="V333" s="287"/>
      <c r="W333" s="287"/>
      <c r="X333" s="287"/>
    </row>
    <row r="334" spans="1:24" ht="15" customHeight="1">
      <c r="A334" s="228" t="str">
        <f t="shared" si="22"/>
        <v>AKH12345</v>
      </c>
      <c r="B334" s="259" t="s">
        <v>982</v>
      </c>
      <c r="C334" s="228" t="s">
        <v>983</v>
      </c>
      <c r="D334" s="105"/>
      <c r="E334" s="106"/>
      <c r="F334" s="105"/>
      <c r="G334" s="106"/>
      <c r="H334" s="204" t="s">
        <v>960</v>
      </c>
      <c r="I334" s="205" t="s">
        <v>961</v>
      </c>
      <c r="J334" s="205" t="s">
        <v>962</v>
      </c>
      <c r="K334" s="205" t="s">
        <v>52</v>
      </c>
      <c r="L334" s="206" t="s">
        <v>645</v>
      </c>
      <c r="M334" s="206" t="str">
        <f t="shared" si="19"/>
        <v>OneCo Networks AS</v>
      </c>
      <c r="N33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4" s="279" t="str">
        <f ca="1">IFERROR(IF(
OR(Table1[[#This Row],[Product category]]="Service items",Table1[[#This Row],[Product category]]="Additional services",Table1[[#This Row],[Product category]]="Additional materials"),
"NOK",IF(($N$3&lt;&gt;""),VLOOKUP(Table1[[#This Row],[Product code]],INDIRECT(Aux!$A$1),6,FALSE),"")),"")</f>
        <v/>
      </c>
      <c r="P334" s="280" t="str">
        <f ca="1">IFERROR(IF(AND(Table1[[#This Row],[Quantity]]&lt;&gt;"",Table1[[#This Row],[Currency]]="NOK"),Table1[[#This Row],[Quantity]]*Table1[[#This Row],[Unit Price]],""),"")</f>
        <v/>
      </c>
      <c r="Q334" s="280" t="str">
        <f ca="1">IFERROR(IF(AND(Table1[[#This Row],[ACT_Qty]]&lt;&gt;"",Table1[[#This Row],[Currency]]="NOK"),Table1[[#This Row],[ACT_Qty]]*Table1[[#This Row],[Unit Price]],""),"")</f>
        <v/>
      </c>
      <c r="R334" s="280" t="str">
        <f ca="1">IFERROR(IF(AND(Table1[[#This Row],[Quantity]]&lt;&gt;"",Table1[[#This Row],[Currency]]="EUR"),Table1[[#This Row],[Quantity]]*Table1[[#This Row],[Unit Price]],""),"")</f>
        <v/>
      </c>
      <c r="S334" s="280" t="str">
        <f ca="1">IFERROR(IF(AND(Table1[[#This Row],[ACT_Qty]]&lt;&gt;"",Table1[[#This Row],[Currency]]="EUR"),Table1[[#This Row],[ACT_Qty]]*Table1[[#This Row],[Unit Price]],""),"")</f>
        <v/>
      </c>
      <c r="T334" s="281" t="str">
        <f ca="1">IFERROR(IF(AND(($N$3&lt;&gt;""),INDIRECT(Aux!$D$1)),VLOOKUP(Table1[[#This Row],[Product code]],Aux!B:E,4,FALSE),""),"")</f>
        <v/>
      </c>
      <c r="U334" s="206" t="str">
        <f>IFERROR(IF(OR(Table1[[#This Row],[Quantity]]&lt;&gt;"",Table1[[#This Row],[ACT_Qty]]&lt;&gt;""),Table1[[#This Row],[ACT_Qty]]-Table1[[#This Row],[Quantity]],""),"")</f>
        <v/>
      </c>
      <c r="V334" s="282"/>
      <c r="W334" s="282"/>
      <c r="X334" s="282"/>
    </row>
    <row r="335" spans="1:24" ht="15" customHeight="1">
      <c r="A335" s="227" t="str">
        <f t="shared" si="22"/>
        <v>AKH12345</v>
      </c>
      <c r="B335" s="258" t="s">
        <v>984</v>
      </c>
      <c r="C335" s="227" t="s">
        <v>985</v>
      </c>
      <c r="D335" s="105"/>
      <c r="E335" s="106"/>
      <c r="F335" s="105"/>
      <c r="G335" s="106"/>
      <c r="H335" s="201" t="s">
        <v>960</v>
      </c>
      <c r="I335" s="202" t="s">
        <v>961</v>
      </c>
      <c r="J335" s="202" t="s">
        <v>962</v>
      </c>
      <c r="K335" s="202" t="s">
        <v>52</v>
      </c>
      <c r="L335" s="203" t="s">
        <v>645</v>
      </c>
      <c r="M335" s="203" t="str">
        <f>IF($C$3&lt;&gt;"",$C$3,"")</f>
        <v>OneCo Networks AS</v>
      </c>
      <c r="N33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5" s="284" t="str">
        <f ca="1">IFERROR(IF(
OR(Table1[[#This Row],[Product category]]="Service items",Table1[[#This Row],[Product category]]="Additional services",Table1[[#This Row],[Product category]]="Additional materials"),
"NOK",IF(($N$3&lt;&gt;""),VLOOKUP(Table1[[#This Row],[Product code]],INDIRECT(Aux!$A$1),6,FALSE),"")),"")</f>
        <v/>
      </c>
      <c r="P335" s="285" t="str">
        <f ca="1">IFERROR(IF(AND(Table1[[#This Row],[Quantity]]&lt;&gt;"",Table1[[#This Row],[Currency]]="NOK"),Table1[[#This Row],[Quantity]]*Table1[[#This Row],[Unit Price]],""),"")</f>
        <v/>
      </c>
      <c r="Q335" s="285" t="str">
        <f ca="1">IFERROR(IF(AND(Table1[[#This Row],[ACT_Qty]]&lt;&gt;"",Table1[[#This Row],[Currency]]="NOK"),Table1[[#This Row],[ACT_Qty]]*Table1[[#This Row],[Unit Price]],""),"")</f>
        <v/>
      </c>
      <c r="R335" s="285" t="str">
        <f ca="1">IFERROR(IF(AND(Table1[[#This Row],[Quantity]]&lt;&gt;"",Table1[[#This Row],[Currency]]="EUR"),Table1[[#This Row],[Quantity]]*Table1[[#This Row],[Unit Price]],""),"")</f>
        <v/>
      </c>
      <c r="S335" s="285" t="str">
        <f ca="1">IFERROR(IF(AND(Table1[[#This Row],[ACT_Qty]]&lt;&gt;"",Table1[[#This Row],[Currency]]="EUR"),Table1[[#This Row],[ACT_Qty]]*Table1[[#This Row],[Unit Price]],""),"")</f>
        <v/>
      </c>
      <c r="T335" s="286" t="str">
        <f ca="1">IFERROR(IF(AND(($N$3&lt;&gt;""),INDIRECT(Aux!$D$1)),VLOOKUP(Table1[[#This Row],[Product code]],Aux!B:E,4,FALSE),""),"")</f>
        <v/>
      </c>
      <c r="U335" s="203" t="str">
        <f>IFERROR(IF(OR(Table1[[#This Row],[Quantity]]&lt;&gt;"",Table1[[#This Row],[ACT_Qty]]&lt;&gt;""),Table1[[#This Row],[ACT_Qty]]-Table1[[#This Row],[Quantity]],""),"")</f>
        <v/>
      </c>
      <c r="V335" s="287"/>
      <c r="W335" s="287"/>
      <c r="X335" s="287"/>
    </row>
    <row r="336" spans="1:24" ht="15" customHeight="1">
      <c r="A336" s="228" t="str">
        <f t="shared" si="22"/>
        <v>AKH12345</v>
      </c>
      <c r="B336" s="259" t="s">
        <v>986</v>
      </c>
      <c r="C336" s="228" t="s">
        <v>987</v>
      </c>
      <c r="D336" s="105"/>
      <c r="E336" s="106"/>
      <c r="F336" s="105"/>
      <c r="G336" s="106"/>
      <c r="H336" s="204" t="s">
        <v>960</v>
      </c>
      <c r="I336" s="205" t="s">
        <v>961</v>
      </c>
      <c r="J336" s="205" t="s">
        <v>962</v>
      </c>
      <c r="K336" s="205" t="s">
        <v>52</v>
      </c>
      <c r="L336" s="206" t="s">
        <v>645</v>
      </c>
      <c r="M336" s="206" t="str">
        <f t="shared" si="19"/>
        <v>OneCo Networks AS</v>
      </c>
      <c r="N33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6" s="279" t="str">
        <f ca="1">IFERROR(IF(
OR(Table1[[#This Row],[Product category]]="Service items",Table1[[#This Row],[Product category]]="Additional services",Table1[[#This Row],[Product category]]="Additional materials"),
"NOK",IF(($N$3&lt;&gt;""),VLOOKUP(Table1[[#This Row],[Product code]],INDIRECT(Aux!$A$1),6,FALSE),"")),"")</f>
        <v/>
      </c>
      <c r="P336" s="280" t="str">
        <f ca="1">IFERROR(IF(AND(Table1[[#This Row],[Quantity]]&lt;&gt;"",Table1[[#This Row],[Currency]]="NOK"),Table1[[#This Row],[Quantity]]*Table1[[#This Row],[Unit Price]],""),"")</f>
        <v/>
      </c>
      <c r="Q336" s="280" t="str">
        <f ca="1">IFERROR(IF(AND(Table1[[#This Row],[ACT_Qty]]&lt;&gt;"",Table1[[#This Row],[Currency]]="NOK"),Table1[[#This Row],[ACT_Qty]]*Table1[[#This Row],[Unit Price]],""),"")</f>
        <v/>
      </c>
      <c r="R336" s="280" t="str">
        <f ca="1">IFERROR(IF(AND(Table1[[#This Row],[Quantity]]&lt;&gt;"",Table1[[#This Row],[Currency]]="EUR"),Table1[[#This Row],[Quantity]]*Table1[[#This Row],[Unit Price]],""),"")</f>
        <v/>
      </c>
      <c r="S336" s="280" t="str">
        <f ca="1">IFERROR(IF(AND(Table1[[#This Row],[ACT_Qty]]&lt;&gt;"",Table1[[#This Row],[Currency]]="EUR"),Table1[[#This Row],[ACT_Qty]]*Table1[[#This Row],[Unit Price]],""),"")</f>
        <v/>
      </c>
      <c r="T336" s="281" t="str">
        <f ca="1">IFERROR(IF(AND(($N$3&lt;&gt;""),INDIRECT(Aux!$D$1)),VLOOKUP(Table1[[#This Row],[Product code]],Aux!B:E,4,FALSE),""),"")</f>
        <v/>
      </c>
      <c r="U336" s="206" t="str">
        <f>IFERROR(IF(OR(Table1[[#This Row],[Quantity]]&lt;&gt;"",Table1[[#This Row],[ACT_Qty]]&lt;&gt;""),Table1[[#This Row],[ACT_Qty]]-Table1[[#This Row],[Quantity]],""),"")</f>
        <v/>
      </c>
      <c r="V336" s="282"/>
      <c r="W336" s="282"/>
      <c r="X336" s="282"/>
    </row>
    <row r="337" spans="1:24" ht="15" customHeight="1">
      <c r="A337" s="227" t="str">
        <f t="shared" si="22"/>
        <v>AKH12345</v>
      </c>
      <c r="B337" s="258" t="s">
        <v>988</v>
      </c>
      <c r="C337" s="227" t="s">
        <v>989</v>
      </c>
      <c r="D337" s="105"/>
      <c r="E337" s="106"/>
      <c r="F337" s="105"/>
      <c r="G337" s="106"/>
      <c r="H337" s="201" t="s">
        <v>960</v>
      </c>
      <c r="I337" s="202" t="s">
        <v>961</v>
      </c>
      <c r="J337" s="202" t="s">
        <v>962</v>
      </c>
      <c r="K337" s="202" t="s">
        <v>52</v>
      </c>
      <c r="L337" s="203" t="s">
        <v>645</v>
      </c>
      <c r="M337" s="203" t="str">
        <f>IF($C$3&lt;&gt;"",$C$3,"")</f>
        <v>OneCo Networks AS</v>
      </c>
      <c r="N33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7" s="284" t="str">
        <f ca="1">IFERROR(IF(
OR(Table1[[#This Row],[Product category]]="Service items",Table1[[#This Row],[Product category]]="Additional services",Table1[[#This Row],[Product category]]="Additional materials"),
"NOK",IF(($N$3&lt;&gt;""),VLOOKUP(Table1[[#This Row],[Product code]],INDIRECT(Aux!$A$1),6,FALSE),"")),"")</f>
        <v/>
      </c>
      <c r="P337" s="285" t="str">
        <f ca="1">IFERROR(IF(AND(Table1[[#This Row],[Quantity]]&lt;&gt;"",Table1[[#This Row],[Currency]]="NOK"),Table1[[#This Row],[Quantity]]*Table1[[#This Row],[Unit Price]],""),"")</f>
        <v/>
      </c>
      <c r="Q337" s="285" t="str">
        <f ca="1">IFERROR(IF(AND(Table1[[#This Row],[ACT_Qty]]&lt;&gt;"",Table1[[#This Row],[Currency]]="NOK"),Table1[[#This Row],[ACT_Qty]]*Table1[[#This Row],[Unit Price]],""),"")</f>
        <v/>
      </c>
      <c r="R337" s="285" t="str">
        <f ca="1">IFERROR(IF(AND(Table1[[#This Row],[Quantity]]&lt;&gt;"",Table1[[#This Row],[Currency]]="EUR"),Table1[[#This Row],[Quantity]]*Table1[[#This Row],[Unit Price]],""),"")</f>
        <v/>
      </c>
      <c r="S337" s="285" t="str">
        <f ca="1">IFERROR(IF(AND(Table1[[#This Row],[ACT_Qty]]&lt;&gt;"",Table1[[#This Row],[Currency]]="EUR"),Table1[[#This Row],[ACT_Qty]]*Table1[[#This Row],[Unit Price]],""),"")</f>
        <v/>
      </c>
      <c r="T337" s="286" t="str">
        <f ca="1">IFERROR(IF(AND(($N$3&lt;&gt;""),INDIRECT(Aux!$D$1)),VLOOKUP(Table1[[#This Row],[Product code]],Aux!B:E,4,FALSE),""),"")</f>
        <v/>
      </c>
      <c r="U337" s="203" t="str">
        <f>IFERROR(IF(OR(Table1[[#This Row],[Quantity]]&lt;&gt;"",Table1[[#This Row],[ACT_Qty]]&lt;&gt;""),Table1[[#This Row],[ACT_Qty]]-Table1[[#This Row],[Quantity]],""),"")</f>
        <v/>
      </c>
      <c r="V337" s="287"/>
      <c r="W337" s="287"/>
      <c r="X337" s="287"/>
    </row>
    <row r="338" spans="1:24" ht="15" customHeight="1">
      <c r="A338" s="228" t="str">
        <f t="shared" si="22"/>
        <v>AKH12345</v>
      </c>
      <c r="B338" s="259" t="s">
        <v>990</v>
      </c>
      <c r="C338" s="228" t="s">
        <v>991</v>
      </c>
      <c r="D338" s="105"/>
      <c r="E338" s="106"/>
      <c r="F338" s="105"/>
      <c r="G338" s="106"/>
      <c r="H338" s="204" t="s">
        <v>960</v>
      </c>
      <c r="I338" s="205" t="s">
        <v>961</v>
      </c>
      <c r="J338" s="205" t="s">
        <v>962</v>
      </c>
      <c r="K338" s="205" t="s">
        <v>52</v>
      </c>
      <c r="L338" s="206" t="s">
        <v>645</v>
      </c>
      <c r="M338" s="206" t="str">
        <f>IF($C$3&lt;&gt;"",$C$3,"")</f>
        <v>OneCo Networks AS</v>
      </c>
      <c r="N33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8" s="279" t="str">
        <f ca="1">IFERROR(IF(
OR(Table1[[#This Row],[Product category]]="Service items",Table1[[#This Row],[Product category]]="Additional services",Table1[[#This Row],[Product category]]="Additional materials"),
"NOK",IF(($N$3&lt;&gt;""),VLOOKUP(Table1[[#This Row],[Product code]],INDIRECT(Aux!$A$1),6,FALSE),"")),"")</f>
        <v/>
      </c>
      <c r="P338" s="280" t="str">
        <f ca="1">IFERROR(IF(AND(Table1[[#This Row],[Quantity]]&lt;&gt;"",Table1[[#This Row],[Currency]]="NOK"),Table1[[#This Row],[Quantity]]*Table1[[#This Row],[Unit Price]],""),"")</f>
        <v/>
      </c>
      <c r="Q338" s="280" t="str">
        <f ca="1">IFERROR(IF(AND(Table1[[#This Row],[ACT_Qty]]&lt;&gt;"",Table1[[#This Row],[Currency]]="NOK"),Table1[[#This Row],[ACT_Qty]]*Table1[[#This Row],[Unit Price]],""),"")</f>
        <v/>
      </c>
      <c r="R338" s="280" t="str">
        <f ca="1">IFERROR(IF(AND(Table1[[#This Row],[Quantity]]&lt;&gt;"",Table1[[#This Row],[Currency]]="EUR"),Table1[[#This Row],[Quantity]]*Table1[[#This Row],[Unit Price]],""),"")</f>
        <v/>
      </c>
      <c r="S338" s="280" t="str">
        <f ca="1">IFERROR(IF(AND(Table1[[#This Row],[ACT_Qty]]&lt;&gt;"",Table1[[#This Row],[Currency]]="EUR"),Table1[[#This Row],[ACT_Qty]]*Table1[[#This Row],[Unit Price]],""),"")</f>
        <v/>
      </c>
      <c r="T338" s="281" t="str">
        <f ca="1">IFERROR(IF(AND(($N$3&lt;&gt;""),INDIRECT(Aux!$D$1)),VLOOKUP(Table1[[#This Row],[Product code]],Aux!B:E,4,FALSE),""),"")</f>
        <v/>
      </c>
      <c r="U338" s="206" t="str">
        <f>IFERROR(IF(OR(Table1[[#This Row],[Quantity]]&lt;&gt;"",Table1[[#This Row],[ACT_Qty]]&lt;&gt;""),Table1[[#This Row],[ACT_Qty]]-Table1[[#This Row],[Quantity]],""),"")</f>
        <v/>
      </c>
      <c r="V338" s="282"/>
      <c r="W338" s="282"/>
      <c r="X338" s="282"/>
    </row>
    <row r="339" spans="1:24" ht="15" customHeight="1">
      <c r="A339" s="227" t="str">
        <f t="shared" si="22"/>
        <v>AKH12345</v>
      </c>
      <c r="B339" s="258" t="s">
        <v>992</v>
      </c>
      <c r="C339" s="227" t="s">
        <v>993</v>
      </c>
      <c r="D339" s="105"/>
      <c r="E339" s="106"/>
      <c r="F339" s="105"/>
      <c r="G339" s="106"/>
      <c r="H339" s="201" t="s">
        <v>960</v>
      </c>
      <c r="I339" s="202" t="s">
        <v>961</v>
      </c>
      <c r="J339" s="202" t="s">
        <v>962</v>
      </c>
      <c r="K339" s="202" t="s">
        <v>52</v>
      </c>
      <c r="L339" s="203" t="s">
        <v>645</v>
      </c>
      <c r="M339" s="203" t="str">
        <f>IF($C$3&lt;&gt;"",$C$3,"")</f>
        <v>OneCo Networks AS</v>
      </c>
      <c r="N33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39" s="284" t="str">
        <f ca="1">IFERROR(IF(
OR(Table1[[#This Row],[Product category]]="Service items",Table1[[#This Row],[Product category]]="Additional services",Table1[[#This Row],[Product category]]="Additional materials"),
"NOK",IF(($N$3&lt;&gt;""),VLOOKUP(Table1[[#This Row],[Product code]],INDIRECT(Aux!$A$1),6,FALSE),"")),"")</f>
        <v/>
      </c>
      <c r="P339" s="285" t="str">
        <f ca="1">IFERROR(IF(AND(Table1[[#This Row],[Quantity]]&lt;&gt;"",Table1[[#This Row],[Currency]]="NOK"),Table1[[#This Row],[Quantity]]*Table1[[#This Row],[Unit Price]],""),"")</f>
        <v/>
      </c>
      <c r="Q339" s="285" t="str">
        <f ca="1">IFERROR(IF(AND(Table1[[#This Row],[ACT_Qty]]&lt;&gt;"",Table1[[#This Row],[Currency]]="NOK"),Table1[[#This Row],[ACT_Qty]]*Table1[[#This Row],[Unit Price]],""),"")</f>
        <v/>
      </c>
      <c r="R339" s="285" t="str">
        <f ca="1">IFERROR(IF(AND(Table1[[#This Row],[Quantity]]&lt;&gt;"",Table1[[#This Row],[Currency]]="EUR"),Table1[[#This Row],[Quantity]]*Table1[[#This Row],[Unit Price]],""),"")</f>
        <v/>
      </c>
      <c r="S339" s="285" t="str">
        <f ca="1">IFERROR(IF(AND(Table1[[#This Row],[ACT_Qty]]&lt;&gt;"",Table1[[#This Row],[Currency]]="EUR"),Table1[[#This Row],[ACT_Qty]]*Table1[[#This Row],[Unit Price]],""),"")</f>
        <v/>
      </c>
      <c r="T339" s="286" t="str">
        <f ca="1">IFERROR(IF(AND(($N$3&lt;&gt;""),INDIRECT(Aux!$D$1)),VLOOKUP(Table1[[#This Row],[Product code]],Aux!B:E,4,FALSE),""),"")</f>
        <v/>
      </c>
      <c r="U339" s="203" t="str">
        <f>IFERROR(IF(OR(Table1[[#This Row],[Quantity]]&lt;&gt;"",Table1[[#This Row],[ACT_Qty]]&lt;&gt;""),Table1[[#This Row],[ACT_Qty]]-Table1[[#This Row],[Quantity]],""),"")</f>
        <v/>
      </c>
      <c r="V339" s="287"/>
      <c r="W339" s="287"/>
      <c r="X339" s="287"/>
    </row>
    <row r="340" spans="1:24" ht="15" customHeight="1">
      <c r="A340" s="228" t="str">
        <f t="shared" si="22"/>
        <v>AKH12345</v>
      </c>
      <c r="B340" s="259" t="s">
        <v>994</v>
      </c>
      <c r="C340" s="228" t="s">
        <v>995</v>
      </c>
      <c r="D340" s="105"/>
      <c r="E340" s="106"/>
      <c r="F340" s="105"/>
      <c r="G340" s="106"/>
      <c r="H340" s="204" t="s">
        <v>960</v>
      </c>
      <c r="I340" s="205" t="s">
        <v>961</v>
      </c>
      <c r="J340" s="205" t="s">
        <v>962</v>
      </c>
      <c r="K340" s="205" t="s">
        <v>52</v>
      </c>
      <c r="L340" s="206" t="s">
        <v>645</v>
      </c>
      <c r="M340" s="206" t="str">
        <f>IF($C$3&lt;&gt;"",$C$3,"")</f>
        <v>OneCo Networks AS</v>
      </c>
      <c r="N34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0" s="279" t="str">
        <f ca="1">IFERROR(IF(
OR(Table1[[#This Row],[Product category]]="Service items",Table1[[#This Row],[Product category]]="Additional services",Table1[[#This Row],[Product category]]="Additional materials"),
"NOK",IF(($N$3&lt;&gt;""),VLOOKUP(Table1[[#This Row],[Product code]],INDIRECT(Aux!$A$1),6,FALSE),"")),"")</f>
        <v/>
      </c>
      <c r="P340" s="280" t="str">
        <f ca="1">IFERROR(IF(AND(Table1[[#This Row],[Quantity]]&lt;&gt;"",Table1[[#This Row],[Currency]]="NOK"),Table1[[#This Row],[Quantity]]*Table1[[#This Row],[Unit Price]],""),"")</f>
        <v/>
      </c>
      <c r="Q340" s="280" t="str">
        <f ca="1">IFERROR(IF(AND(Table1[[#This Row],[ACT_Qty]]&lt;&gt;"",Table1[[#This Row],[Currency]]="NOK"),Table1[[#This Row],[ACT_Qty]]*Table1[[#This Row],[Unit Price]],""),"")</f>
        <v/>
      </c>
      <c r="R340" s="280" t="str">
        <f ca="1">IFERROR(IF(AND(Table1[[#This Row],[Quantity]]&lt;&gt;"",Table1[[#This Row],[Currency]]="EUR"),Table1[[#This Row],[Quantity]]*Table1[[#This Row],[Unit Price]],""),"")</f>
        <v/>
      </c>
      <c r="S340" s="280" t="str">
        <f ca="1">IFERROR(IF(AND(Table1[[#This Row],[ACT_Qty]]&lt;&gt;"",Table1[[#This Row],[Currency]]="EUR"),Table1[[#This Row],[ACT_Qty]]*Table1[[#This Row],[Unit Price]],""),"")</f>
        <v/>
      </c>
      <c r="T340" s="281" t="str">
        <f ca="1">IFERROR(IF(AND(($N$3&lt;&gt;""),INDIRECT(Aux!$D$1)),VLOOKUP(Table1[[#This Row],[Product code]],Aux!B:E,4,FALSE),""),"")</f>
        <v/>
      </c>
      <c r="U340" s="206" t="str">
        <f>IFERROR(IF(OR(Table1[[#This Row],[Quantity]]&lt;&gt;"",Table1[[#This Row],[ACT_Qty]]&lt;&gt;""),Table1[[#This Row],[ACT_Qty]]-Table1[[#This Row],[Quantity]],""),"")</f>
        <v/>
      </c>
      <c r="V340" s="282"/>
      <c r="W340" s="282"/>
      <c r="X340" s="282"/>
    </row>
    <row r="341" spans="1:24" ht="15" customHeight="1">
      <c r="A341" s="227" t="str">
        <f t="shared" si="22"/>
        <v>AKH12345</v>
      </c>
      <c r="B341" s="258" t="s">
        <v>996</v>
      </c>
      <c r="C341" s="227" t="s">
        <v>997</v>
      </c>
      <c r="D341" s="105"/>
      <c r="E341" s="106"/>
      <c r="F341" s="105"/>
      <c r="G341" s="106"/>
      <c r="H341" s="201" t="s">
        <v>960</v>
      </c>
      <c r="I341" s="202" t="s">
        <v>961</v>
      </c>
      <c r="J341" s="202" t="s">
        <v>962</v>
      </c>
      <c r="K341" s="202" t="s">
        <v>52</v>
      </c>
      <c r="L341" s="203" t="s">
        <v>645</v>
      </c>
      <c r="M341" s="203" t="str">
        <f>IF($C$3&lt;&gt;"",$C$3,"")</f>
        <v>OneCo Networks AS</v>
      </c>
      <c r="N34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1" s="284" t="str">
        <f ca="1">IFERROR(IF(
OR(Table1[[#This Row],[Product category]]="Service items",Table1[[#This Row],[Product category]]="Additional services",Table1[[#This Row],[Product category]]="Additional materials"),
"NOK",IF(($N$3&lt;&gt;""),VLOOKUP(Table1[[#This Row],[Product code]],INDIRECT(Aux!$A$1),6,FALSE),"")),"")</f>
        <v/>
      </c>
      <c r="P341" s="285" t="str">
        <f ca="1">IFERROR(IF(AND(Table1[[#This Row],[Quantity]]&lt;&gt;"",Table1[[#This Row],[Currency]]="NOK"),Table1[[#This Row],[Quantity]]*Table1[[#This Row],[Unit Price]],""),"")</f>
        <v/>
      </c>
      <c r="Q341" s="285" t="str">
        <f ca="1">IFERROR(IF(AND(Table1[[#This Row],[ACT_Qty]]&lt;&gt;"",Table1[[#This Row],[Currency]]="NOK"),Table1[[#This Row],[ACT_Qty]]*Table1[[#This Row],[Unit Price]],""),"")</f>
        <v/>
      </c>
      <c r="R341" s="285" t="str">
        <f ca="1">IFERROR(IF(AND(Table1[[#This Row],[Quantity]]&lt;&gt;"",Table1[[#This Row],[Currency]]="EUR"),Table1[[#This Row],[Quantity]]*Table1[[#This Row],[Unit Price]],""),"")</f>
        <v/>
      </c>
      <c r="S341" s="285" t="str">
        <f ca="1">IFERROR(IF(AND(Table1[[#This Row],[ACT_Qty]]&lt;&gt;"",Table1[[#This Row],[Currency]]="EUR"),Table1[[#This Row],[ACT_Qty]]*Table1[[#This Row],[Unit Price]],""),"")</f>
        <v/>
      </c>
      <c r="T341" s="286" t="str">
        <f ca="1">IFERROR(IF(AND(($N$3&lt;&gt;""),INDIRECT(Aux!$D$1)),VLOOKUP(Table1[[#This Row],[Product code]],Aux!B:E,4,FALSE),""),"")</f>
        <v/>
      </c>
      <c r="U341" s="203" t="str">
        <f>IFERROR(IF(OR(Table1[[#This Row],[Quantity]]&lt;&gt;"",Table1[[#This Row],[ACT_Qty]]&lt;&gt;""),Table1[[#This Row],[ACT_Qty]]-Table1[[#This Row],[Quantity]],""),"")</f>
        <v/>
      </c>
      <c r="V341" s="287"/>
      <c r="W341" s="287"/>
      <c r="X341" s="287"/>
    </row>
    <row r="342" spans="1:24" ht="15" customHeight="1">
      <c r="A342" s="228" t="str">
        <f t="shared" si="22"/>
        <v>AKH12345</v>
      </c>
      <c r="B342" s="259" t="s">
        <v>998</v>
      </c>
      <c r="C342" s="228" t="s">
        <v>999</v>
      </c>
      <c r="D342" s="105"/>
      <c r="E342" s="106"/>
      <c r="F342" s="105"/>
      <c r="G342" s="106"/>
      <c r="H342" s="204" t="s">
        <v>960</v>
      </c>
      <c r="I342" s="205" t="s">
        <v>961</v>
      </c>
      <c r="J342" s="205" t="s">
        <v>962</v>
      </c>
      <c r="K342" s="205" t="s">
        <v>52</v>
      </c>
      <c r="L342" s="206" t="s">
        <v>645</v>
      </c>
      <c r="M342" s="206" t="str">
        <f t="shared" si="19"/>
        <v>OneCo Networks AS</v>
      </c>
      <c r="N34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2" s="279" t="str">
        <f ca="1">IFERROR(IF(
OR(Table1[[#This Row],[Product category]]="Service items",Table1[[#This Row],[Product category]]="Additional services",Table1[[#This Row],[Product category]]="Additional materials"),
"NOK",IF(($N$3&lt;&gt;""),VLOOKUP(Table1[[#This Row],[Product code]],INDIRECT(Aux!$A$1),6,FALSE),"")),"")</f>
        <v/>
      </c>
      <c r="P342" s="280" t="str">
        <f ca="1">IFERROR(IF(AND(Table1[[#This Row],[Quantity]]&lt;&gt;"",Table1[[#This Row],[Currency]]="NOK"),Table1[[#This Row],[Quantity]]*Table1[[#This Row],[Unit Price]],""),"")</f>
        <v/>
      </c>
      <c r="Q342" s="280" t="str">
        <f ca="1">IFERROR(IF(AND(Table1[[#This Row],[ACT_Qty]]&lt;&gt;"",Table1[[#This Row],[Currency]]="NOK"),Table1[[#This Row],[ACT_Qty]]*Table1[[#This Row],[Unit Price]],""),"")</f>
        <v/>
      </c>
      <c r="R342" s="280" t="str">
        <f ca="1">IFERROR(IF(AND(Table1[[#This Row],[Quantity]]&lt;&gt;"",Table1[[#This Row],[Currency]]="EUR"),Table1[[#This Row],[Quantity]]*Table1[[#This Row],[Unit Price]],""),"")</f>
        <v/>
      </c>
      <c r="S342" s="280" t="str">
        <f ca="1">IFERROR(IF(AND(Table1[[#This Row],[ACT_Qty]]&lt;&gt;"",Table1[[#This Row],[Currency]]="EUR"),Table1[[#This Row],[ACT_Qty]]*Table1[[#This Row],[Unit Price]],""),"")</f>
        <v/>
      </c>
      <c r="T342" s="281" t="str">
        <f ca="1">IFERROR(IF(AND(($N$3&lt;&gt;""),INDIRECT(Aux!$D$1)),VLOOKUP(Table1[[#This Row],[Product code]],Aux!B:E,4,FALSE),""),"")</f>
        <v/>
      </c>
      <c r="U342" s="206" t="str">
        <f>IFERROR(IF(OR(Table1[[#This Row],[Quantity]]&lt;&gt;"",Table1[[#This Row],[ACT_Qty]]&lt;&gt;""),Table1[[#This Row],[ACT_Qty]]-Table1[[#This Row],[Quantity]],""),"")</f>
        <v/>
      </c>
      <c r="V342" s="282"/>
      <c r="W342" s="282"/>
      <c r="X342" s="282"/>
    </row>
    <row r="343" spans="1:24" ht="15" customHeight="1">
      <c r="A343" s="227" t="str">
        <f t="shared" si="22"/>
        <v>AKH12345</v>
      </c>
      <c r="B343" s="258" t="s">
        <v>1000</v>
      </c>
      <c r="C343" s="227" t="s">
        <v>1001</v>
      </c>
      <c r="D343" s="105"/>
      <c r="E343" s="106"/>
      <c r="F343" s="105"/>
      <c r="G343" s="106"/>
      <c r="H343" s="201" t="s">
        <v>960</v>
      </c>
      <c r="I343" s="202" t="s">
        <v>961</v>
      </c>
      <c r="J343" s="202" t="s">
        <v>962</v>
      </c>
      <c r="K343" s="202" t="s">
        <v>52</v>
      </c>
      <c r="L343" s="203" t="s">
        <v>645</v>
      </c>
      <c r="M343" s="203" t="str">
        <f t="shared" si="19"/>
        <v>OneCo Networks AS</v>
      </c>
      <c r="N34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3" s="284" t="str">
        <f ca="1">IFERROR(IF(
OR(Table1[[#This Row],[Product category]]="Service items",Table1[[#This Row],[Product category]]="Additional services",Table1[[#This Row],[Product category]]="Additional materials"),
"NOK",IF(($N$3&lt;&gt;""),VLOOKUP(Table1[[#This Row],[Product code]],INDIRECT(Aux!$A$1),6,FALSE),"")),"")</f>
        <v/>
      </c>
      <c r="P343" s="285" t="str">
        <f ca="1">IFERROR(IF(AND(Table1[[#This Row],[Quantity]]&lt;&gt;"",Table1[[#This Row],[Currency]]="NOK"),Table1[[#This Row],[Quantity]]*Table1[[#This Row],[Unit Price]],""),"")</f>
        <v/>
      </c>
      <c r="Q343" s="285" t="str">
        <f ca="1">IFERROR(IF(AND(Table1[[#This Row],[ACT_Qty]]&lt;&gt;"",Table1[[#This Row],[Currency]]="NOK"),Table1[[#This Row],[ACT_Qty]]*Table1[[#This Row],[Unit Price]],""),"")</f>
        <v/>
      </c>
      <c r="R343" s="285" t="str">
        <f ca="1">IFERROR(IF(AND(Table1[[#This Row],[Quantity]]&lt;&gt;"",Table1[[#This Row],[Currency]]="EUR"),Table1[[#This Row],[Quantity]]*Table1[[#This Row],[Unit Price]],""),"")</f>
        <v/>
      </c>
      <c r="S343" s="285" t="str">
        <f ca="1">IFERROR(IF(AND(Table1[[#This Row],[ACT_Qty]]&lt;&gt;"",Table1[[#This Row],[Currency]]="EUR"),Table1[[#This Row],[ACT_Qty]]*Table1[[#This Row],[Unit Price]],""),"")</f>
        <v/>
      </c>
      <c r="T343" s="286" t="str">
        <f ca="1">IFERROR(IF(AND(($N$3&lt;&gt;""),INDIRECT(Aux!$D$1)),VLOOKUP(Table1[[#This Row],[Product code]],Aux!B:E,4,FALSE),""),"")</f>
        <v/>
      </c>
      <c r="U343" s="203" t="str">
        <f>IFERROR(IF(OR(Table1[[#This Row],[Quantity]]&lt;&gt;"",Table1[[#This Row],[ACT_Qty]]&lt;&gt;""),Table1[[#This Row],[ACT_Qty]]-Table1[[#This Row],[Quantity]],""),"")</f>
        <v/>
      </c>
      <c r="V343" s="287"/>
      <c r="W343" s="287"/>
      <c r="X343" s="287"/>
    </row>
    <row r="344" spans="1:24" ht="15" customHeight="1">
      <c r="A344" s="228" t="str">
        <f t="shared" si="22"/>
        <v>AKH12345</v>
      </c>
      <c r="B344" s="259" t="s">
        <v>1002</v>
      </c>
      <c r="C344" s="228" t="s">
        <v>1003</v>
      </c>
      <c r="D344" s="105"/>
      <c r="E344" s="106"/>
      <c r="F344" s="105"/>
      <c r="G344" s="106"/>
      <c r="H344" s="204" t="s">
        <v>960</v>
      </c>
      <c r="I344" s="205" t="s">
        <v>961</v>
      </c>
      <c r="J344" s="205" t="s">
        <v>962</v>
      </c>
      <c r="K344" s="205" t="s">
        <v>52</v>
      </c>
      <c r="L344" s="206" t="s">
        <v>645</v>
      </c>
      <c r="M344" s="206" t="str">
        <f>IF($C$3&lt;&gt;"",$C$3,"")</f>
        <v>OneCo Networks AS</v>
      </c>
      <c r="N34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4" s="279" t="str">
        <f ca="1">IFERROR(IF(
OR(Table1[[#This Row],[Product category]]="Service items",Table1[[#This Row],[Product category]]="Additional services",Table1[[#This Row],[Product category]]="Additional materials"),
"NOK",IF(($N$3&lt;&gt;""),VLOOKUP(Table1[[#This Row],[Product code]],INDIRECT(Aux!$A$1),6,FALSE),"")),"")</f>
        <v/>
      </c>
      <c r="P344" s="280" t="str">
        <f ca="1">IFERROR(IF(AND(Table1[[#This Row],[Quantity]]&lt;&gt;"",Table1[[#This Row],[Currency]]="NOK"),Table1[[#This Row],[Quantity]]*Table1[[#This Row],[Unit Price]],""),"")</f>
        <v/>
      </c>
      <c r="Q344" s="280" t="str">
        <f ca="1">IFERROR(IF(AND(Table1[[#This Row],[ACT_Qty]]&lt;&gt;"",Table1[[#This Row],[Currency]]="NOK"),Table1[[#This Row],[ACT_Qty]]*Table1[[#This Row],[Unit Price]],""),"")</f>
        <v/>
      </c>
      <c r="R344" s="280" t="str">
        <f ca="1">IFERROR(IF(AND(Table1[[#This Row],[Quantity]]&lt;&gt;"",Table1[[#This Row],[Currency]]="EUR"),Table1[[#This Row],[Quantity]]*Table1[[#This Row],[Unit Price]],""),"")</f>
        <v/>
      </c>
      <c r="S344" s="280" t="str">
        <f ca="1">IFERROR(IF(AND(Table1[[#This Row],[ACT_Qty]]&lt;&gt;"",Table1[[#This Row],[Currency]]="EUR"),Table1[[#This Row],[ACT_Qty]]*Table1[[#This Row],[Unit Price]],""),"")</f>
        <v/>
      </c>
      <c r="T344" s="281" t="str">
        <f ca="1">IFERROR(IF(AND(($N$3&lt;&gt;""),INDIRECT(Aux!$D$1)),VLOOKUP(Table1[[#This Row],[Product code]],Aux!B:E,4,FALSE),""),"")</f>
        <v/>
      </c>
      <c r="U344" s="206" t="str">
        <f>IFERROR(IF(OR(Table1[[#This Row],[Quantity]]&lt;&gt;"",Table1[[#This Row],[ACT_Qty]]&lt;&gt;""),Table1[[#This Row],[ACT_Qty]]-Table1[[#This Row],[Quantity]],""),"")</f>
        <v/>
      </c>
      <c r="V344" s="282"/>
      <c r="W344" s="282"/>
      <c r="X344" s="282"/>
    </row>
    <row r="345" spans="1:24" ht="15" customHeight="1">
      <c r="A345" s="227" t="str">
        <f t="shared" si="22"/>
        <v>AKH12345</v>
      </c>
      <c r="B345" s="258" t="s">
        <v>1004</v>
      </c>
      <c r="C345" s="227" t="s">
        <v>1005</v>
      </c>
      <c r="D345" s="105"/>
      <c r="E345" s="106"/>
      <c r="F345" s="105"/>
      <c r="G345" s="106"/>
      <c r="H345" s="201" t="s">
        <v>960</v>
      </c>
      <c r="I345" s="202" t="s">
        <v>961</v>
      </c>
      <c r="J345" s="202" t="s">
        <v>962</v>
      </c>
      <c r="K345" s="202" t="s">
        <v>52</v>
      </c>
      <c r="L345" s="203" t="s">
        <v>645</v>
      </c>
      <c r="M345" s="203" t="str">
        <f t="shared" si="19"/>
        <v>OneCo Networks AS</v>
      </c>
      <c r="N34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5" s="284" t="str">
        <f ca="1">IFERROR(IF(
OR(Table1[[#This Row],[Product category]]="Service items",Table1[[#This Row],[Product category]]="Additional services",Table1[[#This Row],[Product category]]="Additional materials"),
"NOK",IF(($N$3&lt;&gt;""),VLOOKUP(Table1[[#This Row],[Product code]],INDIRECT(Aux!$A$1),6,FALSE),"")),"")</f>
        <v/>
      </c>
      <c r="P345" s="285" t="str">
        <f ca="1">IFERROR(IF(AND(Table1[[#This Row],[Quantity]]&lt;&gt;"",Table1[[#This Row],[Currency]]="NOK"),Table1[[#This Row],[Quantity]]*Table1[[#This Row],[Unit Price]],""),"")</f>
        <v/>
      </c>
      <c r="Q345" s="285" t="str">
        <f ca="1">IFERROR(IF(AND(Table1[[#This Row],[ACT_Qty]]&lt;&gt;"",Table1[[#This Row],[Currency]]="NOK"),Table1[[#This Row],[ACT_Qty]]*Table1[[#This Row],[Unit Price]],""),"")</f>
        <v/>
      </c>
      <c r="R345" s="285" t="str">
        <f ca="1">IFERROR(IF(AND(Table1[[#This Row],[Quantity]]&lt;&gt;"",Table1[[#This Row],[Currency]]="EUR"),Table1[[#This Row],[Quantity]]*Table1[[#This Row],[Unit Price]],""),"")</f>
        <v/>
      </c>
      <c r="S345" s="285" t="str">
        <f ca="1">IFERROR(IF(AND(Table1[[#This Row],[ACT_Qty]]&lt;&gt;"",Table1[[#This Row],[Currency]]="EUR"),Table1[[#This Row],[ACT_Qty]]*Table1[[#This Row],[Unit Price]],""),"")</f>
        <v/>
      </c>
      <c r="T345" s="286" t="str">
        <f ca="1">IFERROR(IF(AND(($N$3&lt;&gt;""),INDIRECT(Aux!$D$1)),VLOOKUP(Table1[[#This Row],[Product code]],Aux!B:E,4,FALSE),""),"")</f>
        <v/>
      </c>
      <c r="U345" s="203" t="str">
        <f>IFERROR(IF(OR(Table1[[#This Row],[Quantity]]&lt;&gt;"",Table1[[#This Row],[ACT_Qty]]&lt;&gt;""),Table1[[#This Row],[ACT_Qty]]-Table1[[#This Row],[Quantity]],""),"")</f>
        <v/>
      </c>
      <c r="V345" s="287"/>
      <c r="W345" s="287"/>
      <c r="X345" s="287"/>
    </row>
    <row r="346" spans="1:24" ht="15" customHeight="1">
      <c r="A346" s="228" t="str">
        <f t="shared" si="22"/>
        <v>AKH12345</v>
      </c>
      <c r="B346" s="259" t="s">
        <v>1006</v>
      </c>
      <c r="C346" s="228" t="s">
        <v>1007</v>
      </c>
      <c r="D346" s="105"/>
      <c r="E346" s="106"/>
      <c r="F346" s="105"/>
      <c r="G346" s="106"/>
      <c r="H346" s="204" t="s">
        <v>960</v>
      </c>
      <c r="I346" s="205" t="s">
        <v>961</v>
      </c>
      <c r="J346" s="205" t="s">
        <v>962</v>
      </c>
      <c r="K346" s="205" t="s">
        <v>52</v>
      </c>
      <c r="L346" s="206" t="s">
        <v>645</v>
      </c>
      <c r="M346" s="206" t="str">
        <f t="shared" si="19"/>
        <v>OneCo Networks AS</v>
      </c>
      <c r="N34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6" s="279" t="str">
        <f ca="1">IFERROR(IF(
OR(Table1[[#This Row],[Product category]]="Service items",Table1[[#This Row],[Product category]]="Additional services",Table1[[#This Row],[Product category]]="Additional materials"),
"NOK",IF(($N$3&lt;&gt;""),VLOOKUP(Table1[[#This Row],[Product code]],INDIRECT(Aux!$A$1),6,FALSE),"")),"")</f>
        <v/>
      </c>
      <c r="P346" s="280" t="str">
        <f ca="1">IFERROR(IF(AND(Table1[[#This Row],[Quantity]]&lt;&gt;"",Table1[[#This Row],[Currency]]="NOK"),Table1[[#This Row],[Quantity]]*Table1[[#This Row],[Unit Price]],""),"")</f>
        <v/>
      </c>
      <c r="Q346" s="280" t="str">
        <f ca="1">IFERROR(IF(AND(Table1[[#This Row],[ACT_Qty]]&lt;&gt;"",Table1[[#This Row],[Currency]]="NOK"),Table1[[#This Row],[ACT_Qty]]*Table1[[#This Row],[Unit Price]],""),"")</f>
        <v/>
      </c>
      <c r="R346" s="280" t="str">
        <f ca="1">IFERROR(IF(AND(Table1[[#This Row],[Quantity]]&lt;&gt;"",Table1[[#This Row],[Currency]]="EUR"),Table1[[#This Row],[Quantity]]*Table1[[#This Row],[Unit Price]],""),"")</f>
        <v/>
      </c>
      <c r="S346" s="280" t="str">
        <f ca="1">IFERROR(IF(AND(Table1[[#This Row],[ACT_Qty]]&lt;&gt;"",Table1[[#This Row],[Currency]]="EUR"),Table1[[#This Row],[ACT_Qty]]*Table1[[#This Row],[Unit Price]],""),"")</f>
        <v/>
      </c>
      <c r="T346" s="281" t="str">
        <f ca="1">IFERROR(IF(AND(($N$3&lt;&gt;""),INDIRECT(Aux!$D$1)),VLOOKUP(Table1[[#This Row],[Product code]],Aux!B:E,4,FALSE),""),"")</f>
        <v/>
      </c>
      <c r="U346" s="206" t="str">
        <f>IFERROR(IF(OR(Table1[[#This Row],[Quantity]]&lt;&gt;"",Table1[[#This Row],[ACT_Qty]]&lt;&gt;""),Table1[[#This Row],[ACT_Qty]]-Table1[[#This Row],[Quantity]],""),"")</f>
        <v/>
      </c>
      <c r="V346" s="282"/>
      <c r="W346" s="282"/>
      <c r="X346" s="282"/>
    </row>
    <row r="347" spans="1:24" ht="15" customHeight="1">
      <c r="A347" s="227" t="str">
        <f t="shared" si="22"/>
        <v>AKH12345</v>
      </c>
      <c r="B347" s="258" t="s">
        <v>1008</v>
      </c>
      <c r="C347" s="227" t="s">
        <v>1009</v>
      </c>
      <c r="D347" s="105"/>
      <c r="E347" s="106"/>
      <c r="F347" s="105"/>
      <c r="G347" s="106"/>
      <c r="H347" s="201" t="s">
        <v>960</v>
      </c>
      <c r="I347" s="202" t="s">
        <v>961</v>
      </c>
      <c r="J347" s="202" t="s">
        <v>962</v>
      </c>
      <c r="K347" s="202" t="s">
        <v>52</v>
      </c>
      <c r="L347" s="203" t="s">
        <v>645</v>
      </c>
      <c r="M347" s="203" t="str">
        <f t="shared" si="19"/>
        <v>OneCo Networks AS</v>
      </c>
      <c r="N34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7" s="284" t="str">
        <f ca="1">IFERROR(IF(
OR(Table1[[#This Row],[Product category]]="Service items",Table1[[#This Row],[Product category]]="Additional services",Table1[[#This Row],[Product category]]="Additional materials"),
"NOK",IF(($N$3&lt;&gt;""),VLOOKUP(Table1[[#This Row],[Product code]],INDIRECT(Aux!$A$1),6,FALSE),"")),"")</f>
        <v/>
      </c>
      <c r="P347" s="285" t="str">
        <f ca="1">IFERROR(IF(AND(Table1[[#This Row],[Quantity]]&lt;&gt;"",Table1[[#This Row],[Currency]]="NOK"),Table1[[#This Row],[Quantity]]*Table1[[#This Row],[Unit Price]],""),"")</f>
        <v/>
      </c>
      <c r="Q347" s="285" t="str">
        <f ca="1">IFERROR(IF(AND(Table1[[#This Row],[ACT_Qty]]&lt;&gt;"",Table1[[#This Row],[Currency]]="NOK"),Table1[[#This Row],[ACT_Qty]]*Table1[[#This Row],[Unit Price]],""),"")</f>
        <v/>
      </c>
      <c r="R347" s="285" t="str">
        <f ca="1">IFERROR(IF(AND(Table1[[#This Row],[Quantity]]&lt;&gt;"",Table1[[#This Row],[Currency]]="EUR"),Table1[[#This Row],[Quantity]]*Table1[[#This Row],[Unit Price]],""),"")</f>
        <v/>
      </c>
      <c r="S347" s="285" t="str">
        <f ca="1">IFERROR(IF(AND(Table1[[#This Row],[ACT_Qty]]&lt;&gt;"",Table1[[#This Row],[Currency]]="EUR"),Table1[[#This Row],[ACT_Qty]]*Table1[[#This Row],[Unit Price]],""),"")</f>
        <v/>
      </c>
      <c r="T347" s="286" t="str">
        <f ca="1">IFERROR(IF(AND(($N$3&lt;&gt;""),INDIRECT(Aux!$D$1)),VLOOKUP(Table1[[#This Row],[Product code]],Aux!B:E,4,FALSE),""),"")</f>
        <v/>
      </c>
      <c r="U347" s="203" t="str">
        <f>IFERROR(IF(OR(Table1[[#This Row],[Quantity]]&lt;&gt;"",Table1[[#This Row],[ACT_Qty]]&lt;&gt;""),Table1[[#This Row],[ACT_Qty]]-Table1[[#This Row],[Quantity]],""),"")</f>
        <v/>
      </c>
      <c r="V347" s="287"/>
      <c r="W347" s="287"/>
      <c r="X347" s="287"/>
    </row>
    <row r="348" spans="1:24" ht="15" customHeight="1">
      <c r="A348" s="228" t="str">
        <f t="shared" si="22"/>
        <v>AKH12345</v>
      </c>
      <c r="B348" s="259" t="s">
        <v>1010</v>
      </c>
      <c r="C348" s="228" t="s">
        <v>1011</v>
      </c>
      <c r="D348" s="105"/>
      <c r="E348" s="106"/>
      <c r="F348" s="105"/>
      <c r="G348" s="106"/>
      <c r="H348" s="204" t="s">
        <v>960</v>
      </c>
      <c r="I348" s="205" t="s">
        <v>961</v>
      </c>
      <c r="J348" s="205" t="s">
        <v>962</v>
      </c>
      <c r="K348" s="205" t="s">
        <v>52</v>
      </c>
      <c r="L348" s="206" t="s">
        <v>645</v>
      </c>
      <c r="M348" s="206" t="str">
        <f t="shared" si="19"/>
        <v>OneCo Networks AS</v>
      </c>
      <c r="N34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8" s="279" t="str">
        <f ca="1">IFERROR(IF(
OR(Table1[[#This Row],[Product category]]="Service items",Table1[[#This Row],[Product category]]="Additional services",Table1[[#This Row],[Product category]]="Additional materials"),
"NOK",IF(($N$3&lt;&gt;""),VLOOKUP(Table1[[#This Row],[Product code]],INDIRECT(Aux!$A$1),6,FALSE),"")),"")</f>
        <v/>
      </c>
      <c r="P348" s="280" t="str">
        <f ca="1">IFERROR(IF(AND(Table1[[#This Row],[Quantity]]&lt;&gt;"",Table1[[#This Row],[Currency]]="NOK"),Table1[[#This Row],[Quantity]]*Table1[[#This Row],[Unit Price]],""),"")</f>
        <v/>
      </c>
      <c r="Q348" s="280" t="str">
        <f ca="1">IFERROR(IF(AND(Table1[[#This Row],[ACT_Qty]]&lt;&gt;"",Table1[[#This Row],[Currency]]="NOK"),Table1[[#This Row],[ACT_Qty]]*Table1[[#This Row],[Unit Price]],""),"")</f>
        <v/>
      </c>
      <c r="R348" s="280" t="str">
        <f ca="1">IFERROR(IF(AND(Table1[[#This Row],[Quantity]]&lt;&gt;"",Table1[[#This Row],[Currency]]="EUR"),Table1[[#This Row],[Quantity]]*Table1[[#This Row],[Unit Price]],""),"")</f>
        <v/>
      </c>
      <c r="S348" s="280" t="str">
        <f ca="1">IFERROR(IF(AND(Table1[[#This Row],[ACT_Qty]]&lt;&gt;"",Table1[[#This Row],[Currency]]="EUR"),Table1[[#This Row],[ACT_Qty]]*Table1[[#This Row],[Unit Price]],""),"")</f>
        <v/>
      </c>
      <c r="T348" s="281" t="str">
        <f ca="1">IFERROR(IF(AND(($N$3&lt;&gt;""),INDIRECT(Aux!$D$1)),VLOOKUP(Table1[[#This Row],[Product code]],Aux!B:E,4,FALSE),""),"")</f>
        <v/>
      </c>
      <c r="U348" s="206" t="str">
        <f>IFERROR(IF(OR(Table1[[#This Row],[Quantity]]&lt;&gt;"",Table1[[#This Row],[ACT_Qty]]&lt;&gt;""),Table1[[#This Row],[ACT_Qty]]-Table1[[#This Row],[Quantity]],""),"")</f>
        <v/>
      </c>
      <c r="V348" s="282"/>
      <c r="W348" s="282"/>
      <c r="X348" s="282"/>
    </row>
    <row r="349" spans="1:24" ht="15" customHeight="1">
      <c r="A349" s="227" t="str">
        <f t="shared" si="22"/>
        <v>AKH12345</v>
      </c>
      <c r="B349" s="258" t="s">
        <v>1012</v>
      </c>
      <c r="C349" s="227" t="s">
        <v>1013</v>
      </c>
      <c r="D349" s="105"/>
      <c r="E349" s="106"/>
      <c r="F349" s="105"/>
      <c r="G349" s="106"/>
      <c r="H349" s="201" t="s">
        <v>960</v>
      </c>
      <c r="I349" s="202" t="s">
        <v>961</v>
      </c>
      <c r="J349" s="202" t="s">
        <v>962</v>
      </c>
      <c r="K349" s="202" t="s">
        <v>52</v>
      </c>
      <c r="L349" s="203" t="s">
        <v>645</v>
      </c>
      <c r="M349" s="203" t="str">
        <f t="shared" si="19"/>
        <v>OneCo Networks AS</v>
      </c>
      <c r="N34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49" s="284" t="str">
        <f ca="1">IFERROR(IF(
OR(Table1[[#This Row],[Product category]]="Service items",Table1[[#This Row],[Product category]]="Additional services",Table1[[#This Row],[Product category]]="Additional materials"),
"NOK",IF(($N$3&lt;&gt;""),VLOOKUP(Table1[[#This Row],[Product code]],INDIRECT(Aux!$A$1),6,FALSE),"")),"")</f>
        <v/>
      </c>
      <c r="P349" s="285" t="str">
        <f ca="1">IFERROR(IF(AND(Table1[[#This Row],[Quantity]]&lt;&gt;"",Table1[[#This Row],[Currency]]="NOK"),Table1[[#This Row],[Quantity]]*Table1[[#This Row],[Unit Price]],""),"")</f>
        <v/>
      </c>
      <c r="Q349" s="285" t="str">
        <f ca="1">IFERROR(IF(AND(Table1[[#This Row],[ACT_Qty]]&lt;&gt;"",Table1[[#This Row],[Currency]]="NOK"),Table1[[#This Row],[ACT_Qty]]*Table1[[#This Row],[Unit Price]],""),"")</f>
        <v/>
      </c>
      <c r="R349" s="285" t="str">
        <f ca="1">IFERROR(IF(AND(Table1[[#This Row],[Quantity]]&lt;&gt;"",Table1[[#This Row],[Currency]]="EUR"),Table1[[#This Row],[Quantity]]*Table1[[#This Row],[Unit Price]],""),"")</f>
        <v/>
      </c>
      <c r="S349" s="285" t="str">
        <f ca="1">IFERROR(IF(AND(Table1[[#This Row],[ACT_Qty]]&lt;&gt;"",Table1[[#This Row],[Currency]]="EUR"),Table1[[#This Row],[ACT_Qty]]*Table1[[#This Row],[Unit Price]],""),"")</f>
        <v/>
      </c>
      <c r="T349" s="286" t="str">
        <f ca="1">IFERROR(IF(AND(($N$3&lt;&gt;""),INDIRECT(Aux!$D$1)),VLOOKUP(Table1[[#This Row],[Product code]],Aux!B:E,4,FALSE),""),"")</f>
        <v/>
      </c>
      <c r="U349" s="203" t="str">
        <f>IFERROR(IF(OR(Table1[[#This Row],[Quantity]]&lt;&gt;"",Table1[[#This Row],[ACT_Qty]]&lt;&gt;""),Table1[[#This Row],[ACT_Qty]]-Table1[[#This Row],[Quantity]],""),"")</f>
        <v/>
      </c>
      <c r="V349" s="287"/>
      <c r="W349" s="287"/>
      <c r="X349" s="287"/>
    </row>
    <row r="350" spans="1:24" ht="15" customHeight="1">
      <c r="A350" s="228" t="str">
        <f t="shared" si="22"/>
        <v>AKH12345</v>
      </c>
      <c r="B350" s="259" t="s">
        <v>1014</v>
      </c>
      <c r="C350" s="228" t="s">
        <v>1015</v>
      </c>
      <c r="D350" s="105"/>
      <c r="E350" s="106"/>
      <c r="F350" s="105"/>
      <c r="G350" s="106"/>
      <c r="H350" s="204" t="s">
        <v>960</v>
      </c>
      <c r="I350" s="205" t="s">
        <v>961</v>
      </c>
      <c r="J350" s="205" t="s">
        <v>962</v>
      </c>
      <c r="K350" s="205" t="s">
        <v>52</v>
      </c>
      <c r="L350" s="206" t="s">
        <v>645</v>
      </c>
      <c r="M350" s="206" t="str">
        <f>IF($C$3&lt;&gt;"",$C$3,"")</f>
        <v>OneCo Networks AS</v>
      </c>
      <c r="N35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0" s="279" t="str">
        <f ca="1">IFERROR(IF(
OR(Table1[[#This Row],[Product category]]="Service items",Table1[[#This Row],[Product category]]="Additional services",Table1[[#This Row],[Product category]]="Additional materials"),
"NOK",IF(($N$3&lt;&gt;""),VLOOKUP(Table1[[#This Row],[Product code]],INDIRECT(Aux!$A$1),6,FALSE),"")),"")</f>
        <v/>
      </c>
      <c r="P350" s="280" t="str">
        <f ca="1">IFERROR(IF(AND(Table1[[#This Row],[Quantity]]&lt;&gt;"",Table1[[#This Row],[Currency]]="NOK"),Table1[[#This Row],[Quantity]]*Table1[[#This Row],[Unit Price]],""),"")</f>
        <v/>
      </c>
      <c r="Q350" s="280" t="str">
        <f ca="1">IFERROR(IF(AND(Table1[[#This Row],[ACT_Qty]]&lt;&gt;"",Table1[[#This Row],[Currency]]="NOK"),Table1[[#This Row],[ACT_Qty]]*Table1[[#This Row],[Unit Price]],""),"")</f>
        <v/>
      </c>
      <c r="R350" s="280" t="str">
        <f ca="1">IFERROR(IF(AND(Table1[[#This Row],[Quantity]]&lt;&gt;"",Table1[[#This Row],[Currency]]="EUR"),Table1[[#This Row],[Quantity]]*Table1[[#This Row],[Unit Price]],""),"")</f>
        <v/>
      </c>
      <c r="S350" s="280" t="str">
        <f ca="1">IFERROR(IF(AND(Table1[[#This Row],[ACT_Qty]]&lt;&gt;"",Table1[[#This Row],[Currency]]="EUR"),Table1[[#This Row],[ACT_Qty]]*Table1[[#This Row],[Unit Price]],""),"")</f>
        <v/>
      </c>
      <c r="T350" s="281" t="str">
        <f ca="1">IFERROR(IF(AND(($N$3&lt;&gt;""),INDIRECT(Aux!$D$1)),VLOOKUP(Table1[[#This Row],[Product code]],Aux!B:E,4,FALSE),""),"")</f>
        <v/>
      </c>
      <c r="U350" s="206" t="str">
        <f>IFERROR(IF(OR(Table1[[#This Row],[Quantity]]&lt;&gt;"",Table1[[#This Row],[ACT_Qty]]&lt;&gt;""),Table1[[#This Row],[ACT_Qty]]-Table1[[#This Row],[Quantity]],""),"")</f>
        <v/>
      </c>
      <c r="V350" s="282"/>
      <c r="W350" s="282"/>
      <c r="X350" s="282"/>
    </row>
    <row r="351" spans="1:24" ht="15" customHeight="1">
      <c r="A351" s="227" t="str">
        <f t="shared" si="22"/>
        <v>AKH12345</v>
      </c>
      <c r="B351" s="258" t="s">
        <v>1016</v>
      </c>
      <c r="C351" s="227" t="s">
        <v>1017</v>
      </c>
      <c r="D351" s="105"/>
      <c r="E351" s="106"/>
      <c r="F351" s="105"/>
      <c r="G351" s="106"/>
      <c r="H351" s="201" t="s">
        <v>960</v>
      </c>
      <c r="I351" s="202" t="s">
        <v>961</v>
      </c>
      <c r="J351" s="202" t="s">
        <v>962</v>
      </c>
      <c r="K351" s="202" t="s">
        <v>52</v>
      </c>
      <c r="L351" s="203" t="s">
        <v>645</v>
      </c>
      <c r="M351" s="203" t="str">
        <f>IF($C$3&lt;&gt;"",$C$3,"")</f>
        <v>OneCo Networks AS</v>
      </c>
      <c r="N35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1" s="284" t="str">
        <f ca="1">IFERROR(IF(
OR(Table1[[#This Row],[Product category]]="Service items",Table1[[#This Row],[Product category]]="Additional services",Table1[[#This Row],[Product category]]="Additional materials"),
"NOK",IF(($N$3&lt;&gt;""),VLOOKUP(Table1[[#This Row],[Product code]],INDIRECT(Aux!$A$1),6,FALSE),"")),"")</f>
        <v/>
      </c>
      <c r="P351" s="285" t="str">
        <f ca="1">IFERROR(IF(AND(Table1[[#This Row],[Quantity]]&lt;&gt;"",Table1[[#This Row],[Currency]]="NOK"),Table1[[#This Row],[Quantity]]*Table1[[#This Row],[Unit Price]],""),"")</f>
        <v/>
      </c>
      <c r="Q351" s="285" t="str">
        <f ca="1">IFERROR(IF(AND(Table1[[#This Row],[ACT_Qty]]&lt;&gt;"",Table1[[#This Row],[Currency]]="NOK"),Table1[[#This Row],[ACT_Qty]]*Table1[[#This Row],[Unit Price]],""),"")</f>
        <v/>
      </c>
      <c r="R351" s="285" t="str">
        <f ca="1">IFERROR(IF(AND(Table1[[#This Row],[Quantity]]&lt;&gt;"",Table1[[#This Row],[Currency]]="EUR"),Table1[[#This Row],[Quantity]]*Table1[[#This Row],[Unit Price]],""),"")</f>
        <v/>
      </c>
      <c r="S351" s="285" t="str">
        <f ca="1">IFERROR(IF(AND(Table1[[#This Row],[ACT_Qty]]&lt;&gt;"",Table1[[#This Row],[Currency]]="EUR"),Table1[[#This Row],[ACT_Qty]]*Table1[[#This Row],[Unit Price]],""),"")</f>
        <v/>
      </c>
      <c r="T351" s="286" t="str">
        <f ca="1">IFERROR(IF(AND(($N$3&lt;&gt;""),INDIRECT(Aux!$D$1)),VLOOKUP(Table1[[#This Row],[Product code]],Aux!B:E,4,FALSE),""),"")</f>
        <v/>
      </c>
      <c r="U351" s="203" t="str">
        <f>IFERROR(IF(OR(Table1[[#This Row],[Quantity]]&lt;&gt;"",Table1[[#This Row],[ACT_Qty]]&lt;&gt;""),Table1[[#This Row],[ACT_Qty]]-Table1[[#This Row],[Quantity]],""),"")</f>
        <v/>
      </c>
      <c r="V351" s="287"/>
      <c r="W351" s="287"/>
      <c r="X351" s="287"/>
    </row>
    <row r="352" spans="1:24" ht="15" customHeight="1">
      <c r="A352" s="228" t="str">
        <f t="shared" si="22"/>
        <v>AKH12345</v>
      </c>
      <c r="B352" s="259" t="s">
        <v>1018</v>
      </c>
      <c r="C352" s="228" t="s">
        <v>1019</v>
      </c>
      <c r="D352" s="105"/>
      <c r="E352" s="106"/>
      <c r="F352" s="105"/>
      <c r="G352" s="106"/>
      <c r="H352" s="204" t="s">
        <v>960</v>
      </c>
      <c r="I352" s="205" t="s">
        <v>961</v>
      </c>
      <c r="J352" s="205" t="s">
        <v>962</v>
      </c>
      <c r="K352" s="205" t="s">
        <v>52</v>
      </c>
      <c r="L352" s="206" t="s">
        <v>645</v>
      </c>
      <c r="M352" s="206" t="str">
        <f>IF($C$3&lt;&gt;"",$C$3,"")</f>
        <v>OneCo Networks AS</v>
      </c>
      <c r="N35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2" s="279" t="str">
        <f ca="1">IFERROR(IF(
OR(Table1[[#This Row],[Product category]]="Service items",Table1[[#This Row],[Product category]]="Additional services",Table1[[#This Row],[Product category]]="Additional materials"),
"NOK",IF(($N$3&lt;&gt;""),VLOOKUP(Table1[[#This Row],[Product code]],INDIRECT(Aux!$A$1),6,FALSE),"")),"")</f>
        <v/>
      </c>
      <c r="P352" s="280" t="str">
        <f ca="1">IFERROR(IF(AND(Table1[[#This Row],[Quantity]]&lt;&gt;"",Table1[[#This Row],[Currency]]="NOK"),Table1[[#This Row],[Quantity]]*Table1[[#This Row],[Unit Price]],""),"")</f>
        <v/>
      </c>
      <c r="Q352" s="280" t="str">
        <f ca="1">IFERROR(IF(AND(Table1[[#This Row],[ACT_Qty]]&lt;&gt;"",Table1[[#This Row],[Currency]]="NOK"),Table1[[#This Row],[ACT_Qty]]*Table1[[#This Row],[Unit Price]],""),"")</f>
        <v/>
      </c>
      <c r="R352" s="280" t="str">
        <f ca="1">IFERROR(IF(AND(Table1[[#This Row],[Quantity]]&lt;&gt;"",Table1[[#This Row],[Currency]]="EUR"),Table1[[#This Row],[Quantity]]*Table1[[#This Row],[Unit Price]],""),"")</f>
        <v/>
      </c>
      <c r="S352" s="280" t="str">
        <f ca="1">IFERROR(IF(AND(Table1[[#This Row],[ACT_Qty]]&lt;&gt;"",Table1[[#This Row],[Currency]]="EUR"),Table1[[#This Row],[ACT_Qty]]*Table1[[#This Row],[Unit Price]],""),"")</f>
        <v/>
      </c>
      <c r="T352" s="281" t="str">
        <f ca="1">IFERROR(IF(AND(($N$3&lt;&gt;""),INDIRECT(Aux!$D$1)),VLOOKUP(Table1[[#This Row],[Product code]],Aux!B:E,4,FALSE),""),"")</f>
        <v/>
      </c>
      <c r="U352" s="206" t="str">
        <f>IFERROR(IF(OR(Table1[[#This Row],[Quantity]]&lt;&gt;"",Table1[[#This Row],[ACT_Qty]]&lt;&gt;""),Table1[[#This Row],[ACT_Qty]]-Table1[[#This Row],[Quantity]],""),"")</f>
        <v/>
      </c>
      <c r="V352" s="282"/>
      <c r="W352" s="282"/>
      <c r="X352" s="282"/>
    </row>
    <row r="353" spans="1:24" ht="15" customHeight="1">
      <c r="A353" s="227" t="str">
        <f t="shared" si="22"/>
        <v>AKH12345</v>
      </c>
      <c r="B353" s="258" t="s">
        <v>1020</v>
      </c>
      <c r="C353" s="227" t="s">
        <v>1021</v>
      </c>
      <c r="D353" s="105"/>
      <c r="E353" s="106"/>
      <c r="F353" s="105"/>
      <c r="G353" s="106"/>
      <c r="H353" s="201" t="s">
        <v>960</v>
      </c>
      <c r="I353" s="202" t="s">
        <v>961</v>
      </c>
      <c r="J353" s="202" t="s">
        <v>962</v>
      </c>
      <c r="K353" s="202" t="s">
        <v>52</v>
      </c>
      <c r="L353" s="203" t="s">
        <v>645</v>
      </c>
      <c r="M353" s="203" t="str">
        <f>IF($C$3&lt;&gt;"",$C$3,"")</f>
        <v>OneCo Networks AS</v>
      </c>
      <c r="N35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3" s="284" t="str">
        <f ca="1">IFERROR(IF(
OR(Table1[[#This Row],[Product category]]="Service items",Table1[[#This Row],[Product category]]="Additional services",Table1[[#This Row],[Product category]]="Additional materials"),
"NOK",IF(($N$3&lt;&gt;""),VLOOKUP(Table1[[#This Row],[Product code]],INDIRECT(Aux!$A$1),6,FALSE),"")),"")</f>
        <v/>
      </c>
      <c r="P353" s="285" t="str">
        <f ca="1">IFERROR(IF(AND(Table1[[#This Row],[Quantity]]&lt;&gt;"",Table1[[#This Row],[Currency]]="NOK"),Table1[[#This Row],[Quantity]]*Table1[[#This Row],[Unit Price]],""),"")</f>
        <v/>
      </c>
      <c r="Q353" s="285" t="str">
        <f ca="1">IFERROR(IF(AND(Table1[[#This Row],[ACT_Qty]]&lt;&gt;"",Table1[[#This Row],[Currency]]="NOK"),Table1[[#This Row],[ACT_Qty]]*Table1[[#This Row],[Unit Price]],""),"")</f>
        <v/>
      </c>
      <c r="R353" s="285" t="str">
        <f ca="1">IFERROR(IF(AND(Table1[[#This Row],[Quantity]]&lt;&gt;"",Table1[[#This Row],[Currency]]="EUR"),Table1[[#This Row],[Quantity]]*Table1[[#This Row],[Unit Price]],""),"")</f>
        <v/>
      </c>
      <c r="S353" s="285" t="str">
        <f ca="1">IFERROR(IF(AND(Table1[[#This Row],[ACT_Qty]]&lt;&gt;"",Table1[[#This Row],[Currency]]="EUR"),Table1[[#This Row],[ACT_Qty]]*Table1[[#This Row],[Unit Price]],""),"")</f>
        <v/>
      </c>
      <c r="T353" s="286" t="str">
        <f ca="1">IFERROR(IF(AND(($N$3&lt;&gt;""),INDIRECT(Aux!$D$1)),VLOOKUP(Table1[[#This Row],[Product code]],Aux!B:E,4,FALSE),""),"")</f>
        <v/>
      </c>
      <c r="U353" s="203" t="str">
        <f>IFERROR(IF(OR(Table1[[#This Row],[Quantity]]&lt;&gt;"",Table1[[#This Row],[ACT_Qty]]&lt;&gt;""),Table1[[#This Row],[ACT_Qty]]-Table1[[#This Row],[Quantity]],""),"")</f>
        <v/>
      </c>
      <c r="V353" s="287"/>
      <c r="W353" s="287"/>
      <c r="X353" s="287"/>
    </row>
    <row r="354" spans="1:24" ht="15" customHeight="1">
      <c r="A354" s="228" t="str">
        <f t="shared" ref="A354:A440" si="24">$C$4</f>
        <v>AKH12345</v>
      </c>
      <c r="B354" s="259" t="s">
        <v>1022</v>
      </c>
      <c r="C354" s="228" t="s">
        <v>1023</v>
      </c>
      <c r="D354" s="105"/>
      <c r="E354" s="106"/>
      <c r="F354" s="105"/>
      <c r="G354" s="106"/>
      <c r="H354" s="204" t="s">
        <v>960</v>
      </c>
      <c r="I354" s="205" t="s">
        <v>961</v>
      </c>
      <c r="J354" s="205" t="s">
        <v>962</v>
      </c>
      <c r="K354" s="205" t="s">
        <v>52</v>
      </c>
      <c r="L354" s="206" t="s">
        <v>645</v>
      </c>
      <c r="M354" s="206" t="str">
        <f>IF($C$3&lt;&gt;"",$C$3,"")</f>
        <v>OneCo Networks AS</v>
      </c>
      <c r="N35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4" s="279" t="str">
        <f ca="1">IFERROR(IF(
OR(Table1[[#This Row],[Product category]]="Service items",Table1[[#This Row],[Product category]]="Additional services",Table1[[#This Row],[Product category]]="Additional materials"),
"NOK",IF(($N$3&lt;&gt;""),VLOOKUP(Table1[[#This Row],[Product code]],INDIRECT(Aux!$A$1),6,FALSE),"")),"")</f>
        <v/>
      </c>
      <c r="P354" s="280" t="str">
        <f ca="1">IFERROR(IF(AND(Table1[[#This Row],[Quantity]]&lt;&gt;"",Table1[[#This Row],[Currency]]="NOK"),Table1[[#This Row],[Quantity]]*Table1[[#This Row],[Unit Price]],""),"")</f>
        <v/>
      </c>
      <c r="Q354" s="280" t="str">
        <f ca="1">IFERROR(IF(AND(Table1[[#This Row],[ACT_Qty]]&lt;&gt;"",Table1[[#This Row],[Currency]]="NOK"),Table1[[#This Row],[ACT_Qty]]*Table1[[#This Row],[Unit Price]],""),"")</f>
        <v/>
      </c>
      <c r="R354" s="280" t="str">
        <f ca="1">IFERROR(IF(AND(Table1[[#This Row],[Quantity]]&lt;&gt;"",Table1[[#This Row],[Currency]]="EUR"),Table1[[#This Row],[Quantity]]*Table1[[#This Row],[Unit Price]],""),"")</f>
        <v/>
      </c>
      <c r="S354" s="280" t="str">
        <f ca="1">IFERROR(IF(AND(Table1[[#This Row],[ACT_Qty]]&lt;&gt;"",Table1[[#This Row],[Currency]]="EUR"),Table1[[#This Row],[ACT_Qty]]*Table1[[#This Row],[Unit Price]],""),"")</f>
        <v/>
      </c>
      <c r="T354" s="281" t="str">
        <f ca="1">IFERROR(IF(AND(($N$3&lt;&gt;""),INDIRECT(Aux!$D$1)),VLOOKUP(Table1[[#This Row],[Product code]],Aux!B:E,4,FALSE),""),"")</f>
        <v/>
      </c>
      <c r="U354" s="206" t="str">
        <f>IFERROR(IF(OR(Table1[[#This Row],[Quantity]]&lt;&gt;"",Table1[[#This Row],[ACT_Qty]]&lt;&gt;""),Table1[[#This Row],[ACT_Qty]]-Table1[[#This Row],[Quantity]],""),"")</f>
        <v/>
      </c>
      <c r="V354" s="282"/>
      <c r="W354" s="282"/>
      <c r="X354" s="282"/>
    </row>
    <row r="355" spans="1:24" ht="15" customHeight="1">
      <c r="A355" s="227" t="str">
        <f t="shared" si="24"/>
        <v>AKH12345</v>
      </c>
      <c r="B355" s="258" t="s">
        <v>1024</v>
      </c>
      <c r="C355" s="227" t="s">
        <v>1025</v>
      </c>
      <c r="D355" s="105"/>
      <c r="E355" s="106"/>
      <c r="F355" s="105"/>
      <c r="G355" s="106"/>
      <c r="H355" s="201" t="s">
        <v>960</v>
      </c>
      <c r="I355" s="202" t="s">
        <v>961</v>
      </c>
      <c r="J355" s="202" t="s">
        <v>962</v>
      </c>
      <c r="K355" s="202" t="s">
        <v>52</v>
      </c>
      <c r="L355" s="203" t="s">
        <v>645</v>
      </c>
      <c r="M355" s="203" t="str">
        <f t="shared" ref="M355:M444" si="25">IF($C$3&lt;&gt;"",$C$3,"")</f>
        <v>OneCo Networks AS</v>
      </c>
      <c r="N35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5" s="284" t="str">
        <f ca="1">IFERROR(IF(
OR(Table1[[#This Row],[Product category]]="Service items",Table1[[#This Row],[Product category]]="Additional services",Table1[[#This Row],[Product category]]="Additional materials"),
"NOK",IF(($N$3&lt;&gt;""),VLOOKUP(Table1[[#This Row],[Product code]],INDIRECT(Aux!$A$1),6,FALSE),"")),"")</f>
        <v/>
      </c>
      <c r="P355" s="285" t="str">
        <f ca="1">IFERROR(IF(AND(Table1[[#This Row],[Quantity]]&lt;&gt;"",Table1[[#This Row],[Currency]]="NOK"),Table1[[#This Row],[Quantity]]*Table1[[#This Row],[Unit Price]],""),"")</f>
        <v/>
      </c>
      <c r="Q355" s="285" t="str">
        <f ca="1">IFERROR(IF(AND(Table1[[#This Row],[ACT_Qty]]&lt;&gt;"",Table1[[#This Row],[Currency]]="NOK"),Table1[[#This Row],[ACT_Qty]]*Table1[[#This Row],[Unit Price]],""),"")</f>
        <v/>
      </c>
      <c r="R355" s="285" t="str">
        <f ca="1">IFERROR(IF(AND(Table1[[#This Row],[Quantity]]&lt;&gt;"",Table1[[#This Row],[Currency]]="EUR"),Table1[[#This Row],[Quantity]]*Table1[[#This Row],[Unit Price]],""),"")</f>
        <v/>
      </c>
      <c r="S355" s="285" t="str">
        <f ca="1">IFERROR(IF(AND(Table1[[#This Row],[ACT_Qty]]&lt;&gt;"",Table1[[#This Row],[Currency]]="EUR"),Table1[[#This Row],[ACT_Qty]]*Table1[[#This Row],[Unit Price]],""),"")</f>
        <v/>
      </c>
      <c r="T355" s="286" t="str">
        <f ca="1">IFERROR(IF(AND(($N$3&lt;&gt;""),INDIRECT(Aux!$D$1)),VLOOKUP(Table1[[#This Row],[Product code]],Aux!B:E,4,FALSE),""),"")</f>
        <v/>
      </c>
      <c r="U355" s="203" t="str">
        <f>IFERROR(IF(OR(Table1[[#This Row],[Quantity]]&lt;&gt;"",Table1[[#This Row],[ACT_Qty]]&lt;&gt;""),Table1[[#This Row],[ACT_Qty]]-Table1[[#This Row],[Quantity]],""),"")</f>
        <v/>
      </c>
      <c r="V355" s="287"/>
      <c r="W355" s="287"/>
      <c r="X355" s="287"/>
    </row>
    <row r="356" spans="1:24" ht="15" customHeight="1">
      <c r="A356" s="228" t="str">
        <f t="shared" si="24"/>
        <v>AKH12345</v>
      </c>
      <c r="B356" s="259" t="s">
        <v>1026</v>
      </c>
      <c r="C356" s="228" t="s">
        <v>1027</v>
      </c>
      <c r="D356" s="105"/>
      <c r="E356" s="106"/>
      <c r="F356" s="105"/>
      <c r="G356" s="106"/>
      <c r="H356" s="204" t="s">
        <v>960</v>
      </c>
      <c r="I356" s="205" t="s">
        <v>961</v>
      </c>
      <c r="J356" s="205" t="s">
        <v>962</v>
      </c>
      <c r="K356" s="205" t="s">
        <v>52</v>
      </c>
      <c r="L356" s="206" t="s">
        <v>645</v>
      </c>
      <c r="M356" s="206" t="str">
        <f t="shared" si="25"/>
        <v>OneCo Networks AS</v>
      </c>
      <c r="N35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6" s="279" t="str">
        <f ca="1">IFERROR(IF(
OR(Table1[[#This Row],[Product category]]="Service items",Table1[[#This Row],[Product category]]="Additional services",Table1[[#This Row],[Product category]]="Additional materials"),
"NOK",IF(($N$3&lt;&gt;""),VLOOKUP(Table1[[#This Row],[Product code]],INDIRECT(Aux!$A$1),6,FALSE),"")),"")</f>
        <v/>
      </c>
      <c r="P356" s="280" t="str">
        <f ca="1">IFERROR(IF(AND(Table1[[#This Row],[Quantity]]&lt;&gt;"",Table1[[#This Row],[Currency]]="NOK"),Table1[[#This Row],[Quantity]]*Table1[[#This Row],[Unit Price]],""),"")</f>
        <v/>
      </c>
      <c r="Q356" s="280" t="str">
        <f ca="1">IFERROR(IF(AND(Table1[[#This Row],[ACT_Qty]]&lt;&gt;"",Table1[[#This Row],[Currency]]="NOK"),Table1[[#This Row],[ACT_Qty]]*Table1[[#This Row],[Unit Price]],""),"")</f>
        <v/>
      </c>
      <c r="R356" s="280" t="str">
        <f ca="1">IFERROR(IF(AND(Table1[[#This Row],[Quantity]]&lt;&gt;"",Table1[[#This Row],[Currency]]="EUR"),Table1[[#This Row],[Quantity]]*Table1[[#This Row],[Unit Price]],""),"")</f>
        <v/>
      </c>
      <c r="S356" s="280" t="str">
        <f ca="1">IFERROR(IF(AND(Table1[[#This Row],[ACT_Qty]]&lt;&gt;"",Table1[[#This Row],[Currency]]="EUR"),Table1[[#This Row],[ACT_Qty]]*Table1[[#This Row],[Unit Price]],""),"")</f>
        <v/>
      </c>
      <c r="T356" s="281" t="str">
        <f ca="1">IFERROR(IF(AND(($N$3&lt;&gt;""),INDIRECT(Aux!$D$1)),VLOOKUP(Table1[[#This Row],[Product code]],Aux!B:E,4,FALSE),""),"")</f>
        <v/>
      </c>
      <c r="U356" s="206" t="str">
        <f>IFERROR(IF(OR(Table1[[#This Row],[Quantity]]&lt;&gt;"",Table1[[#This Row],[ACT_Qty]]&lt;&gt;""),Table1[[#This Row],[ACT_Qty]]-Table1[[#This Row],[Quantity]],""),"")</f>
        <v/>
      </c>
      <c r="V356" s="282"/>
      <c r="W356" s="282"/>
      <c r="X356" s="282"/>
    </row>
    <row r="357" spans="1:24" ht="15" customHeight="1">
      <c r="A357" s="227" t="str">
        <f t="shared" si="24"/>
        <v>AKH12345</v>
      </c>
      <c r="B357" s="258" t="s">
        <v>1028</v>
      </c>
      <c r="C357" s="227" t="s">
        <v>1029</v>
      </c>
      <c r="D357" s="105"/>
      <c r="E357" s="106"/>
      <c r="F357" s="105"/>
      <c r="G357" s="106"/>
      <c r="H357" s="201" t="s">
        <v>960</v>
      </c>
      <c r="I357" s="202" t="s">
        <v>961</v>
      </c>
      <c r="J357" s="202" t="s">
        <v>962</v>
      </c>
      <c r="K357" s="202" t="s">
        <v>52</v>
      </c>
      <c r="L357" s="203" t="s">
        <v>645</v>
      </c>
      <c r="M357" s="203" t="str">
        <f t="shared" si="25"/>
        <v>OneCo Networks AS</v>
      </c>
      <c r="N35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7" s="284" t="str">
        <f ca="1">IFERROR(IF(
OR(Table1[[#This Row],[Product category]]="Service items",Table1[[#This Row],[Product category]]="Additional services",Table1[[#This Row],[Product category]]="Additional materials"),
"NOK",IF(($N$3&lt;&gt;""),VLOOKUP(Table1[[#This Row],[Product code]],INDIRECT(Aux!$A$1),6,FALSE),"")),"")</f>
        <v/>
      </c>
      <c r="P357" s="285" t="str">
        <f ca="1">IFERROR(IF(AND(Table1[[#This Row],[Quantity]]&lt;&gt;"",Table1[[#This Row],[Currency]]="NOK"),Table1[[#This Row],[Quantity]]*Table1[[#This Row],[Unit Price]],""),"")</f>
        <v/>
      </c>
      <c r="Q357" s="285" t="str">
        <f ca="1">IFERROR(IF(AND(Table1[[#This Row],[ACT_Qty]]&lt;&gt;"",Table1[[#This Row],[Currency]]="NOK"),Table1[[#This Row],[ACT_Qty]]*Table1[[#This Row],[Unit Price]],""),"")</f>
        <v/>
      </c>
      <c r="R357" s="285" t="str">
        <f ca="1">IFERROR(IF(AND(Table1[[#This Row],[Quantity]]&lt;&gt;"",Table1[[#This Row],[Currency]]="EUR"),Table1[[#This Row],[Quantity]]*Table1[[#This Row],[Unit Price]],""),"")</f>
        <v/>
      </c>
      <c r="S357" s="285" t="str">
        <f ca="1">IFERROR(IF(AND(Table1[[#This Row],[ACT_Qty]]&lt;&gt;"",Table1[[#This Row],[Currency]]="EUR"),Table1[[#This Row],[ACT_Qty]]*Table1[[#This Row],[Unit Price]],""),"")</f>
        <v/>
      </c>
      <c r="T357" s="286" t="str">
        <f ca="1">IFERROR(IF(AND(($N$3&lt;&gt;""),INDIRECT(Aux!$D$1)),VLOOKUP(Table1[[#This Row],[Product code]],Aux!B:E,4,FALSE),""),"")</f>
        <v/>
      </c>
      <c r="U357" s="203" t="str">
        <f>IFERROR(IF(OR(Table1[[#This Row],[Quantity]]&lt;&gt;"",Table1[[#This Row],[ACT_Qty]]&lt;&gt;""),Table1[[#This Row],[ACT_Qty]]-Table1[[#This Row],[Quantity]],""),"")</f>
        <v/>
      </c>
      <c r="V357" s="287"/>
      <c r="W357" s="287"/>
      <c r="X357" s="287"/>
    </row>
    <row r="358" spans="1:24" ht="15" customHeight="1">
      <c r="A358" s="228" t="str">
        <f t="shared" si="24"/>
        <v>AKH12345</v>
      </c>
      <c r="B358" s="259" t="s">
        <v>1030</v>
      </c>
      <c r="C358" s="228" t="s">
        <v>1031</v>
      </c>
      <c r="D358" s="105"/>
      <c r="E358" s="106"/>
      <c r="F358" s="105"/>
      <c r="G358" s="106"/>
      <c r="H358" s="204" t="s">
        <v>960</v>
      </c>
      <c r="I358" s="205" t="s">
        <v>961</v>
      </c>
      <c r="J358" s="205" t="s">
        <v>962</v>
      </c>
      <c r="K358" s="205" t="s">
        <v>52</v>
      </c>
      <c r="L358" s="206" t="s">
        <v>645</v>
      </c>
      <c r="M358" s="206" t="str">
        <f t="shared" si="25"/>
        <v>OneCo Networks AS</v>
      </c>
      <c r="N35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8" s="279" t="str">
        <f ca="1">IFERROR(IF(
OR(Table1[[#This Row],[Product category]]="Service items",Table1[[#This Row],[Product category]]="Additional services",Table1[[#This Row],[Product category]]="Additional materials"),
"NOK",IF(($N$3&lt;&gt;""),VLOOKUP(Table1[[#This Row],[Product code]],INDIRECT(Aux!$A$1),6,FALSE),"")),"")</f>
        <v/>
      </c>
      <c r="P358" s="280" t="str">
        <f ca="1">IFERROR(IF(AND(Table1[[#This Row],[Quantity]]&lt;&gt;"",Table1[[#This Row],[Currency]]="NOK"),Table1[[#This Row],[Quantity]]*Table1[[#This Row],[Unit Price]],""),"")</f>
        <v/>
      </c>
      <c r="Q358" s="280" t="str">
        <f ca="1">IFERROR(IF(AND(Table1[[#This Row],[ACT_Qty]]&lt;&gt;"",Table1[[#This Row],[Currency]]="NOK"),Table1[[#This Row],[ACT_Qty]]*Table1[[#This Row],[Unit Price]],""),"")</f>
        <v/>
      </c>
      <c r="R358" s="280" t="str">
        <f ca="1">IFERROR(IF(AND(Table1[[#This Row],[Quantity]]&lt;&gt;"",Table1[[#This Row],[Currency]]="EUR"),Table1[[#This Row],[Quantity]]*Table1[[#This Row],[Unit Price]],""),"")</f>
        <v/>
      </c>
      <c r="S358" s="280" t="str">
        <f ca="1">IFERROR(IF(AND(Table1[[#This Row],[ACT_Qty]]&lt;&gt;"",Table1[[#This Row],[Currency]]="EUR"),Table1[[#This Row],[ACT_Qty]]*Table1[[#This Row],[Unit Price]],""),"")</f>
        <v/>
      </c>
      <c r="T358" s="281" t="str">
        <f ca="1">IFERROR(IF(AND(($N$3&lt;&gt;""),INDIRECT(Aux!$D$1)),VLOOKUP(Table1[[#This Row],[Product code]],Aux!B:E,4,FALSE),""),"")</f>
        <v/>
      </c>
      <c r="U358" s="206" t="str">
        <f>IFERROR(IF(OR(Table1[[#This Row],[Quantity]]&lt;&gt;"",Table1[[#This Row],[ACT_Qty]]&lt;&gt;""),Table1[[#This Row],[ACT_Qty]]-Table1[[#This Row],[Quantity]],""),"")</f>
        <v/>
      </c>
      <c r="V358" s="282"/>
      <c r="W358" s="282"/>
      <c r="X358" s="282"/>
    </row>
    <row r="359" spans="1:24" ht="15" customHeight="1">
      <c r="A359" s="227" t="str">
        <f t="shared" si="24"/>
        <v>AKH12345</v>
      </c>
      <c r="B359" s="258" t="s">
        <v>1032</v>
      </c>
      <c r="C359" s="227" t="s">
        <v>1033</v>
      </c>
      <c r="D359" s="105"/>
      <c r="E359" s="106"/>
      <c r="F359" s="105"/>
      <c r="G359" s="106"/>
      <c r="H359" s="201" t="s">
        <v>960</v>
      </c>
      <c r="I359" s="202" t="s">
        <v>961</v>
      </c>
      <c r="J359" s="202" t="s">
        <v>609</v>
      </c>
      <c r="K359" s="202" t="s">
        <v>52</v>
      </c>
      <c r="L359" s="203" t="s">
        <v>645</v>
      </c>
      <c r="M359" s="203" t="str">
        <f t="shared" si="25"/>
        <v>OneCo Networks AS</v>
      </c>
      <c r="N35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59" s="284" t="str">
        <f ca="1">IFERROR(IF(
OR(Table1[[#This Row],[Product category]]="Service items",Table1[[#This Row],[Product category]]="Additional services",Table1[[#This Row],[Product category]]="Additional materials"),
"NOK",IF(($N$3&lt;&gt;""),VLOOKUP(Table1[[#This Row],[Product code]],INDIRECT(Aux!$A$1),6,FALSE),"")),"")</f>
        <v/>
      </c>
      <c r="P359" s="285" t="str">
        <f ca="1">IFERROR(IF(AND(Table1[[#This Row],[Quantity]]&lt;&gt;"",Table1[[#This Row],[Currency]]="NOK"),Table1[[#This Row],[Quantity]]*Table1[[#This Row],[Unit Price]],""),"")</f>
        <v/>
      </c>
      <c r="Q359" s="285" t="str">
        <f ca="1">IFERROR(IF(AND(Table1[[#This Row],[ACT_Qty]]&lt;&gt;"",Table1[[#This Row],[Currency]]="NOK"),Table1[[#This Row],[ACT_Qty]]*Table1[[#This Row],[Unit Price]],""),"")</f>
        <v/>
      </c>
      <c r="R359" s="285" t="str">
        <f ca="1">IFERROR(IF(AND(Table1[[#This Row],[Quantity]]&lt;&gt;"",Table1[[#This Row],[Currency]]="EUR"),Table1[[#This Row],[Quantity]]*Table1[[#This Row],[Unit Price]],""),"")</f>
        <v/>
      </c>
      <c r="S359" s="285" t="str">
        <f ca="1">IFERROR(IF(AND(Table1[[#This Row],[ACT_Qty]]&lt;&gt;"",Table1[[#This Row],[Currency]]="EUR"),Table1[[#This Row],[ACT_Qty]]*Table1[[#This Row],[Unit Price]],""),"")</f>
        <v/>
      </c>
      <c r="T359" s="286" t="str">
        <f ca="1">IFERROR(IF(AND(($N$3&lt;&gt;""),INDIRECT(Aux!$D$1)),VLOOKUP(Table1[[#This Row],[Product code]],Aux!B:E,4,FALSE),""),"")</f>
        <v/>
      </c>
      <c r="U359" s="203" t="str">
        <f>IFERROR(IF(OR(Table1[[#This Row],[Quantity]]&lt;&gt;"",Table1[[#This Row],[ACT_Qty]]&lt;&gt;""),Table1[[#This Row],[ACT_Qty]]-Table1[[#This Row],[Quantity]],""),"")</f>
        <v/>
      </c>
      <c r="V359" s="287"/>
      <c r="W359" s="287"/>
      <c r="X359" s="287"/>
    </row>
    <row r="360" spans="1:24" ht="15" customHeight="1">
      <c r="A360" s="228" t="str">
        <f t="shared" si="24"/>
        <v>AKH12345</v>
      </c>
      <c r="B360" s="259" t="s">
        <v>1034</v>
      </c>
      <c r="C360" s="228" t="s">
        <v>1035</v>
      </c>
      <c r="D360" s="105"/>
      <c r="E360" s="106"/>
      <c r="F360" s="105"/>
      <c r="G360" s="106"/>
      <c r="H360" s="204" t="s">
        <v>960</v>
      </c>
      <c r="I360" s="205" t="s">
        <v>961</v>
      </c>
      <c r="J360" s="205" t="s">
        <v>609</v>
      </c>
      <c r="K360" s="205" t="s">
        <v>52</v>
      </c>
      <c r="L360" s="206" t="s">
        <v>645</v>
      </c>
      <c r="M360" s="206" t="str">
        <f t="shared" si="25"/>
        <v>OneCo Networks AS</v>
      </c>
      <c r="N36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0" s="279" t="str">
        <f ca="1">IFERROR(IF(
OR(Table1[[#This Row],[Product category]]="Service items",Table1[[#This Row],[Product category]]="Additional services",Table1[[#This Row],[Product category]]="Additional materials"),
"NOK",IF(($N$3&lt;&gt;""),VLOOKUP(Table1[[#This Row],[Product code]],INDIRECT(Aux!$A$1),6,FALSE),"")),"")</f>
        <v/>
      </c>
      <c r="P360" s="280" t="str">
        <f ca="1">IFERROR(IF(AND(Table1[[#This Row],[Quantity]]&lt;&gt;"",Table1[[#This Row],[Currency]]="NOK"),Table1[[#This Row],[Quantity]]*Table1[[#This Row],[Unit Price]],""),"")</f>
        <v/>
      </c>
      <c r="Q360" s="280" t="str">
        <f ca="1">IFERROR(IF(AND(Table1[[#This Row],[ACT_Qty]]&lt;&gt;"",Table1[[#This Row],[Currency]]="NOK"),Table1[[#This Row],[ACT_Qty]]*Table1[[#This Row],[Unit Price]],""),"")</f>
        <v/>
      </c>
      <c r="R360" s="280" t="str">
        <f ca="1">IFERROR(IF(AND(Table1[[#This Row],[Quantity]]&lt;&gt;"",Table1[[#This Row],[Currency]]="EUR"),Table1[[#This Row],[Quantity]]*Table1[[#This Row],[Unit Price]],""),"")</f>
        <v/>
      </c>
      <c r="S360" s="280" t="str">
        <f ca="1">IFERROR(IF(AND(Table1[[#This Row],[ACT_Qty]]&lt;&gt;"",Table1[[#This Row],[Currency]]="EUR"),Table1[[#This Row],[ACT_Qty]]*Table1[[#This Row],[Unit Price]],""),"")</f>
        <v/>
      </c>
      <c r="T360" s="281" t="str">
        <f ca="1">IFERROR(IF(AND(($N$3&lt;&gt;""),INDIRECT(Aux!$D$1)),VLOOKUP(Table1[[#This Row],[Product code]],Aux!B:E,4,FALSE),""),"")</f>
        <v/>
      </c>
      <c r="U360" s="206" t="str">
        <f>IFERROR(IF(OR(Table1[[#This Row],[Quantity]]&lt;&gt;"",Table1[[#This Row],[ACT_Qty]]&lt;&gt;""),Table1[[#This Row],[ACT_Qty]]-Table1[[#This Row],[Quantity]],""),"")</f>
        <v/>
      </c>
      <c r="V360" s="282"/>
      <c r="W360" s="282"/>
      <c r="X360" s="282"/>
    </row>
    <row r="361" spans="1:24" ht="15" customHeight="1">
      <c r="A361" s="227" t="str">
        <f t="shared" si="24"/>
        <v>AKH12345</v>
      </c>
      <c r="B361" s="258" t="s">
        <v>1036</v>
      </c>
      <c r="C361" s="227" t="s">
        <v>1037</v>
      </c>
      <c r="D361" s="105"/>
      <c r="E361" s="106"/>
      <c r="F361" s="105"/>
      <c r="G361" s="106"/>
      <c r="H361" s="201" t="s">
        <v>1038</v>
      </c>
      <c r="I361" s="202" t="s">
        <v>961</v>
      </c>
      <c r="J361" s="202" t="s">
        <v>609</v>
      </c>
      <c r="K361" s="202" t="s">
        <v>52</v>
      </c>
      <c r="L361" s="203" t="s">
        <v>610</v>
      </c>
      <c r="M361" s="203" t="str">
        <f>IF($C$3&lt;&gt;"",$C$3,"")</f>
        <v>OneCo Networks AS</v>
      </c>
      <c r="N36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1" s="284" t="str">
        <f ca="1">IFERROR(IF(
OR(Table1[[#This Row],[Product category]]="Service items",Table1[[#This Row],[Product category]]="Additional services",Table1[[#This Row],[Product category]]="Additional materials"),
"NOK",IF(($N$3&lt;&gt;""),VLOOKUP(Table1[[#This Row],[Product code]],INDIRECT(Aux!$A$1),6,FALSE),"")),"")</f>
        <v/>
      </c>
      <c r="P361" s="285" t="str">
        <f ca="1">IFERROR(IF(AND(Table1[[#This Row],[Quantity]]&lt;&gt;"",Table1[[#This Row],[Currency]]="NOK"),Table1[[#This Row],[Quantity]]*Table1[[#This Row],[Unit Price]],""),"")</f>
        <v/>
      </c>
      <c r="Q361" s="285" t="str">
        <f ca="1">IFERROR(IF(AND(Table1[[#This Row],[ACT_Qty]]&lt;&gt;"",Table1[[#This Row],[Currency]]="NOK"),Table1[[#This Row],[ACT_Qty]]*Table1[[#This Row],[Unit Price]],""),"")</f>
        <v/>
      </c>
      <c r="R361" s="285" t="str">
        <f ca="1">IFERROR(IF(AND(Table1[[#This Row],[Quantity]]&lt;&gt;"",Table1[[#This Row],[Currency]]="EUR"),Table1[[#This Row],[Quantity]]*Table1[[#This Row],[Unit Price]],""),"")</f>
        <v/>
      </c>
      <c r="S361" s="285" t="str">
        <f ca="1">IFERROR(IF(AND(Table1[[#This Row],[ACT_Qty]]&lt;&gt;"",Table1[[#This Row],[Currency]]="EUR"),Table1[[#This Row],[ACT_Qty]]*Table1[[#This Row],[Unit Price]],""),"")</f>
        <v/>
      </c>
      <c r="T361" s="286" t="str">
        <f ca="1">IFERROR(IF(AND(($N$3&lt;&gt;""),INDIRECT(Aux!$D$1)),VLOOKUP(Table1[[#This Row],[Product code]],Aux!B:E,4,FALSE),""),"")</f>
        <v/>
      </c>
      <c r="U361" s="203" t="str">
        <f>IFERROR(IF(OR(Table1[[#This Row],[Quantity]]&lt;&gt;"",Table1[[#This Row],[ACT_Qty]]&lt;&gt;""),Table1[[#This Row],[ACT_Qty]]-Table1[[#This Row],[Quantity]],""),"")</f>
        <v/>
      </c>
      <c r="V361" s="287"/>
      <c r="W361" s="287"/>
      <c r="X361" s="287"/>
    </row>
    <row r="362" spans="1:24" ht="15" customHeight="1">
      <c r="A362" s="228" t="str">
        <f t="shared" si="24"/>
        <v>AKH12345</v>
      </c>
      <c r="B362" s="259" t="s">
        <v>1039</v>
      </c>
      <c r="C362" s="228" t="s">
        <v>1040</v>
      </c>
      <c r="D362" s="105"/>
      <c r="E362" s="106"/>
      <c r="F362" s="105"/>
      <c r="G362" s="106"/>
      <c r="H362" s="204" t="s">
        <v>960</v>
      </c>
      <c r="I362" s="205" t="s">
        <v>961</v>
      </c>
      <c r="J362" s="205" t="s">
        <v>609</v>
      </c>
      <c r="K362" s="205" t="s">
        <v>52</v>
      </c>
      <c r="L362" s="206" t="s">
        <v>645</v>
      </c>
      <c r="M362" s="206" t="str">
        <f>IF($C$3&lt;&gt;"",$C$3,"")</f>
        <v>OneCo Networks AS</v>
      </c>
      <c r="N36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2" s="279" t="str">
        <f ca="1">IFERROR(IF(
OR(Table1[[#This Row],[Product category]]="Service items",Table1[[#This Row],[Product category]]="Additional services",Table1[[#This Row],[Product category]]="Additional materials"),
"NOK",IF(($N$3&lt;&gt;""),VLOOKUP(Table1[[#This Row],[Product code]],INDIRECT(Aux!$A$1),6,FALSE),"")),"")</f>
        <v/>
      </c>
      <c r="P362" s="280" t="str">
        <f ca="1">IFERROR(IF(AND(Table1[[#This Row],[Quantity]]&lt;&gt;"",Table1[[#This Row],[Currency]]="NOK"),Table1[[#This Row],[Quantity]]*Table1[[#This Row],[Unit Price]],""),"")</f>
        <v/>
      </c>
      <c r="Q362" s="280" t="str">
        <f ca="1">IFERROR(IF(AND(Table1[[#This Row],[ACT_Qty]]&lt;&gt;"",Table1[[#This Row],[Currency]]="NOK"),Table1[[#This Row],[ACT_Qty]]*Table1[[#This Row],[Unit Price]],""),"")</f>
        <v/>
      </c>
      <c r="R362" s="280" t="str">
        <f ca="1">IFERROR(IF(AND(Table1[[#This Row],[Quantity]]&lt;&gt;"",Table1[[#This Row],[Currency]]="EUR"),Table1[[#This Row],[Quantity]]*Table1[[#This Row],[Unit Price]],""),"")</f>
        <v/>
      </c>
      <c r="S362" s="280" t="str">
        <f ca="1">IFERROR(IF(AND(Table1[[#This Row],[ACT_Qty]]&lt;&gt;"",Table1[[#This Row],[Currency]]="EUR"),Table1[[#This Row],[ACT_Qty]]*Table1[[#This Row],[Unit Price]],""),"")</f>
        <v/>
      </c>
      <c r="T362" s="281" t="str">
        <f ca="1">IFERROR(IF(AND(($N$3&lt;&gt;""),INDIRECT(Aux!$D$1)),VLOOKUP(Table1[[#This Row],[Product code]],Aux!B:E,4,FALSE),""),"")</f>
        <v/>
      </c>
      <c r="U362" s="206" t="str">
        <f>IFERROR(IF(OR(Table1[[#This Row],[Quantity]]&lt;&gt;"",Table1[[#This Row],[ACT_Qty]]&lt;&gt;""),Table1[[#This Row],[ACT_Qty]]-Table1[[#This Row],[Quantity]],""),"")</f>
        <v/>
      </c>
      <c r="V362" s="282"/>
      <c r="W362" s="282"/>
      <c r="X362" s="282"/>
    </row>
    <row r="363" spans="1:24" ht="15" customHeight="1">
      <c r="A363" s="227" t="str">
        <f t="shared" si="24"/>
        <v>AKH12345</v>
      </c>
      <c r="B363" s="258" t="s">
        <v>1041</v>
      </c>
      <c r="C363" s="227" t="s">
        <v>1042</v>
      </c>
      <c r="D363" s="105"/>
      <c r="E363" s="106"/>
      <c r="F363" s="105"/>
      <c r="G363" s="106"/>
      <c r="H363" s="201" t="s">
        <v>960</v>
      </c>
      <c r="I363" s="202" t="s">
        <v>961</v>
      </c>
      <c r="J363" s="202" t="s">
        <v>609</v>
      </c>
      <c r="K363" s="202" t="s">
        <v>52</v>
      </c>
      <c r="L363" s="203" t="s">
        <v>339</v>
      </c>
      <c r="M363" s="203" t="str">
        <f t="shared" si="25"/>
        <v>OneCo Networks AS</v>
      </c>
      <c r="N36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3" s="284" t="str">
        <f ca="1">IFERROR(IF(
OR(Table1[[#This Row],[Product category]]="Service items",Table1[[#This Row],[Product category]]="Additional services",Table1[[#This Row],[Product category]]="Additional materials"),
"NOK",IF(($N$3&lt;&gt;""),VLOOKUP(Table1[[#This Row],[Product code]],INDIRECT(Aux!$A$1),6,FALSE),"")),"")</f>
        <v/>
      </c>
      <c r="P363" s="285" t="str">
        <f ca="1">IFERROR(IF(AND(Table1[[#This Row],[Quantity]]&lt;&gt;"",Table1[[#This Row],[Currency]]="NOK"),Table1[[#This Row],[Quantity]]*Table1[[#This Row],[Unit Price]],""),"")</f>
        <v/>
      </c>
      <c r="Q363" s="285" t="str">
        <f ca="1">IFERROR(IF(AND(Table1[[#This Row],[ACT_Qty]]&lt;&gt;"",Table1[[#This Row],[Currency]]="NOK"),Table1[[#This Row],[ACT_Qty]]*Table1[[#This Row],[Unit Price]],""),"")</f>
        <v/>
      </c>
      <c r="R363" s="285" t="str">
        <f ca="1">IFERROR(IF(AND(Table1[[#This Row],[Quantity]]&lt;&gt;"",Table1[[#This Row],[Currency]]="EUR"),Table1[[#This Row],[Quantity]]*Table1[[#This Row],[Unit Price]],""),"")</f>
        <v/>
      </c>
      <c r="S363" s="285" t="str">
        <f ca="1">IFERROR(IF(AND(Table1[[#This Row],[ACT_Qty]]&lt;&gt;"",Table1[[#This Row],[Currency]]="EUR"),Table1[[#This Row],[ACT_Qty]]*Table1[[#This Row],[Unit Price]],""),"")</f>
        <v/>
      </c>
      <c r="T363" s="286" t="str">
        <f ca="1">IFERROR(IF(AND(($N$3&lt;&gt;""),INDIRECT(Aux!$D$1)),VLOOKUP(Table1[[#This Row],[Product code]],Aux!B:E,4,FALSE),""),"")</f>
        <v/>
      </c>
      <c r="U363" s="203" t="str">
        <f>IFERROR(IF(OR(Table1[[#This Row],[Quantity]]&lt;&gt;"",Table1[[#This Row],[ACT_Qty]]&lt;&gt;""),Table1[[#This Row],[ACT_Qty]]-Table1[[#This Row],[Quantity]],""),"")</f>
        <v/>
      </c>
      <c r="V363" s="287"/>
      <c r="W363" s="287"/>
      <c r="X363" s="287"/>
    </row>
    <row r="364" spans="1:24" ht="15" customHeight="1">
      <c r="A364" s="228" t="str">
        <f t="shared" si="24"/>
        <v>AKH12345</v>
      </c>
      <c r="B364" s="259" t="s">
        <v>1043</v>
      </c>
      <c r="C364" s="228" t="s">
        <v>1044</v>
      </c>
      <c r="D364" s="105"/>
      <c r="E364" s="106"/>
      <c r="F364" s="105"/>
      <c r="G364" s="106"/>
      <c r="H364" s="204" t="s">
        <v>960</v>
      </c>
      <c r="I364" s="205" t="s">
        <v>961</v>
      </c>
      <c r="J364" s="205" t="s">
        <v>962</v>
      </c>
      <c r="K364" s="205" t="s">
        <v>52</v>
      </c>
      <c r="L364" s="206" t="s">
        <v>645</v>
      </c>
      <c r="M364" s="206" t="str">
        <f t="shared" si="25"/>
        <v>OneCo Networks AS</v>
      </c>
      <c r="N36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4" s="279" t="str">
        <f ca="1">IFERROR(IF(
OR(Table1[[#This Row],[Product category]]="Service items",Table1[[#This Row],[Product category]]="Additional services",Table1[[#This Row],[Product category]]="Additional materials"),
"NOK",IF(($N$3&lt;&gt;""),VLOOKUP(Table1[[#This Row],[Product code]],INDIRECT(Aux!$A$1),6,FALSE),"")),"")</f>
        <v/>
      </c>
      <c r="P364" s="280" t="str">
        <f ca="1">IFERROR(IF(AND(Table1[[#This Row],[Quantity]]&lt;&gt;"",Table1[[#This Row],[Currency]]="NOK"),Table1[[#This Row],[Quantity]]*Table1[[#This Row],[Unit Price]],""),"")</f>
        <v/>
      </c>
      <c r="Q364" s="280" t="str">
        <f ca="1">IFERROR(IF(AND(Table1[[#This Row],[ACT_Qty]]&lt;&gt;"",Table1[[#This Row],[Currency]]="NOK"),Table1[[#This Row],[ACT_Qty]]*Table1[[#This Row],[Unit Price]],""),"")</f>
        <v/>
      </c>
      <c r="R364" s="280" t="str">
        <f ca="1">IFERROR(IF(AND(Table1[[#This Row],[Quantity]]&lt;&gt;"",Table1[[#This Row],[Currency]]="EUR"),Table1[[#This Row],[Quantity]]*Table1[[#This Row],[Unit Price]],""),"")</f>
        <v/>
      </c>
      <c r="S364" s="280" t="str">
        <f ca="1">IFERROR(IF(AND(Table1[[#This Row],[ACT_Qty]]&lt;&gt;"",Table1[[#This Row],[Currency]]="EUR"),Table1[[#This Row],[ACT_Qty]]*Table1[[#This Row],[Unit Price]],""),"")</f>
        <v/>
      </c>
      <c r="T364" s="281" t="str">
        <f ca="1">IFERROR(IF(AND(($N$3&lt;&gt;""),INDIRECT(Aux!$D$1)),VLOOKUP(Table1[[#This Row],[Product code]],Aux!B:E,4,FALSE),""),"")</f>
        <v/>
      </c>
      <c r="U364" s="206" t="str">
        <f>IFERROR(IF(OR(Table1[[#This Row],[Quantity]]&lt;&gt;"",Table1[[#This Row],[ACT_Qty]]&lt;&gt;""),Table1[[#This Row],[ACT_Qty]]-Table1[[#This Row],[Quantity]],""),"")</f>
        <v/>
      </c>
      <c r="V364" s="282"/>
      <c r="W364" s="282"/>
      <c r="X364" s="282"/>
    </row>
    <row r="365" spans="1:24" ht="15" customHeight="1">
      <c r="A365" s="227" t="str">
        <f t="shared" si="24"/>
        <v>AKH12345</v>
      </c>
      <c r="B365" s="258" t="s">
        <v>1045</v>
      </c>
      <c r="C365" s="227" t="s">
        <v>1046</v>
      </c>
      <c r="D365" s="105"/>
      <c r="E365" s="106"/>
      <c r="F365" s="105"/>
      <c r="G365" s="106"/>
      <c r="H365" s="201" t="s">
        <v>960</v>
      </c>
      <c r="I365" s="202" t="s">
        <v>961</v>
      </c>
      <c r="J365" s="202" t="s">
        <v>962</v>
      </c>
      <c r="K365" s="202" t="s">
        <v>52</v>
      </c>
      <c r="L365" s="203" t="s">
        <v>645</v>
      </c>
      <c r="M365" s="203" t="str">
        <f t="shared" si="25"/>
        <v>OneCo Networks AS</v>
      </c>
      <c r="N36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5" s="284" t="str">
        <f ca="1">IFERROR(IF(
OR(Table1[[#This Row],[Product category]]="Service items",Table1[[#This Row],[Product category]]="Additional services",Table1[[#This Row],[Product category]]="Additional materials"),
"NOK",IF(($N$3&lt;&gt;""),VLOOKUP(Table1[[#This Row],[Product code]],INDIRECT(Aux!$A$1),6,FALSE),"")),"")</f>
        <v/>
      </c>
      <c r="P365" s="285" t="str">
        <f ca="1">IFERROR(IF(AND(Table1[[#This Row],[Quantity]]&lt;&gt;"",Table1[[#This Row],[Currency]]="NOK"),Table1[[#This Row],[Quantity]]*Table1[[#This Row],[Unit Price]],""),"")</f>
        <v/>
      </c>
      <c r="Q365" s="285" t="str">
        <f ca="1">IFERROR(IF(AND(Table1[[#This Row],[ACT_Qty]]&lt;&gt;"",Table1[[#This Row],[Currency]]="NOK"),Table1[[#This Row],[ACT_Qty]]*Table1[[#This Row],[Unit Price]],""),"")</f>
        <v/>
      </c>
      <c r="R365" s="285" t="str">
        <f ca="1">IFERROR(IF(AND(Table1[[#This Row],[Quantity]]&lt;&gt;"",Table1[[#This Row],[Currency]]="EUR"),Table1[[#This Row],[Quantity]]*Table1[[#This Row],[Unit Price]],""),"")</f>
        <v/>
      </c>
      <c r="S365" s="285" t="str">
        <f ca="1">IFERROR(IF(AND(Table1[[#This Row],[ACT_Qty]]&lt;&gt;"",Table1[[#This Row],[Currency]]="EUR"),Table1[[#This Row],[ACT_Qty]]*Table1[[#This Row],[Unit Price]],""),"")</f>
        <v/>
      </c>
      <c r="T365" s="286" t="str">
        <f ca="1">IFERROR(IF(AND(($N$3&lt;&gt;""),INDIRECT(Aux!$D$1)),VLOOKUP(Table1[[#This Row],[Product code]],Aux!B:E,4,FALSE),""),"")</f>
        <v/>
      </c>
      <c r="U365" s="203" t="str">
        <f>IFERROR(IF(OR(Table1[[#This Row],[Quantity]]&lt;&gt;"",Table1[[#This Row],[ACT_Qty]]&lt;&gt;""),Table1[[#This Row],[ACT_Qty]]-Table1[[#This Row],[Quantity]],""),"")</f>
        <v/>
      </c>
      <c r="V365" s="287"/>
      <c r="W365" s="287"/>
      <c r="X365" s="287"/>
    </row>
    <row r="366" spans="1:24" ht="15" customHeight="1">
      <c r="A366" s="228" t="str">
        <f t="shared" si="24"/>
        <v>AKH12345</v>
      </c>
      <c r="B366" s="259" t="s">
        <v>1047</v>
      </c>
      <c r="C366" s="228" t="s">
        <v>1048</v>
      </c>
      <c r="D366" s="105"/>
      <c r="E366" s="106"/>
      <c r="F366" s="105"/>
      <c r="G366" s="106"/>
      <c r="H366" s="204" t="s">
        <v>960</v>
      </c>
      <c r="I366" s="205" t="s">
        <v>961</v>
      </c>
      <c r="J366" s="205" t="s">
        <v>962</v>
      </c>
      <c r="K366" s="205" t="s">
        <v>52</v>
      </c>
      <c r="L366" s="206" t="s">
        <v>645</v>
      </c>
      <c r="M366" s="206" t="str">
        <f>IF($C$3&lt;&gt;"",$C$3,"")</f>
        <v>OneCo Networks AS</v>
      </c>
      <c r="N36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6" s="279" t="str">
        <f ca="1">IFERROR(IF(
OR(Table1[[#This Row],[Product category]]="Service items",Table1[[#This Row],[Product category]]="Additional services",Table1[[#This Row],[Product category]]="Additional materials"),
"NOK",IF(($N$3&lt;&gt;""),VLOOKUP(Table1[[#This Row],[Product code]],INDIRECT(Aux!$A$1),6,FALSE),"")),"")</f>
        <v/>
      </c>
      <c r="P366" s="280" t="str">
        <f ca="1">IFERROR(IF(AND(Table1[[#This Row],[Quantity]]&lt;&gt;"",Table1[[#This Row],[Currency]]="NOK"),Table1[[#This Row],[Quantity]]*Table1[[#This Row],[Unit Price]],""),"")</f>
        <v/>
      </c>
      <c r="Q366" s="280" t="str">
        <f ca="1">IFERROR(IF(AND(Table1[[#This Row],[ACT_Qty]]&lt;&gt;"",Table1[[#This Row],[Currency]]="NOK"),Table1[[#This Row],[ACT_Qty]]*Table1[[#This Row],[Unit Price]],""),"")</f>
        <v/>
      </c>
      <c r="R366" s="280" t="str">
        <f ca="1">IFERROR(IF(AND(Table1[[#This Row],[Quantity]]&lt;&gt;"",Table1[[#This Row],[Currency]]="EUR"),Table1[[#This Row],[Quantity]]*Table1[[#This Row],[Unit Price]],""),"")</f>
        <v/>
      </c>
      <c r="S366" s="280" t="str">
        <f ca="1">IFERROR(IF(AND(Table1[[#This Row],[ACT_Qty]]&lt;&gt;"",Table1[[#This Row],[Currency]]="EUR"),Table1[[#This Row],[ACT_Qty]]*Table1[[#This Row],[Unit Price]],""),"")</f>
        <v/>
      </c>
      <c r="T366" s="281" t="str">
        <f ca="1">IFERROR(IF(AND(($N$3&lt;&gt;""),INDIRECT(Aux!$D$1)),VLOOKUP(Table1[[#This Row],[Product code]],Aux!B:E,4,FALSE),""),"")</f>
        <v/>
      </c>
      <c r="U366" s="206" t="str">
        <f>IFERROR(IF(OR(Table1[[#This Row],[Quantity]]&lt;&gt;"",Table1[[#This Row],[ACT_Qty]]&lt;&gt;""),Table1[[#This Row],[ACT_Qty]]-Table1[[#This Row],[Quantity]],""),"")</f>
        <v/>
      </c>
      <c r="V366" s="282"/>
      <c r="W366" s="282"/>
      <c r="X366" s="282"/>
    </row>
    <row r="367" spans="1:24" ht="15" customHeight="1">
      <c r="A367" s="227" t="str">
        <f t="shared" si="24"/>
        <v>AKH12345</v>
      </c>
      <c r="B367" s="258" t="s">
        <v>1049</v>
      </c>
      <c r="C367" s="227" t="s">
        <v>1050</v>
      </c>
      <c r="D367" s="105"/>
      <c r="E367" s="106"/>
      <c r="F367" s="105"/>
      <c r="G367" s="106"/>
      <c r="H367" s="201" t="s">
        <v>960</v>
      </c>
      <c r="I367" s="202" t="s">
        <v>961</v>
      </c>
      <c r="J367" s="202" t="s">
        <v>962</v>
      </c>
      <c r="K367" s="202" t="s">
        <v>52</v>
      </c>
      <c r="L367" s="203" t="s">
        <v>152</v>
      </c>
      <c r="M367" s="203" t="str">
        <f t="shared" si="25"/>
        <v>OneCo Networks AS</v>
      </c>
      <c r="N36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7" s="284" t="str">
        <f ca="1">IFERROR(IF(
OR(Table1[[#This Row],[Product category]]="Service items",Table1[[#This Row],[Product category]]="Additional services",Table1[[#This Row],[Product category]]="Additional materials"),
"NOK",IF(($N$3&lt;&gt;""),VLOOKUP(Table1[[#This Row],[Product code]],INDIRECT(Aux!$A$1),6,FALSE),"")),"")</f>
        <v/>
      </c>
      <c r="P367" s="285" t="str">
        <f ca="1">IFERROR(IF(AND(Table1[[#This Row],[Quantity]]&lt;&gt;"",Table1[[#This Row],[Currency]]="NOK"),Table1[[#This Row],[Quantity]]*Table1[[#This Row],[Unit Price]],""),"")</f>
        <v/>
      </c>
      <c r="Q367" s="285" t="str">
        <f ca="1">IFERROR(IF(AND(Table1[[#This Row],[ACT_Qty]]&lt;&gt;"",Table1[[#This Row],[Currency]]="NOK"),Table1[[#This Row],[ACT_Qty]]*Table1[[#This Row],[Unit Price]],""),"")</f>
        <v/>
      </c>
      <c r="R367" s="285" t="str">
        <f ca="1">IFERROR(IF(AND(Table1[[#This Row],[Quantity]]&lt;&gt;"",Table1[[#This Row],[Currency]]="EUR"),Table1[[#This Row],[Quantity]]*Table1[[#This Row],[Unit Price]],""),"")</f>
        <v/>
      </c>
      <c r="S367" s="285" t="str">
        <f ca="1">IFERROR(IF(AND(Table1[[#This Row],[ACT_Qty]]&lt;&gt;"",Table1[[#This Row],[Currency]]="EUR"),Table1[[#This Row],[ACT_Qty]]*Table1[[#This Row],[Unit Price]],""),"")</f>
        <v/>
      </c>
      <c r="T367" s="286" t="str">
        <f ca="1">IFERROR(IF(AND(($N$3&lt;&gt;""),INDIRECT(Aux!$D$1)),VLOOKUP(Table1[[#This Row],[Product code]],Aux!B:E,4,FALSE),""),"")</f>
        <v/>
      </c>
      <c r="U367" s="203" t="str">
        <f>IFERROR(IF(OR(Table1[[#This Row],[Quantity]]&lt;&gt;"",Table1[[#This Row],[ACT_Qty]]&lt;&gt;""),Table1[[#This Row],[ACT_Qty]]-Table1[[#This Row],[Quantity]],""),"")</f>
        <v/>
      </c>
      <c r="V367" s="287"/>
      <c r="W367" s="287"/>
      <c r="X367" s="287"/>
    </row>
    <row r="368" spans="1:24" ht="15" customHeight="1">
      <c r="A368" s="228" t="str">
        <f t="shared" si="24"/>
        <v>AKH12345</v>
      </c>
      <c r="B368" s="259" t="s">
        <v>1051</v>
      </c>
      <c r="C368" s="228" t="s">
        <v>1052</v>
      </c>
      <c r="D368" s="105"/>
      <c r="E368" s="106"/>
      <c r="F368" s="105"/>
      <c r="G368" s="106"/>
      <c r="H368" s="204" t="s">
        <v>960</v>
      </c>
      <c r="I368" s="205" t="s">
        <v>961</v>
      </c>
      <c r="J368" s="205" t="s">
        <v>962</v>
      </c>
      <c r="K368" s="205" t="s">
        <v>52</v>
      </c>
      <c r="L368" s="206" t="s">
        <v>645</v>
      </c>
      <c r="M368" s="206" t="str">
        <f t="shared" si="25"/>
        <v>OneCo Networks AS</v>
      </c>
      <c r="N36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8" s="279" t="str">
        <f ca="1">IFERROR(IF(
OR(Table1[[#This Row],[Product category]]="Service items",Table1[[#This Row],[Product category]]="Additional services",Table1[[#This Row],[Product category]]="Additional materials"),
"NOK",IF(($N$3&lt;&gt;""),VLOOKUP(Table1[[#This Row],[Product code]],INDIRECT(Aux!$A$1),6,FALSE),"")),"")</f>
        <v/>
      </c>
      <c r="P368" s="280" t="str">
        <f ca="1">IFERROR(IF(AND(Table1[[#This Row],[Quantity]]&lt;&gt;"",Table1[[#This Row],[Currency]]="NOK"),Table1[[#This Row],[Quantity]]*Table1[[#This Row],[Unit Price]],""),"")</f>
        <v/>
      </c>
      <c r="Q368" s="280" t="str">
        <f ca="1">IFERROR(IF(AND(Table1[[#This Row],[ACT_Qty]]&lt;&gt;"",Table1[[#This Row],[Currency]]="NOK"),Table1[[#This Row],[ACT_Qty]]*Table1[[#This Row],[Unit Price]],""),"")</f>
        <v/>
      </c>
      <c r="R368" s="280" t="str">
        <f ca="1">IFERROR(IF(AND(Table1[[#This Row],[Quantity]]&lt;&gt;"",Table1[[#This Row],[Currency]]="EUR"),Table1[[#This Row],[Quantity]]*Table1[[#This Row],[Unit Price]],""),"")</f>
        <v/>
      </c>
      <c r="S368" s="280" t="str">
        <f ca="1">IFERROR(IF(AND(Table1[[#This Row],[ACT_Qty]]&lt;&gt;"",Table1[[#This Row],[Currency]]="EUR"),Table1[[#This Row],[ACT_Qty]]*Table1[[#This Row],[Unit Price]],""),"")</f>
        <v/>
      </c>
      <c r="T368" s="281" t="str">
        <f ca="1">IFERROR(IF(AND(($N$3&lt;&gt;""),INDIRECT(Aux!$D$1)),VLOOKUP(Table1[[#This Row],[Product code]],Aux!B:E,4,FALSE),""),"")</f>
        <v/>
      </c>
      <c r="U368" s="206" t="str">
        <f>IFERROR(IF(OR(Table1[[#This Row],[Quantity]]&lt;&gt;"",Table1[[#This Row],[ACT_Qty]]&lt;&gt;""),Table1[[#This Row],[ACT_Qty]]-Table1[[#This Row],[Quantity]],""),"")</f>
        <v/>
      </c>
      <c r="V368" s="282"/>
      <c r="W368" s="282"/>
      <c r="X368" s="282"/>
    </row>
    <row r="369" spans="1:24" ht="15" customHeight="1">
      <c r="A369" s="227" t="str">
        <f t="shared" si="24"/>
        <v>AKH12345</v>
      </c>
      <c r="B369" s="258" t="s">
        <v>1053</v>
      </c>
      <c r="C369" s="227" t="s">
        <v>1054</v>
      </c>
      <c r="D369" s="105"/>
      <c r="E369" s="106"/>
      <c r="F369" s="105"/>
      <c r="G369" s="106"/>
      <c r="H369" s="201" t="s">
        <v>960</v>
      </c>
      <c r="I369" s="202" t="s">
        <v>961</v>
      </c>
      <c r="J369" s="202" t="s">
        <v>962</v>
      </c>
      <c r="K369" s="202" t="s">
        <v>52</v>
      </c>
      <c r="L369" s="203" t="s">
        <v>645</v>
      </c>
      <c r="M369" s="203" t="str">
        <f t="shared" si="25"/>
        <v>OneCo Networks AS</v>
      </c>
      <c r="N36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69" s="284" t="str">
        <f ca="1">IFERROR(IF(
OR(Table1[[#This Row],[Product category]]="Service items",Table1[[#This Row],[Product category]]="Additional services",Table1[[#This Row],[Product category]]="Additional materials"),
"NOK",IF(($N$3&lt;&gt;""),VLOOKUP(Table1[[#This Row],[Product code]],INDIRECT(Aux!$A$1),6,FALSE),"")),"")</f>
        <v/>
      </c>
      <c r="P369" s="285" t="str">
        <f ca="1">IFERROR(IF(AND(Table1[[#This Row],[Quantity]]&lt;&gt;"",Table1[[#This Row],[Currency]]="NOK"),Table1[[#This Row],[Quantity]]*Table1[[#This Row],[Unit Price]],""),"")</f>
        <v/>
      </c>
      <c r="Q369" s="285" t="str">
        <f ca="1">IFERROR(IF(AND(Table1[[#This Row],[ACT_Qty]]&lt;&gt;"",Table1[[#This Row],[Currency]]="NOK"),Table1[[#This Row],[ACT_Qty]]*Table1[[#This Row],[Unit Price]],""),"")</f>
        <v/>
      </c>
      <c r="R369" s="285" t="str">
        <f ca="1">IFERROR(IF(AND(Table1[[#This Row],[Quantity]]&lt;&gt;"",Table1[[#This Row],[Currency]]="EUR"),Table1[[#This Row],[Quantity]]*Table1[[#This Row],[Unit Price]],""),"")</f>
        <v/>
      </c>
      <c r="S369" s="285" t="str">
        <f ca="1">IFERROR(IF(AND(Table1[[#This Row],[ACT_Qty]]&lt;&gt;"",Table1[[#This Row],[Currency]]="EUR"),Table1[[#This Row],[ACT_Qty]]*Table1[[#This Row],[Unit Price]],""),"")</f>
        <v/>
      </c>
      <c r="T369" s="286" t="str">
        <f ca="1">IFERROR(IF(AND(($N$3&lt;&gt;""),INDIRECT(Aux!$D$1)),VLOOKUP(Table1[[#This Row],[Product code]],Aux!B:E,4,FALSE),""),"")</f>
        <v/>
      </c>
      <c r="U369" s="203" t="str">
        <f>IFERROR(IF(OR(Table1[[#This Row],[Quantity]]&lt;&gt;"",Table1[[#This Row],[ACT_Qty]]&lt;&gt;""),Table1[[#This Row],[ACT_Qty]]-Table1[[#This Row],[Quantity]],""),"")</f>
        <v/>
      </c>
      <c r="V369" s="287"/>
      <c r="W369" s="287"/>
      <c r="X369" s="287"/>
    </row>
    <row r="370" spans="1:24" ht="15" customHeight="1">
      <c r="A370" s="228" t="str">
        <f t="shared" si="24"/>
        <v>AKH12345</v>
      </c>
      <c r="B370" s="259" t="s">
        <v>1055</v>
      </c>
      <c r="C370" s="228" t="s">
        <v>1056</v>
      </c>
      <c r="D370" s="105"/>
      <c r="E370" s="106"/>
      <c r="F370" s="105"/>
      <c r="G370" s="106"/>
      <c r="H370" s="204" t="s">
        <v>1057</v>
      </c>
      <c r="I370" s="205" t="s">
        <v>961</v>
      </c>
      <c r="J370" s="205" t="s">
        <v>1058</v>
      </c>
      <c r="K370" s="205" t="s">
        <v>52</v>
      </c>
      <c r="L370" s="206" t="s">
        <v>53</v>
      </c>
      <c r="M370" s="206" t="str">
        <f t="shared" si="25"/>
        <v>OneCo Networks AS</v>
      </c>
      <c r="N37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0" s="279" t="str">
        <f ca="1">IFERROR(IF(
OR(Table1[[#This Row],[Product category]]="Service items",Table1[[#This Row],[Product category]]="Additional services",Table1[[#This Row],[Product category]]="Additional materials"),
"NOK",IF(($N$3&lt;&gt;""),VLOOKUP(Table1[[#This Row],[Product code]],INDIRECT(Aux!$A$1),6,FALSE),"")),"")</f>
        <v/>
      </c>
      <c r="P370" s="280" t="str">
        <f ca="1">IFERROR(IF(AND(Table1[[#This Row],[Quantity]]&lt;&gt;"",Table1[[#This Row],[Currency]]="NOK"),Table1[[#This Row],[Quantity]]*Table1[[#This Row],[Unit Price]],""),"")</f>
        <v/>
      </c>
      <c r="Q370" s="280" t="str">
        <f ca="1">IFERROR(IF(AND(Table1[[#This Row],[ACT_Qty]]&lt;&gt;"",Table1[[#This Row],[Currency]]="NOK"),Table1[[#This Row],[ACT_Qty]]*Table1[[#This Row],[Unit Price]],""),"")</f>
        <v/>
      </c>
      <c r="R370" s="280" t="str">
        <f ca="1">IFERROR(IF(AND(Table1[[#This Row],[Quantity]]&lt;&gt;"",Table1[[#This Row],[Currency]]="EUR"),Table1[[#This Row],[Quantity]]*Table1[[#This Row],[Unit Price]],""),"")</f>
        <v/>
      </c>
      <c r="S370" s="280" t="str">
        <f ca="1">IFERROR(IF(AND(Table1[[#This Row],[ACT_Qty]]&lt;&gt;"",Table1[[#This Row],[Currency]]="EUR"),Table1[[#This Row],[ACT_Qty]]*Table1[[#This Row],[Unit Price]],""),"")</f>
        <v/>
      </c>
      <c r="T370" s="281" t="str">
        <f ca="1">IFERROR(IF(AND(($N$3&lt;&gt;""),INDIRECT(Aux!$D$1)),VLOOKUP(Table1[[#This Row],[Product code]],Aux!B:E,4,FALSE),""),"")</f>
        <v/>
      </c>
      <c r="U370" s="206" t="str">
        <f>IFERROR(IF(OR(Table1[[#This Row],[Quantity]]&lt;&gt;"",Table1[[#This Row],[ACT_Qty]]&lt;&gt;""),Table1[[#This Row],[ACT_Qty]]-Table1[[#This Row],[Quantity]],""),"")</f>
        <v/>
      </c>
      <c r="V370" s="282"/>
      <c r="W370" s="282"/>
      <c r="X370" s="282"/>
    </row>
    <row r="371" spans="1:24" ht="15" customHeight="1">
      <c r="A371" s="227" t="str">
        <f t="shared" si="24"/>
        <v>AKH12345</v>
      </c>
      <c r="B371" s="258" t="s">
        <v>1059</v>
      </c>
      <c r="C371" s="227" t="s">
        <v>1060</v>
      </c>
      <c r="D371" s="105"/>
      <c r="E371" s="106"/>
      <c r="F371" s="105"/>
      <c r="G371" s="106"/>
      <c r="H371" s="201" t="s">
        <v>1061</v>
      </c>
      <c r="I371" s="202" t="s">
        <v>961</v>
      </c>
      <c r="J371" s="202" t="s">
        <v>1062</v>
      </c>
      <c r="K371" s="202" t="s">
        <v>52</v>
      </c>
      <c r="L371" s="203" t="s">
        <v>1063</v>
      </c>
      <c r="M371" s="203" t="str">
        <f t="shared" si="25"/>
        <v>OneCo Networks AS</v>
      </c>
      <c r="N37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1" s="284" t="str">
        <f ca="1">IFERROR(IF(
OR(Table1[[#This Row],[Product category]]="Service items",Table1[[#This Row],[Product category]]="Additional services",Table1[[#This Row],[Product category]]="Additional materials"),
"NOK",IF(($N$3&lt;&gt;""),VLOOKUP(Table1[[#This Row],[Product code]],INDIRECT(Aux!$A$1),6,FALSE),"")),"")</f>
        <v/>
      </c>
      <c r="P371" s="285" t="str">
        <f ca="1">IFERROR(IF(AND(Table1[[#This Row],[Quantity]]&lt;&gt;"",Table1[[#This Row],[Currency]]="NOK"),Table1[[#This Row],[Quantity]]*Table1[[#This Row],[Unit Price]],""),"")</f>
        <v/>
      </c>
      <c r="Q371" s="285" t="str">
        <f ca="1">IFERROR(IF(AND(Table1[[#This Row],[ACT_Qty]]&lt;&gt;"",Table1[[#This Row],[Currency]]="NOK"),Table1[[#This Row],[ACT_Qty]]*Table1[[#This Row],[Unit Price]],""),"")</f>
        <v/>
      </c>
      <c r="R371" s="285" t="str">
        <f ca="1">IFERROR(IF(AND(Table1[[#This Row],[Quantity]]&lt;&gt;"",Table1[[#This Row],[Currency]]="EUR"),Table1[[#This Row],[Quantity]]*Table1[[#This Row],[Unit Price]],""),"")</f>
        <v/>
      </c>
      <c r="S371" s="285" t="str">
        <f ca="1">IFERROR(IF(AND(Table1[[#This Row],[ACT_Qty]]&lt;&gt;"",Table1[[#This Row],[Currency]]="EUR"),Table1[[#This Row],[ACT_Qty]]*Table1[[#This Row],[Unit Price]],""),"")</f>
        <v/>
      </c>
      <c r="T371" s="286" t="str">
        <f ca="1">IFERROR(IF(AND(($N$3&lt;&gt;""),INDIRECT(Aux!$D$1)),VLOOKUP(Table1[[#This Row],[Product code]],Aux!B:E,4,FALSE),""),"")</f>
        <v/>
      </c>
      <c r="U371" s="203" t="str">
        <f>IFERROR(IF(OR(Table1[[#This Row],[Quantity]]&lt;&gt;"",Table1[[#This Row],[ACT_Qty]]&lt;&gt;""),Table1[[#This Row],[ACT_Qty]]-Table1[[#This Row],[Quantity]],""),"")</f>
        <v/>
      </c>
      <c r="V371" s="287"/>
      <c r="W371" s="287"/>
      <c r="X371" s="287"/>
    </row>
    <row r="372" spans="1:24" ht="15" customHeight="1">
      <c r="A372" s="228" t="str">
        <f t="shared" si="24"/>
        <v>AKH12345</v>
      </c>
      <c r="B372" s="259" t="s">
        <v>1064</v>
      </c>
      <c r="C372" s="228" t="s">
        <v>1065</v>
      </c>
      <c r="D372" s="105"/>
      <c r="E372" s="106"/>
      <c r="F372" s="105"/>
      <c r="G372" s="106"/>
      <c r="H372" s="204" t="s">
        <v>1066</v>
      </c>
      <c r="I372" s="205" t="s">
        <v>961</v>
      </c>
      <c r="J372" s="205" t="s">
        <v>1067</v>
      </c>
      <c r="K372" s="205" t="s">
        <v>52</v>
      </c>
      <c r="L372" s="206" t="s">
        <v>53</v>
      </c>
      <c r="M372" s="206" t="str">
        <f t="shared" ref="M372:M380" si="26">IF($C$3&lt;&gt;"",$C$3,"")</f>
        <v>OneCo Networks AS</v>
      </c>
      <c r="N37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2" s="279" t="str">
        <f ca="1">IFERROR(IF(
OR(Table1[[#This Row],[Product category]]="Service items",Table1[[#This Row],[Product category]]="Additional services",Table1[[#This Row],[Product category]]="Additional materials"),
"NOK",IF(($N$3&lt;&gt;""),VLOOKUP(Table1[[#This Row],[Product code]],INDIRECT(Aux!$A$1),6,FALSE),"")),"")</f>
        <v/>
      </c>
      <c r="P372" s="280" t="str">
        <f ca="1">IFERROR(IF(AND(Table1[[#This Row],[Quantity]]&lt;&gt;"",Table1[[#This Row],[Currency]]="NOK"),Table1[[#This Row],[Quantity]]*Table1[[#This Row],[Unit Price]],""),"")</f>
        <v/>
      </c>
      <c r="Q372" s="280" t="str">
        <f ca="1">IFERROR(IF(AND(Table1[[#This Row],[ACT_Qty]]&lt;&gt;"",Table1[[#This Row],[Currency]]="NOK"),Table1[[#This Row],[ACT_Qty]]*Table1[[#This Row],[Unit Price]],""),"")</f>
        <v/>
      </c>
      <c r="R372" s="280" t="str">
        <f ca="1">IFERROR(IF(AND(Table1[[#This Row],[Quantity]]&lt;&gt;"",Table1[[#This Row],[Currency]]="EUR"),Table1[[#This Row],[Quantity]]*Table1[[#This Row],[Unit Price]],""),"")</f>
        <v/>
      </c>
      <c r="S372" s="280" t="str">
        <f ca="1">IFERROR(IF(AND(Table1[[#This Row],[ACT_Qty]]&lt;&gt;"",Table1[[#This Row],[Currency]]="EUR"),Table1[[#This Row],[ACT_Qty]]*Table1[[#This Row],[Unit Price]],""),"")</f>
        <v/>
      </c>
      <c r="T372" s="281" t="str">
        <f ca="1">IFERROR(IF(AND(($N$3&lt;&gt;""),INDIRECT(Aux!$D$1)),VLOOKUP(Table1[[#This Row],[Product code]],Aux!B:E,4,FALSE),""),"")</f>
        <v/>
      </c>
      <c r="U372" s="206" t="str">
        <f>IFERROR(IF(OR(Table1[[#This Row],[Quantity]]&lt;&gt;"",Table1[[#This Row],[ACT_Qty]]&lt;&gt;""),Table1[[#This Row],[ACT_Qty]]-Table1[[#This Row],[Quantity]],""),"")</f>
        <v/>
      </c>
      <c r="V372" s="282"/>
      <c r="W372" s="282"/>
      <c r="X372" s="282"/>
    </row>
    <row r="373" spans="1:24" ht="15" customHeight="1">
      <c r="A373" s="227" t="str">
        <f t="shared" si="24"/>
        <v>AKH12345</v>
      </c>
      <c r="B373" s="258" t="s">
        <v>1068</v>
      </c>
      <c r="C373" s="227" t="s">
        <v>1069</v>
      </c>
      <c r="D373" s="105"/>
      <c r="E373" s="106"/>
      <c r="F373" s="105"/>
      <c r="G373" s="106"/>
      <c r="H373" s="201" t="s">
        <v>1070</v>
      </c>
      <c r="I373" s="202" t="s">
        <v>961</v>
      </c>
      <c r="J373" s="202" t="s">
        <v>1067</v>
      </c>
      <c r="K373" s="202" t="s">
        <v>52</v>
      </c>
      <c r="L373" s="203" t="s">
        <v>53</v>
      </c>
      <c r="M373" s="203" t="str">
        <f t="shared" si="26"/>
        <v>OneCo Networks AS</v>
      </c>
      <c r="N37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3" s="284" t="str">
        <f ca="1">IFERROR(IF(
OR(Table1[[#This Row],[Product category]]="Service items",Table1[[#This Row],[Product category]]="Additional services",Table1[[#This Row],[Product category]]="Additional materials"),
"NOK",IF(($N$3&lt;&gt;""),VLOOKUP(Table1[[#This Row],[Product code]],INDIRECT(Aux!$A$1),6,FALSE),"")),"")</f>
        <v/>
      </c>
      <c r="P373" s="285" t="str">
        <f ca="1">IFERROR(IF(AND(Table1[[#This Row],[Quantity]]&lt;&gt;"",Table1[[#This Row],[Currency]]="NOK"),Table1[[#This Row],[Quantity]]*Table1[[#This Row],[Unit Price]],""),"")</f>
        <v/>
      </c>
      <c r="Q373" s="285" t="str">
        <f ca="1">IFERROR(IF(AND(Table1[[#This Row],[ACT_Qty]]&lt;&gt;"",Table1[[#This Row],[Currency]]="NOK"),Table1[[#This Row],[ACT_Qty]]*Table1[[#This Row],[Unit Price]],""),"")</f>
        <v/>
      </c>
      <c r="R373" s="285" t="str">
        <f ca="1">IFERROR(IF(AND(Table1[[#This Row],[Quantity]]&lt;&gt;"",Table1[[#This Row],[Currency]]="EUR"),Table1[[#This Row],[Quantity]]*Table1[[#This Row],[Unit Price]],""),"")</f>
        <v/>
      </c>
      <c r="S373" s="285" t="str">
        <f ca="1">IFERROR(IF(AND(Table1[[#This Row],[ACT_Qty]]&lt;&gt;"",Table1[[#This Row],[Currency]]="EUR"),Table1[[#This Row],[ACT_Qty]]*Table1[[#This Row],[Unit Price]],""),"")</f>
        <v/>
      </c>
      <c r="T373" s="286" t="str">
        <f ca="1">IFERROR(IF(AND(($N$3&lt;&gt;""),INDIRECT(Aux!$D$1)),VLOOKUP(Table1[[#This Row],[Product code]],Aux!B:E,4,FALSE),""),"")</f>
        <v/>
      </c>
      <c r="U373" s="203" t="str">
        <f>IFERROR(IF(OR(Table1[[#This Row],[Quantity]]&lt;&gt;"",Table1[[#This Row],[ACT_Qty]]&lt;&gt;""),Table1[[#This Row],[ACT_Qty]]-Table1[[#This Row],[Quantity]],""),"")</f>
        <v/>
      </c>
      <c r="V373" s="287"/>
      <c r="W373" s="287"/>
      <c r="X373" s="287"/>
    </row>
    <row r="374" spans="1:24" ht="15" customHeight="1">
      <c r="A374" s="228" t="str">
        <f t="shared" si="24"/>
        <v>AKH12345</v>
      </c>
      <c r="B374" s="259" t="s">
        <v>1071</v>
      </c>
      <c r="C374" s="228" t="s">
        <v>1072</v>
      </c>
      <c r="D374" s="105"/>
      <c r="E374" s="106"/>
      <c r="F374" s="105"/>
      <c r="G374" s="106"/>
      <c r="H374" s="204" t="s">
        <v>1073</v>
      </c>
      <c r="I374" s="205" t="s">
        <v>961</v>
      </c>
      <c r="J374" s="205" t="s">
        <v>1067</v>
      </c>
      <c r="K374" s="205" t="s">
        <v>52</v>
      </c>
      <c r="L374" s="206" t="s">
        <v>53</v>
      </c>
      <c r="M374" s="206" t="str">
        <f t="shared" si="26"/>
        <v>OneCo Networks AS</v>
      </c>
      <c r="N37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4" s="279" t="str">
        <f ca="1">IFERROR(IF(
OR(Table1[[#This Row],[Product category]]="Service items",Table1[[#This Row],[Product category]]="Additional services",Table1[[#This Row],[Product category]]="Additional materials"),
"NOK",IF(($N$3&lt;&gt;""),VLOOKUP(Table1[[#This Row],[Product code]],INDIRECT(Aux!$A$1),6,FALSE),"")),"")</f>
        <v/>
      </c>
      <c r="P374" s="280" t="str">
        <f ca="1">IFERROR(IF(AND(Table1[[#This Row],[Quantity]]&lt;&gt;"",Table1[[#This Row],[Currency]]="NOK"),Table1[[#This Row],[Quantity]]*Table1[[#This Row],[Unit Price]],""),"")</f>
        <v/>
      </c>
      <c r="Q374" s="280" t="str">
        <f ca="1">IFERROR(IF(AND(Table1[[#This Row],[ACT_Qty]]&lt;&gt;"",Table1[[#This Row],[Currency]]="NOK"),Table1[[#This Row],[ACT_Qty]]*Table1[[#This Row],[Unit Price]],""),"")</f>
        <v/>
      </c>
      <c r="R374" s="280" t="str">
        <f ca="1">IFERROR(IF(AND(Table1[[#This Row],[Quantity]]&lt;&gt;"",Table1[[#This Row],[Currency]]="EUR"),Table1[[#This Row],[Quantity]]*Table1[[#This Row],[Unit Price]],""),"")</f>
        <v/>
      </c>
      <c r="S374" s="280" t="str">
        <f ca="1">IFERROR(IF(AND(Table1[[#This Row],[ACT_Qty]]&lt;&gt;"",Table1[[#This Row],[Currency]]="EUR"),Table1[[#This Row],[ACT_Qty]]*Table1[[#This Row],[Unit Price]],""),"")</f>
        <v/>
      </c>
      <c r="T374" s="281" t="str">
        <f ca="1">IFERROR(IF(AND(($N$3&lt;&gt;""),INDIRECT(Aux!$D$1)),VLOOKUP(Table1[[#This Row],[Product code]],Aux!B:E,4,FALSE),""),"")</f>
        <v/>
      </c>
      <c r="U374" s="206" t="str">
        <f>IFERROR(IF(OR(Table1[[#This Row],[Quantity]]&lt;&gt;"",Table1[[#This Row],[ACT_Qty]]&lt;&gt;""),Table1[[#This Row],[ACT_Qty]]-Table1[[#This Row],[Quantity]],""),"")</f>
        <v/>
      </c>
      <c r="V374" s="282"/>
      <c r="W374" s="282"/>
      <c r="X374" s="282"/>
    </row>
    <row r="375" spans="1:24" ht="15" customHeight="1">
      <c r="A375" s="227" t="str">
        <f t="shared" si="24"/>
        <v>AKH12345</v>
      </c>
      <c r="B375" s="258" t="s">
        <v>1074</v>
      </c>
      <c r="C375" s="227" t="s">
        <v>1075</v>
      </c>
      <c r="D375" s="105"/>
      <c r="E375" s="106"/>
      <c r="F375" s="105"/>
      <c r="G375" s="106"/>
      <c r="H375" s="201" t="s">
        <v>1076</v>
      </c>
      <c r="I375" s="202" t="s">
        <v>961</v>
      </c>
      <c r="J375" s="202" t="s">
        <v>1077</v>
      </c>
      <c r="K375" s="202" t="s">
        <v>52</v>
      </c>
      <c r="L375" s="203" t="s">
        <v>53</v>
      </c>
      <c r="M375" s="203" t="str">
        <f t="shared" si="26"/>
        <v>OneCo Networks AS</v>
      </c>
      <c r="N37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5" s="284" t="str">
        <f ca="1">IFERROR(IF(
OR(Table1[[#This Row],[Product category]]="Service items",Table1[[#This Row],[Product category]]="Additional services",Table1[[#This Row],[Product category]]="Additional materials"),
"NOK",IF(($N$3&lt;&gt;""),VLOOKUP(Table1[[#This Row],[Product code]],INDIRECT(Aux!$A$1),6,FALSE),"")),"")</f>
        <v/>
      </c>
      <c r="P375" s="285" t="str">
        <f ca="1">IFERROR(IF(AND(Table1[[#This Row],[Quantity]]&lt;&gt;"",Table1[[#This Row],[Currency]]="NOK"),Table1[[#This Row],[Quantity]]*Table1[[#This Row],[Unit Price]],""),"")</f>
        <v/>
      </c>
      <c r="Q375" s="285" t="str">
        <f ca="1">IFERROR(IF(AND(Table1[[#This Row],[ACT_Qty]]&lt;&gt;"",Table1[[#This Row],[Currency]]="NOK"),Table1[[#This Row],[ACT_Qty]]*Table1[[#This Row],[Unit Price]],""),"")</f>
        <v/>
      </c>
      <c r="R375" s="285" t="str">
        <f ca="1">IFERROR(IF(AND(Table1[[#This Row],[Quantity]]&lt;&gt;"",Table1[[#This Row],[Currency]]="EUR"),Table1[[#This Row],[Quantity]]*Table1[[#This Row],[Unit Price]],""),"")</f>
        <v/>
      </c>
      <c r="S375" s="285" t="str">
        <f ca="1">IFERROR(IF(AND(Table1[[#This Row],[ACT_Qty]]&lt;&gt;"",Table1[[#This Row],[Currency]]="EUR"),Table1[[#This Row],[ACT_Qty]]*Table1[[#This Row],[Unit Price]],""),"")</f>
        <v/>
      </c>
      <c r="T375" s="286" t="str">
        <f ca="1">IFERROR(IF(AND(($N$3&lt;&gt;""),INDIRECT(Aux!$D$1)),VLOOKUP(Table1[[#This Row],[Product code]],Aux!B:E,4,FALSE),""),"")</f>
        <v/>
      </c>
      <c r="U375" s="203" t="str">
        <f>IFERROR(IF(OR(Table1[[#This Row],[Quantity]]&lt;&gt;"",Table1[[#This Row],[ACT_Qty]]&lt;&gt;""),Table1[[#This Row],[ACT_Qty]]-Table1[[#This Row],[Quantity]],""),"")</f>
        <v/>
      </c>
      <c r="V375" s="287"/>
      <c r="W375" s="287"/>
      <c r="X375" s="287"/>
    </row>
    <row r="376" spans="1:24" ht="15" customHeight="1">
      <c r="A376" s="228" t="str">
        <f t="shared" si="24"/>
        <v>AKH12345</v>
      </c>
      <c r="B376" s="259" t="s">
        <v>1078</v>
      </c>
      <c r="C376" s="228" t="s">
        <v>1079</v>
      </c>
      <c r="D376" s="105"/>
      <c r="E376" s="106"/>
      <c r="F376" s="105"/>
      <c r="G376" s="106"/>
      <c r="H376" s="204"/>
      <c r="I376" s="205" t="s">
        <v>961</v>
      </c>
      <c r="J376" s="205" t="s">
        <v>1067</v>
      </c>
      <c r="K376" s="205" t="s">
        <v>52</v>
      </c>
      <c r="L376" s="206" t="s">
        <v>53</v>
      </c>
      <c r="M376" s="206" t="str">
        <f t="shared" si="26"/>
        <v>OneCo Networks AS</v>
      </c>
      <c r="N37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6" s="279" t="str">
        <f ca="1">IFERROR(IF(
OR(Table1[[#This Row],[Product category]]="Service items",Table1[[#This Row],[Product category]]="Additional services",Table1[[#This Row],[Product category]]="Additional materials"),
"NOK",IF(($N$3&lt;&gt;""),VLOOKUP(Table1[[#This Row],[Product code]],INDIRECT(Aux!$A$1),6,FALSE),"")),"")</f>
        <v/>
      </c>
      <c r="P376" s="280" t="str">
        <f ca="1">IFERROR(IF(AND(Table1[[#This Row],[Quantity]]&lt;&gt;"",Table1[[#This Row],[Currency]]="NOK"),Table1[[#This Row],[Quantity]]*Table1[[#This Row],[Unit Price]],""),"")</f>
        <v/>
      </c>
      <c r="Q376" s="280" t="str">
        <f ca="1">IFERROR(IF(AND(Table1[[#This Row],[ACT_Qty]]&lt;&gt;"",Table1[[#This Row],[Currency]]="NOK"),Table1[[#This Row],[ACT_Qty]]*Table1[[#This Row],[Unit Price]],""),"")</f>
        <v/>
      </c>
      <c r="R376" s="280" t="str">
        <f ca="1">IFERROR(IF(AND(Table1[[#This Row],[Quantity]]&lt;&gt;"",Table1[[#This Row],[Currency]]="EUR"),Table1[[#This Row],[Quantity]]*Table1[[#This Row],[Unit Price]],""),"")</f>
        <v/>
      </c>
      <c r="S376" s="280" t="str">
        <f ca="1">IFERROR(IF(AND(Table1[[#This Row],[ACT_Qty]]&lt;&gt;"",Table1[[#This Row],[Currency]]="EUR"),Table1[[#This Row],[ACT_Qty]]*Table1[[#This Row],[Unit Price]],""),"")</f>
        <v/>
      </c>
      <c r="T376" s="281" t="str">
        <f ca="1">IFERROR(IF(AND(($N$3&lt;&gt;""),INDIRECT(Aux!$D$1)),VLOOKUP(Table1[[#This Row],[Product code]],Aux!B:E,4,FALSE),""),"")</f>
        <v/>
      </c>
      <c r="U376" s="206" t="str">
        <f>IFERROR(IF(OR(Table1[[#This Row],[Quantity]]&lt;&gt;"",Table1[[#This Row],[ACT_Qty]]&lt;&gt;""),Table1[[#This Row],[ACT_Qty]]-Table1[[#This Row],[Quantity]],""),"")</f>
        <v/>
      </c>
      <c r="V376" s="282"/>
      <c r="W376" s="282"/>
      <c r="X376" s="282"/>
    </row>
    <row r="377" spans="1:24" ht="15" customHeight="1">
      <c r="A377" s="227" t="str">
        <f t="shared" si="24"/>
        <v>AKH12345</v>
      </c>
      <c r="B377" s="258" t="s">
        <v>1080</v>
      </c>
      <c r="C377" s="227" t="s">
        <v>1081</v>
      </c>
      <c r="D377" s="105"/>
      <c r="E377" s="106"/>
      <c r="F377" s="105"/>
      <c r="G377" s="106"/>
      <c r="H377" s="201" t="s">
        <v>1082</v>
      </c>
      <c r="I377" s="202" t="s">
        <v>961</v>
      </c>
      <c r="J377" s="202" t="s">
        <v>1067</v>
      </c>
      <c r="K377" s="202" t="s">
        <v>52</v>
      </c>
      <c r="L377" s="203" t="s">
        <v>53</v>
      </c>
      <c r="M377" s="203" t="str">
        <f t="shared" si="26"/>
        <v>OneCo Networks AS</v>
      </c>
      <c r="N37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7" s="284" t="str">
        <f ca="1">IFERROR(IF(
OR(Table1[[#This Row],[Product category]]="Service items",Table1[[#This Row],[Product category]]="Additional services",Table1[[#This Row],[Product category]]="Additional materials"),
"NOK",IF(($N$3&lt;&gt;""),VLOOKUP(Table1[[#This Row],[Product code]],INDIRECT(Aux!$A$1),6,FALSE),"")),"")</f>
        <v/>
      </c>
      <c r="P377" s="285" t="str">
        <f ca="1">IFERROR(IF(AND(Table1[[#This Row],[Quantity]]&lt;&gt;"",Table1[[#This Row],[Currency]]="NOK"),Table1[[#This Row],[Quantity]]*Table1[[#This Row],[Unit Price]],""),"")</f>
        <v/>
      </c>
      <c r="Q377" s="285" t="str">
        <f ca="1">IFERROR(IF(AND(Table1[[#This Row],[ACT_Qty]]&lt;&gt;"",Table1[[#This Row],[Currency]]="NOK"),Table1[[#This Row],[ACT_Qty]]*Table1[[#This Row],[Unit Price]],""),"")</f>
        <v/>
      </c>
      <c r="R377" s="285" t="str">
        <f ca="1">IFERROR(IF(AND(Table1[[#This Row],[Quantity]]&lt;&gt;"",Table1[[#This Row],[Currency]]="EUR"),Table1[[#This Row],[Quantity]]*Table1[[#This Row],[Unit Price]],""),"")</f>
        <v/>
      </c>
      <c r="S377" s="285" t="str">
        <f ca="1">IFERROR(IF(AND(Table1[[#This Row],[ACT_Qty]]&lt;&gt;"",Table1[[#This Row],[Currency]]="EUR"),Table1[[#This Row],[ACT_Qty]]*Table1[[#This Row],[Unit Price]],""),"")</f>
        <v/>
      </c>
      <c r="T377" s="286" t="str">
        <f ca="1">IFERROR(IF(AND(($N$3&lt;&gt;""),INDIRECT(Aux!$D$1)),VLOOKUP(Table1[[#This Row],[Product code]],Aux!B:E,4,FALSE),""),"")</f>
        <v/>
      </c>
      <c r="U377" s="203" t="str">
        <f>IFERROR(IF(OR(Table1[[#This Row],[Quantity]]&lt;&gt;"",Table1[[#This Row],[ACT_Qty]]&lt;&gt;""),Table1[[#This Row],[ACT_Qty]]-Table1[[#This Row],[Quantity]],""),"")</f>
        <v/>
      </c>
      <c r="V377" s="287"/>
      <c r="W377" s="287"/>
      <c r="X377" s="287"/>
    </row>
    <row r="378" spans="1:24" ht="15" customHeight="1">
      <c r="A378" s="228" t="str">
        <f t="shared" si="24"/>
        <v>AKH12345</v>
      </c>
      <c r="B378" s="259" t="s">
        <v>1083</v>
      </c>
      <c r="C378" s="228" t="s">
        <v>1084</v>
      </c>
      <c r="D378" s="105"/>
      <c r="E378" s="106"/>
      <c r="F378" s="105"/>
      <c r="G378" s="106"/>
      <c r="H378" s="204"/>
      <c r="I378" s="205" t="s">
        <v>961</v>
      </c>
      <c r="J378" s="205" t="s">
        <v>1067</v>
      </c>
      <c r="K378" s="205" t="s">
        <v>52</v>
      </c>
      <c r="L378" s="206" t="s">
        <v>53</v>
      </c>
      <c r="M378" s="206" t="str">
        <f>IF($C$3&lt;&gt;"",$C$3,"")</f>
        <v>OneCo Networks AS</v>
      </c>
      <c r="N37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8" s="279" t="str">
        <f ca="1">IFERROR(IF(
OR(Table1[[#This Row],[Product category]]="Service items",Table1[[#This Row],[Product category]]="Additional services",Table1[[#This Row],[Product category]]="Additional materials"),
"NOK",IF(($N$3&lt;&gt;""),VLOOKUP(Table1[[#This Row],[Product code]],INDIRECT(Aux!$A$1),6,FALSE),"")),"")</f>
        <v/>
      </c>
      <c r="P378" s="280" t="str">
        <f ca="1">IFERROR(IF(AND(Table1[[#This Row],[Quantity]]&lt;&gt;"",Table1[[#This Row],[Currency]]="NOK"),Table1[[#This Row],[Quantity]]*Table1[[#This Row],[Unit Price]],""),"")</f>
        <v/>
      </c>
      <c r="Q378" s="280" t="str">
        <f ca="1">IFERROR(IF(AND(Table1[[#This Row],[ACT_Qty]]&lt;&gt;"",Table1[[#This Row],[Currency]]="NOK"),Table1[[#This Row],[ACT_Qty]]*Table1[[#This Row],[Unit Price]],""),"")</f>
        <v/>
      </c>
      <c r="R378" s="280" t="str">
        <f ca="1">IFERROR(IF(AND(Table1[[#This Row],[Quantity]]&lt;&gt;"",Table1[[#This Row],[Currency]]="EUR"),Table1[[#This Row],[Quantity]]*Table1[[#This Row],[Unit Price]],""),"")</f>
        <v/>
      </c>
      <c r="S378" s="280" t="str">
        <f ca="1">IFERROR(IF(AND(Table1[[#This Row],[ACT_Qty]]&lt;&gt;"",Table1[[#This Row],[Currency]]="EUR"),Table1[[#This Row],[ACT_Qty]]*Table1[[#This Row],[Unit Price]],""),"")</f>
        <v/>
      </c>
      <c r="T378" s="281" t="str">
        <f ca="1">IFERROR(IF(AND(($N$3&lt;&gt;""),INDIRECT(Aux!$D$1)),VLOOKUP(Table1[[#This Row],[Product code]],Aux!B:E,4,FALSE),""),"")</f>
        <v/>
      </c>
      <c r="U378" s="206" t="str">
        <f>IFERROR(IF(OR(Table1[[#This Row],[Quantity]]&lt;&gt;"",Table1[[#This Row],[ACT_Qty]]&lt;&gt;""),Table1[[#This Row],[ACT_Qty]]-Table1[[#This Row],[Quantity]],""),"")</f>
        <v/>
      </c>
      <c r="V378" s="282"/>
      <c r="W378" s="282"/>
      <c r="X378" s="282"/>
    </row>
    <row r="379" spans="1:24" ht="15" customHeight="1">
      <c r="A379" s="227" t="str">
        <f t="shared" si="24"/>
        <v>AKH12345</v>
      </c>
      <c r="B379" s="258" t="s">
        <v>1085</v>
      </c>
      <c r="C379" s="227" t="s">
        <v>1086</v>
      </c>
      <c r="D379" s="105"/>
      <c r="E379" s="106"/>
      <c r="F379" s="105"/>
      <c r="G379" s="106"/>
      <c r="H379" s="201" t="s">
        <v>1087</v>
      </c>
      <c r="I379" s="202" t="s">
        <v>961</v>
      </c>
      <c r="J379" s="202" t="s">
        <v>1067</v>
      </c>
      <c r="K379" s="202" t="s">
        <v>52</v>
      </c>
      <c r="L379" s="203" t="s">
        <v>1088</v>
      </c>
      <c r="M379" s="203" t="str">
        <f t="shared" si="26"/>
        <v>OneCo Networks AS</v>
      </c>
      <c r="N37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79" s="284" t="str">
        <f ca="1">IFERROR(IF(
OR(Table1[[#This Row],[Product category]]="Service items",Table1[[#This Row],[Product category]]="Additional services",Table1[[#This Row],[Product category]]="Additional materials"),
"NOK",IF(($N$3&lt;&gt;""),VLOOKUP(Table1[[#This Row],[Product code]],INDIRECT(Aux!$A$1),6,FALSE),"")),"")</f>
        <v/>
      </c>
      <c r="P379" s="285" t="str">
        <f ca="1">IFERROR(IF(AND(Table1[[#This Row],[Quantity]]&lt;&gt;"",Table1[[#This Row],[Currency]]="NOK"),Table1[[#This Row],[Quantity]]*Table1[[#This Row],[Unit Price]],""),"")</f>
        <v/>
      </c>
      <c r="Q379" s="285" t="str">
        <f ca="1">IFERROR(IF(AND(Table1[[#This Row],[ACT_Qty]]&lt;&gt;"",Table1[[#This Row],[Currency]]="NOK"),Table1[[#This Row],[ACT_Qty]]*Table1[[#This Row],[Unit Price]],""),"")</f>
        <v/>
      </c>
      <c r="R379" s="285" t="str">
        <f ca="1">IFERROR(IF(AND(Table1[[#This Row],[Quantity]]&lt;&gt;"",Table1[[#This Row],[Currency]]="EUR"),Table1[[#This Row],[Quantity]]*Table1[[#This Row],[Unit Price]],""),"")</f>
        <v/>
      </c>
      <c r="S379" s="285" t="str">
        <f ca="1">IFERROR(IF(AND(Table1[[#This Row],[ACT_Qty]]&lt;&gt;"",Table1[[#This Row],[Currency]]="EUR"),Table1[[#This Row],[ACT_Qty]]*Table1[[#This Row],[Unit Price]],""),"")</f>
        <v/>
      </c>
      <c r="T379" s="286" t="str">
        <f ca="1">IFERROR(IF(AND(($N$3&lt;&gt;""),INDIRECT(Aux!$D$1)),VLOOKUP(Table1[[#This Row],[Product code]],Aux!B:E,4,FALSE),""),"")</f>
        <v/>
      </c>
      <c r="U379" s="203" t="str">
        <f>IFERROR(IF(OR(Table1[[#This Row],[Quantity]]&lt;&gt;"",Table1[[#This Row],[ACT_Qty]]&lt;&gt;""),Table1[[#This Row],[ACT_Qty]]-Table1[[#This Row],[Quantity]],""),"")</f>
        <v/>
      </c>
      <c r="V379" s="287"/>
      <c r="W379" s="287"/>
      <c r="X379" s="287"/>
    </row>
    <row r="380" spans="1:24" ht="15" customHeight="1">
      <c r="A380" s="228" t="str">
        <f t="shared" si="24"/>
        <v>AKH12345</v>
      </c>
      <c r="B380" s="259" t="s">
        <v>1089</v>
      </c>
      <c r="C380" s="228" t="s">
        <v>1090</v>
      </c>
      <c r="D380" s="105"/>
      <c r="E380" s="106"/>
      <c r="F380" s="105"/>
      <c r="G380" s="106"/>
      <c r="H380" s="204" t="s">
        <v>1091</v>
      </c>
      <c r="I380" s="205" t="s">
        <v>961</v>
      </c>
      <c r="J380" s="205" t="s">
        <v>1077</v>
      </c>
      <c r="K380" s="205" t="s">
        <v>52</v>
      </c>
      <c r="L380" s="206" t="s">
        <v>53</v>
      </c>
      <c r="M380" s="206" t="str">
        <f t="shared" si="26"/>
        <v>OneCo Networks AS</v>
      </c>
      <c r="N38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0" s="279" t="str">
        <f ca="1">IFERROR(IF(
OR(Table1[[#This Row],[Product category]]="Service items",Table1[[#This Row],[Product category]]="Additional services",Table1[[#This Row],[Product category]]="Additional materials"),
"NOK",IF(($N$3&lt;&gt;""),VLOOKUP(Table1[[#This Row],[Product code]],INDIRECT(Aux!$A$1),6,FALSE),"")),"")</f>
        <v/>
      </c>
      <c r="P380" s="280" t="str">
        <f ca="1">IFERROR(IF(AND(Table1[[#This Row],[Quantity]]&lt;&gt;"",Table1[[#This Row],[Currency]]="NOK"),Table1[[#This Row],[Quantity]]*Table1[[#This Row],[Unit Price]],""),"")</f>
        <v/>
      </c>
      <c r="Q380" s="280" t="str">
        <f ca="1">IFERROR(IF(AND(Table1[[#This Row],[ACT_Qty]]&lt;&gt;"",Table1[[#This Row],[Currency]]="NOK"),Table1[[#This Row],[ACT_Qty]]*Table1[[#This Row],[Unit Price]],""),"")</f>
        <v/>
      </c>
      <c r="R380" s="280" t="str">
        <f ca="1">IFERROR(IF(AND(Table1[[#This Row],[Quantity]]&lt;&gt;"",Table1[[#This Row],[Currency]]="EUR"),Table1[[#This Row],[Quantity]]*Table1[[#This Row],[Unit Price]],""),"")</f>
        <v/>
      </c>
      <c r="S380" s="280" t="str">
        <f ca="1">IFERROR(IF(AND(Table1[[#This Row],[ACT_Qty]]&lt;&gt;"",Table1[[#This Row],[Currency]]="EUR"),Table1[[#This Row],[ACT_Qty]]*Table1[[#This Row],[Unit Price]],""),"")</f>
        <v/>
      </c>
      <c r="T380" s="281" t="str">
        <f ca="1">IFERROR(IF(AND(($N$3&lt;&gt;""),INDIRECT(Aux!$D$1)),VLOOKUP(Table1[[#This Row],[Product code]],Aux!B:E,4,FALSE),""),"")</f>
        <v/>
      </c>
      <c r="U380" s="206" t="str">
        <f>IFERROR(IF(OR(Table1[[#This Row],[Quantity]]&lt;&gt;"",Table1[[#This Row],[ACT_Qty]]&lt;&gt;""),Table1[[#This Row],[ACT_Qty]]-Table1[[#This Row],[Quantity]],""),"")</f>
        <v/>
      </c>
      <c r="V380" s="282"/>
      <c r="W380" s="282"/>
      <c r="X380" s="282"/>
    </row>
    <row r="381" spans="1:24" ht="15" customHeight="1">
      <c r="A381" s="227" t="str">
        <f t="shared" si="24"/>
        <v>AKH12345</v>
      </c>
      <c r="B381" s="258" t="s">
        <v>1092</v>
      </c>
      <c r="C381" s="227" t="s">
        <v>1093</v>
      </c>
      <c r="D381" s="105"/>
      <c r="E381" s="106"/>
      <c r="F381" s="105"/>
      <c r="G381" s="106"/>
      <c r="H381" s="201" t="s">
        <v>1094</v>
      </c>
      <c r="I381" s="202" t="s">
        <v>961</v>
      </c>
      <c r="J381" s="202" t="s">
        <v>746</v>
      </c>
      <c r="K381" s="202" t="s">
        <v>52</v>
      </c>
      <c r="L381" s="203" t="s">
        <v>310</v>
      </c>
      <c r="M381" s="203" t="str">
        <f t="shared" si="25"/>
        <v>OneCo Networks AS</v>
      </c>
      <c r="N38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1" s="284" t="str">
        <f ca="1">IFERROR(IF(
OR(Table1[[#This Row],[Product category]]="Service items",Table1[[#This Row],[Product category]]="Additional services",Table1[[#This Row],[Product category]]="Additional materials"),
"NOK",IF(($N$3&lt;&gt;""),VLOOKUP(Table1[[#This Row],[Product code]],INDIRECT(Aux!$A$1),6,FALSE),"")),"")</f>
        <v/>
      </c>
      <c r="P381" s="285" t="str">
        <f ca="1">IFERROR(IF(AND(Table1[[#This Row],[Quantity]]&lt;&gt;"",Table1[[#This Row],[Currency]]="NOK"),Table1[[#This Row],[Quantity]]*Table1[[#This Row],[Unit Price]],""),"")</f>
        <v/>
      </c>
      <c r="Q381" s="285" t="str">
        <f ca="1">IFERROR(IF(AND(Table1[[#This Row],[ACT_Qty]]&lt;&gt;"",Table1[[#This Row],[Currency]]="NOK"),Table1[[#This Row],[ACT_Qty]]*Table1[[#This Row],[Unit Price]],""),"")</f>
        <v/>
      </c>
      <c r="R381" s="285" t="str">
        <f ca="1">IFERROR(IF(AND(Table1[[#This Row],[Quantity]]&lt;&gt;"",Table1[[#This Row],[Currency]]="EUR"),Table1[[#This Row],[Quantity]]*Table1[[#This Row],[Unit Price]],""),"")</f>
        <v/>
      </c>
      <c r="S381" s="285" t="str">
        <f ca="1">IFERROR(IF(AND(Table1[[#This Row],[ACT_Qty]]&lt;&gt;"",Table1[[#This Row],[Currency]]="EUR"),Table1[[#This Row],[ACT_Qty]]*Table1[[#This Row],[Unit Price]],""),"")</f>
        <v/>
      </c>
      <c r="T381" s="286" t="str">
        <f ca="1">IFERROR(IF(AND(($N$3&lt;&gt;""),INDIRECT(Aux!$D$1)),VLOOKUP(Table1[[#This Row],[Product code]],Aux!B:E,4,FALSE),""),"")</f>
        <v/>
      </c>
      <c r="U381" s="203" t="str">
        <f>IFERROR(IF(OR(Table1[[#This Row],[Quantity]]&lt;&gt;"",Table1[[#This Row],[ACT_Qty]]&lt;&gt;""),Table1[[#This Row],[ACT_Qty]]-Table1[[#This Row],[Quantity]],""),"")</f>
        <v/>
      </c>
      <c r="V381" s="287"/>
      <c r="W381" s="287"/>
      <c r="X381" s="287"/>
    </row>
    <row r="382" spans="1:24" ht="15" customHeight="1">
      <c r="A382" s="228" t="str">
        <f t="shared" si="24"/>
        <v>AKH12345</v>
      </c>
      <c r="B382" s="259" t="s">
        <v>1095</v>
      </c>
      <c r="C382" s="228" t="s">
        <v>1096</v>
      </c>
      <c r="D382" s="105"/>
      <c r="E382" s="106"/>
      <c r="F382" s="105"/>
      <c r="G382" s="106"/>
      <c r="H382" s="204" t="s">
        <v>1097</v>
      </c>
      <c r="I382" s="205" t="s">
        <v>961</v>
      </c>
      <c r="J382" s="205" t="s">
        <v>1098</v>
      </c>
      <c r="K382" s="205" t="s">
        <v>52</v>
      </c>
      <c r="L382" s="206" t="s">
        <v>310</v>
      </c>
      <c r="M382" s="206" t="str">
        <f t="shared" si="25"/>
        <v>OneCo Networks AS</v>
      </c>
      <c r="N38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2" s="279" t="str">
        <f ca="1">IFERROR(IF(
OR(Table1[[#This Row],[Product category]]="Service items",Table1[[#This Row],[Product category]]="Additional services",Table1[[#This Row],[Product category]]="Additional materials"),
"NOK",IF(($N$3&lt;&gt;""),VLOOKUP(Table1[[#This Row],[Product code]],INDIRECT(Aux!$A$1),6,FALSE),"")),"")</f>
        <v/>
      </c>
      <c r="P382" s="280" t="str">
        <f ca="1">IFERROR(IF(AND(Table1[[#This Row],[Quantity]]&lt;&gt;"",Table1[[#This Row],[Currency]]="NOK"),Table1[[#This Row],[Quantity]]*Table1[[#This Row],[Unit Price]],""),"")</f>
        <v/>
      </c>
      <c r="Q382" s="280" t="str">
        <f ca="1">IFERROR(IF(AND(Table1[[#This Row],[ACT_Qty]]&lt;&gt;"",Table1[[#This Row],[Currency]]="NOK"),Table1[[#This Row],[ACT_Qty]]*Table1[[#This Row],[Unit Price]],""),"")</f>
        <v/>
      </c>
      <c r="R382" s="280" t="str">
        <f ca="1">IFERROR(IF(AND(Table1[[#This Row],[Quantity]]&lt;&gt;"",Table1[[#This Row],[Currency]]="EUR"),Table1[[#This Row],[Quantity]]*Table1[[#This Row],[Unit Price]],""),"")</f>
        <v/>
      </c>
      <c r="S382" s="280" t="str">
        <f ca="1">IFERROR(IF(AND(Table1[[#This Row],[ACT_Qty]]&lt;&gt;"",Table1[[#This Row],[Currency]]="EUR"),Table1[[#This Row],[ACT_Qty]]*Table1[[#This Row],[Unit Price]],""),"")</f>
        <v/>
      </c>
      <c r="T382" s="281" t="str">
        <f ca="1">IFERROR(IF(AND(($N$3&lt;&gt;""),INDIRECT(Aux!$D$1)),VLOOKUP(Table1[[#This Row],[Product code]],Aux!B:E,4,FALSE),""),"")</f>
        <v/>
      </c>
      <c r="U382" s="206" t="str">
        <f>IFERROR(IF(OR(Table1[[#This Row],[Quantity]]&lt;&gt;"",Table1[[#This Row],[ACT_Qty]]&lt;&gt;""),Table1[[#This Row],[ACT_Qty]]-Table1[[#This Row],[Quantity]],""),"")</f>
        <v/>
      </c>
      <c r="V382" s="282"/>
      <c r="W382" s="282"/>
      <c r="X382" s="282"/>
    </row>
    <row r="383" spans="1:24" ht="15" customHeight="1">
      <c r="A383" s="227" t="str">
        <f t="shared" si="24"/>
        <v>AKH12345</v>
      </c>
      <c r="B383" s="258" t="s">
        <v>1099</v>
      </c>
      <c r="C383" s="227" t="s">
        <v>1100</v>
      </c>
      <c r="D383" s="105"/>
      <c r="E383" s="106"/>
      <c r="F383" s="105"/>
      <c r="G383" s="106"/>
      <c r="H383" s="201" t="s">
        <v>1101</v>
      </c>
      <c r="I383" s="202" t="s">
        <v>961</v>
      </c>
      <c r="J383" s="202" t="s">
        <v>1098</v>
      </c>
      <c r="K383" s="202" t="s">
        <v>52</v>
      </c>
      <c r="L383" s="203" t="s">
        <v>310</v>
      </c>
      <c r="M383" s="203" t="str">
        <f t="shared" si="25"/>
        <v>OneCo Networks AS</v>
      </c>
      <c r="N38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3" s="284" t="str">
        <f ca="1">IFERROR(IF(
OR(Table1[[#This Row],[Product category]]="Service items",Table1[[#This Row],[Product category]]="Additional services",Table1[[#This Row],[Product category]]="Additional materials"),
"NOK",IF(($N$3&lt;&gt;""),VLOOKUP(Table1[[#This Row],[Product code]],INDIRECT(Aux!$A$1),6,FALSE),"")),"")</f>
        <v/>
      </c>
      <c r="P383" s="285" t="str">
        <f ca="1">IFERROR(IF(AND(Table1[[#This Row],[Quantity]]&lt;&gt;"",Table1[[#This Row],[Currency]]="NOK"),Table1[[#This Row],[Quantity]]*Table1[[#This Row],[Unit Price]],""),"")</f>
        <v/>
      </c>
      <c r="Q383" s="285" t="str">
        <f ca="1">IFERROR(IF(AND(Table1[[#This Row],[ACT_Qty]]&lt;&gt;"",Table1[[#This Row],[Currency]]="NOK"),Table1[[#This Row],[ACT_Qty]]*Table1[[#This Row],[Unit Price]],""),"")</f>
        <v/>
      </c>
      <c r="R383" s="285" t="str">
        <f ca="1">IFERROR(IF(AND(Table1[[#This Row],[Quantity]]&lt;&gt;"",Table1[[#This Row],[Currency]]="EUR"),Table1[[#This Row],[Quantity]]*Table1[[#This Row],[Unit Price]],""),"")</f>
        <v/>
      </c>
      <c r="S383" s="285" t="str">
        <f ca="1">IFERROR(IF(AND(Table1[[#This Row],[ACT_Qty]]&lt;&gt;"",Table1[[#This Row],[Currency]]="EUR"),Table1[[#This Row],[ACT_Qty]]*Table1[[#This Row],[Unit Price]],""),"")</f>
        <v/>
      </c>
      <c r="T383" s="286" t="str">
        <f ca="1">IFERROR(IF(AND(($N$3&lt;&gt;""),INDIRECT(Aux!$D$1)),VLOOKUP(Table1[[#This Row],[Product code]],Aux!B:E,4,FALSE),""),"")</f>
        <v/>
      </c>
      <c r="U383" s="203" t="str">
        <f>IFERROR(IF(OR(Table1[[#This Row],[Quantity]]&lt;&gt;"",Table1[[#This Row],[ACT_Qty]]&lt;&gt;""),Table1[[#This Row],[ACT_Qty]]-Table1[[#This Row],[Quantity]],""),"")</f>
        <v/>
      </c>
      <c r="V383" s="287"/>
      <c r="W383" s="287"/>
      <c r="X383" s="287"/>
    </row>
    <row r="384" spans="1:24" ht="14.45" customHeight="1">
      <c r="A384" s="228" t="str">
        <f t="shared" si="24"/>
        <v>AKH12345</v>
      </c>
      <c r="B384" s="259" t="s">
        <v>1102</v>
      </c>
      <c r="C384" s="228" t="s">
        <v>1103</v>
      </c>
      <c r="D384" s="105"/>
      <c r="E384" s="106"/>
      <c r="F384" s="105"/>
      <c r="G384" s="106"/>
      <c r="H384" s="204" t="s">
        <v>1104</v>
      </c>
      <c r="I384" s="205" t="s">
        <v>961</v>
      </c>
      <c r="J384" s="205" t="s">
        <v>1098</v>
      </c>
      <c r="K384" s="205" t="s">
        <v>52</v>
      </c>
      <c r="L384" s="206" t="s">
        <v>310</v>
      </c>
      <c r="M384" s="206" t="str">
        <f t="shared" si="25"/>
        <v>OneCo Networks AS</v>
      </c>
      <c r="N38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4" s="279" t="str">
        <f ca="1">IFERROR(IF(
OR(Table1[[#This Row],[Product category]]="Service items",Table1[[#This Row],[Product category]]="Additional services",Table1[[#This Row],[Product category]]="Additional materials"),
"NOK",IF(($N$3&lt;&gt;""),VLOOKUP(Table1[[#This Row],[Product code]],INDIRECT(Aux!$A$1),6,FALSE),"")),"")</f>
        <v/>
      </c>
      <c r="P384" s="280" t="str">
        <f ca="1">IFERROR(IF(AND(Table1[[#This Row],[Quantity]]&lt;&gt;"",Table1[[#This Row],[Currency]]="NOK"),Table1[[#This Row],[Quantity]]*Table1[[#This Row],[Unit Price]],""),"")</f>
        <v/>
      </c>
      <c r="Q384" s="280" t="str">
        <f ca="1">IFERROR(IF(AND(Table1[[#This Row],[ACT_Qty]]&lt;&gt;"",Table1[[#This Row],[Currency]]="NOK"),Table1[[#This Row],[ACT_Qty]]*Table1[[#This Row],[Unit Price]],""),"")</f>
        <v/>
      </c>
      <c r="R384" s="280" t="str">
        <f ca="1">IFERROR(IF(AND(Table1[[#This Row],[Quantity]]&lt;&gt;"",Table1[[#This Row],[Currency]]="EUR"),Table1[[#This Row],[Quantity]]*Table1[[#This Row],[Unit Price]],""),"")</f>
        <v/>
      </c>
      <c r="S384" s="280" t="str">
        <f ca="1">IFERROR(IF(AND(Table1[[#This Row],[ACT_Qty]]&lt;&gt;"",Table1[[#This Row],[Currency]]="EUR"),Table1[[#This Row],[ACT_Qty]]*Table1[[#This Row],[Unit Price]],""),"")</f>
        <v/>
      </c>
      <c r="T384" s="281" t="str">
        <f ca="1">IFERROR(IF(AND(($N$3&lt;&gt;""),INDIRECT(Aux!$D$1)),VLOOKUP(Table1[[#This Row],[Product code]],Aux!B:E,4,FALSE),""),"")</f>
        <v/>
      </c>
      <c r="U384" s="206" t="str">
        <f>IFERROR(IF(OR(Table1[[#This Row],[Quantity]]&lt;&gt;"",Table1[[#This Row],[ACT_Qty]]&lt;&gt;""),Table1[[#This Row],[ACT_Qty]]-Table1[[#This Row],[Quantity]],""),"")</f>
        <v/>
      </c>
      <c r="V384" s="282"/>
      <c r="W384" s="282"/>
      <c r="X384" s="282"/>
    </row>
    <row r="385" spans="1:24" ht="14.45" customHeight="1">
      <c r="A385" s="227" t="str">
        <f t="shared" si="24"/>
        <v>AKH12345</v>
      </c>
      <c r="B385" s="258" t="s">
        <v>1105</v>
      </c>
      <c r="C385" s="227" t="s">
        <v>1106</v>
      </c>
      <c r="D385" s="105"/>
      <c r="E385" s="106"/>
      <c r="F385" s="105"/>
      <c r="G385" s="106"/>
      <c r="H385" s="201" t="s">
        <v>1107</v>
      </c>
      <c r="I385" s="202" t="s">
        <v>961</v>
      </c>
      <c r="J385" s="202" t="s">
        <v>88</v>
      </c>
      <c r="K385" s="202" t="s">
        <v>52</v>
      </c>
      <c r="L385" s="203" t="s">
        <v>53</v>
      </c>
      <c r="M385" s="203" t="str">
        <f>IF($C$3&lt;&gt;"",$C$3,"")</f>
        <v>OneCo Networks AS</v>
      </c>
      <c r="N38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5" s="284" t="str">
        <f ca="1">IFERROR(IF(
OR(Table1[[#This Row],[Product category]]="Service items",Table1[[#This Row],[Product category]]="Additional services",Table1[[#This Row],[Product category]]="Additional materials"),
"NOK",IF(($N$3&lt;&gt;""),VLOOKUP(Table1[[#This Row],[Product code]],INDIRECT(Aux!$A$1),6,FALSE),"")),"")</f>
        <v/>
      </c>
      <c r="P385" s="285" t="str">
        <f ca="1">IFERROR(IF(AND(Table1[[#This Row],[Quantity]]&lt;&gt;"",Table1[[#This Row],[Currency]]="NOK"),Table1[[#This Row],[Quantity]]*Table1[[#This Row],[Unit Price]],""),"")</f>
        <v/>
      </c>
      <c r="Q385" s="285" t="str">
        <f ca="1">IFERROR(IF(AND(Table1[[#This Row],[ACT_Qty]]&lt;&gt;"",Table1[[#This Row],[Currency]]="NOK"),Table1[[#This Row],[ACT_Qty]]*Table1[[#This Row],[Unit Price]],""),"")</f>
        <v/>
      </c>
      <c r="R385" s="285" t="str">
        <f ca="1">IFERROR(IF(AND(Table1[[#This Row],[Quantity]]&lt;&gt;"",Table1[[#This Row],[Currency]]="EUR"),Table1[[#This Row],[Quantity]]*Table1[[#This Row],[Unit Price]],""),"")</f>
        <v/>
      </c>
      <c r="S385" s="285" t="str">
        <f ca="1">IFERROR(IF(AND(Table1[[#This Row],[ACT_Qty]]&lt;&gt;"",Table1[[#This Row],[Currency]]="EUR"),Table1[[#This Row],[ACT_Qty]]*Table1[[#This Row],[Unit Price]],""),"")</f>
        <v/>
      </c>
      <c r="T385" s="286" t="str">
        <f ca="1">IFERROR(IF(AND(($N$3&lt;&gt;""),INDIRECT(Aux!$D$1)),VLOOKUP(Table1[[#This Row],[Product code]],Aux!B:E,4,FALSE),""),"")</f>
        <v/>
      </c>
      <c r="U385" s="203" t="str">
        <f>IFERROR(IF(OR(Table1[[#This Row],[Quantity]]&lt;&gt;"",Table1[[#This Row],[ACT_Qty]]&lt;&gt;""),Table1[[#This Row],[ACT_Qty]]-Table1[[#This Row],[Quantity]],""),"")</f>
        <v/>
      </c>
      <c r="V385" s="287"/>
      <c r="W385" s="287"/>
      <c r="X385" s="287"/>
    </row>
    <row r="386" spans="1:24" ht="15" customHeight="1">
      <c r="A386" s="228" t="str">
        <f t="shared" si="24"/>
        <v>AKH12345</v>
      </c>
      <c r="B386" s="259" t="s">
        <v>1108</v>
      </c>
      <c r="C386" s="228" t="s">
        <v>1109</v>
      </c>
      <c r="D386" s="105"/>
      <c r="E386" s="106"/>
      <c r="F386" s="105"/>
      <c r="G386" s="106"/>
      <c r="H386" s="204" t="s">
        <v>1110</v>
      </c>
      <c r="I386" s="205" t="s">
        <v>961</v>
      </c>
      <c r="J386" s="205" t="s">
        <v>1111</v>
      </c>
      <c r="K386" s="205" t="s">
        <v>52</v>
      </c>
      <c r="L386" s="206" t="s">
        <v>53</v>
      </c>
      <c r="M386" s="206" t="str">
        <f t="shared" si="25"/>
        <v>OneCo Networks AS</v>
      </c>
      <c r="N38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6" s="279" t="str">
        <f ca="1">IFERROR(IF(
OR(Table1[[#This Row],[Product category]]="Service items",Table1[[#This Row],[Product category]]="Additional services",Table1[[#This Row],[Product category]]="Additional materials"),
"NOK",IF(($N$3&lt;&gt;""),VLOOKUP(Table1[[#This Row],[Product code]],INDIRECT(Aux!$A$1),6,FALSE),"")),"")</f>
        <v/>
      </c>
      <c r="P386" s="280" t="str">
        <f ca="1">IFERROR(IF(AND(Table1[[#This Row],[Quantity]]&lt;&gt;"",Table1[[#This Row],[Currency]]="NOK"),Table1[[#This Row],[Quantity]]*Table1[[#This Row],[Unit Price]],""),"")</f>
        <v/>
      </c>
      <c r="Q386" s="280" t="str">
        <f ca="1">IFERROR(IF(AND(Table1[[#This Row],[ACT_Qty]]&lt;&gt;"",Table1[[#This Row],[Currency]]="NOK"),Table1[[#This Row],[ACT_Qty]]*Table1[[#This Row],[Unit Price]],""),"")</f>
        <v/>
      </c>
      <c r="R386" s="280" t="str">
        <f ca="1">IFERROR(IF(AND(Table1[[#This Row],[Quantity]]&lt;&gt;"",Table1[[#This Row],[Currency]]="EUR"),Table1[[#This Row],[Quantity]]*Table1[[#This Row],[Unit Price]],""),"")</f>
        <v/>
      </c>
      <c r="S386" s="280" t="str">
        <f ca="1">IFERROR(IF(AND(Table1[[#This Row],[ACT_Qty]]&lt;&gt;"",Table1[[#This Row],[Currency]]="EUR"),Table1[[#This Row],[ACT_Qty]]*Table1[[#This Row],[Unit Price]],""),"")</f>
        <v/>
      </c>
      <c r="T386" s="281" t="str">
        <f ca="1">IFERROR(IF(AND(($N$3&lt;&gt;""),INDIRECT(Aux!$D$1)),VLOOKUP(Table1[[#This Row],[Product code]],Aux!B:E,4,FALSE),""),"")</f>
        <v/>
      </c>
      <c r="U386" s="206" t="str">
        <f>IFERROR(IF(OR(Table1[[#This Row],[Quantity]]&lt;&gt;"",Table1[[#This Row],[ACT_Qty]]&lt;&gt;""),Table1[[#This Row],[ACT_Qty]]-Table1[[#This Row],[Quantity]],""),"")</f>
        <v/>
      </c>
      <c r="V386" s="282"/>
      <c r="W386" s="282"/>
      <c r="X386" s="282"/>
    </row>
    <row r="387" spans="1:24" ht="15" customHeight="1">
      <c r="A387" s="227" t="str">
        <f t="shared" si="24"/>
        <v>AKH12345</v>
      </c>
      <c r="B387" s="258" t="s">
        <v>1112</v>
      </c>
      <c r="C387" s="227" t="s">
        <v>1113</v>
      </c>
      <c r="D387" s="105"/>
      <c r="E387" s="106"/>
      <c r="F387" s="105"/>
      <c r="G387" s="106"/>
      <c r="H387" s="201" t="s">
        <v>1114</v>
      </c>
      <c r="I387" s="202" t="s">
        <v>961</v>
      </c>
      <c r="J387" s="202" t="s">
        <v>88</v>
      </c>
      <c r="K387" s="202" t="s">
        <v>52</v>
      </c>
      <c r="L387" s="203" t="s">
        <v>53</v>
      </c>
      <c r="M387" s="203" t="str">
        <f>IF($C$3&lt;&gt;"",$C$3,"")</f>
        <v>OneCo Networks AS</v>
      </c>
      <c r="N38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7" s="284" t="str">
        <f ca="1">IFERROR(IF(
OR(Table1[[#This Row],[Product category]]="Service items",Table1[[#This Row],[Product category]]="Additional services",Table1[[#This Row],[Product category]]="Additional materials"),
"NOK",IF(($N$3&lt;&gt;""),VLOOKUP(Table1[[#This Row],[Product code]],INDIRECT(Aux!$A$1),6,FALSE),"")),"")</f>
        <v/>
      </c>
      <c r="P387" s="285" t="str">
        <f ca="1">IFERROR(IF(AND(Table1[[#This Row],[Quantity]]&lt;&gt;"",Table1[[#This Row],[Currency]]="NOK"),Table1[[#This Row],[Quantity]]*Table1[[#This Row],[Unit Price]],""),"")</f>
        <v/>
      </c>
      <c r="Q387" s="285" t="str">
        <f ca="1">IFERROR(IF(AND(Table1[[#This Row],[ACT_Qty]]&lt;&gt;"",Table1[[#This Row],[Currency]]="NOK"),Table1[[#This Row],[ACT_Qty]]*Table1[[#This Row],[Unit Price]],""),"")</f>
        <v/>
      </c>
      <c r="R387" s="285" t="str">
        <f ca="1">IFERROR(IF(AND(Table1[[#This Row],[Quantity]]&lt;&gt;"",Table1[[#This Row],[Currency]]="EUR"),Table1[[#This Row],[Quantity]]*Table1[[#This Row],[Unit Price]],""),"")</f>
        <v/>
      </c>
      <c r="S387" s="285" t="str">
        <f ca="1">IFERROR(IF(AND(Table1[[#This Row],[ACT_Qty]]&lt;&gt;"",Table1[[#This Row],[Currency]]="EUR"),Table1[[#This Row],[ACT_Qty]]*Table1[[#This Row],[Unit Price]],""),"")</f>
        <v/>
      </c>
      <c r="T387" s="286" t="str">
        <f ca="1">IFERROR(IF(AND(($N$3&lt;&gt;""),INDIRECT(Aux!$D$1)),VLOOKUP(Table1[[#This Row],[Product code]],Aux!B:E,4,FALSE),""),"")</f>
        <v/>
      </c>
      <c r="U387" s="203" t="str">
        <f>IFERROR(IF(OR(Table1[[#This Row],[Quantity]]&lt;&gt;"",Table1[[#This Row],[ACT_Qty]]&lt;&gt;""),Table1[[#This Row],[ACT_Qty]]-Table1[[#This Row],[Quantity]],""),"")</f>
        <v/>
      </c>
      <c r="V387" s="287"/>
      <c r="W387" s="287"/>
      <c r="X387" s="287"/>
    </row>
    <row r="388" spans="1:24" ht="15" customHeight="1">
      <c r="A388" s="228" t="str">
        <f t="shared" si="0"/>
        <v>AKH12345</v>
      </c>
      <c r="B388" s="259" t="s">
        <v>1115</v>
      </c>
      <c r="C388" s="228" t="s">
        <v>1116</v>
      </c>
      <c r="D388" s="105"/>
      <c r="E388" s="106"/>
      <c r="F388" s="105"/>
      <c r="G388" s="106"/>
      <c r="H388" s="204" t="s">
        <v>1117</v>
      </c>
      <c r="I388" s="205" t="s">
        <v>961</v>
      </c>
      <c r="J388" s="205" t="s">
        <v>131</v>
      </c>
      <c r="K388" s="205" t="s">
        <v>52</v>
      </c>
      <c r="L388" s="206"/>
      <c r="M388" s="206" t="str">
        <f>IF($C$3&lt;&gt;"",$C$3,"")</f>
        <v>OneCo Networks AS</v>
      </c>
      <c r="N38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8" s="279" t="str">
        <f ca="1">IFERROR(IF(
OR(Table1[[#This Row],[Product category]]="Service items",Table1[[#This Row],[Product category]]="Additional services",Table1[[#This Row],[Product category]]="Additional materials"),
"NOK",IF(($N$3&lt;&gt;""),VLOOKUP(Table1[[#This Row],[Product code]],INDIRECT(Aux!$A$1),6,FALSE),"")),"")</f>
        <v/>
      </c>
      <c r="P388" s="280" t="str">
        <f ca="1">IFERROR(IF(AND(Table1[[#This Row],[Quantity]]&lt;&gt;"",Table1[[#This Row],[Currency]]="NOK"),Table1[[#This Row],[Quantity]]*Table1[[#This Row],[Unit Price]],""),"")</f>
        <v/>
      </c>
      <c r="Q388" s="280" t="str">
        <f ca="1">IFERROR(IF(AND(Table1[[#This Row],[ACT_Qty]]&lt;&gt;"",Table1[[#This Row],[Currency]]="NOK"),Table1[[#This Row],[ACT_Qty]]*Table1[[#This Row],[Unit Price]],""),"")</f>
        <v/>
      </c>
      <c r="R388" s="280" t="str">
        <f ca="1">IFERROR(IF(AND(Table1[[#This Row],[Quantity]]&lt;&gt;"",Table1[[#This Row],[Currency]]="EUR"),Table1[[#This Row],[Quantity]]*Table1[[#This Row],[Unit Price]],""),"")</f>
        <v/>
      </c>
      <c r="S388" s="280" t="str">
        <f ca="1">IFERROR(IF(AND(Table1[[#This Row],[ACT_Qty]]&lt;&gt;"",Table1[[#This Row],[Currency]]="EUR"),Table1[[#This Row],[ACT_Qty]]*Table1[[#This Row],[Unit Price]],""),"")</f>
        <v/>
      </c>
      <c r="T388" s="281" t="str">
        <f ca="1">IFERROR(IF(AND(($N$3&lt;&gt;""),INDIRECT(Aux!$D$1)),VLOOKUP(Table1[[#This Row],[Product code]],Aux!B:E,4,FALSE),""),"")</f>
        <v/>
      </c>
      <c r="U388" s="206" t="str">
        <f>IFERROR(IF(OR(Table1[[#This Row],[Quantity]]&lt;&gt;"",Table1[[#This Row],[ACT_Qty]]&lt;&gt;""),Table1[[#This Row],[ACT_Qty]]-Table1[[#This Row],[Quantity]],""),"")</f>
        <v/>
      </c>
      <c r="V388" s="282"/>
      <c r="W388" s="282"/>
      <c r="X388" s="282"/>
    </row>
    <row r="389" spans="1:24" ht="15" customHeight="1">
      <c r="A389" s="227" t="str">
        <f t="shared" si="24"/>
        <v>AKH12345</v>
      </c>
      <c r="B389" s="258" t="s">
        <v>1118</v>
      </c>
      <c r="C389" s="227" t="s">
        <v>1119</v>
      </c>
      <c r="D389" s="105"/>
      <c r="E389" s="106"/>
      <c r="F389" s="105"/>
      <c r="G389" s="106"/>
      <c r="H389" s="201" t="s">
        <v>1120</v>
      </c>
      <c r="I389" s="202" t="s">
        <v>961</v>
      </c>
      <c r="J389" s="202" t="s">
        <v>1121</v>
      </c>
      <c r="K389" s="202" t="s">
        <v>52</v>
      </c>
      <c r="L389" s="203" t="s">
        <v>53</v>
      </c>
      <c r="M389" s="203" t="str">
        <f t="shared" si="25"/>
        <v>OneCo Networks AS</v>
      </c>
      <c r="N38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89" s="284" t="str">
        <f ca="1">IFERROR(IF(
OR(Table1[[#This Row],[Product category]]="Service items",Table1[[#This Row],[Product category]]="Additional services",Table1[[#This Row],[Product category]]="Additional materials"),
"NOK",IF(($N$3&lt;&gt;""),VLOOKUP(Table1[[#This Row],[Product code]],INDIRECT(Aux!$A$1),6,FALSE),"")),"")</f>
        <v/>
      </c>
      <c r="P389" s="285" t="str">
        <f ca="1">IFERROR(IF(AND(Table1[[#This Row],[Quantity]]&lt;&gt;"",Table1[[#This Row],[Currency]]="NOK"),Table1[[#This Row],[Quantity]]*Table1[[#This Row],[Unit Price]],""),"")</f>
        <v/>
      </c>
      <c r="Q389" s="285" t="str">
        <f ca="1">IFERROR(IF(AND(Table1[[#This Row],[ACT_Qty]]&lt;&gt;"",Table1[[#This Row],[Currency]]="NOK"),Table1[[#This Row],[ACT_Qty]]*Table1[[#This Row],[Unit Price]],""),"")</f>
        <v/>
      </c>
      <c r="R389" s="285" t="str">
        <f ca="1">IFERROR(IF(AND(Table1[[#This Row],[Quantity]]&lt;&gt;"",Table1[[#This Row],[Currency]]="EUR"),Table1[[#This Row],[Quantity]]*Table1[[#This Row],[Unit Price]],""),"")</f>
        <v/>
      </c>
      <c r="S389" s="285" t="str">
        <f ca="1">IFERROR(IF(AND(Table1[[#This Row],[ACT_Qty]]&lt;&gt;"",Table1[[#This Row],[Currency]]="EUR"),Table1[[#This Row],[ACT_Qty]]*Table1[[#This Row],[Unit Price]],""),"")</f>
        <v/>
      </c>
      <c r="T389" s="286" t="str">
        <f ca="1">IFERROR(IF(AND(($N$3&lt;&gt;""),INDIRECT(Aux!$D$1)),VLOOKUP(Table1[[#This Row],[Product code]],Aux!B:E,4,FALSE),""),"")</f>
        <v/>
      </c>
      <c r="U389" s="203" t="str">
        <f>IFERROR(IF(OR(Table1[[#This Row],[Quantity]]&lt;&gt;"",Table1[[#This Row],[ACT_Qty]]&lt;&gt;""),Table1[[#This Row],[ACT_Qty]]-Table1[[#This Row],[Quantity]],""),"")</f>
        <v/>
      </c>
      <c r="V389" s="287"/>
      <c r="W389" s="287"/>
      <c r="X389" s="287"/>
    </row>
    <row r="390" spans="1:24" ht="15" customHeight="1">
      <c r="A390" s="228" t="str">
        <f t="shared" si="24"/>
        <v>AKH12345</v>
      </c>
      <c r="B390" s="259" t="s">
        <v>1122</v>
      </c>
      <c r="C390" s="228" t="s">
        <v>1123</v>
      </c>
      <c r="D390" s="105"/>
      <c r="E390" s="106"/>
      <c r="F390" s="105"/>
      <c r="G390" s="106"/>
      <c r="H390" s="204" t="s">
        <v>1120</v>
      </c>
      <c r="I390" s="205" t="s">
        <v>961</v>
      </c>
      <c r="J390" s="205" t="s">
        <v>1121</v>
      </c>
      <c r="K390" s="205" t="s">
        <v>52</v>
      </c>
      <c r="L390" s="206" t="s">
        <v>53</v>
      </c>
      <c r="M390" s="206" t="str">
        <f t="shared" si="25"/>
        <v>OneCo Networks AS</v>
      </c>
      <c r="N39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0" s="279" t="str">
        <f ca="1">IFERROR(IF(
OR(Table1[[#This Row],[Product category]]="Service items",Table1[[#This Row],[Product category]]="Additional services",Table1[[#This Row],[Product category]]="Additional materials"),
"NOK",IF(($N$3&lt;&gt;""),VLOOKUP(Table1[[#This Row],[Product code]],INDIRECT(Aux!$A$1),6,FALSE),"")),"")</f>
        <v/>
      </c>
      <c r="P390" s="280" t="str">
        <f ca="1">IFERROR(IF(AND(Table1[[#This Row],[Quantity]]&lt;&gt;"",Table1[[#This Row],[Currency]]="NOK"),Table1[[#This Row],[Quantity]]*Table1[[#This Row],[Unit Price]],""),"")</f>
        <v/>
      </c>
      <c r="Q390" s="280" t="str">
        <f ca="1">IFERROR(IF(AND(Table1[[#This Row],[ACT_Qty]]&lt;&gt;"",Table1[[#This Row],[Currency]]="NOK"),Table1[[#This Row],[ACT_Qty]]*Table1[[#This Row],[Unit Price]],""),"")</f>
        <v/>
      </c>
      <c r="R390" s="280" t="str">
        <f ca="1">IFERROR(IF(AND(Table1[[#This Row],[Quantity]]&lt;&gt;"",Table1[[#This Row],[Currency]]="EUR"),Table1[[#This Row],[Quantity]]*Table1[[#This Row],[Unit Price]],""),"")</f>
        <v/>
      </c>
      <c r="S390" s="280" t="str">
        <f ca="1">IFERROR(IF(AND(Table1[[#This Row],[ACT_Qty]]&lt;&gt;"",Table1[[#This Row],[Currency]]="EUR"),Table1[[#This Row],[ACT_Qty]]*Table1[[#This Row],[Unit Price]],""),"")</f>
        <v/>
      </c>
      <c r="T390" s="281" t="str">
        <f ca="1">IFERROR(IF(AND(($N$3&lt;&gt;""),INDIRECT(Aux!$D$1)),VLOOKUP(Table1[[#This Row],[Product code]],Aux!B:E,4,FALSE),""),"")</f>
        <v/>
      </c>
      <c r="U390" s="206" t="str">
        <f>IFERROR(IF(OR(Table1[[#This Row],[Quantity]]&lt;&gt;"",Table1[[#This Row],[ACT_Qty]]&lt;&gt;""),Table1[[#This Row],[ACT_Qty]]-Table1[[#This Row],[Quantity]],""),"")</f>
        <v/>
      </c>
      <c r="V390" s="282"/>
      <c r="W390" s="282"/>
      <c r="X390" s="282"/>
    </row>
    <row r="391" spans="1:24" ht="15" customHeight="1">
      <c r="A391" s="227" t="str">
        <f t="shared" si="24"/>
        <v>AKH12345</v>
      </c>
      <c r="B391" s="258" t="s">
        <v>1124</v>
      </c>
      <c r="C391" s="227" t="s">
        <v>1125</v>
      </c>
      <c r="D391" s="105"/>
      <c r="E391" s="106"/>
      <c r="F391" s="105"/>
      <c r="G391" s="106"/>
      <c r="H391" s="201" t="s">
        <v>1126</v>
      </c>
      <c r="I391" s="202" t="s">
        <v>961</v>
      </c>
      <c r="J391" s="202" t="s">
        <v>1111</v>
      </c>
      <c r="K391" s="202" t="s">
        <v>52</v>
      </c>
      <c r="L391" s="203" t="s">
        <v>53</v>
      </c>
      <c r="M391" s="203" t="str">
        <f t="shared" si="25"/>
        <v>OneCo Networks AS</v>
      </c>
      <c r="N39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1" s="284" t="str">
        <f ca="1">IFERROR(IF(
OR(Table1[[#This Row],[Product category]]="Service items",Table1[[#This Row],[Product category]]="Additional services",Table1[[#This Row],[Product category]]="Additional materials"),
"NOK",IF(($N$3&lt;&gt;""),VLOOKUP(Table1[[#This Row],[Product code]],INDIRECT(Aux!$A$1),6,FALSE),"")),"")</f>
        <v/>
      </c>
      <c r="P391" s="285" t="str">
        <f ca="1">IFERROR(IF(AND(Table1[[#This Row],[Quantity]]&lt;&gt;"",Table1[[#This Row],[Currency]]="NOK"),Table1[[#This Row],[Quantity]]*Table1[[#This Row],[Unit Price]],""),"")</f>
        <v/>
      </c>
      <c r="Q391" s="285" t="str">
        <f ca="1">IFERROR(IF(AND(Table1[[#This Row],[ACT_Qty]]&lt;&gt;"",Table1[[#This Row],[Currency]]="NOK"),Table1[[#This Row],[ACT_Qty]]*Table1[[#This Row],[Unit Price]],""),"")</f>
        <v/>
      </c>
      <c r="R391" s="285" t="str">
        <f ca="1">IFERROR(IF(AND(Table1[[#This Row],[Quantity]]&lt;&gt;"",Table1[[#This Row],[Currency]]="EUR"),Table1[[#This Row],[Quantity]]*Table1[[#This Row],[Unit Price]],""),"")</f>
        <v/>
      </c>
      <c r="S391" s="285" t="str">
        <f ca="1">IFERROR(IF(AND(Table1[[#This Row],[ACT_Qty]]&lt;&gt;"",Table1[[#This Row],[Currency]]="EUR"),Table1[[#This Row],[ACT_Qty]]*Table1[[#This Row],[Unit Price]],""),"")</f>
        <v/>
      </c>
      <c r="T391" s="286" t="str">
        <f ca="1">IFERROR(IF(AND(($N$3&lt;&gt;""),INDIRECT(Aux!$D$1)),VLOOKUP(Table1[[#This Row],[Product code]],Aux!B:E,4,FALSE),""),"")</f>
        <v/>
      </c>
      <c r="U391" s="203" t="str">
        <f>IFERROR(IF(OR(Table1[[#This Row],[Quantity]]&lt;&gt;"",Table1[[#This Row],[ACT_Qty]]&lt;&gt;""),Table1[[#This Row],[ACT_Qty]]-Table1[[#This Row],[Quantity]],""),"")</f>
        <v/>
      </c>
      <c r="V391" s="287"/>
      <c r="W391" s="287"/>
      <c r="X391" s="287"/>
    </row>
    <row r="392" spans="1:24" ht="15" customHeight="1">
      <c r="A392" s="228" t="str">
        <f t="shared" si="24"/>
        <v>AKH12345</v>
      </c>
      <c r="B392" s="259" t="s">
        <v>1127</v>
      </c>
      <c r="C392" s="228" t="s">
        <v>1128</v>
      </c>
      <c r="D392" s="105"/>
      <c r="E392" s="106"/>
      <c r="F392" s="105"/>
      <c r="G392" s="106"/>
      <c r="H392" s="204" t="s">
        <v>1129</v>
      </c>
      <c r="I392" s="205" t="s">
        <v>961</v>
      </c>
      <c r="J392" s="205" t="s">
        <v>1130</v>
      </c>
      <c r="K392" s="205" t="s">
        <v>52</v>
      </c>
      <c r="L392" s="206" t="s">
        <v>53</v>
      </c>
      <c r="M392" s="206" t="str">
        <f t="shared" si="25"/>
        <v>OneCo Networks AS</v>
      </c>
      <c r="N39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2" s="279" t="str">
        <f ca="1">IFERROR(IF(
OR(Table1[[#This Row],[Product category]]="Service items",Table1[[#This Row],[Product category]]="Additional services",Table1[[#This Row],[Product category]]="Additional materials"),
"NOK",IF(($N$3&lt;&gt;""),VLOOKUP(Table1[[#This Row],[Product code]],INDIRECT(Aux!$A$1),6,FALSE),"")),"")</f>
        <v/>
      </c>
      <c r="P392" s="280" t="str">
        <f ca="1">IFERROR(IF(AND(Table1[[#This Row],[Quantity]]&lt;&gt;"",Table1[[#This Row],[Currency]]="NOK"),Table1[[#This Row],[Quantity]]*Table1[[#This Row],[Unit Price]],""),"")</f>
        <v/>
      </c>
      <c r="Q392" s="280" t="str">
        <f ca="1">IFERROR(IF(AND(Table1[[#This Row],[ACT_Qty]]&lt;&gt;"",Table1[[#This Row],[Currency]]="NOK"),Table1[[#This Row],[ACT_Qty]]*Table1[[#This Row],[Unit Price]],""),"")</f>
        <v/>
      </c>
      <c r="R392" s="280" t="str">
        <f ca="1">IFERROR(IF(AND(Table1[[#This Row],[Quantity]]&lt;&gt;"",Table1[[#This Row],[Currency]]="EUR"),Table1[[#This Row],[Quantity]]*Table1[[#This Row],[Unit Price]],""),"")</f>
        <v/>
      </c>
      <c r="S392" s="280" t="str">
        <f ca="1">IFERROR(IF(AND(Table1[[#This Row],[ACT_Qty]]&lt;&gt;"",Table1[[#This Row],[Currency]]="EUR"),Table1[[#This Row],[ACT_Qty]]*Table1[[#This Row],[Unit Price]],""),"")</f>
        <v/>
      </c>
      <c r="T392" s="281" t="str">
        <f ca="1">IFERROR(IF(AND(($N$3&lt;&gt;""),INDIRECT(Aux!$D$1)),VLOOKUP(Table1[[#This Row],[Product code]],Aux!B:E,4,FALSE),""),"")</f>
        <v/>
      </c>
      <c r="U392" s="206" t="str">
        <f>IFERROR(IF(OR(Table1[[#This Row],[Quantity]]&lt;&gt;"",Table1[[#This Row],[ACT_Qty]]&lt;&gt;""),Table1[[#This Row],[ACT_Qty]]-Table1[[#This Row],[Quantity]],""),"")</f>
        <v/>
      </c>
      <c r="V392" s="282"/>
      <c r="W392" s="282"/>
      <c r="X392" s="282"/>
    </row>
    <row r="393" spans="1:24" ht="15" customHeight="1">
      <c r="A393" s="227" t="str">
        <f t="shared" si="24"/>
        <v>AKH12345</v>
      </c>
      <c r="B393" s="258" t="s">
        <v>1131</v>
      </c>
      <c r="C393" s="227" t="s">
        <v>1132</v>
      </c>
      <c r="D393" s="105"/>
      <c r="E393" s="106"/>
      <c r="F393" s="105"/>
      <c r="G393" s="106"/>
      <c r="H393" s="201" t="s">
        <v>1133</v>
      </c>
      <c r="I393" s="202" t="s">
        <v>961</v>
      </c>
      <c r="J393" s="202" t="s">
        <v>1111</v>
      </c>
      <c r="K393" s="202" t="s">
        <v>52</v>
      </c>
      <c r="L393" s="203" t="s">
        <v>53</v>
      </c>
      <c r="M393" s="203" t="str">
        <f t="shared" si="25"/>
        <v>OneCo Networks AS</v>
      </c>
      <c r="N39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3" s="284" t="str">
        <f ca="1">IFERROR(IF(
OR(Table1[[#This Row],[Product category]]="Service items",Table1[[#This Row],[Product category]]="Additional services",Table1[[#This Row],[Product category]]="Additional materials"),
"NOK",IF(($N$3&lt;&gt;""),VLOOKUP(Table1[[#This Row],[Product code]],INDIRECT(Aux!$A$1),6,FALSE),"")),"")</f>
        <v/>
      </c>
      <c r="P393" s="285" t="str">
        <f ca="1">IFERROR(IF(AND(Table1[[#This Row],[Quantity]]&lt;&gt;"",Table1[[#This Row],[Currency]]="NOK"),Table1[[#This Row],[Quantity]]*Table1[[#This Row],[Unit Price]],""),"")</f>
        <v/>
      </c>
      <c r="Q393" s="285" t="str">
        <f ca="1">IFERROR(IF(AND(Table1[[#This Row],[ACT_Qty]]&lt;&gt;"",Table1[[#This Row],[Currency]]="NOK"),Table1[[#This Row],[ACT_Qty]]*Table1[[#This Row],[Unit Price]],""),"")</f>
        <v/>
      </c>
      <c r="R393" s="285" t="str">
        <f ca="1">IFERROR(IF(AND(Table1[[#This Row],[Quantity]]&lt;&gt;"",Table1[[#This Row],[Currency]]="EUR"),Table1[[#This Row],[Quantity]]*Table1[[#This Row],[Unit Price]],""),"")</f>
        <v/>
      </c>
      <c r="S393" s="285" t="str">
        <f ca="1">IFERROR(IF(AND(Table1[[#This Row],[ACT_Qty]]&lt;&gt;"",Table1[[#This Row],[Currency]]="EUR"),Table1[[#This Row],[ACT_Qty]]*Table1[[#This Row],[Unit Price]],""),"")</f>
        <v/>
      </c>
      <c r="T393" s="286" t="str">
        <f ca="1">IFERROR(IF(AND(($N$3&lt;&gt;""),INDIRECT(Aux!$D$1)),VLOOKUP(Table1[[#This Row],[Product code]],Aux!B:E,4,FALSE),""),"")</f>
        <v/>
      </c>
      <c r="U393" s="203" t="str">
        <f>IFERROR(IF(OR(Table1[[#This Row],[Quantity]]&lt;&gt;"",Table1[[#This Row],[ACT_Qty]]&lt;&gt;""),Table1[[#This Row],[ACT_Qty]]-Table1[[#This Row],[Quantity]],""),"")</f>
        <v/>
      </c>
      <c r="V393" s="287"/>
      <c r="W393" s="287"/>
      <c r="X393" s="287"/>
    </row>
    <row r="394" spans="1:24" ht="15" customHeight="1">
      <c r="A394" s="228" t="str">
        <f t="shared" si="24"/>
        <v>AKH12345</v>
      </c>
      <c r="B394" s="259" t="s">
        <v>1134</v>
      </c>
      <c r="C394" s="228" t="s">
        <v>1135</v>
      </c>
      <c r="D394" s="105"/>
      <c r="E394" s="106"/>
      <c r="F394" s="105"/>
      <c r="G394" s="106"/>
      <c r="H394" s="204" t="s">
        <v>1136</v>
      </c>
      <c r="I394" s="205" t="s">
        <v>961</v>
      </c>
      <c r="J394" s="205" t="s">
        <v>1062</v>
      </c>
      <c r="K394" s="205" t="s">
        <v>52</v>
      </c>
      <c r="L394" s="206" t="s">
        <v>53</v>
      </c>
      <c r="M394" s="206" t="str">
        <f t="shared" si="25"/>
        <v>OneCo Networks AS</v>
      </c>
      <c r="N39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4" s="279" t="str">
        <f ca="1">IFERROR(IF(
OR(Table1[[#This Row],[Product category]]="Service items",Table1[[#This Row],[Product category]]="Additional services",Table1[[#This Row],[Product category]]="Additional materials"),
"NOK",IF(($N$3&lt;&gt;""),VLOOKUP(Table1[[#This Row],[Product code]],INDIRECT(Aux!$A$1),6,FALSE),"")),"")</f>
        <v/>
      </c>
      <c r="P394" s="280" t="str">
        <f ca="1">IFERROR(IF(AND(Table1[[#This Row],[Quantity]]&lt;&gt;"",Table1[[#This Row],[Currency]]="NOK"),Table1[[#This Row],[Quantity]]*Table1[[#This Row],[Unit Price]],""),"")</f>
        <v/>
      </c>
      <c r="Q394" s="280" t="str">
        <f ca="1">IFERROR(IF(AND(Table1[[#This Row],[ACT_Qty]]&lt;&gt;"",Table1[[#This Row],[Currency]]="NOK"),Table1[[#This Row],[ACT_Qty]]*Table1[[#This Row],[Unit Price]],""),"")</f>
        <v/>
      </c>
      <c r="R394" s="280" t="str">
        <f ca="1">IFERROR(IF(AND(Table1[[#This Row],[Quantity]]&lt;&gt;"",Table1[[#This Row],[Currency]]="EUR"),Table1[[#This Row],[Quantity]]*Table1[[#This Row],[Unit Price]],""),"")</f>
        <v/>
      </c>
      <c r="S394" s="280" t="str">
        <f ca="1">IFERROR(IF(AND(Table1[[#This Row],[ACT_Qty]]&lt;&gt;"",Table1[[#This Row],[Currency]]="EUR"),Table1[[#This Row],[ACT_Qty]]*Table1[[#This Row],[Unit Price]],""),"")</f>
        <v/>
      </c>
      <c r="T394" s="281" t="str">
        <f ca="1">IFERROR(IF(AND(($N$3&lt;&gt;""),INDIRECT(Aux!$D$1)),VLOOKUP(Table1[[#This Row],[Product code]],Aux!B:E,4,FALSE),""),"")</f>
        <v/>
      </c>
      <c r="U394" s="206" t="str">
        <f>IFERROR(IF(OR(Table1[[#This Row],[Quantity]]&lt;&gt;"",Table1[[#This Row],[ACT_Qty]]&lt;&gt;""),Table1[[#This Row],[ACT_Qty]]-Table1[[#This Row],[Quantity]],""),"")</f>
        <v/>
      </c>
      <c r="V394" s="282"/>
      <c r="W394" s="282"/>
      <c r="X394" s="282"/>
    </row>
    <row r="395" spans="1:24" ht="15" customHeight="1">
      <c r="A395" s="227" t="str">
        <f t="shared" si="24"/>
        <v>AKH12345</v>
      </c>
      <c r="B395" s="258" t="s">
        <v>1137</v>
      </c>
      <c r="C395" s="227" t="s">
        <v>1138</v>
      </c>
      <c r="D395" s="105"/>
      <c r="E395" s="106"/>
      <c r="F395" s="105"/>
      <c r="G395" s="106"/>
      <c r="H395" s="201" t="s">
        <v>1139</v>
      </c>
      <c r="I395" s="202" t="s">
        <v>961</v>
      </c>
      <c r="J395" s="202" t="s">
        <v>1140</v>
      </c>
      <c r="K395" s="202" t="s">
        <v>52</v>
      </c>
      <c r="L395" s="203" t="s">
        <v>53</v>
      </c>
      <c r="M395" s="203" t="str">
        <f t="shared" si="25"/>
        <v>OneCo Networks AS</v>
      </c>
      <c r="N39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5" s="284" t="str">
        <f ca="1">IFERROR(IF(
OR(Table1[[#This Row],[Product category]]="Service items",Table1[[#This Row],[Product category]]="Additional services",Table1[[#This Row],[Product category]]="Additional materials"),
"NOK",IF(($N$3&lt;&gt;""),VLOOKUP(Table1[[#This Row],[Product code]],INDIRECT(Aux!$A$1),6,FALSE),"")),"")</f>
        <v/>
      </c>
      <c r="P395" s="285" t="str">
        <f ca="1">IFERROR(IF(AND(Table1[[#This Row],[Quantity]]&lt;&gt;"",Table1[[#This Row],[Currency]]="NOK"),Table1[[#This Row],[Quantity]]*Table1[[#This Row],[Unit Price]],""),"")</f>
        <v/>
      </c>
      <c r="Q395" s="285" t="str">
        <f ca="1">IFERROR(IF(AND(Table1[[#This Row],[ACT_Qty]]&lt;&gt;"",Table1[[#This Row],[Currency]]="NOK"),Table1[[#This Row],[ACT_Qty]]*Table1[[#This Row],[Unit Price]],""),"")</f>
        <v/>
      </c>
      <c r="R395" s="285" t="str">
        <f ca="1">IFERROR(IF(AND(Table1[[#This Row],[Quantity]]&lt;&gt;"",Table1[[#This Row],[Currency]]="EUR"),Table1[[#This Row],[Quantity]]*Table1[[#This Row],[Unit Price]],""),"")</f>
        <v/>
      </c>
      <c r="S395" s="285" t="str">
        <f ca="1">IFERROR(IF(AND(Table1[[#This Row],[ACT_Qty]]&lt;&gt;"",Table1[[#This Row],[Currency]]="EUR"),Table1[[#This Row],[ACT_Qty]]*Table1[[#This Row],[Unit Price]],""),"")</f>
        <v/>
      </c>
      <c r="T395" s="286" t="str">
        <f ca="1">IFERROR(IF(AND(($N$3&lt;&gt;""),INDIRECT(Aux!$D$1)),VLOOKUP(Table1[[#This Row],[Product code]],Aux!B:E,4,FALSE),""),"")</f>
        <v/>
      </c>
      <c r="U395" s="203" t="str">
        <f>IFERROR(IF(OR(Table1[[#This Row],[Quantity]]&lt;&gt;"",Table1[[#This Row],[ACT_Qty]]&lt;&gt;""),Table1[[#This Row],[ACT_Qty]]-Table1[[#This Row],[Quantity]],""),"")</f>
        <v/>
      </c>
      <c r="V395" s="287"/>
      <c r="W395" s="287"/>
      <c r="X395" s="287"/>
    </row>
    <row r="396" spans="1:24" ht="15" customHeight="1">
      <c r="A396" s="228" t="str">
        <f t="shared" si="24"/>
        <v>AKH12345</v>
      </c>
      <c r="B396" s="259" t="s">
        <v>1141</v>
      </c>
      <c r="C396" s="228" t="s">
        <v>1142</v>
      </c>
      <c r="D396" s="105"/>
      <c r="E396" s="106"/>
      <c r="F396" s="105"/>
      <c r="G396" s="106"/>
      <c r="H396" s="204" t="s">
        <v>1143</v>
      </c>
      <c r="I396" s="205" t="s">
        <v>961</v>
      </c>
      <c r="J396" s="205" t="s">
        <v>1144</v>
      </c>
      <c r="K396" s="205" t="s">
        <v>52</v>
      </c>
      <c r="L396" s="206" t="s">
        <v>53</v>
      </c>
      <c r="M396" s="206" t="str">
        <f t="shared" si="25"/>
        <v>OneCo Networks AS</v>
      </c>
      <c r="N39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6" s="279" t="str">
        <f ca="1">IFERROR(IF(
OR(Table1[[#This Row],[Product category]]="Service items",Table1[[#This Row],[Product category]]="Additional services",Table1[[#This Row],[Product category]]="Additional materials"),
"NOK",IF(($N$3&lt;&gt;""),VLOOKUP(Table1[[#This Row],[Product code]],INDIRECT(Aux!$A$1),6,FALSE),"")),"")</f>
        <v/>
      </c>
      <c r="P396" s="280" t="str">
        <f ca="1">IFERROR(IF(AND(Table1[[#This Row],[Quantity]]&lt;&gt;"",Table1[[#This Row],[Currency]]="NOK"),Table1[[#This Row],[Quantity]]*Table1[[#This Row],[Unit Price]],""),"")</f>
        <v/>
      </c>
      <c r="Q396" s="280" t="str">
        <f ca="1">IFERROR(IF(AND(Table1[[#This Row],[ACT_Qty]]&lt;&gt;"",Table1[[#This Row],[Currency]]="NOK"),Table1[[#This Row],[ACT_Qty]]*Table1[[#This Row],[Unit Price]],""),"")</f>
        <v/>
      </c>
      <c r="R396" s="280" t="str">
        <f ca="1">IFERROR(IF(AND(Table1[[#This Row],[Quantity]]&lt;&gt;"",Table1[[#This Row],[Currency]]="EUR"),Table1[[#This Row],[Quantity]]*Table1[[#This Row],[Unit Price]],""),"")</f>
        <v/>
      </c>
      <c r="S396" s="280" t="str">
        <f ca="1">IFERROR(IF(AND(Table1[[#This Row],[ACT_Qty]]&lt;&gt;"",Table1[[#This Row],[Currency]]="EUR"),Table1[[#This Row],[ACT_Qty]]*Table1[[#This Row],[Unit Price]],""),"")</f>
        <v/>
      </c>
      <c r="T396" s="281" t="str">
        <f ca="1">IFERROR(IF(AND(($N$3&lt;&gt;""),INDIRECT(Aux!$D$1)),VLOOKUP(Table1[[#This Row],[Product code]],Aux!B:E,4,FALSE),""),"")</f>
        <v/>
      </c>
      <c r="U396" s="206" t="str">
        <f>IFERROR(IF(OR(Table1[[#This Row],[Quantity]]&lt;&gt;"",Table1[[#This Row],[ACT_Qty]]&lt;&gt;""),Table1[[#This Row],[ACT_Qty]]-Table1[[#This Row],[Quantity]],""),"")</f>
        <v/>
      </c>
      <c r="V396" s="282"/>
      <c r="W396" s="282"/>
      <c r="X396" s="282"/>
    </row>
    <row r="397" spans="1:24" ht="15" customHeight="1">
      <c r="A397" s="227" t="str">
        <f t="shared" si="24"/>
        <v>AKH12345</v>
      </c>
      <c r="B397" s="258" t="s">
        <v>1145</v>
      </c>
      <c r="C397" s="227" t="s">
        <v>1146</v>
      </c>
      <c r="D397" s="105"/>
      <c r="E397" s="106"/>
      <c r="F397" s="105"/>
      <c r="G397" s="106"/>
      <c r="H397" s="201" t="s">
        <v>1147</v>
      </c>
      <c r="I397" s="202" t="s">
        <v>961</v>
      </c>
      <c r="J397" s="202" t="s">
        <v>1144</v>
      </c>
      <c r="K397" s="202" t="s">
        <v>52</v>
      </c>
      <c r="L397" s="203" t="s">
        <v>53</v>
      </c>
      <c r="M397" s="203" t="str">
        <f t="shared" si="25"/>
        <v>OneCo Networks AS</v>
      </c>
      <c r="N39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7" s="284" t="str">
        <f ca="1">IFERROR(IF(
OR(Table1[[#This Row],[Product category]]="Service items",Table1[[#This Row],[Product category]]="Additional services",Table1[[#This Row],[Product category]]="Additional materials"),
"NOK",IF(($N$3&lt;&gt;""),VLOOKUP(Table1[[#This Row],[Product code]],INDIRECT(Aux!$A$1),6,FALSE),"")),"")</f>
        <v/>
      </c>
      <c r="P397" s="285" t="str">
        <f ca="1">IFERROR(IF(AND(Table1[[#This Row],[Quantity]]&lt;&gt;"",Table1[[#This Row],[Currency]]="NOK"),Table1[[#This Row],[Quantity]]*Table1[[#This Row],[Unit Price]],""),"")</f>
        <v/>
      </c>
      <c r="Q397" s="285" t="str">
        <f ca="1">IFERROR(IF(AND(Table1[[#This Row],[ACT_Qty]]&lt;&gt;"",Table1[[#This Row],[Currency]]="NOK"),Table1[[#This Row],[ACT_Qty]]*Table1[[#This Row],[Unit Price]],""),"")</f>
        <v/>
      </c>
      <c r="R397" s="285" t="str">
        <f ca="1">IFERROR(IF(AND(Table1[[#This Row],[Quantity]]&lt;&gt;"",Table1[[#This Row],[Currency]]="EUR"),Table1[[#This Row],[Quantity]]*Table1[[#This Row],[Unit Price]],""),"")</f>
        <v/>
      </c>
      <c r="S397" s="285" t="str">
        <f ca="1">IFERROR(IF(AND(Table1[[#This Row],[ACT_Qty]]&lt;&gt;"",Table1[[#This Row],[Currency]]="EUR"),Table1[[#This Row],[ACT_Qty]]*Table1[[#This Row],[Unit Price]],""),"")</f>
        <v/>
      </c>
      <c r="T397" s="286" t="str">
        <f ca="1">IFERROR(IF(AND(($N$3&lt;&gt;""),INDIRECT(Aux!$D$1)),VLOOKUP(Table1[[#This Row],[Product code]],Aux!B:E,4,FALSE),""),"")</f>
        <v/>
      </c>
      <c r="U397" s="203" t="str">
        <f>IFERROR(IF(OR(Table1[[#This Row],[Quantity]]&lt;&gt;"",Table1[[#This Row],[ACT_Qty]]&lt;&gt;""),Table1[[#This Row],[ACT_Qty]]-Table1[[#This Row],[Quantity]],""),"")</f>
        <v/>
      </c>
      <c r="V397" s="287"/>
      <c r="W397" s="287"/>
      <c r="X397" s="287"/>
    </row>
    <row r="398" spans="1:24" ht="15" customHeight="1">
      <c r="A398" s="228" t="str">
        <f t="shared" si="24"/>
        <v>AKH12345</v>
      </c>
      <c r="B398" s="259" t="s">
        <v>1148</v>
      </c>
      <c r="C398" s="228" t="s">
        <v>1149</v>
      </c>
      <c r="D398" s="105"/>
      <c r="E398" s="106"/>
      <c r="F398" s="105"/>
      <c r="G398" s="106"/>
      <c r="H398" s="204" t="s">
        <v>1150</v>
      </c>
      <c r="I398" s="205" t="s">
        <v>961</v>
      </c>
      <c r="J398" s="205" t="s">
        <v>1111</v>
      </c>
      <c r="K398" s="205" t="s">
        <v>52</v>
      </c>
      <c r="L398" s="206" t="s">
        <v>53</v>
      </c>
      <c r="M398" s="206" t="str">
        <f t="shared" si="25"/>
        <v>OneCo Networks AS</v>
      </c>
      <c r="N39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8" s="279" t="str">
        <f ca="1">IFERROR(IF(
OR(Table1[[#This Row],[Product category]]="Service items",Table1[[#This Row],[Product category]]="Additional services",Table1[[#This Row],[Product category]]="Additional materials"),
"NOK",IF(($N$3&lt;&gt;""),VLOOKUP(Table1[[#This Row],[Product code]],INDIRECT(Aux!$A$1),6,FALSE),"")),"")</f>
        <v/>
      </c>
      <c r="P398" s="280" t="str">
        <f ca="1">IFERROR(IF(AND(Table1[[#This Row],[Quantity]]&lt;&gt;"",Table1[[#This Row],[Currency]]="NOK"),Table1[[#This Row],[Quantity]]*Table1[[#This Row],[Unit Price]],""),"")</f>
        <v/>
      </c>
      <c r="Q398" s="280" t="str">
        <f ca="1">IFERROR(IF(AND(Table1[[#This Row],[ACT_Qty]]&lt;&gt;"",Table1[[#This Row],[Currency]]="NOK"),Table1[[#This Row],[ACT_Qty]]*Table1[[#This Row],[Unit Price]],""),"")</f>
        <v/>
      </c>
      <c r="R398" s="280" t="str">
        <f ca="1">IFERROR(IF(AND(Table1[[#This Row],[Quantity]]&lt;&gt;"",Table1[[#This Row],[Currency]]="EUR"),Table1[[#This Row],[Quantity]]*Table1[[#This Row],[Unit Price]],""),"")</f>
        <v/>
      </c>
      <c r="S398" s="280" t="str">
        <f ca="1">IFERROR(IF(AND(Table1[[#This Row],[ACT_Qty]]&lt;&gt;"",Table1[[#This Row],[Currency]]="EUR"),Table1[[#This Row],[ACT_Qty]]*Table1[[#This Row],[Unit Price]],""),"")</f>
        <v/>
      </c>
      <c r="T398" s="281" t="str">
        <f ca="1">IFERROR(IF(AND(($N$3&lt;&gt;""),INDIRECT(Aux!$D$1)),VLOOKUP(Table1[[#This Row],[Product code]],Aux!B:E,4,FALSE),""),"")</f>
        <v/>
      </c>
      <c r="U398" s="206" t="str">
        <f>IFERROR(IF(OR(Table1[[#This Row],[Quantity]]&lt;&gt;"",Table1[[#This Row],[ACT_Qty]]&lt;&gt;""),Table1[[#This Row],[ACT_Qty]]-Table1[[#This Row],[Quantity]],""),"")</f>
        <v/>
      </c>
      <c r="V398" s="282"/>
      <c r="W398" s="282"/>
      <c r="X398" s="282"/>
    </row>
    <row r="399" spans="1:24" ht="15" customHeight="1">
      <c r="A399" s="227" t="str">
        <f t="shared" si="24"/>
        <v>AKH12345</v>
      </c>
      <c r="B399" s="258" t="s">
        <v>1151</v>
      </c>
      <c r="C399" s="227" t="s">
        <v>1152</v>
      </c>
      <c r="D399" s="105"/>
      <c r="E399" s="106"/>
      <c r="F399" s="105"/>
      <c r="G399" s="106"/>
      <c r="H399" s="201" t="s">
        <v>1153</v>
      </c>
      <c r="I399" s="202" t="s">
        <v>961</v>
      </c>
      <c r="J399" s="202" t="s">
        <v>1154</v>
      </c>
      <c r="K399" s="202" t="s">
        <v>52</v>
      </c>
      <c r="L399" s="203" t="s">
        <v>53</v>
      </c>
      <c r="M399" s="203" t="str">
        <f t="shared" si="25"/>
        <v>OneCo Networks AS</v>
      </c>
      <c r="N39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399" s="284" t="str">
        <f ca="1">IFERROR(IF(
OR(Table1[[#This Row],[Product category]]="Service items",Table1[[#This Row],[Product category]]="Additional services",Table1[[#This Row],[Product category]]="Additional materials"),
"NOK",IF(($N$3&lt;&gt;""),VLOOKUP(Table1[[#This Row],[Product code]],INDIRECT(Aux!$A$1),6,FALSE),"")),"")</f>
        <v/>
      </c>
      <c r="P399" s="285" t="str">
        <f ca="1">IFERROR(IF(AND(Table1[[#This Row],[Quantity]]&lt;&gt;"",Table1[[#This Row],[Currency]]="NOK"),Table1[[#This Row],[Quantity]]*Table1[[#This Row],[Unit Price]],""),"")</f>
        <v/>
      </c>
      <c r="Q399" s="285" t="str">
        <f ca="1">IFERROR(IF(AND(Table1[[#This Row],[ACT_Qty]]&lt;&gt;"",Table1[[#This Row],[Currency]]="NOK"),Table1[[#This Row],[ACT_Qty]]*Table1[[#This Row],[Unit Price]],""),"")</f>
        <v/>
      </c>
      <c r="R399" s="285" t="str">
        <f ca="1">IFERROR(IF(AND(Table1[[#This Row],[Quantity]]&lt;&gt;"",Table1[[#This Row],[Currency]]="EUR"),Table1[[#This Row],[Quantity]]*Table1[[#This Row],[Unit Price]],""),"")</f>
        <v/>
      </c>
      <c r="S399" s="285" t="str">
        <f ca="1">IFERROR(IF(AND(Table1[[#This Row],[ACT_Qty]]&lt;&gt;"",Table1[[#This Row],[Currency]]="EUR"),Table1[[#This Row],[ACT_Qty]]*Table1[[#This Row],[Unit Price]],""),"")</f>
        <v/>
      </c>
      <c r="T399" s="286" t="str">
        <f ca="1">IFERROR(IF(AND(($N$3&lt;&gt;""),INDIRECT(Aux!$D$1)),VLOOKUP(Table1[[#This Row],[Product code]],Aux!B:E,4,FALSE),""),"")</f>
        <v/>
      </c>
      <c r="U399" s="203" t="str">
        <f>IFERROR(IF(OR(Table1[[#This Row],[Quantity]]&lt;&gt;"",Table1[[#This Row],[ACT_Qty]]&lt;&gt;""),Table1[[#This Row],[ACT_Qty]]-Table1[[#This Row],[Quantity]],""),"")</f>
        <v/>
      </c>
      <c r="V399" s="287"/>
      <c r="W399" s="287"/>
      <c r="X399" s="287"/>
    </row>
    <row r="400" spans="1:24" ht="15" customHeight="1">
      <c r="A400" s="228" t="str">
        <f t="shared" si="24"/>
        <v>AKH12345</v>
      </c>
      <c r="B400" s="259" t="s">
        <v>1155</v>
      </c>
      <c r="C400" s="228" t="s">
        <v>1156</v>
      </c>
      <c r="D400" s="105"/>
      <c r="E400" s="106"/>
      <c r="F400" s="105"/>
      <c r="G400" s="106"/>
      <c r="H400" s="204" t="s">
        <v>1157</v>
      </c>
      <c r="I400" s="205" t="s">
        <v>961</v>
      </c>
      <c r="J400" s="205" t="s">
        <v>1158</v>
      </c>
      <c r="K400" s="205" t="s">
        <v>52</v>
      </c>
      <c r="L400" s="206" t="s">
        <v>53</v>
      </c>
      <c r="M400" s="206" t="str">
        <f>IF($C$3&lt;&gt;"",$C$3,"")</f>
        <v>OneCo Networks AS</v>
      </c>
      <c r="N40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0" s="279" t="str">
        <f ca="1">IFERROR(IF(
OR(Table1[[#This Row],[Product category]]="Service items",Table1[[#This Row],[Product category]]="Additional services",Table1[[#This Row],[Product category]]="Additional materials"),
"NOK",IF(($N$3&lt;&gt;""),VLOOKUP(Table1[[#This Row],[Product code]],INDIRECT(Aux!$A$1),6,FALSE),"")),"")</f>
        <v/>
      </c>
      <c r="P400" s="280" t="str">
        <f ca="1">IFERROR(IF(AND(Table1[[#This Row],[Quantity]]&lt;&gt;"",Table1[[#This Row],[Currency]]="NOK"),Table1[[#This Row],[Quantity]]*Table1[[#This Row],[Unit Price]],""),"")</f>
        <v/>
      </c>
      <c r="Q400" s="280" t="str">
        <f ca="1">IFERROR(IF(AND(Table1[[#This Row],[ACT_Qty]]&lt;&gt;"",Table1[[#This Row],[Currency]]="NOK"),Table1[[#This Row],[ACT_Qty]]*Table1[[#This Row],[Unit Price]],""),"")</f>
        <v/>
      </c>
      <c r="R400" s="280" t="str">
        <f ca="1">IFERROR(IF(AND(Table1[[#This Row],[Quantity]]&lt;&gt;"",Table1[[#This Row],[Currency]]="EUR"),Table1[[#This Row],[Quantity]]*Table1[[#This Row],[Unit Price]],""),"")</f>
        <v/>
      </c>
      <c r="S400" s="280" t="str">
        <f ca="1">IFERROR(IF(AND(Table1[[#This Row],[ACT_Qty]]&lt;&gt;"",Table1[[#This Row],[Currency]]="EUR"),Table1[[#This Row],[ACT_Qty]]*Table1[[#This Row],[Unit Price]],""),"")</f>
        <v/>
      </c>
      <c r="T400" s="281" t="str">
        <f ca="1">IFERROR(IF(AND(($N$3&lt;&gt;""),INDIRECT(Aux!$D$1)),VLOOKUP(Table1[[#This Row],[Product code]],Aux!B:E,4,FALSE),""),"")</f>
        <v/>
      </c>
      <c r="U400" s="206" t="str">
        <f>IFERROR(IF(OR(Table1[[#This Row],[Quantity]]&lt;&gt;"",Table1[[#This Row],[ACT_Qty]]&lt;&gt;""),Table1[[#This Row],[ACT_Qty]]-Table1[[#This Row],[Quantity]],""),"")</f>
        <v/>
      </c>
      <c r="V400" s="282"/>
      <c r="W400" s="282"/>
      <c r="X400" s="282"/>
    </row>
    <row r="401" spans="1:24" ht="15" customHeight="1">
      <c r="A401" s="227" t="str">
        <f t="shared" si="24"/>
        <v>AKH12345</v>
      </c>
      <c r="B401" s="258" t="s">
        <v>1159</v>
      </c>
      <c r="C401" s="227" t="s">
        <v>1160</v>
      </c>
      <c r="D401" s="105"/>
      <c r="E401" s="106"/>
      <c r="F401" s="105"/>
      <c r="G401" s="106"/>
      <c r="H401" s="201" t="s">
        <v>1161</v>
      </c>
      <c r="I401" s="202" t="s">
        <v>961</v>
      </c>
      <c r="J401" s="202" t="s">
        <v>1158</v>
      </c>
      <c r="K401" s="202" t="s">
        <v>52</v>
      </c>
      <c r="L401" s="203" t="s">
        <v>53</v>
      </c>
      <c r="M401" s="203" t="str">
        <f>IF($C$3&lt;&gt;"",$C$3,"")</f>
        <v>OneCo Networks AS</v>
      </c>
      <c r="N40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1" s="284" t="str">
        <f ca="1">IFERROR(IF(
OR(Table1[[#This Row],[Product category]]="Service items",Table1[[#This Row],[Product category]]="Additional services",Table1[[#This Row],[Product category]]="Additional materials"),
"NOK",IF(($N$3&lt;&gt;""),VLOOKUP(Table1[[#This Row],[Product code]],INDIRECT(Aux!$A$1),6,FALSE),"")),"")</f>
        <v/>
      </c>
      <c r="P401" s="285" t="str">
        <f ca="1">IFERROR(IF(AND(Table1[[#This Row],[Quantity]]&lt;&gt;"",Table1[[#This Row],[Currency]]="NOK"),Table1[[#This Row],[Quantity]]*Table1[[#This Row],[Unit Price]],""),"")</f>
        <v/>
      </c>
      <c r="Q401" s="285" t="str">
        <f ca="1">IFERROR(IF(AND(Table1[[#This Row],[ACT_Qty]]&lt;&gt;"",Table1[[#This Row],[Currency]]="NOK"),Table1[[#This Row],[ACT_Qty]]*Table1[[#This Row],[Unit Price]],""),"")</f>
        <v/>
      </c>
      <c r="R401" s="285" t="str">
        <f ca="1">IFERROR(IF(AND(Table1[[#This Row],[Quantity]]&lt;&gt;"",Table1[[#This Row],[Currency]]="EUR"),Table1[[#This Row],[Quantity]]*Table1[[#This Row],[Unit Price]],""),"")</f>
        <v/>
      </c>
      <c r="S401" s="285" t="str">
        <f ca="1">IFERROR(IF(AND(Table1[[#This Row],[ACT_Qty]]&lt;&gt;"",Table1[[#This Row],[Currency]]="EUR"),Table1[[#This Row],[ACT_Qty]]*Table1[[#This Row],[Unit Price]],""),"")</f>
        <v/>
      </c>
      <c r="T401" s="286" t="str">
        <f ca="1">IFERROR(IF(AND(($N$3&lt;&gt;""),INDIRECT(Aux!$D$1)),VLOOKUP(Table1[[#This Row],[Product code]],Aux!B:E,4,FALSE),""),"")</f>
        <v/>
      </c>
      <c r="U401" s="203" t="str">
        <f>IFERROR(IF(OR(Table1[[#This Row],[Quantity]]&lt;&gt;"",Table1[[#This Row],[ACT_Qty]]&lt;&gt;""),Table1[[#This Row],[ACT_Qty]]-Table1[[#This Row],[Quantity]],""),"")</f>
        <v/>
      </c>
      <c r="V401" s="287"/>
      <c r="W401" s="287"/>
      <c r="X401" s="287"/>
    </row>
    <row r="402" spans="1:24" ht="15" customHeight="1">
      <c r="A402" s="228" t="str">
        <f t="shared" si="24"/>
        <v>AKH12345</v>
      </c>
      <c r="B402" s="259" t="s">
        <v>1162</v>
      </c>
      <c r="C402" s="228" t="s">
        <v>1163</v>
      </c>
      <c r="D402" s="105"/>
      <c r="E402" s="106"/>
      <c r="F402" s="105"/>
      <c r="G402" s="106"/>
      <c r="H402" s="204" t="s">
        <v>1161</v>
      </c>
      <c r="I402" s="205" t="s">
        <v>961</v>
      </c>
      <c r="J402" s="205" t="s">
        <v>1158</v>
      </c>
      <c r="K402" s="205" t="s">
        <v>52</v>
      </c>
      <c r="L402" s="206" t="s">
        <v>53</v>
      </c>
      <c r="M402" s="206" t="str">
        <f>IF($C$3&lt;&gt;"",$C$3,"")</f>
        <v>OneCo Networks AS</v>
      </c>
      <c r="N40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2" s="279" t="str">
        <f ca="1">IFERROR(IF(
OR(Table1[[#This Row],[Product category]]="Service items",Table1[[#This Row],[Product category]]="Additional services",Table1[[#This Row],[Product category]]="Additional materials"),
"NOK",IF(($N$3&lt;&gt;""),VLOOKUP(Table1[[#This Row],[Product code]],INDIRECT(Aux!$A$1),6,FALSE),"")),"")</f>
        <v/>
      </c>
      <c r="P402" s="280" t="str">
        <f ca="1">IFERROR(IF(AND(Table1[[#This Row],[Quantity]]&lt;&gt;"",Table1[[#This Row],[Currency]]="NOK"),Table1[[#This Row],[Quantity]]*Table1[[#This Row],[Unit Price]],""),"")</f>
        <v/>
      </c>
      <c r="Q402" s="280" t="str">
        <f ca="1">IFERROR(IF(AND(Table1[[#This Row],[ACT_Qty]]&lt;&gt;"",Table1[[#This Row],[Currency]]="NOK"),Table1[[#This Row],[ACT_Qty]]*Table1[[#This Row],[Unit Price]],""),"")</f>
        <v/>
      </c>
      <c r="R402" s="280" t="str">
        <f ca="1">IFERROR(IF(AND(Table1[[#This Row],[Quantity]]&lt;&gt;"",Table1[[#This Row],[Currency]]="EUR"),Table1[[#This Row],[Quantity]]*Table1[[#This Row],[Unit Price]],""),"")</f>
        <v/>
      </c>
      <c r="S402" s="280" t="str">
        <f ca="1">IFERROR(IF(AND(Table1[[#This Row],[ACT_Qty]]&lt;&gt;"",Table1[[#This Row],[Currency]]="EUR"),Table1[[#This Row],[ACT_Qty]]*Table1[[#This Row],[Unit Price]],""),"")</f>
        <v/>
      </c>
      <c r="T402" s="281" t="str">
        <f ca="1">IFERROR(IF(AND(($N$3&lt;&gt;""),INDIRECT(Aux!$D$1)),VLOOKUP(Table1[[#This Row],[Product code]],Aux!B:E,4,FALSE),""),"")</f>
        <v/>
      </c>
      <c r="U402" s="206" t="str">
        <f>IFERROR(IF(OR(Table1[[#This Row],[Quantity]]&lt;&gt;"",Table1[[#This Row],[ACT_Qty]]&lt;&gt;""),Table1[[#This Row],[ACT_Qty]]-Table1[[#This Row],[Quantity]],""),"")</f>
        <v/>
      </c>
      <c r="V402" s="282"/>
      <c r="W402" s="282"/>
      <c r="X402" s="282"/>
    </row>
    <row r="403" spans="1:24" ht="15" customHeight="1">
      <c r="A403" s="227" t="str">
        <f t="shared" si="24"/>
        <v>AKH12345</v>
      </c>
      <c r="B403" s="258" t="s">
        <v>1164</v>
      </c>
      <c r="C403" s="227" t="s">
        <v>1165</v>
      </c>
      <c r="D403" s="105"/>
      <c r="E403" s="106"/>
      <c r="F403" s="105"/>
      <c r="G403" s="106"/>
      <c r="H403" s="201" t="s">
        <v>960</v>
      </c>
      <c r="I403" s="202" t="s">
        <v>961</v>
      </c>
      <c r="J403" s="202" t="s">
        <v>1166</v>
      </c>
      <c r="K403" s="202" t="s">
        <v>52</v>
      </c>
      <c r="L403" s="203" t="s">
        <v>152</v>
      </c>
      <c r="M403" s="203" t="str">
        <f t="shared" si="25"/>
        <v>OneCo Networks AS</v>
      </c>
      <c r="N40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3" s="284" t="str">
        <f ca="1">IFERROR(IF(
OR(Table1[[#This Row],[Product category]]="Service items",Table1[[#This Row],[Product category]]="Additional services",Table1[[#This Row],[Product category]]="Additional materials"),
"NOK",IF(($N$3&lt;&gt;""),VLOOKUP(Table1[[#This Row],[Product code]],INDIRECT(Aux!$A$1),6,FALSE),"")),"")</f>
        <v/>
      </c>
      <c r="P403" s="285" t="str">
        <f ca="1">IFERROR(IF(AND(Table1[[#This Row],[Quantity]]&lt;&gt;"",Table1[[#This Row],[Currency]]="NOK"),Table1[[#This Row],[Quantity]]*Table1[[#This Row],[Unit Price]],""),"")</f>
        <v/>
      </c>
      <c r="Q403" s="285" t="str">
        <f ca="1">IFERROR(IF(AND(Table1[[#This Row],[ACT_Qty]]&lt;&gt;"",Table1[[#This Row],[Currency]]="NOK"),Table1[[#This Row],[ACT_Qty]]*Table1[[#This Row],[Unit Price]],""),"")</f>
        <v/>
      </c>
      <c r="R403" s="285" t="str">
        <f ca="1">IFERROR(IF(AND(Table1[[#This Row],[Quantity]]&lt;&gt;"",Table1[[#This Row],[Currency]]="EUR"),Table1[[#This Row],[Quantity]]*Table1[[#This Row],[Unit Price]],""),"")</f>
        <v/>
      </c>
      <c r="S403" s="285" t="str">
        <f ca="1">IFERROR(IF(AND(Table1[[#This Row],[ACT_Qty]]&lt;&gt;"",Table1[[#This Row],[Currency]]="EUR"),Table1[[#This Row],[ACT_Qty]]*Table1[[#This Row],[Unit Price]],""),"")</f>
        <v/>
      </c>
      <c r="T403" s="286" t="str">
        <f ca="1">IFERROR(IF(AND(($N$3&lt;&gt;""),INDIRECT(Aux!$D$1)),VLOOKUP(Table1[[#This Row],[Product code]],Aux!B:E,4,FALSE),""),"")</f>
        <v/>
      </c>
      <c r="U403" s="203" t="str">
        <f>IFERROR(IF(OR(Table1[[#This Row],[Quantity]]&lt;&gt;"",Table1[[#This Row],[ACT_Qty]]&lt;&gt;""),Table1[[#This Row],[ACT_Qty]]-Table1[[#This Row],[Quantity]],""),"")</f>
        <v/>
      </c>
      <c r="V403" s="287"/>
      <c r="W403" s="287"/>
      <c r="X403" s="287"/>
    </row>
    <row r="404" spans="1:24" ht="15" customHeight="1">
      <c r="A404" s="228" t="str">
        <f t="shared" si="24"/>
        <v>AKH12345</v>
      </c>
      <c r="B404" s="259" t="s">
        <v>1167</v>
      </c>
      <c r="C404" s="228" t="s">
        <v>1168</v>
      </c>
      <c r="D404" s="105"/>
      <c r="E404" s="106"/>
      <c r="F404" s="105"/>
      <c r="G404" s="106"/>
      <c r="H404" s="204" t="s">
        <v>960</v>
      </c>
      <c r="I404" s="205" t="s">
        <v>961</v>
      </c>
      <c r="J404" s="205" t="s">
        <v>1166</v>
      </c>
      <c r="K404" s="205" t="s">
        <v>52</v>
      </c>
      <c r="L404" s="206" t="s">
        <v>152</v>
      </c>
      <c r="M404" s="206" t="str">
        <f t="shared" si="25"/>
        <v>OneCo Networks AS</v>
      </c>
      <c r="N40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4" s="279" t="str">
        <f ca="1">IFERROR(IF(
OR(Table1[[#This Row],[Product category]]="Service items",Table1[[#This Row],[Product category]]="Additional services",Table1[[#This Row],[Product category]]="Additional materials"),
"NOK",IF(($N$3&lt;&gt;""),VLOOKUP(Table1[[#This Row],[Product code]],INDIRECT(Aux!$A$1),6,FALSE),"")),"")</f>
        <v/>
      </c>
      <c r="P404" s="280" t="str">
        <f ca="1">IFERROR(IF(AND(Table1[[#This Row],[Quantity]]&lt;&gt;"",Table1[[#This Row],[Currency]]="NOK"),Table1[[#This Row],[Quantity]]*Table1[[#This Row],[Unit Price]],""),"")</f>
        <v/>
      </c>
      <c r="Q404" s="280" t="str">
        <f ca="1">IFERROR(IF(AND(Table1[[#This Row],[ACT_Qty]]&lt;&gt;"",Table1[[#This Row],[Currency]]="NOK"),Table1[[#This Row],[ACT_Qty]]*Table1[[#This Row],[Unit Price]],""),"")</f>
        <v/>
      </c>
      <c r="R404" s="280" t="str">
        <f ca="1">IFERROR(IF(AND(Table1[[#This Row],[Quantity]]&lt;&gt;"",Table1[[#This Row],[Currency]]="EUR"),Table1[[#This Row],[Quantity]]*Table1[[#This Row],[Unit Price]],""),"")</f>
        <v/>
      </c>
      <c r="S404" s="280" t="str">
        <f ca="1">IFERROR(IF(AND(Table1[[#This Row],[ACT_Qty]]&lt;&gt;"",Table1[[#This Row],[Currency]]="EUR"),Table1[[#This Row],[ACT_Qty]]*Table1[[#This Row],[Unit Price]],""),"")</f>
        <v/>
      </c>
      <c r="T404" s="281" t="str">
        <f ca="1">IFERROR(IF(AND(($N$3&lt;&gt;""),INDIRECT(Aux!$D$1)),VLOOKUP(Table1[[#This Row],[Product code]],Aux!B:E,4,FALSE),""),"")</f>
        <v/>
      </c>
      <c r="U404" s="206" t="str">
        <f>IFERROR(IF(OR(Table1[[#This Row],[Quantity]]&lt;&gt;"",Table1[[#This Row],[ACT_Qty]]&lt;&gt;""),Table1[[#This Row],[ACT_Qty]]-Table1[[#This Row],[Quantity]],""),"")</f>
        <v/>
      </c>
      <c r="V404" s="282"/>
      <c r="W404" s="282"/>
      <c r="X404" s="282"/>
    </row>
    <row r="405" spans="1:24">
      <c r="A405" s="227" t="str">
        <f t="shared" si="24"/>
        <v>AKH12345</v>
      </c>
      <c r="B405" s="258" t="s">
        <v>1169</v>
      </c>
      <c r="C405" s="227" t="s">
        <v>1170</v>
      </c>
      <c r="D405" s="105"/>
      <c r="E405" s="106"/>
      <c r="F405" s="105"/>
      <c r="G405" s="106"/>
      <c r="H405" s="201" t="s">
        <v>960</v>
      </c>
      <c r="I405" s="202" t="s">
        <v>961</v>
      </c>
      <c r="J405" s="202" t="s">
        <v>1166</v>
      </c>
      <c r="K405" s="202" t="s">
        <v>52</v>
      </c>
      <c r="L405" s="203" t="s">
        <v>152</v>
      </c>
      <c r="M405" s="203" t="str">
        <f t="shared" si="25"/>
        <v>OneCo Networks AS</v>
      </c>
      <c r="N40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5" s="284" t="str">
        <f ca="1">IFERROR(IF(
OR(Table1[[#This Row],[Product category]]="Service items",Table1[[#This Row],[Product category]]="Additional services",Table1[[#This Row],[Product category]]="Additional materials"),
"NOK",IF(($N$3&lt;&gt;""),VLOOKUP(Table1[[#This Row],[Product code]],INDIRECT(Aux!$A$1),6,FALSE),"")),"")</f>
        <v/>
      </c>
      <c r="P405" s="285" t="str">
        <f ca="1">IFERROR(IF(AND(Table1[[#This Row],[Quantity]]&lt;&gt;"",Table1[[#This Row],[Currency]]="NOK"),Table1[[#This Row],[Quantity]]*Table1[[#This Row],[Unit Price]],""),"")</f>
        <v/>
      </c>
      <c r="Q405" s="285" t="str">
        <f ca="1">IFERROR(IF(AND(Table1[[#This Row],[ACT_Qty]]&lt;&gt;"",Table1[[#This Row],[Currency]]="NOK"),Table1[[#This Row],[ACT_Qty]]*Table1[[#This Row],[Unit Price]],""),"")</f>
        <v/>
      </c>
      <c r="R405" s="285" t="str">
        <f ca="1">IFERROR(IF(AND(Table1[[#This Row],[Quantity]]&lt;&gt;"",Table1[[#This Row],[Currency]]="EUR"),Table1[[#This Row],[Quantity]]*Table1[[#This Row],[Unit Price]],""),"")</f>
        <v/>
      </c>
      <c r="S405" s="285" t="str">
        <f ca="1">IFERROR(IF(AND(Table1[[#This Row],[ACT_Qty]]&lt;&gt;"",Table1[[#This Row],[Currency]]="EUR"),Table1[[#This Row],[ACT_Qty]]*Table1[[#This Row],[Unit Price]],""),"")</f>
        <v/>
      </c>
      <c r="T405" s="286" t="str">
        <f ca="1">IFERROR(IF(AND(($N$3&lt;&gt;""),INDIRECT(Aux!$D$1)),VLOOKUP(Table1[[#This Row],[Product code]],Aux!B:E,4,FALSE),""),"")</f>
        <v/>
      </c>
      <c r="U405" s="203" t="str">
        <f>IFERROR(IF(OR(Table1[[#This Row],[Quantity]]&lt;&gt;"",Table1[[#This Row],[ACT_Qty]]&lt;&gt;""),Table1[[#This Row],[ACT_Qty]]-Table1[[#This Row],[Quantity]],""),"")</f>
        <v/>
      </c>
      <c r="V405" s="287"/>
      <c r="W405" s="287"/>
      <c r="X405" s="287"/>
    </row>
    <row r="406" spans="1:24">
      <c r="A406" s="228" t="str">
        <f t="shared" si="24"/>
        <v>AKH12345</v>
      </c>
      <c r="B406" s="259" t="s">
        <v>1171</v>
      </c>
      <c r="C406" s="228" t="s">
        <v>1172</v>
      </c>
      <c r="D406" s="105"/>
      <c r="E406" s="106"/>
      <c r="F406" s="105"/>
      <c r="G406" s="106"/>
      <c r="H406" s="204" t="s">
        <v>960</v>
      </c>
      <c r="I406" s="205" t="s">
        <v>961</v>
      </c>
      <c r="J406" s="205" t="s">
        <v>1166</v>
      </c>
      <c r="K406" s="205" t="s">
        <v>52</v>
      </c>
      <c r="L406" s="206" t="s">
        <v>152</v>
      </c>
      <c r="M406" s="206" t="str">
        <f t="shared" si="25"/>
        <v>OneCo Networks AS</v>
      </c>
      <c r="N40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6" s="279" t="str">
        <f ca="1">IFERROR(IF(
OR(Table1[[#This Row],[Product category]]="Service items",Table1[[#This Row],[Product category]]="Additional services",Table1[[#This Row],[Product category]]="Additional materials"),
"NOK",IF(($N$3&lt;&gt;""),VLOOKUP(Table1[[#This Row],[Product code]],INDIRECT(Aux!$A$1),6,FALSE),"")),"")</f>
        <v/>
      </c>
      <c r="P406" s="280" t="str">
        <f ca="1">IFERROR(IF(AND(Table1[[#This Row],[Quantity]]&lt;&gt;"",Table1[[#This Row],[Currency]]="NOK"),Table1[[#This Row],[Quantity]]*Table1[[#This Row],[Unit Price]],""),"")</f>
        <v/>
      </c>
      <c r="Q406" s="280" t="str">
        <f ca="1">IFERROR(IF(AND(Table1[[#This Row],[ACT_Qty]]&lt;&gt;"",Table1[[#This Row],[Currency]]="NOK"),Table1[[#This Row],[ACT_Qty]]*Table1[[#This Row],[Unit Price]],""),"")</f>
        <v/>
      </c>
      <c r="R406" s="280" t="str">
        <f ca="1">IFERROR(IF(AND(Table1[[#This Row],[Quantity]]&lt;&gt;"",Table1[[#This Row],[Currency]]="EUR"),Table1[[#This Row],[Quantity]]*Table1[[#This Row],[Unit Price]],""),"")</f>
        <v/>
      </c>
      <c r="S406" s="280" t="str">
        <f ca="1">IFERROR(IF(AND(Table1[[#This Row],[ACT_Qty]]&lt;&gt;"",Table1[[#This Row],[Currency]]="EUR"),Table1[[#This Row],[ACT_Qty]]*Table1[[#This Row],[Unit Price]],""),"")</f>
        <v/>
      </c>
      <c r="T406" s="281" t="str">
        <f ca="1">IFERROR(IF(AND(($N$3&lt;&gt;""),INDIRECT(Aux!$D$1)),VLOOKUP(Table1[[#This Row],[Product code]],Aux!B:E,4,FALSE),""),"")</f>
        <v/>
      </c>
      <c r="U406" s="206" t="str">
        <f>IFERROR(IF(OR(Table1[[#This Row],[Quantity]]&lt;&gt;"",Table1[[#This Row],[ACT_Qty]]&lt;&gt;""),Table1[[#This Row],[ACT_Qty]]-Table1[[#This Row],[Quantity]],""),"")</f>
        <v/>
      </c>
      <c r="V406" s="282"/>
      <c r="W406" s="282"/>
      <c r="X406" s="282"/>
    </row>
    <row r="407" spans="1:24">
      <c r="A407" s="227" t="str">
        <f t="shared" si="24"/>
        <v>AKH12345</v>
      </c>
      <c r="B407" s="258" t="s">
        <v>1173</v>
      </c>
      <c r="C407" s="227" t="s">
        <v>1174</v>
      </c>
      <c r="D407" s="105"/>
      <c r="E407" s="106"/>
      <c r="F407" s="105"/>
      <c r="G407" s="106"/>
      <c r="H407" s="201" t="s">
        <v>960</v>
      </c>
      <c r="I407" s="202" t="s">
        <v>961</v>
      </c>
      <c r="J407" s="202" t="s">
        <v>1166</v>
      </c>
      <c r="K407" s="202" t="s">
        <v>52</v>
      </c>
      <c r="L407" s="203" t="s">
        <v>152</v>
      </c>
      <c r="M407" s="203" t="str">
        <f t="shared" si="25"/>
        <v>OneCo Networks AS</v>
      </c>
      <c r="N40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7" s="284" t="str">
        <f ca="1">IFERROR(IF(
OR(Table1[[#This Row],[Product category]]="Service items",Table1[[#This Row],[Product category]]="Additional services",Table1[[#This Row],[Product category]]="Additional materials"),
"NOK",IF(($N$3&lt;&gt;""),VLOOKUP(Table1[[#This Row],[Product code]],INDIRECT(Aux!$A$1),6,FALSE),"")),"")</f>
        <v/>
      </c>
      <c r="P407" s="285" t="str">
        <f ca="1">IFERROR(IF(AND(Table1[[#This Row],[Quantity]]&lt;&gt;"",Table1[[#This Row],[Currency]]="NOK"),Table1[[#This Row],[Quantity]]*Table1[[#This Row],[Unit Price]],""),"")</f>
        <v/>
      </c>
      <c r="Q407" s="285" t="str">
        <f ca="1">IFERROR(IF(AND(Table1[[#This Row],[ACT_Qty]]&lt;&gt;"",Table1[[#This Row],[Currency]]="NOK"),Table1[[#This Row],[ACT_Qty]]*Table1[[#This Row],[Unit Price]],""),"")</f>
        <v/>
      </c>
      <c r="R407" s="285" t="str">
        <f ca="1">IFERROR(IF(AND(Table1[[#This Row],[Quantity]]&lt;&gt;"",Table1[[#This Row],[Currency]]="EUR"),Table1[[#This Row],[Quantity]]*Table1[[#This Row],[Unit Price]],""),"")</f>
        <v/>
      </c>
      <c r="S407" s="285" t="str">
        <f ca="1">IFERROR(IF(AND(Table1[[#This Row],[ACT_Qty]]&lt;&gt;"",Table1[[#This Row],[Currency]]="EUR"),Table1[[#This Row],[ACT_Qty]]*Table1[[#This Row],[Unit Price]],""),"")</f>
        <v/>
      </c>
      <c r="T407" s="286" t="str">
        <f ca="1">IFERROR(IF(AND(($N$3&lt;&gt;""),INDIRECT(Aux!$D$1)),VLOOKUP(Table1[[#This Row],[Product code]],Aux!B:E,4,FALSE),""),"")</f>
        <v/>
      </c>
      <c r="U407" s="203" t="str">
        <f>IFERROR(IF(OR(Table1[[#This Row],[Quantity]]&lt;&gt;"",Table1[[#This Row],[ACT_Qty]]&lt;&gt;""),Table1[[#This Row],[ACT_Qty]]-Table1[[#This Row],[Quantity]],""),"")</f>
        <v/>
      </c>
      <c r="V407" s="287"/>
      <c r="W407" s="287"/>
      <c r="X407" s="287"/>
    </row>
    <row r="408" spans="1:24" ht="15" customHeight="1">
      <c r="A408" s="228" t="str">
        <f t="shared" si="24"/>
        <v>AKH12345</v>
      </c>
      <c r="B408" s="259" t="s">
        <v>1175</v>
      </c>
      <c r="C408" s="228" t="s">
        <v>1176</v>
      </c>
      <c r="D408" s="105"/>
      <c r="E408" s="106"/>
      <c r="F408" s="105"/>
      <c r="G408" s="106"/>
      <c r="H408" s="204" t="s">
        <v>1177</v>
      </c>
      <c r="I408" s="205" t="s">
        <v>961</v>
      </c>
      <c r="J408" s="205" t="s">
        <v>1166</v>
      </c>
      <c r="K408" s="205" t="s">
        <v>52</v>
      </c>
      <c r="L408" s="206" t="s">
        <v>152</v>
      </c>
      <c r="M408" s="206" t="str">
        <f t="shared" ref="M408:M414" si="27">IF($C$3&lt;&gt;"",$C$3,"")</f>
        <v>OneCo Networks AS</v>
      </c>
      <c r="N40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8" s="279" t="str">
        <f ca="1">IFERROR(IF(
OR(Table1[[#This Row],[Product category]]="Service items",Table1[[#This Row],[Product category]]="Additional services",Table1[[#This Row],[Product category]]="Additional materials"),
"NOK",IF(($N$3&lt;&gt;""),VLOOKUP(Table1[[#This Row],[Product code]],INDIRECT(Aux!$A$1),6,FALSE),"")),"")</f>
        <v/>
      </c>
      <c r="P408" s="280" t="str">
        <f ca="1">IFERROR(IF(AND(Table1[[#This Row],[Quantity]]&lt;&gt;"",Table1[[#This Row],[Currency]]="NOK"),Table1[[#This Row],[Quantity]]*Table1[[#This Row],[Unit Price]],""),"")</f>
        <v/>
      </c>
      <c r="Q408" s="280" t="str">
        <f ca="1">IFERROR(IF(AND(Table1[[#This Row],[ACT_Qty]]&lt;&gt;"",Table1[[#This Row],[Currency]]="NOK"),Table1[[#This Row],[ACT_Qty]]*Table1[[#This Row],[Unit Price]],""),"")</f>
        <v/>
      </c>
      <c r="R408" s="280" t="str">
        <f ca="1">IFERROR(IF(AND(Table1[[#This Row],[Quantity]]&lt;&gt;"",Table1[[#This Row],[Currency]]="EUR"),Table1[[#This Row],[Quantity]]*Table1[[#This Row],[Unit Price]],""),"")</f>
        <v/>
      </c>
      <c r="S408" s="280" t="str">
        <f ca="1">IFERROR(IF(AND(Table1[[#This Row],[ACT_Qty]]&lt;&gt;"",Table1[[#This Row],[Currency]]="EUR"),Table1[[#This Row],[ACT_Qty]]*Table1[[#This Row],[Unit Price]],""),"")</f>
        <v/>
      </c>
      <c r="T408" s="281" t="str">
        <f ca="1">IFERROR(IF(AND(($N$3&lt;&gt;""),INDIRECT(Aux!$D$1)),VLOOKUP(Table1[[#This Row],[Product code]],Aux!B:E,4,FALSE),""),"")</f>
        <v/>
      </c>
      <c r="U408" s="206" t="str">
        <f>IFERROR(IF(OR(Table1[[#This Row],[Quantity]]&lt;&gt;"",Table1[[#This Row],[ACT_Qty]]&lt;&gt;""),Table1[[#This Row],[ACT_Qty]]-Table1[[#This Row],[Quantity]],""),"")</f>
        <v/>
      </c>
      <c r="V408" s="282"/>
      <c r="W408" s="282"/>
      <c r="X408" s="282"/>
    </row>
    <row r="409" spans="1:24" ht="15" customHeight="1">
      <c r="A409" s="227" t="str">
        <f t="shared" si="24"/>
        <v>AKH12345</v>
      </c>
      <c r="B409" s="258" t="s">
        <v>1178</v>
      </c>
      <c r="C409" s="227" t="s">
        <v>1179</v>
      </c>
      <c r="D409" s="105"/>
      <c r="E409" s="106"/>
      <c r="F409" s="105"/>
      <c r="G409" s="106"/>
      <c r="H409" s="201" t="s">
        <v>1177</v>
      </c>
      <c r="I409" s="202" t="s">
        <v>961</v>
      </c>
      <c r="J409" s="202" t="s">
        <v>1166</v>
      </c>
      <c r="K409" s="202" t="s">
        <v>52</v>
      </c>
      <c r="L409" s="203" t="s">
        <v>152</v>
      </c>
      <c r="M409" s="203" t="str">
        <f t="shared" si="27"/>
        <v>OneCo Networks AS</v>
      </c>
      <c r="N40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09" s="284" t="str">
        <f ca="1">IFERROR(IF(
OR(Table1[[#This Row],[Product category]]="Service items",Table1[[#This Row],[Product category]]="Additional services",Table1[[#This Row],[Product category]]="Additional materials"),
"NOK",IF(($N$3&lt;&gt;""),VLOOKUP(Table1[[#This Row],[Product code]],INDIRECT(Aux!$A$1),6,FALSE),"")),"")</f>
        <v/>
      </c>
      <c r="P409" s="285" t="str">
        <f ca="1">IFERROR(IF(AND(Table1[[#This Row],[Quantity]]&lt;&gt;"",Table1[[#This Row],[Currency]]="NOK"),Table1[[#This Row],[Quantity]]*Table1[[#This Row],[Unit Price]],""),"")</f>
        <v/>
      </c>
      <c r="Q409" s="285" t="str">
        <f ca="1">IFERROR(IF(AND(Table1[[#This Row],[ACT_Qty]]&lt;&gt;"",Table1[[#This Row],[Currency]]="NOK"),Table1[[#This Row],[ACT_Qty]]*Table1[[#This Row],[Unit Price]],""),"")</f>
        <v/>
      </c>
      <c r="R409" s="285" t="str">
        <f ca="1">IFERROR(IF(AND(Table1[[#This Row],[Quantity]]&lt;&gt;"",Table1[[#This Row],[Currency]]="EUR"),Table1[[#This Row],[Quantity]]*Table1[[#This Row],[Unit Price]],""),"")</f>
        <v/>
      </c>
      <c r="S409" s="285" t="str">
        <f ca="1">IFERROR(IF(AND(Table1[[#This Row],[ACT_Qty]]&lt;&gt;"",Table1[[#This Row],[Currency]]="EUR"),Table1[[#This Row],[ACT_Qty]]*Table1[[#This Row],[Unit Price]],""),"")</f>
        <v/>
      </c>
      <c r="T409" s="286" t="str">
        <f ca="1">IFERROR(IF(AND(($N$3&lt;&gt;""),INDIRECT(Aux!$D$1)),VLOOKUP(Table1[[#This Row],[Product code]],Aux!B:E,4,FALSE),""),"")</f>
        <v/>
      </c>
      <c r="U409" s="203" t="str">
        <f>IFERROR(IF(OR(Table1[[#This Row],[Quantity]]&lt;&gt;"",Table1[[#This Row],[ACT_Qty]]&lt;&gt;""),Table1[[#This Row],[ACT_Qty]]-Table1[[#This Row],[Quantity]],""),"")</f>
        <v/>
      </c>
      <c r="V409" s="287"/>
      <c r="W409" s="287"/>
      <c r="X409" s="287"/>
    </row>
    <row r="410" spans="1:24" ht="15" customHeight="1">
      <c r="A410" s="228" t="str">
        <f t="shared" si="24"/>
        <v>AKH12345</v>
      </c>
      <c r="B410" s="259" t="s">
        <v>1180</v>
      </c>
      <c r="C410" s="228" t="s">
        <v>1181</v>
      </c>
      <c r="D410" s="105"/>
      <c r="E410" s="106"/>
      <c r="F410" s="105"/>
      <c r="G410" s="106"/>
      <c r="H410" s="204" t="s">
        <v>1177</v>
      </c>
      <c r="I410" s="205" t="s">
        <v>961</v>
      </c>
      <c r="J410" s="205" t="s">
        <v>1166</v>
      </c>
      <c r="K410" s="205" t="s">
        <v>52</v>
      </c>
      <c r="L410" s="206" t="s">
        <v>339</v>
      </c>
      <c r="M410" s="206" t="str">
        <f t="shared" si="27"/>
        <v>OneCo Networks AS</v>
      </c>
      <c r="N41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0" s="279" t="str">
        <f ca="1">IFERROR(IF(
OR(Table1[[#This Row],[Product category]]="Service items",Table1[[#This Row],[Product category]]="Additional services",Table1[[#This Row],[Product category]]="Additional materials"),
"NOK",IF(($N$3&lt;&gt;""),VLOOKUP(Table1[[#This Row],[Product code]],INDIRECT(Aux!$A$1),6,FALSE),"")),"")</f>
        <v/>
      </c>
      <c r="P410" s="280" t="str">
        <f ca="1">IFERROR(IF(AND(Table1[[#This Row],[Quantity]]&lt;&gt;"",Table1[[#This Row],[Currency]]="NOK"),Table1[[#This Row],[Quantity]]*Table1[[#This Row],[Unit Price]],""),"")</f>
        <v/>
      </c>
      <c r="Q410" s="280" t="str">
        <f ca="1">IFERROR(IF(AND(Table1[[#This Row],[ACT_Qty]]&lt;&gt;"",Table1[[#This Row],[Currency]]="NOK"),Table1[[#This Row],[ACT_Qty]]*Table1[[#This Row],[Unit Price]],""),"")</f>
        <v/>
      </c>
      <c r="R410" s="280" t="str">
        <f ca="1">IFERROR(IF(AND(Table1[[#This Row],[Quantity]]&lt;&gt;"",Table1[[#This Row],[Currency]]="EUR"),Table1[[#This Row],[Quantity]]*Table1[[#This Row],[Unit Price]],""),"")</f>
        <v/>
      </c>
      <c r="S410" s="280" t="str">
        <f ca="1">IFERROR(IF(AND(Table1[[#This Row],[ACT_Qty]]&lt;&gt;"",Table1[[#This Row],[Currency]]="EUR"),Table1[[#This Row],[ACT_Qty]]*Table1[[#This Row],[Unit Price]],""),"")</f>
        <v/>
      </c>
      <c r="T410" s="281" t="str">
        <f ca="1">IFERROR(IF(AND(($N$3&lt;&gt;""),INDIRECT(Aux!$D$1)),VLOOKUP(Table1[[#This Row],[Product code]],Aux!B:E,4,FALSE),""),"")</f>
        <v/>
      </c>
      <c r="U410" s="206" t="str">
        <f>IFERROR(IF(OR(Table1[[#This Row],[Quantity]]&lt;&gt;"",Table1[[#This Row],[ACT_Qty]]&lt;&gt;""),Table1[[#This Row],[ACT_Qty]]-Table1[[#This Row],[Quantity]],""),"")</f>
        <v/>
      </c>
      <c r="V410" s="282"/>
      <c r="W410" s="282"/>
      <c r="X410" s="282"/>
    </row>
    <row r="411" spans="1:24" ht="15" customHeight="1">
      <c r="A411" s="227" t="str">
        <f t="shared" si="24"/>
        <v>AKH12345</v>
      </c>
      <c r="B411" s="258" t="s">
        <v>1182</v>
      </c>
      <c r="C411" s="227" t="s">
        <v>1183</v>
      </c>
      <c r="D411" s="105"/>
      <c r="E411" s="106"/>
      <c r="F411" s="105"/>
      <c r="G411" s="106"/>
      <c r="H411" s="201" t="s">
        <v>1177</v>
      </c>
      <c r="I411" s="202" t="s">
        <v>961</v>
      </c>
      <c r="J411" s="202" t="s">
        <v>1166</v>
      </c>
      <c r="K411" s="202" t="s">
        <v>52</v>
      </c>
      <c r="L411" s="203" t="s">
        <v>339</v>
      </c>
      <c r="M411" s="203" t="str">
        <f t="shared" si="27"/>
        <v>OneCo Networks AS</v>
      </c>
      <c r="N41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1" s="284" t="str">
        <f ca="1">IFERROR(IF(
OR(Table1[[#This Row],[Product category]]="Service items",Table1[[#This Row],[Product category]]="Additional services",Table1[[#This Row],[Product category]]="Additional materials"),
"NOK",IF(($N$3&lt;&gt;""),VLOOKUP(Table1[[#This Row],[Product code]],INDIRECT(Aux!$A$1),6,FALSE),"")),"")</f>
        <v/>
      </c>
      <c r="P411" s="285" t="str">
        <f ca="1">IFERROR(IF(AND(Table1[[#This Row],[Quantity]]&lt;&gt;"",Table1[[#This Row],[Currency]]="NOK"),Table1[[#This Row],[Quantity]]*Table1[[#This Row],[Unit Price]],""),"")</f>
        <v/>
      </c>
      <c r="Q411" s="285" t="str">
        <f ca="1">IFERROR(IF(AND(Table1[[#This Row],[ACT_Qty]]&lt;&gt;"",Table1[[#This Row],[Currency]]="NOK"),Table1[[#This Row],[ACT_Qty]]*Table1[[#This Row],[Unit Price]],""),"")</f>
        <v/>
      </c>
      <c r="R411" s="285" t="str">
        <f ca="1">IFERROR(IF(AND(Table1[[#This Row],[Quantity]]&lt;&gt;"",Table1[[#This Row],[Currency]]="EUR"),Table1[[#This Row],[Quantity]]*Table1[[#This Row],[Unit Price]],""),"")</f>
        <v/>
      </c>
      <c r="S411" s="285" t="str">
        <f ca="1">IFERROR(IF(AND(Table1[[#This Row],[ACT_Qty]]&lt;&gt;"",Table1[[#This Row],[Currency]]="EUR"),Table1[[#This Row],[ACT_Qty]]*Table1[[#This Row],[Unit Price]],""),"")</f>
        <v/>
      </c>
      <c r="T411" s="286" t="str">
        <f ca="1">IFERROR(IF(AND(($N$3&lt;&gt;""),INDIRECT(Aux!$D$1)),VLOOKUP(Table1[[#This Row],[Product code]],Aux!B:E,4,FALSE),""),"")</f>
        <v/>
      </c>
      <c r="U411" s="203" t="str">
        <f>IFERROR(IF(OR(Table1[[#This Row],[Quantity]]&lt;&gt;"",Table1[[#This Row],[ACT_Qty]]&lt;&gt;""),Table1[[#This Row],[ACT_Qty]]-Table1[[#This Row],[Quantity]],""),"")</f>
        <v/>
      </c>
      <c r="V411" s="287"/>
      <c r="W411" s="287"/>
      <c r="X411" s="287"/>
    </row>
    <row r="412" spans="1:24" ht="15" customHeight="1">
      <c r="A412" s="228" t="str">
        <f t="shared" si="24"/>
        <v>AKH12345</v>
      </c>
      <c r="B412" s="259" t="s">
        <v>1184</v>
      </c>
      <c r="C412" s="228" t="s">
        <v>1185</v>
      </c>
      <c r="D412" s="105"/>
      <c r="E412" s="106"/>
      <c r="F412" s="105"/>
      <c r="G412" s="106"/>
      <c r="H412" s="204" t="s">
        <v>1186</v>
      </c>
      <c r="I412" s="205" t="s">
        <v>1187</v>
      </c>
      <c r="J412" s="205" t="s">
        <v>1188</v>
      </c>
      <c r="K412" s="205" t="s">
        <v>52</v>
      </c>
      <c r="L412" s="206" t="s">
        <v>53</v>
      </c>
      <c r="M412" s="206" t="str">
        <f t="shared" si="27"/>
        <v>OneCo Networks AS</v>
      </c>
      <c r="N41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2" s="279" t="str">
        <f ca="1">IFERROR(IF(
OR(Table1[[#This Row],[Product category]]="Service items",Table1[[#This Row],[Product category]]="Additional services",Table1[[#This Row],[Product category]]="Additional materials"),
"NOK",IF(($N$3&lt;&gt;""),VLOOKUP(Table1[[#This Row],[Product code]],INDIRECT(Aux!$A$1),6,FALSE),"")),"")</f>
        <v/>
      </c>
      <c r="P412" s="280" t="str">
        <f ca="1">IFERROR(IF(AND(Table1[[#This Row],[Quantity]]&lt;&gt;"",Table1[[#This Row],[Currency]]="NOK"),Table1[[#This Row],[Quantity]]*Table1[[#This Row],[Unit Price]],""),"")</f>
        <v/>
      </c>
      <c r="Q412" s="280" t="str">
        <f ca="1">IFERROR(IF(AND(Table1[[#This Row],[ACT_Qty]]&lt;&gt;"",Table1[[#This Row],[Currency]]="NOK"),Table1[[#This Row],[ACT_Qty]]*Table1[[#This Row],[Unit Price]],""),"")</f>
        <v/>
      </c>
      <c r="R412" s="280" t="str">
        <f ca="1">IFERROR(IF(AND(Table1[[#This Row],[Quantity]]&lt;&gt;"",Table1[[#This Row],[Currency]]="EUR"),Table1[[#This Row],[Quantity]]*Table1[[#This Row],[Unit Price]],""),"")</f>
        <v/>
      </c>
      <c r="S412" s="280" t="str">
        <f ca="1">IFERROR(IF(AND(Table1[[#This Row],[ACT_Qty]]&lt;&gt;"",Table1[[#This Row],[Currency]]="EUR"),Table1[[#This Row],[ACT_Qty]]*Table1[[#This Row],[Unit Price]],""),"")</f>
        <v/>
      </c>
      <c r="T412" s="281" t="str">
        <f ca="1">IFERROR(IF(AND(($N$3&lt;&gt;""),INDIRECT(Aux!$D$1)),VLOOKUP(Table1[[#This Row],[Product code]],Aux!B:E,4,FALSE),""),"")</f>
        <v/>
      </c>
      <c r="U412" s="206" t="str">
        <f>IFERROR(IF(OR(Table1[[#This Row],[Quantity]]&lt;&gt;"",Table1[[#This Row],[ACT_Qty]]&lt;&gt;""),Table1[[#This Row],[ACT_Qty]]-Table1[[#This Row],[Quantity]],""),"")</f>
        <v/>
      </c>
      <c r="V412" s="282"/>
      <c r="W412" s="282"/>
      <c r="X412" s="282"/>
    </row>
    <row r="413" spans="1:24" ht="15" customHeight="1">
      <c r="A413" s="227" t="str">
        <f t="shared" si="24"/>
        <v>AKH12345</v>
      </c>
      <c r="B413" s="258" t="s">
        <v>1189</v>
      </c>
      <c r="C413" s="227" t="s">
        <v>1190</v>
      </c>
      <c r="D413" s="105"/>
      <c r="E413" s="106"/>
      <c r="F413" s="105"/>
      <c r="G413" s="106"/>
      <c r="H413" s="201" t="s">
        <v>1186</v>
      </c>
      <c r="I413" s="202" t="s">
        <v>1187</v>
      </c>
      <c r="J413" s="202" t="s">
        <v>1166</v>
      </c>
      <c r="K413" s="202" t="s">
        <v>52</v>
      </c>
      <c r="L413" s="203" t="s">
        <v>152</v>
      </c>
      <c r="M413" s="203" t="str">
        <f t="shared" si="27"/>
        <v>OneCo Networks AS</v>
      </c>
      <c r="N41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3" s="284" t="str">
        <f ca="1">IFERROR(IF(
OR(Table1[[#This Row],[Product category]]="Service items",Table1[[#This Row],[Product category]]="Additional services",Table1[[#This Row],[Product category]]="Additional materials"),
"NOK",IF(($N$3&lt;&gt;""),VLOOKUP(Table1[[#This Row],[Product code]],INDIRECT(Aux!$A$1),6,FALSE),"")),"")</f>
        <v/>
      </c>
      <c r="P413" s="285" t="str">
        <f ca="1">IFERROR(IF(AND(Table1[[#This Row],[Quantity]]&lt;&gt;"",Table1[[#This Row],[Currency]]="NOK"),Table1[[#This Row],[Quantity]]*Table1[[#This Row],[Unit Price]],""),"")</f>
        <v/>
      </c>
      <c r="Q413" s="285" t="str">
        <f ca="1">IFERROR(IF(AND(Table1[[#This Row],[ACT_Qty]]&lt;&gt;"",Table1[[#This Row],[Currency]]="NOK"),Table1[[#This Row],[ACT_Qty]]*Table1[[#This Row],[Unit Price]],""),"")</f>
        <v/>
      </c>
      <c r="R413" s="285" t="str">
        <f ca="1">IFERROR(IF(AND(Table1[[#This Row],[Quantity]]&lt;&gt;"",Table1[[#This Row],[Currency]]="EUR"),Table1[[#This Row],[Quantity]]*Table1[[#This Row],[Unit Price]],""),"")</f>
        <v/>
      </c>
      <c r="S413" s="285" t="str">
        <f ca="1">IFERROR(IF(AND(Table1[[#This Row],[ACT_Qty]]&lt;&gt;"",Table1[[#This Row],[Currency]]="EUR"),Table1[[#This Row],[ACT_Qty]]*Table1[[#This Row],[Unit Price]],""),"")</f>
        <v/>
      </c>
      <c r="T413" s="286" t="str">
        <f ca="1">IFERROR(IF(AND(($N$3&lt;&gt;""),INDIRECT(Aux!$D$1)),VLOOKUP(Table1[[#This Row],[Product code]],Aux!B:E,4,FALSE),""),"")</f>
        <v/>
      </c>
      <c r="U413" s="203" t="str">
        <f>IFERROR(IF(OR(Table1[[#This Row],[Quantity]]&lt;&gt;"",Table1[[#This Row],[ACT_Qty]]&lt;&gt;""),Table1[[#This Row],[ACT_Qty]]-Table1[[#This Row],[Quantity]],""),"")</f>
        <v/>
      </c>
      <c r="V413" s="287"/>
      <c r="W413" s="287"/>
      <c r="X413" s="287"/>
    </row>
    <row r="414" spans="1:24" ht="15" customHeight="1">
      <c r="A414" s="228" t="str">
        <f t="shared" si="24"/>
        <v>AKH12345</v>
      </c>
      <c r="B414" s="259" t="s">
        <v>1191</v>
      </c>
      <c r="C414" s="228" t="s">
        <v>1192</v>
      </c>
      <c r="D414" s="105"/>
      <c r="E414" s="106"/>
      <c r="F414" s="105"/>
      <c r="G414" s="106"/>
      <c r="H414" s="204" t="s">
        <v>1186</v>
      </c>
      <c r="I414" s="205" t="s">
        <v>1187</v>
      </c>
      <c r="J414" s="205" t="s">
        <v>1166</v>
      </c>
      <c r="K414" s="205" t="s">
        <v>52</v>
      </c>
      <c r="L414" s="206" t="s">
        <v>152</v>
      </c>
      <c r="M414" s="206" t="str">
        <f t="shared" si="27"/>
        <v>OneCo Networks AS</v>
      </c>
      <c r="N41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4" s="279" t="str">
        <f ca="1">IFERROR(IF(
OR(Table1[[#This Row],[Product category]]="Service items",Table1[[#This Row],[Product category]]="Additional services",Table1[[#This Row],[Product category]]="Additional materials"),
"NOK",IF(($N$3&lt;&gt;""),VLOOKUP(Table1[[#This Row],[Product code]],INDIRECT(Aux!$A$1),6,FALSE),"")),"")</f>
        <v/>
      </c>
      <c r="P414" s="280" t="str">
        <f ca="1">IFERROR(IF(AND(Table1[[#This Row],[Quantity]]&lt;&gt;"",Table1[[#This Row],[Currency]]="NOK"),Table1[[#This Row],[Quantity]]*Table1[[#This Row],[Unit Price]],""),"")</f>
        <v/>
      </c>
      <c r="Q414" s="280" t="str">
        <f ca="1">IFERROR(IF(AND(Table1[[#This Row],[ACT_Qty]]&lt;&gt;"",Table1[[#This Row],[Currency]]="NOK"),Table1[[#This Row],[ACT_Qty]]*Table1[[#This Row],[Unit Price]],""),"")</f>
        <v/>
      </c>
      <c r="R414" s="280" t="str">
        <f ca="1">IFERROR(IF(AND(Table1[[#This Row],[Quantity]]&lt;&gt;"",Table1[[#This Row],[Currency]]="EUR"),Table1[[#This Row],[Quantity]]*Table1[[#This Row],[Unit Price]],""),"")</f>
        <v/>
      </c>
      <c r="S414" s="280" t="str">
        <f ca="1">IFERROR(IF(AND(Table1[[#This Row],[ACT_Qty]]&lt;&gt;"",Table1[[#This Row],[Currency]]="EUR"),Table1[[#This Row],[ACT_Qty]]*Table1[[#This Row],[Unit Price]],""),"")</f>
        <v/>
      </c>
      <c r="T414" s="281" t="str">
        <f ca="1">IFERROR(IF(AND(($N$3&lt;&gt;""),INDIRECT(Aux!$D$1)),VLOOKUP(Table1[[#This Row],[Product code]],Aux!B:E,4,FALSE),""),"")</f>
        <v/>
      </c>
      <c r="U414" s="206" t="str">
        <f>IFERROR(IF(OR(Table1[[#This Row],[Quantity]]&lt;&gt;"",Table1[[#This Row],[ACT_Qty]]&lt;&gt;""),Table1[[#This Row],[ACT_Qty]]-Table1[[#This Row],[Quantity]],""),"")</f>
        <v/>
      </c>
      <c r="V414" s="282"/>
      <c r="W414" s="282"/>
      <c r="X414" s="282"/>
    </row>
    <row r="415" spans="1:24" customFormat="1" ht="15" customHeight="1">
      <c r="A415" s="227" t="str">
        <f t="shared" si="24"/>
        <v>AKH12345</v>
      </c>
      <c r="B415" s="258" t="s">
        <v>1193</v>
      </c>
      <c r="C415" s="227" t="s">
        <v>1194</v>
      </c>
      <c r="D415" s="105"/>
      <c r="E415" s="106"/>
      <c r="F415" s="105"/>
      <c r="G415" s="106"/>
      <c r="H415" s="201" t="s">
        <v>1186</v>
      </c>
      <c r="I415" s="202" t="s">
        <v>1187</v>
      </c>
      <c r="J415" s="202" t="s">
        <v>1166</v>
      </c>
      <c r="K415" s="202" t="s">
        <v>52</v>
      </c>
      <c r="L415" s="203" t="s">
        <v>152</v>
      </c>
      <c r="M415" s="203"/>
      <c r="N415" s="283"/>
      <c r="O415" s="284"/>
      <c r="P415" s="285"/>
      <c r="Q415" s="285"/>
      <c r="R415" s="285"/>
      <c r="S415" s="285"/>
      <c r="T415" s="286"/>
      <c r="U415" s="203"/>
      <c r="V415" s="287"/>
      <c r="W415" s="287"/>
      <c r="X415" s="287"/>
    </row>
    <row r="416" spans="1:24" ht="15" customHeight="1">
      <c r="A416" s="228" t="str">
        <f t="shared" si="24"/>
        <v>AKH12345</v>
      </c>
      <c r="B416" s="259" t="s">
        <v>1195</v>
      </c>
      <c r="C416" s="228" t="s">
        <v>1196</v>
      </c>
      <c r="D416" s="105"/>
      <c r="E416" s="106"/>
      <c r="F416" s="105"/>
      <c r="G416" s="106"/>
      <c r="H416" s="204" t="s">
        <v>1197</v>
      </c>
      <c r="I416" s="205" t="s">
        <v>1187</v>
      </c>
      <c r="J416" s="205" t="s">
        <v>1158</v>
      </c>
      <c r="K416" s="205" t="s">
        <v>52</v>
      </c>
      <c r="L416" s="206" t="s">
        <v>310</v>
      </c>
      <c r="M416" s="206" t="str">
        <f t="shared" ref="M416:M428" si="28">IF($C$3&lt;&gt;"",$C$3,"")</f>
        <v>OneCo Networks AS</v>
      </c>
      <c r="N41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6" s="279" t="str">
        <f ca="1">IFERROR(IF(
OR(Table1[[#This Row],[Product category]]="Service items",Table1[[#This Row],[Product category]]="Additional services",Table1[[#This Row],[Product category]]="Additional materials"),
"NOK",IF(($N$3&lt;&gt;""),VLOOKUP(Table1[[#This Row],[Product code]],INDIRECT(Aux!$A$1),6,FALSE),"")),"")</f>
        <v/>
      </c>
      <c r="P416" s="280" t="str">
        <f ca="1">IFERROR(IF(AND(Table1[[#This Row],[Quantity]]&lt;&gt;"",Table1[[#This Row],[Currency]]="NOK"),Table1[[#This Row],[Quantity]]*Table1[[#This Row],[Unit Price]],""),"")</f>
        <v/>
      </c>
      <c r="Q416" s="280" t="str">
        <f ca="1">IFERROR(IF(AND(Table1[[#This Row],[ACT_Qty]]&lt;&gt;"",Table1[[#This Row],[Currency]]="NOK"),Table1[[#This Row],[ACT_Qty]]*Table1[[#This Row],[Unit Price]],""),"")</f>
        <v/>
      </c>
      <c r="R416" s="280" t="str">
        <f ca="1">IFERROR(IF(AND(Table1[[#This Row],[Quantity]]&lt;&gt;"",Table1[[#This Row],[Currency]]="EUR"),Table1[[#This Row],[Quantity]]*Table1[[#This Row],[Unit Price]],""),"")</f>
        <v/>
      </c>
      <c r="S416" s="280" t="str">
        <f ca="1">IFERROR(IF(AND(Table1[[#This Row],[ACT_Qty]]&lt;&gt;"",Table1[[#This Row],[Currency]]="EUR"),Table1[[#This Row],[ACT_Qty]]*Table1[[#This Row],[Unit Price]],""),"")</f>
        <v/>
      </c>
      <c r="T416" s="281" t="str">
        <f ca="1">IFERROR(IF(AND(($N$3&lt;&gt;""),INDIRECT(Aux!$D$1)),VLOOKUP(Table1[[#This Row],[Product code]],Aux!B:E,4,FALSE),""),"")</f>
        <v/>
      </c>
      <c r="U416" s="206" t="str">
        <f>IFERROR(IF(OR(Table1[[#This Row],[Quantity]]&lt;&gt;"",Table1[[#This Row],[ACT_Qty]]&lt;&gt;""),Table1[[#This Row],[ACT_Qty]]-Table1[[#This Row],[Quantity]],""),"")</f>
        <v/>
      </c>
      <c r="V416" s="282"/>
      <c r="W416" s="282"/>
      <c r="X416" s="282"/>
    </row>
    <row r="417" spans="1:24" ht="15" customHeight="1">
      <c r="A417" s="227" t="str">
        <f t="shared" si="24"/>
        <v>AKH12345</v>
      </c>
      <c r="B417" s="258">
        <v>830663839</v>
      </c>
      <c r="C417" s="227" t="s">
        <v>1198</v>
      </c>
      <c r="D417" s="105"/>
      <c r="E417" s="106"/>
      <c r="F417" s="105"/>
      <c r="G417" s="106"/>
      <c r="H417" s="201" t="s">
        <v>1199</v>
      </c>
      <c r="I417" s="202" t="s">
        <v>1187</v>
      </c>
      <c r="J417" s="202" t="s">
        <v>1200</v>
      </c>
      <c r="K417" s="202" t="s">
        <v>52</v>
      </c>
      <c r="L417" s="203" t="s">
        <v>310</v>
      </c>
      <c r="M417" s="203" t="str">
        <f t="shared" si="28"/>
        <v>OneCo Networks AS</v>
      </c>
      <c r="N41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7" s="284" t="str">
        <f ca="1">IFERROR(IF(
OR(Table1[[#This Row],[Product category]]="Service items",Table1[[#This Row],[Product category]]="Additional services",Table1[[#This Row],[Product category]]="Additional materials"),
"NOK",IF(($N$3&lt;&gt;""),VLOOKUP(Table1[[#This Row],[Product code]],INDIRECT(Aux!$A$1),6,FALSE),"")),"")</f>
        <v/>
      </c>
      <c r="P417" s="285" t="str">
        <f ca="1">IFERROR(IF(AND(Table1[[#This Row],[Quantity]]&lt;&gt;"",Table1[[#This Row],[Currency]]="NOK"),Table1[[#This Row],[Quantity]]*Table1[[#This Row],[Unit Price]],""),"")</f>
        <v/>
      </c>
      <c r="Q417" s="285" t="str">
        <f ca="1">IFERROR(IF(AND(Table1[[#This Row],[ACT_Qty]]&lt;&gt;"",Table1[[#This Row],[Currency]]="NOK"),Table1[[#This Row],[ACT_Qty]]*Table1[[#This Row],[Unit Price]],""),"")</f>
        <v/>
      </c>
      <c r="R417" s="285" t="str">
        <f ca="1">IFERROR(IF(AND(Table1[[#This Row],[Quantity]]&lt;&gt;"",Table1[[#This Row],[Currency]]="EUR"),Table1[[#This Row],[Quantity]]*Table1[[#This Row],[Unit Price]],""),"")</f>
        <v/>
      </c>
      <c r="S417" s="285" t="str">
        <f ca="1">IFERROR(IF(AND(Table1[[#This Row],[ACT_Qty]]&lt;&gt;"",Table1[[#This Row],[Currency]]="EUR"),Table1[[#This Row],[ACT_Qty]]*Table1[[#This Row],[Unit Price]],""),"")</f>
        <v/>
      </c>
      <c r="T417" s="286" t="str">
        <f ca="1">IFERROR(IF(AND(($N$3&lt;&gt;""),INDIRECT(Aux!$D$1)),VLOOKUP(Table1[[#This Row],[Product code]],Aux!B:E,4,FALSE),""),"")</f>
        <v/>
      </c>
      <c r="U417" s="203" t="str">
        <f>IFERROR(IF(OR(Table1[[#This Row],[Quantity]]&lt;&gt;"",Table1[[#This Row],[ACT_Qty]]&lt;&gt;""),Table1[[#This Row],[ACT_Qty]]-Table1[[#This Row],[Quantity]],""),"")</f>
        <v/>
      </c>
      <c r="V417" s="287"/>
      <c r="W417" s="287"/>
      <c r="X417" s="287"/>
    </row>
    <row r="418" spans="1:24" ht="15" customHeight="1">
      <c r="A418" s="228" t="str">
        <f t="shared" si="24"/>
        <v>AKH12345</v>
      </c>
      <c r="B418" s="259" t="s">
        <v>1201</v>
      </c>
      <c r="C418" s="228" t="s">
        <v>1202</v>
      </c>
      <c r="D418" s="105"/>
      <c r="E418" s="106"/>
      <c r="F418" s="105"/>
      <c r="G418" s="106"/>
      <c r="H418" s="204" t="s">
        <v>1186</v>
      </c>
      <c r="I418" s="205" t="s">
        <v>1187</v>
      </c>
      <c r="J418" s="205" t="s">
        <v>1203</v>
      </c>
      <c r="K418" s="205" t="s">
        <v>52</v>
      </c>
      <c r="L418" s="206" t="s">
        <v>310</v>
      </c>
      <c r="M418" s="206" t="str">
        <f t="shared" si="28"/>
        <v>OneCo Networks AS</v>
      </c>
      <c r="N41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8" s="279" t="str">
        <f ca="1">IFERROR(IF(
OR(Table1[[#This Row],[Product category]]="Service items",Table1[[#This Row],[Product category]]="Additional services",Table1[[#This Row],[Product category]]="Additional materials"),
"NOK",IF(($N$3&lt;&gt;""),VLOOKUP(Table1[[#This Row],[Product code]],INDIRECT(Aux!$A$1),6,FALSE),"")),"")</f>
        <v/>
      </c>
      <c r="P418" s="280" t="str">
        <f ca="1">IFERROR(IF(AND(Table1[[#This Row],[Quantity]]&lt;&gt;"",Table1[[#This Row],[Currency]]="NOK"),Table1[[#This Row],[Quantity]]*Table1[[#This Row],[Unit Price]],""),"")</f>
        <v/>
      </c>
      <c r="Q418" s="280" t="str">
        <f ca="1">IFERROR(IF(AND(Table1[[#This Row],[ACT_Qty]]&lt;&gt;"",Table1[[#This Row],[Currency]]="NOK"),Table1[[#This Row],[ACT_Qty]]*Table1[[#This Row],[Unit Price]],""),"")</f>
        <v/>
      </c>
      <c r="R418" s="280" t="str">
        <f ca="1">IFERROR(IF(AND(Table1[[#This Row],[Quantity]]&lt;&gt;"",Table1[[#This Row],[Currency]]="EUR"),Table1[[#This Row],[Quantity]]*Table1[[#This Row],[Unit Price]],""),"")</f>
        <v/>
      </c>
      <c r="S418" s="280" t="str">
        <f ca="1">IFERROR(IF(AND(Table1[[#This Row],[ACT_Qty]]&lt;&gt;"",Table1[[#This Row],[Currency]]="EUR"),Table1[[#This Row],[ACT_Qty]]*Table1[[#This Row],[Unit Price]],""),"")</f>
        <v/>
      </c>
      <c r="T418" s="281" t="str">
        <f ca="1">IFERROR(IF(AND(($N$3&lt;&gt;""),INDIRECT(Aux!$D$1)),VLOOKUP(Table1[[#This Row],[Product code]],Aux!B:E,4,FALSE),""),"")</f>
        <v/>
      </c>
      <c r="U418" s="206" t="str">
        <f>IFERROR(IF(OR(Table1[[#This Row],[Quantity]]&lt;&gt;"",Table1[[#This Row],[ACT_Qty]]&lt;&gt;""),Table1[[#This Row],[ACT_Qty]]-Table1[[#This Row],[Quantity]],""),"")</f>
        <v/>
      </c>
      <c r="V418" s="282"/>
      <c r="W418" s="282"/>
      <c r="X418" s="282"/>
    </row>
    <row r="419" spans="1:24" ht="15" customHeight="1">
      <c r="A419" s="227" t="str">
        <f t="shared" si="24"/>
        <v>AKH12345</v>
      </c>
      <c r="B419" s="258" t="s">
        <v>1204</v>
      </c>
      <c r="C419" s="227" t="s">
        <v>1205</v>
      </c>
      <c r="D419" s="105"/>
      <c r="E419" s="106"/>
      <c r="F419" s="105"/>
      <c r="G419" s="106"/>
      <c r="H419" s="201" t="s">
        <v>1206</v>
      </c>
      <c r="I419" s="202" t="s">
        <v>1187</v>
      </c>
      <c r="J419" s="202" t="s">
        <v>1203</v>
      </c>
      <c r="K419" s="202" t="s">
        <v>52</v>
      </c>
      <c r="L419" s="203" t="s">
        <v>310</v>
      </c>
      <c r="M419" s="203" t="str">
        <f t="shared" si="28"/>
        <v>OneCo Networks AS</v>
      </c>
      <c r="N419"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19" s="284" t="str">
        <f ca="1">IFERROR(IF(
OR(Table1[[#This Row],[Product category]]="Service items",Table1[[#This Row],[Product category]]="Additional services",Table1[[#This Row],[Product category]]="Additional materials"),
"NOK",IF(($N$3&lt;&gt;""),VLOOKUP(Table1[[#This Row],[Product code]],INDIRECT(Aux!$A$1),6,FALSE),"")),"")</f>
        <v/>
      </c>
      <c r="P419" s="285" t="str">
        <f ca="1">IFERROR(IF(AND(Table1[[#This Row],[Quantity]]&lt;&gt;"",Table1[[#This Row],[Currency]]="NOK"),Table1[[#This Row],[Quantity]]*Table1[[#This Row],[Unit Price]],""),"")</f>
        <v/>
      </c>
      <c r="Q419" s="285" t="str">
        <f ca="1">IFERROR(IF(AND(Table1[[#This Row],[ACT_Qty]]&lt;&gt;"",Table1[[#This Row],[Currency]]="NOK"),Table1[[#This Row],[ACT_Qty]]*Table1[[#This Row],[Unit Price]],""),"")</f>
        <v/>
      </c>
      <c r="R419" s="285" t="str">
        <f ca="1">IFERROR(IF(AND(Table1[[#This Row],[Quantity]]&lt;&gt;"",Table1[[#This Row],[Currency]]="EUR"),Table1[[#This Row],[Quantity]]*Table1[[#This Row],[Unit Price]],""),"")</f>
        <v/>
      </c>
      <c r="S419" s="285" t="str">
        <f ca="1">IFERROR(IF(AND(Table1[[#This Row],[ACT_Qty]]&lt;&gt;"",Table1[[#This Row],[Currency]]="EUR"),Table1[[#This Row],[ACT_Qty]]*Table1[[#This Row],[Unit Price]],""),"")</f>
        <v/>
      </c>
      <c r="T419" s="286" t="str">
        <f ca="1">IFERROR(IF(AND(($N$3&lt;&gt;""),INDIRECT(Aux!$D$1)),VLOOKUP(Table1[[#This Row],[Product code]],Aux!B:E,4,FALSE),""),"")</f>
        <v/>
      </c>
      <c r="U419" s="203" t="str">
        <f>IFERROR(IF(OR(Table1[[#This Row],[Quantity]]&lt;&gt;"",Table1[[#This Row],[ACT_Qty]]&lt;&gt;""),Table1[[#This Row],[ACT_Qty]]-Table1[[#This Row],[Quantity]],""),"")</f>
        <v/>
      </c>
      <c r="V419" s="287"/>
      <c r="W419" s="287"/>
      <c r="X419" s="287"/>
    </row>
    <row r="420" spans="1:24" ht="15" customHeight="1">
      <c r="A420" s="228" t="str">
        <f t="shared" si="24"/>
        <v>AKH12345</v>
      </c>
      <c r="B420" s="259" t="s">
        <v>1207</v>
      </c>
      <c r="C420" s="228" t="s">
        <v>1208</v>
      </c>
      <c r="D420" s="105"/>
      <c r="E420" s="106"/>
      <c r="F420" s="105"/>
      <c r="G420" s="106"/>
      <c r="H420" s="204" t="s">
        <v>1209</v>
      </c>
      <c r="I420" s="205" t="s">
        <v>1187</v>
      </c>
      <c r="J420" s="205" t="s">
        <v>1210</v>
      </c>
      <c r="K420" s="205" t="s">
        <v>52</v>
      </c>
      <c r="L420" s="206" t="s">
        <v>1211</v>
      </c>
      <c r="M420" s="206" t="str">
        <f t="shared" si="28"/>
        <v>OneCo Networks AS</v>
      </c>
      <c r="N420"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0" s="279" t="str">
        <f ca="1">IFERROR(IF(
OR(Table1[[#This Row],[Product category]]="Service items",Table1[[#This Row],[Product category]]="Additional services",Table1[[#This Row],[Product category]]="Additional materials"),
"NOK",IF(($N$3&lt;&gt;""),VLOOKUP(Table1[[#This Row],[Product code]],INDIRECT(Aux!$A$1),6,FALSE),"")),"")</f>
        <v/>
      </c>
      <c r="P420" s="280" t="str">
        <f ca="1">IFERROR(IF(AND(Table1[[#This Row],[Quantity]]&lt;&gt;"",Table1[[#This Row],[Currency]]="NOK"),Table1[[#This Row],[Quantity]]*Table1[[#This Row],[Unit Price]],""),"")</f>
        <v/>
      </c>
      <c r="Q420" s="280" t="str">
        <f ca="1">IFERROR(IF(AND(Table1[[#This Row],[ACT_Qty]]&lt;&gt;"",Table1[[#This Row],[Currency]]="NOK"),Table1[[#This Row],[ACT_Qty]]*Table1[[#This Row],[Unit Price]],""),"")</f>
        <v/>
      </c>
      <c r="R420" s="280" t="str">
        <f ca="1">IFERROR(IF(AND(Table1[[#This Row],[Quantity]]&lt;&gt;"",Table1[[#This Row],[Currency]]="EUR"),Table1[[#This Row],[Quantity]]*Table1[[#This Row],[Unit Price]],""),"")</f>
        <v/>
      </c>
      <c r="S420" s="280" t="str">
        <f ca="1">IFERROR(IF(AND(Table1[[#This Row],[ACT_Qty]]&lt;&gt;"",Table1[[#This Row],[Currency]]="EUR"),Table1[[#This Row],[ACT_Qty]]*Table1[[#This Row],[Unit Price]],""),"")</f>
        <v/>
      </c>
      <c r="T420" s="281" t="str">
        <f ca="1">IFERROR(IF(AND(($N$3&lt;&gt;""),INDIRECT(Aux!$D$1)),VLOOKUP(Table1[[#This Row],[Product code]],Aux!B:E,4,FALSE),""),"")</f>
        <v/>
      </c>
      <c r="U420" s="206" t="str">
        <f>IFERROR(IF(OR(Table1[[#This Row],[Quantity]]&lt;&gt;"",Table1[[#This Row],[ACT_Qty]]&lt;&gt;""),Table1[[#This Row],[ACT_Qty]]-Table1[[#This Row],[Quantity]],""),"")</f>
        <v/>
      </c>
      <c r="V420" s="282"/>
      <c r="W420" s="282"/>
      <c r="X420" s="282"/>
    </row>
    <row r="421" spans="1:24" ht="15" customHeight="1">
      <c r="A421" s="227" t="str">
        <f t="shared" si="0"/>
        <v>AKH12345</v>
      </c>
      <c r="B421" s="258" t="s">
        <v>1212</v>
      </c>
      <c r="C421" s="227" t="s">
        <v>1213</v>
      </c>
      <c r="D421" s="105"/>
      <c r="E421" s="106"/>
      <c r="F421" s="105"/>
      <c r="G421" s="106"/>
      <c r="H421" s="201" t="s">
        <v>1214</v>
      </c>
      <c r="I421" s="202" t="s">
        <v>1187</v>
      </c>
      <c r="J421" s="202" t="s">
        <v>131</v>
      </c>
      <c r="K421" s="202" t="s">
        <v>52</v>
      </c>
      <c r="L421" s="203"/>
      <c r="M421" s="203" t="str">
        <f t="shared" si="28"/>
        <v>OneCo Networks AS</v>
      </c>
      <c r="N421"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1" s="284" t="str">
        <f ca="1">IFERROR(IF(
OR(Table1[[#This Row],[Product category]]="Service items",Table1[[#This Row],[Product category]]="Additional services",Table1[[#This Row],[Product category]]="Additional materials"),
"NOK",IF(($N$3&lt;&gt;""),VLOOKUP(Table1[[#This Row],[Product code]],INDIRECT(Aux!$A$1),6,FALSE),"")),"")</f>
        <v/>
      </c>
      <c r="P421" s="285" t="str">
        <f ca="1">IFERROR(IF(AND(Table1[[#This Row],[Quantity]]&lt;&gt;"",Table1[[#This Row],[Currency]]="NOK"),Table1[[#This Row],[Quantity]]*Table1[[#This Row],[Unit Price]],""),"")</f>
        <v/>
      </c>
      <c r="Q421" s="285" t="str">
        <f ca="1">IFERROR(IF(AND(Table1[[#This Row],[ACT_Qty]]&lt;&gt;"",Table1[[#This Row],[Currency]]="NOK"),Table1[[#This Row],[ACT_Qty]]*Table1[[#This Row],[Unit Price]],""),"")</f>
        <v/>
      </c>
      <c r="R421" s="285" t="str">
        <f ca="1">IFERROR(IF(AND(Table1[[#This Row],[Quantity]]&lt;&gt;"",Table1[[#This Row],[Currency]]="EUR"),Table1[[#This Row],[Quantity]]*Table1[[#This Row],[Unit Price]],""),"")</f>
        <v/>
      </c>
      <c r="S421" s="285" t="str">
        <f ca="1">IFERROR(IF(AND(Table1[[#This Row],[ACT_Qty]]&lt;&gt;"",Table1[[#This Row],[Currency]]="EUR"),Table1[[#This Row],[ACT_Qty]]*Table1[[#This Row],[Unit Price]],""),"")</f>
        <v/>
      </c>
      <c r="T421" s="286" t="str">
        <f ca="1">IFERROR(IF(AND(($N$3&lt;&gt;""),INDIRECT(Aux!$D$1)),VLOOKUP(Table1[[#This Row],[Product code]],Aux!B:E,4,FALSE),""),"")</f>
        <v/>
      </c>
      <c r="U421" s="203" t="str">
        <f>IFERROR(IF(OR(Table1[[#This Row],[Quantity]]&lt;&gt;"",Table1[[#This Row],[ACT_Qty]]&lt;&gt;""),Table1[[#This Row],[ACT_Qty]]-Table1[[#This Row],[Quantity]],""),"")</f>
        <v/>
      </c>
      <c r="V421" s="287"/>
      <c r="W421" s="287"/>
      <c r="X421" s="287"/>
    </row>
    <row r="422" spans="1:24" ht="15" customHeight="1">
      <c r="A422" s="228" t="str">
        <f t="shared" si="0"/>
        <v>AKH12345</v>
      </c>
      <c r="B422" s="259" t="s">
        <v>1215</v>
      </c>
      <c r="C422" s="228" t="s">
        <v>1216</v>
      </c>
      <c r="D422" s="105"/>
      <c r="E422" s="106"/>
      <c r="F422" s="105"/>
      <c r="G422" s="106"/>
      <c r="H422" s="204" t="s">
        <v>1214</v>
      </c>
      <c r="I422" s="205" t="s">
        <v>1187</v>
      </c>
      <c r="J422" s="205" t="s">
        <v>131</v>
      </c>
      <c r="K422" s="205" t="s">
        <v>52</v>
      </c>
      <c r="L422" s="206"/>
      <c r="M422" s="206" t="str">
        <f t="shared" si="28"/>
        <v>OneCo Networks AS</v>
      </c>
      <c r="N422"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2" s="279" t="str">
        <f ca="1">IFERROR(IF(
OR(Table1[[#This Row],[Product category]]="Service items",Table1[[#This Row],[Product category]]="Additional services",Table1[[#This Row],[Product category]]="Additional materials"),
"NOK",IF(($N$3&lt;&gt;""),VLOOKUP(Table1[[#This Row],[Product code]],INDIRECT(Aux!$A$1),6,FALSE),"")),"")</f>
        <v/>
      </c>
      <c r="P422" s="280" t="str">
        <f ca="1">IFERROR(IF(AND(Table1[[#This Row],[Quantity]]&lt;&gt;"",Table1[[#This Row],[Currency]]="NOK"),Table1[[#This Row],[Quantity]]*Table1[[#This Row],[Unit Price]],""),"")</f>
        <v/>
      </c>
      <c r="Q422" s="280" t="str">
        <f ca="1">IFERROR(IF(AND(Table1[[#This Row],[ACT_Qty]]&lt;&gt;"",Table1[[#This Row],[Currency]]="NOK"),Table1[[#This Row],[ACT_Qty]]*Table1[[#This Row],[Unit Price]],""),"")</f>
        <v/>
      </c>
      <c r="R422" s="280" t="str">
        <f ca="1">IFERROR(IF(AND(Table1[[#This Row],[Quantity]]&lt;&gt;"",Table1[[#This Row],[Currency]]="EUR"),Table1[[#This Row],[Quantity]]*Table1[[#This Row],[Unit Price]],""),"")</f>
        <v/>
      </c>
      <c r="S422" s="280" t="str">
        <f ca="1">IFERROR(IF(AND(Table1[[#This Row],[ACT_Qty]]&lt;&gt;"",Table1[[#This Row],[Currency]]="EUR"),Table1[[#This Row],[ACT_Qty]]*Table1[[#This Row],[Unit Price]],""),"")</f>
        <v/>
      </c>
      <c r="T422" s="281" t="str">
        <f ca="1">IFERROR(IF(AND(($N$3&lt;&gt;""),INDIRECT(Aux!$D$1)),VLOOKUP(Table1[[#This Row],[Product code]],Aux!B:E,4,FALSE),""),"")</f>
        <v/>
      </c>
      <c r="U422" s="206" t="str">
        <f>IFERROR(IF(OR(Table1[[#This Row],[Quantity]]&lt;&gt;"",Table1[[#This Row],[ACT_Qty]]&lt;&gt;""),Table1[[#This Row],[ACT_Qty]]-Table1[[#This Row],[Quantity]],""),"")</f>
        <v/>
      </c>
      <c r="V422" s="282"/>
      <c r="W422" s="282"/>
      <c r="X422" s="282"/>
    </row>
    <row r="423" spans="1:24" ht="15" customHeight="1">
      <c r="A423" s="227" t="str">
        <f t="shared" si="24"/>
        <v>AKH12345</v>
      </c>
      <c r="B423" s="258" t="s">
        <v>1217</v>
      </c>
      <c r="C423" s="227" t="s">
        <v>1218</v>
      </c>
      <c r="D423" s="105"/>
      <c r="E423" s="106"/>
      <c r="F423" s="105"/>
      <c r="G423" s="106"/>
      <c r="H423" s="201" t="s">
        <v>1186</v>
      </c>
      <c r="I423" s="202" t="s">
        <v>1187</v>
      </c>
      <c r="J423" s="202" t="s">
        <v>1219</v>
      </c>
      <c r="K423" s="202" t="s">
        <v>52</v>
      </c>
      <c r="L423" s="203" t="s">
        <v>53</v>
      </c>
      <c r="M423" s="203" t="str">
        <f t="shared" si="28"/>
        <v>OneCo Networks AS</v>
      </c>
      <c r="N423"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3" s="284" t="str">
        <f ca="1">IFERROR(IF(
OR(Table1[[#This Row],[Product category]]="Service items",Table1[[#This Row],[Product category]]="Additional services",Table1[[#This Row],[Product category]]="Additional materials"),
"NOK",IF(($N$3&lt;&gt;""),VLOOKUP(Table1[[#This Row],[Product code]],INDIRECT(Aux!$A$1),6,FALSE),"")),"")</f>
        <v/>
      </c>
      <c r="P423" s="285" t="str">
        <f ca="1">IFERROR(IF(AND(Table1[[#This Row],[Quantity]]&lt;&gt;"",Table1[[#This Row],[Currency]]="NOK"),Table1[[#This Row],[Quantity]]*Table1[[#This Row],[Unit Price]],""),"")</f>
        <v/>
      </c>
      <c r="Q423" s="285" t="str">
        <f ca="1">IFERROR(IF(AND(Table1[[#This Row],[ACT_Qty]]&lt;&gt;"",Table1[[#This Row],[Currency]]="NOK"),Table1[[#This Row],[ACT_Qty]]*Table1[[#This Row],[Unit Price]],""),"")</f>
        <v/>
      </c>
      <c r="R423" s="285" t="str">
        <f ca="1">IFERROR(IF(AND(Table1[[#This Row],[Quantity]]&lt;&gt;"",Table1[[#This Row],[Currency]]="EUR"),Table1[[#This Row],[Quantity]]*Table1[[#This Row],[Unit Price]],""),"")</f>
        <v/>
      </c>
      <c r="S423" s="285" t="str">
        <f ca="1">IFERROR(IF(AND(Table1[[#This Row],[ACT_Qty]]&lt;&gt;"",Table1[[#This Row],[Currency]]="EUR"),Table1[[#This Row],[ACT_Qty]]*Table1[[#This Row],[Unit Price]],""),"")</f>
        <v/>
      </c>
      <c r="T423" s="286" t="str">
        <f ca="1">IFERROR(IF(AND(($N$3&lt;&gt;""),INDIRECT(Aux!$D$1)),VLOOKUP(Table1[[#This Row],[Product code]],Aux!B:E,4,FALSE),""),"")</f>
        <v/>
      </c>
      <c r="U423" s="203" t="str">
        <f>IFERROR(IF(OR(Table1[[#This Row],[Quantity]]&lt;&gt;"",Table1[[#This Row],[ACT_Qty]]&lt;&gt;""),Table1[[#This Row],[ACT_Qty]]-Table1[[#This Row],[Quantity]],""),"")</f>
        <v/>
      </c>
      <c r="V423" s="287"/>
      <c r="W423" s="287"/>
      <c r="X423" s="287"/>
    </row>
    <row r="424" spans="1:24" ht="15" customHeight="1">
      <c r="A424" s="228" t="str">
        <f t="shared" si="24"/>
        <v>AKH12345</v>
      </c>
      <c r="B424" s="259" t="s">
        <v>1220</v>
      </c>
      <c r="C424" s="228" t="s">
        <v>1221</v>
      </c>
      <c r="D424" s="105"/>
      <c r="E424" s="106"/>
      <c r="F424" s="105"/>
      <c r="G424" s="106"/>
      <c r="H424" s="204" t="s">
        <v>1186</v>
      </c>
      <c r="I424" s="205" t="s">
        <v>1187</v>
      </c>
      <c r="J424" s="205" t="s">
        <v>1203</v>
      </c>
      <c r="K424" s="205" t="s">
        <v>52</v>
      </c>
      <c r="L424" s="206" t="s">
        <v>310</v>
      </c>
      <c r="M424" s="206" t="str">
        <f t="shared" si="28"/>
        <v>OneCo Networks AS</v>
      </c>
      <c r="N424"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4" s="279" t="str">
        <f ca="1">IFERROR(IF(
OR(Table1[[#This Row],[Product category]]="Service items",Table1[[#This Row],[Product category]]="Additional services",Table1[[#This Row],[Product category]]="Additional materials"),
"NOK",IF(($N$3&lt;&gt;""),VLOOKUP(Table1[[#This Row],[Product code]],INDIRECT(Aux!$A$1),6,FALSE),"")),"")</f>
        <v/>
      </c>
      <c r="P424" s="280" t="str">
        <f ca="1">IFERROR(IF(AND(Table1[[#This Row],[Quantity]]&lt;&gt;"",Table1[[#This Row],[Currency]]="NOK"),Table1[[#This Row],[Quantity]]*Table1[[#This Row],[Unit Price]],""),"")</f>
        <v/>
      </c>
      <c r="Q424" s="280" t="str">
        <f ca="1">IFERROR(IF(AND(Table1[[#This Row],[ACT_Qty]]&lt;&gt;"",Table1[[#This Row],[Currency]]="NOK"),Table1[[#This Row],[ACT_Qty]]*Table1[[#This Row],[Unit Price]],""),"")</f>
        <v/>
      </c>
      <c r="R424" s="280" t="str">
        <f ca="1">IFERROR(IF(AND(Table1[[#This Row],[Quantity]]&lt;&gt;"",Table1[[#This Row],[Currency]]="EUR"),Table1[[#This Row],[Quantity]]*Table1[[#This Row],[Unit Price]],""),"")</f>
        <v/>
      </c>
      <c r="S424" s="280" t="str">
        <f ca="1">IFERROR(IF(AND(Table1[[#This Row],[ACT_Qty]]&lt;&gt;"",Table1[[#This Row],[Currency]]="EUR"),Table1[[#This Row],[ACT_Qty]]*Table1[[#This Row],[Unit Price]],""),"")</f>
        <v/>
      </c>
      <c r="T424" s="281" t="str">
        <f ca="1">IFERROR(IF(AND(($N$3&lt;&gt;""),INDIRECT(Aux!$D$1)),VLOOKUP(Table1[[#This Row],[Product code]],Aux!B:E,4,FALSE),""),"")</f>
        <v/>
      </c>
      <c r="U424" s="206" t="str">
        <f>IFERROR(IF(OR(Table1[[#This Row],[Quantity]]&lt;&gt;"",Table1[[#This Row],[ACT_Qty]]&lt;&gt;""),Table1[[#This Row],[ACT_Qty]]-Table1[[#This Row],[Quantity]],""),"")</f>
        <v/>
      </c>
      <c r="V424" s="282"/>
      <c r="W424" s="282"/>
      <c r="X424" s="282"/>
    </row>
    <row r="425" spans="1:24" ht="15" customHeight="1">
      <c r="A425" s="227" t="str">
        <f t="shared" si="24"/>
        <v>AKH12345</v>
      </c>
      <c r="B425" s="258" t="s">
        <v>1222</v>
      </c>
      <c r="C425" s="227" t="s">
        <v>1223</v>
      </c>
      <c r="D425" s="105"/>
      <c r="E425" s="106"/>
      <c r="F425" s="105"/>
      <c r="G425" s="106"/>
      <c r="H425" s="201" t="s">
        <v>1186</v>
      </c>
      <c r="I425" s="202" t="s">
        <v>1187</v>
      </c>
      <c r="J425" s="202" t="s">
        <v>115</v>
      </c>
      <c r="K425" s="202" t="s">
        <v>52</v>
      </c>
      <c r="L425" s="203" t="s">
        <v>53</v>
      </c>
      <c r="M425" s="203" t="str">
        <f t="shared" si="28"/>
        <v>OneCo Networks AS</v>
      </c>
      <c r="N425"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5" s="284" t="str">
        <f ca="1">IFERROR(IF(
OR(Table1[[#This Row],[Product category]]="Service items",Table1[[#This Row],[Product category]]="Additional services",Table1[[#This Row],[Product category]]="Additional materials"),
"NOK",IF(($N$3&lt;&gt;""),VLOOKUP(Table1[[#This Row],[Product code]],INDIRECT(Aux!$A$1),6,FALSE),"")),"")</f>
        <v/>
      </c>
      <c r="P425" s="285" t="str">
        <f ca="1">IFERROR(IF(AND(Table1[[#This Row],[Quantity]]&lt;&gt;"",Table1[[#This Row],[Currency]]="NOK"),Table1[[#This Row],[Quantity]]*Table1[[#This Row],[Unit Price]],""),"")</f>
        <v/>
      </c>
      <c r="Q425" s="285" t="str">
        <f ca="1">IFERROR(IF(AND(Table1[[#This Row],[ACT_Qty]]&lt;&gt;"",Table1[[#This Row],[Currency]]="NOK"),Table1[[#This Row],[ACT_Qty]]*Table1[[#This Row],[Unit Price]],""),"")</f>
        <v/>
      </c>
      <c r="R425" s="285" t="str">
        <f ca="1">IFERROR(IF(AND(Table1[[#This Row],[Quantity]]&lt;&gt;"",Table1[[#This Row],[Currency]]="EUR"),Table1[[#This Row],[Quantity]]*Table1[[#This Row],[Unit Price]],""),"")</f>
        <v/>
      </c>
      <c r="S425" s="285" t="str">
        <f ca="1">IFERROR(IF(AND(Table1[[#This Row],[ACT_Qty]]&lt;&gt;"",Table1[[#This Row],[Currency]]="EUR"),Table1[[#This Row],[ACT_Qty]]*Table1[[#This Row],[Unit Price]],""),"")</f>
        <v/>
      </c>
      <c r="T425" s="286" t="str">
        <f ca="1">IFERROR(IF(AND(($N$3&lt;&gt;""),INDIRECT(Aux!$D$1)),VLOOKUP(Table1[[#This Row],[Product code]],Aux!B:E,4,FALSE),""),"")</f>
        <v/>
      </c>
      <c r="U425" s="203" t="str">
        <f>IFERROR(IF(OR(Table1[[#This Row],[Quantity]]&lt;&gt;"",Table1[[#This Row],[ACT_Qty]]&lt;&gt;""),Table1[[#This Row],[ACT_Qty]]-Table1[[#This Row],[Quantity]],""),"")</f>
        <v/>
      </c>
      <c r="V425" s="287"/>
      <c r="W425" s="287"/>
      <c r="X425" s="287"/>
    </row>
    <row r="426" spans="1:24" ht="15" customHeight="1">
      <c r="A426" s="228" t="str">
        <f t="shared" si="24"/>
        <v>AKH12345</v>
      </c>
      <c r="B426" s="259" t="s">
        <v>1224</v>
      </c>
      <c r="C426" s="228" t="s">
        <v>1225</v>
      </c>
      <c r="D426" s="105"/>
      <c r="E426" s="106"/>
      <c r="F426" s="105"/>
      <c r="G426" s="106"/>
      <c r="H426" s="204" t="s">
        <v>1186</v>
      </c>
      <c r="I426" s="205" t="s">
        <v>1187</v>
      </c>
      <c r="J426" s="205" t="s">
        <v>115</v>
      </c>
      <c r="K426" s="205" t="s">
        <v>52</v>
      </c>
      <c r="L426" s="206" t="s">
        <v>53</v>
      </c>
      <c r="M426" s="206" t="str">
        <f t="shared" si="28"/>
        <v>OneCo Networks AS</v>
      </c>
      <c r="N426"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6" s="279" t="str">
        <f ca="1">IFERROR(IF(
OR(Table1[[#This Row],[Product category]]="Service items",Table1[[#This Row],[Product category]]="Additional services",Table1[[#This Row],[Product category]]="Additional materials"),
"NOK",IF(($N$3&lt;&gt;""),VLOOKUP(Table1[[#This Row],[Product code]],INDIRECT(Aux!$A$1),6,FALSE),"")),"")</f>
        <v/>
      </c>
      <c r="P426" s="280" t="str">
        <f ca="1">IFERROR(IF(AND(Table1[[#This Row],[Quantity]]&lt;&gt;"",Table1[[#This Row],[Currency]]="NOK"),Table1[[#This Row],[Quantity]]*Table1[[#This Row],[Unit Price]],""),"")</f>
        <v/>
      </c>
      <c r="Q426" s="280" t="str">
        <f ca="1">IFERROR(IF(AND(Table1[[#This Row],[ACT_Qty]]&lt;&gt;"",Table1[[#This Row],[Currency]]="NOK"),Table1[[#This Row],[ACT_Qty]]*Table1[[#This Row],[Unit Price]],""),"")</f>
        <v/>
      </c>
      <c r="R426" s="280" t="str">
        <f ca="1">IFERROR(IF(AND(Table1[[#This Row],[Quantity]]&lt;&gt;"",Table1[[#This Row],[Currency]]="EUR"),Table1[[#This Row],[Quantity]]*Table1[[#This Row],[Unit Price]],""),"")</f>
        <v/>
      </c>
      <c r="S426" s="280" t="str">
        <f ca="1">IFERROR(IF(AND(Table1[[#This Row],[ACT_Qty]]&lt;&gt;"",Table1[[#This Row],[Currency]]="EUR"),Table1[[#This Row],[ACT_Qty]]*Table1[[#This Row],[Unit Price]],""),"")</f>
        <v/>
      </c>
      <c r="T426" s="281" t="str">
        <f ca="1">IFERROR(IF(AND(($N$3&lt;&gt;""),INDIRECT(Aux!$D$1)),VLOOKUP(Table1[[#This Row],[Product code]],Aux!B:E,4,FALSE),""),"")</f>
        <v/>
      </c>
      <c r="U426" s="206" t="str">
        <f>IFERROR(IF(OR(Table1[[#This Row],[Quantity]]&lt;&gt;"",Table1[[#This Row],[ACT_Qty]]&lt;&gt;""),Table1[[#This Row],[ACT_Qty]]-Table1[[#This Row],[Quantity]],""),"")</f>
        <v/>
      </c>
      <c r="V426" s="282"/>
      <c r="W426" s="282"/>
      <c r="X426" s="282"/>
    </row>
    <row r="427" spans="1:24" ht="15" customHeight="1">
      <c r="A427" s="227" t="str">
        <f t="shared" si="24"/>
        <v>AKH12345</v>
      </c>
      <c r="B427" s="258" t="s">
        <v>1226</v>
      </c>
      <c r="C427" s="227" t="s">
        <v>1227</v>
      </c>
      <c r="D427" s="105"/>
      <c r="E427" s="106"/>
      <c r="F427" s="105"/>
      <c r="G427" s="106"/>
      <c r="H427" s="201" t="s">
        <v>1186</v>
      </c>
      <c r="I427" s="202" t="s">
        <v>1187</v>
      </c>
      <c r="J427" s="202" t="s">
        <v>115</v>
      </c>
      <c r="K427" s="202" t="s">
        <v>52</v>
      </c>
      <c r="L427" s="203" t="s">
        <v>53</v>
      </c>
      <c r="M427" s="203" t="str">
        <f t="shared" si="28"/>
        <v>OneCo Networks AS</v>
      </c>
      <c r="N427" s="283"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7" s="284" t="str">
        <f ca="1">IFERROR(IF(
OR(Table1[[#This Row],[Product category]]="Service items",Table1[[#This Row],[Product category]]="Additional services",Table1[[#This Row],[Product category]]="Additional materials"),
"NOK",IF(($N$3&lt;&gt;""),VLOOKUP(Table1[[#This Row],[Product code]],INDIRECT(Aux!$A$1),6,FALSE),"")),"")</f>
        <v/>
      </c>
      <c r="P427" s="285" t="str">
        <f ca="1">IFERROR(IF(AND(Table1[[#This Row],[Quantity]]&lt;&gt;"",Table1[[#This Row],[Currency]]="NOK"),Table1[[#This Row],[Quantity]]*Table1[[#This Row],[Unit Price]],""),"")</f>
        <v/>
      </c>
      <c r="Q427" s="285" t="str">
        <f ca="1">IFERROR(IF(AND(Table1[[#This Row],[ACT_Qty]]&lt;&gt;"",Table1[[#This Row],[Currency]]="NOK"),Table1[[#This Row],[ACT_Qty]]*Table1[[#This Row],[Unit Price]],""),"")</f>
        <v/>
      </c>
      <c r="R427" s="285" t="str">
        <f ca="1">IFERROR(IF(AND(Table1[[#This Row],[Quantity]]&lt;&gt;"",Table1[[#This Row],[Currency]]="EUR"),Table1[[#This Row],[Quantity]]*Table1[[#This Row],[Unit Price]],""),"")</f>
        <v/>
      </c>
      <c r="S427" s="285" t="str">
        <f ca="1">IFERROR(IF(AND(Table1[[#This Row],[ACT_Qty]]&lt;&gt;"",Table1[[#This Row],[Currency]]="EUR"),Table1[[#This Row],[ACT_Qty]]*Table1[[#This Row],[Unit Price]],""),"")</f>
        <v/>
      </c>
      <c r="T427" s="286" t="str">
        <f ca="1">IFERROR(IF(AND(($N$3&lt;&gt;""),INDIRECT(Aux!$D$1)),VLOOKUP(Table1[[#This Row],[Product code]],Aux!B:E,4,FALSE),""),"")</f>
        <v/>
      </c>
      <c r="U427" s="203" t="str">
        <f>IFERROR(IF(OR(Table1[[#This Row],[Quantity]]&lt;&gt;"",Table1[[#This Row],[ACT_Qty]]&lt;&gt;""),Table1[[#This Row],[ACT_Qty]]-Table1[[#This Row],[Quantity]],""),"")</f>
        <v/>
      </c>
      <c r="V427" s="287"/>
      <c r="W427" s="287"/>
      <c r="X427" s="287"/>
    </row>
    <row r="428" spans="1:24" ht="15" customHeight="1">
      <c r="A428" s="228" t="str">
        <f t="shared" si="24"/>
        <v>AKH12345</v>
      </c>
      <c r="B428" s="259" t="s">
        <v>1228</v>
      </c>
      <c r="C428" s="228" t="s">
        <v>1229</v>
      </c>
      <c r="D428" s="105"/>
      <c r="E428" s="106"/>
      <c r="F428" s="105"/>
      <c r="G428" s="106"/>
      <c r="H428" s="204" t="s">
        <v>1186</v>
      </c>
      <c r="I428" s="205" t="s">
        <v>1187</v>
      </c>
      <c r="J428" s="205" t="s">
        <v>1188</v>
      </c>
      <c r="K428" s="205" t="s">
        <v>52</v>
      </c>
      <c r="L428" s="206" t="s">
        <v>53</v>
      </c>
      <c r="M428" s="206" t="str">
        <f t="shared" si="28"/>
        <v>OneCo Networks AS</v>
      </c>
      <c r="N428" s="278"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8" s="279" t="str">
        <f ca="1">IFERROR(IF(
OR(Table1[[#This Row],[Product category]]="Service items",Table1[[#This Row],[Product category]]="Additional services",Table1[[#This Row],[Product category]]="Additional materials"),
"NOK",IF(($N$3&lt;&gt;""),VLOOKUP(Table1[[#This Row],[Product code]],INDIRECT(Aux!$A$1),6,FALSE),"")),"")</f>
        <v/>
      </c>
      <c r="P428" s="280" t="str">
        <f ca="1">IFERROR(IF(AND(Table1[[#This Row],[Quantity]]&lt;&gt;"",Table1[[#This Row],[Currency]]="NOK"),Table1[[#This Row],[Quantity]]*Table1[[#This Row],[Unit Price]],""),"")</f>
        <v/>
      </c>
      <c r="Q428" s="280" t="str">
        <f ca="1">IFERROR(IF(AND(Table1[[#This Row],[ACT_Qty]]&lt;&gt;"",Table1[[#This Row],[Currency]]="NOK"),Table1[[#This Row],[ACT_Qty]]*Table1[[#This Row],[Unit Price]],""),"")</f>
        <v/>
      </c>
      <c r="R428" s="280" t="str">
        <f ca="1">IFERROR(IF(AND(Table1[[#This Row],[Quantity]]&lt;&gt;"",Table1[[#This Row],[Currency]]="EUR"),Table1[[#This Row],[Quantity]]*Table1[[#This Row],[Unit Price]],""),"")</f>
        <v/>
      </c>
      <c r="S428" s="280" t="str">
        <f ca="1">IFERROR(IF(AND(Table1[[#This Row],[ACT_Qty]]&lt;&gt;"",Table1[[#This Row],[Currency]]="EUR"),Table1[[#This Row],[ACT_Qty]]*Table1[[#This Row],[Unit Price]],""),"")</f>
        <v/>
      </c>
      <c r="T428" s="281" t="str">
        <f ca="1">IFERROR(IF(AND(($N$3&lt;&gt;""),INDIRECT(Aux!$D$1)),VLOOKUP(Table1[[#This Row],[Product code]],Aux!B:E,4,FALSE),""),"")</f>
        <v/>
      </c>
      <c r="U428" s="206" t="str">
        <f>IFERROR(IF(OR(Table1[[#This Row],[Quantity]]&lt;&gt;"",Table1[[#This Row],[ACT_Qty]]&lt;&gt;""),Table1[[#This Row],[ACT_Qty]]-Table1[[#This Row],[Quantity]],""),"")</f>
        <v/>
      </c>
      <c r="V428" s="282"/>
      <c r="W428" s="282"/>
      <c r="X428" s="282"/>
    </row>
    <row r="429" spans="1:24" ht="15" customHeight="1">
      <c r="A429" s="143" t="str">
        <f t="shared" si="24"/>
        <v>AKH12345</v>
      </c>
      <c r="B429" s="260" t="s">
        <v>1230</v>
      </c>
      <c r="C429" s="8" t="s">
        <v>1231</v>
      </c>
      <c r="D429" s="105"/>
      <c r="E429" s="106"/>
      <c r="F429" s="105"/>
      <c r="G429" s="106"/>
      <c r="H429" s="6" t="s">
        <v>1232</v>
      </c>
      <c r="I429" s="6" t="s">
        <v>1233</v>
      </c>
      <c r="J429" s="6" t="s">
        <v>1234</v>
      </c>
      <c r="K429" s="6" t="s">
        <v>1235</v>
      </c>
      <c r="L429" s="207" t="s">
        <v>1235</v>
      </c>
      <c r="M429" s="145" t="str">
        <f t="shared" si="25"/>
        <v>OneCo Networks AS</v>
      </c>
      <c r="N4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29" s="268" t="str">
        <f ca="1">IFERROR(IF(
OR(Table1[[#This Row],[Product category]]="Service items",Table1[[#This Row],[Product category]]="Additional services",Table1[[#This Row],[Product category]]="Additional materials"),
"NOK",IF(($N$3&lt;&gt;""),VLOOKUP(Table1[[#This Row],[Product code]],INDIRECT(Aux!$A$1),6,FALSE),"")),"")</f>
        <v>NOK</v>
      </c>
      <c r="P429" s="41" t="str">
        <f ca="1">IFERROR(IF(AND(Table1[[#This Row],[Quantity]]&lt;&gt;"",Table1[[#This Row],[Currency]]="NOK"),Table1[[#This Row],[Quantity]]*Table1[[#This Row],[Unit Price]],""),"")</f>
        <v/>
      </c>
      <c r="Q429" s="41" t="str">
        <f ca="1">IFERROR(IF(AND(Table1[[#This Row],[ACT_Qty]]&lt;&gt;"",Table1[[#This Row],[Currency]]="NOK"),Table1[[#This Row],[ACT_Qty]]*Table1[[#This Row],[Unit Price]],""),"")</f>
        <v/>
      </c>
      <c r="R429" s="41" t="str">
        <f ca="1">IFERROR(IF(AND(Table1[[#This Row],[Quantity]]&lt;&gt;"",Table1[[#This Row],[Currency]]="EUR"),Table1[[#This Row],[Quantity]]*Table1[[#This Row],[Unit Price]],""),"")</f>
        <v/>
      </c>
      <c r="S429" s="41" t="str">
        <f ca="1">IFERROR(IF(AND(Table1[[#This Row],[ACT_Qty]]&lt;&gt;"",Table1[[#This Row],[Currency]]="EUR"),Table1[[#This Row],[ACT_Qty]]*Table1[[#This Row],[Unit Price]],""),"")</f>
        <v/>
      </c>
      <c r="T429" s="269" t="str">
        <f ca="1">IFERROR(IF(AND(($N$3&lt;&gt;""),INDIRECT(Aux!$D$1)),VLOOKUP(Table1[[#This Row],[Product code]],Aux!B:E,4,FALSE),""),"")</f>
        <v/>
      </c>
      <c r="U429" s="145" t="str">
        <f>IFERROR(IF(OR(Table1[[#This Row],[Quantity]]&lt;&gt;"",Table1[[#This Row],[ACT_Qty]]&lt;&gt;""),Table1[[#This Row],[ACT_Qty]]-Table1[[#This Row],[Quantity]],""),"")</f>
        <v/>
      </c>
      <c r="V429" s="45"/>
      <c r="W429" s="45"/>
      <c r="X429" s="45"/>
    </row>
    <row r="430" spans="1:24" ht="15" customHeight="1">
      <c r="A430" s="233" t="str">
        <f t="shared" si="24"/>
        <v>AKH12345</v>
      </c>
      <c r="B430" s="261" t="s">
        <v>1236</v>
      </c>
      <c r="C430" s="7" t="s">
        <v>1237</v>
      </c>
      <c r="D430" s="68"/>
      <c r="E430" s="89"/>
      <c r="F430" s="68"/>
      <c r="G430" s="89"/>
      <c r="H430" s="5" t="s">
        <v>1238</v>
      </c>
      <c r="I430" s="5" t="s">
        <v>1233</v>
      </c>
      <c r="J430" s="5" t="s">
        <v>1234</v>
      </c>
      <c r="K430" s="5" t="s">
        <v>1235</v>
      </c>
      <c r="L430" s="208" t="s">
        <v>1235</v>
      </c>
      <c r="M430" s="148" t="str">
        <f t="shared" si="25"/>
        <v>OneCo Networks AS</v>
      </c>
      <c r="N43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0" s="270" t="str">
        <f ca="1">IFERROR(IF(
OR(Table1[[#This Row],[Product category]]="Service items",Table1[[#This Row],[Product category]]="Additional services",Table1[[#This Row],[Product category]]="Additional materials"),
"NOK",IF(($N$3&lt;&gt;""),VLOOKUP(Table1[[#This Row],[Product code]],INDIRECT(Aux!$A$1),6,FALSE),"")),"")</f>
        <v>NOK</v>
      </c>
      <c r="P430" s="43" t="str">
        <f ca="1">IFERROR(IF(AND(Table1[[#This Row],[Quantity]]&lt;&gt;"",Table1[[#This Row],[Currency]]="NOK"),Table1[[#This Row],[Quantity]]*Table1[[#This Row],[Unit Price]],""),"")</f>
        <v/>
      </c>
      <c r="Q430" s="43" t="str">
        <f ca="1">IFERROR(IF(AND(Table1[[#This Row],[ACT_Qty]]&lt;&gt;"",Table1[[#This Row],[Currency]]="NOK"),Table1[[#This Row],[ACT_Qty]]*Table1[[#This Row],[Unit Price]],""),"")</f>
        <v/>
      </c>
      <c r="R430" s="43" t="str">
        <f ca="1">IFERROR(IF(AND(Table1[[#This Row],[Quantity]]&lt;&gt;"",Table1[[#This Row],[Currency]]="EUR"),Table1[[#This Row],[Quantity]]*Table1[[#This Row],[Unit Price]],""),"")</f>
        <v/>
      </c>
      <c r="S430" s="43" t="str">
        <f ca="1">IFERROR(IF(AND(Table1[[#This Row],[ACT_Qty]]&lt;&gt;"",Table1[[#This Row],[Currency]]="EUR"),Table1[[#This Row],[ACT_Qty]]*Table1[[#This Row],[Unit Price]],""),"")</f>
        <v/>
      </c>
      <c r="T430" s="271" t="str">
        <f ca="1">IFERROR(IF(AND(($N$3&lt;&gt;""),INDIRECT(Aux!$D$1)),VLOOKUP(Table1[[#This Row],[Product code]],Aux!B:E,4,FALSE),""),"")</f>
        <v/>
      </c>
      <c r="U430" s="148" t="str">
        <f>IFERROR(IF(OR(Table1[[#This Row],[Quantity]]&lt;&gt;"",Table1[[#This Row],[ACT_Qty]]&lt;&gt;""),Table1[[#This Row],[ACT_Qty]]-Table1[[#This Row],[Quantity]],""),"")</f>
        <v/>
      </c>
      <c r="V430" s="46"/>
      <c r="W430" s="46"/>
      <c r="X430" s="46"/>
    </row>
    <row r="431" spans="1:24" ht="15" customHeight="1">
      <c r="A431" s="143" t="str">
        <f t="shared" si="24"/>
        <v>AKH12345</v>
      </c>
      <c r="B431" s="260" t="s">
        <v>1239</v>
      </c>
      <c r="C431" s="8" t="s">
        <v>1240</v>
      </c>
      <c r="D431" s="105"/>
      <c r="E431" s="106"/>
      <c r="F431" s="105"/>
      <c r="G431" s="106"/>
      <c r="H431" s="6" t="s">
        <v>1238</v>
      </c>
      <c r="I431" s="6" t="s">
        <v>1233</v>
      </c>
      <c r="J431" s="6" t="s">
        <v>1234</v>
      </c>
      <c r="K431" s="6" t="s">
        <v>1235</v>
      </c>
      <c r="L431" s="207" t="s">
        <v>1235</v>
      </c>
      <c r="M431" s="145" t="str">
        <f t="shared" si="25"/>
        <v>OneCo Networks AS</v>
      </c>
      <c r="N4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1" s="268" t="str">
        <f ca="1">IFERROR(IF(
OR(Table1[[#This Row],[Product category]]="Service items",Table1[[#This Row],[Product category]]="Additional services",Table1[[#This Row],[Product category]]="Additional materials"),
"NOK",IF(($N$3&lt;&gt;""),VLOOKUP(Table1[[#This Row],[Product code]],INDIRECT(Aux!$A$1),6,FALSE),"")),"")</f>
        <v>NOK</v>
      </c>
      <c r="P431" s="41" t="str">
        <f ca="1">IFERROR(IF(AND(Table1[[#This Row],[Quantity]]&lt;&gt;"",Table1[[#This Row],[Currency]]="NOK"),Table1[[#This Row],[Quantity]]*Table1[[#This Row],[Unit Price]],""),"")</f>
        <v/>
      </c>
      <c r="Q431" s="41" t="str">
        <f ca="1">IFERROR(IF(AND(Table1[[#This Row],[ACT_Qty]]&lt;&gt;"",Table1[[#This Row],[Currency]]="NOK"),Table1[[#This Row],[ACT_Qty]]*Table1[[#This Row],[Unit Price]],""),"")</f>
        <v/>
      </c>
      <c r="R431" s="41" t="str">
        <f ca="1">IFERROR(IF(AND(Table1[[#This Row],[Quantity]]&lt;&gt;"",Table1[[#This Row],[Currency]]="EUR"),Table1[[#This Row],[Quantity]]*Table1[[#This Row],[Unit Price]],""),"")</f>
        <v/>
      </c>
      <c r="S431" s="41" t="str">
        <f ca="1">IFERROR(IF(AND(Table1[[#This Row],[ACT_Qty]]&lt;&gt;"",Table1[[#This Row],[Currency]]="EUR"),Table1[[#This Row],[ACT_Qty]]*Table1[[#This Row],[Unit Price]],""),"")</f>
        <v/>
      </c>
      <c r="T431" s="269" t="str">
        <f ca="1">IFERROR(IF(AND(($N$3&lt;&gt;""),INDIRECT(Aux!$D$1)),VLOOKUP(Table1[[#This Row],[Product code]],Aux!B:E,4,FALSE),""),"")</f>
        <v/>
      </c>
      <c r="U431" s="145" t="str">
        <f>IFERROR(IF(OR(Table1[[#This Row],[Quantity]]&lt;&gt;"",Table1[[#This Row],[ACT_Qty]]&lt;&gt;""),Table1[[#This Row],[ACT_Qty]]-Table1[[#This Row],[Quantity]],""),"")</f>
        <v/>
      </c>
      <c r="V431" s="45"/>
      <c r="W431" s="45"/>
      <c r="X431" s="45"/>
    </row>
    <row r="432" spans="1:24" ht="15" customHeight="1">
      <c r="A432" s="233" t="str">
        <f t="shared" si="24"/>
        <v>AKH12345</v>
      </c>
      <c r="B432" s="261" t="s">
        <v>1241</v>
      </c>
      <c r="C432" s="7" t="s">
        <v>1242</v>
      </c>
      <c r="D432" s="68"/>
      <c r="E432" s="89" t="s">
        <v>1243</v>
      </c>
      <c r="F432" s="68"/>
      <c r="G432" s="89"/>
      <c r="H432" s="5" t="s">
        <v>1244</v>
      </c>
      <c r="I432" s="5" t="s">
        <v>1233</v>
      </c>
      <c r="J432" s="5" t="s">
        <v>1234</v>
      </c>
      <c r="K432" s="5" t="s">
        <v>1235</v>
      </c>
      <c r="L432" s="208" t="s">
        <v>1235</v>
      </c>
      <c r="M432" s="148" t="str">
        <f t="shared" si="25"/>
        <v>OneCo Networks AS</v>
      </c>
      <c r="N43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2" s="270" t="str">
        <f ca="1">IFERROR(IF(
OR(Table1[[#This Row],[Product category]]="Service items",Table1[[#This Row],[Product category]]="Additional services",Table1[[#This Row],[Product category]]="Additional materials"),
"NOK",IF(($N$3&lt;&gt;""),VLOOKUP(Table1[[#This Row],[Product code]],INDIRECT(Aux!$A$1),6,FALSE),"")),"")</f>
        <v>NOK</v>
      </c>
      <c r="P432" s="43" t="str">
        <f ca="1">IFERROR(IF(AND(Table1[[#This Row],[Quantity]]&lt;&gt;"",Table1[[#This Row],[Currency]]="NOK"),Table1[[#This Row],[Quantity]]*Table1[[#This Row],[Unit Price]],""),"")</f>
        <v/>
      </c>
      <c r="Q432" s="43" t="str">
        <f ca="1">IFERROR(IF(AND(Table1[[#This Row],[ACT_Qty]]&lt;&gt;"",Table1[[#This Row],[Currency]]="NOK"),Table1[[#This Row],[ACT_Qty]]*Table1[[#This Row],[Unit Price]],""),"")</f>
        <v/>
      </c>
      <c r="R432" s="43" t="str">
        <f ca="1">IFERROR(IF(AND(Table1[[#This Row],[Quantity]]&lt;&gt;"",Table1[[#This Row],[Currency]]="EUR"),Table1[[#This Row],[Quantity]]*Table1[[#This Row],[Unit Price]],""),"")</f>
        <v/>
      </c>
      <c r="S432" s="43" t="str">
        <f ca="1">IFERROR(IF(AND(Table1[[#This Row],[ACT_Qty]]&lt;&gt;"",Table1[[#This Row],[Currency]]="EUR"),Table1[[#This Row],[ACT_Qty]]*Table1[[#This Row],[Unit Price]],""),"")</f>
        <v/>
      </c>
      <c r="T432" s="271" t="str">
        <f ca="1">IFERROR(IF(AND(($N$3&lt;&gt;""),INDIRECT(Aux!$D$1)),VLOOKUP(Table1[[#This Row],[Product code]],Aux!B:E,4,FALSE),""),"")</f>
        <v/>
      </c>
      <c r="U432" s="148" t="str">
        <f>IFERROR(IF(OR(Table1[[#This Row],[Quantity]]&lt;&gt;"",Table1[[#This Row],[ACT_Qty]]&lt;&gt;""),Table1[[#This Row],[ACT_Qty]]-Table1[[#This Row],[Quantity]],""),"")</f>
        <v/>
      </c>
      <c r="V432" s="46"/>
      <c r="W432" s="46"/>
      <c r="X432" s="46"/>
    </row>
    <row r="433" spans="1:24" ht="15" customHeight="1">
      <c r="A433" s="143" t="str">
        <f t="shared" si="24"/>
        <v>AKH12345</v>
      </c>
      <c r="B433" s="260" t="s">
        <v>1245</v>
      </c>
      <c r="C433" s="8" t="s">
        <v>1246</v>
      </c>
      <c r="D433" s="105"/>
      <c r="E433" s="106"/>
      <c r="F433" s="105"/>
      <c r="G433" s="106"/>
      <c r="H433" s="6" t="s">
        <v>1247</v>
      </c>
      <c r="I433" s="6" t="s">
        <v>1233</v>
      </c>
      <c r="J433" s="6" t="s">
        <v>1234</v>
      </c>
      <c r="K433" s="6" t="s">
        <v>1235</v>
      </c>
      <c r="L433" s="207" t="s">
        <v>1235</v>
      </c>
      <c r="M433" s="145" t="str">
        <f t="shared" si="25"/>
        <v>OneCo Networks AS</v>
      </c>
      <c r="N4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3" s="268" t="str">
        <f ca="1">IFERROR(IF(
OR(Table1[[#This Row],[Product category]]="Service items",Table1[[#This Row],[Product category]]="Additional services",Table1[[#This Row],[Product category]]="Additional materials"),
"NOK",IF(($N$3&lt;&gt;""),VLOOKUP(Table1[[#This Row],[Product code]],INDIRECT(Aux!$A$1),6,FALSE),"")),"")</f>
        <v>NOK</v>
      </c>
      <c r="P433" s="41" t="str">
        <f ca="1">IFERROR(IF(AND(Table1[[#This Row],[Quantity]]&lt;&gt;"",Table1[[#This Row],[Currency]]="NOK"),Table1[[#This Row],[Quantity]]*Table1[[#This Row],[Unit Price]],""),"")</f>
        <v/>
      </c>
      <c r="Q433" s="41" t="str">
        <f ca="1">IFERROR(IF(AND(Table1[[#This Row],[ACT_Qty]]&lt;&gt;"",Table1[[#This Row],[Currency]]="NOK"),Table1[[#This Row],[ACT_Qty]]*Table1[[#This Row],[Unit Price]],""),"")</f>
        <v/>
      </c>
      <c r="R433" s="41" t="str">
        <f ca="1">IFERROR(IF(AND(Table1[[#This Row],[Quantity]]&lt;&gt;"",Table1[[#This Row],[Currency]]="EUR"),Table1[[#This Row],[Quantity]]*Table1[[#This Row],[Unit Price]],""),"")</f>
        <v/>
      </c>
      <c r="S433" s="41" t="str">
        <f ca="1">IFERROR(IF(AND(Table1[[#This Row],[ACT_Qty]]&lt;&gt;"",Table1[[#This Row],[Currency]]="EUR"),Table1[[#This Row],[ACT_Qty]]*Table1[[#This Row],[Unit Price]],""),"")</f>
        <v/>
      </c>
      <c r="T433" s="269" t="str">
        <f ca="1">IFERROR(IF(AND(($N$3&lt;&gt;""),INDIRECT(Aux!$D$1)),VLOOKUP(Table1[[#This Row],[Product code]],Aux!B:E,4,FALSE),""),"")</f>
        <v/>
      </c>
      <c r="U433" s="145" t="str">
        <f>IFERROR(IF(OR(Table1[[#This Row],[Quantity]]&lt;&gt;"",Table1[[#This Row],[ACT_Qty]]&lt;&gt;""),Table1[[#This Row],[ACT_Qty]]-Table1[[#This Row],[Quantity]],""),"")</f>
        <v/>
      </c>
      <c r="V433" s="45"/>
      <c r="W433" s="45"/>
      <c r="X433" s="45"/>
    </row>
    <row r="434" spans="1:24" ht="15" customHeight="1">
      <c r="A434" s="233" t="str">
        <f t="shared" si="24"/>
        <v>AKH12345</v>
      </c>
      <c r="B434" s="261" t="s">
        <v>1248</v>
      </c>
      <c r="C434" s="7" t="s">
        <v>1249</v>
      </c>
      <c r="D434" s="105"/>
      <c r="E434" s="89"/>
      <c r="F434" s="68"/>
      <c r="G434" s="89"/>
      <c r="H434" s="5" t="s">
        <v>1250</v>
      </c>
      <c r="I434" s="5" t="s">
        <v>1233</v>
      </c>
      <c r="J434" s="5" t="s">
        <v>1234</v>
      </c>
      <c r="K434" s="5" t="s">
        <v>1235</v>
      </c>
      <c r="L434" s="208" t="s">
        <v>1235</v>
      </c>
      <c r="M434" s="148" t="str">
        <f t="shared" si="25"/>
        <v>OneCo Networks AS</v>
      </c>
      <c r="N43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4" s="270" t="str">
        <f ca="1">IFERROR(IF(
OR(Table1[[#This Row],[Product category]]="Service items",Table1[[#This Row],[Product category]]="Additional services",Table1[[#This Row],[Product category]]="Additional materials"),
"NOK",IF(($N$3&lt;&gt;""),VLOOKUP(Table1[[#This Row],[Product code]],INDIRECT(Aux!$A$1),6,FALSE),"")),"")</f>
        <v>NOK</v>
      </c>
      <c r="P434" s="43" t="str">
        <f ca="1">IFERROR(IF(AND(Table1[[#This Row],[Quantity]]&lt;&gt;"",Table1[[#This Row],[Currency]]="NOK"),Table1[[#This Row],[Quantity]]*Table1[[#This Row],[Unit Price]],""),"")</f>
        <v/>
      </c>
      <c r="Q434" s="43" t="str">
        <f ca="1">IFERROR(IF(AND(Table1[[#This Row],[ACT_Qty]]&lt;&gt;"",Table1[[#This Row],[Currency]]="NOK"),Table1[[#This Row],[ACT_Qty]]*Table1[[#This Row],[Unit Price]],""),"")</f>
        <v/>
      </c>
      <c r="R434" s="43" t="str">
        <f ca="1">IFERROR(IF(AND(Table1[[#This Row],[Quantity]]&lt;&gt;"",Table1[[#This Row],[Currency]]="EUR"),Table1[[#This Row],[Quantity]]*Table1[[#This Row],[Unit Price]],""),"")</f>
        <v/>
      </c>
      <c r="S434" s="43" t="str">
        <f ca="1">IFERROR(IF(AND(Table1[[#This Row],[ACT_Qty]]&lt;&gt;"",Table1[[#This Row],[Currency]]="EUR"),Table1[[#This Row],[ACT_Qty]]*Table1[[#This Row],[Unit Price]],""),"")</f>
        <v/>
      </c>
      <c r="T434" s="271" t="str">
        <f ca="1">IFERROR(IF(AND(($N$3&lt;&gt;""),INDIRECT(Aux!$D$1)),VLOOKUP(Table1[[#This Row],[Product code]],Aux!B:E,4,FALSE),""),"")</f>
        <v/>
      </c>
      <c r="U434" s="148" t="str">
        <f>IFERROR(IF(OR(Table1[[#This Row],[Quantity]]&lt;&gt;"",Table1[[#This Row],[ACT_Qty]]&lt;&gt;""),Table1[[#This Row],[ACT_Qty]]-Table1[[#This Row],[Quantity]],""),"")</f>
        <v/>
      </c>
      <c r="V434" s="46"/>
      <c r="W434" s="46"/>
      <c r="X434" s="46"/>
    </row>
    <row r="435" spans="1:24" ht="15" customHeight="1">
      <c r="A435" s="143" t="str">
        <f t="shared" si="24"/>
        <v>AKH12345</v>
      </c>
      <c r="B435" s="260" t="s">
        <v>1251</v>
      </c>
      <c r="C435" s="8" t="s">
        <v>1252</v>
      </c>
      <c r="D435" s="105"/>
      <c r="E435" s="106" t="s">
        <v>1253</v>
      </c>
      <c r="F435" s="105"/>
      <c r="G435" s="106"/>
      <c r="H435" s="6" t="s">
        <v>1254</v>
      </c>
      <c r="I435" s="6" t="s">
        <v>1233</v>
      </c>
      <c r="J435" s="6" t="s">
        <v>1234</v>
      </c>
      <c r="K435" s="6" t="s">
        <v>1235</v>
      </c>
      <c r="L435" s="207" t="s">
        <v>1235</v>
      </c>
      <c r="M435" s="145" t="str">
        <f t="shared" si="25"/>
        <v>OneCo Networks AS</v>
      </c>
      <c r="N4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5" s="268" t="str">
        <f ca="1">IFERROR(IF(
OR(Table1[[#This Row],[Product category]]="Service items",Table1[[#This Row],[Product category]]="Additional services",Table1[[#This Row],[Product category]]="Additional materials"),
"NOK",IF(($N$3&lt;&gt;""),VLOOKUP(Table1[[#This Row],[Product code]],INDIRECT(Aux!$A$1),6,FALSE),"")),"")</f>
        <v>NOK</v>
      </c>
      <c r="P435" s="41" t="str">
        <f ca="1">IFERROR(IF(AND(Table1[[#This Row],[Quantity]]&lt;&gt;"",Table1[[#This Row],[Currency]]="NOK"),Table1[[#This Row],[Quantity]]*Table1[[#This Row],[Unit Price]],""),"")</f>
        <v/>
      </c>
      <c r="Q435" s="41" t="str">
        <f ca="1">IFERROR(IF(AND(Table1[[#This Row],[ACT_Qty]]&lt;&gt;"",Table1[[#This Row],[Currency]]="NOK"),Table1[[#This Row],[ACT_Qty]]*Table1[[#This Row],[Unit Price]],""),"")</f>
        <v/>
      </c>
      <c r="R435" s="41" t="str">
        <f ca="1">IFERROR(IF(AND(Table1[[#This Row],[Quantity]]&lt;&gt;"",Table1[[#This Row],[Currency]]="EUR"),Table1[[#This Row],[Quantity]]*Table1[[#This Row],[Unit Price]],""),"")</f>
        <v/>
      </c>
      <c r="S435" s="41" t="str">
        <f ca="1">IFERROR(IF(AND(Table1[[#This Row],[ACT_Qty]]&lt;&gt;"",Table1[[#This Row],[Currency]]="EUR"),Table1[[#This Row],[ACT_Qty]]*Table1[[#This Row],[Unit Price]],""),"")</f>
        <v/>
      </c>
      <c r="T435" s="269" t="str">
        <f ca="1">IFERROR(IF(AND(($N$3&lt;&gt;""),INDIRECT(Aux!$D$1)),VLOOKUP(Table1[[#This Row],[Product code]],Aux!B:E,4,FALSE),""),"")</f>
        <v/>
      </c>
      <c r="U435" s="145" t="str">
        <f>IFERROR(IF(OR(Table1[[#This Row],[Quantity]]&lt;&gt;"",Table1[[#This Row],[ACT_Qty]]&lt;&gt;""),Table1[[#This Row],[ACT_Qty]]-Table1[[#This Row],[Quantity]],""),"")</f>
        <v/>
      </c>
      <c r="V435" s="45"/>
      <c r="W435" s="45"/>
      <c r="X435" s="45"/>
    </row>
    <row r="436" spans="1:24" ht="15" customHeight="1">
      <c r="A436" s="233" t="str">
        <f t="shared" si="24"/>
        <v>AKH12345</v>
      </c>
      <c r="B436" s="261" t="s">
        <v>1255</v>
      </c>
      <c r="C436" s="7" t="s">
        <v>1256</v>
      </c>
      <c r="D436" s="105"/>
      <c r="E436" s="89"/>
      <c r="F436" s="68"/>
      <c r="G436" s="89"/>
      <c r="H436" s="5" t="s">
        <v>1257</v>
      </c>
      <c r="I436" s="5" t="s">
        <v>1233</v>
      </c>
      <c r="J436" s="5" t="s">
        <v>1234</v>
      </c>
      <c r="K436" s="5" t="s">
        <v>1235</v>
      </c>
      <c r="L436" s="208" t="s">
        <v>1235</v>
      </c>
      <c r="M436" s="148" t="str">
        <f t="shared" si="25"/>
        <v>OneCo Networks AS</v>
      </c>
      <c r="N43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6" s="270" t="str">
        <f ca="1">IFERROR(IF(
OR(Table1[[#This Row],[Product category]]="Service items",Table1[[#This Row],[Product category]]="Additional services",Table1[[#This Row],[Product category]]="Additional materials"),
"NOK",IF(($N$3&lt;&gt;""),VLOOKUP(Table1[[#This Row],[Product code]],INDIRECT(Aux!$A$1),6,FALSE),"")),"")</f>
        <v>NOK</v>
      </c>
      <c r="P436" s="43" t="str">
        <f ca="1">IFERROR(IF(AND(Table1[[#This Row],[Quantity]]&lt;&gt;"",Table1[[#This Row],[Currency]]="NOK"),Table1[[#This Row],[Quantity]]*Table1[[#This Row],[Unit Price]],""),"")</f>
        <v/>
      </c>
      <c r="Q436" s="43" t="str">
        <f ca="1">IFERROR(IF(AND(Table1[[#This Row],[ACT_Qty]]&lt;&gt;"",Table1[[#This Row],[Currency]]="NOK"),Table1[[#This Row],[ACT_Qty]]*Table1[[#This Row],[Unit Price]],""),"")</f>
        <v/>
      </c>
      <c r="R436" s="43" t="str">
        <f ca="1">IFERROR(IF(AND(Table1[[#This Row],[Quantity]]&lt;&gt;"",Table1[[#This Row],[Currency]]="EUR"),Table1[[#This Row],[Quantity]]*Table1[[#This Row],[Unit Price]],""),"")</f>
        <v/>
      </c>
      <c r="S436" s="43" t="str">
        <f ca="1">IFERROR(IF(AND(Table1[[#This Row],[ACT_Qty]]&lt;&gt;"",Table1[[#This Row],[Currency]]="EUR"),Table1[[#This Row],[ACT_Qty]]*Table1[[#This Row],[Unit Price]],""),"")</f>
        <v/>
      </c>
      <c r="T436" s="271" t="str">
        <f ca="1">IFERROR(IF(AND(($N$3&lt;&gt;""),INDIRECT(Aux!$D$1)),VLOOKUP(Table1[[#This Row],[Product code]],Aux!B:E,4,FALSE),""),"")</f>
        <v/>
      </c>
      <c r="U436" s="148" t="str">
        <f>IFERROR(IF(OR(Table1[[#This Row],[Quantity]]&lt;&gt;"",Table1[[#This Row],[ACT_Qty]]&lt;&gt;""),Table1[[#This Row],[ACT_Qty]]-Table1[[#This Row],[Quantity]],""),"")</f>
        <v/>
      </c>
      <c r="V436" s="46"/>
      <c r="W436" s="46"/>
      <c r="X436" s="46"/>
    </row>
    <row r="437" spans="1:24" ht="15" customHeight="1">
      <c r="A437" s="143" t="str">
        <f t="shared" si="24"/>
        <v>AKH12345</v>
      </c>
      <c r="B437" s="260" t="s">
        <v>1258</v>
      </c>
      <c r="C437" s="8" t="s">
        <v>1259</v>
      </c>
      <c r="D437" s="105"/>
      <c r="E437" s="106"/>
      <c r="F437" s="105"/>
      <c r="G437" s="106"/>
      <c r="H437" s="6" t="s">
        <v>1260</v>
      </c>
      <c r="I437" s="6" t="s">
        <v>1233</v>
      </c>
      <c r="J437" s="6" t="s">
        <v>1234</v>
      </c>
      <c r="K437" s="6" t="s">
        <v>1235</v>
      </c>
      <c r="L437" s="207" t="s">
        <v>1235</v>
      </c>
      <c r="M437" s="145" t="str">
        <f t="shared" si="25"/>
        <v>OneCo Networks AS</v>
      </c>
      <c r="N4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7" s="268" t="str">
        <f ca="1">IFERROR(IF(
OR(Table1[[#This Row],[Product category]]="Service items",Table1[[#This Row],[Product category]]="Additional services",Table1[[#This Row],[Product category]]="Additional materials"),
"NOK",IF(($N$3&lt;&gt;""),VLOOKUP(Table1[[#This Row],[Product code]],INDIRECT(Aux!$A$1),6,FALSE),"")),"")</f>
        <v>NOK</v>
      </c>
      <c r="P437" s="41" t="str">
        <f ca="1">IFERROR(IF(AND(Table1[[#This Row],[Quantity]]&lt;&gt;"",Table1[[#This Row],[Currency]]="NOK"),Table1[[#This Row],[Quantity]]*Table1[[#This Row],[Unit Price]],""),"")</f>
        <v/>
      </c>
      <c r="Q437" s="41" t="str">
        <f ca="1">IFERROR(IF(AND(Table1[[#This Row],[ACT_Qty]]&lt;&gt;"",Table1[[#This Row],[Currency]]="NOK"),Table1[[#This Row],[ACT_Qty]]*Table1[[#This Row],[Unit Price]],""),"")</f>
        <v/>
      </c>
      <c r="R437" s="41" t="str">
        <f ca="1">IFERROR(IF(AND(Table1[[#This Row],[Quantity]]&lt;&gt;"",Table1[[#This Row],[Currency]]="EUR"),Table1[[#This Row],[Quantity]]*Table1[[#This Row],[Unit Price]],""),"")</f>
        <v/>
      </c>
      <c r="S437" s="41" t="str">
        <f ca="1">IFERROR(IF(AND(Table1[[#This Row],[ACT_Qty]]&lt;&gt;"",Table1[[#This Row],[Currency]]="EUR"),Table1[[#This Row],[ACT_Qty]]*Table1[[#This Row],[Unit Price]],""),"")</f>
        <v/>
      </c>
      <c r="T437" s="269" t="str">
        <f ca="1">IFERROR(IF(AND(($N$3&lt;&gt;""),INDIRECT(Aux!$D$1)),VLOOKUP(Table1[[#This Row],[Product code]],Aux!B:E,4,FALSE),""),"")</f>
        <v/>
      </c>
      <c r="U437" s="145" t="str">
        <f>IFERROR(IF(OR(Table1[[#This Row],[Quantity]]&lt;&gt;"",Table1[[#This Row],[ACT_Qty]]&lt;&gt;""),Table1[[#This Row],[ACT_Qty]]-Table1[[#This Row],[Quantity]],""),"")</f>
        <v/>
      </c>
      <c r="V437" s="45"/>
      <c r="W437" s="45"/>
      <c r="X437" s="45"/>
    </row>
    <row r="438" spans="1:24" ht="15" customHeight="1">
      <c r="A438" s="233" t="str">
        <f t="shared" si="24"/>
        <v>AKH12345</v>
      </c>
      <c r="B438" s="261" t="s">
        <v>1261</v>
      </c>
      <c r="C438" s="7" t="s">
        <v>1262</v>
      </c>
      <c r="D438" s="105"/>
      <c r="E438" s="89"/>
      <c r="F438" s="68"/>
      <c r="G438" s="89"/>
      <c r="H438" s="5" t="s">
        <v>1263</v>
      </c>
      <c r="I438" s="5" t="s">
        <v>1233</v>
      </c>
      <c r="J438" s="5" t="s">
        <v>1234</v>
      </c>
      <c r="K438" s="5" t="s">
        <v>1235</v>
      </c>
      <c r="L438" s="208" t="s">
        <v>1235</v>
      </c>
      <c r="M438" s="148" t="str">
        <f t="shared" si="25"/>
        <v>OneCo Networks AS</v>
      </c>
      <c r="N43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8" s="270" t="str">
        <f ca="1">IFERROR(IF(
OR(Table1[[#This Row],[Product category]]="Service items",Table1[[#This Row],[Product category]]="Additional services",Table1[[#This Row],[Product category]]="Additional materials"),
"NOK",IF(($N$3&lt;&gt;""),VLOOKUP(Table1[[#This Row],[Product code]],INDIRECT(Aux!$A$1),6,FALSE),"")),"")</f>
        <v>NOK</v>
      </c>
      <c r="P438" s="43" t="str">
        <f ca="1">IFERROR(IF(AND(Table1[[#This Row],[Quantity]]&lt;&gt;"",Table1[[#This Row],[Currency]]="NOK"),Table1[[#This Row],[Quantity]]*Table1[[#This Row],[Unit Price]],""),"")</f>
        <v/>
      </c>
      <c r="Q438" s="43" t="str">
        <f ca="1">IFERROR(IF(AND(Table1[[#This Row],[ACT_Qty]]&lt;&gt;"",Table1[[#This Row],[Currency]]="NOK"),Table1[[#This Row],[ACT_Qty]]*Table1[[#This Row],[Unit Price]],""),"")</f>
        <v/>
      </c>
      <c r="R438" s="43" t="str">
        <f ca="1">IFERROR(IF(AND(Table1[[#This Row],[Quantity]]&lt;&gt;"",Table1[[#This Row],[Currency]]="EUR"),Table1[[#This Row],[Quantity]]*Table1[[#This Row],[Unit Price]],""),"")</f>
        <v/>
      </c>
      <c r="S438" s="43" t="str">
        <f ca="1">IFERROR(IF(AND(Table1[[#This Row],[ACT_Qty]]&lt;&gt;"",Table1[[#This Row],[Currency]]="EUR"),Table1[[#This Row],[ACT_Qty]]*Table1[[#This Row],[Unit Price]],""),"")</f>
        <v/>
      </c>
      <c r="T438" s="271" t="str">
        <f ca="1">IFERROR(IF(AND(($N$3&lt;&gt;""),INDIRECT(Aux!$D$1)),VLOOKUP(Table1[[#This Row],[Product code]],Aux!B:E,4,FALSE),""),"")</f>
        <v/>
      </c>
      <c r="U438" s="148" t="str">
        <f>IFERROR(IF(OR(Table1[[#This Row],[Quantity]]&lt;&gt;"",Table1[[#This Row],[ACT_Qty]]&lt;&gt;""),Table1[[#This Row],[ACT_Qty]]-Table1[[#This Row],[Quantity]],""),"")</f>
        <v/>
      </c>
      <c r="V438" s="46"/>
      <c r="W438" s="46"/>
      <c r="X438" s="46"/>
    </row>
    <row r="439" spans="1:24" ht="15" customHeight="1">
      <c r="A439" s="143" t="str">
        <f t="shared" si="24"/>
        <v>AKH12345</v>
      </c>
      <c r="B439" s="260" t="s">
        <v>1264</v>
      </c>
      <c r="C439" s="8" t="s">
        <v>1265</v>
      </c>
      <c r="D439" s="105"/>
      <c r="E439" s="106"/>
      <c r="F439" s="105"/>
      <c r="G439" s="106"/>
      <c r="H439" s="6" t="s">
        <v>1266</v>
      </c>
      <c r="I439" s="6" t="s">
        <v>1233</v>
      </c>
      <c r="J439" s="6" t="s">
        <v>1234</v>
      </c>
      <c r="K439" s="6" t="s">
        <v>1235</v>
      </c>
      <c r="L439" s="207" t="s">
        <v>1235</v>
      </c>
      <c r="M439" s="145" t="str">
        <f t="shared" si="25"/>
        <v>OneCo Networks AS</v>
      </c>
      <c r="N4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39" s="268" t="str">
        <f ca="1">IFERROR(IF(
OR(Table1[[#This Row],[Product category]]="Service items",Table1[[#This Row],[Product category]]="Additional services",Table1[[#This Row],[Product category]]="Additional materials"),
"NOK",IF(($N$3&lt;&gt;""),VLOOKUP(Table1[[#This Row],[Product code]],INDIRECT(Aux!$A$1),6,FALSE),"")),"")</f>
        <v>NOK</v>
      </c>
      <c r="P439" s="41" t="str">
        <f ca="1">IFERROR(IF(AND(Table1[[#This Row],[Quantity]]&lt;&gt;"",Table1[[#This Row],[Currency]]="NOK"),Table1[[#This Row],[Quantity]]*Table1[[#This Row],[Unit Price]],""),"")</f>
        <v/>
      </c>
      <c r="Q439" s="41" t="str">
        <f ca="1">IFERROR(IF(AND(Table1[[#This Row],[ACT_Qty]]&lt;&gt;"",Table1[[#This Row],[Currency]]="NOK"),Table1[[#This Row],[ACT_Qty]]*Table1[[#This Row],[Unit Price]],""),"")</f>
        <v/>
      </c>
      <c r="R439" s="41" t="str">
        <f ca="1">IFERROR(IF(AND(Table1[[#This Row],[Quantity]]&lt;&gt;"",Table1[[#This Row],[Currency]]="EUR"),Table1[[#This Row],[Quantity]]*Table1[[#This Row],[Unit Price]],""),"")</f>
        <v/>
      </c>
      <c r="S439" s="41" t="str">
        <f ca="1">IFERROR(IF(AND(Table1[[#This Row],[ACT_Qty]]&lt;&gt;"",Table1[[#This Row],[Currency]]="EUR"),Table1[[#This Row],[ACT_Qty]]*Table1[[#This Row],[Unit Price]],""),"")</f>
        <v/>
      </c>
      <c r="T439" s="269" t="str">
        <f ca="1">IFERROR(IF(AND(($N$3&lt;&gt;""),INDIRECT(Aux!$D$1)),VLOOKUP(Table1[[#This Row],[Product code]],Aux!B:E,4,FALSE),""),"")</f>
        <v/>
      </c>
      <c r="U439" s="145" t="str">
        <f>IFERROR(IF(OR(Table1[[#This Row],[Quantity]]&lt;&gt;"",Table1[[#This Row],[ACT_Qty]]&lt;&gt;""),Table1[[#This Row],[ACT_Qty]]-Table1[[#This Row],[Quantity]],""),"")</f>
        <v/>
      </c>
      <c r="V439" s="45"/>
      <c r="W439" s="45"/>
      <c r="X439" s="45"/>
    </row>
    <row r="440" spans="1:24" ht="15" customHeight="1">
      <c r="A440" s="233" t="str">
        <f t="shared" si="24"/>
        <v>AKH12345</v>
      </c>
      <c r="B440" s="261" t="s">
        <v>1267</v>
      </c>
      <c r="C440" s="7" t="s">
        <v>1268</v>
      </c>
      <c r="D440" s="105"/>
      <c r="E440" s="89"/>
      <c r="F440" s="68"/>
      <c r="G440" s="89"/>
      <c r="H440" s="5" t="s">
        <v>1269</v>
      </c>
      <c r="I440" s="5" t="s">
        <v>1233</v>
      </c>
      <c r="J440" s="5" t="s">
        <v>1234</v>
      </c>
      <c r="K440" s="5" t="s">
        <v>1235</v>
      </c>
      <c r="L440" s="208" t="s">
        <v>1235</v>
      </c>
      <c r="M440" s="148" t="str">
        <f t="shared" si="25"/>
        <v>OneCo Networks AS</v>
      </c>
      <c r="N44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0" s="270" t="str">
        <f ca="1">IFERROR(IF(
OR(Table1[[#This Row],[Product category]]="Service items",Table1[[#This Row],[Product category]]="Additional services",Table1[[#This Row],[Product category]]="Additional materials"),
"NOK",IF(($N$3&lt;&gt;""),VLOOKUP(Table1[[#This Row],[Product code]],INDIRECT(Aux!$A$1),6,FALSE),"")),"")</f>
        <v>NOK</v>
      </c>
      <c r="P440" s="43" t="str">
        <f ca="1">IFERROR(IF(AND(Table1[[#This Row],[Quantity]]&lt;&gt;"",Table1[[#This Row],[Currency]]="NOK"),Table1[[#This Row],[Quantity]]*Table1[[#This Row],[Unit Price]],""),"")</f>
        <v/>
      </c>
      <c r="Q440" s="43" t="str">
        <f ca="1">IFERROR(IF(AND(Table1[[#This Row],[ACT_Qty]]&lt;&gt;"",Table1[[#This Row],[Currency]]="NOK"),Table1[[#This Row],[ACT_Qty]]*Table1[[#This Row],[Unit Price]],""),"")</f>
        <v/>
      </c>
      <c r="R440" s="43" t="str">
        <f ca="1">IFERROR(IF(AND(Table1[[#This Row],[Quantity]]&lt;&gt;"",Table1[[#This Row],[Currency]]="EUR"),Table1[[#This Row],[Quantity]]*Table1[[#This Row],[Unit Price]],""),"")</f>
        <v/>
      </c>
      <c r="S440" s="43" t="str">
        <f ca="1">IFERROR(IF(AND(Table1[[#This Row],[ACT_Qty]]&lt;&gt;"",Table1[[#This Row],[Currency]]="EUR"),Table1[[#This Row],[ACT_Qty]]*Table1[[#This Row],[Unit Price]],""),"")</f>
        <v/>
      </c>
      <c r="T440" s="271" t="str">
        <f ca="1">IFERROR(IF(AND(($N$3&lt;&gt;""),INDIRECT(Aux!$D$1)),VLOOKUP(Table1[[#This Row],[Product code]],Aux!B:E,4,FALSE),""),"")</f>
        <v/>
      </c>
      <c r="U440" s="148" t="str">
        <f>IFERROR(IF(OR(Table1[[#This Row],[Quantity]]&lt;&gt;"",Table1[[#This Row],[ACT_Qty]]&lt;&gt;""),Table1[[#This Row],[ACT_Qty]]-Table1[[#This Row],[Quantity]],""),"")</f>
        <v/>
      </c>
      <c r="V440" s="46"/>
      <c r="W440" s="46"/>
      <c r="X440" s="46"/>
    </row>
    <row r="441" spans="1:24" ht="15" customHeight="1">
      <c r="A441" s="143" t="str">
        <f t="shared" ref="A441:A510" si="29">$C$4</f>
        <v>AKH12345</v>
      </c>
      <c r="B441" s="260" t="s">
        <v>1270</v>
      </c>
      <c r="C441" s="8" t="s">
        <v>1271</v>
      </c>
      <c r="D441" s="105"/>
      <c r="E441" s="106"/>
      <c r="F441" s="105"/>
      <c r="G441" s="106"/>
      <c r="H441" s="6" t="s">
        <v>1232</v>
      </c>
      <c r="I441" s="6" t="s">
        <v>1233</v>
      </c>
      <c r="J441" s="6" t="s">
        <v>1234</v>
      </c>
      <c r="K441" s="6" t="s">
        <v>1235</v>
      </c>
      <c r="L441" s="207" t="s">
        <v>1235</v>
      </c>
      <c r="M441" s="145" t="str">
        <f t="shared" si="25"/>
        <v>OneCo Networks AS</v>
      </c>
      <c r="N4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1" s="268" t="str">
        <f ca="1">IFERROR(IF(
OR(Table1[[#This Row],[Product category]]="Service items",Table1[[#This Row],[Product category]]="Additional services",Table1[[#This Row],[Product category]]="Additional materials"),
"NOK",IF(($N$3&lt;&gt;""),VLOOKUP(Table1[[#This Row],[Product code]],INDIRECT(Aux!$A$1),6,FALSE),"")),"")</f>
        <v>NOK</v>
      </c>
      <c r="P441" s="41" t="str">
        <f ca="1">IFERROR(IF(AND(Table1[[#This Row],[Quantity]]&lt;&gt;"",Table1[[#This Row],[Currency]]="NOK"),Table1[[#This Row],[Quantity]]*Table1[[#This Row],[Unit Price]],""),"")</f>
        <v/>
      </c>
      <c r="Q441" s="41" t="str">
        <f ca="1">IFERROR(IF(AND(Table1[[#This Row],[ACT_Qty]]&lt;&gt;"",Table1[[#This Row],[Currency]]="NOK"),Table1[[#This Row],[ACT_Qty]]*Table1[[#This Row],[Unit Price]],""),"")</f>
        <v/>
      </c>
      <c r="R441" s="41" t="str">
        <f ca="1">IFERROR(IF(AND(Table1[[#This Row],[Quantity]]&lt;&gt;"",Table1[[#This Row],[Currency]]="EUR"),Table1[[#This Row],[Quantity]]*Table1[[#This Row],[Unit Price]],""),"")</f>
        <v/>
      </c>
      <c r="S441" s="41" t="str">
        <f ca="1">IFERROR(IF(AND(Table1[[#This Row],[ACT_Qty]]&lt;&gt;"",Table1[[#This Row],[Currency]]="EUR"),Table1[[#This Row],[ACT_Qty]]*Table1[[#This Row],[Unit Price]],""),"")</f>
        <v/>
      </c>
      <c r="T441" s="269" t="str">
        <f ca="1">IFERROR(IF(AND(($N$3&lt;&gt;""),INDIRECT(Aux!$D$1)),VLOOKUP(Table1[[#This Row],[Product code]],Aux!B:E,4,FALSE),""),"")</f>
        <v/>
      </c>
      <c r="U441" s="145" t="str">
        <f>IFERROR(IF(OR(Table1[[#This Row],[Quantity]]&lt;&gt;"",Table1[[#This Row],[ACT_Qty]]&lt;&gt;""),Table1[[#This Row],[ACT_Qty]]-Table1[[#This Row],[Quantity]],""),"")</f>
        <v/>
      </c>
      <c r="V441" s="45"/>
      <c r="W441" s="45"/>
      <c r="X441" s="45"/>
    </row>
    <row r="442" spans="1:24" ht="15" customHeight="1">
      <c r="A442" s="233" t="str">
        <f t="shared" si="29"/>
        <v>AKH12345</v>
      </c>
      <c r="B442" s="261" t="s">
        <v>1272</v>
      </c>
      <c r="C442" s="7" t="s">
        <v>1273</v>
      </c>
      <c r="D442" s="105"/>
      <c r="E442" s="89"/>
      <c r="F442" s="68"/>
      <c r="G442" s="89"/>
      <c r="H442" s="5" t="s">
        <v>1232</v>
      </c>
      <c r="I442" s="5" t="s">
        <v>1233</v>
      </c>
      <c r="J442" s="5" t="s">
        <v>1234</v>
      </c>
      <c r="K442" s="5" t="s">
        <v>1235</v>
      </c>
      <c r="L442" s="208" t="s">
        <v>1235</v>
      </c>
      <c r="M442" s="148" t="str">
        <f t="shared" si="25"/>
        <v>OneCo Networks AS</v>
      </c>
      <c r="N44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2" s="270" t="str">
        <f ca="1">IFERROR(IF(
OR(Table1[[#This Row],[Product category]]="Service items",Table1[[#This Row],[Product category]]="Additional services",Table1[[#This Row],[Product category]]="Additional materials"),
"NOK",IF(($N$3&lt;&gt;""),VLOOKUP(Table1[[#This Row],[Product code]],INDIRECT(Aux!$A$1),6,FALSE),"")),"")</f>
        <v>NOK</v>
      </c>
      <c r="P442" s="43" t="str">
        <f ca="1">IFERROR(IF(AND(Table1[[#This Row],[Quantity]]&lt;&gt;"",Table1[[#This Row],[Currency]]="NOK"),Table1[[#This Row],[Quantity]]*Table1[[#This Row],[Unit Price]],""),"")</f>
        <v/>
      </c>
      <c r="Q442" s="43" t="str">
        <f ca="1">IFERROR(IF(AND(Table1[[#This Row],[ACT_Qty]]&lt;&gt;"",Table1[[#This Row],[Currency]]="NOK"),Table1[[#This Row],[ACT_Qty]]*Table1[[#This Row],[Unit Price]],""),"")</f>
        <v/>
      </c>
      <c r="R442" s="43" t="str">
        <f ca="1">IFERROR(IF(AND(Table1[[#This Row],[Quantity]]&lt;&gt;"",Table1[[#This Row],[Currency]]="EUR"),Table1[[#This Row],[Quantity]]*Table1[[#This Row],[Unit Price]],""),"")</f>
        <v/>
      </c>
      <c r="S442" s="43" t="str">
        <f ca="1">IFERROR(IF(AND(Table1[[#This Row],[ACT_Qty]]&lt;&gt;"",Table1[[#This Row],[Currency]]="EUR"),Table1[[#This Row],[ACT_Qty]]*Table1[[#This Row],[Unit Price]],""),"")</f>
        <v/>
      </c>
      <c r="T442" s="271" t="str">
        <f ca="1">IFERROR(IF(AND(($N$3&lt;&gt;""),INDIRECT(Aux!$D$1)),VLOOKUP(Table1[[#This Row],[Product code]],Aux!B:E,4,FALSE),""),"")</f>
        <v/>
      </c>
      <c r="U442" s="148" t="str">
        <f>IFERROR(IF(OR(Table1[[#This Row],[Quantity]]&lt;&gt;"",Table1[[#This Row],[ACT_Qty]]&lt;&gt;""),Table1[[#This Row],[ACT_Qty]]-Table1[[#This Row],[Quantity]],""),"")</f>
        <v/>
      </c>
      <c r="V442" s="46"/>
      <c r="W442" s="46"/>
      <c r="X442" s="46"/>
    </row>
    <row r="443" spans="1:24" ht="14.45" customHeight="1">
      <c r="A443" s="143" t="str">
        <f t="shared" si="29"/>
        <v>AKH12345</v>
      </c>
      <c r="B443" s="260" t="s">
        <v>1274</v>
      </c>
      <c r="C443" s="8" t="s">
        <v>1275</v>
      </c>
      <c r="D443" s="105"/>
      <c r="E443" s="106"/>
      <c r="F443" s="105"/>
      <c r="G443" s="106"/>
      <c r="H443" s="6" t="s">
        <v>1232</v>
      </c>
      <c r="I443" s="6" t="s">
        <v>1233</v>
      </c>
      <c r="J443" s="6" t="s">
        <v>1234</v>
      </c>
      <c r="K443" s="6" t="s">
        <v>1235</v>
      </c>
      <c r="L443" s="207" t="s">
        <v>1235</v>
      </c>
      <c r="M443" s="145" t="str">
        <f t="shared" si="25"/>
        <v>OneCo Networks AS</v>
      </c>
      <c r="N4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3" s="268" t="str">
        <f ca="1">IFERROR(IF(
OR(Table1[[#This Row],[Product category]]="Service items",Table1[[#This Row],[Product category]]="Additional services",Table1[[#This Row],[Product category]]="Additional materials"),
"NOK",IF(($N$3&lt;&gt;""),VLOOKUP(Table1[[#This Row],[Product code]],INDIRECT(Aux!$A$1),6,FALSE),"")),"")</f>
        <v>NOK</v>
      </c>
      <c r="P443" s="41" t="str">
        <f ca="1">IFERROR(IF(AND(Table1[[#This Row],[Quantity]]&lt;&gt;"",Table1[[#This Row],[Currency]]="NOK"),Table1[[#This Row],[Quantity]]*Table1[[#This Row],[Unit Price]],""),"")</f>
        <v/>
      </c>
      <c r="Q443" s="41" t="str">
        <f ca="1">IFERROR(IF(AND(Table1[[#This Row],[ACT_Qty]]&lt;&gt;"",Table1[[#This Row],[Currency]]="NOK"),Table1[[#This Row],[ACT_Qty]]*Table1[[#This Row],[Unit Price]],""),"")</f>
        <v/>
      </c>
      <c r="R443" s="41" t="str">
        <f ca="1">IFERROR(IF(AND(Table1[[#This Row],[Quantity]]&lt;&gt;"",Table1[[#This Row],[Currency]]="EUR"),Table1[[#This Row],[Quantity]]*Table1[[#This Row],[Unit Price]],""),"")</f>
        <v/>
      </c>
      <c r="S443" s="41" t="str">
        <f ca="1">IFERROR(IF(AND(Table1[[#This Row],[ACT_Qty]]&lt;&gt;"",Table1[[#This Row],[Currency]]="EUR"),Table1[[#This Row],[ACT_Qty]]*Table1[[#This Row],[Unit Price]],""),"")</f>
        <v/>
      </c>
      <c r="T443" s="269" t="str">
        <f ca="1">IFERROR(IF(AND(($N$3&lt;&gt;""),INDIRECT(Aux!$D$1)),VLOOKUP(Table1[[#This Row],[Product code]],Aux!B:E,4,FALSE),""),"")</f>
        <v/>
      </c>
      <c r="U443" s="145" t="str">
        <f>IFERROR(IF(OR(Table1[[#This Row],[Quantity]]&lt;&gt;"",Table1[[#This Row],[ACT_Qty]]&lt;&gt;""),Table1[[#This Row],[ACT_Qty]]-Table1[[#This Row],[Quantity]],""),"")</f>
        <v/>
      </c>
      <c r="V443" s="45"/>
      <c r="W443" s="45"/>
      <c r="X443" s="45"/>
    </row>
    <row r="444" spans="1:24" ht="14.45" customHeight="1">
      <c r="A444" s="233" t="str">
        <f t="shared" si="29"/>
        <v>AKH12345</v>
      </c>
      <c r="B444" s="261" t="s">
        <v>1276</v>
      </c>
      <c r="C444" s="7" t="s">
        <v>1277</v>
      </c>
      <c r="D444" s="105"/>
      <c r="E444" s="89"/>
      <c r="F444" s="68"/>
      <c r="G444" s="89"/>
      <c r="H444" s="5" t="s">
        <v>1232</v>
      </c>
      <c r="I444" s="5" t="s">
        <v>1233</v>
      </c>
      <c r="J444" s="5" t="s">
        <v>1234</v>
      </c>
      <c r="K444" s="5" t="s">
        <v>1235</v>
      </c>
      <c r="L444" s="208" t="s">
        <v>1235</v>
      </c>
      <c r="M444" s="148" t="str">
        <f t="shared" si="25"/>
        <v>OneCo Networks AS</v>
      </c>
      <c r="N44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4" s="270" t="str">
        <f ca="1">IFERROR(IF(
OR(Table1[[#This Row],[Product category]]="Service items",Table1[[#This Row],[Product category]]="Additional services",Table1[[#This Row],[Product category]]="Additional materials"),
"NOK",IF(($N$3&lt;&gt;""),VLOOKUP(Table1[[#This Row],[Product code]],INDIRECT(Aux!$A$1),6,FALSE),"")),"")</f>
        <v>NOK</v>
      </c>
      <c r="P444" s="43" t="str">
        <f ca="1">IFERROR(IF(AND(Table1[[#This Row],[Quantity]]&lt;&gt;"",Table1[[#This Row],[Currency]]="NOK"),Table1[[#This Row],[Quantity]]*Table1[[#This Row],[Unit Price]],""),"")</f>
        <v/>
      </c>
      <c r="Q444" s="43" t="str">
        <f ca="1">IFERROR(IF(AND(Table1[[#This Row],[ACT_Qty]]&lt;&gt;"",Table1[[#This Row],[Currency]]="NOK"),Table1[[#This Row],[ACT_Qty]]*Table1[[#This Row],[Unit Price]],""),"")</f>
        <v/>
      </c>
      <c r="R444" s="43" t="str">
        <f ca="1">IFERROR(IF(AND(Table1[[#This Row],[Quantity]]&lt;&gt;"",Table1[[#This Row],[Currency]]="EUR"),Table1[[#This Row],[Quantity]]*Table1[[#This Row],[Unit Price]],""),"")</f>
        <v/>
      </c>
      <c r="S444" s="43" t="str">
        <f ca="1">IFERROR(IF(AND(Table1[[#This Row],[ACT_Qty]]&lt;&gt;"",Table1[[#This Row],[Currency]]="EUR"),Table1[[#This Row],[ACT_Qty]]*Table1[[#This Row],[Unit Price]],""),"")</f>
        <v/>
      </c>
      <c r="T444" s="271" t="str">
        <f ca="1">IFERROR(IF(AND(($N$3&lt;&gt;""),INDIRECT(Aux!$D$1)),VLOOKUP(Table1[[#This Row],[Product code]],Aux!B:E,4,FALSE),""),"")</f>
        <v/>
      </c>
      <c r="U444" s="148" t="str">
        <f>IFERROR(IF(OR(Table1[[#This Row],[Quantity]]&lt;&gt;"",Table1[[#This Row],[ACT_Qty]]&lt;&gt;""),Table1[[#This Row],[ACT_Qty]]-Table1[[#This Row],[Quantity]],""),"")</f>
        <v/>
      </c>
      <c r="V444" s="46"/>
      <c r="W444" s="46"/>
      <c r="X444" s="46"/>
    </row>
    <row r="445" spans="1:24" ht="14.45" customHeight="1">
      <c r="A445" s="233" t="str">
        <f t="shared" si="29"/>
        <v>AKH12345</v>
      </c>
      <c r="B445" s="261" t="s">
        <v>1278</v>
      </c>
      <c r="C445" s="7" t="s">
        <v>1279</v>
      </c>
      <c r="D445" s="105"/>
      <c r="E445" s="89" t="s">
        <v>1280</v>
      </c>
      <c r="F445" s="68"/>
      <c r="G445" s="89"/>
      <c r="H445" s="5" t="s">
        <v>1263</v>
      </c>
      <c r="I445" s="5" t="s">
        <v>1233</v>
      </c>
      <c r="J445" s="5" t="s">
        <v>1240</v>
      </c>
      <c r="K445" s="5" t="s">
        <v>1235</v>
      </c>
      <c r="L445" s="208" t="s">
        <v>1235</v>
      </c>
      <c r="M445" s="200" t="str">
        <f t="shared" ref="M445:M446" si="30">IF($C$3&lt;&gt;"",$C$3,"")</f>
        <v>OneCo Networks AS</v>
      </c>
      <c r="N4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5" s="269" t="str">
        <f ca="1">IFERROR(IF(
OR(Table1[[#This Row],[Product category]]="Service items",Table1[[#This Row],[Product category]]="Additional services",Table1[[#This Row],[Product category]]="Additional materials"),
"NOK",IF(($N$3&lt;&gt;""),VLOOKUP(Table1[[#This Row],[Product code]],INDIRECT(Aux!$A$1),6,FALSE),"")),"")</f>
        <v>NOK</v>
      </c>
      <c r="P445" s="41" t="str">
        <f ca="1">IFERROR(IF(AND(Table1[[#This Row],[Quantity]]&lt;&gt;"",Table1[[#This Row],[Currency]]="NOK"),Table1[[#This Row],[Quantity]]*Table1[[#This Row],[Unit Price]],""),"")</f>
        <v/>
      </c>
      <c r="Q445" s="41" t="str">
        <f ca="1">IFERROR(IF(AND(Table1[[#This Row],[ACT_Qty]]&lt;&gt;"",Table1[[#This Row],[Currency]]="NOK"),Table1[[#This Row],[ACT_Qty]]*Table1[[#This Row],[Unit Price]],""),"")</f>
        <v/>
      </c>
      <c r="R445" s="40" t="str">
        <f ca="1">IFERROR(IF(AND(Table1[[#This Row],[Quantity]]&lt;&gt;"",Table1[[#This Row],[Currency]]="EUR"),Table1[[#This Row],[Quantity]]*Table1[[#This Row],[Unit Price]],""),"")</f>
        <v/>
      </c>
      <c r="S445" s="40" t="str">
        <f ca="1">IFERROR(IF(AND(Table1[[#This Row],[ACT_Qty]]&lt;&gt;"",Table1[[#This Row],[Currency]]="EUR"),Table1[[#This Row],[ACT_Qty]]*Table1[[#This Row],[Unit Price]],""),"")</f>
        <v/>
      </c>
      <c r="T445" s="269" t="str">
        <f ca="1">IFERROR(IF(AND(($N$3&lt;&gt;""),INDIRECT(Aux!$D$1)),VLOOKUP(Table1[[#This Row],[Product code]],Aux!B:E,4,FALSE),""),"")</f>
        <v/>
      </c>
      <c r="U445" s="145" t="str">
        <f>IFERROR(IF(OR(Table1[[#This Row],[Quantity]]&lt;&gt;"",Table1[[#This Row],[ACT_Qty]]&lt;&gt;""),Table1[[#This Row],[ACT_Qty]]-Table1[[#This Row],[Quantity]],""),"")</f>
        <v/>
      </c>
      <c r="V445" s="45"/>
      <c r="W445" s="45"/>
      <c r="X445" s="45"/>
    </row>
    <row r="446" spans="1:24" ht="14.45" customHeight="1">
      <c r="A446" s="233" t="str">
        <f t="shared" si="29"/>
        <v>AKH12345</v>
      </c>
      <c r="B446" s="260" t="s">
        <v>1281</v>
      </c>
      <c r="C446" s="8" t="s">
        <v>1282</v>
      </c>
      <c r="D446" s="105"/>
      <c r="E446" s="106" t="s">
        <v>1283</v>
      </c>
      <c r="F446" s="105"/>
      <c r="G446" s="106"/>
      <c r="H446" s="6" t="s">
        <v>1266</v>
      </c>
      <c r="I446" s="6" t="s">
        <v>1233</v>
      </c>
      <c r="J446" s="6" t="s">
        <v>1240</v>
      </c>
      <c r="K446" s="6" t="s">
        <v>1235</v>
      </c>
      <c r="L446" s="207" t="s">
        <v>1235</v>
      </c>
      <c r="M446" s="200" t="str">
        <f t="shared" si="30"/>
        <v>OneCo Networks AS</v>
      </c>
      <c r="N44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6" s="269" t="str">
        <f ca="1">IFERROR(IF(
OR(Table1[[#This Row],[Product category]]="Service items",Table1[[#This Row],[Product category]]="Additional services",Table1[[#This Row],[Product category]]="Additional materials"),
"NOK",IF(($N$3&lt;&gt;""),VLOOKUP(Table1[[#This Row],[Product code]],INDIRECT(Aux!$A$1),6,FALSE),"")),"")</f>
        <v>NOK</v>
      </c>
      <c r="P446" s="41" t="str">
        <f ca="1">IFERROR(IF(AND(Table1[[#This Row],[Quantity]]&lt;&gt;"",Table1[[#This Row],[Currency]]="NOK"),Table1[[#This Row],[Quantity]]*Table1[[#This Row],[Unit Price]],""),"")</f>
        <v/>
      </c>
      <c r="Q446" s="41" t="str">
        <f ca="1">IFERROR(IF(AND(Table1[[#This Row],[ACT_Qty]]&lt;&gt;"",Table1[[#This Row],[Currency]]="NOK"),Table1[[#This Row],[ACT_Qty]]*Table1[[#This Row],[Unit Price]],""),"")</f>
        <v/>
      </c>
      <c r="R446" s="40" t="str">
        <f ca="1">IFERROR(IF(AND(Table1[[#This Row],[Quantity]]&lt;&gt;"",Table1[[#This Row],[Currency]]="EUR"),Table1[[#This Row],[Quantity]]*Table1[[#This Row],[Unit Price]],""),"")</f>
        <v/>
      </c>
      <c r="S446" s="40" t="str">
        <f ca="1">IFERROR(IF(AND(Table1[[#This Row],[ACT_Qty]]&lt;&gt;"",Table1[[#This Row],[Currency]]="EUR"),Table1[[#This Row],[ACT_Qty]]*Table1[[#This Row],[Unit Price]],""),"")</f>
        <v/>
      </c>
      <c r="T446" s="269" t="str">
        <f ca="1">IFERROR(IF(AND(($N$3&lt;&gt;""),INDIRECT(Aux!$D$1)),VLOOKUP(Table1[[#This Row],[Product code]],Aux!B:E,4,FALSE),""),"")</f>
        <v/>
      </c>
      <c r="U446" s="145" t="str">
        <f>IFERROR(IF(OR(Table1[[#This Row],[Quantity]]&lt;&gt;"",Table1[[#This Row],[ACT_Qty]]&lt;&gt;""),Table1[[#This Row],[ACT_Qty]]-Table1[[#This Row],[Quantity]],""),"")</f>
        <v/>
      </c>
      <c r="V446" s="45"/>
      <c r="W446" s="45"/>
      <c r="X446" s="45"/>
    </row>
    <row r="447" spans="1:24" ht="14.45" customHeight="1">
      <c r="A447" s="143" t="str">
        <f t="shared" si="29"/>
        <v>AKH12345</v>
      </c>
      <c r="B447" s="260" t="s">
        <v>1284</v>
      </c>
      <c r="C447" s="8" t="s">
        <v>1285</v>
      </c>
      <c r="D447" s="105"/>
      <c r="E447" s="106" t="s">
        <v>1286</v>
      </c>
      <c r="F447" s="105"/>
      <c r="G447" s="106"/>
      <c r="H447" s="6" t="s">
        <v>1247</v>
      </c>
      <c r="I447" s="6" t="s">
        <v>1233</v>
      </c>
      <c r="J447" s="6" t="s">
        <v>1234</v>
      </c>
      <c r="K447" s="6" t="s">
        <v>1235</v>
      </c>
      <c r="L447" s="207" t="s">
        <v>1235</v>
      </c>
      <c r="M447" s="145" t="str">
        <f t="shared" ref="M447:M517" si="31">IF($C$3&lt;&gt;"",$C$3,"")</f>
        <v>OneCo Networks AS</v>
      </c>
      <c r="N4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7" s="268" t="str">
        <f ca="1">IFERROR(IF(
OR(Table1[[#This Row],[Product category]]="Service items",Table1[[#This Row],[Product category]]="Additional services",Table1[[#This Row],[Product category]]="Additional materials"),
"NOK",IF(($N$3&lt;&gt;""),VLOOKUP(Table1[[#This Row],[Product code]],INDIRECT(Aux!$A$1),6,FALSE),"")),"")</f>
        <v>NOK</v>
      </c>
      <c r="P447" s="41" t="str">
        <f ca="1">IFERROR(IF(AND(Table1[[#This Row],[Quantity]]&lt;&gt;"",Table1[[#This Row],[Currency]]="NOK"),Table1[[#This Row],[Quantity]]*Table1[[#This Row],[Unit Price]],""),"")</f>
        <v/>
      </c>
      <c r="Q447" s="41" t="str">
        <f ca="1">IFERROR(IF(AND(Table1[[#This Row],[ACT_Qty]]&lt;&gt;"",Table1[[#This Row],[Currency]]="NOK"),Table1[[#This Row],[ACT_Qty]]*Table1[[#This Row],[Unit Price]],""),"")</f>
        <v/>
      </c>
      <c r="R447" s="41" t="str">
        <f ca="1">IFERROR(IF(AND(Table1[[#This Row],[Quantity]]&lt;&gt;"",Table1[[#This Row],[Currency]]="EUR"),Table1[[#This Row],[Quantity]]*Table1[[#This Row],[Unit Price]],""),"")</f>
        <v/>
      </c>
      <c r="S447" s="41" t="str">
        <f ca="1">IFERROR(IF(AND(Table1[[#This Row],[ACT_Qty]]&lt;&gt;"",Table1[[#This Row],[Currency]]="EUR"),Table1[[#This Row],[ACT_Qty]]*Table1[[#This Row],[Unit Price]],""),"")</f>
        <v/>
      </c>
      <c r="T447" s="269" t="str">
        <f ca="1">IFERROR(IF(AND(($N$3&lt;&gt;""),INDIRECT(Aux!$D$1)),VLOOKUP(Table1[[#This Row],[Product code]],Aux!B:E,4,FALSE),""),"")</f>
        <v/>
      </c>
      <c r="U447" s="145" t="str">
        <f>IFERROR(IF(OR(Table1[[#This Row],[Quantity]]&lt;&gt;"",Table1[[#This Row],[ACT_Qty]]&lt;&gt;""),Table1[[#This Row],[ACT_Qty]]-Table1[[#This Row],[Quantity]],""),"")</f>
        <v/>
      </c>
      <c r="V447" s="45"/>
      <c r="W447" s="45"/>
      <c r="X447" s="45"/>
    </row>
    <row r="448" spans="1:24" ht="14.45" customHeight="1">
      <c r="A448" s="233" t="str">
        <f t="shared" si="29"/>
        <v>AKH12345</v>
      </c>
      <c r="B448" s="261" t="s">
        <v>1287</v>
      </c>
      <c r="C448" s="7" t="s">
        <v>1288</v>
      </c>
      <c r="D448" s="105"/>
      <c r="E448" s="89"/>
      <c r="F448" s="68"/>
      <c r="G448" s="89"/>
      <c r="H448" s="5" t="s">
        <v>1289</v>
      </c>
      <c r="I448" s="5" t="s">
        <v>1233</v>
      </c>
      <c r="J448" s="5" t="s">
        <v>1290</v>
      </c>
      <c r="K448" s="5" t="s">
        <v>1235</v>
      </c>
      <c r="L448" s="208" t="s">
        <v>1235</v>
      </c>
      <c r="M448" s="148" t="str">
        <f>IF($C$3&lt;&gt;"",$C$3,"")</f>
        <v>OneCo Networks AS</v>
      </c>
      <c r="N44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8" s="270" t="str">
        <f ca="1">IFERROR(IF(
OR(Table1[[#This Row],[Product category]]="Service items",Table1[[#This Row],[Product category]]="Additional services",Table1[[#This Row],[Product category]]="Additional materials"),
"NOK",IF(($N$3&lt;&gt;""),VLOOKUP(Table1[[#This Row],[Product code]],INDIRECT(Aux!$A$1),6,FALSE),"")),"")</f>
        <v>NOK</v>
      </c>
      <c r="P448" s="43" t="str">
        <f ca="1">IFERROR(IF(AND(Table1[[#This Row],[Quantity]]&lt;&gt;"",Table1[[#This Row],[Currency]]="NOK"),Table1[[#This Row],[Quantity]]*Table1[[#This Row],[Unit Price]],""),"")</f>
        <v/>
      </c>
      <c r="Q448" s="43" t="str">
        <f ca="1">IFERROR(IF(AND(Table1[[#This Row],[ACT_Qty]]&lt;&gt;"",Table1[[#This Row],[Currency]]="NOK"),Table1[[#This Row],[ACT_Qty]]*Table1[[#This Row],[Unit Price]],""),"")</f>
        <v/>
      </c>
      <c r="R448" s="43" t="str">
        <f ca="1">IFERROR(IF(AND(Table1[[#This Row],[Quantity]]&lt;&gt;"",Table1[[#This Row],[Currency]]="EUR"),Table1[[#This Row],[Quantity]]*Table1[[#This Row],[Unit Price]],""),"")</f>
        <v/>
      </c>
      <c r="S448" s="43" t="str">
        <f ca="1">IFERROR(IF(AND(Table1[[#This Row],[ACT_Qty]]&lt;&gt;"",Table1[[#This Row],[Currency]]="EUR"),Table1[[#This Row],[ACT_Qty]]*Table1[[#This Row],[Unit Price]],""),"")</f>
        <v/>
      </c>
      <c r="T448" s="271" t="str">
        <f ca="1">IFERROR(IF(AND(($N$3&lt;&gt;""),INDIRECT(Aux!$D$1)),VLOOKUP(Table1[[#This Row],[Product code]],Aux!B:E,4,FALSE),""),"")</f>
        <v/>
      </c>
      <c r="U448" s="148" t="str">
        <f>IFERROR(IF(OR(Table1[[#This Row],[Quantity]]&lt;&gt;"",Table1[[#This Row],[ACT_Qty]]&lt;&gt;""),Table1[[#This Row],[ACT_Qty]]-Table1[[#This Row],[Quantity]],""),"")</f>
        <v/>
      </c>
      <c r="V448" s="46"/>
      <c r="W448" s="46"/>
      <c r="X448" s="46"/>
    </row>
    <row r="449" spans="1:24" ht="14.45" customHeight="1">
      <c r="A449" s="143" t="str">
        <f t="shared" si="29"/>
        <v>AKH12345</v>
      </c>
      <c r="B449" s="260" t="s">
        <v>1291</v>
      </c>
      <c r="C449" s="8" t="s">
        <v>1292</v>
      </c>
      <c r="D449" s="105"/>
      <c r="E449" s="106"/>
      <c r="F449" s="105"/>
      <c r="G449" s="106"/>
      <c r="H449" s="6" t="s">
        <v>1293</v>
      </c>
      <c r="I449" s="6" t="s">
        <v>1233</v>
      </c>
      <c r="J449" s="6" t="s">
        <v>1290</v>
      </c>
      <c r="K449" s="6" t="s">
        <v>1235</v>
      </c>
      <c r="L449" s="207" t="s">
        <v>1235</v>
      </c>
      <c r="M449" s="145" t="str">
        <f>IF($C$3&lt;&gt;"",$C$3,"")</f>
        <v>OneCo Networks AS</v>
      </c>
      <c r="N4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49" s="268" t="str">
        <f ca="1">IFERROR(IF(
OR(Table1[[#This Row],[Product category]]="Service items",Table1[[#This Row],[Product category]]="Additional services",Table1[[#This Row],[Product category]]="Additional materials"),
"NOK",IF(($N$3&lt;&gt;""),VLOOKUP(Table1[[#This Row],[Product code]],INDIRECT(Aux!$A$1),6,FALSE),"")),"")</f>
        <v>NOK</v>
      </c>
      <c r="P449" s="41" t="str">
        <f ca="1">IFERROR(IF(AND(Table1[[#This Row],[Quantity]]&lt;&gt;"",Table1[[#This Row],[Currency]]="NOK"),Table1[[#This Row],[Quantity]]*Table1[[#This Row],[Unit Price]],""),"")</f>
        <v/>
      </c>
      <c r="Q449" s="41" t="str">
        <f ca="1">IFERROR(IF(AND(Table1[[#This Row],[ACT_Qty]]&lt;&gt;"",Table1[[#This Row],[Currency]]="NOK"),Table1[[#This Row],[ACT_Qty]]*Table1[[#This Row],[Unit Price]],""),"")</f>
        <v/>
      </c>
      <c r="R449" s="41" t="str">
        <f ca="1">IFERROR(IF(AND(Table1[[#This Row],[Quantity]]&lt;&gt;"",Table1[[#This Row],[Currency]]="EUR"),Table1[[#This Row],[Quantity]]*Table1[[#This Row],[Unit Price]],""),"")</f>
        <v/>
      </c>
      <c r="S449" s="41" t="str">
        <f ca="1">IFERROR(IF(AND(Table1[[#This Row],[ACT_Qty]]&lt;&gt;"",Table1[[#This Row],[Currency]]="EUR"),Table1[[#This Row],[ACT_Qty]]*Table1[[#This Row],[Unit Price]],""),"")</f>
        <v/>
      </c>
      <c r="T449" s="269" t="str">
        <f ca="1">IFERROR(IF(AND(($N$3&lt;&gt;""),INDIRECT(Aux!$D$1)),VLOOKUP(Table1[[#This Row],[Product code]],Aux!B:E,4,FALSE),""),"")</f>
        <v/>
      </c>
      <c r="U449" s="145" t="str">
        <f>IFERROR(IF(OR(Table1[[#This Row],[Quantity]]&lt;&gt;"",Table1[[#This Row],[ACT_Qty]]&lt;&gt;""),Table1[[#This Row],[ACT_Qty]]-Table1[[#This Row],[Quantity]],""),"")</f>
        <v/>
      </c>
      <c r="V449" s="45"/>
      <c r="W449" s="45"/>
      <c r="X449" s="45"/>
    </row>
    <row r="450" spans="1:24" ht="14.45" customHeight="1">
      <c r="A450" s="233" t="str">
        <f t="shared" si="29"/>
        <v>AKH12345</v>
      </c>
      <c r="B450" s="261" t="s">
        <v>1294</v>
      </c>
      <c r="C450" s="7" t="s">
        <v>1295</v>
      </c>
      <c r="D450" s="105"/>
      <c r="E450" s="89"/>
      <c r="F450" s="68"/>
      <c r="G450" s="89"/>
      <c r="H450" s="5" t="s">
        <v>1296</v>
      </c>
      <c r="I450" s="5" t="s">
        <v>1233</v>
      </c>
      <c r="J450" s="5" t="s">
        <v>1290</v>
      </c>
      <c r="K450" s="5" t="s">
        <v>1235</v>
      </c>
      <c r="L450" s="208" t="s">
        <v>1235</v>
      </c>
      <c r="M450" s="148" t="str">
        <f>IF($C$3&lt;&gt;"",$C$3,"")</f>
        <v>OneCo Networks AS</v>
      </c>
      <c r="N45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0" s="270" t="str">
        <f ca="1">IFERROR(IF(
OR(Table1[[#This Row],[Product category]]="Service items",Table1[[#This Row],[Product category]]="Additional services",Table1[[#This Row],[Product category]]="Additional materials"),
"NOK",IF(($N$3&lt;&gt;""),VLOOKUP(Table1[[#This Row],[Product code]],INDIRECT(Aux!$A$1),6,FALSE),"")),"")</f>
        <v>NOK</v>
      </c>
      <c r="P450" s="43" t="str">
        <f ca="1">IFERROR(IF(AND(Table1[[#This Row],[Quantity]]&lt;&gt;"",Table1[[#This Row],[Currency]]="NOK"),Table1[[#This Row],[Quantity]]*Table1[[#This Row],[Unit Price]],""),"")</f>
        <v/>
      </c>
      <c r="Q450" s="43" t="str">
        <f ca="1">IFERROR(IF(AND(Table1[[#This Row],[ACT_Qty]]&lt;&gt;"",Table1[[#This Row],[Currency]]="NOK"),Table1[[#This Row],[ACT_Qty]]*Table1[[#This Row],[Unit Price]],""),"")</f>
        <v/>
      </c>
      <c r="R450" s="43" t="str">
        <f ca="1">IFERROR(IF(AND(Table1[[#This Row],[Quantity]]&lt;&gt;"",Table1[[#This Row],[Currency]]="EUR"),Table1[[#This Row],[Quantity]]*Table1[[#This Row],[Unit Price]],""),"")</f>
        <v/>
      </c>
      <c r="S450" s="43" t="str">
        <f ca="1">IFERROR(IF(AND(Table1[[#This Row],[ACT_Qty]]&lt;&gt;"",Table1[[#This Row],[Currency]]="EUR"),Table1[[#This Row],[ACT_Qty]]*Table1[[#This Row],[Unit Price]],""),"")</f>
        <v/>
      </c>
      <c r="T450" s="271" t="str">
        <f ca="1">IFERROR(IF(AND(($N$3&lt;&gt;""),INDIRECT(Aux!$D$1)),VLOOKUP(Table1[[#This Row],[Product code]],Aux!B:E,4,FALSE),""),"")</f>
        <v/>
      </c>
      <c r="U450" s="148" t="str">
        <f>IFERROR(IF(OR(Table1[[#This Row],[Quantity]]&lt;&gt;"",Table1[[#This Row],[ACT_Qty]]&lt;&gt;""),Table1[[#This Row],[ACT_Qty]]-Table1[[#This Row],[Quantity]],""),"")</f>
        <v/>
      </c>
      <c r="V450" s="46"/>
      <c r="W450" s="46"/>
      <c r="X450" s="46"/>
    </row>
    <row r="451" spans="1:24" ht="14.45" customHeight="1">
      <c r="A451" s="143" t="str">
        <f t="shared" si="29"/>
        <v>AKH12345</v>
      </c>
      <c r="B451" s="260" t="s">
        <v>1297</v>
      </c>
      <c r="C451" s="8" t="s">
        <v>1298</v>
      </c>
      <c r="D451" s="105"/>
      <c r="E451" s="106"/>
      <c r="F451" s="105"/>
      <c r="G451" s="106"/>
      <c r="H451" s="6" t="s">
        <v>1299</v>
      </c>
      <c r="I451" s="6" t="s">
        <v>1233</v>
      </c>
      <c r="J451" s="6" t="s">
        <v>1290</v>
      </c>
      <c r="K451" s="6" t="s">
        <v>1235</v>
      </c>
      <c r="L451" s="207" t="s">
        <v>1235</v>
      </c>
      <c r="M451" s="145" t="str">
        <f>IF($C$3&lt;&gt;"",$C$3,"")</f>
        <v>OneCo Networks AS</v>
      </c>
      <c r="N4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1" s="268" t="str">
        <f ca="1">IFERROR(IF(
OR(Table1[[#This Row],[Product category]]="Service items",Table1[[#This Row],[Product category]]="Additional services",Table1[[#This Row],[Product category]]="Additional materials"),
"NOK",IF(($N$3&lt;&gt;""),VLOOKUP(Table1[[#This Row],[Product code]],INDIRECT(Aux!$A$1),6,FALSE),"")),"")</f>
        <v>NOK</v>
      </c>
      <c r="P451" s="41" t="str">
        <f ca="1">IFERROR(IF(AND(Table1[[#This Row],[Quantity]]&lt;&gt;"",Table1[[#This Row],[Currency]]="NOK"),Table1[[#This Row],[Quantity]]*Table1[[#This Row],[Unit Price]],""),"")</f>
        <v/>
      </c>
      <c r="Q451" s="41" t="str">
        <f ca="1">IFERROR(IF(AND(Table1[[#This Row],[ACT_Qty]]&lt;&gt;"",Table1[[#This Row],[Currency]]="NOK"),Table1[[#This Row],[ACT_Qty]]*Table1[[#This Row],[Unit Price]],""),"")</f>
        <v/>
      </c>
      <c r="R451" s="41" t="str">
        <f ca="1">IFERROR(IF(AND(Table1[[#This Row],[Quantity]]&lt;&gt;"",Table1[[#This Row],[Currency]]="EUR"),Table1[[#This Row],[Quantity]]*Table1[[#This Row],[Unit Price]],""),"")</f>
        <v/>
      </c>
      <c r="S451" s="41" t="str">
        <f ca="1">IFERROR(IF(AND(Table1[[#This Row],[ACT_Qty]]&lt;&gt;"",Table1[[#This Row],[Currency]]="EUR"),Table1[[#This Row],[ACT_Qty]]*Table1[[#This Row],[Unit Price]],""),"")</f>
        <v/>
      </c>
      <c r="T451" s="269" t="str">
        <f ca="1">IFERROR(IF(AND(($N$3&lt;&gt;""),INDIRECT(Aux!$D$1)),VLOOKUP(Table1[[#This Row],[Product code]],Aux!B:E,4,FALSE),""),"")</f>
        <v/>
      </c>
      <c r="U451" s="145" t="str">
        <f>IFERROR(IF(OR(Table1[[#This Row],[Quantity]]&lt;&gt;"",Table1[[#This Row],[ACT_Qty]]&lt;&gt;""),Table1[[#This Row],[ACT_Qty]]-Table1[[#This Row],[Quantity]],""),"")</f>
        <v/>
      </c>
      <c r="V451" s="45"/>
      <c r="W451" s="45"/>
      <c r="X451" s="45"/>
    </row>
    <row r="452" spans="1:24" ht="14.45" customHeight="1">
      <c r="A452" s="233" t="str">
        <f t="shared" si="29"/>
        <v>AKH12345</v>
      </c>
      <c r="B452" s="261" t="s">
        <v>1300</v>
      </c>
      <c r="C452" s="7" t="s">
        <v>1301</v>
      </c>
      <c r="D452" s="105"/>
      <c r="E452" s="89"/>
      <c r="F452" s="68"/>
      <c r="G452" s="89"/>
      <c r="H452" s="5" t="s">
        <v>1302</v>
      </c>
      <c r="I452" s="5" t="s">
        <v>1233</v>
      </c>
      <c r="J452" s="5" t="s">
        <v>1290</v>
      </c>
      <c r="K452" s="5" t="s">
        <v>1235</v>
      </c>
      <c r="L452" s="208" t="s">
        <v>1235</v>
      </c>
      <c r="M452" s="148" t="str">
        <f>IF($C$3&lt;&gt;"",$C$3,"")</f>
        <v>OneCo Networks AS</v>
      </c>
      <c r="N45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2" s="270" t="str">
        <f ca="1">IFERROR(IF(
OR(Table1[[#This Row],[Product category]]="Service items",Table1[[#This Row],[Product category]]="Additional services",Table1[[#This Row],[Product category]]="Additional materials"),
"NOK",IF(($N$3&lt;&gt;""),VLOOKUP(Table1[[#This Row],[Product code]],INDIRECT(Aux!$A$1),6,FALSE),"")),"")</f>
        <v>NOK</v>
      </c>
      <c r="P452" s="43" t="str">
        <f ca="1">IFERROR(IF(AND(Table1[[#This Row],[Quantity]]&lt;&gt;"",Table1[[#This Row],[Currency]]="NOK"),Table1[[#This Row],[Quantity]]*Table1[[#This Row],[Unit Price]],""),"")</f>
        <v/>
      </c>
      <c r="Q452" s="43" t="str">
        <f ca="1">IFERROR(IF(AND(Table1[[#This Row],[ACT_Qty]]&lt;&gt;"",Table1[[#This Row],[Currency]]="NOK"),Table1[[#This Row],[ACT_Qty]]*Table1[[#This Row],[Unit Price]],""),"")</f>
        <v/>
      </c>
      <c r="R452" s="43" t="str">
        <f ca="1">IFERROR(IF(AND(Table1[[#This Row],[Quantity]]&lt;&gt;"",Table1[[#This Row],[Currency]]="EUR"),Table1[[#This Row],[Quantity]]*Table1[[#This Row],[Unit Price]],""),"")</f>
        <v/>
      </c>
      <c r="S452" s="43" t="str">
        <f ca="1">IFERROR(IF(AND(Table1[[#This Row],[ACT_Qty]]&lt;&gt;"",Table1[[#This Row],[Currency]]="EUR"),Table1[[#This Row],[ACT_Qty]]*Table1[[#This Row],[Unit Price]],""),"")</f>
        <v/>
      </c>
      <c r="T452" s="271" t="str">
        <f ca="1">IFERROR(IF(AND(($N$3&lt;&gt;""),INDIRECT(Aux!$D$1)),VLOOKUP(Table1[[#This Row],[Product code]],Aux!B:E,4,FALSE),""),"")</f>
        <v/>
      </c>
      <c r="U452" s="148" t="str">
        <f>IFERROR(IF(OR(Table1[[#This Row],[Quantity]]&lt;&gt;"",Table1[[#This Row],[ACT_Qty]]&lt;&gt;""),Table1[[#This Row],[ACT_Qty]]-Table1[[#This Row],[Quantity]],""),"")</f>
        <v/>
      </c>
      <c r="V452" s="46"/>
      <c r="W452" s="46"/>
      <c r="X452" s="46"/>
    </row>
    <row r="453" spans="1:24" ht="14.45" customHeight="1">
      <c r="A453" s="233" t="str">
        <f t="shared" si="29"/>
        <v>AKH12345</v>
      </c>
      <c r="B453" s="261" t="s">
        <v>1303</v>
      </c>
      <c r="C453" s="7" t="s">
        <v>1304</v>
      </c>
      <c r="D453" s="105"/>
      <c r="E453" s="89" t="s">
        <v>1280</v>
      </c>
      <c r="F453" s="68"/>
      <c r="G453" s="89"/>
      <c r="H453" s="5" t="s">
        <v>1305</v>
      </c>
      <c r="I453" s="5" t="s">
        <v>1233</v>
      </c>
      <c r="J453" s="5" t="s">
        <v>1290</v>
      </c>
      <c r="K453" s="5" t="s">
        <v>1235</v>
      </c>
      <c r="L453" s="208" t="s">
        <v>1235</v>
      </c>
      <c r="M453" s="200" t="str">
        <f t="shared" ref="M453" si="32">IF($C$3&lt;&gt;"",$C$3,"")</f>
        <v>OneCo Networks AS</v>
      </c>
      <c r="N4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3" s="269" t="str">
        <f ca="1">IFERROR(IF(
OR(Table1[[#This Row],[Product category]]="Service items",Table1[[#This Row],[Product category]]="Additional services",Table1[[#This Row],[Product category]]="Additional materials"),
"NOK",IF(($N$3&lt;&gt;""),VLOOKUP(Table1[[#This Row],[Product code]],INDIRECT(Aux!$A$1),6,FALSE),"")),"")</f>
        <v>NOK</v>
      </c>
      <c r="P453" s="41" t="str">
        <f ca="1">IFERROR(IF(AND(Table1[[#This Row],[Quantity]]&lt;&gt;"",Table1[[#This Row],[Currency]]="NOK"),Table1[[#This Row],[Quantity]]*Table1[[#This Row],[Unit Price]],""),"")</f>
        <v/>
      </c>
      <c r="Q453" s="41" t="str">
        <f ca="1">IFERROR(IF(AND(Table1[[#This Row],[ACT_Qty]]&lt;&gt;"",Table1[[#This Row],[Currency]]="NOK"),Table1[[#This Row],[ACT_Qty]]*Table1[[#This Row],[Unit Price]],""),"")</f>
        <v/>
      </c>
      <c r="R453" s="40" t="str">
        <f ca="1">IFERROR(IF(AND(Table1[[#This Row],[Quantity]]&lt;&gt;"",Table1[[#This Row],[Currency]]="EUR"),Table1[[#This Row],[Quantity]]*Table1[[#This Row],[Unit Price]],""),"")</f>
        <v/>
      </c>
      <c r="S453" s="40" t="str">
        <f ca="1">IFERROR(IF(AND(Table1[[#This Row],[ACT_Qty]]&lt;&gt;"",Table1[[#This Row],[Currency]]="EUR"),Table1[[#This Row],[ACT_Qty]]*Table1[[#This Row],[Unit Price]],""),"")</f>
        <v/>
      </c>
      <c r="T453" s="269" t="str">
        <f ca="1">IFERROR(IF(AND(($N$3&lt;&gt;""),INDIRECT(Aux!$D$1)),VLOOKUP(Table1[[#This Row],[Product code]],Aux!B:E,4,FALSE),""),"")</f>
        <v/>
      </c>
      <c r="U453" s="145" t="str">
        <f>IFERROR(IF(OR(Table1[[#This Row],[Quantity]]&lt;&gt;"",Table1[[#This Row],[ACT_Qty]]&lt;&gt;""),Table1[[#This Row],[ACT_Qty]]-Table1[[#This Row],[Quantity]],""),"")</f>
        <v/>
      </c>
      <c r="V453" s="45"/>
      <c r="W453" s="45"/>
      <c r="X453" s="45"/>
    </row>
    <row r="454" spans="1:24" ht="14.45" customHeight="1">
      <c r="A454" s="143" t="str">
        <f t="shared" si="29"/>
        <v>AKH12345</v>
      </c>
      <c r="B454" s="260" t="s">
        <v>1306</v>
      </c>
      <c r="C454" s="8" t="s">
        <v>1307</v>
      </c>
      <c r="D454" s="105"/>
      <c r="E454" s="106"/>
      <c r="F454" s="105"/>
      <c r="G454" s="106"/>
      <c r="H454" s="6" t="s">
        <v>1308</v>
      </c>
      <c r="I454" s="6" t="s">
        <v>1233</v>
      </c>
      <c r="J454" s="6" t="s">
        <v>1309</v>
      </c>
      <c r="K454" s="6" t="s">
        <v>1235</v>
      </c>
      <c r="L454" s="207" t="s">
        <v>1235</v>
      </c>
      <c r="M454" s="145" t="str">
        <f t="shared" si="31"/>
        <v>OneCo Networks AS</v>
      </c>
      <c r="N45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4" s="268" t="str">
        <f ca="1">IFERROR(IF(
OR(Table1[[#This Row],[Product category]]="Service items",Table1[[#This Row],[Product category]]="Additional services",Table1[[#This Row],[Product category]]="Additional materials"),
"NOK",IF(($N$3&lt;&gt;""),VLOOKUP(Table1[[#This Row],[Product code]],INDIRECT(Aux!$A$1),6,FALSE),"")),"")</f>
        <v>NOK</v>
      </c>
      <c r="P454" s="41" t="str">
        <f ca="1">IFERROR(IF(AND(Table1[[#This Row],[Quantity]]&lt;&gt;"",Table1[[#This Row],[Currency]]="NOK"),Table1[[#This Row],[Quantity]]*Table1[[#This Row],[Unit Price]],""),"")</f>
        <v/>
      </c>
      <c r="Q454" s="41" t="str">
        <f ca="1">IFERROR(IF(AND(Table1[[#This Row],[ACT_Qty]]&lt;&gt;"",Table1[[#This Row],[Currency]]="NOK"),Table1[[#This Row],[ACT_Qty]]*Table1[[#This Row],[Unit Price]],""),"")</f>
        <v/>
      </c>
      <c r="R454" s="41" t="str">
        <f ca="1">IFERROR(IF(AND(Table1[[#This Row],[Quantity]]&lt;&gt;"",Table1[[#This Row],[Currency]]="EUR"),Table1[[#This Row],[Quantity]]*Table1[[#This Row],[Unit Price]],""),"")</f>
        <v/>
      </c>
      <c r="S454" s="41" t="str">
        <f ca="1">IFERROR(IF(AND(Table1[[#This Row],[ACT_Qty]]&lt;&gt;"",Table1[[#This Row],[Currency]]="EUR"),Table1[[#This Row],[ACT_Qty]]*Table1[[#This Row],[Unit Price]],""),"")</f>
        <v/>
      </c>
      <c r="T454" s="269" t="str">
        <f ca="1">IFERROR(IF(AND(($N$3&lt;&gt;""),INDIRECT(Aux!$D$1)),VLOOKUP(Table1[[#This Row],[Product code]],Aux!B:E,4,FALSE),""),"")</f>
        <v/>
      </c>
      <c r="U454" s="145" t="str">
        <f>IFERROR(IF(OR(Table1[[#This Row],[Quantity]]&lt;&gt;"",Table1[[#This Row],[ACT_Qty]]&lt;&gt;""),Table1[[#This Row],[ACT_Qty]]-Table1[[#This Row],[Quantity]],""),"")</f>
        <v/>
      </c>
      <c r="V454" s="45"/>
      <c r="W454" s="45"/>
      <c r="X454" s="45"/>
    </row>
    <row r="455" spans="1:24" ht="14.45" customHeight="1">
      <c r="A455" s="233" t="str">
        <f t="shared" si="29"/>
        <v>AKH12345</v>
      </c>
      <c r="B455" s="261" t="s">
        <v>1310</v>
      </c>
      <c r="C455" s="7" t="s">
        <v>1311</v>
      </c>
      <c r="D455" s="105"/>
      <c r="E455" s="89"/>
      <c r="F455" s="68"/>
      <c r="G455" s="89"/>
      <c r="H455" s="5" t="s">
        <v>1308</v>
      </c>
      <c r="I455" s="5" t="s">
        <v>1233</v>
      </c>
      <c r="J455" s="5" t="s">
        <v>1309</v>
      </c>
      <c r="K455" s="5" t="s">
        <v>1235</v>
      </c>
      <c r="L455" s="208" t="s">
        <v>1235</v>
      </c>
      <c r="M455" s="148" t="str">
        <f t="shared" si="31"/>
        <v>OneCo Networks AS</v>
      </c>
      <c r="N455"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5" s="270" t="str">
        <f ca="1">IFERROR(IF(
OR(Table1[[#This Row],[Product category]]="Service items",Table1[[#This Row],[Product category]]="Additional services",Table1[[#This Row],[Product category]]="Additional materials"),
"NOK",IF(($N$3&lt;&gt;""),VLOOKUP(Table1[[#This Row],[Product code]],INDIRECT(Aux!$A$1),6,FALSE),"")),"")</f>
        <v>NOK</v>
      </c>
      <c r="P455" s="43" t="str">
        <f ca="1">IFERROR(IF(AND(Table1[[#This Row],[Quantity]]&lt;&gt;"",Table1[[#This Row],[Currency]]="NOK"),Table1[[#This Row],[Quantity]]*Table1[[#This Row],[Unit Price]],""),"")</f>
        <v/>
      </c>
      <c r="Q455" s="43" t="str">
        <f ca="1">IFERROR(IF(AND(Table1[[#This Row],[ACT_Qty]]&lt;&gt;"",Table1[[#This Row],[Currency]]="NOK"),Table1[[#This Row],[ACT_Qty]]*Table1[[#This Row],[Unit Price]],""),"")</f>
        <v/>
      </c>
      <c r="R455" s="43" t="str">
        <f ca="1">IFERROR(IF(AND(Table1[[#This Row],[Quantity]]&lt;&gt;"",Table1[[#This Row],[Currency]]="EUR"),Table1[[#This Row],[Quantity]]*Table1[[#This Row],[Unit Price]],""),"")</f>
        <v/>
      </c>
      <c r="S455" s="43" t="str">
        <f ca="1">IFERROR(IF(AND(Table1[[#This Row],[ACT_Qty]]&lt;&gt;"",Table1[[#This Row],[Currency]]="EUR"),Table1[[#This Row],[ACT_Qty]]*Table1[[#This Row],[Unit Price]],""),"")</f>
        <v/>
      </c>
      <c r="T455" s="271" t="str">
        <f ca="1">IFERROR(IF(AND(($N$3&lt;&gt;""),INDIRECT(Aux!$D$1)),VLOOKUP(Table1[[#This Row],[Product code]],Aux!B:E,4,FALSE),""),"")</f>
        <v/>
      </c>
      <c r="U455" s="148" t="str">
        <f>IFERROR(IF(OR(Table1[[#This Row],[Quantity]]&lt;&gt;"",Table1[[#This Row],[ACT_Qty]]&lt;&gt;""),Table1[[#This Row],[ACT_Qty]]-Table1[[#This Row],[Quantity]],""),"")</f>
        <v/>
      </c>
      <c r="V455" s="46"/>
      <c r="W455" s="46"/>
      <c r="X455" s="46"/>
    </row>
    <row r="456" spans="1:24" ht="15" customHeight="1">
      <c r="A456" s="143" t="str">
        <f t="shared" si="29"/>
        <v>AKH12345</v>
      </c>
      <c r="B456" s="260" t="s">
        <v>1312</v>
      </c>
      <c r="C456" s="8" t="s">
        <v>1313</v>
      </c>
      <c r="D456" s="105"/>
      <c r="E456" s="106"/>
      <c r="F456" s="105"/>
      <c r="G456" s="106"/>
      <c r="H456" s="6" t="s">
        <v>1308</v>
      </c>
      <c r="I456" s="6" t="s">
        <v>1233</v>
      </c>
      <c r="J456" s="6" t="s">
        <v>1309</v>
      </c>
      <c r="K456" s="6" t="s">
        <v>1235</v>
      </c>
      <c r="L456" s="207" t="s">
        <v>1235</v>
      </c>
      <c r="M456" s="145" t="str">
        <f t="shared" si="31"/>
        <v>OneCo Networks AS</v>
      </c>
      <c r="N45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6" s="268" t="str">
        <f ca="1">IFERROR(IF(
OR(Table1[[#This Row],[Product category]]="Service items",Table1[[#This Row],[Product category]]="Additional services",Table1[[#This Row],[Product category]]="Additional materials"),
"NOK",IF(($N$3&lt;&gt;""),VLOOKUP(Table1[[#This Row],[Product code]],INDIRECT(Aux!$A$1),6,FALSE),"")),"")</f>
        <v>NOK</v>
      </c>
      <c r="P456" s="41" t="str">
        <f ca="1">IFERROR(IF(AND(Table1[[#This Row],[Quantity]]&lt;&gt;"",Table1[[#This Row],[Currency]]="NOK"),Table1[[#This Row],[Quantity]]*Table1[[#This Row],[Unit Price]],""),"")</f>
        <v/>
      </c>
      <c r="Q456" s="41" t="str">
        <f ca="1">IFERROR(IF(AND(Table1[[#This Row],[ACT_Qty]]&lt;&gt;"",Table1[[#This Row],[Currency]]="NOK"),Table1[[#This Row],[ACT_Qty]]*Table1[[#This Row],[Unit Price]],""),"")</f>
        <v/>
      </c>
      <c r="R456" s="41" t="str">
        <f ca="1">IFERROR(IF(AND(Table1[[#This Row],[Quantity]]&lt;&gt;"",Table1[[#This Row],[Currency]]="EUR"),Table1[[#This Row],[Quantity]]*Table1[[#This Row],[Unit Price]],""),"")</f>
        <v/>
      </c>
      <c r="S456" s="41" t="str">
        <f ca="1">IFERROR(IF(AND(Table1[[#This Row],[ACT_Qty]]&lt;&gt;"",Table1[[#This Row],[Currency]]="EUR"),Table1[[#This Row],[ACT_Qty]]*Table1[[#This Row],[Unit Price]],""),"")</f>
        <v/>
      </c>
      <c r="T456" s="269" t="str">
        <f ca="1">IFERROR(IF(AND(($N$3&lt;&gt;""),INDIRECT(Aux!$D$1)),VLOOKUP(Table1[[#This Row],[Product code]],Aux!B:E,4,FALSE),""),"")</f>
        <v/>
      </c>
      <c r="U456" s="145" t="str">
        <f>IFERROR(IF(OR(Table1[[#This Row],[Quantity]]&lt;&gt;"",Table1[[#This Row],[ACT_Qty]]&lt;&gt;""),Table1[[#This Row],[ACT_Qty]]-Table1[[#This Row],[Quantity]],""),"")</f>
        <v/>
      </c>
      <c r="V456" s="45"/>
      <c r="W456" s="45"/>
      <c r="X456" s="45"/>
    </row>
    <row r="457" spans="1:24" ht="15" customHeight="1">
      <c r="A457" s="233" t="str">
        <f t="shared" si="29"/>
        <v>AKH12345</v>
      </c>
      <c r="B457" s="261" t="s">
        <v>1314</v>
      </c>
      <c r="C457" s="7" t="s">
        <v>1315</v>
      </c>
      <c r="D457" s="105"/>
      <c r="E457" s="89"/>
      <c r="F457" s="68"/>
      <c r="G457" s="89"/>
      <c r="H457" s="5" t="s">
        <v>1308</v>
      </c>
      <c r="I457" s="5" t="s">
        <v>1233</v>
      </c>
      <c r="J457" s="5" t="s">
        <v>1309</v>
      </c>
      <c r="K457" s="5" t="s">
        <v>1235</v>
      </c>
      <c r="L457" s="208" t="s">
        <v>1235</v>
      </c>
      <c r="M457" s="148" t="str">
        <f t="shared" si="31"/>
        <v>OneCo Networks AS</v>
      </c>
      <c r="N457"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7" s="270" t="str">
        <f ca="1">IFERROR(IF(
OR(Table1[[#This Row],[Product category]]="Service items",Table1[[#This Row],[Product category]]="Additional services",Table1[[#This Row],[Product category]]="Additional materials"),
"NOK",IF(($N$3&lt;&gt;""),VLOOKUP(Table1[[#This Row],[Product code]],INDIRECT(Aux!$A$1),6,FALSE),"")),"")</f>
        <v>NOK</v>
      </c>
      <c r="P457" s="43" t="str">
        <f ca="1">IFERROR(IF(AND(Table1[[#This Row],[Quantity]]&lt;&gt;"",Table1[[#This Row],[Currency]]="NOK"),Table1[[#This Row],[Quantity]]*Table1[[#This Row],[Unit Price]],""),"")</f>
        <v/>
      </c>
      <c r="Q457" s="43" t="str">
        <f ca="1">IFERROR(IF(AND(Table1[[#This Row],[ACT_Qty]]&lt;&gt;"",Table1[[#This Row],[Currency]]="NOK"),Table1[[#This Row],[ACT_Qty]]*Table1[[#This Row],[Unit Price]],""),"")</f>
        <v/>
      </c>
      <c r="R457" s="43" t="str">
        <f ca="1">IFERROR(IF(AND(Table1[[#This Row],[Quantity]]&lt;&gt;"",Table1[[#This Row],[Currency]]="EUR"),Table1[[#This Row],[Quantity]]*Table1[[#This Row],[Unit Price]],""),"")</f>
        <v/>
      </c>
      <c r="S457" s="43" t="str">
        <f ca="1">IFERROR(IF(AND(Table1[[#This Row],[ACT_Qty]]&lt;&gt;"",Table1[[#This Row],[Currency]]="EUR"),Table1[[#This Row],[ACT_Qty]]*Table1[[#This Row],[Unit Price]],""),"")</f>
        <v/>
      </c>
      <c r="T457" s="271" t="str">
        <f ca="1">IFERROR(IF(AND(($N$3&lt;&gt;""),INDIRECT(Aux!$D$1)),VLOOKUP(Table1[[#This Row],[Product code]],Aux!B:E,4,FALSE),""),"")</f>
        <v/>
      </c>
      <c r="U457" s="148" t="str">
        <f>IFERROR(IF(OR(Table1[[#This Row],[Quantity]]&lt;&gt;"",Table1[[#This Row],[ACT_Qty]]&lt;&gt;""),Table1[[#This Row],[ACT_Qty]]-Table1[[#This Row],[Quantity]],""),"")</f>
        <v/>
      </c>
      <c r="V457" s="46"/>
      <c r="W457" s="46"/>
      <c r="X457" s="46"/>
    </row>
    <row r="458" spans="1:24" ht="15" customHeight="1">
      <c r="A458" s="143" t="str">
        <f t="shared" si="29"/>
        <v>AKH12345</v>
      </c>
      <c r="B458" s="260" t="s">
        <v>1316</v>
      </c>
      <c r="C458" s="8" t="s">
        <v>1317</v>
      </c>
      <c r="D458" s="105"/>
      <c r="E458" s="106"/>
      <c r="F458" s="105"/>
      <c r="G458" s="106"/>
      <c r="H458" s="6" t="s">
        <v>1308</v>
      </c>
      <c r="I458" s="6" t="s">
        <v>1233</v>
      </c>
      <c r="J458" s="6" t="s">
        <v>1309</v>
      </c>
      <c r="K458" s="6" t="s">
        <v>1235</v>
      </c>
      <c r="L458" s="207" t="s">
        <v>1235</v>
      </c>
      <c r="M458" s="145" t="str">
        <f t="shared" si="31"/>
        <v>OneCo Networks AS</v>
      </c>
      <c r="N45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8" s="268" t="str">
        <f ca="1">IFERROR(IF(
OR(Table1[[#This Row],[Product category]]="Service items",Table1[[#This Row],[Product category]]="Additional services",Table1[[#This Row],[Product category]]="Additional materials"),
"NOK",IF(($N$3&lt;&gt;""),VLOOKUP(Table1[[#This Row],[Product code]],INDIRECT(Aux!$A$1),6,FALSE),"")),"")</f>
        <v>NOK</v>
      </c>
      <c r="P458" s="41" t="str">
        <f ca="1">IFERROR(IF(AND(Table1[[#This Row],[Quantity]]&lt;&gt;"",Table1[[#This Row],[Currency]]="NOK"),Table1[[#This Row],[Quantity]]*Table1[[#This Row],[Unit Price]],""),"")</f>
        <v/>
      </c>
      <c r="Q458" s="41" t="str">
        <f ca="1">IFERROR(IF(AND(Table1[[#This Row],[ACT_Qty]]&lt;&gt;"",Table1[[#This Row],[Currency]]="NOK"),Table1[[#This Row],[ACT_Qty]]*Table1[[#This Row],[Unit Price]],""),"")</f>
        <v/>
      </c>
      <c r="R458" s="41" t="str">
        <f ca="1">IFERROR(IF(AND(Table1[[#This Row],[Quantity]]&lt;&gt;"",Table1[[#This Row],[Currency]]="EUR"),Table1[[#This Row],[Quantity]]*Table1[[#This Row],[Unit Price]],""),"")</f>
        <v/>
      </c>
      <c r="S458" s="41" t="str">
        <f ca="1">IFERROR(IF(AND(Table1[[#This Row],[ACT_Qty]]&lt;&gt;"",Table1[[#This Row],[Currency]]="EUR"),Table1[[#This Row],[ACT_Qty]]*Table1[[#This Row],[Unit Price]],""),"")</f>
        <v/>
      </c>
      <c r="T458" s="269" t="str">
        <f ca="1">IFERROR(IF(AND(($N$3&lt;&gt;""),INDIRECT(Aux!$D$1)),VLOOKUP(Table1[[#This Row],[Product code]],Aux!B:E,4,FALSE),""),"")</f>
        <v/>
      </c>
      <c r="U458" s="145" t="str">
        <f>IFERROR(IF(OR(Table1[[#This Row],[Quantity]]&lt;&gt;"",Table1[[#This Row],[ACT_Qty]]&lt;&gt;""),Table1[[#This Row],[ACT_Qty]]-Table1[[#This Row],[Quantity]],""),"")</f>
        <v/>
      </c>
      <c r="V458" s="45"/>
      <c r="W458" s="45"/>
      <c r="X458" s="45"/>
    </row>
    <row r="459" spans="1:24" ht="15" customHeight="1">
      <c r="A459" s="233" t="str">
        <f t="shared" si="29"/>
        <v>AKH12345</v>
      </c>
      <c r="B459" s="261" t="s">
        <v>1318</v>
      </c>
      <c r="C459" s="7" t="s">
        <v>1319</v>
      </c>
      <c r="D459" s="105"/>
      <c r="E459" s="89"/>
      <c r="F459" s="68"/>
      <c r="G459" s="89"/>
      <c r="H459" s="5" t="s">
        <v>1320</v>
      </c>
      <c r="I459" s="5" t="s">
        <v>1233</v>
      </c>
      <c r="J459" s="5" t="s">
        <v>1309</v>
      </c>
      <c r="K459" s="5" t="s">
        <v>1235</v>
      </c>
      <c r="L459" s="208" t="s">
        <v>1235</v>
      </c>
      <c r="M459" s="148" t="str">
        <f t="shared" si="31"/>
        <v>OneCo Networks AS</v>
      </c>
      <c r="N459"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59" s="270" t="str">
        <f ca="1">IFERROR(IF(
OR(Table1[[#This Row],[Product category]]="Service items",Table1[[#This Row],[Product category]]="Additional services",Table1[[#This Row],[Product category]]="Additional materials"),
"NOK",IF(($N$3&lt;&gt;""),VLOOKUP(Table1[[#This Row],[Product code]],INDIRECT(Aux!$A$1),6,FALSE),"")),"")</f>
        <v>NOK</v>
      </c>
      <c r="P459" s="43" t="str">
        <f ca="1">IFERROR(IF(AND(Table1[[#This Row],[Quantity]]&lt;&gt;"",Table1[[#This Row],[Currency]]="NOK"),Table1[[#This Row],[Quantity]]*Table1[[#This Row],[Unit Price]],""),"")</f>
        <v/>
      </c>
      <c r="Q459" s="43" t="str">
        <f ca="1">IFERROR(IF(AND(Table1[[#This Row],[ACT_Qty]]&lt;&gt;"",Table1[[#This Row],[Currency]]="NOK"),Table1[[#This Row],[ACT_Qty]]*Table1[[#This Row],[Unit Price]],""),"")</f>
        <v/>
      </c>
      <c r="R459" s="43" t="str">
        <f ca="1">IFERROR(IF(AND(Table1[[#This Row],[Quantity]]&lt;&gt;"",Table1[[#This Row],[Currency]]="EUR"),Table1[[#This Row],[Quantity]]*Table1[[#This Row],[Unit Price]],""),"")</f>
        <v/>
      </c>
      <c r="S459" s="43" t="str">
        <f ca="1">IFERROR(IF(AND(Table1[[#This Row],[ACT_Qty]]&lt;&gt;"",Table1[[#This Row],[Currency]]="EUR"),Table1[[#This Row],[ACT_Qty]]*Table1[[#This Row],[Unit Price]],""),"")</f>
        <v/>
      </c>
      <c r="T459" s="271" t="str">
        <f ca="1">IFERROR(IF(AND(($N$3&lt;&gt;""),INDIRECT(Aux!$D$1)),VLOOKUP(Table1[[#This Row],[Product code]],Aux!B:E,4,FALSE),""),"")</f>
        <v/>
      </c>
      <c r="U459" s="148" t="str">
        <f>IFERROR(IF(OR(Table1[[#This Row],[Quantity]]&lt;&gt;"",Table1[[#This Row],[ACT_Qty]]&lt;&gt;""),Table1[[#This Row],[ACT_Qty]]-Table1[[#This Row],[Quantity]],""),"")</f>
        <v/>
      </c>
      <c r="V459" s="46"/>
      <c r="W459" s="46"/>
      <c r="X459" s="46"/>
    </row>
    <row r="460" spans="1:24" ht="15" customHeight="1">
      <c r="A460" s="143" t="str">
        <f t="shared" si="29"/>
        <v>AKH12345</v>
      </c>
      <c r="B460" s="260" t="s">
        <v>1321</v>
      </c>
      <c r="C460" s="8" t="s">
        <v>1322</v>
      </c>
      <c r="D460" s="105"/>
      <c r="E460" s="106"/>
      <c r="F460" s="105"/>
      <c r="G460" s="106"/>
      <c r="H460" s="6" t="s">
        <v>1308</v>
      </c>
      <c r="I460" s="6" t="s">
        <v>1233</v>
      </c>
      <c r="J460" s="6" t="s">
        <v>1309</v>
      </c>
      <c r="K460" s="6" t="s">
        <v>1235</v>
      </c>
      <c r="L460" s="207" t="s">
        <v>1235</v>
      </c>
      <c r="M460" s="145" t="str">
        <f t="shared" si="31"/>
        <v>OneCo Networks AS</v>
      </c>
      <c r="N46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0" s="268" t="str">
        <f ca="1">IFERROR(IF(
OR(Table1[[#This Row],[Product category]]="Service items",Table1[[#This Row],[Product category]]="Additional services",Table1[[#This Row],[Product category]]="Additional materials"),
"NOK",IF(($N$3&lt;&gt;""),VLOOKUP(Table1[[#This Row],[Product code]],INDIRECT(Aux!$A$1),6,FALSE),"")),"")</f>
        <v>NOK</v>
      </c>
      <c r="P460" s="41" t="str">
        <f ca="1">IFERROR(IF(AND(Table1[[#This Row],[Quantity]]&lt;&gt;"",Table1[[#This Row],[Currency]]="NOK"),Table1[[#This Row],[Quantity]]*Table1[[#This Row],[Unit Price]],""),"")</f>
        <v/>
      </c>
      <c r="Q460" s="41" t="str">
        <f ca="1">IFERROR(IF(AND(Table1[[#This Row],[ACT_Qty]]&lt;&gt;"",Table1[[#This Row],[Currency]]="NOK"),Table1[[#This Row],[ACT_Qty]]*Table1[[#This Row],[Unit Price]],""),"")</f>
        <v/>
      </c>
      <c r="R460" s="41" t="str">
        <f ca="1">IFERROR(IF(AND(Table1[[#This Row],[Quantity]]&lt;&gt;"",Table1[[#This Row],[Currency]]="EUR"),Table1[[#This Row],[Quantity]]*Table1[[#This Row],[Unit Price]],""),"")</f>
        <v/>
      </c>
      <c r="S460" s="41" t="str">
        <f ca="1">IFERROR(IF(AND(Table1[[#This Row],[ACT_Qty]]&lt;&gt;"",Table1[[#This Row],[Currency]]="EUR"),Table1[[#This Row],[ACT_Qty]]*Table1[[#This Row],[Unit Price]],""),"")</f>
        <v/>
      </c>
      <c r="T460" s="269" t="str">
        <f ca="1">IFERROR(IF(AND(($N$3&lt;&gt;""),INDIRECT(Aux!$D$1)),VLOOKUP(Table1[[#This Row],[Product code]],Aux!B:E,4,FALSE),""),"")</f>
        <v/>
      </c>
      <c r="U460" s="145" t="str">
        <f>IFERROR(IF(OR(Table1[[#This Row],[Quantity]]&lt;&gt;"",Table1[[#This Row],[ACT_Qty]]&lt;&gt;""),Table1[[#This Row],[ACT_Qty]]-Table1[[#This Row],[Quantity]],""),"")</f>
        <v/>
      </c>
      <c r="V460" s="45"/>
      <c r="W460" s="45"/>
      <c r="X460" s="45"/>
    </row>
    <row r="461" spans="1:24" ht="15" customHeight="1">
      <c r="A461" s="233" t="str">
        <f t="shared" si="29"/>
        <v>AKH12345</v>
      </c>
      <c r="B461" s="261" t="s">
        <v>1323</v>
      </c>
      <c r="C461" s="7" t="s">
        <v>1324</v>
      </c>
      <c r="D461" s="105"/>
      <c r="E461" s="89"/>
      <c r="F461" s="68"/>
      <c r="G461" s="89"/>
      <c r="H461" s="5" t="s">
        <v>1308</v>
      </c>
      <c r="I461" s="5" t="s">
        <v>1233</v>
      </c>
      <c r="J461" s="5" t="s">
        <v>1309</v>
      </c>
      <c r="K461" s="5" t="s">
        <v>1235</v>
      </c>
      <c r="L461" s="208" t="s">
        <v>1235</v>
      </c>
      <c r="M461" s="148" t="str">
        <f t="shared" si="31"/>
        <v>OneCo Networks AS</v>
      </c>
      <c r="N461"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1" s="270" t="str">
        <f ca="1">IFERROR(IF(
OR(Table1[[#This Row],[Product category]]="Service items",Table1[[#This Row],[Product category]]="Additional services",Table1[[#This Row],[Product category]]="Additional materials"),
"NOK",IF(($N$3&lt;&gt;""),VLOOKUP(Table1[[#This Row],[Product code]],INDIRECT(Aux!$A$1),6,FALSE),"")),"")</f>
        <v>NOK</v>
      </c>
      <c r="P461" s="43" t="str">
        <f ca="1">IFERROR(IF(AND(Table1[[#This Row],[Quantity]]&lt;&gt;"",Table1[[#This Row],[Currency]]="NOK"),Table1[[#This Row],[Quantity]]*Table1[[#This Row],[Unit Price]],""),"")</f>
        <v/>
      </c>
      <c r="Q461" s="43" t="str">
        <f ca="1">IFERROR(IF(AND(Table1[[#This Row],[ACT_Qty]]&lt;&gt;"",Table1[[#This Row],[Currency]]="NOK"),Table1[[#This Row],[ACT_Qty]]*Table1[[#This Row],[Unit Price]],""),"")</f>
        <v/>
      </c>
      <c r="R461" s="43" t="str">
        <f ca="1">IFERROR(IF(AND(Table1[[#This Row],[Quantity]]&lt;&gt;"",Table1[[#This Row],[Currency]]="EUR"),Table1[[#This Row],[Quantity]]*Table1[[#This Row],[Unit Price]],""),"")</f>
        <v/>
      </c>
      <c r="S461" s="43" t="str">
        <f ca="1">IFERROR(IF(AND(Table1[[#This Row],[ACT_Qty]]&lt;&gt;"",Table1[[#This Row],[Currency]]="EUR"),Table1[[#This Row],[ACT_Qty]]*Table1[[#This Row],[Unit Price]],""),"")</f>
        <v/>
      </c>
      <c r="T461" s="271" t="str">
        <f ca="1">IFERROR(IF(AND(($N$3&lt;&gt;""),INDIRECT(Aux!$D$1)),VLOOKUP(Table1[[#This Row],[Product code]],Aux!B:E,4,FALSE),""),"")</f>
        <v/>
      </c>
      <c r="U461" s="148" t="str">
        <f>IFERROR(IF(OR(Table1[[#This Row],[Quantity]]&lt;&gt;"",Table1[[#This Row],[ACT_Qty]]&lt;&gt;""),Table1[[#This Row],[ACT_Qty]]-Table1[[#This Row],[Quantity]],""),"")</f>
        <v/>
      </c>
      <c r="V461" s="46"/>
      <c r="W461" s="46"/>
      <c r="X461" s="46"/>
    </row>
    <row r="462" spans="1:24" ht="15" customHeight="1">
      <c r="A462" s="143" t="str">
        <f t="shared" si="29"/>
        <v>AKH12345</v>
      </c>
      <c r="B462" s="260" t="s">
        <v>1325</v>
      </c>
      <c r="C462" s="8" t="s">
        <v>1326</v>
      </c>
      <c r="D462" s="105"/>
      <c r="E462" s="106"/>
      <c r="F462" s="105"/>
      <c r="G462" s="106"/>
      <c r="H462" s="6" t="s">
        <v>1308</v>
      </c>
      <c r="I462" s="6" t="s">
        <v>1233</v>
      </c>
      <c r="J462" s="6" t="s">
        <v>1309</v>
      </c>
      <c r="K462" s="6" t="s">
        <v>1235</v>
      </c>
      <c r="L462" s="207" t="s">
        <v>1235</v>
      </c>
      <c r="M462" s="145" t="str">
        <f t="shared" si="31"/>
        <v>OneCo Networks AS</v>
      </c>
      <c r="N46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2" s="268" t="str">
        <f ca="1">IFERROR(IF(
OR(Table1[[#This Row],[Product category]]="Service items",Table1[[#This Row],[Product category]]="Additional services",Table1[[#This Row],[Product category]]="Additional materials"),
"NOK",IF(($N$3&lt;&gt;""),VLOOKUP(Table1[[#This Row],[Product code]],INDIRECT(Aux!$A$1),6,FALSE),"")),"")</f>
        <v>NOK</v>
      </c>
      <c r="P462" s="41" t="str">
        <f ca="1">IFERROR(IF(AND(Table1[[#This Row],[Quantity]]&lt;&gt;"",Table1[[#This Row],[Currency]]="NOK"),Table1[[#This Row],[Quantity]]*Table1[[#This Row],[Unit Price]],""),"")</f>
        <v/>
      </c>
      <c r="Q462" s="41" t="str">
        <f ca="1">IFERROR(IF(AND(Table1[[#This Row],[ACT_Qty]]&lt;&gt;"",Table1[[#This Row],[Currency]]="NOK"),Table1[[#This Row],[ACT_Qty]]*Table1[[#This Row],[Unit Price]],""),"")</f>
        <v/>
      </c>
      <c r="R462" s="41" t="str">
        <f ca="1">IFERROR(IF(AND(Table1[[#This Row],[Quantity]]&lt;&gt;"",Table1[[#This Row],[Currency]]="EUR"),Table1[[#This Row],[Quantity]]*Table1[[#This Row],[Unit Price]],""),"")</f>
        <v/>
      </c>
      <c r="S462" s="41" t="str">
        <f ca="1">IFERROR(IF(AND(Table1[[#This Row],[ACT_Qty]]&lt;&gt;"",Table1[[#This Row],[Currency]]="EUR"),Table1[[#This Row],[ACT_Qty]]*Table1[[#This Row],[Unit Price]],""),"")</f>
        <v/>
      </c>
      <c r="T462" s="269" t="str">
        <f ca="1">IFERROR(IF(AND(($N$3&lt;&gt;""),INDIRECT(Aux!$D$1)),VLOOKUP(Table1[[#This Row],[Product code]],Aux!B:E,4,FALSE),""),"")</f>
        <v/>
      </c>
      <c r="U462" s="145" t="str">
        <f>IFERROR(IF(OR(Table1[[#This Row],[Quantity]]&lt;&gt;"",Table1[[#This Row],[ACT_Qty]]&lt;&gt;""),Table1[[#This Row],[ACT_Qty]]-Table1[[#This Row],[Quantity]],""),"")</f>
        <v/>
      </c>
      <c r="V462" s="45"/>
      <c r="W462" s="45"/>
      <c r="X462" s="45"/>
    </row>
    <row r="463" spans="1:24" ht="15" customHeight="1">
      <c r="A463" s="233" t="str">
        <f t="shared" si="29"/>
        <v>AKH12345</v>
      </c>
      <c r="B463" s="261" t="s">
        <v>1327</v>
      </c>
      <c r="C463" s="7" t="s">
        <v>1328</v>
      </c>
      <c r="D463" s="105"/>
      <c r="E463" s="89"/>
      <c r="F463" s="68"/>
      <c r="G463" s="89"/>
      <c r="H463" s="5" t="s">
        <v>1308</v>
      </c>
      <c r="I463" s="5" t="s">
        <v>1233</v>
      </c>
      <c r="J463" s="5" t="s">
        <v>1309</v>
      </c>
      <c r="K463" s="5" t="s">
        <v>1235</v>
      </c>
      <c r="L463" s="208" t="s">
        <v>1235</v>
      </c>
      <c r="M463" s="148" t="str">
        <f t="shared" si="31"/>
        <v>OneCo Networks AS</v>
      </c>
      <c r="N463"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3" s="270" t="str">
        <f ca="1">IFERROR(IF(
OR(Table1[[#This Row],[Product category]]="Service items",Table1[[#This Row],[Product category]]="Additional services",Table1[[#This Row],[Product category]]="Additional materials"),
"NOK",IF(($N$3&lt;&gt;""),VLOOKUP(Table1[[#This Row],[Product code]],INDIRECT(Aux!$A$1),6,FALSE),"")),"")</f>
        <v>NOK</v>
      </c>
      <c r="P463" s="43" t="str">
        <f ca="1">IFERROR(IF(AND(Table1[[#This Row],[Quantity]]&lt;&gt;"",Table1[[#This Row],[Currency]]="NOK"),Table1[[#This Row],[Quantity]]*Table1[[#This Row],[Unit Price]],""),"")</f>
        <v/>
      </c>
      <c r="Q463" s="43" t="str">
        <f ca="1">IFERROR(IF(AND(Table1[[#This Row],[ACT_Qty]]&lt;&gt;"",Table1[[#This Row],[Currency]]="NOK"),Table1[[#This Row],[ACT_Qty]]*Table1[[#This Row],[Unit Price]],""),"")</f>
        <v/>
      </c>
      <c r="R463" s="43" t="str">
        <f ca="1">IFERROR(IF(AND(Table1[[#This Row],[Quantity]]&lt;&gt;"",Table1[[#This Row],[Currency]]="EUR"),Table1[[#This Row],[Quantity]]*Table1[[#This Row],[Unit Price]],""),"")</f>
        <v/>
      </c>
      <c r="S463" s="43" t="str">
        <f ca="1">IFERROR(IF(AND(Table1[[#This Row],[ACT_Qty]]&lt;&gt;"",Table1[[#This Row],[Currency]]="EUR"),Table1[[#This Row],[ACT_Qty]]*Table1[[#This Row],[Unit Price]],""),"")</f>
        <v/>
      </c>
      <c r="T463" s="271" t="str">
        <f ca="1">IFERROR(IF(AND(($N$3&lt;&gt;""),INDIRECT(Aux!$D$1)),VLOOKUP(Table1[[#This Row],[Product code]],Aux!B:E,4,FALSE),""),"")</f>
        <v/>
      </c>
      <c r="U463" s="148" t="str">
        <f>IFERROR(IF(OR(Table1[[#This Row],[Quantity]]&lt;&gt;"",Table1[[#This Row],[ACT_Qty]]&lt;&gt;""),Table1[[#This Row],[ACT_Qty]]-Table1[[#This Row],[Quantity]],""),"")</f>
        <v/>
      </c>
      <c r="V463" s="46"/>
      <c r="W463" s="46"/>
      <c r="X463" s="46"/>
    </row>
    <row r="464" spans="1:24" ht="15" customHeight="1">
      <c r="A464" s="143" t="str">
        <f t="shared" si="29"/>
        <v>AKH12345</v>
      </c>
      <c r="B464" s="260" t="s">
        <v>1329</v>
      </c>
      <c r="C464" s="8" t="s">
        <v>1330</v>
      </c>
      <c r="D464" s="105"/>
      <c r="E464" s="106"/>
      <c r="F464" s="105"/>
      <c r="G464" s="106"/>
      <c r="H464" s="6" t="s">
        <v>1331</v>
      </c>
      <c r="I464" s="6" t="s">
        <v>1233</v>
      </c>
      <c r="J464" s="6" t="s">
        <v>1309</v>
      </c>
      <c r="K464" s="6" t="s">
        <v>1235</v>
      </c>
      <c r="L464" s="207" t="s">
        <v>1235</v>
      </c>
      <c r="M464" s="145" t="str">
        <f t="shared" si="31"/>
        <v>OneCo Networks AS</v>
      </c>
      <c r="N46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4" s="268" t="str">
        <f ca="1">IFERROR(IF(
OR(Table1[[#This Row],[Product category]]="Service items",Table1[[#This Row],[Product category]]="Additional services",Table1[[#This Row],[Product category]]="Additional materials"),
"NOK",IF(($N$3&lt;&gt;""),VLOOKUP(Table1[[#This Row],[Product code]],INDIRECT(Aux!$A$1),6,FALSE),"")),"")</f>
        <v>NOK</v>
      </c>
      <c r="P464" s="41" t="str">
        <f ca="1">IFERROR(IF(AND(Table1[[#This Row],[Quantity]]&lt;&gt;"",Table1[[#This Row],[Currency]]="NOK"),Table1[[#This Row],[Quantity]]*Table1[[#This Row],[Unit Price]],""),"")</f>
        <v/>
      </c>
      <c r="Q464" s="41" t="str">
        <f ca="1">IFERROR(IF(AND(Table1[[#This Row],[ACT_Qty]]&lt;&gt;"",Table1[[#This Row],[Currency]]="NOK"),Table1[[#This Row],[ACT_Qty]]*Table1[[#This Row],[Unit Price]],""),"")</f>
        <v/>
      </c>
      <c r="R464" s="41" t="str">
        <f ca="1">IFERROR(IF(AND(Table1[[#This Row],[Quantity]]&lt;&gt;"",Table1[[#This Row],[Currency]]="EUR"),Table1[[#This Row],[Quantity]]*Table1[[#This Row],[Unit Price]],""),"")</f>
        <v/>
      </c>
      <c r="S464" s="41" t="str">
        <f ca="1">IFERROR(IF(AND(Table1[[#This Row],[ACT_Qty]]&lt;&gt;"",Table1[[#This Row],[Currency]]="EUR"),Table1[[#This Row],[ACT_Qty]]*Table1[[#This Row],[Unit Price]],""),"")</f>
        <v/>
      </c>
      <c r="T464" s="269" t="str">
        <f ca="1">IFERROR(IF(AND(($N$3&lt;&gt;""),INDIRECT(Aux!$D$1)),VLOOKUP(Table1[[#This Row],[Product code]],Aux!B:E,4,FALSE),""),"")</f>
        <v/>
      </c>
      <c r="U464" s="145" t="str">
        <f>IFERROR(IF(OR(Table1[[#This Row],[Quantity]]&lt;&gt;"",Table1[[#This Row],[ACT_Qty]]&lt;&gt;""),Table1[[#This Row],[ACT_Qty]]-Table1[[#This Row],[Quantity]],""),"")</f>
        <v/>
      </c>
      <c r="V464" s="45"/>
      <c r="W464" s="45"/>
      <c r="X464" s="45"/>
    </row>
    <row r="465" spans="1:24" ht="15" customHeight="1">
      <c r="A465" s="233" t="str">
        <f t="shared" si="29"/>
        <v>AKH12345</v>
      </c>
      <c r="B465" s="261" t="s">
        <v>1332</v>
      </c>
      <c r="C465" s="7" t="s">
        <v>1333</v>
      </c>
      <c r="D465" s="105"/>
      <c r="E465" s="89"/>
      <c r="F465" s="68"/>
      <c r="G465" s="89"/>
      <c r="H465" s="5" t="s">
        <v>1331</v>
      </c>
      <c r="I465" s="5" t="s">
        <v>1233</v>
      </c>
      <c r="J465" s="5" t="s">
        <v>1309</v>
      </c>
      <c r="K465" s="5" t="s">
        <v>1235</v>
      </c>
      <c r="L465" s="208" t="s">
        <v>1235</v>
      </c>
      <c r="M465" s="148" t="str">
        <f t="shared" si="31"/>
        <v>OneCo Networks AS</v>
      </c>
      <c r="N465"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5" s="270" t="str">
        <f ca="1">IFERROR(IF(
OR(Table1[[#This Row],[Product category]]="Service items",Table1[[#This Row],[Product category]]="Additional services",Table1[[#This Row],[Product category]]="Additional materials"),
"NOK",IF(($N$3&lt;&gt;""),VLOOKUP(Table1[[#This Row],[Product code]],INDIRECT(Aux!$A$1),6,FALSE),"")),"")</f>
        <v>NOK</v>
      </c>
      <c r="P465" s="43" t="str">
        <f ca="1">IFERROR(IF(AND(Table1[[#This Row],[Quantity]]&lt;&gt;"",Table1[[#This Row],[Currency]]="NOK"),Table1[[#This Row],[Quantity]]*Table1[[#This Row],[Unit Price]],""),"")</f>
        <v/>
      </c>
      <c r="Q465" s="43" t="str">
        <f ca="1">IFERROR(IF(AND(Table1[[#This Row],[ACT_Qty]]&lt;&gt;"",Table1[[#This Row],[Currency]]="NOK"),Table1[[#This Row],[ACT_Qty]]*Table1[[#This Row],[Unit Price]],""),"")</f>
        <v/>
      </c>
      <c r="R465" s="43" t="str">
        <f ca="1">IFERROR(IF(AND(Table1[[#This Row],[Quantity]]&lt;&gt;"",Table1[[#This Row],[Currency]]="EUR"),Table1[[#This Row],[Quantity]]*Table1[[#This Row],[Unit Price]],""),"")</f>
        <v/>
      </c>
      <c r="S465" s="43" t="str">
        <f ca="1">IFERROR(IF(AND(Table1[[#This Row],[ACT_Qty]]&lt;&gt;"",Table1[[#This Row],[Currency]]="EUR"),Table1[[#This Row],[ACT_Qty]]*Table1[[#This Row],[Unit Price]],""),"")</f>
        <v/>
      </c>
      <c r="T465" s="271" t="str">
        <f ca="1">IFERROR(IF(AND(($N$3&lt;&gt;""),INDIRECT(Aux!$D$1)),VLOOKUP(Table1[[#This Row],[Product code]],Aux!B:E,4,FALSE),""),"")</f>
        <v/>
      </c>
      <c r="U465" s="148" t="str">
        <f>IFERROR(IF(OR(Table1[[#This Row],[Quantity]]&lt;&gt;"",Table1[[#This Row],[ACT_Qty]]&lt;&gt;""),Table1[[#This Row],[ACT_Qty]]-Table1[[#This Row],[Quantity]],""),"")</f>
        <v/>
      </c>
      <c r="V465" s="46"/>
      <c r="W465" s="46"/>
      <c r="X465" s="46"/>
    </row>
    <row r="466" spans="1:24" ht="15" customHeight="1">
      <c r="A466" s="143" t="str">
        <f t="shared" si="29"/>
        <v>AKH12345</v>
      </c>
      <c r="B466" s="260" t="s">
        <v>1334</v>
      </c>
      <c r="C466" s="8" t="s">
        <v>1335</v>
      </c>
      <c r="D466" s="105"/>
      <c r="E466" s="106"/>
      <c r="F466" s="105"/>
      <c r="G466" s="106"/>
      <c r="H466" s="6" t="s">
        <v>1331</v>
      </c>
      <c r="I466" s="6" t="s">
        <v>1233</v>
      </c>
      <c r="J466" s="6" t="s">
        <v>1309</v>
      </c>
      <c r="K466" s="6" t="s">
        <v>1235</v>
      </c>
      <c r="L466" s="207" t="s">
        <v>1235</v>
      </c>
      <c r="M466" s="145" t="str">
        <f t="shared" si="31"/>
        <v>OneCo Networks AS</v>
      </c>
      <c r="N46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6" s="268" t="str">
        <f ca="1">IFERROR(IF(
OR(Table1[[#This Row],[Product category]]="Service items",Table1[[#This Row],[Product category]]="Additional services",Table1[[#This Row],[Product category]]="Additional materials"),
"NOK",IF(($N$3&lt;&gt;""),VLOOKUP(Table1[[#This Row],[Product code]],INDIRECT(Aux!$A$1),6,FALSE),"")),"")</f>
        <v>NOK</v>
      </c>
      <c r="P466" s="41" t="str">
        <f ca="1">IFERROR(IF(AND(Table1[[#This Row],[Quantity]]&lt;&gt;"",Table1[[#This Row],[Currency]]="NOK"),Table1[[#This Row],[Quantity]]*Table1[[#This Row],[Unit Price]],""),"")</f>
        <v/>
      </c>
      <c r="Q466" s="41" t="str">
        <f ca="1">IFERROR(IF(AND(Table1[[#This Row],[ACT_Qty]]&lt;&gt;"",Table1[[#This Row],[Currency]]="NOK"),Table1[[#This Row],[ACT_Qty]]*Table1[[#This Row],[Unit Price]],""),"")</f>
        <v/>
      </c>
      <c r="R466" s="41" t="str">
        <f ca="1">IFERROR(IF(AND(Table1[[#This Row],[Quantity]]&lt;&gt;"",Table1[[#This Row],[Currency]]="EUR"),Table1[[#This Row],[Quantity]]*Table1[[#This Row],[Unit Price]],""),"")</f>
        <v/>
      </c>
      <c r="S466" s="41" t="str">
        <f ca="1">IFERROR(IF(AND(Table1[[#This Row],[ACT_Qty]]&lt;&gt;"",Table1[[#This Row],[Currency]]="EUR"),Table1[[#This Row],[ACT_Qty]]*Table1[[#This Row],[Unit Price]],""),"")</f>
        <v/>
      </c>
      <c r="T466" s="269" t="str">
        <f ca="1">IFERROR(IF(AND(($N$3&lt;&gt;""),INDIRECT(Aux!$D$1)),VLOOKUP(Table1[[#This Row],[Product code]],Aux!B:E,4,FALSE),""),"")</f>
        <v/>
      </c>
      <c r="U466" s="145" t="str">
        <f>IFERROR(IF(OR(Table1[[#This Row],[Quantity]]&lt;&gt;"",Table1[[#This Row],[ACT_Qty]]&lt;&gt;""),Table1[[#This Row],[ACT_Qty]]-Table1[[#This Row],[Quantity]],""),"")</f>
        <v/>
      </c>
      <c r="V466" s="45"/>
      <c r="W466" s="45"/>
      <c r="X466" s="45"/>
    </row>
    <row r="467" spans="1:24" ht="15" customHeight="1">
      <c r="A467" s="233" t="str">
        <f t="shared" si="29"/>
        <v>AKH12345</v>
      </c>
      <c r="B467" s="261" t="s">
        <v>1336</v>
      </c>
      <c r="C467" s="7" t="s">
        <v>1337</v>
      </c>
      <c r="D467" s="105"/>
      <c r="E467" s="89"/>
      <c r="F467" s="68"/>
      <c r="G467" s="89"/>
      <c r="H467" s="5" t="s">
        <v>1331</v>
      </c>
      <c r="I467" s="5" t="s">
        <v>1233</v>
      </c>
      <c r="J467" s="5" t="s">
        <v>1309</v>
      </c>
      <c r="K467" s="5" t="s">
        <v>1235</v>
      </c>
      <c r="L467" s="208" t="s">
        <v>1235</v>
      </c>
      <c r="M467" s="148" t="str">
        <f t="shared" si="31"/>
        <v>OneCo Networks AS</v>
      </c>
      <c r="N467"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7" s="270" t="str">
        <f ca="1">IFERROR(IF(
OR(Table1[[#This Row],[Product category]]="Service items",Table1[[#This Row],[Product category]]="Additional services",Table1[[#This Row],[Product category]]="Additional materials"),
"NOK",IF(($N$3&lt;&gt;""),VLOOKUP(Table1[[#This Row],[Product code]],INDIRECT(Aux!$A$1),6,FALSE),"")),"")</f>
        <v>NOK</v>
      </c>
      <c r="P467" s="43" t="str">
        <f ca="1">IFERROR(IF(AND(Table1[[#This Row],[Quantity]]&lt;&gt;"",Table1[[#This Row],[Currency]]="NOK"),Table1[[#This Row],[Quantity]]*Table1[[#This Row],[Unit Price]],""),"")</f>
        <v/>
      </c>
      <c r="Q467" s="43" t="str">
        <f ca="1">IFERROR(IF(AND(Table1[[#This Row],[ACT_Qty]]&lt;&gt;"",Table1[[#This Row],[Currency]]="NOK"),Table1[[#This Row],[ACT_Qty]]*Table1[[#This Row],[Unit Price]],""),"")</f>
        <v/>
      </c>
      <c r="R467" s="43" t="str">
        <f ca="1">IFERROR(IF(AND(Table1[[#This Row],[Quantity]]&lt;&gt;"",Table1[[#This Row],[Currency]]="EUR"),Table1[[#This Row],[Quantity]]*Table1[[#This Row],[Unit Price]],""),"")</f>
        <v/>
      </c>
      <c r="S467" s="43" t="str">
        <f ca="1">IFERROR(IF(AND(Table1[[#This Row],[ACT_Qty]]&lt;&gt;"",Table1[[#This Row],[Currency]]="EUR"),Table1[[#This Row],[ACT_Qty]]*Table1[[#This Row],[Unit Price]],""),"")</f>
        <v/>
      </c>
      <c r="T467" s="271" t="str">
        <f ca="1">IFERROR(IF(AND(($N$3&lt;&gt;""),INDIRECT(Aux!$D$1)),VLOOKUP(Table1[[#This Row],[Product code]],Aux!B:E,4,FALSE),""),"")</f>
        <v/>
      </c>
      <c r="U467" s="148" t="str">
        <f>IFERROR(IF(OR(Table1[[#This Row],[Quantity]]&lt;&gt;"",Table1[[#This Row],[ACT_Qty]]&lt;&gt;""),Table1[[#This Row],[ACT_Qty]]-Table1[[#This Row],[Quantity]],""),"")</f>
        <v/>
      </c>
      <c r="V467" s="46"/>
      <c r="W467" s="46"/>
      <c r="X467" s="46"/>
    </row>
    <row r="468" spans="1:24" ht="15" customHeight="1">
      <c r="A468" s="143" t="str">
        <f t="shared" si="29"/>
        <v>AKH12345</v>
      </c>
      <c r="B468" s="260" t="s">
        <v>1338</v>
      </c>
      <c r="C468" s="8" t="s">
        <v>1339</v>
      </c>
      <c r="D468" s="105"/>
      <c r="E468" s="106"/>
      <c r="F468" s="105"/>
      <c r="G468" s="106"/>
      <c r="H468" s="6" t="s">
        <v>1331</v>
      </c>
      <c r="I468" s="6" t="s">
        <v>1233</v>
      </c>
      <c r="J468" s="6" t="s">
        <v>1309</v>
      </c>
      <c r="K468" s="6" t="s">
        <v>1235</v>
      </c>
      <c r="L468" s="207" t="s">
        <v>1235</v>
      </c>
      <c r="M468" s="145" t="str">
        <f t="shared" si="31"/>
        <v>OneCo Networks AS</v>
      </c>
      <c r="N46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8" s="268" t="str">
        <f ca="1">IFERROR(IF(
OR(Table1[[#This Row],[Product category]]="Service items",Table1[[#This Row],[Product category]]="Additional services",Table1[[#This Row],[Product category]]="Additional materials"),
"NOK",IF(($N$3&lt;&gt;""),VLOOKUP(Table1[[#This Row],[Product code]],INDIRECT(Aux!$A$1),6,FALSE),"")),"")</f>
        <v>NOK</v>
      </c>
      <c r="P468" s="41" t="str">
        <f ca="1">IFERROR(IF(AND(Table1[[#This Row],[Quantity]]&lt;&gt;"",Table1[[#This Row],[Currency]]="NOK"),Table1[[#This Row],[Quantity]]*Table1[[#This Row],[Unit Price]],""),"")</f>
        <v/>
      </c>
      <c r="Q468" s="41" t="str">
        <f ca="1">IFERROR(IF(AND(Table1[[#This Row],[ACT_Qty]]&lt;&gt;"",Table1[[#This Row],[Currency]]="NOK"),Table1[[#This Row],[ACT_Qty]]*Table1[[#This Row],[Unit Price]],""),"")</f>
        <v/>
      </c>
      <c r="R468" s="41" t="str">
        <f ca="1">IFERROR(IF(AND(Table1[[#This Row],[Quantity]]&lt;&gt;"",Table1[[#This Row],[Currency]]="EUR"),Table1[[#This Row],[Quantity]]*Table1[[#This Row],[Unit Price]],""),"")</f>
        <v/>
      </c>
      <c r="S468" s="41" t="str">
        <f ca="1">IFERROR(IF(AND(Table1[[#This Row],[ACT_Qty]]&lt;&gt;"",Table1[[#This Row],[Currency]]="EUR"),Table1[[#This Row],[ACT_Qty]]*Table1[[#This Row],[Unit Price]],""),"")</f>
        <v/>
      </c>
      <c r="T468" s="269" t="str">
        <f ca="1">IFERROR(IF(AND(($N$3&lt;&gt;""),INDIRECT(Aux!$D$1)),VLOOKUP(Table1[[#This Row],[Product code]],Aux!B:E,4,FALSE),""),"")</f>
        <v/>
      </c>
      <c r="U468" s="145" t="str">
        <f>IFERROR(IF(OR(Table1[[#This Row],[Quantity]]&lt;&gt;"",Table1[[#This Row],[ACT_Qty]]&lt;&gt;""),Table1[[#This Row],[ACT_Qty]]-Table1[[#This Row],[Quantity]],""),"")</f>
        <v/>
      </c>
      <c r="V468" s="45"/>
      <c r="W468" s="45"/>
      <c r="X468" s="45"/>
    </row>
    <row r="469" spans="1:24" ht="15" customHeight="1">
      <c r="A469" s="233" t="str">
        <f t="shared" si="29"/>
        <v>AKH12345</v>
      </c>
      <c r="B469" s="261" t="s">
        <v>1340</v>
      </c>
      <c r="C469" s="7" t="s">
        <v>1341</v>
      </c>
      <c r="D469" s="105"/>
      <c r="E469" s="89"/>
      <c r="F469" s="68"/>
      <c r="G469" s="89"/>
      <c r="H469" s="5" t="s">
        <v>1331</v>
      </c>
      <c r="I469" s="5" t="s">
        <v>1233</v>
      </c>
      <c r="J469" s="5" t="s">
        <v>1309</v>
      </c>
      <c r="K469" s="5" t="s">
        <v>1235</v>
      </c>
      <c r="L469" s="208" t="s">
        <v>1235</v>
      </c>
      <c r="M469" s="148" t="str">
        <f t="shared" si="31"/>
        <v>OneCo Networks AS</v>
      </c>
      <c r="N469"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69" s="270" t="str">
        <f ca="1">IFERROR(IF(
OR(Table1[[#This Row],[Product category]]="Service items",Table1[[#This Row],[Product category]]="Additional services",Table1[[#This Row],[Product category]]="Additional materials"),
"NOK",IF(($N$3&lt;&gt;""),VLOOKUP(Table1[[#This Row],[Product code]],INDIRECT(Aux!$A$1),6,FALSE),"")),"")</f>
        <v>NOK</v>
      </c>
      <c r="P469" s="43" t="str">
        <f ca="1">IFERROR(IF(AND(Table1[[#This Row],[Quantity]]&lt;&gt;"",Table1[[#This Row],[Currency]]="NOK"),Table1[[#This Row],[Quantity]]*Table1[[#This Row],[Unit Price]],""),"")</f>
        <v/>
      </c>
      <c r="Q469" s="43" t="str">
        <f ca="1">IFERROR(IF(AND(Table1[[#This Row],[ACT_Qty]]&lt;&gt;"",Table1[[#This Row],[Currency]]="NOK"),Table1[[#This Row],[ACT_Qty]]*Table1[[#This Row],[Unit Price]],""),"")</f>
        <v/>
      </c>
      <c r="R469" s="43" t="str">
        <f ca="1">IFERROR(IF(AND(Table1[[#This Row],[Quantity]]&lt;&gt;"",Table1[[#This Row],[Currency]]="EUR"),Table1[[#This Row],[Quantity]]*Table1[[#This Row],[Unit Price]],""),"")</f>
        <v/>
      </c>
      <c r="S469" s="43" t="str">
        <f ca="1">IFERROR(IF(AND(Table1[[#This Row],[ACT_Qty]]&lt;&gt;"",Table1[[#This Row],[Currency]]="EUR"),Table1[[#This Row],[ACT_Qty]]*Table1[[#This Row],[Unit Price]],""),"")</f>
        <v/>
      </c>
      <c r="T469" s="271" t="str">
        <f ca="1">IFERROR(IF(AND(($N$3&lt;&gt;""),INDIRECT(Aux!$D$1)),VLOOKUP(Table1[[#This Row],[Product code]],Aux!B:E,4,FALSE),""),"")</f>
        <v/>
      </c>
      <c r="U469" s="148" t="str">
        <f>IFERROR(IF(OR(Table1[[#This Row],[Quantity]]&lt;&gt;"",Table1[[#This Row],[ACT_Qty]]&lt;&gt;""),Table1[[#This Row],[ACT_Qty]]-Table1[[#This Row],[Quantity]],""),"")</f>
        <v/>
      </c>
      <c r="V469" s="46"/>
      <c r="W469" s="46"/>
      <c r="X469" s="46"/>
    </row>
    <row r="470" spans="1:24" ht="15" customHeight="1">
      <c r="A470" s="143" t="str">
        <f t="shared" si="29"/>
        <v>AKH12345</v>
      </c>
      <c r="B470" s="260" t="s">
        <v>1342</v>
      </c>
      <c r="C470" s="8" t="s">
        <v>1343</v>
      </c>
      <c r="D470" s="105"/>
      <c r="E470" s="106"/>
      <c r="F470" s="105"/>
      <c r="G470" s="106"/>
      <c r="H470" s="6" t="s">
        <v>1331</v>
      </c>
      <c r="I470" s="6" t="s">
        <v>1233</v>
      </c>
      <c r="J470" s="6" t="s">
        <v>1309</v>
      </c>
      <c r="K470" s="6" t="s">
        <v>1235</v>
      </c>
      <c r="L470" s="207" t="s">
        <v>1235</v>
      </c>
      <c r="M470" s="145" t="str">
        <f t="shared" si="31"/>
        <v>OneCo Networks AS</v>
      </c>
      <c r="N47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0" s="268" t="str">
        <f ca="1">IFERROR(IF(
OR(Table1[[#This Row],[Product category]]="Service items",Table1[[#This Row],[Product category]]="Additional services",Table1[[#This Row],[Product category]]="Additional materials"),
"NOK",IF(($N$3&lt;&gt;""),VLOOKUP(Table1[[#This Row],[Product code]],INDIRECT(Aux!$A$1),6,FALSE),"")),"")</f>
        <v>NOK</v>
      </c>
      <c r="P470" s="41" t="str">
        <f ca="1">IFERROR(IF(AND(Table1[[#This Row],[Quantity]]&lt;&gt;"",Table1[[#This Row],[Currency]]="NOK"),Table1[[#This Row],[Quantity]]*Table1[[#This Row],[Unit Price]],""),"")</f>
        <v/>
      </c>
      <c r="Q470" s="41" t="str">
        <f ca="1">IFERROR(IF(AND(Table1[[#This Row],[ACT_Qty]]&lt;&gt;"",Table1[[#This Row],[Currency]]="NOK"),Table1[[#This Row],[ACT_Qty]]*Table1[[#This Row],[Unit Price]],""),"")</f>
        <v/>
      </c>
      <c r="R470" s="41" t="str">
        <f ca="1">IFERROR(IF(AND(Table1[[#This Row],[Quantity]]&lt;&gt;"",Table1[[#This Row],[Currency]]="EUR"),Table1[[#This Row],[Quantity]]*Table1[[#This Row],[Unit Price]],""),"")</f>
        <v/>
      </c>
      <c r="S470" s="41" t="str">
        <f ca="1">IFERROR(IF(AND(Table1[[#This Row],[ACT_Qty]]&lt;&gt;"",Table1[[#This Row],[Currency]]="EUR"),Table1[[#This Row],[ACT_Qty]]*Table1[[#This Row],[Unit Price]],""),"")</f>
        <v/>
      </c>
      <c r="T470" s="269" t="str">
        <f ca="1">IFERROR(IF(AND(($N$3&lt;&gt;""),INDIRECT(Aux!$D$1)),VLOOKUP(Table1[[#This Row],[Product code]],Aux!B:E,4,FALSE),""),"")</f>
        <v/>
      </c>
      <c r="U470" s="145" t="str">
        <f>IFERROR(IF(OR(Table1[[#This Row],[Quantity]]&lt;&gt;"",Table1[[#This Row],[ACT_Qty]]&lt;&gt;""),Table1[[#This Row],[ACT_Qty]]-Table1[[#This Row],[Quantity]],""),"")</f>
        <v/>
      </c>
      <c r="V470" s="45"/>
      <c r="W470" s="45"/>
      <c r="X470" s="45"/>
    </row>
    <row r="471" spans="1:24" ht="15" customHeight="1">
      <c r="A471" s="233" t="str">
        <f t="shared" si="29"/>
        <v>AKH12345</v>
      </c>
      <c r="B471" s="261" t="s">
        <v>1344</v>
      </c>
      <c r="C471" s="7" t="s">
        <v>1345</v>
      </c>
      <c r="D471" s="105"/>
      <c r="E471" s="89"/>
      <c r="F471" s="68"/>
      <c r="G471" s="89"/>
      <c r="H471" s="5" t="s">
        <v>1331</v>
      </c>
      <c r="I471" s="5" t="s">
        <v>1233</v>
      </c>
      <c r="J471" s="5" t="s">
        <v>1309</v>
      </c>
      <c r="K471" s="5" t="s">
        <v>1235</v>
      </c>
      <c r="L471" s="208" t="s">
        <v>1235</v>
      </c>
      <c r="M471" s="148" t="str">
        <f t="shared" si="31"/>
        <v>OneCo Networks AS</v>
      </c>
      <c r="N471"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1" s="270" t="str">
        <f ca="1">IFERROR(IF(
OR(Table1[[#This Row],[Product category]]="Service items",Table1[[#This Row],[Product category]]="Additional services",Table1[[#This Row],[Product category]]="Additional materials"),
"NOK",IF(($N$3&lt;&gt;""),VLOOKUP(Table1[[#This Row],[Product code]],INDIRECT(Aux!$A$1),6,FALSE),"")),"")</f>
        <v>NOK</v>
      </c>
      <c r="P471" s="43" t="str">
        <f ca="1">IFERROR(IF(AND(Table1[[#This Row],[Quantity]]&lt;&gt;"",Table1[[#This Row],[Currency]]="NOK"),Table1[[#This Row],[Quantity]]*Table1[[#This Row],[Unit Price]],""),"")</f>
        <v/>
      </c>
      <c r="Q471" s="43" t="str">
        <f ca="1">IFERROR(IF(AND(Table1[[#This Row],[ACT_Qty]]&lt;&gt;"",Table1[[#This Row],[Currency]]="NOK"),Table1[[#This Row],[ACT_Qty]]*Table1[[#This Row],[Unit Price]],""),"")</f>
        <v/>
      </c>
      <c r="R471" s="43" t="str">
        <f ca="1">IFERROR(IF(AND(Table1[[#This Row],[Quantity]]&lt;&gt;"",Table1[[#This Row],[Currency]]="EUR"),Table1[[#This Row],[Quantity]]*Table1[[#This Row],[Unit Price]],""),"")</f>
        <v/>
      </c>
      <c r="S471" s="43" t="str">
        <f ca="1">IFERROR(IF(AND(Table1[[#This Row],[ACT_Qty]]&lt;&gt;"",Table1[[#This Row],[Currency]]="EUR"),Table1[[#This Row],[ACT_Qty]]*Table1[[#This Row],[Unit Price]],""),"")</f>
        <v/>
      </c>
      <c r="T471" s="271" t="str">
        <f ca="1">IFERROR(IF(AND(($N$3&lt;&gt;""),INDIRECT(Aux!$D$1)),VLOOKUP(Table1[[#This Row],[Product code]],Aux!B:E,4,FALSE),""),"")</f>
        <v/>
      </c>
      <c r="U471" s="148" t="str">
        <f>IFERROR(IF(OR(Table1[[#This Row],[Quantity]]&lt;&gt;"",Table1[[#This Row],[ACT_Qty]]&lt;&gt;""),Table1[[#This Row],[ACT_Qty]]-Table1[[#This Row],[Quantity]],""),"")</f>
        <v/>
      </c>
      <c r="V471" s="46"/>
      <c r="W471" s="46"/>
      <c r="X471" s="46"/>
    </row>
    <row r="472" spans="1:24" ht="15" customHeight="1">
      <c r="A472" s="143" t="str">
        <f t="shared" si="29"/>
        <v>AKH12345</v>
      </c>
      <c r="B472" s="260" t="s">
        <v>1346</v>
      </c>
      <c r="C472" s="8" t="s">
        <v>1347</v>
      </c>
      <c r="D472" s="105"/>
      <c r="E472" s="106"/>
      <c r="F472" s="105"/>
      <c r="G472" s="106"/>
      <c r="H472" s="6" t="s">
        <v>1331</v>
      </c>
      <c r="I472" s="6" t="s">
        <v>1233</v>
      </c>
      <c r="J472" s="6" t="s">
        <v>1309</v>
      </c>
      <c r="K472" s="6" t="s">
        <v>1235</v>
      </c>
      <c r="L472" s="207" t="s">
        <v>1235</v>
      </c>
      <c r="M472" s="145" t="str">
        <f t="shared" si="31"/>
        <v>OneCo Networks AS</v>
      </c>
      <c r="N47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2" s="268" t="str">
        <f ca="1">IFERROR(IF(
OR(Table1[[#This Row],[Product category]]="Service items",Table1[[#This Row],[Product category]]="Additional services",Table1[[#This Row],[Product category]]="Additional materials"),
"NOK",IF(($N$3&lt;&gt;""),VLOOKUP(Table1[[#This Row],[Product code]],INDIRECT(Aux!$A$1),6,FALSE),"")),"")</f>
        <v>NOK</v>
      </c>
      <c r="P472" s="41" t="str">
        <f ca="1">IFERROR(IF(AND(Table1[[#This Row],[Quantity]]&lt;&gt;"",Table1[[#This Row],[Currency]]="NOK"),Table1[[#This Row],[Quantity]]*Table1[[#This Row],[Unit Price]],""),"")</f>
        <v/>
      </c>
      <c r="Q472" s="41" t="str">
        <f ca="1">IFERROR(IF(AND(Table1[[#This Row],[ACT_Qty]]&lt;&gt;"",Table1[[#This Row],[Currency]]="NOK"),Table1[[#This Row],[ACT_Qty]]*Table1[[#This Row],[Unit Price]],""),"")</f>
        <v/>
      </c>
      <c r="R472" s="41" t="str">
        <f ca="1">IFERROR(IF(AND(Table1[[#This Row],[Quantity]]&lt;&gt;"",Table1[[#This Row],[Currency]]="EUR"),Table1[[#This Row],[Quantity]]*Table1[[#This Row],[Unit Price]],""),"")</f>
        <v/>
      </c>
      <c r="S472" s="41" t="str">
        <f ca="1">IFERROR(IF(AND(Table1[[#This Row],[ACT_Qty]]&lt;&gt;"",Table1[[#This Row],[Currency]]="EUR"),Table1[[#This Row],[ACT_Qty]]*Table1[[#This Row],[Unit Price]],""),"")</f>
        <v/>
      </c>
      <c r="T472" s="269" t="str">
        <f ca="1">IFERROR(IF(AND(($N$3&lt;&gt;""),INDIRECT(Aux!$D$1)),VLOOKUP(Table1[[#This Row],[Product code]],Aux!B:E,4,FALSE),""),"")</f>
        <v/>
      </c>
      <c r="U472" s="145" t="str">
        <f>IFERROR(IF(OR(Table1[[#This Row],[Quantity]]&lt;&gt;"",Table1[[#This Row],[ACT_Qty]]&lt;&gt;""),Table1[[#This Row],[ACT_Qty]]-Table1[[#This Row],[Quantity]],""),"")</f>
        <v/>
      </c>
      <c r="V472" s="45"/>
      <c r="W472" s="45"/>
      <c r="X472" s="45"/>
    </row>
    <row r="473" spans="1:24" ht="15" customHeight="1">
      <c r="A473" s="233" t="str">
        <f t="shared" si="29"/>
        <v>AKH12345</v>
      </c>
      <c r="B473" s="261" t="s">
        <v>1348</v>
      </c>
      <c r="C473" s="7" t="s">
        <v>1349</v>
      </c>
      <c r="D473" s="105"/>
      <c r="E473" s="89"/>
      <c r="F473" s="68"/>
      <c r="G473" s="89"/>
      <c r="H473" s="5" t="s">
        <v>1331</v>
      </c>
      <c r="I473" s="5" t="s">
        <v>1233</v>
      </c>
      <c r="J473" s="5" t="s">
        <v>1309</v>
      </c>
      <c r="K473" s="5" t="s">
        <v>1235</v>
      </c>
      <c r="L473" s="208" t="s">
        <v>1235</v>
      </c>
      <c r="M473" s="148" t="str">
        <f t="shared" si="31"/>
        <v>OneCo Networks AS</v>
      </c>
      <c r="N473"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3" s="270" t="str">
        <f ca="1">IFERROR(IF(
OR(Table1[[#This Row],[Product category]]="Service items",Table1[[#This Row],[Product category]]="Additional services",Table1[[#This Row],[Product category]]="Additional materials"),
"NOK",IF(($N$3&lt;&gt;""),VLOOKUP(Table1[[#This Row],[Product code]],INDIRECT(Aux!$A$1),6,FALSE),"")),"")</f>
        <v>NOK</v>
      </c>
      <c r="P473" s="43" t="str">
        <f ca="1">IFERROR(IF(AND(Table1[[#This Row],[Quantity]]&lt;&gt;"",Table1[[#This Row],[Currency]]="NOK"),Table1[[#This Row],[Quantity]]*Table1[[#This Row],[Unit Price]],""),"")</f>
        <v/>
      </c>
      <c r="Q473" s="43" t="str">
        <f ca="1">IFERROR(IF(AND(Table1[[#This Row],[ACT_Qty]]&lt;&gt;"",Table1[[#This Row],[Currency]]="NOK"),Table1[[#This Row],[ACT_Qty]]*Table1[[#This Row],[Unit Price]],""),"")</f>
        <v/>
      </c>
      <c r="R473" s="43" t="str">
        <f ca="1">IFERROR(IF(AND(Table1[[#This Row],[Quantity]]&lt;&gt;"",Table1[[#This Row],[Currency]]="EUR"),Table1[[#This Row],[Quantity]]*Table1[[#This Row],[Unit Price]],""),"")</f>
        <v/>
      </c>
      <c r="S473" s="43" t="str">
        <f ca="1">IFERROR(IF(AND(Table1[[#This Row],[ACT_Qty]]&lt;&gt;"",Table1[[#This Row],[Currency]]="EUR"),Table1[[#This Row],[ACT_Qty]]*Table1[[#This Row],[Unit Price]],""),"")</f>
        <v/>
      </c>
      <c r="T473" s="271" t="str">
        <f ca="1">IFERROR(IF(AND(($N$3&lt;&gt;""),INDIRECT(Aux!$D$1)),VLOOKUP(Table1[[#This Row],[Product code]],Aux!B:E,4,FALSE),""),"")</f>
        <v/>
      </c>
      <c r="U473" s="148" t="str">
        <f>IFERROR(IF(OR(Table1[[#This Row],[Quantity]]&lt;&gt;"",Table1[[#This Row],[ACT_Qty]]&lt;&gt;""),Table1[[#This Row],[ACT_Qty]]-Table1[[#This Row],[Quantity]],""),"")</f>
        <v/>
      </c>
      <c r="V473" s="46"/>
      <c r="W473" s="46"/>
      <c r="X473" s="46"/>
    </row>
    <row r="474" spans="1:24" ht="15" customHeight="1">
      <c r="A474" s="143" t="str">
        <f t="shared" si="29"/>
        <v>AKH12345</v>
      </c>
      <c r="B474" s="260" t="s">
        <v>1350</v>
      </c>
      <c r="C474" s="8" t="s">
        <v>1351</v>
      </c>
      <c r="D474" s="105"/>
      <c r="E474" s="106"/>
      <c r="F474" s="105"/>
      <c r="G474" s="106"/>
      <c r="H474" s="6" t="s">
        <v>1352</v>
      </c>
      <c r="I474" s="6" t="s">
        <v>1233</v>
      </c>
      <c r="J474" s="6" t="s">
        <v>1309</v>
      </c>
      <c r="K474" s="6" t="s">
        <v>1235</v>
      </c>
      <c r="L474" s="207" t="s">
        <v>1235</v>
      </c>
      <c r="M474" s="145" t="str">
        <f t="shared" si="31"/>
        <v>OneCo Networks AS</v>
      </c>
      <c r="N47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4" s="268" t="str">
        <f ca="1">IFERROR(IF(
OR(Table1[[#This Row],[Product category]]="Service items",Table1[[#This Row],[Product category]]="Additional services",Table1[[#This Row],[Product category]]="Additional materials"),
"NOK",IF(($N$3&lt;&gt;""),VLOOKUP(Table1[[#This Row],[Product code]],INDIRECT(Aux!$A$1),6,FALSE),"")),"")</f>
        <v>NOK</v>
      </c>
      <c r="P474" s="41" t="str">
        <f ca="1">IFERROR(IF(AND(Table1[[#This Row],[Quantity]]&lt;&gt;"",Table1[[#This Row],[Currency]]="NOK"),Table1[[#This Row],[Quantity]]*Table1[[#This Row],[Unit Price]],""),"")</f>
        <v/>
      </c>
      <c r="Q474" s="41" t="str">
        <f ca="1">IFERROR(IF(AND(Table1[[#This Row],[ACT_Qty]]&lt;&gt;"",Table1[[#This Row],[Currency]]="NOK"),Table1[[#This Row],[ACT_Qty]]*Table1[[#This Row],[Unit Price]],""),"")</f>
        <v/>
      </c>
      <c r="R474" s="41" t="str">
        <f ca="1">IFERROR(IF(AND(Table1[[#This Row],[Quantity]]&lt;&gt;"",Table1[[#This Row],[Currency]]="EUR"),Table1[[#This Row],[Quantity]]*Table1[[#This Row],[Unit Price]],""),"")</f>
        <v/>
      </c>
      <c r="S474" s="41" t="str">
        <f ca="1">IFERROR(IF(AND(Table1[[#This Row],[ACT_Qty]]&lt;&gt;"",Table1[[#This Row],[Currency]]="EUR"),Table1[[#This Row],[ACT_Qty]]*Table1[[#This Row],[Unit Price]],""),"")</f>
        <v/>
      </c>
      <c r="T474" s="269" t="str">
        <f ca="1">IFERROR(IF(AND(($N$3&lt;&gt;""),INDIRECT(Aux!$D$1)),VLOOKUP(Table1[[#This Row],[Product code]],Aux!B:E,4,FALSE),""),"")</f>
        <v/>
      </c>
      <c r="U474" s="145" t="str">
        <f>IFERROR(IF(OR(Table1[[#This Row],[Quantity]]&lt;&gt;"",Table1[[#This Row],[ACT_Qty]]&lt;&gt;""),Table1[[#This Row],[ACT_Qty]]-Table1[[#This Row],[Quantity]],""),"")</f>
        <v/>
      </c>
      <c r="V474" s="45"/>
      <c r="W474" s="45"/>
      <c r="X474" s="45"/>
    </row>
    <row r="475" spans="1:24" ht="15" customHeight="1">
      <c r="A475" s="233" t="str">
        <f t="shared" si="29"/>
        <v>AKH12345</v>
      </c>
      <c r="B475" s="261" t="s">
        <v>1353</v>
      </c>
      <c r="C475" s="7" t="s">
        <v>1354</v>
      </c>
      <c r="D475" s="105"/>
      <c r="E475" s="89" t="s">
        <v>1355</v>
      </c>
      <c r="F475" s="68"/>
      <c r="G475" s="89"/>
      <c r="H475" s="5" t="s">
        <v>1356</v>
      </c>
      <c r="I475" s="5" t="s">
        <v>1233</v>
      </c>
      <c r="J475" s="5" t="s">
        <v>1309</v>
      </c>
      <c r="K475" s="5" t="s">
        <v>1235</v>
      </c>
      <c r="L475" s="208" t="s">
        <v>1235</v>
      </c>
      <c r="M475" s="148" t="str">
        <f t="shared" si="31"/>
        <v>OneCo Networks AS</v>
      </c>
      <c r="N475"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5" s="270" t="str">
        <f ca="1">IFERROR(IF(
OR(Table1[[#This Row],[Product category]]="Service items",Table1[[#This Row],[Product category]]="Additional services",Table1[[#This Row],[Product category]]="Additional materials"),
"NOK",IF(($N$3&lt;&gt;""),VLOOKUP(Table1[[#This Row],[Product code]],INDIRECT(Aux!$A$1),6,FALSE),"")),"")</f>
        <v>NOK</v>
      </c>
      <c r="P475" s="43" t="str">
        <f ca="1">IFERROR(IF(AND(Table1[[#This Row],[Quantity]]&lt;&gt;"",Table1[[#This Row],[Currency]]="NOK"),Table1[[#This Row],[Quantity]]*Table1[[#This Row],[Unit Price]],""),"")</f>
        <v/>
      </c>
      <c r="Q475" s="43" t="str">
        <f ca="1">IFERROR(IF(AND(Table1[[#This Row],[ACT_Qty]]&lt;&gt;"",Table1[[#This Row],[Currency]]="NOK"),Table1[[#This Row],[ACT_Qty]]*Table1[[#This Row],[Unit Price]],""),"")</f>
        <v/>
      </c>
      <c r="R475" s="43" t="str">
        <f ca="1">IFERROR(IF(AND(Table1[[#This Row],[Quantity]]&lt;&gt;"",Table1[[#This Row],[Currency]]="EUR"),Table1[[#This Row],[Quantity]]*Table1[[#This Row],[Unit Price]],""),"")</f>
        <v/>
      </c>
      <c r="S475" s="43" t="str">
        <f ca="1">IFERROR(IF(AND(Table1[[#This Row],[ACT_Qty]]&lt;&gt;"",Table1[[#This Row],[Currency]]="EUR"),Table1[[#This Row],[ACT_Qty]]*Table1[[#This Row],[Unit Price]],""),"")</f>
        <v/>
      </c>
      <c r="T475" s="271" t="str">
        <f ca="1">IFERROR(IF(AND(($N$3&lt;&gt;""),INDIRECT(Aux!$D$1)),VLOOKUP(Table1[[#This Row],[Product code]],Aux!B:E,4,FALSE),""),"")</f>
        <v/>
      </c>
      <c r="U475" s="148" t="str">
        <f>IFERROR(IF(OR(Table1[[#This Row],[Quantity]]&lt;&gt;"",Table1[[#This Row],[ACT_Qty]]&lt;&gt;""),Table1[[#This Row],[ACT_Qty]]-Table1[[#This Row],[Quantity]],""),"")</f>
        <v/>
      </c>
      <c r="V475" s="46"/>
      <c r="W475" s="46"/>
      <c r="X475" s="46"/>
    </row>
    <row r="476" spans="1:24" ht="15" customHeight="1">
      <c r="A476" s="143" t="str">
        <f t="shared" si="29"/>
        <v>AKH12345</v>
      </c>
      <c r="B476" s="260" t="s">
        <v>1357</v>
      </c>
      <c r="C476" s="8" t="s">
        <v>1358</v>
      </c>
      <c r="D476" s="105"/>
      <c r="E476" s="106"/>
      <c r="F476" s="105"/>
      <c r="G476" s="106"/>
      <c r="H476" s="6" t="s">
        <v>1359</v>
      </c>
      <c r="I476" s="6" t="s">
        <v>1233</v>
      </c>
      <c r="J476" s="6" t="s">
        <v>1360</v>
      </c>
      <c r="K476" s="6" t="s">
        <v>1235</v>
      </c>
      <c r="L476" s="207" t="s">
        <v>1235</v>
      </c>
      <c r="M476" s="145" t="str">
        <f t="shared" si="31"/>
        <v>OneCo Networks AS</v>
      </c>
      <c r="N47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6" s="268" t="str">
        <f ca="1">IFERROR(IF(
OR(Table1[[#This Row],[Product category]]="Service items",Table1[[#This Row],[Product category]]="Additional services",Table1[[#This Row],[Product category]]="Additional materials"),
"NOK",IF(($N$3&lt;&gt;""),VLOOKUP(Table1[[#This Row],[Product code]],INDIRECT(Aux!$A$1),6,FALSE),"")),"")</f>
        <v>NOK</v>
      </c>
      <c r="P476" s="41" t="str">
        <f ca="1">IFERROR(IF(AND(Table1[[#This Row],[Quantity]]&lt;&gt;"",Table1[[#This Row],[Currency]]="NOK"),Table1[[#This Row],[Quantity]]*Table1[[#This Row],[Unit Price]],""),"")</f>
        <v/>
      </c>
      <c r="Q476" s="41" t="str">
        <f ca="1">IFERROR(IF(AND(Table1[[#This Row],[ACT_Qty]]&lt;&gt;"",Table1[[#This Row],[Currency]]="NOK"),Table1[[#This Row],[ACT_Qty]]*Table1[[#This Row],[Unit Price]],""),"")</f>
        <v/>
      </c>
      <c r="R476" s="41" t="str">
        <f ca="1">IFERROR(IF(AND(Table1[[#This Row],[Quantity]]&lt;&gt;"",Table1[[#This Row],[Currency]]="EUR"),Table1[[#This Row],[Quantity]]*Table1[[#This Row],[Unit Price]],""),"")</f>
        <v/>
      </c>
      <c r="S476" s="41" t="str">
        <f ca="1">IFERROR(IF(AND(Table1[[#This Row],[ACT_Qty]]&lt;&gt;"",Table1[[#This Row],[Currency]]="EUR"),Table1[[#This Row],[ACT_Qty]]*Table1[[#This Row],[Unit Price]],""),"")</f>
        <v/>
      </c>
      <c r="T476" s="269" t="str">
        <f ca="1">IFERROR(IF(AND(($N$3&lt;&gt;""),INDIRECT(Aux!$D$1)),VLOOKUP(Table1[[#This Row],[Product code]],Aux!B:E,4,FALSE),""),"")</f>
        <v/>
      </c>
      <c r="U476" s="145" t="str">
        <f>IFERROR(IF(OR(Table1[[#This Row],[Quantity]]&lt;&gt;"",Table1[[#This Row],[ACT_Qty]]&lt;&gt;""),Table1[[#This Row],[ACT_Qty]]-Table1[[#This Row],[Quantity]],""),"")</f>
        <v/>
      </c>
      <c r="V476" s="45"/>
      <c r="W476" s="45"/>
      <c r="X476" s="45"/>
    </row>
    <row r="477" spans="1:24" ht="15" customHeight="1">
      <c r="A477" s="233" t="str">
        <f t="shared" si="29"/>
        <v>AKH12345</v>
      </c>
      <c r="B477" s="261" t="s">
        <v>1361</v>
      </c>
      <c r="C477" s="7" t="s">
        <v>1362</v>
      </c>
      <c r="D477" s="105"/>
      <c r="E477" s="89"/>
      <c r="F477" s="68"/>
      <c r="G477" s="89"/>
      <c r="H477" s="5" t="s">
        <v>1359</v>
      </c>
      <c r="I477" s="5" t="s">
        <v>1233</v>
      </c>
      <c r="J477" s="5" t="s">
        <v>1360</v>
      </c>
      <c r="K477" s="5" t="s">
        <v>1235</v>
      </c>
      <c r="L477" s="208" t="s">
        <v>1235</v>
      </c>
      <c r="M477" s="148" t="str">
        <f t="shared" si="31"/>
        <v>OneCo Networks AS</v>
      </c>
      <c r="N477"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7" s="270" t="str">
        <f ca="1">IFERROR(IF(
OR(Table1[[#This Row],[Product category]]="Service items",Table1[[#This Row],[Product category]]="Additional services",Table1[[#This Row],[Product category]]="Additional materials"),
"NOK",IF(($N$3&lt;&gt;""),VLOOKUP(Table1[[#This Row],[Product code]],INDIRECT(Aux!$A$1),6,FALSE),"")),"")</f>
        <v>NOK</v>
      </c>
      <c r="P477" s="43" t="str">
        <f ca="1">IFERROR(IF(AND(Table1[[#This Row],[Quantity]]&lt;&gt;"",Table1[[#This Row],[Currency]]="NOK"),Table1[[#This Row],[Quantity]]*Table1[[#This Row],[Unit Price]],""),"")</f>
        <v/>
      </c>
      <c r="Q477" s="43" t="str">
        <f ca="1">IFERROR(IF(AND(Table1[[#This Row],[ACT_Qty]]&lt;&gt;"",Table1[[#This Row],[Currency]]="NOK"),Table1[[#This Row],[ACT_Qty]]*Table1[[#This Row],[Unit Price]],""),"")</f>
        <v/>
      </c>
      <c r="R477" s="43" t="str">
        <f ca="1">IFERROR(IF(AND(Table1[[#This Row],[Quantity]]&lt;&gt;"",Table1[[#This Row],[Currency]]="EUR"),Table1[[#This Row],[Quantity]]*Table1[[#This Row],[Unit Price]],""),"")</f>
        <v/>
      </c>
      <c r="S477" s="43" t="str">
        <f ca="1">IFERROR(IF(AND(Table1[[#This Row],[ACT_Qty]]&lt;&gt;"",Table1[[#This Row],[Currency]]="EUR"),Table1[[#This Row],[ACT_Qty]]*Table1[[#This Row],[Unit Price]],""),"")</f>
        <v/>
      </c>
      <c r="T477" s="271" t="str">
        <f ca="1">IFERROR(IF(AND(($N$3&lt;&gt;""),INDIRECT(Aux!$D$1)),VLOOKUP(Table1[[#This Row],[Product code]],Aux!B:E,4,FALSE),""),"")</f>
        <v/>
      </c>
      <c r="U477" s="148" t="str">
        <f>IFERROR(IF(OR(Table1[[#This Row],[Quantity]]&lt;&gt;"",Table1[[#This Row],[ACT_Qty]]&lt;&gt;""),Table1[[#This Row],[ACT_Qty]]-Table1[[#This Row],[Quantity]],""),"")</f>
        <v/>
      </c>
      <c r="V477" s="46"/>
      <c r="W477" s="46"/>
      <c r="X477" s="46"/>
    </row>
    <row r="478" spans="1:24" ht="15" customHeight="1">
      <c r="A478" s="143" t="str">
        <f t="shared" si="29"/>
        <v>AKH12345</v>
      </c>
      <c r="B478" s="260" t="s">
        <v>1363</v>
      </c>
      <c r="C478" s="8" t="s">
        <v>1364</v>
      </c>
      <c r="D478" s="105"/>
      <c r="E478" s="106"/>
      <c r="F478" s="105"/>
      <c r="G478" s="106"/>
      <c r="H478" s="6" t="s">
        <v>1365</v>
      </c>
      <c r="I478" s="6" t="s">
        <v>1233</v>
      </c>
      <c r="J478" s="6" t="s">
        <v>1366</v>
      </c>
      <c r="K478" s="6" t="s">
        <v>1235</v>
      </c>
      <c r="L478" s="207" t="s">
        <v>1235</v>
      </c>
      <c r="M478" s="145" t="str">
        <f t="shared" si="31"/>
        <v>OneCo Networks AS</v>
      </c>
      <c r="N47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8" s="268" t="str">
        <f ca="1">IFERROR(IF(
OR(Table1[[#This Row],[Product category]]="Service items",Table1[[#This Row],[Product category]]="Additional services",Table1[[#This Row],[Product category]]="Additional materials"),
"NOK",IF(($N$3&lt;&gt;""),VLOOKUP(Table1[[#This Row],[Product code]],INDIRECT(Aux!$A$1),6,FALSE),"")),"")</f>
        <v>NOK</v>
      </c>
      <c r="P478" s="41" t="str">
        <f ca="1">IFERROR(IF(AND(Table1[[#This Row],[Quantity]]&lt;&gt;"",Table1[[#This Row],[Currency]]="NOK"),Table1[[#This Row],[Quantity]]*Table1[[#This Row],[Unit Price]],""),"")</f>
        <v/>
      </c>
      <c r="Q478" s="41" t="str">
        <f ca="1">IFERROR(IF(AND(Table1[[#This Row],[ACT_Qty]]&lt;&gt;"",Table1[[#This Row],[Currency]]="NOK"),Table1[[#This Row],[ACT_Qty]]*Table1[[#This Row],[Unit Price]],""),"")</f>
        <v/>
      </c>
      <c r="R478" s="41" t="str">
        <f ca="1">IFERROR(IF(AND(Table1[[#This Row],[Quantity]]&lt;&gt;"",Table1[[#This Row],[Currency]]="EUR"),Table1[[#This Row],[Quantity]]*Table1[[#This Row],[Unit Price]],""),"")</f>
        <v/>
      </c>
      <c r="S478" s="41" t="str">
        <f ca="1">IFERROR(IF(AND(Table1[[#This Row],[ACT_Qty]]&lt;&gt;"",Table1[[#This Row],[Currency]]="EUR"),Table1[[#This Row],[ACT_Qty]]*Table1[[#This Row],[Unit Price]],""),"")</f>
        <v/>
      </c>
      <c r="T478" s="269" t="str">
        <f ca="1">IFERROR(IF(AND(($N$3&lt;&gt;""),INDIRECT(Aux!$D$1)),VLOOKUP(Table1[[#This Row],[Product code]],Aux!B:E,4,FALSE),""),"")</f>
        <v/>
      </c>
      <c r="U478" s="145" t="str">
        <f>IFERROR(IF(OR(Table1[[#This Row],[Quantity]]&lt;&gt;"",Table1[[#This Row],[ACT_Qty]]&lt;&gt;""),Table1[[#This Row],[ACT_Qty]]-Table1[[#This Row],[Quantity]],""),"")</f>
        <v/>
      </c>
      <c r="V478" s="45"/>
      <c r="W478" s="45"/>
      <c r="X478" s="45"/>
    </row>
    <row r="479" spans="1:24" ht="15" customHeight="1">
      <c r="A479" s="143" t="str">
        <f t="shared" si="29"/>
        <v>AKH12345</v>
      </c>
      <c r="B479" s="260" t="s">
        <v>1367</v>
      </c>
      <c r="C479" s="8" t="s">
        <v>1368</v>
      </c>
      <c r="D479" s="105"/>
      <c r="E479" s="106" t="s">
        <v>1283</v>
      </c>
      <c r="F479" s="105"/>
      <c r="G479" s="106"/>
      <c r="H479" s="6" t="s">
        <v>1369</v>
      </c>
      <c r="I479" s="6" t="s">
        <v>1233</v>
      </c>
      <c r="J479" s="6" t="s">
        <v>1360</v>
      </c>
      <c r="K479" s="6" t="s">
        <v>1235</v>
      </c>
      <c r="L479" s="207" t="s">
        <v>1235</v>
      </c>
      <c r="M479" s="200" t="str">
        <f t="shared" si="31"/>
        <v>OneCo Networks AS</v>
      </c>
      <c r="N4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79" s="269" t="str">
        <f ca="1">IFERROR(IF(
OR(Table1[[#This Row],[Product category]]="Service items",Table1[[#This Row],[Product category]]="Additional services",Table1[[#This Row],[Product category]]="Additional materials"),
"NOK",IF(($N$3&lt;&gt;""),VLOOKUP(Table1[[#This Row],[Product code]],INDIRECT(Aux!$A$1),6,FALSE),"")),"")</f>
        <v>NOK</v>
      </c>
      <c r="P479" s="41" t="str">
        <f ca="1">IFERROR(IF(AND(Table1[[#This Row],[Quantity]]&lt;&gt;"",Table1[[#This Row],[Currency]]="NOK"),Table1[[#This Row],[Quantity]]*Table1[[#This Row],[Unit Price]],""),"")</f>
        <v/>
      </c>
      <c r="Q479" s="41" t="str">
        <f ca="1">IFERROR(IF(AND(Table1[[#This Row],[ACT_Qty]]&lt;&gt;"",Table1[[#This Row],[Currency]]="NOK"),Table1[[#This Row],[ACT_Qty]]*Table1[[#This Row],[Unit Price]],""),"")</f>
        <v/>
      </c>
      <c r="R479" s="40" t="str">
        <f ca="1">IFERROR(IF(AND(Table1[[#This Row],[Quantity]]&lt;&gt;"",Table1[[#This Row],[Currency]]="EUR"),Table1[[#This Row],[Quantity]]*Table1[[#This Row],[Unit Price]],""),"")</f>
        <v/>
      </c>
      <c r="S479" s="40" t="str">
        <f ca="1">IFERROR(IF(AND(Table1[[#This Row],[ACT_Qty]]&lt;&gt;"",Table1[[#This Row],[Currency]]="EUR"),Table1[[#This Row],[ACT_Qty]]*Table1[[#This Row],[Unit Price]],""),"")</f>
        <v/>
      </c>
      <c r="T479" s="269" t="str">
        <f ca="1">IFERROR(IF(AND(($N$3&lt;&gt;""),INDIRECT(Aux!$D$1)),VLOOKUP(Table1[[#This Row],[Product code]],Aux!B:E,4,FALSE),""),"")</f>
        <v/>
      </c>
      <c r="U479" s="145" t="str">
        <f>IFERROR(IF(OR(Table1[[#This Row],[Quantity]]&lt;&gt;"",Table1[[#This Row],[ACT_Qty]]&lt;&gt;""),Table1[[#This Row],[ACT_Qty]]-Table1[[#This Row],[Quantity]],""),"")</f>
        <v/>
      </c>
      <c r="V479" s="45"/>
      <c r="W479" s="45"/>
      <c r="X479" s="45"/>
    </row>
    <row r="480" spans="1:24" ht="15" customHeight="1">
      <c r="A480" s="143" t="str">
        <f t="shared" si="29"/>
        <v>AKH12345</v>
      </c>
      <c r="B480" s="261" t="s">
        <v>1370</v>
      </c>
      <c r="C480" s="7" t="s">
        <v>949</v>
      </c>
      <c r="D480" s="105"/>
      <c r="E480" s="89"/>
      <c r="F480" s="68"/>
      <c r="G480" s="89"/>
      <c r="H480" s="5" t="s">
        <v>1371</v>
      </c>
      <c r="I480" s="5" t="s">
        <v>1233</v>
      </c>
      <c r="J480" s="5" t="s">
        <v>1360</v>
      </c>
      <c r="K480" s="5" t="s">
        <v>1235</v>
      </c>
      <c r="L480" s="208" t="s">
        <v>1235</v>
      </c>
      <c r="M480" s="200" t="str">
        <f t="shared" si="31"/>
        <v>OneCo Networks AS</v>
      </c>
      <c r="N48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0" s="269" t="str">
        <f ca="1">IFERROR(IF(
OR(Table1[[#This Row],[Product category]]="Service items",Table1[[#This Row],[Product category]]="Additional services",Table1[[#This Row],[Product category]]="Additional materials"),
"NOK",IF(($N$3&lt;&gt;""),VLOOKUP(Table1[[#This Row],[Product code]],INDIRECT(Aux!$A$1),6,FALSE),"")),"")</f>
        <v>NOK</v>
      </c>
      <c r="P480" s="41" t="str">
        <f ca="1">IFERROR(IF(AND(Table1[[#This Row],[Quantity]]&lt;&gt;"",Table1[[#This Row],[Currency]]="NOK"),Table1[[#This Row],[Quantity]]*Table1[[#This Row],[Unit Price]],""),"")</f>
        <v/>
      </c>
      <c r="Q480" s="41" t="str">
        <f ca="1">IFERROR(IF(AND(Table1[[#This Row],[ACT_Qty]]&lt;&gt;"",Table1[[#This Row],[Currency]]="NOK"),Table1[[#This Row],[ACT_Qty]]*Table1[[#This Row],[Unit Price]],""),"")</f>
        <v/>
      </c>
      <c r="R480" s="40" t="str">
        <f ca="1">IFERROR(IF(AND(Table1[[#This Row],[Quantity]]&lt;&gt;"",Table1[[#This Row],[Currency]]="EUR"),Table1[[#This Row],[Quantity]]*Table1[[#This Row],[Unit Price]],""),"")</f>
        <v/>
      </c>
      <c r="S480" s="40" t="str">
        <f ca="1">IFERROR(IF(AND(Table1[[#This Row],[ACT_Qty]]&lt;&gt;"",Table1[[#This Row],[Currency]]="EUR"),Table1[[#This Row],[ACT_Qty]]*Table1[[#This Row],[Unit Price]],""),"")</f>
        <v/>
      </c>
      <c r="T480" s="269" t="str">
        <f ca="1">IFERROR(IF(AND(($N$3&lt;&gt;""),INDIRECT(Aux!$D$1)),VLOOKUP(Table1[[#This Row],[Product code]],Aux!B:E,4,FALSE),""),"")</f>
        <v/>
      </c>
      <c r="U480" s="145" t="str">
        <f>IFERROR(IF(OR(Table1[[#This Row],[Quantity]]&lt;&gt;"",Table1[[#This Row],[ACT_Qty]]&lt;&gt;""),Table1[[#This Row],[ACT_Qty]]-Table1[[#This Row],[Quantity]],""),"")</f>
        <v/>
      </c>
      <c r="V480" s="45"/>
      <c r="W480" s="45"/>
      <c r="X480" s="45"/>
    </row>
    <row r="481" spans="1:24" ht="15" customHeight="1">
      <c r="A481" s="143" t="str">
        <f t="shared" si="29"/>
        <v>AKH12345</v>
      </c>
      <c r="B481" s="260" t="s">
        <v>1372</v>
      </c>
      <c r="C481" s="8" t="s">
        <v>1373</v>
      </c>
      <c r="D481" s="105"/>
      <c r="E481" s="106"/>
      <c r="F481" s="105"/>
      <c r="G481" s="106"/>
      <c r="H481" s="6" t="s">
        <v>1374</v>
      </c>
      <c r="I481" s="6" t="s">
        <v>1233</v>
      </c>
      <c r="J481" s="6" t="s">
        <v>1360</v>
      </c>
      <c r="K481" s="6" t="s">
        <v>1235</v>
      </c>
      <c r="L481" s="207" t="s">
        <v>1235</v>
      </c>
      <c r="M481" s="200" t="str">
        <f t="shared" si="31"/>
        <v>OneCo Networks AS</v>
      </c>
      <c r="N4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1" s="269" t="str">
        <f ca="1">IFERROR(IF(
OR(Table1[[#This Row],[Product category]]="Service items",Table1[[#This Row],[Product category]]="Additional services",Table1[[#This Row],[Product category]]="Additional materials"),
"NOK",IF(($N$3&lt;&gt;""),VLOOKUP(Table1[[#This Row],[Product code]],INDIRECT(Aux!$A$1),6,FALSE),"")),"")</f>
        <v>NOK</v>
      </c>
      <c r="P481" s="41" t="str">
        <f ca="1">IFERROR(IF(AND(Table1[[#This Row],[Quantity]]&lt;&gt;"",Table1[[#This Row],[Currency]]="NOK"),Table1[[#This Row],[Quantity]]*Table1[[#This Row],[Unit Price]],""),"")</f>
        <v/>
      </c>
      <c r="Q481" s="41" t="str">
        <f ca="1">IFERROR(IF(AND(Table1[[#This Row],[ACT_Qty]]&lt;&gt;"",Table1[[#This Row],[Currency]]="NOK"),Table1[[#This Row],[ACT_Qty]]*Table1[[#This Row],[Unit Price]],""),"")</f>
        <v/>
      </c>
      <c r="R481" s="40" t="str">
        <f ca="1">IFERROR(IF(AND(Table1[[#This Row],[Quantity]]&lt;&gt;"",Table1[[#This Row],[Currency]]="EUR"),Table1[[#This Row],[Quantity]]*Table1[[#This Row],[Unit Price]],""),"")</f>
        <v/>
      </c>
      <c r="S481" s="40" t="str">
        <f ca="1">IFERROR(IF(AND(Table1[[#This Row],[ACT_Qty]]&lt;&gt;"",Table1[[#This Row],[Currency]]="EUR"),Table1[[#This Row],[ACT_Qty]]*Table1[[#This Row],[Unit Price]],""),"")</f>
        <v/>
      </c>
      <c r="T481" s="269" t="str">
        <f ca="1">IFERROR(IF(AND(($N$3&lt;&gt;""),INDIRECT(Aux!$D$1)),VLOOKUP(Table1[[#This Row],[Product code]],Aux!B:E,4,FALSE),""),"")</f>
        <v/>
      </c>
      <c r="U481" s="145" t="str">
        <f>IFERROR(IF(OR(Table1[[#This Row],[Quantity]]&lt;&gt;"",Table1[[#This Row],[ACT_Qty]]&lt;&gt;""),Table1[[#This Row],[ACT_Qty]]-Table1[[#This Row],[Quantity]],""),"")</f>
        <v/>
      </c>
      <c r="V481" s="45"/>
      <c r="W481" s="45"/>
      <c r="X481" s="45"/>
    </row>
    <row r="482" spans="1:24" ht="15" customHeight="1">
      <c r="A482" s="233" t="str">
        <f t="shared" si="29"/>
        <v>AKH12345</v>
      </c>
      <c r="B482" s="261" t="s">
        <v>1375</v>
      </c>
      <c r="C482" s="7" t="s">
        <v>1376</v>
      </c>
      <c r="D482" s="105"/>
      <c r="E482" s="89"/>
      <c r="F482" s="68"/>
      <c r="G482" s="89"/>
      <c r="H482" s="5" t="s">
        <v>1377</v>
      </c>
      <c r="I482" s="5" t="s">
        <v>1233</v>
      </c>
      <c r="J482" s="5" t="s">
        <v>1378</v>
      </c>
      <c r="K482" s="5" t="s">
        <v>1235</v>
      </c>
      <c r="L482" s="208" t="s">
        <v>1235</v>
      </c>
      <c r="M482" s="148" t="str">
        <f t="shared" si="31"/>
        <v>OneCo Networks AS</v>
      </c>
      <c r="N48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2" s="270" t="str">
        <f ca="1">IFERROR(IF(
OR(Table1[[#This Row],[Product category]]="Service items",Table1[[#This Row],[Product category]]="Additional services",Table1[[#This Row],[Product category]]="Additional materials"),
"NOK",IF(($N$3&lt;&gt;""),VLOOKUP(Table1[[#This Row],[Product code]],INDIRECT(Aux!$A$1),6,FALSE),"")),"")</f>
        <v>NOK</v>
      </c>
      <c r="P482" s="43" t="str">
        <f ca="1">IFERROR(IF(AND(Table1[[#This Row],[Quantity]]&lt;&gt;"",Table1[[#This Row],[Currency]]="NOK"),Table1[[#This Row],[Quantity]]*Table1[[#This Row],[Unit Price]],""),"")</f>
        <v/>
      </c>
      <c r="Q482" s="43" t="str">
        <f ca="1">IFERROR(IF(AND(Table1[[#This Row],[ACT_Qty]]&lt;&gt;"",Table1[[#This Row],[Currency]]="NOK"),Table1[[#This Row],[ACT_Qty]]*Table1[[#This Row],[Unit Price]],""),"")</f>
        <v/>
      </c>
      <c r="R482" s="43" t="str">
        <f ca="1">IFERROR(IF(AND(Table1[[#This Row],[Quantity]]&lt;&gt;"",Table1[[#This Row],[Currency]]="EUR"),Table1[[#This Row],[Quantity]]*Table1[[#This Row],[Unit Price]],""),"")</f>
        <v/>
      </c>
      <c r="S482" s="43" t="str">
        <f ca="1">IFERROR(IF(AND(Table1[[#This Row],[ACT_Qty]]&lt;&gt;"",Table1[[#This Row],[Currency]]="EUR"),Table1[[#This Row],[ACT_Qty]]*Table1[[#This Row],[Unit Price]],""),"")</f>
        <v/>
      </c>
      <c r="T482" s="271" t="str">
        <f ca="1">IFERROR(IF(AND(($N$3&lt;&gt;""),INDIRECT(Aux!$D$1)),VLOOKUP(Table1[[#This Row],[Product code]],Aux!B:E,4,FALSE),""),"")</f>
        <v/>
      </c>
      <c r="U482" s="148" t="str">
        <f>IFERROR(IF(OR(Table1[[#This Row],[Quantity]]&lt;&gt;"",Table1[[#This Row],[ACT_Qty]]&lt;&gt;""),Table1[[#This Row],[ACT_Qty]]-Table1[[#This Row],[Quantity]],""),"")</f>
        <v/>
      </c>
      <c r="V482" s="46"/>
      <c r="W482" s="46"/>
      <c r="X482" s="46"/>
    </row>
    <row r="483" spans="1:24" ht="15" customHeight="1">
      <c r="A483" s="143" t="str">
        <f t="shared" si="29"/>
        <v>AKH12345</v>
      </c>
      <c r="B483" s="260" t="s">
        <v>1379</v>
      </c>
      <c r="C483" s="8" t="s">
        <v>1380</v>
      </c>
      <c r="D483" s="105"/>
      <c r="E483" s="106"/>
      <c r="F483" s="105"/>
      <c r="G483" s="106"/>
      <c r="H483" s="6" t="s">
        <v>1381</v>
      </c>
      <c r="I483" s="6" t="s">
        <v>1233</v>
      </c>
      <c r="J483" s="6" t="s">
        <v>1378</v>
      </c>
      <c r="K483" s="6" t="s">
        <v>1235</v>
      </c>
      <c r="L483" s="207" t="s">
        <v>1235</v>
      </c>
      <c r="M483" s="145" t="str">
        <f t="shared" si="31"/>
        <v>OneCo Networks AS</v>
      </c>
      <c r="N4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3" s="268" t="str">
        <f ca="1">IFERROR(IF(
OR(Table1[[#This Row],[Product category]]="Service items",Table1[[#This Row],[Product category]]="Additional services",Table1[[#This Row],[Product category]]="Additional materials"),
"NOK",IF(($N$3&lt;&gt;""),VLOOKUP(Table1[[#This Row],[Product code]],INDIRECT(Aux!$A$1),6,FALSE),"")),"")</f>
        <v>NOK</v>
      </c>
      <c r="P483" s="41" t="str">
        <f ca="1">IFERROR(IF(AND(Table1[[#This Row],[Quantity]]&lt;&gt;"",Table1[[#This Row],[Currency]]="NOK"),Table1[[#This Row],[Quantity]]*Table1[[#This Row],[Unit Price]],""),"")</f>
        <v/>
      </c>
      <c r="Q483" s="41" t="str">
        <f ca="1">IFERROR(IF(AND(Table1[[#This Row],[ACT_Qty]]&lt;&gt;"",Table1[[#This Row],[Currency]]="NOK"),Table1[[#This Row],[ACT_Qty]]*Table1[[#This Row],[Unit Price]],""),"")</f>
        <v/>
      </c>
      <c r="R483" s="41" t="str">
        <f ca="1">IFERROR(IF(AND(Table1[[#This Row],[Quantity]]&lt;&gt;"",Table1[[#This Row],[Currency]]="EUR"),Table1[[#This Row],[Quantity]]*Table1[[#This Row],[Unit Price]],""),"")</f>
        <v/>
      </c>
      <c r="S483" s="41" t="str">
        <f ca="1">IFERROR(IF(AND(Table1[[#This Row],[ACT_Qty]]&lt;&gt;"",Table1[[#This Row],[Currency]]="EUR"),Table1[[#This Row],[ACT_Qty]]*Table1[[#This Row],[Unit Price]],""),"")</f>
        <v/>
      </c>
      <c r="T483" s="269" t="str">
        <f ca="1">IFERROR(IF(AND(($N$3&lt;&gt;""),INDIRECT(Aux!$D$1)),VLOOKUP(Table1[[#This Row],[Product code]],Aux!B:E,4,FALSE),""),"")</f>
        <v/>
      </c>
      <c r="U483" s="145" t="str">
        <f>IFERROR(IF(OR(Table1[[#This Row],[Quantity]]&lt;&gt;"",Table1[[#This Row],[ACT_Qty]]&lt;&gt;""),Table1[[#This Row],[ACT_Qty]]-Table1[[#This Row],[Quantity]],""),"")</f>
        <v/>
      </c>
      <c r="V483" s="45"/>
      <c r="W483" s="45"/>
      <c r="X483" s="45"/>
    </row>
    <row r="484" spans="1:24" ht="15" customHeight="1">
      <c r="A484" s="233" t="str">
        <f t="shared" si="29"/>
        <v>AKH12345</v>
      </c>
      <c r="B484" s="261" t="s">
        <v>1382</v>
      </c>
      <c r="C484" s="7" t="s">
        <v>1383</v>
      </c>
      <c r="D484" s="105"/>
      <c r="E484" s="89"/>
      <c r="F484" s="68"/>
      <c r="G484" s="89"/>
      <c r="H484" s="5" t="s">
        <v>1384</v>
      </c>
      <c r="I484" s="5" t="s">
        <v>1233</v>
      </c>
      <c r="J484" s="5" t="s">
        <v>1378</v>
      </c>
      <c r="K484" s="5" t="s">
        <v>1235</v>
      </c>
      <c r="L484" s="208" t="s">
        <v>1235</v>
      </c>
      <c r="M484" s="148" t="str">
        <f t="shared" si="31"/>
        <v>OneCo Networks AS</v>
      </c>
      <c r="N48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4" s="270" t="str">
        <f ca="1">IFERROR(IF(
OR(Table1[[#This Row],[Product category]]="Service items",Table1[[#This Row],[Product category]]="Additional services",Table1[[#This Row],[Product category]]="Additional materials"),
"NOK",IF(($N$3&lt;&gt;""),VLOOKUP(Table1[[#This Row],[Product code]],INDIRECT(Aux!$A$1),6,FALSE),"")),"")</f>
        <v>NOK</v>
      </c>
      <c r="P484" s="43" t="str">
        <f ca="1">IFERROR(IF(AND(Table1[[#This Row],[Quantity]]&lt;&gt;"",Table1[[#This Row],[Currency]]="NOK"),Table1[[#This Row],[Quantity]]*Table1[[#This Row],[Unit Price]],""),"")</f>
        <v/>
      </c>
      <c r="Q484" s="43" t="str">
        <f ca="1">IFERROR(IF(AND(Table1[[#This Row],[ACT_Qty]]&lt;&gt;"",Table1[[#This Row],[Currency]]="NOK"),Table1[[#This Row],[ACT_Qty]]*Table1[[#This Row],[Unit Price]],""),"")</f>
        <v/>
      </c>
      <c r="R484" s="43" t="str">
        <f ca="1">IFERROR(IF(AND(Table1[[#This Row],[Quantity]]&lt;&gt;"",Table1[[#This Row],[Currency]]="EUR"),Table1[[#This Row],[Quantity]]*Table1[[#This Row],[Unit Price]],""),"")</f>
        <v/>
      </c>
      <c r="S484" s="43" t="str">
        <f ca="1">IFERROR(IF(AND(Table1[[#This Row],[ACT_Qty]]&lt;&gt;"",Table1[[#This Row],[Currency]]="EUR"),Table1[[#This Row],[ACT_Qty]]*Table1[[#This Row],[Unit Price]],""),"")</f>
        <v/>
      </c>
      <c r="T484" s="271" t="str">
        <f ca="1">IFERROR(IF(AND(($N$3&lt;&gt;""),INDIRECT(Aux!$D$1)),VLOOKUP(Table1[[#This Row],[Product code]],Aux!B:E,4,FALSE),""),"")</f>
        <v/>
      </c>
      <c r="U484" s="148" t="str">
        <f>IFERROR(IF(OR(Table1[[#This Row],[Quantity]]&lt;&gt;"",Table1[[#This Row],[ACT_Qty]]&lt;&gt;""),Table1[[#This Row],[ACT_Qty]]-Table1[[#This Row],[Quantity]],""),"")</f>
        <v/>
      </c>
      <c r="V484" s="46"/>
      <c r="W484" s="46"/>
      <c r="X484" s="46"/>
    </row>
    <row r="485" spans="1:24" ht="15" customHeight="1">
      <c r="A485" s="143" t="str">
        <f t="shared" si="29"/>
        <v>AKH12345</v>
      </c>
      <c r="B485" s="260" t="s">
        <v>1385</v>
      </c>
      <c r="C485" s="8" t="s">
        <v>1386</v>
      </c>
      <c r="D485" s="105"/>
      <c r="E485" s="106"/>
      <c r="F485" s="105"/>
      <c r="G485" s="106"/>
      <c r="H485" s="6" t="s">
        <v>1387</v>
      </c>
      <c r="I485" s="6" t="s">
        <v>1233</v>
      </c>
      <c r="J485" s="6" t="s">
        <v>1378</v>
      </c>
      <c r="K485" s="6" t="s">
        <v>1235</v>
      </c>
      <c r="L485" s="207" t="s">
        <v>1235</v>
      </c>
      <c r="M485" s="145" t="str">
        <f t="shared" si="31"/>
        <v>OneCo Networks AS</v>
      </c>
      <c r="N4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5" s="268" t="str">
        <f ca="1">IFERROR(IF(
OR(Table1[[#This Row],[Product category]]="Service items",Table1[[#This Row],[Product category]]="Additional services",Table1[[#This Row],[Product category]]="Additional materials"),
"NOK",IF(($N$3&lt;&gt;""),VLOOKUP(Table1[[#This Row],[Product code]],INDIRECT(Aux!$A$1),6,FALSE),"")),"")</f>
        <v>NOK</v>
      </c>
      <c r="P485" s="41" t="str">
        <f ca="1">IFERROR(IF(AND(Table1[[#This Row],[Quantity]]&lt;&gt;"",Table1[[#This Row],[Currency]]="NOK"),Table1[[#This Row],[Quantity]]*Table1[[#This Row],[Unit Price]],""),"")</f>
        <v/>
      </c>
      <c r="Q485" s="41" t="str">
        <f ca="1">IFERROR(IF(AND(Table1[[#This Row],[ACT_Qty]]&lt;&gt;"",Table1[[#This Row],[Currency]]="NOK"),Table1[[#This Row],[ACT_Qty]]*Table1[[#This Row],[Unit Price]],""),"")</f>
        <v/>
      </c>
      <c r="R485" s="41" t="str">
        <f ca="1">IFERROR(IF(AND(Table1[[#This Row],[Quantity]]&lt;&gt;"",Table1[[#This Row],[Currency]]="EUR"),Table1[[#This Row],[Quantity]]*Table1[[#This Row],[Unit Price]],""),"")</f>
        <v/>
      </c>
      <c r="S485" s="41" t="str">
        <f ca="1">IFERROR(IF(AND(Table1[[#This Row],[ACT_Qty]]&lt;&gt;"",Table1[[#This Row],[Currency]]="EUR"),Table1[[#This Row],[ACT_Qty]]*Table1[[#This Row],[Unit Price]],""),"")</f>
        <v/>
      </c>
      <c r="T485" s="269" t="str">
        <f ca="1">IFERROR(IF(AND(($N$3&lt;&gt;""),INDIRECT(Aux!$D$1)),VLOOKUP(Table1[[#This Row],[Product code]],Aux!B:E,4,FALSE),""),"")</f>
        <v/>
      </c>
      <c r="U485" s="145" t="str">
        <f>IFERROR(IF(OR(Table1[[#This Row],[Quantity]]&lt;&gt;"",Table1[[#This Row],[ACT_Qty]]&lt;&gt;""),Table1[[#This Row],[ACT_Qty]]-Table1[[#This Row],[Quantity]],""),"")</f>
        <v/>
      </c>
      <c r="V485" s="45"/>
      <c r="W485" s="45"/>
      <c r="X485" s="45"/>
    </row>
    <row r="486" spans="1:24" ht="15" customHeight="1">
      <c r="A486" s="233" t="str">
        <f t="shared" si="29"/>
        <v>AKH12345</v>
      </c>
      <c r="B486" s="261" t="s">
        <v>1388</v>
      </c>
      <c r="C486" s="7" t="s">
        <v>1389</v>
      </c>
      <c r="D486" s="105"/>
      <c r="E486" s="89"/>
      <c r="F486" s="68"/>
      <c r="G486" s="89"/>
      <c r="H486" s="5" t="s">
        <v>1387</v>
      </c>
      <c r="I486" s="5" t="s">
        <v>1233</v>
      </c>
      <c r="J486" s="5" t="s">
        <v>1378</v>
      </c>
      <c r="K486" s="5" t="s">
        <v>1235</v>
      </c>
      <c r="L486" s="208" t="s">
        <v>1235</v>
      </c>
      <c r="M486" s="148" t="str">
        <f t="shared" si="31"/>
        <v>OneCo Networks AS</v>
      </c>
      <c r="N48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6" s="270" t="str">
        <f ca="1">IFERROR(IF(
OR(Table1[[#This Row],[Product category]]="Service items",Table1[[#This Row],[Product category]]="Additional services",Table1[[#This Row],[Product category]]="Additional materials"),
"NOK",IF(($N$3&lt;&gt;""),VLOOKUP(Table1[[#This Row],[Product code]],INDIRECT(Aux!$A$1),6,FALSE),"")),"")</f>
        <v>NOK</v>
      </c>
      <c r="P486" s="43" t="str">
        <f ca="1">IFERROR(IF(AND(Table1[[#This Row],[Quantity]]&lt;&gt;"",Table1[[#This Row],[Currency]]="NOK"),Table1[[#This Row],[Quantity]]*Table1[[#This Row],[Unit Price]],""),"")</f>
        <v/>
      </c>
      <c r="Q486" s="43" t="str">
        <f ca="1">IFERROR(IF(AND(Table1[[#This Row],[ACT_Qty]]&lt;&gt;"",Table1[[#This Row],[Currency]]="NOK"),Table1[[#This Row],[ACT_Qty]]*Table1[[#This Row],[Unit Price]],""),"")</f>
        <v/>
      </c>
      <c r="R486" s="43" t="str">
        <f ca="1">IFERROR(IF(AND(Table1[[#This Row],[Quantity]]&lt;&gt;"",Table1[[#This Row],[Currency]]="EUR"),Table1[[#This Row],[Quantity]]*Table1[[#This Row],[Unit Price]],""),"")</f>
        <v/>
      </c>
      <c r="S486" s="43" t="str">
        <f ca="1">IFERROR(IF(AND(Table1[[#This Row],[ACT_Qty]]&lt;&gt;"",Table1[[#This Row],[Currency]]="EUR"),Table1[[#This Row],[ACT_Qty]]*Table1[[#This Row],[Unit Price]],""),"")</f>
        <v/>
      </c>
      <c r="T486" s="271" t="str">
        <f ca="1">IFERROR(IF(AND(($N$3&lt;&gt;""),INDIRECT(Aux!$D$1)),VLOOKUP(Table1[[#This Row],[Product code]],Aux!B:E,4,FALSE),""),"")</f>
        <v/>
      </c>
      <c r="U486" s="148" t="str">
        <f>IFERROR(IF(OR(Table1[[#This Row],[Quantity]]&lt;&gt;"",Table1[[#This Row],[ACT_Qty]]&lt;&gt;""),Table1[[#This Row],[ACT_Qty]]-Table1[[#This Row],[Quantity]],""),"")</f>
        <v/>
      </c>
      <c r="V486" s="46"/>
      <c r="W486" s="46"/>
      <c r="X486" s="46"/>
    </row>
    <row r="487" spans="1:24" ht="15" customHeight="1">
      <c r="A487" s="143" t="str">
        <f t="shared" si="29"/>
        <v>AKH12345</v>
      </c>
      <c r="B487" s="260" t="s">
        <v>1390</v>
      </c>
      <c r="C487" s="8" t="s">
        <v>1391</v>
      </c>
      <c r="D487" s="105"/>
      <c r="E487" s="106"/>
      <c r="F487" s="105"/>
      <c r="G487" s="106"/>
      <c r="H487" s="6" t="s">
        <v>1387</v>
      </c>
      <c r="I487" s="6" t="s">
        <v>1233</v>
      </c>
      <c r="J487" s="6" t="s">
        <v>1378</v>
      </c>
      <c r="K487" s="6" t="s">
        <v>1235</v>
      </c>
      <c r="L487" s="207" t="s">
        <v>1235</v>
      </c>
      <c r="M487" s="145" t="str">
        <f t="shared" si="31"/>
        <v>OneCo Networks AS</v>
      </c>
      <c r="N4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7" s="268" t="str">
        <f ca="1">IFERROR(IF(
OR(Table1[[#This Row],[Product category]]="Service items",Table1[[#This Row],[Product category]]="Additional services",Table1[[#This Row],[Product category]]="Additional materials"),
"NOK",IF(($N$3&lt;&gt;""),VLOOKUP(Table1[[#This Row],[Product code]],INDIRECT(Aux!$A$1),6,FALSE),"")),"")</f>
        <v>NOK</v>
      </c>
      <c r="P487" s="41" t="str">
        <f ca="1">IFERROR(IF(AND(Table1[[#This Row],[Quantity]]&lt;&gt;"",Table1[[#This Row],[Currency]]="NOK"),Table1[[#This Row],[Quantity]]*Table1[[#This Row],[Unit Price]],""),"")</f>
        <v/>
      </c>
      <c r="Q487" s="41" t="str">
        <f ca="1">IFERROR(IF(AND(Table1[[#This Row],[ACT_Qty]]&lt;&gt;"",Table1[[#This Row],[Currency]]="NOK"),Table1[[#This Row],[ACT_Qty]]*Table1[[#This Row],[Unit Price]],""),"")</f>
        <v/>
      </c>
      <c r="R487" s="41" t="str">
        <f ca="1">IFERROR(IF(AND(Table1[[#This Row],[Quantity]]&lt;&gt;"",Table1[[#This Row],[Currency]]="EUR"),Table1[[#This Row],[Quantity]]*Table1[[#This Row],[Unit Price]],""),"")</f>
        <v/>
      </c>
      <c r="S487" s="41" t="str">
        <f ca="1">IFERROR(IF(AND(Table1[[#This Row],[ACT_Qty]]&lt;&gt;"",Table1[[#This Row],[Currency]]="EUR"),Table1[[#This Row],[ACT_Qty]]*Table1[[#This Row],[Unit Price]],""),"")</f>
        <v/>
      </c>
      <c r="T487" s="269" t="str">
        <f ca="1">IFERROR(IF(AND(($N$3&lt;&gt;""),INDIRECT(Aux!$D$1)),VLOOKUP(Table1[[#This Row],[Product code]],Aux!B:E,4,FALSE),""),"")</f>
        <v/>
      </c>
      <c r="U487" s="145" t="str">
        <f>IFERROR(IF(OR(Table1[[#This Row],[Quantity]]&lt;&gt;"",Table1[[#This Row],[ACT_Qty]]&lt;&gt;""),Table1[[#This Row],[ACT_Qty]]-Table1[[#This Row],[Quantity]],""),"")</f>
        <v/>
      </c>
      <c r="V487" s="45"/>
      <c r="W487" s="45"/>
      <c r="X487" s="45"/>
    </row>
    <row r="488" spans="1:24" ht="15" customHeight="1">
      <c r="A488" s="233" t="str">
        <f t="shared" si="29"/>
        <v>AKH12345</v>
      </c>
      <c r="B488" s="261" t="s">
        <v>1392</v>
      </c>
      <c r="C488" s="7" t="s">
        <v>1393</v>
      </c>
      <c r="D488" s="105"/>
      <c r="E488" s="89"/>
      <c r="F488" s="68"/>
      <c r="G488" s="89"/>
      <c r="H488" s="5" t="s">
        <v>1394</v>
      </c>
      <c r="I488" s="5" t="s">
        <v>1233</v>
      </c>
      <c r="J488" s="5" t="s">
        <v>1203</v>
      </c>
      <c r="K488" s="5" t="s">
        <v>1235</v>
      </c>
      <c r="L488" s="208" t="s">
        <v>1235</v>
      </c>
      <c r="M488" s="148" t="str">
        <f t="shared" si="31"/>
        <v>OneCo Networks AS</v>
      </c>
      <c r="N48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8" s="270" t="str">
        <f ca="1">IFERROR(IF(
OR(Table1[[#This Row],[Product category]]="Service items",Table1[[#This Row],[Product category]]="Additional services",Table1[[#This Row],[Product category]]="Additional materials"),
"NOK",IF(($N$3&lt;&gt;""),VLOOKUP(Table1[[#This Row],[Product code]],INDIRECT(Aux!$A$1),6,FALSE),"")),"")</f>
        <v>NOK</v>
      </c>
      <c r="P488" s="43" t="str">
        <f ca="1">IFERROR(IF(AND(Table1[[#This Row],[Quantity]]&lt;&gt;"",Table1[[#This Row],[Currency]]="NOK"),Table1[[#This Row],[Quantity]]*Table1[[#This Row],[Unit Price]],""),"")</f>
        <v/>
      </c>
      <c r="Q488" s="43" t="str">
        <f ca="1">IFERROR(IF(AND(Table1[[#This Row],[ACT_Qty]]&lt;&gt;"",Table1[[#This Row],[Currency]]="NOK"),Table1[[#This Row],[ACT_Qty]]*Table1[[#This Row],[Unit Price]],""),"")</f>
        <v/>
      </c>
      <c r="R488" s="43" t="str">
        <f ca="1">IFERROR(IF(AND(Table1[[#This Row],[Quantity]]&lt;&gt;"",Table1[[#This Row],[Currency]]="EUR"),Table1[[#This Row],[Quantity]]*Table1[[#This Row],[Unit Price]],""),"")</f>
        <v/>
      </c>
      <c r="S488" s="43" t="str">
        <f ca="1">IFERROR(IF(AND(Table1[[#This Row],[ACT_Qty]]&lt;&gt;"",Table1[[#This Row],[Currency]]="EUR"),Table1[[#This Row],[ACT_Qty]]*Table1[[#This Row],[Unit Price]],""),"")</f>
        <v/>
      </c>
      <c r="T488" s="271" t="str">
        <f ca="1">IFERROR(IF(AND(($N$3&lt;&gt;""),INDIRECT(Aux!$D$1)),VLOOKUP(Table1[[#This Row],[Product code]],Aux!B:E,4,FALSE),""),"")</f>
        <v/>
      </c>
      <c r="U488" s="148" t="str">
        <f>IFERROR(IF(OR(Table1[[#This Row],[Quantity]]&lt;&gt;"",Table1[[#This Row],[ACT_Qty]]&lt;&gt;""),Table1[[#This Row],[ACT_Qty]]-Table1[[#This Row],[Quantity]],""),"")</f>
        <v/>
      </c>
      <c r="V488" s="46"/>
      <c r="W488" s="46"/>
      <c r="X488" s="46"/>
    </row>
    <row r="489" spans="1:24" ht="15" customHeight="1">
      <c r="A489" s="143" t="str">
        <f t="shared" si="29"/>
        <v>AKH12345</v>
      </c>
      <c r="B489" s="260" t="s">
        <v>1395</v>
      </c>
      <c r="C489" s="8" t="s">
        <v>1396</v>
      </c>
      <c r="D489" s="105"/>
      <c r="E489" s="106"/>
      <c r="F489" s="105"/>
      <c r="G489" s="106"/>
      <c r="H489" s="6" t="s">
        <v>1397</v>
      </c>
      <c r="I489" s="6" t="s">
        <v>1233</v>
      </c>
      <c r="J489" s="6" t="s">
        <v>1203</v>
      </c>
      <c r="K489" s="6" t="s">
        <v>1235</v>
      </c>
      <c r="L489" s="207" t="s">
        <v>1235</v>
      </c>
      <c r="M489" s="145" t="str">
        <f t="shared" si="31"/>
        <v>OneCo Networks AS</v>
      </c>
      <c r="N4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89" s="268" t="str">
        <f ca="1">IFERROR(IF(
OR(Table1[[#This Row],[Product category]]="Service items",Table1[[#This Row],[Product category]]="Additional services",Table1[[#This Row],[Product category]]="Additional materials"),
"NOK",IF(($N$3&lt;&gt;""),VLOOKUP(Table1[[#This Row],[Product code]],INDIRECT(Aux!$A$1),6,FALSE),"")),"")</f>
        <v>NOK</v>
      </c>
      <c r="P489" s="41" t="str">
        <f ca="1">IFERROR(IF(AND(Table1[[#This Row],[Quantity]]&lt;&gt;"",Table1[[#This Row],[Currency]]="NOK"),Table1[[#This Row],[Quantity]]*Table1[[#This Row],[Unit Price]],""),"")</f>
        <v/>
      </c>
      <c r="Q489" s="41" t="str">
        <f ca="1">IFERROR(IF(AND(Table1[[#This Row],[ACT_Qty]]&lt;&gt;"",Table1[[#This Row],[Currency]]="NOK"),Table1[[#This Row],[ACT_Qty]]*Table1[[#This Row],[Unit Price]],""),"")</f>
        <v/>
      </c>
      <c r="R489" s="41" t="str">
        <f ca="1">IFERROR(IF(AND(Table1[[#This Row],[Quantity]]&lt;&gt;"",Table1[[#This Row],[Currency]]="EUR"),Table1[[#This Row],[Quantity]]*Table1[[#This Row],[Unit Price]],""),"")</f>
        <v/>
      </c>
      <c r="S489" s="41" t="str">
        <f ca="1">IFERROR(IF(AND(Table1[[#This Row],[ACT_Qty]]&lt;&gt;"",Table1[[#This Row],[Currency]]="EUR"),Table1[[#This Row],[ACT_Qty]]*Table1[[#This Row],[Unit Price]],""),"")</f>
        <v/>
      </c>
      <c r="T489" s="269" t="str">
        <f ca="1">IFERROR(IF(AND(($N$3&lt;&gt;""),INDIRECT(Aux!$D$1)),VLOOKUP(Table1[[#This Row],[Product code]],Aux!B:E,4,FALSE),""),"")</f>
        <v/>
      </c>
      <c r="U489" s="145" t="str">
        <f>IFERROR(IF(OR(Table1[[#This Row],[Quantity]]&lt;&gt;"",Table1[[#This Row],[ACT_Qty]]&lt;&gt;""),Table1[[#This Row],[ACT_Qty]]-Table1[[#This Row],[Quantity]],""),"")</f>
        <v/>
      </c>
      <c r="V489" s="45"/>
      <c r="W489" s="45"/>
      <c r="X489" s="45"/>
    </row>
    <row r="490" spans="1:24" ht="15" customHeight="1">
      <c r="A490" s="233" t="str">
        <f t="shared" si="29"/>
        <v>AKH12345</v>
      </c>
      <c r="B490" s="261" t="s">
        <v>1398</v>
      </c>
      <c r="C490" s="7" t="s">
        <v>1399</v>
      </c>
      <c r="D490" s="105"/>
      <c r="E490" s="89"/>
      <c r="F490" s="68"/>
      <c r="G490" s="89"/>
      <c r="H490" s="5" t="s">
        <v>1400</v>
      </c>
      <c r="I490" s="5" t="s">
        <v>1233</v>
      </c>
      <c r="J490" s="5" t="s">
        <v>1203</v>
      </c>
      <c r="K490" s="5" t="s">
        <v>1235</v>
      </c>
      <c r="L490" s="208" t="s">
        <v>1235</v>
      </c>
      <c r="M490" s="148" t="str">
        <f t="shared" si="31"/>
        <v>OneCo Networks AS</v>
      </c>
      <c r="N49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0" s="270" t="str">
        <f ca="1">IFERROR(IF(
OR(Table1[[#This Row],[Product category]]="Service items",Table1[[#This Row],[Product category]]="Additional services",Table1[[#This Row],[Product category]]="Additional materials"),
"NOK",IF(($N$3&lt;&gt;""),VLOOKUP(Table1[[#This Row],[Product code]],INDIRECT(Aux!$A$1),6,FALSE),"")),"")</f>
        <v>NOK</v>
      </c>
      <c r="P490" s="43" t="str">
        <f ca="1">IFERROR(IF(AND(Table1[[#This Row],[Quantity]]&lt;&gt;"",Table1[[#This Row],[Currency]]="NOK"),Table1[[#This Row],[Quantity]]*Table1[[#This Row],[Unit Price]],""),"")</f>
        <v/>
      </c>
      <c r="Q490" s="43" t="str">
        <f ca="1">IFERROR(IF(AND(Table1[[#This Row],[ACT_Qty]]&lt;&gt;"",Table1[[#This Row],[Currency]]="NOK"),Table1[[#This Row],[ACT_Qty]]*Table1[[#This Row],[Unit Price]],""),"")</f>
        <v/>
      </c>
      <c r="R490" s="43" t="str">
        <f ca="1">IFERROR(IF(AND(Table1[[#This Row],[Quantity]]&lt;&gt;"",Table1[[#This Row],[Currency]]="EUR"),Table1[[#This Row],[Quantity]]*Table1[[#This Row],[Unit Price]],""),"")</f>
        <v/>
      </c>
      <c r="S490" s="43" t="str">
        <f ca="1">IFERROR(IF(AND(Table1[[#This Row],[ACT_Qty]]&lt;&gt;"",Table1[[#This Row],[Currency]]="EUR"),Table1[[#This Row],[ACT_Qty]]*Table1[[#This Row],[Unit Price]],""),"")</f>
        <v/>
      </c>
      <c r="T490" s="271" t="str">
        <f ca="1">IFERROR(IF(AND(($N$3&lt;&gt;""),INDIRECT(Aux!$D$1)),VLOOKUP(Table1[[#This Row],[Product code]],Aux!B:E,4,FALSE),""),"")</f>
        <v/>
      </c>
      <c r="U490" s="148" t="str">
        <f>IFERROR(IF(OR(Table1[[#This Row],[Quantity]]&lt;&gt;"",Table1[[#This Row],[ACT_Qty]]&lt;&gt;""),Table1[[#This Row],[ACT_Qty]]-Table1[[#This Row],[Quantity]],""),"")</f>
        <v/>
      </c>
      <c r="V490" s="46"/>
      <c r="W490" s="46"/>
      <c r="X490" s="46"/>
    </row>
    <row r="491" spans="1:24" ht="15" customHeight="1">
      <c r="A491" s="143" t="str">
        <f t="shared" si="29"/>
        <v>AKH12345</v>
      </c>
      <c r="B491" s="260" t="s">
        <v>1401</v>
      </c>
      <c r="C491" s="8" t="s">
        <v>1402</v>
      </c>
      <c r="D491" s="105"/>
      <c r="E491" s="106"/>
      <c r="F491" s="105"/>
      <c r="G491" s="106"/>
      <c r="H491" s="6" t="s">
        <v>1403</v>
      </c>
      <c r="I491" s="6" t="s">
        <v>1233</v>
      </c>
      <c r="J491" s="6" t="s">
        <v>1203</v>
      </c>
      <c r="K491" s="6" t="s">
        <v>1235</v>
      </c>
      <c r="L491" s="207" t="s">
        <v>1235</v>
      </c>
      <c r="M491" s="145" t="str">
        <f t="shared" si="31"/>
        <v>OneCo Networks AS</v>
      </c>
      <c r="N4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1" s="268" t="str">
        <f ca="1">IFERROR(IF(
OR(Table1[[#This Row],[Product category]]="Service items",Table1[[#This Row],[Product category]]="Additional services",Table1[[#This Row],[Product category]]="Additional materials"),
"NOK",IF(($N$3&lt;&gt;""),VLOOKUP(Table1[[#This Row],[Product code]],INDIRECT(Aux!$A$1),6,FALSE),"")),"")</f>
        <v>NOK</v>
      </c>
      <c r="P491" s="41" t="str">
        <f ca="1">IFERROR(IF(AND(Table1[[#This Row],[Quantity]]&lt;&gt;"",Table1[[#This Row],[Currency]]="NOK"),Table1[[#This Row],[Quantity]]*Table1[[#This Row],[Unit Price]],""),"")</f>
        <v/>
      </c>
      <c r="Q491" s="41" t="str">
        <f ca="1">IFERROR(IF(AND(Table1[[#This Row],[ACT_Qty]]&lt;&gt;"",Table1[[#This Row],[Currency]]="NOK"),Table1[[#This Row],[ACT_Qty]]*Table1[[#This Row],[Unit Price]],""),"")</f>
        <v/>
      </c>
      <c r="R491" s="41" t="str">
        <f ca="1">IFERROR(IF(AND(Table1[[#This Row],[Quantity]]&lt;&gt;"",Table1[[#This Row],[Currency]]="EUR"),Table1[[#This Row],[Quantity]]*Table1[[#This Row],[Unit Price]],""),"")</f>
        <v/>
      </c>
      <c r="S491" s="41" t="str">
        <f ca="1">IFERROR(IF(AND(Table1[[#This Row],[ACT_Qty]]&lt;&gt;"",Table1[[#This Row],[Currency]]="EUR"),Table1[[#This Row],[ACT_Qty]]*Table1[[#This Row],[Unit Price]],""),"")</f>
        <v/>
      </c>
      <c r="T491" s="269" t="str">
        <f ca="1">IFERROR(IF(AND(($N$3&lt;&gt;""),INDIRECT(Aux!$D$1)),VLOOKUP(Table1[[#This Row],[Product code]],Aux!B:E,4,FALSE),""),"")</f>
        <v/>
      </c>
      <c r="U491" s="145" t="str">
        <f>IFERROR(IF(OR(Table1[[#This Row],[Quantity]]&lt;&gt;"",Table1[[#This Row],[ACT_Qty]]&lt;&gt;""),Table1[[#This Row],[ACT_Qty]]-Table1[[#This Row],[Quantity]],""),"")</f>
        <v/>
      </c>
      <c r="V491" s="45"/>
      <c r="W491" s="45"/>
      <c r="X491" s="45"/>
    </row>
    <row r="492" spans="1:24" ht="15" customHeight="1">
      <c r="A492" s="233" t="str">
        <f t="shared" si="29"/>
        <v>AKH12345</v>
      </c>
      <c r="B492" s="261" t="s">
        <v>1404</v>
      </c>
      <c r="C492" s="7" t="s">
        <v>1405</v>
      </c>
      <c r="D492" s="105"/>
      <c r="E492" s="89"/>
      <c r="F492" s="68"/>
      <c r="G492" s="89"/>
      <c r="H492" s="5" t="s">
        <v>1406</v>
      </c>
      <c r="I492" s="5" t="s">
        <v>1233</v>
      </c>
      <c r="J492" s="5" t="s">
        <v>1203</v>
      </c>
      <c r="K492" s="5" t="s">
        <v>1235</v>
      </c>
      <c r="L492" s="208" t="s">
        <v>1235</v>
      </c>
      <c r="M492" s="148" t="str">
        <f t="shared" si="31"/>
        <v>OneCo Networks AS</v>
      </c>
      <c r="N49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2" s="270" t="str">
        <f ca="1">IFERROR(IF(
OR(Table1[[#This Row],[Product category]]="Service items",Table1[[#This Row],[Product category]]="Additional services",Table1[[#This Row],[Product category]]="Additional materials"),
"NOK",IF(($N$3&lt;&gt;""),VLOOKUP(Table1[[#This Row],[Product code]],INDIRECT(Aux!$A$1),6,FALSE),"")),"")</f>
        <v>NOK</v>
      </c>
      <c r="P492" s="43" t="str">
        <f ca="1">IFERROR(IF(AND(Table1[[#This Row],[Quantity]]&lt;&gt;"",Table1[[#This Row],[Currency]]="NOK"),Table1[[#This Row],[Quantity]]*Table1[[#This Row],[Unit Price]],""),"")</f>
        <v/>
      </c>
      <c r="Q492" s="43" t="str">
        <f ca="1">IFERROR(IF(AND(Table1[[#This Row],[ACT_Qty]]&lt;&gt;"",Table1[[#This Row],[Currency]]="NOK"),Table1[[#This Row],[ACT_Qty]]*Table1[[#This Row],[Unit Price]],""),"")</f>
        <v/>
      </c>
      <c r="R492" s="43" t="str">
        <f ca="1">IFERROR(IF(AND(Table1[[#This Row],[Quantity]]&lt;&gt;"",Table1[[#This Row],[Currency]]="EUR"),Table1[[#This Row],[Quantity]]*Table1[[#This Row],[Unit Price]],""),"")</f>
        <v/>
      </c>
      <c r="S492" s="43" t="str">
        <f ca="1">IFERROR(IF(AND(Table1[[#This Row],[ACT_Qty]]&lt;&gt;"",Table1[[#This Row],[Currency]]="EUR"),Table1[[#This Row],[ACT_Qty]]*Table1[[#This Row],[Unit Price]],""),"")</f>
        <v/>
      </c>
      <c r="T492" s="271" t="str">
        <f ca="1">IFERROR(IF(AND(($N$3&lt;&gt;""),INDIRECT(Aux!$D$1)),VLOOKUP(Table1[[#This Row],[Product code]],Aux!B:E,4,FALSE),""),"")</f>
        <v/>
      </c>
      <c r="U492" s="148" t="str">
        <f>IFERROR(IF(OR(Table1[[#This Row],[Quantity]]&lt;&gt;"",Table1[[#This Row],[ACT_Qty]]&lt;&gt;""),Table1[[#This Row],[ACT_Qty]]-Table1[[#This Row],[Quantity]],""),"")</f>
        <v/>
      </c>
      <c r="V492" s="46"/>
      <c r="W492" s="46"/>
      <c r="X492" s="46"/>
    </row>
    <row r="493" spans="1:24" ht="15" customHeight="1">
      <c r="A493" s="143" t="str">
        <f t="shared" si="29"/>
        <v>AKH12345</v>
      </c>
      <c r="B493" s="260" t="s">
        <v>1407</v>
      </c>
      <c r="C493" s="8" t="s">
        <v>1408</v>
      </c>
      <c r="D493" s="105"/>
      <c r="E493" s="106"/>
      <c r="F493" s="105"/>
      <c r="G493" s="106"/>
      <c r="H493" s="6" t="s">
        <v>1409</v>
      </c>
      <c r="I493" s="6" t="s">
        <v>1233</v>
      </c>
      <c r="J493" s="6" t="s">
        <v>1203</v>
      </c>
      <c r="K493" s="6" t="s">
        <v>1235</v>
      </c>
      <c r="L493" s="207" t="s">
        <v>1235</v>
      </c>
      <c r="M493" s="145" t="str">
        <f t="shared" si="31"/>
        <v>OneCo Networks AS</v>
      </c>
      <c r="N4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3" s="268" t="str">
        <f ca="1">IFERROR(IF(
OR(Table1[[#This Row],[Product category]]="Service items",Table1[[#This Row],[Product category]]="Additional services",Table1[[#This Row],[Product category]]="Additional materials"),
"NOK",IF(($N$3&lt;&gt;""),VLOOKUP(Table1[[#This Row],[Product code]],INDIRECT(Aux!$A$1),6,FALSE),"")),"")</f>
        <v>NOK</v>
      </c>
      <c r="P493" s="41" t="str">
        <f ca="1">IFERROR(IF(AND(Table1[[#This Row],[Quantity]]&lt;&gt;"",Table1[[#This Row],[Currency]]="NOK"),Table1[[#This Row],[Quantity]]*Table1[[#This Row],[Unit Price]],""),"")</f>
        <v/>
      </c>
      <c r="Q493" s="41" t="str">
        <f ca="1">IFERROR(IF(AND(Table1[[#This Row],[ACT_Qty]]&lt;&gt;"",Table1[[#This Row],[Currency]]="NOK"),Table1[[#This Row],[ACT_Qty]]*Table1[[#This Row],[Unit Price]],""),"")</f>
        <v/>
      </c>
      <c r="R493" s="41" t="str">
        <f ca="1">IFERROR(IF(AND(Table1[[#This Row],[Quantity]]&lt;&gt;"",Table1[[#This Row],[Currency]]="EUR"),Table1[[#This Row],[Quantity]]*Table1[[#This Row],[Unit Price]],""),"")</f>
        <v/>
      </c>
      <c r="S493" s="41" t="str">
        <f ca="1">IFERROR(IF(AND(Table1[[#This Row],[ACT_Qty]]&lt;&gt;"",Table1[[#This Row],[Currency]]="EUR"),Table1[[#This Row],[ACT_Qty]]*Table1[[#This Row],[Unit Price]],""),"")</f>
        <v/>
      </c>
      <c r="T493" s="269" t="str">
        <f ca="1">IFERROR(IF(AND(($N$3&lt;&gt;""),INDIRECT(Aux!$D$1)),VLOOKUP(Table1[[#This Row],[Product code]],Aux!B:E,4,FALSE),""),"")</f>
        <v/>
      </c>
      <c r="U493" s="145" t="str">
        <f>IFERROR(IF(OR(Table1[[#This Row],[Quantity]]&lt;&gt;"",Table1[[#This Row],[ACT_Qty]]&lt;&gt;""),Table1[[#This Row],[ACT_Qty]]-Table1[[#This Row],[Quantity]],""),"")</f>
        <v/>
      </c>
      <c r="V493" s="45"/>
      <c r="W493" s="45"/>
      <c r="X493" s="45"/>
    </row>
    <row r="494" spans="1:24" ht="15" customHeight="1">
      <c r="A494" s="233" t="str">
        <f t="shared" si="29"/>
        <v>AKH12345</v>
      </c>
      <c r="B494" s="261" t="s">
        <v>1410</v>
      </c>
      <c r="C494" s="7" t="s">
        <v>1411</v>
      </c>
      <c r="D494" s="105"/>
      <c r="E494" s="89"/>
      <c r="F494" s="68"/>
      <c r="G494" s="89"/>
      <c r="H494" s="5" t="s">
        <v>1412</v>
      </c>
      <c r="I494" s="5" t="s">
        <v>1233</v>
      </c>
      <c r="J494" s="5" t="s">
        <v>1203</v>
      </c>
      <c r="K494" s="5" t="s">
        <v>1235</v>
      </c>
      <c r="L494" s="208" t="s">
        <v>1235</v>
      </c>
      <c r="M494" s="148" t="str">
        <f t="shared" si="31"/>
        <v>OneCo Networks AS</v>
      </c>
      <c r="N49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4" s="270" t="str">
        <f ca="1">IFERROR(IF(
OR(Table1[[#This Row],[Product category]]="Service items",Table1[[#This Row],[Product category]]="Additional services",Table1[[#This Row],[Product category]]="Additional materials"),
"NOK",IF(($N$3&lt;&gt;""),VLOOKUP(Table1[[#This Row],[Product code]],INDIRECT(Aux!$A$1),6,FALSE),"")),"")</f>
        <v>NOK</v>
      </c>
      <c r="P494" s="43" t="str">
        <f ca="1">IFERROR(IF(AND(Table1[[#This Row],[Quantity]]&lt;&gt;"",Table1[[#This Row],[Currency]]="NOK"),Table1[[#This Row],[Quantity]]*Table1[[#This Row],[Unit Price]],""),"")</f>
        <v/>
      </c>
      <c r="Q494" s="43" t="str">
        <f ca="1">IFERROR(IF(AND(Table1[[#This Row],[ACT_Qty]]&lt;&gt;"",Table1[[#This Row],[Currency]]="NOK"),Table1[[#This Row],[ACT_Qty]]*Table1[[#This Row],[Unit Price]],""),"")</f>
        <v/>
      </c>
      <c r="R494" s="43" t="str">
        <f ca="1">IFERROR(IF(AND(Table1[[#This Row],[Quantity]]&lt;&gt;"",Table1[[#This Row],[Currency]]="EUR"),Table1[[#This Row],[Quantity]]*Table1[[#This Row],[Unit Price]],""),"")</f>
        <v/>
      </c>
      <c r="S494" s="43" t="str">
        <f ca="1">IFERROR(IF(AND(Table1[[#This Row],[ACT_Qty]]&lt;&gt;"",Table1[[#This Row],[Currency]]="EUR"),Table1[[#This Row],[ACT_Qty]]*Table1[[#This Row],[Unit Price]],""),"")</f>
        <v/>
      </c>
      <c r="T494" s="271" t="str">
        <f ca="1">IFERROR(IF(AND(($N$3&lt;&gt;""),INDIRECT(Aux!$D$1)),VLOOKUP(Table1[[#This Row],[Product code]],Aux!B:E,4,FALSE),""),"")</f>
        <v/>
      </c>
      <c r="U494" s="148" t="str">
        <f>IFERROR(IF(OR(Table1[[#This Row],[Quantity]]&lt;&gt;"",Table1[[#This Row],[ACT_Qty]]&lt;&gt;""),Table1[[#This Row],[ACT_Qty]]-Table1[[#This Row],[Quantity]],""),"")</f>
        <v/>
      </c>
      <c r="V494" s="46"/>
      <c r="W494" s="46"/>
      <c r="X494" s="46"/>
    </row>
    <row r="495" spans="1:24" ht="15" customHeight="1">
      <c r="A495" s="143" t="str">
        <f t="shared" si="29"/>
        <v>AKH12345</v>
      </c>
      <c r="B495" s="260" t="s">
        <v>1413</v>
      </c>
      <c r="C495" s="8" t="s">
        <v>1414</v>
      </c>
      <c r="D495" s="105"/>
      <c r="E495" s="106"/>
      <c r="F495" s="105"/>
      <c r="G495" s="106"/>
      <c r="H495" s="6" t="s">
        <v>1415</v>
      </c>
      <c r="I495" s="6" t="s">
        <v>1233</v>
      </c>
      <c r="J495" s="6" t="s">
        <v>1203</v>
      </c>
      <c r="K495" s="6" t="s">
        <v>1235</v>
      </c>
      <c r="L495" s="207" t="s">
        <v>1235</v>
      </c>
      <c r="M495" s="145" t="str">
        <f t="shared" si="31"/>
        <v>OneCo Networks AS</v>
      </c>
      <c r="N4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5" s="268" t="str">
        <f ca="1">IFERROR(IF(
OR(Table1[[#This Row],[Product category]]="Service items",Table1[[#This Row],[Product category]]="Additional services",Table1[[#This Row],[Product category]]="Additional materials"),
"NOK",IF(($N$3&lt;&gt;""),VLOOKUP(Table1[[#This Row],[Product code]],INDIRECT(Aux!$A$1),6,FALSE),"")),"")</f>
        <v>NOK</v>
      </c>
      <c r="P495" s="41" t="str">
        <f ca="1">IFERROR(IF(AND(Table1[[#This Row],[Quantity]]&lt;&gt;"",Table1[[#This Row],[Currency]]="NOK"),Table1[[#This Row],[Quantity]]*Table1[[#This Row],[Unit Price]],""),"")</f>
        <v/>
      </c>
      <c r="Q495" s="41" t="str">
        <f ca="1">IFERROR(IF(AND(Table1[[#This Row],[ACT_Qty]]&lt;&gt;"",Table1[[#This Row],[Currency]]="NOK"),Table1[[#This Row],[ACT_Qty]]*Table1[[#This Row],[Unit Price]],""),"")</f>
        <v/>
      </c>
      <c r="R495" s="41" t="str">
        <f ca="1">IFERROR(IF(AND(Table1[[#This Row],[Quantity]]&lt;&gt;"",Table1[[#This Row],[Currency]]="EUR"),Table1[[#This Row],[Quantity]]*Table1[[#This Row],[Unit Price]],""),"")</f>
        <v/>
      </c>
      <c r="S495" s="41" t="str">
        <f ca="1">IFERROR(IF(AND(Table1[[#This Row],[ACT_Qty]]&lt;&gt;"",Table1[[#This Row],[Currency]]="EUR"),Table1[[#This Row],[ACT_Qty]]*Table1[[#This Row],[Unit Price]],""),"")</f>
        <v/>
      </c>
      <c r="T495" s="269" t="str">
        <f ca="1">IFERROR(IF(AND(($N$3&lt;&gt;""),INDIRECT(Aux!$D$1)),VLOOKUP(Table1[[#This Row],[Product code]],Aux!B:E,4,FALSE),""),"")</f>
        <v/>
      </c>
      <c r="U495" s="145" t="str">
        <f>IFERROR(IF(OR(Table1[[#This Row],[Quantity]]&lt;&gt;"",Table1[[#This Row],[ACT_Qty]]&lt;&gt;""),Table1[[#This Row],[ACT_Qty]]-Table1[[#This Row],[Quantity]],""),"")</f>
        <v/>
      </c>
      <c r="V495" s="45"/>
      <c r="W495" s="45"/>
      <c r="X495" s="45"/>
    </row>
    <row r="496" spans="1:24" ht="15" customHeight="1">
      <c r="A496" s="233" t="str">
        <f t="shared" si="29"/>
        <v>AKH12345</v>
      </c>
      <c r="B496" s="261" t="s">
        <v>1416</v>
      </c>
      <c r="C496" s="7" t="s">
        <v>1417</v>
      </c>
      <c r="D496" s="105"/>
      <c r="E496" s="89" t="s">
        <v>1418</v>
      </c>
      <c r="F496" s="68"/>
      <c r="G496" s="89"/>
      <c r="H496" s="5" t="s">
        <v>1419</v>
      </c>
      <c r="I496" s="5" t="s">
        <v>1233</v>
      </c>
      <c r="J496" s="5" t="s">
        <v>1203</v>
      </c>
      <c r="K496" s="5" t="s">
        <v>1235</v>
      </c>
      <c r="L496" s="208" t="s">
        <v>1235</v>
      </c>
      <c r="M496" s="148" t="str">
        <f t="shared" si="31"/>
        <v>OneCo Networks AS</v>
      </c>
      <c r="N49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6" s="270" t="str">
        <f ca="1">IFERROR(IF(
OR(Table1[[#This Row],[Product category]]="Service items",Table1[[#This Row],[Product category]]="Additional services",Table1[[#This Row],[Product category]]="Additional materials"),
"NOK",IF(($N$3&lt;&gt;""),VLOOKUP(Table1[[#This Row],[Product code]],INDIRECT(Aux!$A$1),6,FALSE),"")),"")</f>
        <v>NOK</v>
      </c>
      <c r="P496" s="43" t="str">
        <f ca="1">IFERROR(IF(AND(Table1[[#This Row],[Quantity]]&lt;&gt;"",Table1[[#This Row],[Currency]]="NOK"),Table1[[#This Row],[Quantity]]*Table1[[#This Row],[Unit Price]],""),"")</f>
        <v/>
      </c>
      <c r="Q496" s="43" t="str">
        <f ca="1">IFERROR(IF(AND(Table1[[#This Row],[ACT_Qty]]&lt;&gt;"",Table1[[#This Row],[Currency]]="NOK"),Table1[[#This Row],[ACT_Qty]]*Table1[[#This Row],[Unit Price]],""),"")</f>
        <v/>
      </c>
      <c r="R496" s="43" t="str">
        <f ca="1">IFERROR(IF(AND(Table1[[#This Row],[Quantity]]&lt;&gt;"",Table1[[#This Row],[Currency]]="EUR"),Table1[[#This Row],[Quantity]]*Table1[[#This Row],[Unit Price]],""),"")</f>
        <v/>
      </c>
      <c r="S496" s="43" t="str">
        <f ca="1">IFERROR(IF(AND(Table1[[#This Row],[ACT_Qty]]&lt;&gt;"",Table1[[#This Row],[Currency]]="EUR"),Table1[[#This Row],[ACT_Qty]]*Table1[[#This Row],[Unit Price]],""),"")</f>
        <v/>
      </c>
      <c r="T496" s="271" t="str">
        <f ca="1">IFERROR(IF(AND(($N$3&lt;&gt;""),INDIRECT(Aux!$D$1)),VLOOKUP(Table1[[#This Row],[Product code]],Aux!B:E,4,FALSE),""),"")</f>
        <v/>
      </c>
      <c r="U496" s="148" t="str">
        <f>IFERROR(IF(OR(Table1[[#This Row],[Quantity]]&lt;&gt;"",Table1[[#This Row],[ACT_Qty]]&lt;&gt;""),Table1[[#This Row],[ACT_Qty]]-Table1[[#This Row],[Quantity]],""),"")</f>
        <v/>
      </c>
      <c r="V496" s="46"/>
      <c r="W496" s="46"/>
      <c r="X496" s="46"/>
    </row>
    <row r="497" spans="1:24" ht="15" customHeight="1">
      <c r="A497" s="143" t="str">
        <f t="shared" si="29"/>
        <v>AKH12345</v>
      </c>
      <c r="B497" s="260" t="s">
        <v>1420</v>
      </c>
      <c r="C497" s="8" t="s">
        <v>1421</v>
      </c>
      <c r="D497" s="105"/>
      <c r="E497" s="106"/>
      <c r="F497" s="105"/>
      <c r="G497" s="106"/>
      <c r="H497" s="6" t="s">
        <v>1422</v>
      </c>
      <c r="I497" s="6" t="s">
        <v>1233</v>
      </c>
      <c r="J497" s="6" t="s">
        <v>1203</v>
      </c>
      <c r="K497" s="6" t="s">
        <v>1235</v>
      </c>
      <c r="L497" s="207" t="s">
        <v>1235</v>
      </c>
      <c r="M497" s="145" t="str">
        <f t="shared" si="31"/>
        <v>OneCo Networks AS</v>
      </c>
      <c r="N4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7" s="268" t="str">
        <f ca="1">IFERROR(IF(
OR(Table1[[#This Row],[Product category]]="Service items",Table1[[#This Row],[Product category]]="Additional services",Table1[[#This Row],[Product category]]="Additional materials"),
"NOK",IF(($N$3&lt;&gt;""),VLOOKUP(Table1[[#This Row],[Product code]],INDIRECT(Aux!$A$1),6,FALSE),"")),"")</f>
        <v>NOK</v>
      </c>
      <c r="P497" s="41" t="str">
        <f ca="1">IFERROR(IF(AND(Table1[[#This Row],[Quantity]]&lt;&gt;"",Table1[[#This Row],[Currency]]="NOK"),Table1[[#This Row],[Quantity]]*Table1[[#This Row],[Unit Price]],""),"")</f>
        <v/>
      </c>
      <c r="Q497" s="41" t="str">
        <f ca="1">IFERROR(IF(AND(Table1[[#This Row],[ACT_Qty]]&lt;&gt;"",Table1[[#This Row],[Currency]]="NOK"),Table1[[#This Row],[ACT_Qty]]*Table1[[#This Row],[Unit Price]],""),"")</f>
        <v/>
      </c>
      <c r="R497" s="41" t="str">
        <f ca="1">IFERROR(IF(AND(Table1[[#This Row],[Quantity]]&lt;&gt;"",Table1[[#This Row],[Currency]]="EUR"),Table1[[#This Row],[Quantity]]*Table1[[#This Row],[Unit Price]],""),"")</f>
        <v/>
      </c>
      <c r="S497" s="41" t="str">
        <f ca="1">IFERROR(IF(AND(Table1[[#This Row],[ACT_Qty]]&lt;&gt;"",Table1[[#This Row],[Currency]]="EUR"),Table1[[#This Row],[ACT_Qty]]*Table1[[#This Row],[Unit Price]],""),"")</f>
        <v/>
      </c>
      <c r="T497" s="269" t="str">
        <f ca="1">IFERROR(IF(AND(($N$3&lt;&gt;""),INDIRECT(Aux!$D$1)),VLOOKUP(Table1[[#This Row],[Product code]],Aux!B:E,4,FALSE),""),"")</f>
        <v/>
      </c>
      <c r="U497" s="145" t="str">
        <f>IFERROR(IF(OR(Table1[[#This Row],[Quantity]]&lt;&gt;"",Table1[[#This Row],[ACT_Qty]]&lt;&gt;""),Table1[[#This Row],[ACT_Qty]]-Table1[[#This Row],[Quantity]],""),"")</f>
        <v/>
      </c>
      <c r="V497" s="45"/>
      <c r="W497" s="45"/>
      <c r="X497" s="45"/>
    </row>
    <row r="498" spans="1:24" ht="15" customHeight="1">
      <c r="A498" s="233" t="str">
        <f t="shared" si="29"/>
        <v>AKH12345</v>
      </c>
      <c r="B498" s="261" t="s">
        <v>1423</v>
      </c>
      <c r="C498" s="7" t="s">
        <v>1424</v>
      </c>
      <c r="D498" s="105"/>
      <c r="E498" s="89"/>
      <c r="F498" s="68"/>
      <c r="G498" s="89"/>
      <c r="H498" s="5" t="s">
        <v>1425</v>
      </c>
      <c r="I498" s="5" t="s">
        <v>1233</v>
      </c>
      <c r="J498" s="5" t="s">
        <v>1203</v>
      </c>
      <c r="K498" s="5" t="s">
        <v>1235</v>
      </c>
      <c r="L498" s="208" t="s">
        <v>1235</v>
      </c>
      <c r="M498" s="148" t="str">
        <f t="shared" si="31"/>
        <v>OneCo Networks AS</v>
      </c>
      <c r="N49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8" s="270" t="str">
        <f ca="1">IFERROR(IF(
OR(Table1[[#This Row],[Product category]]="Service items",Table1[[#This Row],[Product category]]="Additional services",Table1[[#This Row],[Product category]]="Additional materials"),
"NOK",IF(($N$3&lt;&gt;""),VLOOKUP(Table1[[#This Row],[Product code]],INDIRECT(Aux!$A$1),6,FALSE),"")),"")</f>
        <v>NOK</v>
      </c>
      <c r="P498" s="43" t="str">
        <f ca="1">IFERROR(IF(AND(Table1[[#This Row],[Quantity]]&lt;&gt;"",Table1[[#This Row],[Currency]]="NOK"),Table1[[#This Row],[Quantity]]*Table1[[#This Row],[Unit Price]],""),"")</f>
        <v/>
      </c>
      <c r="Q498" s="43" t="str">
        <f ca="1">IFERROR(IF(AND(Table1[[#This Row],[ACT_Qty]]&lt;&gt;"",Table1[[#This Row],[Currency]]="NOK"),Table1[[#This Row],[ACT_Qty]]*Table1[[#This Row],[Unit Price]],""),"")</f>
        <v/>
      </c>
      <c r="R498" s="43" t="str">
        <f ca="1">IFERROR(IF(AND(Table1[[#This Row],[Quantity]]&lt;&gt;"",Table1[[#This Row],[Currency]]="EUR"),Table1[[#This Row],[Quantity]]*Table1[[#This Row],[Unit Price]],""),"")</f>
        <v/>
      </c>
      <c r="S498" s="43" t="str">
        <f ca="1">IFERROR(IF(AND(Table1[[#This Row],[ACT_Qty]]&lt;&gt;"",Table1[[#This Row],[Currency]]="EUR"),Table1[[#This Row],[ACT_Qty]]*Table1[[#This Row],[Unit Price]],""),"")</f>
        <v/>
      </c>
      <c r="T498" s="271" t="str">
        <f ca="1">IFERROR(IF(AND(($N$3&lt;&gt;""),INDIRECT(Aux!$D$1)),VLOOKUP(Table1[[#This Row],[Product code]],Aux!B:E,4,FALSE),""),"")</f>
        <v/>
      </c>
      <c r="U498" s="148" t="str">
        <f>IFERROR(IF(OR(Table1[[#This Row],[Quantity]]&lt;&gt;"",Table1[[#This Row],[ACT_Qty]]&lt;&gt;""),Table1[[#This Row],[ACT_Qty]]-Table1[[#This Row],[Quantity]],""),"")</f>
        <v/>
      </c>
      <c r="V498" s="46"/>
      <c r="W498" s="46"/>
      <c r="X498" s="46"/>
    </row>
    <row r="499" spans="1:24" ht="15" customHeight="1">
      <c r="A499" s="143" t="str">
        <f t="shared" si="29"/>
        <v>AKH12345</v>
      </c>
      <c r="B499" s="260" t="s">
        <v>1426</v>
      </c>
      <c r="C499" s="8" t="s">
        <v>1427</v>
      </c>
      <c r="D499" s="105"/>
      <c r="E499" s="106" t="s">
        <v>1428</v>
      </c>
      <c r="F499" s="105"/>
      <c r="G499" s="106"/>
      <c r="H499" s="6" t="s">
        <v>1429</v>
      </c>
      <c r="I499" s="6" t="s">
        <v>1233</v>
      </c>
      <c r="J499" s="6" t="s">
        <v>1203</v>
      </c>
      <c r="K499" s="6" t="s">
        <v>1235</v>
      </c>
      <c r="L499" s="207" t="s">
        <v>1235</v>
      </c>
      <c r="M499" s="145" t="str">
        <f t="shared" si="31"/>
        <v>OneCo Networks AS</v>
      </c>
      <c r="N4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499" s="268" t="str">
        <f ca="1">IFERROR(IF(
OR(Table1[[#This Row],[Product category]]="Service items",Table1[[#This Row],[Product category]]="Additional services",Table1[[#This Row],[Product category]]="Additional materials"),
"NOK",IF(($N$3&lt;&gt;""),VLOOKUP(Table1[[#This Row],[Product code]],INDIRECT(Aux!$A$1),6,FALSE),"")),"")</f>
        <v>NOK</v>
      </c>
      <c r="P499" s="41" t="str">
        <f ca="1">IFERROR(IF(AND(Table1[[#This Row],[Quantity]]&lt;&gt;"",Table1[[#This Row],[Currency]]="NOK"),Table1[[#This Row],[Quantity]]*Table1[[#This Row],[Unit Price]],""),"")</f>
        <v/>
      </c>
      <c r="Q499" s="41" t="str">
        <f ca="1">IFERROR(IF(AND(Table1[[#This Row],[ACT_Qty]]&lt;&gt;"",Table1[[#This Row],[Currency]]="NOK"),Table1[[#This Row],[ACT_Qty]]*Table1[[#This Row],[Unit Price]],""),"")</f>
        <v/>
      </c>
      <c r="R499" s="41" t="str">
        <f ca="1">IFERROR(IF(AND(Table1[[#This Row],[Quantity]]&lt;&gt;"",Table1[[#This Row],[Currency]]="EUR"),Table1[[#This Row],[Quantity]]*Table1[[#This Row],[Unit Price]],""),"")</f>
        <v/>
      </c>
      <c r="S499" s="41" t="str">
        <f ca="1">IFERROR(IF(AND(Table1[[#This Row],[ACT_Qty]]&lt;&gt;"",Table1[[#This Row],[Currency]]="EUR"),Table1[[#This Row],[ACT_Qty]]*Table1[[#This Row],[Unit Price]],""),"")</f>
        <v/>
      </c>
      <c r="T499" s="269" t="str">
        <f ca="1">IFERROR(IF(AND(($N$3&lt;&gt;""),INDIRECT(Aux!$D$1)),VLOOKUP(Table1[[#This Row],[Product code]],Aux!B:E,4,FALSE),""),"")</f>
        <v/>
      </c>
      <c r="U499" s="145" t="str">
        <f>IFERROR(IF(OR(Table1[[#This Row],[Quantity]]&lt;&gt;"",Table1[[#This Row],[ACT_Qty]]&lt;&gt;""),Table1[[#This Row],[ACT_Qty]]-Table1[[#This Row],[Quantity]],""),"")</f>
        <v/>
      </c>
      <c r="V499" s="45"/>
      <c r="W499" s="45"/>
      <c r="X499" s="45"/>
    </row>
    <row r="500" spans="1:24" ht="15" customHeight="1">
      <c r="A500" s="233" t="str">
        <f t="shared" si="29"/>
        <v>AKH12345</v>
      </c>
      <c r="B500" s="261" t="s">
        <v>1430</v>
      </c>
      <c r="C500" s="7" t="s">
        <v>1431</v>
      </c>
      <c r="D500" s="105"/>
      <c r="E500" s="89"/>
      <c r="F500" s="68"/>
      <c r="G500" s="89"/>
      <c r="H500" s="5" t="s">
        <v>1432</v>
      </c>
      <c r="I500" s="5" t="s">
        <v>1233</v>
      </c>
      <c r="J500" s="5" t="s">
        <v>1433</v>
      </c>
      <c r="K500" s="5" t="s">
        <v>1235</v>
      </c>
      <c r="L500" s="208" t="s">
        <v>1235</v>
      </c>
      <c r="M500" s="148" t="str">
        <f t="shared" si="31"/>
        <v>OneCo Networks AS</v>
      </c>
      <c r="N50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0" s="270" t="str">
        <f ca="1">IFERROR(IF(
OR(Table1[[#This Row],[Product category]]="Service items",Table1[[#This Row],[Product category]]="Additional services",Table1[[#This Row],[Product category]]="Additional materials"),
"NOK",IF(($N$3&lt;&gt;""),VLOOKUP(Table1[[#This Row],[Product code]],INDIRECT(Aux!$A$1),6,FALSE),"")),"")</f>
        <v>NOK</v>
      </c>
      <c r="P500" s="43" t="str">
        <f ca="1">IFERROR(IF(AND(Table1[[#This Row],[Quantity]]&lt;&gt;"",Table1[[#This Row],[Currency]]="NOK"),Table1[[#This Row],[Quantity]]*Table1[[#This Row],[Unit Price]],""),"")</f>
        <v/>
      </c>
      <c r="Q500" s="43" t="str">
        <f ca="1">IFERROR(IF(AND(Table1[[#This Row],[ACT_Qty]]&lt;&gt;"",Table1[[#This Row],[Currency]]="NOK"),Table1[[#This Row],[ACT_Qty]]*Table1[[#This Row],[Unit Price]],""),"")</f>
        <v/>
      </c>
      <c r="R500" s="43" t="str">
        <f ca="1">IFERROR(IF(AND(Table1[[#This Row],[Quantity]]&lt;&gt;"",Table1[[#This Row],[Currency]]="EUR"),Table1[[#This Row],[Quantity]]*Table1[[#This Row],[Unit Price]],""),"")</f>
        <v/>
      </c>
      <c r="S500" s="43" t="str">
        <f ca="1">IFERROR(IF(AND(Table1[[#This Row],[ACT_Qty]]&lt;&gt;"",Table1[[#This Row],[Currency]]="EUR"),Table1[[#This Row],[ACT_Qty]]*Table1[[#This Row],[Unit Price]],""),"")</f>
        <v/>
      </c>
      <c r="T500" s="271" t="str">
        <f ca="1">IFERROR(IF(AND(($N$3&lt;&gt;""),INDIRECT(Aux!$D$1)),VLOOKUP(Table1[[#This Row],[Product code]],Aux!B:E,4,FALSE),""),"")</f>
        <v/>
      </c>
      <c r="U500" s="148" t="str">
        <f>IFERROR(IF(OR(Table1[[#This Row],[Quantity]]&lt;&gt;"",Table1[[#This Row],[ACT_Qty]]&lt;&gt;""),Table1[[#This Row],[ACT_Qty]]-Table1[[#This Row],[Quantity]],""),"")</f>
        <v/>
      </c>
      <c r="V500" s="46"/>
      <c r="W500" s="46"/>
      <c r="X500" s="46"/>
    </row>
    <row r="501" spans="1:24" ht="15" customHeight="1">
      <c r="A501" s="143" t="str">
        <f t="shared" si="29"/>
        <v>AKH12345</v>
      </c>
      <c r="B501" s="260" t="s">
        <v>1434</v>
      </c>
      <c r="C501" s="8" t="s">
        <v>1435</v>
      </c>
      <c r="D501" s="105"/>
      <c r="E501" s="106"/>
      <c r="F501" s="105"/>
      <c r="G501" s="106"/>
      <c r="H501" s="6" t="s">
        <v>1436</v>
      </c>
      <c r="I501" s="6" t="s">
        <v>1233</v>
      </c>
      <c r="J501" s="6" t="s">
        <v>1433</v>
      </c>
      <c r="K501" s="6" t="s">
        <v>1235</v>
      </c>
      <c r="L501" s="207" t="s">
        <v>1235</v>
      </c>
      <c r="M501" s="145" t="str">
        <f t="shared" si="31"/>
        <v>OneCo Networks AS</v>
      </c>
      <c r="N5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1" s="268" t="str">
        <f ca="1">IFERROR(IF(
OR(Table1[[#This Row],[Product category]]="Service items",Table1[[#This Row],[Product category]]="Additional services",Table1[[#This Row],[Product category]]="Additional materials"),
"NOK",IF(($N$3&lt;&gt;""),VLOOKUP(Table1[[#This Row],[Product code]],INDIRECT(Aux!$A$1),6,FALSE),"")),"")</f>
        <v>NOK</v>
      </c>
      <c r="P501" s="41" t="str">
        <f ca="1">IFERROR(IF(AND(Table1[[#This Row],[Quantity]]&lt;&gt;"",Table1[[#This Row],[Currency]]="NOK"),Table1[[#This Row],[Quantity]]*Table1[[#This Row],[Unit Price]],""),"")</f>
        <v/>
      </c>
      <c r="Q501" s="41" t="str">
        <f ca="1">IFERROR(IF(AND(Table1[[#This Row],[ACT_Qty]]&lt;&gt;"",Table1[[#This Row],[Currency]]="NOK"),Table1[[#This Row],[ACT_Qty]]*Table1[[#This Row],[Unit Price]],""),"")</f>
        <v/>
      </c>
      <c r="R501" s="41" t="str">
        <f ca="1">IFERROR(IF(AND(Table1[[#This Row],[Quantity]]&lt;&gt;"",Table1[[#This Row],[Currency]]="EUR"),Table1[[#This Row],[Quantity]]*Table1[[#This Row],[Unit Price]],""),"")</f>
        <v/>
      </c>
      <c r="S501" s="41" t="str">
        <f ca="1">IFERROR(IF(AND(Table1[[#This Row],[ACT_Qty]]&lt;&gt;"",Table1[[#This Row],[Currency]]="EUR"),Table1[[#This Row],[ACT_Qty]]*Table1[[#This Row],[Unit Price]],""),"")</f>
        <v/>
      </c>
      <c r="T501" s="269" t="str">
        <f ca="1">IFERROR(IF(AND(($N$3&lt;&gt;""),INDIRECT(Aux!$D$1)),VLOOKUP(Table1[[#This Row],[Product code]],Aux!B:E,4,FALSE),""),"")</f>
        <v/>
      </c>
      <c r="U501" s="145" t="str">
        <f>IFERROR(IF(OR(Table1[[#This Row],[Quantity]]&lt;&gt;"",Table1[[#This Row],[ACT_Qty]]&lt;&gt;""),Table1[[#This Row],[ACT_Qty]]-Table1[[#This Row],[Quantity]],""),"")</f>
        <v/>
      </c>
      <c r="V501" s="45"/>
      <c r="W501" s="45"/>
      <c r="X501" s="45"/>
    </row>
    <row r="502" spans="1:24" ht="15" customHeight="1">
      <c r="A502" s="233" t="str">
        <f t="shared" si="29"/>
        <v>AKH12345</v>
      </c>
      <c r="B502" s="261" t="s">
        <v>1437</v>
      </c>
      <c r="C502" s="7" t="s">
        <v>1438</v>
      </c>
      <c r="D502" s="105"/>
      <c r="E502" s="89"/>
      <c r="F502" s="68"/>
      <c r="G502" s="89"/>
      <c r="H502" s="5" t="s">
        <v>1403</v>
      </c>
      <c r="I502" s="5" t="s">
        <v>1233</v>
      </c>
      <c r="J502" s="5" t="s">
        <v>1433</v>
      </c>
      <c r="K502" s="5" t="s">
        <v>1235</v>
      </c>
      <c r="L502" s="208" t="s">
        <v>1235</v>
      </c>
      <c r="M502" s="148" t="str">
        <f t="shared" si="31"/>
        <v>OneCo Networks AS</v>
      </c>
      <c r="N50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2" s="270" t="str">
        <f ca="1">IFERROR(IF(
OR(Table1[[#This Row],[Product category]]="Service items",Table1[[#This Row],[Product category]]="Additional services",Table1[[#This Row],[Product category]]="Additional materials"),
"NOK",IF(($N$3&lt;&gt;""),VLOOKUP(Table1[[#This Row],[Product code]],INDIRECT(Aux!$A$1),6,FALSE),"")),"")</f>
        <v>NOK</v>
      </c>
      <c r="P502" s="43" t="str">
        <f ca="1">IFERROR(IF(AND(Table1[[#This Row],[Quantity]]&lt;&gt;"",Table1[[#This Row],[Currency]]="NOK"),Table1[[#This Row],[Quantity]]*Table1[[#This Row],[Unit Price]],""),"")</f>
        <v/>
      </c>
      <c r="Q502" s="43" t="str">
        <f ca="1">IFERROR(IF(AND(Table1[[#This Row],[ACT_Qty]]&lt;&gt;"",Table1[[#This Row],[Currency]]="NOK"),Table1[[#This Row],[ACT_Qty]]*Table1[[#This Row],[Unit Price]],""),"")</f>
        <v/>
      </c>
      <c r="R502" s="43" t="str">
        <f ca="1">IFERROR(IF(AND(Table1[[#This Row],[Quantity]]&lt;&gt;"",Table1[[#This Row],[Currency]]="EUR"),Table1[[#This Row],[Quantity]]*Table1[[#This Row],[Unit Price]],""),"")</f>
        <v/>
      </c>
      <c r="S502" s="43" t="str">
        <f ca="1">IFERROR(IF(AND(Table1[[#This Row],[ACT_Qty]]&lt;&gt;"",Table1[[#This Row],[Currency]]="EUR"),Table1[[#This Row],[ACT_Qty]]*Table1[[#This Row],[Unit Price]],""),"")</f>
        <v/>
      </c>
      <c r="T502" s="271" t="str">
        <f ca="1">IFERROR(IF(AND(($N$3&lt;&gt;""),INDIRECT(Aux!$D$1)),VLOOKUP(Table1[[#This Row],[Product code]],Aux!B:E,4,FALSE),""),"")</f>
        <v/>
      </c>
      <c r="U502" s="148" t="str">
        <f>IFERROR(IF(OR(Table1[[#This Row],[Quantity]]&lt;&gt;"",Table1[[#This Row],[ACT_Qty]]&lt;&gt;""),Table1[[#This Row],[ACT_Qty]]-Table1[[#This Row],[Quantity]],""),"")</f>
        <v/>
      </c>
      <c r="V502" s="46"/>
      <c r="W502" s="46"/>
      <c r="X502" s="46"/>
    </row>
    <row r="503" spans="1:24" ht="15" customHeight="1">
      <c r="A503" s="143" t="str">
        <f t="shared" si="29"/>
        <v>AKH12345</v>
      </c>
      <c r="B503" s="260" t="s">
        <v>1439</v>
      </c>
      <c r="C503" s="8" t="s">
        <v>1440</v>
      </c>
      <c r="D503" s="105"/>
      <c r="E503" s="106"/>
      <c r="F503" s="105"/>
      <c r="G503" s="106"/>
      <c r="H503" s="6" t="s">
        <v>1403</v>
      </c>
      <c r="I503" s="6" t="s">
        <v>1233</v>
      </c>
      <c r="J503" s="6" t="s">
        <v>1433</v>
      </c>
      <c r="K503" s="6" t="s">
        <v>1235</v>
      </c>
      <c r="L503" s="207" t="s">
        <v>1235</v>
      </c>
      <c r="M503" s="145" t="str">
        <f t="shared" si="31"/>
        <v>OneCo Networks AS</v>
      </c>
      <c r="N5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3" s="268" t="str">
        <f ca="1">IFERROR(IF(
OR(Table1[[#This Row],[Product category]]="Service items",Table1[[#This Row],[Product category]]="Additional services",Table1[[#This Row],[Product category]]="Additional materials"),
"NOK",IF(($N$3&lt;&gt;""),VLOOKUP(Table1[[#This Row],[Product code]],INDIRECT(Aux!$A$1),6,FALSE),"")),"")</f>
        <v>NOK</v>
      </c>
      <c r="P503" s="41" t="str">
        <f ca="1">IFERROR(IF(AND(Table1[[#This Row],[Quantity]]&lt;&gt;"",Table1[[#This Row],[Currency]]="NOK"),Table1[[#This Row],[Quantity]]*Table1[[#This Row],[Unit Price]],""),"")</f>
        <v/>
      </c>
      <c r="Q503" s="41" t="str">
        <f ca="1">IFERROR(IF(AND(Table1[[#This Row],[ACT_Qty]]&lt;&gt;"",Table1[[#This Row],[Currency]]="NOK"),Table1[[#This Row],[ACT_Qty]]*Table1[[#This Row],[Unit Price]],""),"")</f>
        <v/>
      </c>
      <c r="R503" s="41" t="str">
        <f ca="1">IFERROR(IF(AND(Table1[[#This Row],[Quantity]]&lt;&gt;"",Table1[[#This Row],[Currency]]="EUR"),Table1[[#This Row],[Quantity]]*Table1[[#This Row],[Unit Price]],""),"")</f>
        <v/>
      </c>
      <c r="S503" s="41" t="str">
        <f ca="1">IFERROR(IF(AND(Table1[[#This Row],[ACT_Qty]]&lt;&gt;"",Table1[[#This Row],[Currency]]="EUR"),Table1[[#This Row],[ACT_Qty]]*Table1[[#This Row],[Unit Price]],""),"")</f>
        <v/>
      </c>
      <c r="T503" s="269" t="str">
        <f ca="1">IFERROR(IF(AND(($N$3&lt;&gt;""),INDIRECT(Aux!$D$1)),VLOOKUP(Table1[[#This Row],[Product code]],Aux!B:E,4,FALSE),""),"")</f>
        <v/>
      </c>
      <c r="U503" s="145" t="str">
        <f>IFERROR(IF(OR(Table1[[#This Row],[Quantity]]&lt;&gt;"",Table1[[#This Row],[ACT_Qty]]&lt;&gt;""),Table1[[#This Row],[ACT_Qty]]-Table1[[#This Row],[Quantity]],""),"")</f>
        <v/>
      </c>
      <c r="V503" s="45"/>
      <c r="W503" s="45"/>
      <c r="X503" s="45"/>
    </row>
    <row r="504" spans="1:24" ht="15" customHeight="1">
      <c r="A504" s="233" t="str">
        <f t="shared" si="29"/>
        <v>AKH12345</v>
      </c>
      <c r="B504" s="261" t="s">
        <v>1441</v>
      </c>
      <c r="C504" s="7" t="s">
        <v>1442</v>
      </c>
      <c r="D504" s="105"/>
      <c r="E504" s="89"/>
      <c r="F504" s="68"/>
      <c r="G504" s="89"/>
      <c r="H504" s="5" t="s">
        <v>1443</v>
      </c>
      <c r="I504" s="5" t="s">
        <v>1233</v>
      </c>
      <c r="J504" s="5" t="s">
        <v>1433</v>
      </c>
      <c r="K504" s="5" t="s">
        <v>1235</v>
      </c>
      <c r="L504" s="208" t="s">
        <v>1235</v>
      </c>
      <c r="M504" s="148" t="str">
        <f t="shared" si="31"/>
        <v>OneCo Networks AS</v>
      </c>
      <c r="N50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4" s="270" t="str">
        <f ca="1">IFERROR(IF(
OR(Table1[[#This Row],[Product category]]="Service items",Table1[[#This Row],[Product category]]="Additional services",Table1[[#This Row],[Product category]]="Additional materials"),
"NOK",IF(($N$3&lt;&gt;""),VLOOKUP(Table1[[#This Row],[Product code]],INDIRECT(Aux!$A$1),6,FALSE),"")),"")</f>
        <v>NOK</v>
      </c>
      <c r="P504" s="43" t="str">
        <f ca="1">IFERROR(IF(AND(Table1[[#This Row],[Quantity]]&lt;&gt;"",Table1[[#This Row],[Currency]]="NOK"),Table1[[#This Row],[Quantity]]*Table1[[#This Row],[Unit Price]],""),"")</f>
        <v/>
      </c>
      <c r="Q504" s="43" t="str">
        <f ca="1">IFERROR(IF(AND(Table1[[#This Row],[ACT_Qty]]&lt;&gt;"",Table1[[#This Row],[Currency]]="NOK"),Table1[[#This Row],[ACT_Qty]]*Table1[[#This Row],[Unit Price]],""),"")</f>
        <v/>
      </c>
      <c r="R504" s="43" t="str">
        <f ca="1">IFERROR(IF(AND(Table1[[#This Row],[Quantity]]&lt;&gt;"",Table1[[#This Row],[Currency]]="EUR"),Table1[[#This Row],[Quantity]]*Table1[[#This Row],[Unit Price]],""),"")</f>
        <v/>
      </c>
      <c r="S504" s="43" t="str">
        <f ca="1">IFERROR(IF(AND(Table1[[#This Row],[ACT_Qty]]&lt;&gt;"",Table1[[#This Row],[Currency]]="EUR"),Table1[[#This Row],[ACT_Qty]]*Table1[[#This Row],[Unit Price]],""),"")</f>
        <v/>
      </c>
      <c r="T504" s="271" t="str">
        <f ca="1">IFERROR(IF(AND(($N$3&lt;&gt;""),INDIRECT(Aux!$D$1)),VLOOKUP(Table1[[#This Row],[Product code]],Aux!B:E,4,FALSE),""),"")</f>
        <v/>
      </c>
      <c r="U504" s="148" t="str">
        <f>IFERROR(IF(OR(Table1[[#This Row],[Quantity]]&lt;&gt;"",Table1[[#This Row],[ACT_Qty]]&lt;&gt;""),Table1[[#This Row],[ACT_Qty]]-Table1[[#This Row],[Quantity]],""),"")</f>
        <v/>
      </c>
      <c r="V504" s="46"/>
      <c r="W504" s="46"/>
      <c r="X504" s="46"/>
    </row>
    <row r="505" spans="1:24" ht="15" customHeight="1">
      <c r="A505" s="143" t="str">
        <f t="shared" si="29"/>
        <v>AKH12345</v>
      </c>
      <c r="B505" s="260" t="s">
        <v>1444</v>
      </c>
      <c r="C505" s="8" t="s">
        <v>1445</v>
      </c>
      <c r="D505" s="105"/>
      <c r="E505" s="106"/>
      <c r="F505" s="105"/>
      <c r="G505" s="106"/>
      <c r="H505" s="6" t="s">
        <v>1446</v>
      </c>
      <c r="I505" s="6" t="s">
        <v>1233</v>
      </c>
      <c r="J505" s="6" t="s">
        <v>1433</v>
      </c>
      <c r="K505" s="6" t="s">
        <v>1235</v>
      </c>
      <c r="L505" s="207" t="s">
        <v>1235</v>
      </c>
      <c r="M505" s="145" t="str">
        <f t="shared" si="31"/>
        <v>OneCo Networks AS</v>
      </c>
      <c r="N5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5" s="268" t="str">
        <f ca="1">IFERROR(IF(
OR(Table1[[#This Row],[Product category]]="Service items",Table1[[#This Row],[Product category]]="Additional services",Table1[[#This Row],[Product category]]="Additional materials"),
"NOK",IF(($N$3&lt;&gt;""),VLOOKUP(Table1[[#This Row],[Product code]],INDIRECT(Aux!$A$1),6,FALSE),"")),"")</f>
        <v>NOK</v>
      </c>
      <c r="P505" s="41" t="str">
        <f ca="1">IFERROR(IF(AND(Table1[[#This Row],[Quantity]]&lt;&gt;"",Table1[[#This Row],[Currency]]="NOK"),Table1[[#This Row],[Quantity]]*Table1[[#This Row],[Unit Price]],""),"")</f>
        <v/>
      </c>
      <c r="Q505" s="41" t="str">
        <f ca="1">IFERROR(IF(AND(Table1[[#This Row],[ACT_Qty]]&lt;&gt;"",Table1[[#This Row],[Currency]]="NOK"),Table1[[#This Row],[ACT_Qty]]*Table1[[#This Row],[Unit Price]],""),"")</f>
        <v/>
      </c>
      <c r="R505" s="41" t="str">
        <f ca="1">IFERROR(IF(AND(Table1[[#This Row],[Quantity]]&lt;&gt;"",Table1[[#This Row],[Currency]]="EUR"),Table1[[#This Row],[Quantity]]*Table1[[#This Row],[Unit Price]],""),"")</f>
        <v/>
      </c>
      <c r="S505" s="41" t="str">
        <f ca="1">IFERROR(IF(AND(Table1[[#This Row],[ACT_Qty]]&lt;&gt;"",Table1[[#This Row],[Currency]]="EUR"),Table1[[#This Row],[ACT_Qty]]*Table1[[#This Row],[Unit Price]],""),"")</f>
        <v/>
      </c>
      <c r="T505" s="269" t="str">
        <f ca="1">IFERROR(IF(AND(($N$3&lt;&gt;""),INDIRECT(Aux!$D$1)),VLOOKUP(Table1[[#This Row],[Product code]],Aux!B:E,4,FALSE),""),"")</f>
        <v/>
      </c>
      <c r="U505" s="145" t="str">
        <f>IFERROR(IF(OR(Table1[[#This Row],[Quantity]]&lt;&gt;"",Table1[[#This Row],[ACT_Qty]]&lt;&gt;""),Table1[[#This Row],[ACT_Qty]]-Table1[[#This Row],[Quantity]],""),"")</f>
        <v/>
      </c>
      <c r="V505" s="45"/>
      <c r="W505" s="45"/>
      <c r="X505" s="45"/>
    </row>
    <row r="506" spans="1:24" ht="15" customHeight="1">
      <c r="A506" s="233" t="str">
        <f t="shared" si="29"/>
        <v>AKH12345</v>
      </c>
      <c r="B506" s="261" t="s">
        <v>1447</v>
      </c>
      <c r="C506" s="7" t="s">
        <v>1448</v>
      </c>
      <c r="D506" s="105"/>
      <c r="E506" s="89"/>
      <c r="F506" s="68"/>
      <c r="G506" s="89"/>
      <c r="H506" s="5" t="s">
        <v>1449</v>
      </c>
      <c r="I506" s="5" t="s">
        <v>1233</v>
      </c>
      <c r="J506" s="5" t="s">
        <v>1433</v>
      </c>
      <c r="K506" s="5" t="s">
        <v>1235</v>
      </c>
      <c r="L506" s="208" t="s">
        <v>1235</v>
      </c>
      <c r="M506" s="148" t="str">
        <f t="shared" si="31"/>
        <v>OneCo Networks AS</v>
      </c>
      <c r="N50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6" s="270" t="str">
        <f ca="1">IFERROR(IF(
OR(Table1[[#This Row],[Product category]]="Service items",Table1[[#This Row],[Product category]]="Additional services",Table1[[#This Row],[Product category]]="Additional materials"),
"NOK",IF(($N$3&lt;&gt;""),VLOOKUP(Table1[[#This Row],[Product code]],INDIRECT(Aux!$A$1),6,FALSE),"")),"")</f>
        <v>NOK</v>
      </c>
      <c r="P506" s="43" t="str">
        <f ca="1">IFERROR(IF(AND(Table1[[#This Row],[Quantity]]&lt;&gt;"",Table1[[#This Row],[Currency]]="NOK"),Table1[[#This Row],[Quantity]]*Table1[[#This Row],[Unit Price]],""),"")</f>
        <v/>
      </c>
      <c r="Q506" s="43" t="str">
        <f ca="1">IFERROR(IF(AND(Table1[[#This Row],[ACT_Qty]]&lt;&gt;"",Table1[[#This Row],[Currency]]="NOK"),Table1[[#This Row],[ACT_Qty]]*Table1[[#This Row],[Unit Price]],""),"")</f>
        <v/>
      </c>
      <c r="R506" s="43" t="str">
        <f ca="1">IFERROR(IF(AND(Table1[[#This Row],[Quantity]]&lt;&gt;"",Table1[[#This Row],[Currency]]="EUR"),Table1[[#This Row],[Quantity]]*Table1[[#This Row],[Unit Price]],""),"")</f>
        <v/>
      </c>
      <c r="S506" s="43" t="str">
        <f ca="1">IFERROR(IF(AND(Table1[[#This Row],[ACT_Qty]]&lt;&gt;"",Table1[[#This Row],[Currency]]="EUR"),Table1[[#This Row],[ACT_Qty]]*Table1[[#This Row],[Unit Price]],""),"")</f>
        <v/>
      </c>
      <c r="T506" s="271" t="str">
        <f ca="1">IFERROR(IF(AND(($N$3&lt;&gt;""),INDIRECT(Aux!$D$1)),VLOOKUP(Table1[[#This Row],[Product code]],Aux!B:E,4,FALSE),""),"")</f>
        <v/>
      </c>
      <c r="U506" s="148" t="str">
        <f>IFERROR(IF(OR(Table1[[#This Row],[Quantity]]&lt;&gt;"",Table1[[#This Row],[ACT_Qty]]&lt;&gt;""),Table1[[#This Row],[ACT_Qty]]-Table1[[#This Row],[Quantity]],""),"")</f>
        <v/>
      </c>
      <c r="V506" s="46"/>
      <c r="W506" s="46"/>
      <c r="X506" s="46"/>
    </row>
    <row r="507" spans="1:24" ht="15" customHeight="1">
      <c r="A507" s="143" t="str">
        <f t="shared" si="29"/>
        <v>AKH12345</v>
      </c>
      <c r="B507" s="260" t="s">
        <v>1450</v>
      </c>
      <c r="C507" s="8" t="s">
        <v>1451</v>
      </c>
      <c r="D507" s="105"/>
      <c r="E507" s="106"/>
      <c r="F507" s="105"/>
      <c r="G507" s="106"/>
      <c r="H507" s="6" t="s">
        <v>1452</v>
      </c>
      <c r="I507" s="6" t="s">
        <v>1233</v>
      </c>
      <c r="J507" s="6" t="s">
        <v>1433</v>
      </c>
      <c r="K507" s="6" t="s">
        <v>1235</v>
      </c>
      <c r="L507" s="207" t="s">
        <v>1235</v>
      </c>
      <c r="M507" s="145" t="str">
        <f t="shared" si="31"/>
        <v>OneCo Networks AS</v>
      </c>
      <c r="N5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7" s="268" t="str">
        <f ca="1">IFERROR(IF(
OR(Table1[[#This Row],[Product category]]="Service items",Table1[[#This Row],[Product category]]="Additional services",Table1[[#This Row],[Product category]]="Additional materials"),
"NOK",IF(($N$3&lt;&gt;""),VLOOKUP(Table1[[#This Row],[Product code]],INDIRECT(Aux!$A$1),6,FALSE),"")),"")</f>
        <v>NOK</v>
      </c>
      <c r="P507" s="41" t="str">
        <f ca="1">IFERROR(IF(AND(Table1[[#This Row],[Quantity]]&lt;&gt;"",Table1[[#This Row],[Currency]]="NOK"),Table1[[#This Row],[Quantity]]*Table1[[#This Row],[Unit Price]],""),"")</f>
        <v/>
      </c>
      <c r="Q507" s="41" t="str">
        <f ca="1">IFERROR(IF(AND(Table1[[#This Row],[ACT_Qty]]&lt;&gt;"",Table1[[#This Row],[Currency]]="NOK"),Table1[[#This Row],[ACT_Qty]]*Table1[[#This Row],[Unit Price]],""),"")</f>
        <v/>
      </c>
      <c r="R507" s="41" t="str">
        <f ca="1">IFERROR(IF(AND(Table1[[#This Row],[Quantity]]&lt;&gt;"",Table1[[#This Row],[Currency]]="EUR"),Table1[[#This Row],[Quantity]]*Table1[[#This Row],[Unit Price]],""),"")</f>
        <v/>
      </c>
      <c r="S507" s="41" t="str">
        <f ca="1">IFERROR(IF(AND(Table1[[#This Row],[ACT_Qty]]&lt;&gt;"",Table1[[#This Row],[Currency]]="EUR"),Table1[[#This Row],[ACT_Qty]]*Table1[[#This Row],[Unit Price]],""),"")</f>
        <v/>
      </c>
      <c r="T507" s="269" t="str">
        <f ca="1">IFERROR(IF(AND(($N$3&lt;&gt;""),INDIRECT(Aux!$D$1)),VLOOKUP(Table1[[#This Row],[Product code]],Aux!B:E,4,FALSE),""),"")</f>
        <v/>
      </c>
      <c r="U507" s="145" t="str">
        <f>IFERROR(IF(OR(Table1[[#This Row],[Quantity]]&lt;&gt;"",Table1[[#This Row],[ACT_Qty]]&lt;&gt;""),Table1[[#This Row],[ACT_Qty]]-Table1[[#This Row],[Quantity]],""),"")</f>
        <v/>
      </c>
      <c r="V507" s="45"/>
      <c r="W507" s="45"/>
      <c r="X507" s="45"/>
    </row>
    <row r="508" spans="1:24" ht="15" customHeight="1">
      <c r="A508" s="233" t="str">
        <f t="shared" si="29"/>
        <v>AKH12345</v>
      </c>
      <c r="B508" s="261" t="s">
        <v>1453</v>
      </c>
      <c r="C508" s="7" t="s">
        <v>1454</v>
      </c>
      <c r="D508" s="105"/>
      <c r="E508" s="89"/>
      <c r="F508" s="68"/>
      <c r="G508" s="89"/>
      <c r="H508" s="5" t="s">
        <v>1455</v>
      </c>
      <c r="I508" s="5" t="s">
        <v>1233</v>
      </c>
      <c r="J508" s="5" t="s">
        <v>1433</v>
      </c>
      <c r="K508" s="5" t="s">
        <v>1235</v>
      </c>
      <c r="L508" s="208" t="s">
        <v>1235</v>
      </c>
      <c r="M508" s="148" t="str">
        <f t="shared" si="31"/>
        <v>OneCo Networks AS</v>
      </c>
      <c r="N50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8" s="270" t="str">
        <f ca="1">IFERROR(IF(
OR(Table1[[#This Row],[Product category]]="Service items",Table1[[#This Row],[Product category]]="Additional services",Table1[[#This Row],[Product category]]="Additional materials"),
"NOK",IF(($N$3&lt;&gt;""),VLOOKUP(Table1[[#This Row],[Product code]],INDIRECT(Aux!$A$1),6,FALSE),"")),"")</f>
        <v>NOK</v>
      </c>
      <c r="P508" s="43" t="str">
        <f ca="1">IFERROR(IF(AND(Table1[[#This Row],[Quantity]]&lt;&gt;"",Table1[[#This Row],[Currency]]="NOK"),Table1[[#This Row],[Quantity]]*Table1[[#This Row],[Unit Price]],""),"")</f>
        <v/>
      </c>
      <c r="Q508" s="43" t="str">
        <f ca="1">IFERROR(IF(AND(Table1[[#This Row],[ACT_Qty]]&lt;&gt;"",Table1[[#This Row],[Currency]]="NOK"),Table1[[#This Row],[ACT_Qty]]*Table1[[#This Row],[Unit Price]],""),"")</f>
        <v/>
      </c>
      <c r="R508" s="43" t="str">
        <f ca="1">IFERROR(IF(AND(Table1[[#This Row],[Quantity]]&lt;&gt;"",Table1[[#This Row],[Currency]]="EUR"),Table1[[#This Row],[Quantity]]*Table1[[#This Row],[Unit Price]],""),"")</f>
        <v/>
      </c>
      <c r="S508" s="43" t="str">
        <f ca="1">IFERROR(IF(AND(Table1[[#This Row],[ACT_Qty]]&lt;&gt;"",Table1[[#This Row],[Currency]]="EUR"),Table1[[#This Row],[ACT_Qty]]*Table1[[#This Row],[Unit Price]],""),"")</f>
        <v/>
      </c>
      <c r="T508" s="271" t="str">
        <f ca="1">IFERROR(IF(AND(($N$3&lt;&gt;""),INDIRECT(Aux!$D$1)),VLOOKUP(Table1[[#This Row],[Product code]],Aux!B:E,4,FALSE),""),"")</f>
        <v/>
      </c>
      <c r="U508" s="148" t="str">
        <f>IFERROR(IF(OR(Table1[[#This Row],[Quantity]]&lt;&gt;"",Table1[[#This Row],[ACT_Qty]]&lt;&gt;""),Table1[[#This Row],[ACT_Qty]]-Table1[[#This Row],[Quantity]],""),"")</f>
        <v/>
      </c>
      <c r="V508" s="46"/>
      <c r="W508" s="46"/>
      <c r="X508" s="46"/>
    </row>
    <row r="509" spans="1:24" ht="15" customHeight="1">
      <c r="A509" s="143" t="str">
        <f t="shared" si="29"/>
        <v>AKH12345</v>
      </c>
      <c r="B509" s="260" t="s">
        <v>1456</v>
      </c>
      <c r="C509" s="8" t="s">
        <v>1457</v>
      </c>
      <c r="D509" s="105"/>
      <c r="E509" s="106"/>
      <c r="F509" s="105"/>
      <c r="G509" s="106"/>
      <c r="H509" s="6" t="s">
        <v>1458</v>
      </c>
      <c r="I509" s="6" t="s">
        <v>1233</v>
      </c>
      <c r="J509" s="6" t="s">
        <v>1433</v>
      </c>
      <c r="K509" s="6" t="s">
        <v>1235</v>
      </c>
      <c r="L509" s="207" t="s">
        <v>1235</v>
      </c>
      <c r="M509" s="145" t="str">
        <f t="shared" si="31"/>
        <v>OneCo Networks AS</v>
      </c>
      <c r="N5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09" s="268" t="str">
        <f ca="1">IFERROR(IF(
OR(Table1[[#This Row],[Product category]]="Service items",Table1[[#This Row],[Product category]]="Additional services",Table1[[#This Row],[Product category]]="Additional materials"),
"NOK",IF(($N$3&lt;&gt;""),VLOOKUP(Table1[[#This Row],[Product code]],INDIRECT(Aux!$A$1),6,FALSE),"")),"")</f>
        <v>NOK</v>
      </c>
      <c r="P509" s="41" t="str">
        <f ca="1">IFERROR(IF(AND(Table1[[#This Row],[Quantity]]&lt;&gt;"",Table1[[#This Row],[Currency]]="NOK"),Table1[[#This Row],[Quantity]]*Table1[[#This Row],[Unit Price]],""),"")</f>
        <v/>
      </c>
      <c r="Q509" s="41" t="str">
        <f ca="1">IFERROR(IF(AND(Table1[[#This Row],[ACT_Qty]]&lt;&gt;"",Table1[[#This Row],[Currency]]="NOK"),Table1[[#This Row],[ACT_Qty]]*Table1[[#This Row],[Unit Price]],""),"")</f>
        <v/>
      </c>
      <c r="R509" s="41" t="str">
        <f ca="1">IFERROR(IF(AND(Table1[[#This Row],[Quantity]]&lt;&gt;"",Table1[[#This Row],[Currency]]="EUR"),Table1[[#This Row],[Quantity]]*Table1[[#This Row],[Unit Price]],""),"")</f>
        <v/>
      </c>
      <c r="S509" s="41" t="str">
        <f ca="1">IFERROR(IF(AND(Table1[[#This Row],[ACT_Qty]]&lt;&gt;"",Table1[[#This Row],[Currency]]="EUR"),Table1[[#This Row],[ACT_Qty]]*Table1[[#This Row],[Unit Price]],""),"")</f>
        <v/>
      </c>
      <c r="T509" s="269" t="str">
        <f ca="1">IFERROR(IF(AND(($N$3&lt;&gt;""),INDIRECT(Aux!$D$1)),VLOOKUP(Table1[[#This Row],[Product code]],Aux!B:E,4,FALSE),""),"")</f>
        <v/>
      </c>
      <c r="U509" s="145" t="str">
        <f>IFERROR(IF(OR(Table1[[#This Row],[Quantity]]&lt;&gt;"",Table1[[#This Row],[ACT_Qty]]&lt;&gt;""),Table1[[#This Row],[ACT_Qty]]-Table1[[#This Row],[Quantity]],""),"")</f>
        <v/>
      </c>
      <c r="V509" s="45"/>
      <c r="W509" s="45"/>
      <c r="X509" s="45"/>
    </row>
    <row r="510" spans="1:24" ht="15" customHeight="1">
      <c r="A510" s="233" t="str">
        <f t="shared" si="29"/>
        <v>AKH12345</v>
      </c>
      <c r="B510" s="261" t="s">
        <v>1459</v>
      </c>
      <c r="C510" s="7" t="s">
        <v>1460</v>
      </c>
      <c r="D510" s="105"/>
      <c r="E510" s="89"/>
      <c r="F510" s="68"/>
      <c r="G510" s="89"/>
      <c r="H510" s="5" t="s">
        <v>1461</v>
      </c>
      <c r="I510" s="5" t="s">
        <v>1233</v>
      </c>
      <c r="J510" s="5" t="s">
        <v>1433</v>
      </c>
      <c r="K510" s="5" t="s">
        <v>1235</v>
      </c>
      <c r="L510" s="208" t="s">
        <v>1235</v>
      </c>
      <c r="M510" s="148" t="str">
        <f t="shared" si="31"/>
        <v>OneCo Networks AS</v>
      </c>
      <c r="N51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0" s="270" t="str">
        <f ca="1">IFERROR(IF(
OR(Table1[[#This Row],[Product category]]="Service items",Table1[[#This Row],[Product category]]="Additional services",Table1[[#This Row],[Product category]]="Additional materials"),
"NOK",IF(($N$3&lt;&gt;""),VLOOKUP(Table1[[#This Row],[Product code]],INDIRECT(Aux!$A$1),6,FALSE),"")),"")</f>
        <v>NOK</v>
      </c>
      <c r="P510" s="43" t="str">
        <f ca="1">IFERROR(IF(AND(Table1[[#This Row],[Quantity]]&lt;&gt;"",Table1[[#This Row],[Currency]]="NOK"),Table1[[#This Row],[Quantity]]*Table1[[#This Row],[Unit Price]],""),"")</f>
        <v/>
      </c>
      <c r="Q510" s="43" t="str">
        <f ca="1">IFERROR(IF(AND(Table1[[#This Row],[ACT_Qty]]&lt;&gt;"",Table1[[#This Row],[Currency]]="NOK"),Table1[[#This Row],[ACT_Qty]]*Table1[[#This Row],[Unit Price]],""),"")</f>
        <v/>
      </c>
      <c r="R510" s="43" t="str">
        <f ca="1">IFERROR(IF(AND(Table1[[#This Row],[Quantity]]&lt;&gt;"",Table1[[#This Row],[Currency]]="EUR"),Table1[[#This Row],[Quantity]]*Table1[[#This Row],[Unit Price]],""),"")</f>
        <v/>
      </c>
      <c r="S510" s="43" t="str">
        <f ca="1">IFERROR(IF(AND(Table1[[#This Row],[ACT_Qty]]&lt;&gt;"",Table1[[#This Row],[Currency]]="EUR"),Table1[[#This Row],[ACT_Qty]]*Table1[[#This Row],[Unit Price]],""),"")</f>
        <v/>
      </c>
      <c r="T510" s="271" t="str">
        <f ca="1">IFERROR(IF(AND(($N$3&lt;&gt;""),INDIRECT(Aux!$D$1)),VLOOKUP(Table1[[#This Row],[Product code]],Aux!B:E,4,FALSE),""),"")</f>
        <v/>
      </c>
      <c r="U510" s="148" t="str">
        <f>IFERROR(IF(OR(Table1[[#This Row],[Quantity]]&lt;&gt;"",Table1[[#This Row],[ACT_Qty]]&lt;&gt;""),Table1[[#This Row],[ACT_Qty]]-Table1[[#This Row],[Quantity]],""),"")</f>
        <v/>
      </c>
      <c r="V510" s="46"/>
      <c r="W510" s="46"/>
      <c r="X510" s="46"/>
    </row>
    <row r="511" spans="1:24" ht="15" customHeight="1">
      <c r="A511" s="143" t="str">
        <f t="shared" ref="A511:A576" si="33">$C$4</f>
        <v>AKH12345</v>
      </c>
      <c r="B511" s="260" t="s">
        <v>1462</v>
      </c>
      <c r="C511" s="8" t="s">
        <v>1463</v>
      </c>
      <c r="D511" s="105"/>
      <c r="E511" s="106"/>
      <c r="F511" s="105"/>
      <c r="G511" s="106"/>
      <c r="H511" s="6" t="s">
        <v>1464</v>
      </c>
      <c r="I511" s="6" t="s">
        <v>1233</v>
      </c>
      <c r="J511" s="6" t="s">
        <v>1433</v>
      </c>
      <c r="K511" s="6" t="s">
        <v>1235</v>
      </c>
      <c r="L511" s="207" t="s">
        <v>1235</v>
      </c>
      <c r="M511" s="145" t="str">
        <f t="shared" si="31"/>
        <v>OneCo Networks AS</v>
      </c>
      <c r="N5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1" s="268" t="str">
        <f ca="1">IFERROR(IF(
OR(Table1[[#This Row],[Product category]]="Service items",Table1[[#This Row],[Product category]]="Additional services",Table1[[#This Row],[Product category]]="Additional materials"),
"NOK",IF(($N$3&lt;&gt;""),VLOOKUP(Table1[[#This Row],[Product code]],INDIRECT(Aux!$A$1),6,FALSE),"")),"")</f>
        <v>NOK</v>
      </c>
      <c r="P511" s="41" t="str">
        <f ca="1">IFERROR(IF(AND(Table1[[#This Row],[Quantity]]&lt;&gt;"",Table1[[#This Row],[Currency]]="NOK"),Table1[[#This Row],[Quantity]]*Table1[[#This Row],[Unit Price]],""),"")</f>
        <v/>
      </c>
      <c r="Q511" s="41" t="str">
        <f ca="1">IFERROR(IF(AND(Table1[[#This Row],[ACT_Qty]]&lt;&gt;"",Table1[[#This Row],[Currency]]="NOK"),Table1[[#This Row],[ACT_Qty]]*Table1[[#This Row],[Unit Price]],""),"")</f>
        <v/>
      </c>
      <c r="R511" s="41" t="str">
        <f ca="1">IFERROR(IF(AND(Table1[[#This Row],[Quantity]]&lt;&gt;"",Table1[[#This Row],[Currency]]="EUR"),Table1[[#This Row],[Quantity]]*Table1[[#This Row],[Unit Price]],""),"")</f>
        <v/>
      </c>
      <c r="S511" s="41" t="str">
        <f ca="1">IFERROR(IF(AND(Table1[[#This Row],[ACT_Qty]]&lt;&gt;"",Table1[[#This Row],[Currency]]="EUR"),Table1[[#This Row],[ACT_Qty]]*Table1[[#This Row],[Unit Price]],""),"")</f>
        <v/>
      </c>
      <c r="T511" s="269" t="str">
        <f ca="1">IFERROR(IF(AND(($N$3&lt;&gt;""),INDIRECT(Aux!$D$1)),VLOOKUP(Table1[[#This Row],[Product code]],Aux!B:E,4,FALSE),""),"")</f>
        <v/>
      </c>
      <c r="U511" s="145" t="str">
        <f>IFERROR(IF(OR(Table1[[#This Row],[Quantity]]&lt;&gt;"",Table1[[#This Row],[ACT_Qty]]&lt;&gt;""),Table1[[#This Row],[ACT_Qty]]-Table1[[#This Row],[Quantity]],""),"")</f>
        <v/>
      </c>
      <c r="V511" s="45"/>
      <c r="W511" s="45"/>
      <c r="X511" s="45"/>
    </row>
    <row r="512" spans="1:24" ht="15" customHeight="1">
      <c r="A512" s="233" t="str">
        <f t="shared" si="33"/>
        <v>AKH12345</v>
      </c>
      <c r="B512" s="261" t="s">
        <v>1465</v>
      </c>
      <c r="C512" s="7" t="s">
        <v>1466</v>
      </c>
      <c r="D512" s="105"/>
      <c r="E512" s="89"/>
      <c r="F512" s="68"/>
      <c r="G512" s="89"/>
      <c r="H512" s="5" t="s">
        <v>1464</v>
      </c>
      <c r="I512" s="5" t="s">
        <v>1233</v>
      </c>
      <c r="J512" s="5" t="s">
        <v>1433</v>
      </c>
      <c r="K512" s="5" t="s">
        <v>1235</v>
      </c>
      <c r="L512" s="208" t="s">
        <v>1235</v>
      </c>
      <c r="M512" s="148" t="str">
        <f t="shared" si="31"/>
        <v>OneCo Networks AS</v>
      </c>
      <c r="N51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2" s="270" t="str">
        <f ca="1">IFERROR(IF(
OR(Table1[[#This Row],[Product category]]="Service items",Table1[[#This Row],[Product category]]="Additional services",Table1[[#This Row],[Product category]]="Additional materials"),
"NOK",IF(($N$3&lt;&gt;""),VLOOKUP(Table1[[#This Row],[Product code]],INDIRECT(Aux!$A$1),6,FALSE),"")),"")</f>
        <v>NOK</v>
      </c>
      <c r="P512" s="43" t="str">
        <f ca="1">IFERROR(IF(AND(Table1[[#This Row],[Quantity]]&lt;&gt;"",Table1[[#This Row],[Currency]]="NOK"),Table1[[#This Row],[Quantity]]*Table1[[#This Row],[Unit Price]],""),"")</f>
        <v/>
      </c>
      <c r="Q512" s="43" t="str">
        <f ca="1">IFERROR(IF(AND(Table1[[#This Row],[ACT_Qty]]&lt;&gt;"",Table1[[#This Row],[Currency]]="NOK"),Table1[[#This Row],[ACT_Qty]]*Table1[[#This Row],[Unit Price]],""),"")</f>
        <v/>
      </c>
      <c r="R512" s="43" t="str">
        <f ca="1">IFERROR(IF(AND(Table1[[#This Row],[Quantity]]&lt;&gt;"",Table1[[#This Row],[Currency]]="EUR"),Table1[[#This Row],[Quantity]]*Table1[[#This Row],[Unit Price]],""),"")</f>
        <v/>
      </c>
      <c r="S512" s="43" t="str">
        <f ca="1">IFERROR(IF(AND(Table1[[#This Row],[ACT_Qty]]&lt;&gt;"",Table1[[#This Row],[Currency]]="EUR"),Table1[[#This Row],[ACT_Qty]]*Table1[[#This Row],[Unit Price]],""),"")</f>
        <v/>
      </c>
      <c r="T512" s="271" t="str">
        <f ca="1">IFERROR(IF(AND(($N$3&lt;&gt;""),INDIRECT(Aux!$D$1)),VLOOKUP(Table1[[#This Row],[Product code]],Aux!B:E,4,FALSE),""),"")</f>
        <v/>
      </c>
      <c r="U512" s="148" t="str">
        <f>IFERROR(IF(OR(Table1[[#This Row],[Quantity]]&lt;&gt;"",Table1[[#This Row],[ACT_Qty]]&lt;&gt;""),Table1[[#This Row],[ACT_Qty]]-Table1[[#This Row],[Quantity]],""),"")</f>
        <v/>
      </c>
      <c r="V512" s="46"/>
      <c r="W512" s="46"/>
      <c r="X512" s="46"/>
    </row>
    <row r="513" spans="1:24" ht="15" customHeight="1">
      <c r="A513" s="143" t="str">
        <f t="shared" si="33"/>
        <v>AKH12345</v>
      </c>
      <c r="B513" s="260" t="s">
        <v>1467</v>
      </c>
      <c r="C513" s="8" t="s">
        <v>1468</v>
      </c>
      <c r="D513" s="105"/>
      <c r="E513" s="106"/>
      <c r="F513" s="105"/>
      <c r="G513" s="106"/>
      <c r="H513" s="6" t="s">
        <v>1464</v>
      </c>
      <c r="I513" s="6" t="s">
        <v>1233</v>
      </c>
      <c r="J513" s="6" t="s">
        <v>1433</v>
      </c>
      <c r="K513" s="6" t="s">
        <v>1235</v>
      </c>
      <c r="L513" s="207" t="s">
        <v>1235</v>
      </c>
      <c r="M513" s="145" t="str">
        <f t="shared" si="31"/>
        <v>OneCo Networks AS</v>
      </c>
      <c r="N5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3" s="268" t="str">
        <f ca="1">IFERROR(IF(
OR(Table1[[#This Row],[Product category]]="Service items",Table1[[#This Row],[Product category]]="Additional services",Table1[[#This Row],[Product category]]="Additional materials"),
"NOK",IF(($N$3&lt;&gt;""),VLOOKUP(Table1[[#This Row],[Product code]],INDIRECT(Aux!$A$1),6,FALSE),"")),"")</f>
        <v>NOK</v>
      </c>
      <c r="P513" s="41" t="str">
        <f ca="1">IFERROR(IF(AND(Table1[[#This Row],[Quantity]]&lt;&gt;"",Table1[[#This Row],[Currency]]="NOK"),Table1[[#This Row],[Quantity]]*Table1[[#This Row],[Unit Price]],""),"")</f>
        <v/>
      </c>
      <c r="Q513" s="41" t="str">
        <f ca="1">IFERROR(IF(AND(Table1[[#This Row],[ACT_Qty]]&lt;&gt;"",Table1[[#This Row],[Currency]]="NOK"),Table1[[#This Row],[ACT_Qty]]*Table1[[#This Row],[Unit Price]],""),"")</f>
        <v/>
      </c>
      <c r="R513" s="41" t="str">
        <f ca="1">IFERROR(IF(AND(Table1[[#This Row],[Quantity]]&lt;&gt;"",Table1[[#This Row],[Currency]]="EUR"),Table1[[#This Row],[Quantity]]*Table1[[#This Row],[Unit Price]],""),"")</f>
        <v/>
      </c>
      <c r="S513" s="41" t="str">
        <f ca="1">IFERROR(IF(AND(Table1[[#This Row],[ACT_Qty]]&lt;&gt;"",Table1[[#This Row],[Currency]]="EUR"),Table1[[#This Row],[ACT_Qty]]*Table1[[#This Row],[Unit Price]],""),"")</f>
        <v/>
      </c>
      <c r="T513" s="269" t="str">
        <f ca="1">IFERROR(IF(AND(($N$3&lt;&gt;""),INDIRECT(Aux!$D$1)),VLOOKUP(Table1[[#This Row],[Product code]],Aux!B:E,4,FALSE),""),"")</f>
        <v/>
      </c>
      <c r="U513" s="145" t="str">
        <f>IFERROR(IF(OR(Table1[[#This Row],[Quantity]]&lt;&gt;"",Table1[[#This Row],[ACT_Qty]]&lt;&gt;""),Table1[[#This Row],[ACT_Qty]]-Table1[[#This Row],[Quantity]],""),"")</f>
        <v/>
      </c>
      <c r="V513" s="45"/>
      <c r="W513" s="45"/>
      <c r="X513" s="45"/>
    </row>
    <row r="514" spans="1:24" ht="15" customHeight="1">
      <c r="A514" s="233" t="str">
        <f t="shared" si="33"/>
        <v>AKH12345</v>
      </c>
      <c r="B514" s="261" t="s">
        <v>1469</v>
      </c>
      <c r="C514" s="7" t="s">
        <v>1470</v>
      </c>
      <c r="D514" s="105"/>
      <c r="E514" s="89" t="s">
        <v>1471</v>
      </c>
      <c r="F514" s="68"/>
      <c r="G514" s="89"/>
      <c r="H514" s="5" t="s">
        <v>1472</v>
      </c>
      <c r="I514" s="5" t="s">
        <v>1233</v>
      </c>
      <c r="J514" s="5" t="s">
        <v>1433</v>
      </c>
      <c r="K514" s="5" t="s">
        <v>1235</v>
      </c>
      <c r="L514" s="208" t="s">
        <v>1235</v>
      </c>
      <c r="M514" s="148" t="str">
        <f t="shared" si="31"/>
        <v>OneCo Networks AS</v>
      </c>
      <c r="N51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4" s="270" t="str">
        <f ca="1">IFERROR(IF(
OR(Table1[[#This Row],[Product category]]="Service items",Table1[[#This Row],[Product category]]="Additional services",Table1[[#This Row],[Product category]]="Additional materials"),
"NOK",IF(($N$3&lt;&gt;""),VLOOKUP(Table1[[#This Row],[Product code]],INDIRECT(Aux!$A$1),6,FALSE),"")),"")</f>
        <v>NOK</v>
      </c>
      <c r="P514" s="43" t="str">
        <f ca="1">IFERROR(IF(AND(Table1[[#This Row],[Quantity]]&lt;&gt;"",Table1[[#This Row],[Currency]]="NOK"),Table1[[#This Row],[Quantity]]*Table1[[#This Row],[Unit Price]],""),"")</f>
        <v/>
      </c>
      <c r="Q514" s="43" t="str">
        <f ca="1">IFERROR(IF(AND(Table1[[#This Row],[ACT_Qty]]&lt;&gt;"",Table1[[#This Row],[Currency]]="NOK"),Table1[[#This Row],[ACT_Qty]]*Table1[[#This Row],[Unit Price]],""),"")</f>
        <v/>
      </c>
      <c r="R514" s="43" t="str">
        <f ca="1">IFERROR(IF(AND(Table1[[#This Row],[Quantity]]&lt;&gt;"",Table1[[#This Row],[Currency]]="EUR"),Table1[[#This Row],[Quantity]]*Table1[[#This Row],[Unit Price]],""),"")</f>
        <v/>
      </c>
      <c r="S514" s="43" t="str">
        <f ca="1">IFERROR(IF(AND(Table1[[#This Row],[ACT_Qty]]&lt;&gt;"",Table1[[#This Row],[Currency]]="EUR"),Table1[[#This Row],[ACT_Qty]]*Table1[[#This Row],[Unit Price]],""),"")</f>
        <v/>
      </c>
      <c r="T514" s="271" t="str">
        <f ca="1">IFERROR(IF(AND(($N$3&lt;&gt;""),INDIRECT(Aux!$D$1)),VLOOKUP(Table1[[#This Row],[Product code]],Aux!B:E,4,FALSE),""),"")</f>
        <v/>
      </c>
      <c r="U514" s="148" t="str">
        <f>IFERROR(IF(OR(Table1[[#This Row],[Quantity]]&lt;&gt;"",Table1[[#This Row],[ACT_Qty]]&lt;&gt;""),Table1[[#This Row],[ACT_Qty]]-Table1[[#This Row],[Quantity]],""),"")</f>
        <v/>
      </c>
      <c r="V514" s="46"/>
      <c r="W514" s="46"/>
      <c r="X514" s="46"/>
    </row>
    <row r="515" spans="1:24" ht="15" customHeight="1">
      <c r="A515" s="143" t="str">
        <f t="shared" si="33"/>
        <v>AKH12345</v>
      </c>
      <c r="B515" s="260" t="s">
        <v>1473</v>
      </c>
      <c r="C515" s="8" t="s">
        <v>1474</v>
      </c>
      <c r="D515" s="105"/>
      <c r="E515" s="106"/>
      <c r="F515" s="105"/>
      <c r="G515" s="106"/>
      <c r="H515" s="6" t="s">
        <v>1475</v>
      </c>
      <c r="I515" s="6" t="s">
        <v>1233</v>
      </c>
      <c r="J515" s="6" t="s">
        <v>1433</v>
      </c>
      <c r="K515" s="6" t="s">
        <v>1235</v>
      </c>
      <c r="L515" s="207" t="s">
        <v>1235</v>
      </c>
      <c r="M515" s="145" t="str">
        <f t="shared" si="31"/>
        <v>OneCo Networks AS</v>
      </c>
      <c r="N5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5" s="268" t="str">
        <f ca="1">IFERROR(IF(
OR(Table1[[#This Row],[Product category]]="Service items",Table1[[#This Row],[Product category]]="Additional services",Table1[[#This Row],[Product category]]="Additional materials"),
"NOK",IF(($N$3&lt;&gt;""),VLOOKUP(Table1[[#This Row],[Product code]],INDIRECT(Aux!$A$1),6,FALSE),"")),"")</f>
        <v>NOK</v>
      </c>
      <c r="P515" s="41" t="str">
        <f ca="1">IFERROR(IF(AND(Table1[[#This Row],[Quantity]]&lt;&gt;"",Table1[[#This Row],[Currency]]="NOK"),Table1[[#This Row],[Quantity]]*Table1[[#This Row],[Unit Price]],""),"")</f>
        <v/>
      </c>
      <c r="Q515" s="41" t="str">
        <f ca="1">IFERROR(IF(AND(Table1[[#This Row],[ACT_Qty]]&lt;&gt;"",Table1[[#This Row],[Currency]]="NOK"),Table1[[#This Row],[ACT_Qty]]*Table1[[#This Row],[Unit Price]],""),"")</f>
        <v/>
      </c>
      <c r="R515" s="41" t="str">
        <f ca="1">IFERROR(IF(AND(Table1[[#This Row],[Quantity]]&lt;&gt;"",Table1[[#This Row],[Currency]]="EUR"),Table1[[#This Row],[Quantity]]*Table1[[#This Row],[Unit Price]],""),"")</f>
        <v/>
      </c>
      <c r="S515" s="41" t="str">
        <f ca="1">IFERROR(IF(AND(Table1[[#This Row],[ACT_Qty]]&lt;&gt;"",Table1[[#This Row],[Currency]]="EUR"),Table1[[#This Row],[ACT_Qty]]*Table1[[#This Row],[Unit Price]],""),"")</f>
        <v/>
      </c>
      <c r="T515" s="269" t="str">
        <f ca="1">IFERROR(IF(AND(($N$3&lt;&gt;""),INDIRECT(Aux!$D$1)),VLOOKUP(Table1[[#This Row],[Product code]],Aux!B:E,4,FALSE),""),"")</f>
        <v/>
      </c>
      <c r="U515" s="145" t="str">
        <f>IFERROR(IF(OR(Table1[[#This Row],[Quantity]]&lt;&gt;"",Table1[[#This Row],[ACT_Qty]]&lt;&gt;""),Table1[[#This Row],[ACT_Qty]]-Table1[[#This Row],[Quantity]],""),"")</f>
        <v/>
      </c>
      <c r="V515" s="45"/>
      <c r="W515" s="45"/>
      <c r="X515" s="45"/>
    </row>
    <row r="516" spans="1:24" ht="15" customHeight="1">
      <c r="A516" s="233" t="str">
        <f t="shared" si="33"/>
        <v>AKH12345</v>
      </c>
      <c r="B516" s="261" t="s">
        <v>1476</v>
      </c>
      <c r="C516" s="7" t="s">
        <v>1477</v>
      </c>
      <c r="D516" s="105"/>
      <c r="E516" s="89"/>
      <c r="F516" s="68"/>
      <c r="G516" s="89"/>
      <c r="H516" s="5" t="s">
        <v>1478</v>
      </c>
      <c r="I516" s="5" t="s">
        <v>1233</v>
      </c>
      <c r="J516" s="5" t="s">
        <v>1433</v>
      </c>
      <c r="K516" s="5" t="s">
        <v>1235</v>
      </c>
      <c r="L516" s="208" t="s">
        <v>1235</v>
      </c>
      <c r="M516" s="148" t="str">
        <f t="shared" si="31"/>
        <v>OneCo Networks AS</v>
      </c>
      <c r="N51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6" s="270" t="str">
        <f ca="1">IFERROR(IF(
OR(Table1[[#This Row],[Product category]]="Service items",Table1[[#This Row],[Product category]]="Additional services",Table1[[#This Row],[Product category]]="Additional materials"),
"NOK",IF(($N$3&lt;&gt;""),VLOOKUP(Table1[[#This Row],[Product code]],INDIRECT(Aux!$A$1),6,FALSE),"")),"")</f>
        <v>NOK</v>
      </c>
      <c r="P516" s="43" t="str">
        <f ca="1">IFERROR(IF(AND(Table1[[#This Row],[Quantity]]&lt;&gt;"",Table1[[#This Row],[Currency]]="NOK"),Table1[[#This Row],[Quantity]]*Table1[[#This Row],[Unit Price]],""),"")</f>
        <v/>
      </c>
      <c r="Q516" s="43" t="str">
        <f ca="1">IFERROR(IF(AND(Table1[[#This Row],[ACT_Qty]]&lt;&gt;"",Table1[[#This Row],[Currency]]="NOK"),Table1[[#This Row],[ACT_Qty]]*Table1[[#This Row],[Unit Price]],""),"")</f>
        <v/>
      </c>
      <c r="R516" s="43" t="str">
        <f ca="1">IFERROR(IF(AND(Table1[[#This Row],[Quantity]]&lt;&gt;"",Table1[[#This Row],[Currency]]="EUR"),Table1[[#This Row],[Quantity]]*Table1[[#This Row],[Unit Price]],""),"")</f>
        <v/>
      </c>
      <c r="S516" s="43" t="str">
        <f ca="1">IFERROR(IF(AND(Table1[[#This Row],[ACT_Qty]]&lt;&gt;"",Table1[[#This Row],[Currency]]="EUR"),Table1[[#This Row],[ACT_Qty]]*Table1[[#This Row],[Unit Price]],""),"")</f>
        <v/>
      </c>
      <c r="T516" s="271" t="str">
        <f ca="1">IFERROR(IF(AND(($N$3&lt;&gt;""),INDIRECT(Aux!$D$1)),VLOOKUP(Table1[[#This Row],[Product code]],Aux!B:E,4,FALSE),""),"")</f>
        <v/>
      </c>
      <c r="U516" s="148" t="str">
        <f>IFERROR(IF(OR(Table1[[#This Row],[Quantity]]&lt;&gt;"",Table1[[#This Row],[ACT_Qty]]&lt;&gt;""),Table1[[#This Row],[ACT_Qty]]-Table1[[#This Row],[Quantity]],""),"")</f>
        <v/>
      </c>
      <c r="V516" s="46"/>
      <c r="W516" s="46"/>
      <c r="X516" s="46"/>
    </row>
    <row r="517" spans="1:24" ht="15" customHeight="1">
      <c r="A517" s="143" t="str">
        <f t="shared" si="33"/>
        <v>AKH12345</v>
      </c>
      <c r="B517" s="260" t="s">
        <v>1479</v>
      </c>
      <c r="C517" s="8" t="s">
        <v>1480</v>
      </c>
      <c r="D517" s="105"/>
      <c r="E517" s="106"/>
      <c r="F517" s="105"/>
      <c r="G517" s="106"/>
      <c r="H517" s="6" t="s">
        <v>1481</v>
      </c>
      <c r="I517" s="6" t="s">
        <v>1233</v>
      </c>
      <c r="J517" s="6" t="s">
        <v>1433</v>
      </c>
      <c r="K517" s="6" t="s">
        <v>1235</v>
      </c>
      <c r="L517" s="207" t="s">
        <v>1235</v>
      </c>
      <c r="M517" s="145" t="str">
        <f t="shared" si="31"/>
        <v>OneCo Networks AS</v>
      </c>
      <c r="N5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7" s="268" t="str">
        <f ca="1">IFERROR(IF(
OR(Table1[[#This Row],[Product category]]="Service items",Table1[[#This Row],[Product category]]="Additional services",Table1[[#This Row],[Product category]]="Additional materials"),
"NOK",IF(($N$3&lt;&gt;""),VLOOKUP(Table1[[#This Row],[Product code]],INDIRECT(Aux!$A$1),6,FALSE),"")),"")</f>
        <v>NOK</v>
      </c>
      <c r="P517" s="41" t="str">
        <f ca="1">IFERROR(IF(AND(Table1[[#This Row],[Quantity]]&lt;&gt;"",Table1[[#This Row],[Currency]]="NOK"),Table1[[#This Row],[Quantity]]*Table1[[#This Row],[Unit Price]],""),"")</f>
        <v/>
      </c>
      <c r="Q517" s="41" t="str">
        <f ca="1">IFERROR(IF(AND(Table1[[#This Row],[ACT_Qty]]&lt;&gt;"",Table1[[#This Row],[Currency]]="NOK"),Table1[[#This Row],[ACT_Qty]]*Table1[[#This Row],[Unit Price]],""),"")</f>
        <v/>
      </c>
      <c r="R517" s="41" t="str">
        <f ca="1">IFERROR(IF(AND(Table1[[#This Row],[Quantity]]&lt;&gt;"",Table1[[#This Row],[Currency]]="EUR"),Table1[[#This Row],[Quantity]]*Table1[[#This Row],[Unit Price]],""),"")</f>
        <v/>
      </c>
      <c r="S517" s="41" t="str">
        <f ca="1">IFERROR(IF(AND(Table1[[#This Row],[ACT_Qty]]&lt;&gt;"",Table1[[#This Row],[Currency]]="EUR"),Table1[[#This Row],[ACT_Qty]]*Table1[[#This Row],[Unit Price]],""),"")</f>
        <v/>
      </c>
      <c r="T517" s="269" t="str">
        <f ca="1">IFERROR(IF(AND(($N$3&lt;&gt;""),INDIRECT(Aux!$D$1)),VLOOKUP(Table1[[#This Row],[Product code]],Aux!B:E,4,FALSE),""),"")</f>
        <v/>
      </c>
      <c r="U517" s="145" t="str">
        <f>IFERROR(IF(OR(Table1[[#This Row],[Quantity]]&lt;&gt;"",Table1[[#This Row],[ACT_Qty]]&lt;&gt;""),Table1[[#This Row],[ACT_Qty]]-Table1[[#This Row],[Quantity]],""),"")</f>
        <v/>
      </c>
      <c r="V517" s="45"/>
      <c r="W517" s="45"/>
      <c r="X517" s="45"/>
    </row>
    <row r="518" spans="1:24" ht="15" customHeight="1">
      <c r="A518" s="233" t="str">
        <f t="shared" si="33"/>
        <v>AKH12345</v>
      </c>
      <c r="B518" s="261" t="s">
        <v>1482</v>
      </c>
      <c r="C518" s="7" t="s">
        <v>1483</v>
      </c>
      <c r="D518" s="105"/>
      <c r="E518" s="89"/>
      <c r="F518" s="68"/>
      <c r="G518" s="89"/>
      <c r="H518" s="5" t="s">
        <v>1484</v>
      </c>
      <c r="I518" s="5" t="s">
        <v>1233</v>
      </c>
      <c r="J518" s="5" t="s">
        <v>1433</v>
      </c>
      <c r="K518" s="5" t="s">
        <v>1235</v>
      </c>
      <c r="L518" s="208" t="s">
        <v>1235</v>
      </c>
      <c r="M518" s="148" t="str">
        <f t="shared" ref="M518:M579" si="34">IF($C$3&lt;&gt;"",$C$3,"")</f>
        <v>OneCo Networks AS</v>
      </c>
      <c r="N51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8" s="270" t="str">
        <f ca="1">IFERROR(IF(
OR(Table1[[#This Row],[Product category]]="Service items",Table1[[#This Row],[Product category]]="Additional services",Table1[[#This Row],[Product category]]="Additional materials"),
"NOK",IF(($N$3&lt;&gt;""),VLOOKUP(Table1[[#This Row],[Product code]],INDIRECT(Aux!$A$1),6,FALSE),"")),"")</f>
        <v>NOK</v>
      </c>
      <c r="P518" s="43" t="str">
        <f ca="1">IFERROR(IF(AND(Table1[[#This Row],[Quantity]]&lt;&gt;"",Table1[[#This Row],[Currency]]="NOK"),Table1[[#This Row],[Quantity]]*Table1[[#This Row],[Unit Price]],""),"")</f>
        <v/>
      </c>
      <c r="Q518" s="43" t="str">
        <f ca="1">IFERROR(IF(AND(Table1[[#This Row],[ACT_Qty]]&lt;&gt;"",Table1[[#This Row],[Currency]]="NOK"),Table1[[#This Row],[ACT_Qty]]*Table1[[#This Row],[Unit Price]],""),"")</f>
        <v/>
      </c>
      <c r="R518" s="43" t="str">
        <f ca="1">IFERROR(IF(AND(Table1[[#This Row],[Quantity]]&lt;&gt;"",Table1[[#This Row],[Currency]]="EUR"),Table1[[#This Row],[Quantity]]*Table1[[#This Row],[Unit Price]],""),"")</f>
        <v/>
      </c>
      <c r="S518" s="43" t="str">
        <f ca="1">IFERROR(IF(AND(Table1[[#This Row],[ACT_Qty]]&lt;&gt;"",Table1[[#This Row],[Currency]]="EUR"),Table1[[#This Row],[ACT_Qty]]*Table1[[#This Row],[Unit Price]],""),"")</f>
        <v/>
      </c>
      <c r="T518" s="271" t="str">
        <f ca="1">IFERROR(IF(AND(($N$3&lt;&gt;""),INDIRECT(Aux!$D$1)),VLOOKUP(Table1[[#This Row],[Product code]],Aux!B:E,4,FALSE),""),"")</f>
        <v/>
      </c>
      <c r="U518" s="148" t="str">
        <f>IFERROR(IF(OR(Table1[[#This Row],[Quantity]]&lt;&gt;"",Table1[[#This Row],[ACT_Qty]]&lt;&gt;""),Table1[[#This Row],[ACT_Qty]]-Table1[[#This Row],[Quantity]],""),"")</f>
        <v/>
      </c>
      <c r="V518" s="46"/>
      <c r="W518" s="46"/>
      <c r="X518" s="46"/>
    </row>
    <row r="519" spans="1:24" ht="15" customHeight="1">
      <c r="A519" s="143" t="str">
        <f t="shared" si="33"/>
        <v>AKH12345</v>
      </c>
      <c r="B519" s="260" t="s">
        <v>1485</v>
      </c>
      <c r="C519" s="8" t="s">
        <v>1486</v>
      </c>
      <c r="D519" s="105"/>
      <c r="E519" s="106"/>
      <c r="F519" s="105"/>
      <c r="G519" s="106"/>
      <c r="H519" s="6" t="s">
        <v>1487</v>
      </c>
      <c r="I519" s="6" t="s">
        <v>1233</v>
      </c>
      <c r="J519" s="6" t="s">
        <v>1433</v>
      </c>
      <c r="K519" s="6" t="s">
        <v>1235</v>
      </c>
      <c r="L519" s="207" t="s">
        <v>1235</v>
      </c>
      <c r="M519" s="145" t="str">
        <f t="shared" si="34"/>
        <v>OneCo Networks AS</v>
      </c>
      <c r="N5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19" s="268" t="str">
        <f ca="1">IFERROR(IF(
OR(Table1[[#This Row],[Product category]]="Service items",Table1[[#This Row],[Product category]]="Additional services",Table1[[#This Row],[Product category]]="Additional materials"),
"NOK",IF(($N$3&lt;&gt;""),VLOOKUP(Table1[[#This Row],[Product code]],INDIRECT(Aux!$A$1),6,FALSE),"")),"")</f>
        <v>NOK</v>
      </c>
      <c r="P519" s="41" t="str">
        <f ca="1">IFERROR(IF(AND(Table1[[#This Row],[Quantity]]&lt;&gt;"",Table1[[#This Row],[Currency]]="NOK"),Table1[[#This Row],[Quantity]]*Table1[[#This Row],[Unit Price]],""),"")</f>
        <v/>
      </c>
      <c r="Q519" s="41" t="str">
        <f ca="1">IFERROR(IF(AND(Table1[[#This Row],[ACT_Qty]]&lt;&gt;"",Table1[[#This Row],[Currency]]="NOK"),Table1[[#This Row],[ACT_Qty]]*Table1[[#This Row],[Unit Price]],""),"")</f>
        <v/>
      </c>
      <c r="R519" s="41" t="str">
        <f ca="1">IFERROR(IF(AND(Table1[[#This Row],[Quantity]]&lt;&gt;"",Table1[[#This Row],[Currency]]="EUR"),Table1[[#This Row],[Quantity]]*Table1[[#This Row],[Unit Price]],""),"")</f>
        <v/>
      </c>
      <c r="S519" s="41" t="str">
        <f ca="1">IFERROR(IF(AND(Table1[[#This Row],[ACT_Qty]]&lt;&gt;"",Table1[[#This Row],[Currency]]="EUR"),Table1[[#This Row],[ACT_Qty]]*Table1[[#This Row],[Unit Price]],""),"")</f>
        <v/>
      </c>
      <c r="T519" s="269" t="str">
        <f ca="1">IFERROR(IF(AND(($N$3&lt;&gt;""),INDIRECT(Aux!$D$1)),VLOOKUP(Table1[[#This Row],[Product code]],Aux!B:E,4,FALSE),""),"")</f>
        <v/>
      </c>
      <c r="U519" s="145" t="str">
        <f>IFERROR(IF(OR(Table1[[#This Row],[Quantity]]&lt;&gt;"",Table1[[#This Row],[ACT_Qty]]&lt;&gt;""),Table1[[#This Row],[ACT_Qty]]-Table1[[#This Row],[Quantity]],""),"")</f>
        <v/>
      </c>
      <c r="V519" s="45"/>
      <c r="W519" s="45"/>
      <c r="X519" s="45"/>
    </row>
    <row r="520" spans="1:24" ht="15" customHeight="1">
      <c r="A520" s="233" t="str">
        <f t="shared" si="33"/>
        <v>AKH12345</v>
      </c>
      <c r="B520" s="261" t="s">
        <v>1488</v>
      </c>
      <c r="C520" s="7" t="s">
        <v>1489</v>
      </c>
      <c r="D520" s="105"/>
      <c r="E520" s="89"/>
      <c r="F520" s="68"/>
      <c r="G520" s="89"/>
      <c r="H520" s="5" t="s">
        <v>1490</v>
      </c>
      <c r="I520" s="5" t="s">
        <v>1233</v>
      </c>
      <c r="J520" s="5" t="s">
        <v>1491</v>
      </c>
      <c r="K520" s="5" t="s">
        <v>1235</v>
      </c>
      <c r="L520" s="208" t="s">
        <v>1235</v>
      </c>
      <c r="M520" s="148" t="str">
        <f t="shared" si="34"/>
        <v>OneCo Networks AS</v>
      </c>
      <c r="N52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0" s="270" t="str">
        <f ca="1">IFERROR(IF(
OR(Table1[[#This Row],[Product category]]="Service items",Table1[[#This Row],[Product category]]="Additional services",Table1[[#This Row],[Product category]]="Additional materials"),
"NOK",IF(($N$3&lt;&gt;""),VLOOKUP(Table1[[#This Row],[Product code]],INDIRECT(Aux!$A$1),6,FALSE),"")),"")</f>
        <v>NOK</v>
      </c>
      <c r="P520" s="43" t="str">
        <f ca="1">IFERROR(IF(AND(Table1[[#This Row],[Quantity]]&lt;&gt;"",Table1[[#This Row],[Currency]]="NOK"),Table1[[#This Row],[Quantity]]*Table1[[#This Row],[Unit Price]],""),"")</f>
        <v/>
      </c>
      <c r="Q520" s="43" t="str">
        <f ca="1">IFERROR(IF(AND(Table1[[#This Row],[ACT_Qty]]&lt;&gt;"",Table1[[#This Row],[Currency]]="NOK"),Table1[[#This Row],[ACT_Qty]]*Table1[[#This Row],[Unit Price]],""),"")</f>
        <v/>
      </c>
      <c r="R520" s="43" t="str">
        <f ca="1">IFERROR(IF(AND(Table1[[#This Row],[Quantity]]&lt;&gt;"",Table1[[#This Row],[Currency]]="EUR"),Table1[[#This Row],[Quantity]]*Table1[[#This Row],[Unit Price]],""),"")</f>
        <v/>
      </c>
      <c r="S520" s="43" t="str">
        <f ca="1">IFERROR(IF(AND(Table1[[#This Row],[ACT_Qty]]&lt;&gt;"",Table1[[#This Row],[Currency]]="EUR"),Table1[[#This Row],[ACT_Qty]]*Table1[[#This Row],[Unit Price]],""),"")</f>
        <v/>
      </c>
      <c r="T520" s="271" t="str">
        <f ca="1">IFERROR(IF(AND(($N$3&lt;&gt;""),INDIRECT(Aux!$D$1)),VLOOKUP(Table1[[#This Row],[Product code]],Aux!B:E,4,FALSE),""),"")</f>
        <v/>
      </c>
      <c r="U520" s="148" t="str">
        <f>IFERROR(IF(OR(Table1[[#This Row],[Quantity]]&lt;&gt;"",Table1[[#This Row],[ACT_Qty]]&lt;&gt;""),Table1[[#This Row],[ACT_Qty]]-Table1[[#This Row],[Quantity]],""),"")</f>
        <v/>
      </c>
      <c r="V520" s="46"/>
      <c r="W520" s="46"/>
      <c r="X520" s="46"/>
    </row>
    <row r="521" spans="1:24" ht="15" customHeight="1">
      <c r="A521" s="143" t="str">
        <f t="shared" si="33"/>
        <v>AKH12345</v>
      </c>
      <c r="B521" s="260" t="s">
        <v>1492</v>
      </c>
      <c r="C521" s="8" t="s">
        <v>1493</v>
      </c>
      <c r="D521" s="105"/>
      <c r="E521" s="106"/>
      <c r="F521" s="105"/>
      <c r="G521" s="106"/>
      <c r="H521" s="6" t="s">
        <v>1490</v>
      </c>
      <c r="I521" s="6" t="s">
        <v>1233</v>
      </c>
      <c r="J521" s="6" t="s">
        <v>1491</v>
      </c>
      <c r="K521" s="6" t="s">
        <v>1235</v>
      </c>
      <c r="L521" s="207" t="s">
        <v>1235</v>
      </c>
      <c r="M521" s="145" t="str">
        <f t="shared" si="34"/>
        <v>OneCo Networks AS</v>
      </c>
      <c r="N5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1" s="268" t="str">
        <f ca="1">IFERROR(IF(
OR(Table1[[#This Row],[Product category]]="Service items",Table1[[#This Row],[Product category]]="Additional services",Table1[[#This Row],[Product category]]="Additional materials"),
"NOK",IF(($N$3&lt;&gt;""),VLOOKUP(Table1[[#This Row],[Product code]],INDIRECT(Aux!$A$1),6,FALSE),"")),"")</f>
        <v>NOK</v>
      </c>
      <c r="P521" s="41" t="str">
        <f ca="1">IFERROR(IF(AND(Table1[[#This Row],[Quantity]]&lt;&gt;"",Table1[[#This Row],[Currency]]="NOK"),Table1[[#This Row],[Quantity]]*Table1[[#This Row],[Unit Price]],""),"")</f>
        <v/>
      </c>
      <c r="Q521" s="41" t="str">
        <f ca="1">IFERROR(IF(AND(Table1[[#This Row],[ACT_Qty]]&lt;&gt;"",Table1[[#This Row],[Currency]]="NOK"),Table1[[#This Row],[ACT_Qty]]*Table1[[#This Row],[Unit Price]],""),"")</f>
        <v/>
      </c>
      <c r="R521" s="41" t="str">
        <f ca="1">IFERROR(IF(AND(Table1[[#This Row],[Quantity]]&lt;&gt;"",Table1[[#This Row],[Currency]]="EUR"),Table1[[#This Row],[Quantity]]*Table1[[#This Row],[Unit Price]],""),"")</f>
        <v/>
      </c>
      <c r="S521" s="41" t="str">
        <f ca="1">IFERROR(IF(AND(Table1[[#This Row],[ACT_Qty]]&lt;&gt;"",Table1[[#This Row],[Currency]]="EUR"),Table1[[#This Row],[ACT_Qty]]*Table1[[#This Row],[Unit Price]],""),"")</f>
        <v/>
      </c>
      <c r="T521" s="269" t="str">
        <f ca="1">IFERROR(IF(AND(($N$3&lt;&gt;""),INDIRECT(Aux!$D$1)),VLOOKUP(Table1[[#This Row],[Product code]],Aux!B:E,4,FALSE),""),"")</f>
        <v/>
      </c>
      <c r="U521" s="145" t="str">
        <f>IFERROR(IF(OR(Table1[[#This Row],[Quantity]]&lt;&gt;"",Table1[[#This Row],[ACT_Qty]]&lt;&gt;""),Table1[[#This Row],[ACT_Qty]]-Table1[[#This Row],[Quantity]],""),"")</f>
        <v/>
      </c>
      <c r="V521" s="45"/>
      <c r="W521" s="45"/>
      <c r="X521" s="45"/>
    </row>
    <row r="522" spans="1:24" ht="15" customHeight="1">
      <c r="A522" s="233" t="str">
        <f t="shared" si="33"/>
        <v>AKH12345</v>
      </c>
      <c r="B522" s="261" t="s">
        <v>1494</v>
      </c>
      <c r="C522" s="7" t="s">
        <v>1495</v>
      </c>
      <c r="D522" s="105"/>
      <c r="E522" s="89"/>
      <c r="F522" s="68"/>
      <c r="G522" s="89"/>
      <c r="H522" s="5" t="s">
        <v>1490</v>
      </c>
      <c r="I522" s="5" t="s">
        <v>1233</v>
      </c>
      <c r="J522" s="5" t="s">
        <v>1491</v>
      </c>
      <c r="K522" s="5" t="s">
        <v>1235</v>
      </c>
      <c r="L522" s="208" t="s">
        <v>1235</v>
      </c>
      <c r="M522" s="148" t="str">
        <f t="shared" si="34"/>
        <v>OneCo Networks AS</v>
      </c>
      <c r="N52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2" s="270" t="str">
        <f ca="1">IFERROR(IF(
OR(Table1[[#This Row],[Product category]]="Service items",Table1[[#This Row],[Product category]]="Additional services",Table1[[#This Row],[Product category]]="Additional materials"),
"NOK",IF(($N$3&lt;&gt;""),VLOOKUP(Table1[[#This Row],[Product code]],INDIRECT(Aux!$A$1),6,FALSE),"")),"")</f>
        <v>NOK</v>
      </c>
      <c r="P522" s="43" t="str">
        <f ca="1">IFERROR(IF(AND(Table1[[#This Row],[Quantity]]&lt;&gt;"",Table1[[#This Row],[Currency]]="NOK"),Table1[[#This Row],[Quantity]]*Table1[[#This Row],[Unit Price]],""),"")</f>
        <v/>
      </c>
      <c r="Q522" s="43" t="str">
        <f ca="1">IFERROR(IF(AND(Table1[[#This Row],[ACT_Qty]]&lt;&gt;"",Table1[[#This Row],[Currency]]="NOK"),Table1[[#This Row],[ACT_Qty]]*Table1[[#This Row],[Unit Price]],""),"")</f>
        <v/>
      </c>
      <c r="R522" s="43" t="str">
        <f ca="1">IFERROR(IF(AND(Table1[[#This Row],[Quantity]]&lt;&gt;"",Table1[[#This Row],[Currency]]="EUR"),Table1[[#This Row],[Quantity]]*Table1[[#This Row],[Unit Price]],""),"")</f>
        <v/>
      </c>
      <c r="S522" s="43" t="str">
        <f ca="1">IFERROR(IF(AND(Table1[[#This Row],[ACT_Qty]]&lt;&gt;"",Table1[[#This Row],[Currency]]="EUR"),Table1[[#This Row],[ACT_Qty]]*Table1[[#This Row],[Unit Price]],""),"")</f>
        <v/>
      </c>
      <c r="T522" s="271" t="str">
        <f ca="1">IFERROR(IF(AND(($N$3&lt;&gt;""),INDIRECT(Aux!$D$1)),VLOOKUP(Table1[[#This Row],[Product code]],Aux!B:E,4,FALSE),""),"")</f>
        <v/>
      </c>
      <c r="U522" s="148" t="str">
        <f>IFERROR(IF(OR(Table1[[#This Row],[Quantity]]&lt;&gt;"",Table1[[#This Row],[ACT_Qty]]&lt;&gt;""),Table1[[#This Row],[ACT_Qty]]-Table1[[#This Row],[Quantity]],""),"")</f>
        <v/>
      </c>
      <c r="V522" s="46"/>
      <c r="W522" s="46"/>
      <c r="X522" s="46"/>
    </row>
    <row r="523" spans="1:24" ht="15" customHeight="1">
      <c r="A523" s="143" t="str">
        <f t="shared" si="33"/>
        <v>AKH12345</v>
      </c>
      <c r="B523" s="260" t="s">
        <v>1496</v>
      </c>
      <c r="C523" s="8" t="s">
        <v>1497</v>
      </c>
      <c r="D523" s="105"/>
      <c r="E523" s="106"/>
      <c r="F523" s="105"/>
      <c r="G523" s="106"/>
      <c r="H523" s="6" t="s">
        <v>1498</v>
      </c>
      <c r="I523" s="6" t="s">
        <v>1233</v>
      </c>
      <c r="J523" s="6" t="s">
        <v>1491</v>
      </c>
      <c r="K523" s="6" t="s">
        <v>1235</v>
      </c>
      <c r="L523" s="207" t="s">
        <v>1235</v>
      </c>
      <c r="M523" s="145" t="str">
        <f t="shared" si="34"/>
        <v>OneCo Networks AS</v>
      </c>
      <c r="N5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3" s="268" t="str">
        <f ca="1">IFERROR(IF(
OR(Table1[[#This Row],[Product category]]="Service items",Table1[[#This Row],[Product category]]="Additional services",Table1[[#This Row],[Product category]]="Additional materials"),
"NOK",IF(($N$3&lt;&gt;""),VLOOKUP(Table1[[#This Row],[Product code]],INDIRECT(Aux!$A$1),6,FALSE),"")),"")</f>
        <v>NOK</v>
      </c>
      <c r="P523" s="41" t="str">
        <f ca="1">IFERROR(IF(AND(Table1[[#This Row],[Quantity]]&lt;&gt;"",Table1[[#This Row],[Currency]]="NOK"),Table1[[#This Row],[Quantity]]*Table1[[#This Row],[Unit Price]],""),"")</f>
        <v/>
      </c>
      <c r="Q523" s="41" t="str">
        <f ca="1">IFERROR(IF(AND(Table1[[#This Row],[ACT_Qty]]&lt;&gt;"",Table1[[#This Row],[Currency]]="NOK"),Table1[[#This Row],[ACT_Qty]]*Table1[[#This Row],[Unit Price]],""),"")</f>
        <v/>
      </c>
      <c r="R523" s="41" t="str">
        <f ca="1">IFERROR(IF(AND(Table1[[#This Row],[Quantity]]&lt;&gt;"",Table1[[#This Row],[Currency]]="EUR"),Table1[[#This Row],[Quantity]]*Table1[[#This Row],[Unit Price]],""),"")</f>
        <v/>
      </c>
      <c r="S523" s="41" t="str">
        <f ca="1">IFERROR(IF(AND(Table1[[#This Row],[ACT_Qty]]&lt;&gt;"",Table1[[#This Row],[Currency]]="EUR"),Table1[[#This Row],[ACT_Qty]]*Table1[[#This Row],[Unit Price]],""),"")</f>
        <v/>
      </c>
      <c r="T523" s="269" t="str">
        <f ca="1">IFERROR(IF(AND(($N$3&lt;&gt;""),INDIRECT(Aux!$D$1)),VLOOKUP(Table1[[#This Row],[Product code]],Aux!B:E,4,FALSE),""),"")</f>
        <v/>
      </c>
      <c r="U523" s="145" t="str">
        <f>IFERROR(IF(OR(Table1[[#This Row],[Quantity]]&lt;&gt;"",Table1[[#This Row],[ACT_Qty]]&lt;&gt;""),Table1[[#This Row],[ACT_Qty]]-Table1[[#This Row],[Quantity]],""),"")</f>
        <v/>
      </c>
      <c r="V523" s="45"/>
      <c r="W523" s="45"/>
      <c r="X523" s="45"/>
    </row>
    <row r="524" spans="1:24" ht="15" customHeight="1">
      <c r="A524" s="233" t="str">
        <f t="shared" si="33"/>
        <v>AKH12345</v>
      </c>
      <c r="B524" s="261" t="s">
        <v>1499</v>
      </c>
      <c r="C524" s="7" t="s">
        <v>1500</v>
      </c>
      <c r="D524" s="105"/>
      <c r="E524" s="89" t="s">
        <v>1501</v>
      </c>
      <c r="F524" s="68"/>
      <c r="G524" s="89"/>
      <c r="H524" s="5" t="s">
        <v>1502</v>
      </c>
      <c r="I524" s="5" t="s">
        <v>1233</v>
      </c>
      <c r="J524" s="5" t="s">
        <v>1491</v>
      </c>
      <c r="K524" s="5" t="s">
        <v>1235</v>
      </c>
      <c r="L524" s="208" t="s">
        <v>1235</v>
      </c>
      <c r="M524" s="148" t="str">
        <f t="shared" si="34"/>
        <v>OneCo Networks AS</v>
      </c>
      <c r="N52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4" s="270" t="str">
        <f ca="1">IFERROR(IF(
OR(Table1[[#This Row],[Product category]]="Service items",Table1[[#This Row],[Product category]]="Additional services",Table1[[#This Row],[Product category]]="Additional materials"),
"NOK",IF(($N$3&lt;&gt;""),VLOOKUP(Table1[[#This Row],[Product code]],INDIRECT(Aux!$A$1),6,FALSE),"")),"")</f>
        <v>NOK</v>
      </c>
      <c r="P524" s="43" t="str">
        <f ca="1">IFERROR(IF(AND(Table1[[#This Row],[Quantity]]&lt;&gt;"",Table1[[#This Row],[Currency]]="NOK"),Table1[[#This Row],[Quantity]]*Table1[[#This Row],[Unit Price]],""),"")</f>
        <v/>
      </c>
      <c r="Q524" s="43" t="str">
        <f ca="1">IFERROR(IF(AND(Table1[[#This Row],[ACT_Qty]]&lt;&gt;"",Table1[[#This Row],[Currency]]="NOK"),Table1[[#This Row],[ACT_Qty]]*Table1[[#This Row],[Unit Price]],""),"")</f>
        <v/>
      </c>
      <c r="R524" s="43" t="str">
        <f ca="1">IFERROR(IF(AND(Table1[[#This Row],[Quantity]]&lt;&gt;"",Table1[[#This Row],[Currency]]="EUR"),Table1[[#This Row],[Quantity]]*Table1[[#This Row],[Unit Price]],""),"")</f>
        <v/>
      </c>
      <c r="S524" s="43" t="str">
        <f ca="1">IFERROR(IF(AND(Table1[[#This Row],[ACT_Qty]]&lt;&gt;"",Table1[[#This Row],[Currency]]="EUR"),Table1[[#This Row],[ACT_Qty]]*Table1[[#This Row],[Unit Price]],""),"")</f>
        <v/>
      </c>
      <c r="T524" s="271" t="str">
        <f ca="1">IFERROR(IF(AND(($N$3&lt;&gt;""),INDIRECT(Aux!$D$1)),VLOOKUP(Table1[[#This Row],[Product code]],Aux!B:E,4,FALSE),""),"")</f>
        <v/>
      </c>
      <c r="U524" s="148" t="str">
        <f>IFERROR(IF(OR(Table1[[#This Row],[Quantity]]&lt;&gt;"",Table1[[#This Row],[ACT_Qty]]&lt;&gt;""),Table1[[#This Row],[ACT_Qty]]-Table1[[#This Row],[Quantity]],""),"")</f>
        <v/>
      </c>
      <c r="V524" s="46"/>
      <c r="W524" s="46"/>
      <c r="X524" s="46"/>
    </row>
    <row r="525" spans="1:24" ht="15" customHeight="1">
      <c r="A525" s="143" t="str">
        <f t="shared" si="33"/>
        <v>AKH12345</v>
      </c>
      <c r="B525" s="260" t="s">
        <v>1503</v>
      </c>
      <c r="C525" s="8" t="s">
        <v>1504</v>
      </c>
      <c r="D525" s="105"/>
      <c r="E525" s="106"/>
      <c r="F525" s="105"/>
      <c r="G525" s="106"/>
      <c r="H525" s="6" t="s">
        <v>1505</v>
      </c>
      <c r="I525" s="6" t="s">
        <v>1233</v>
      </c>
      <c r="J525" s="6" t="s">
        <v>1491</v>
      </c>
      <c r="K525" s="6" t="s">
        <v>1235</v>
      </c>
      <c r="L525" s="207" t="s">
        <v>1235</v>
      </c>
      <c r="M525" s="145" t="str">
        <f t="shared" si="34"/>
        <v>OneCo Networks AS</v>
      </c>
      <c r="N5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5" s="268" t="str">
        <f ca="1">IFERROR(IF(
OR(Table1[[#This Row],[Product category]]="Service items",Table1[[#This Row],[Product category]]="Additional services",Table1[[#This Row],[Product category]]="Additional materials"),
"NOK",IF(($N$3&lt;&gt;""),VLOOKUP(Table1[[#This Row],[Product code]],INDIRECT(Aux!$A$1),6,FALSE),"")),"")</f>
        <v>NOK</v>
      </c>
      <c r="P525" s="41" t="str">
        <f ca="1">IFERROR(IF(AND(Table1[[#This Row],[Quantity]]&lt;&gt;"",Table1[[#This Row],[Currency]]="NOK"),Table1[[#This Row],[Quantity]]*Table1[[#This Row],[Unit Price]],""),"")</f>
        <v/>
      </c>
      <c r="Q525" s="41" t="str">
        <f ca="1">IFERROR(IF(AND(Table1[[#This Row],[ACT_Qty]]&lt;&gt;"",Table1[[#This Row],[Currency]]="NOK"),Table1[[#This Row],[ACT_Qty]]*Table1[[#This Row],[Unit Price]],""),"")</f>
        <v/>
      </c>
      <c r="R525" s="41" t="str">
        <f ca="1">IFERROR(IF(AND(Table1[[#This Row],[Quantity]]&lt;&gt;"",Table1[[#This Row],[Currency]]="EUR"),Table1[[#This Row],[Quantity]]*Table1[[#This Row],[Unit Price]],""),"")</f>
        <v/>
      </c>
      <c r="S525" s="41" t="str">
        <f ca="1">IFERROR(IF(AND(Table1[[#This Row],[ACT_Qty]]&lt;&gt;"",Table1[[#This Row],[Currency]]="EUR"),Table1[[#This Row],[ACT_Qty]]*Table1[[#This Row],[Unit Price]],""),"")</f>
        <v/>
      </c>
      <c r="T525" s="269" t="str">
        <f ca="1">IFERROR(IF(AND(($N$3&lt;&gt;""),INDIRECT(Aux!$D$1)),VLOOKUP(Table1[[#This Row],[Product code]],Aux!B:E,4,FALSE),""),"")</f>
        <v/>
      </c>
      <c r="U525" s="145" t="str">
        <f>IFERROR(IF(OR(Table1[[#This Row],[Quantity]]&lt;&gt;"",Table1[[#This Row],[ACT_Qty]]&lt;&gt;""),Table1[[#This Row],[ACT_Qty]]-Table1[[#This Row],[Quantity]],""),"")</f>
        <v/>
      </c>
      <c r="V525" s="45"/>
      <c r="W525" s="45"/>
      <c r="X525" s="45"/>
    </row>
    <row r="526" spans="1:24" ht="15" customHeight="1">
      <c r="A526" s="233" t="str">
        <f t="shared" si="33"/>
        <v>AKH12345</v>
      </c>
      <c r="B526" s="261" t="s">
        <v>1506</v>
      </c>
      <c r="C526" s="7" t="s">
        <v>1507</v>
      </c>
      <c r="D526" s="105"/>
      <c r="E526" s="89"/>
      <c r="F526" s="68"/>
      <c r="G526" s="89"/>
      <c r="H526" s="5" t="s">
        <v>1505</v>
      </c>
      <c r="I526" s="5" t="s">
        <v>1233</v>
      </c>
      <c r="J526" s="5" t="s">
        <v>1491</v>
      </c>
      <c r="K526" s="5" t="s">
        <v>1235</v>
      </c>
      <c r="L526" s="208" t="s">
        <v>1235</v>
      </c>
      <c r="M526" s="148" t="str">
        <f t="shared" si="34"/>
        <v>OneCo Networks AS</v>
      </c>
      <c r="N52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6" s="270" t="str">
        <f ca="1">IFERROR(IF(
OR(Table1[[#This Row],[Product category]]="Service items",Table1[[#This Row],[Product category]]="Additional services",Table1[[#This Row],[Product category]]="Additional materials"),
"NOK",IF(($N$3&lt;&gt;""),VLOOKUP(Table1[[#This Row],[Product code]],INDIRECT(Aux!$A$1),6,FALSE),"")),"")</f>
        <v>NOK</v>
      </c>
      <c r="P526" s="43" t="str">
        <f ca="1">IFERROR(IF(AND(Table1[[#This Row],[Quantity]]&lt;&gt;"",Table1[[#This Row],[Currency]]="NOK"),Table1[[#This Row],[Quantity]]*Table1[[#This Row],[Unit Price]],""),"")</f>
        <v/>
      </c>
      <c r="Q526" s="43" t="str">
        <f ca="1">IFERROR(IF(AND(Table1[[#This Row],[ACT_Qty]]&lt;&gt;"",Table1[[#This Row],[Currency]]="NOK"),Table1[[#This Row],[ACT_Qty]]*Table1[[#This Row],[Unit Price]],""),"")</f>
        <v/>
      </c>
      <c r="R526" s="43" t="str">
        <f ca="1">IFERROR(IF(AND(Table1[[#This Row],[Quantity]]&lt;&gt;"",Table1[[#This Row],[Currency]]="EUR"),Table1[[#This Row],[Quantity]]*Table1[[#This Row],[Unit Price]],""),"")</f>
        <v/>
      </c>
      <c r="S526" s="43" t="str">
        <f ca="1">IFERROR(IF(AND(Table1[[#This Row],[ACT_Qty]]&lt;&gt;"",Table1[[#This Row],[Currency]]="EUR"),Table1[[#This Row],[ACT_Qty]]*Table1[[#This Row],[Unit Price]],""),"")</f>
        <v/>
      </c>
      <c r="T526" s="271" t="str">
        <f ca="1">IFERROR(IF(AND(($N$3&lt;&gt;""),INDIRECT(Aux!$D$1)),VLOOKUP(Table1[[#This Row],[Product code]],Aux!B:E,4,FALSE),""),"")</f>
        <v/>
      </c>
      <c r="U526" s="148" t="str">
        <f>IFERROR(IF(OR(Table1[[#This Row],[Quantity]]&lt;&gt;"",Table1[[#This Row],[ACT_Qty]]&lt;&gt;""),Table1[[#This Row],[ACT_Qty]]-Table1[[#This Row],[Quantity]],""),"")</f>
        <v/>
      </c>
      <c r="V526" s="46"/>
      <c r="W526" s="46"/>
      <c r="X526" s="46"/>
    </row>
    <row r="527" spans="1:24" ht="15" customHeight="1">
      <c r="A527" s="143" t="str">
        <f t="shared" si="33"/>
        <v>AKH12345</v>
      </c>
      <c r="B527" s="260" t="s">
        <v>1508</v>
      </c>
      <c r="C527" s="8" t="s">
        <v>1509</v>
      </c>
      <c r="D527" s="105"/>
      <c r="E527" s="106"/>
      <c r="F527" s="105"/>
      <c r="G527" s="106"/>
      <c r="H527" s="6" t="s">
        <v>1505</v>
      </c>
      <c r="I527" s="6" t="s">
        <v>1233</v>
      </c>
      <c r="J527" s="6" t="s">
        <v>1491</v>
      </c>
      <c r="K527" s="6" t="s">
        <v>1235</v>
      </c>
      <c r="L527" s="207" t="s">
        <v>1235</v>
      </c>
      <c r="M527" s="145" t="str">
        <f t="shared" si="34"/>
        <v>OneCo Networks AS</v>
      </c>
      <c r="N5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7" s="268" t="str">
        <f ca="1">IFERROR(IF(
OR(Table1[[#This Row],[Product category]]="Service items",Table1[[#This Row],[Product category]]="Additional services",Table1[[#This Row],[Product category]]="Additional materials"),
"NOK",IF(($N$3&lt;&gt;""),VLOOKUP(Table1[[#This Row],[Product code]],INDIRECT(Aux!$A$1),6,FALSE),"")),"")</f>
        <v>NOK</v>
      </c>
      <c r="P527" s="41" t="str">
        <f ca="1">IFERROR(IF(AND(Table1[[#This Row],[Quantity]]&lt;&gt;"",Table1[[#This Row],[Currency]]="NOK"),Table1[[#This Row],[Quantity]]*Table1[[#This Row],[Unit Price]],""),"")</f>
        <v/>
      </c>
      <c r="Q527" s="41" t="str">
        <f ca="1">IFERROR(IF(AND(Table1[[#This Row],[ACT_Qty]]&lt;&gt;"",Table1[[#This Row],[Currency]]="NOK"),Table1[[#This Row],[ACT_Qty]]*Table1[[#This Row],[Unit Price]],""),"")</f>
        <v/>
      </c>
      <c r="R527" s="41" t="str">
        <f ca="1">IFERROR(IF(AND(Table1[[#This Row],[Quantity]]&lt;&gt;"",Table1[[#This Row],[Currency]]="EUR"),Table1[[#This Row],[Quantity]]*Table1[[#This Row],[Unit Price]],""),"")</f>
        <v/>
      </c>
      <c r="S527" s="41" t="str">
        <f ca="1">IFERROR(IF(AND(Table1[[#This Row],[ACT_Qty]]&lt;&gt;"",Table1[[#This Row],[Currency]]="EUR"),Table1[[#This Row],[ACT_Qty]]*Table1[[#This Row],[Unit Price]],""),"")</f>
        <v/>
      </c>
      <c r="T527" s="269" t="str">
        <f ca="1">IFERROR(IF(AND(($N$3&lt;&gt;""),INDIRECT(Aux!$D$1)),VLOOKUP(Table1[[#This Row],[Product code]],Aux!B:E,4,FALSE),""),"")</f>
        <v/>
      </c>
      <c r="U527" s="145" t="str">
        <f>IFERROR(IF(OR(Table1[[#This Row],[Quantity]]&lt;&gt;"",Table1[[#This Row],[ACT_Qty]]&lt;&gt;""),Table1[[#This Row],[ACT_Qty]]-Table1[[#This Row],[Quantity]],""),"")</f>
        <v/>
      </c>
      <c r="V527" s="45"/>
      <c r="W527" s="45"/>
      <c r="X527" s="45"/>
    </row>
    <row r="528" spans="1:24" ht="15" customHeight="1">
      <c r="A528" s="233" t="str">
        <f t="shared" si="33"/>
        <v>AKH12345</v>
      </c>
      <c r="B528" s="261" t="s">
        <v>1510</v>
      </c>
      <c r="C528" s="7" t="s">
        <v>1511</v>
      </c>
      <c r="D528" s="105"/>
      <c r="E528" s="89"/>
      <c r="F528" s="68"/>
      <c r="G528" s="89"/>
      <c r="H528" s="5" t="s">
        <v>1505</v>
      </c>
      <c r="I528" s="5" t="s">
        <v>1233</v>
      </c>
      <c r="J528" s="5" t="s">
        <v>1491</v>
      </c>
      <c r="K528" s="5" t="s">
        <v>1235</v>
      </c>
      <c r="L528" s="208" t="s">
        <v>1235</v>
      </c>
      <c r="M528" s="148" t="str">
        <f t="shared" si="34"/>
        <v>OneCo Networks AS</v>
      </c>
      <c r="N52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8" s="270" t="str">
        <f ca="1">IFERROR(IF(
OR(Table1[[#This Row],[Product category]]="Service items",Table1[[#This Row],[Product category]]="Additional services",Table1[[#This Row],[Product category]]="Additional materials"),
"NOK",IF(($N$3&lt;&gt;""),VLOOKUP(Table1[[#This Row],[Product code]],INDIRECT(Aux!$A$1),6,FALSE),"")),"")</f>
        <v>NOK</v>
      </c>
      <c r="P528" s="43" t="str">
        <f ca="1">IFERROR(IF(AND(Table1[[#This Row],[Quantity]]&lt;&gt;"",Table1[[#This Row],[Currency]]="NOK"),Table1[[#This Row],[Quantity]]*Table1[[#This Row],[Unit Price]],""),"")</f>
        <v/>
      </c>
      <c r="Q528" s="43" t="str">
        <f ca="1">IFERROR(IF(AND(Table1[[#This Row],[ACT_Qty]]&lt;&gt;"",Table1[[#This Row],[Currency]]="NOK"),Table1[[#This Row],[ACT_Qty]]*Table1[[#This Row],[Unit Price]],""),"")</f>
        <v/>
      </c>
      <c r="R528" s="43" t="str">
        <f ca="1">IFERROR(IF(AND(Table1[[#This Row],[Quantity]]&lt;&gt;"",Table1[[#This Row],[Currency]]="EUR"),Table1[[#This Row],[Quantity]]*Table1[[#This Row],[Unit Price]],""),"")</f>
        <v/>
      </c>
      <c r="S528" s="43" t="str">
        <f ca="1">IFERROR(IF(AND(Table1[[#This Row],[ACT_Qty]]&lt;&gt;"",Table1[[#This Row],[Currency]]="EUR"),Table1[[#This Row],[ACT_Qty]]*Table1[[#This Row],[Unit Price]],""),"")</f>
        <v/>
      </c>
      <c r="T528" s="271" t="str">
        <f ca="1">IFERROR(IF(AND(($N$3&lt;&gt;""),INDIRECT(Aux!$D$1)),VLOOKUP(Table1[[#This Row],[Product code]],Aux!B:E,4,FALSE),""),"")</f>
        <v/>
      </c>
      <c r="U528" s="148" t="str">
        <f>IFERROR(IF(OR(Table1[[#This Row],[Quantity]]&lt;&gt;"",Table1[[#This Row],[ACT_Qty]]&lt;&gt;""),Table1[[#This Row],[ACT_Qty]]-Table1[[#This Row],[Quantity]],""),"")</f>
        <v/>
      </c>
      <c r="V528" s="46"/>
      <c r="W528" s="46"/>
      <c r="X528" s="46"/>
    </row>
    <row r="529" spans="1:24" ht="15" customHeight="1">
      <c r="A529" s="143" t="str">
        <f t="shared" si="33"/>
        <v>AKH12345</v>
      </c>
      <c r="B529" s="260" t="s">
        <v>1512</v>
      </c>
      <c r="C529" s="8" t="s">
        <v>1513</v>
      </c>
      <c r="D529" s="105"/>
      <c r="E529" s="106"/>
      <c r="F529" s="105"/>
      <c r="G529" s="106"/>
      <c r="H529" s="6" t="s">
        <v>1505</v>
      </c>
      <c r="I529" s="6" t="s">
        <v>1233</v>
      </c>
      <c r="J529" s="6" t="s">
        <v>1491</v>
      </c>
      <c r="K529" s="6" t="s">
        <v>1235</v>
      </c>
      <c r="L529" s="207" t="s">
        <v>1235</v>
      </c>
      <c r="M529" s="145" t="str">
        <f t="shared" si="34"/>
        <v>OneCo Networks AS</v>
      </c>
      <c r="N5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29" s="268" t="str">
        <f ca="1">IFERROR(IF(
OR(Table1[[#This Row],[Product category]]="Service items",Table1[[#This Row],[Product category]]="Additional services",Table1[[#This Row],[Product category]]="Additional materials"),
"NOK",IF(($N$3&lt;&gt;""),VLOOKUP(Table1[[#This Row],[Product code]],INDIRECT(Aux!$A$1),6,FALSE),"")),"")</f>
        <v>NOK</v>
      </c>
      <c r="P529" s="41" t="str">
        <f ca="1">IFERROR(IF(AND(Table1[[#This Row],[Quantity]]&lt;&gt;"",Table1[[#This Row],[Currency]]="NOK"),Table1[[#This Row],[Quantity]]*Table1[[#This Row],[Unit Price]],""),"")</f>
        <v/>
      </c>
      <c r="Q529" s="41" t="str">
        <f ca="1">IFERROR(IF(AND(Table1[[#This Row],[ACT_Qty]]&lt;&gt;"",Table1[[#This Row],[Currency]]="NOK"),Table1[[#This Row],[ACT_Qty]]*Table1[[#This Row],[Unit Price]],""),"")</f>
        <v/>
      </c>
      <c r="R529" s="41" t="str">
        <f ca="1">IFERROR(IF(AND(Table1[[#This Row],[Quantity]]&lt;&gt;"",Table1[[#This Row],[Currency]]="EUR"),Table1[[#This Row],[Quantity]]*Table1[[#This Row],[Unit Price]],""),"")</f>
        <v/>
      </c>
      <c r="S529" s="41" t="str">
        <f ca="1">IFERROR(IF(AND(Table1[[#This Row],[ACT_Qty]]&lt;&gt;"",Table1[[#This Row],[Currency]]="EUR"),Table1[[#This Row],[ACT_Qty]]*Table1[[#This Row],[Unit Price]],""),"")</f>
        <v/>
      </c>
      <c r="T529" s="269" t="str">
        <f ca="1">IFERROR(IF(AND(($N$3&lt;&gt;""),INDIRECT(Aux!$D$1)),VLOOKUP(Table1[[#This Row],[Product code]],Aux!B:E,4,FALSE),""),"")</f>
        <v/>
      </c>
      <c r="U529" s="145" t="str">
        <f>IFERROR(IF(OR(Table1[[#This Row],[Quantity]]&lt;&gt;"",Table1[[#This Row],[ACT_Qty]]&lt;&gt;""),Table1[[#This Row],[ACT_Qty]]-Table1[[#This Row],[Quantity]],""),"")</f>
        <v/>
      </c>
      <c r="V529" s="45"/>
      <c r="W529" s="45"/>
      <c r="X529" s="45"/>
    </row>
    <row r="530" spans="1:24" ht="15" customHeight="1">
      <c r="A530" s="233" t="str">
        <f t="shared" si="33"/>
        <v>AKH12345</v>
      </c>
      <c r="B530" s="261" t="s">
        <v>1514</v>
      </c>
      <c r="C530" s="7" t="s">
        <v>1515</v>
      </c>
      <c r="D530" s="105"/>
      <c r="E530" s="89"/>
      <c r="F530" s="68"/>
      <c r="G530" s="89"/>
      <c r="H530" s="5" t="s">
        <v>1505</v>
      </c>
      <c r="I530" s="5" t="s">
        <v>1233</v>
      </c>
      <c r="J530" s="5" t="s">
        <v>1491</v>
      </c>
      <c r="K530" s="5" t="s">
        <v>1235</v>
      </c>
      <c r="L530" s="208" t="s">
        <v>1235</v>
      </c>
      <c r="M530" s="148" t="str">
        <f t="shared" si="34"/>
        <v>OneCo Networks AS</v>
      </c>
      <c r="N53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0" s="270" t="str">
        <f ca="1">IFERROR(IF(
OR(Table1[[#This Row],[Product category]]="Service items",Table1[[#This Row],[Product category]]="Additional services",Table1[[#This Row],[Product category]]="Additional materials"),
"NOK",IF(($N$3&lt;&gt;""),VLOOKUP(Table1[[#This Row],[Product code]],INDIRECT(Aux!$A$1),6,FALSE),"")),"")</f>
        <v>NOK</v>
      </c>
      <c r="P530" s="43" t="str">
        <f ca="1">IFERROR(IF(AND(Table1[[#This Row],[Quantity]]&lt;&gt;"",Table1[[#This Row],[Currency]]="NOK"),Table1[[#This Row],[Quantity]]*Table1[[#This Row],[Unit Price]],""),"")</f>
        <v/>
      </c>
      <c r="Q530" s="43" t="str">
        <f ca="1">IFERROR(IF(AND(Table1[[#This Row],[ACT_Qty]]&lt;&gt;"",Table1[[#This Row],[Currency]]="NOK"),Table1[[#This Row],[ACT_Qty]]*Table1[[#This Row],[Unit Price]],""),"")</f>
        <v/>
      </c>
      <c r="R530" s="43" t="str">
        <f ca="1">IFERROR(IF(AND(Table1[[#This Row],[Quantity]]&lt;&gt;"",Table1[[#This Row],[Currency]]="EUR"),Table1[[#This Row],[Quantity]]*Table1[[#This Row],[Unit Price]],""),"")</f>
        <v/>
      </c>
      <c r="S530" s="43" t="str">
        <f ca="1">IFERROR(IF(AND(Table1[[#This Row],[ACT_Qty]]&lt;&gt;"",Table1[[#This Row],[Currency]]="EUR"),Table1[[#This Row],[ACT_Qty]]*Table1[[#This Row],[Unit Price]],""),"")</f>
        <v/>
      </c>
      <c r="T530" s="271" t="str">
        <f ca="1">IFERROR(IF(AND(($N$3&lt;&gt;""),INDIRECT(Aux!$D$1)),VLOOKUP(Table1[[#This Row],[Product code]],Aux!B:E,4,FALSE),""),"")</f>
        <v/>
      </c>
      <c r="U530" s="148" t="str">
        <f>IFERROR(IF(OR(Table1[[#This Row],[Quantity]]&lt;&gt;"",Table1[[#This Row],[ACT_Qty]]&lt;&gt;""),Table1[[#This Row],[ACT_Qty]]-Table1[[#This Row],[Quantity]],""),"")</f>
        <v/>
      </c>
      <c r="V530" s="46"/>
      <c r="W530" s="46"/>
      <c r="X530" s="46"/>
    </row>
    <row r="531" spans="1:24" ht="15" customHeight="1">
      <c r="A531" s="143" t="str">
        <f t="shared" si="33"/>
        <v>AKH12345</v>
      </c>
      <c r="B531" s="260" t="s">
        <v>1516</v>
      </c>
      <c r="C531" s="8" t="s">
        <v>1517</v>
      </c>
      <c r="D531" s="105"/>
      <c r="E531" s="106"/>
      <c r="F531" s="105"/>
      <c r="G531" s="106"/>
      <c r="H531" s="6" t="s">
        <v>1518</v>
      </c>
      <c r="I531" s="6" t="s">
        <v>1233</v>
      </c>
      <c r="J531" s="6" t="s">
        <v>1491</v>
      </c>
      <c r="K531" s="6" t="s">
        <v>1235</v>
      </c>
      <c r="L531" s="207" t="s">
        <v>1235</v>
      </c>
      <c r="M531" s="145" t="str">
        <f t="shared" si="34"/>
        <v>OneCo Networks AS</v>
      </c>
      <c r="N5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1" s="268" t="str">
        <f ca="1">IFERROR(IF(
OR(Table1[[#This Row],[Product category]]="Service items",Table1[[#This Row],[Product category]]="Additional services",Table1[[#This Row],[Product category]]="Additional materials"),
"NOK",IF(($N$3&lt;&gt;""),VLOOKUP(Table1[[#This Row],[Product code]],INDIRECT(Aux!$A$1),6,FALSE),"")),"")</f>
        <v>NOK</v>
      </c>
      <c r="P531" s="41" t="str">
        <f ca="1">IFERROR(IF(AND(Table1[[#This Row],[Quantity]]&lt;&gt;"",Table1[[#This Row],[Currency]]="NOK"),Table1[[#This Row],[Quantity]]*Table1[[#This Row],[Unit Price]],""),"")</f>
        <v/>
      </c>
      <c r="Q531" s="41" t="str">
        <f ca="1">IFERROR(IF(AND(Table1[[#This Row],[ACT_Qty]]&lt;&gt;"",Table1[[#This Row],[Currency]]="NOK"),Table1[[#This Row],[ACT_Qty]]*Table1[[#This Row],[Unit Price]],""),"")</f>
        <v/>
      </c>
      <c r="R531" s="41" t="str">
        <f ca="1">IFERROR(IF(AND(Table1[[#This Row],[Quantity]]&lt;&gt;"",Table1[[#This Row],[Currency]]="EUR"),Table1[[#This Row],[Quantity]]*Table1[[#This Row],[Unit Price]],""),"")</f>
        <v/>
      </c>
      <c r="S531" s="41" t="str">
        <f ca="1">IFERROR(IF(AND(Table1[[#This Row],[ACT_Qty]]&lt;&gt;"",Table1[[#This Row],[Currency]]="EUR"),Table1[[#This Row],[ACT_Qty]]*Table1[[#This Row],[Unit Price]],""),"")</f>
        <v/>
      </c>
      <c r="T531" s="269" t="str">
        <f ca="1">IFERROR(IF(AND(($N$3&lt;&gt;""),INDIRECT(Aux!$D$1)),VLOOKUP(Table1[[#This Row],[Product code]],Aux!B:E,4,FALSE),""),"")</f>
        <v/>
      </c>
      <c r="U531" s="145" t="str">
        <f>IFERROR(IF(OR(Table1[[#This Row],[Quantity]]&lt;&gt;"",Table1[[#This Row],[ACT_Qty]]&lt;&gt;""),Table1[[#This Row],[ACT_Qty]]-Table1[[#This Row],[Quantity]],""),"")</f>
        <v/>
      </c>
      <c r="V531" s="45"/>
      <c r="W531" s="45"/>
      <c r="X531" s="45"/>
    </row>
    <row r="532" spans="1:24" ht="15" customHeight="1">
      <c r="A532" s="233" t="str">
        <f t="shared" si="33"/>
        <v>AKH12345</v>
      </c>
      <c r="B532" s="261" t="s">
        <v>1519</v>
      </c>
      <c r="C532" s="7" t="s">
        <v>1520</v>
      </c>
      <c r="D532" s="105"/>
      <c r="E532" s="89"/>
      <c r="F532" s="68"/>
      <c r="G532" s="89"/>
      <c r="H532" s="5" t="s">
        <v>1518</v>
      </c>
      <c r="I532" s="5" t="s">
        <v>1233</v>
      </c>
      <c r="J532" s="5" t="s">
        <v>1491</v>
      </c>
      <c r="K532" s="5" t="s">
        <v>1235</v>
      </c>
      <c r="L532" s="208" t="s">
        <v>1235</v>
      </c>
      <c r="M532" s="148" t="str">
        <f t="shared" si="34"/>
        <v>OneCo Networks AS</v>
      </c>
      <c r="N53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2" s="270" t="str">
        <f ca="1">IFERROR(IF(
OR(Table1[[#This Row],[Product category]]="Service items",Table1[[#This Row],[Product category]]="Additional services",Table1[[#This Row],[Product category]]="Additional materials"),
"NOK",IF(($N$3&lt;&gt;""),VLOOKUP(Table1[[#This Row],[Product code]],INDIRECT(Aux!$A$1),6,FALSE),"")),"")</f>
        <v>NOK</v>
      </c>
      <c r="P532" s="43" t="str">
        <f ca="1">IFERROR(IF(AND(Table1[[#This Row],[Quantity]]&lt;&gt;"",Table1[[#This Row],[Currency]]="NOK"),Table1[[#This Row],[Quantity]]*Table1[[#This Row],[Unit Price]],""),"")</f>
        <v/>
      </c>
      <c r="Q532" s="43" t="str">
        <f ca="1">IFERROR(IF(AND(Table1[[#This Row],[ACT_Qty]]&lt;&gt;"",Table1[[#This Row],[Currency]]="NOK"),Table1[[#This Row],[ACT_Qty]]*Table1[[#This Row],[Unit Price]],""),"")</f>
        <v/>
      </c>
      <c r="R532" s="43" t="str">
        <f ca="1">IFERROR(IF(AND(Table1[[#This Row],[Quantity]]&lt;&gt;"",Table1[[#This Row],[Currency]]="EUR"),Table1[[#This Row],[Quantity]]*Table1[[#This Row],[Unit Price]],""),"")</f>
        <v/>
      </c>
      <c r="S532" s="43" t="str">
        <f ca="1">IFERROR(IF(AND(Table1[[#This Row],[ACT_Qty]]&lt;&gt;"",Table1[[#This Row],[Currency]]="EUR"),Table1[[#This Row],[ACT_Qty]]*Table1[[#This Row],[Unit Price]],""),"")</f>
        <v/>
      </c>
      <c r="T532" s="271" t="str">
        <f ca="1">IFERROR(IF(AND(($N$3&lt;&gt;""),INDIRECT(Aux!$D$1)),VLOOKUP(Table1[[#This Row],[Product code]],Aux!B:E,4,FALSE),""),"")</f>
        <v/>
      </c>
      <c r="U532" s="148" t="str">
        <f>IFERROR(IF(OR(Table1[[#This Row],[Quantity]]&lt;&gt;"",Table1[[#This Row],[ACT_Qty]]&lt;&gt;""),Table1[[#This Row],[ACT_Qty]]-Table1[[#This Row],[Quantity]],""),"")</f>
        <v/>
      </c>
      <c r="V532" s="46"/>
      <c r="W532" s="46"/>
      <c r="X532" s="46"/>
    </row>
    <row r="533" spans="1:24" ht="15" customHeight="1">
      <c r="A533" s="143" t="str">
        <f t="shared" si="33"/>
        <v>AKH12345</v>
      </c>
      <c r="B533" s="260" t="s">
        <v>1521</v>
      </c>
      <c r="C533" s="8" t="s">
        <v>1522</v>
      </c>
      <c r="D533" s="105"/>
      <c r="E533" s="106"/>
      <c r="F533" s="105"/>
      <c r="G533" s="106"/>
      <c r="H533" s="6" t="s">
        <v>1518</v>
      </c>
      <c r="I533" s="6" t="s">
        <v>1233</v>
      </c>
      <c r="J533" s="6" t="s">
        <v>1491</v>
      </c>
      <c r="K533" s="6" t="s">
        <v>1235</v>
      </c>
      <c r="L533" s="207" t="s">
        <v>1235</v>
      </c>
      <c r="M533" s="145" t="str">
        <f t="shared" si="34"/>
        <v>OneCo Networks AS</v>
      </c>
      <c r="N5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3" s="268" t="str">
        <f ca="1">IFERROR(IF(
OR(Table1[[#This Row],[Product category]]="Service items",Table1[[#This Row],[Product category]]="Additional services",Table1[[#This Row],[Product category]]="Additional materials"),
"NOK",IF(($N$3&lt;&gt;""),VLOOKUP(Table1[[#This Row],[Product code]],INDIRECT(Aux!$A$1),6,FALSE),"")),"")</f>
        <v>NOK</v>
      </c>
      <c r="P533" s="41" t="str">
        <f ca="1">IFERROR(IF(AND(Table1[[#This Row],[Quantity]]&lt;&gt;"",Table1[[#This Row],[Currency]]="NOK"),Table1[[#This Row],[Quantity]]*Table1[[#This Row],[Unit Price]],""),"")</f>
        <v/>
      </c>
      <c r="Q533" s="41" t="str">
        <f ca="1">IFERROR(IF(AND(Table1[[#This Row],[ACT_Qty]]&lt;&gt;"",Table1[[#This Row],[Currency]]="NOK"),Table1[[#This Row],[ACT_Qty]]*Table1[[#This Row],[Unit Price]],""),"")</f>
        <v/>
      </c>
      <c r="R533" s="41" t="str">
        <f ca="1">IFERROR(IF(AND(Table1[[#This Row],[Quantity]]&lt;&gt;"",Table1[[#This Row],[Currency]]="EUR"),Table1[[#This Row],[Quantity]]*Table1[[#This Row],[Unit Price]],""),"")</f>
        <v/>
      </c>
      <c r="S533" s="41" t="str">
        <f ca="1">IFERROR(IF(AND(Table1[[#This Row],[ACT_Qty]]&lt;&gt;"",Table1[[#This Row],[Currency]]="EUR"),Table1[[#This Row],[ACT_Qty]]*Table1[[#This Row],[Unit Price]],""),"")</f>
        <v/>
      </c>
      <c r="T533" s="269" t="str">
        <f ca="1">IFERROR(IF(AND(($N$3&lt;&gt;""),INDIRECT(Aux!$D$1)),VLOOKUP(Table1[[#This Row],[Product code]],Aux!B:E,4,FALSE),""),"")</f>
        <v/>
      </c>
      <c r="U533" s="145" t="str">
        <f>IFERROR(IF(OR(Table1[[#This Row],[Quantity]]&lt;&gt;"",Table1[[#This Row],[ACT_Qty]]&lt;&gt;""),Table1[[#This Row],[ACT_Qty]]-Table1[[#This Row],[Quantity]],""),"")</f>
        <v/>
      </c>
      <c r="V533" s="45"/>
      <c r="W533" s="45"/>
      <c r="X533" s="45"/>
    </row>
    <row r="534" spans="1:24" ht="15" customHeight="1">
      <c r="A534" s="233" t="str">
        <f t="shared" si="33"/>
        <v>AKH12345</v>
      </c>
      <c r="B534" s="261" t="s">
        <v>1523</v>
      </c>
      <c r="C534" s="7" t="s">
        <v>1524</v>
      </c>
      <c r="D534" s="105"/>
      <c r="E534" s="89" t="s">
        <v>1525</v>
      </c>
      <c r="F534" s="68"/>
      <c r="G534" s="89"/>
      <c r="H534" s="5" t="s">
        <v>1526</v>
      </c>
      <c r="I534" s="5" t="s">
        <v>1233</v>
      </c>
      <c r="J534" s="5" t="s">
        <v>1491</v>
      </c>
      <c r="K534" s="5" t="s">
        <v>1235</v>
      </c>
      <c r="L534" s="208" t="s">
        <v>1235</v>
      </c>
      <c r="M534" s="148" t="str">
        <f t="shared" si="34"/>
        <v>OneCo Networks AS</v>
      </c>
      <c r="N53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4" s="270" t="str">
        <f ca="1">IFERROR(IF(
OR(Table1[[#This Row],[Product category]]="Service items",Table1[[#This Row],[Product category]]="Additional services",Table1[[#This Row],[Product category]]="Additional materials"),
"NOK",IF(($N$3&lt;&gt;""),VLOOKUP(Table1[[#This Row],[Product code]],INDIRECT(Aux!$A$1),6,FALSE),"")),"")</f>
        <v>NOK</v>
      </c>
      <c r="P534" s="43" t="str">
        <f ca="1">IFERROR(IF(AND(Table1[[#This Row],[Quantity]]&lt;&gt;"",Table1[[#This Row],[Currency]]="NOK"),Table1[[#This Row],[Quantity]]*Table1[[#This Row],[Unit Price]],""),"")</f>
        <v/>
      </c>
      <c r="Q534" s="43" t="str">
        <f ca="1">IFERROR(IF(AND(Table1[[#This Row],[ACT_Qty]]&lt;&gt;"",Table1[[#This Row],[Currency]]="NOK"),Table1[[#This Row],[ACT_Qty]]*Table1[[#This Row],[Unit Price]],""),"")</f>
        <v/>
      </c>
      <c r="R534" s="43" t="str">
        <f ca="1">IFERROR(IF(AND(Table1[[#This Row],[Quantity]]&lt;&gt;"",Table1[[#This Row],[Currency]]="EUR"),Table1[[#This Row],[Quantity]]*Table1[[#This Row],[Unit Price]],""),"")</f>
        <v/>
      </c>
      <c r="S534" s="43" t="str">
        <f ca="1">IFERROR(IF(AND(Table1[[#This Row],[ACT_Qty]]&lt;&gt;"",Table1[[#This Row],[Currency]]="EUR"),Table1[[#This Row],[ACT_Qty]]*Table1[[#This Row],[Unit Price]],""),"")</f>
        <v/>
      </c>
      <c r="T534" s="271" t="str">
        <f ca="1">IFERROR(IF(AND(($N$3&lt;&gt;""),INDIRECT(Aux!$D$1)),VLOOKUP(Table1[[#This Row],[Product code]],Aux!B:E,4,FALSE),""),"")</f>
        <v/>
      </c>
      <c r="U534" s="148" t="str">
        <f>IFERROR(IF(OR(Table1[[#This Row],[Quantity]]&lt;&gt;"",Table1[[#This Row],[ACT_Qty]]&lt;&gt;""),Table1[[#This Row],[ACT_Qty]]-Table1[[#This Row],[Quantity]],""),"")</f>
        <v/>
      </c>
      <c r="V534" s="46"/>
      <c r="W534" s="46"/>
      <c r="X534" s="46"/>
    </row>
    <row r="535" spans="1:24" ht="15" customHeight="1">
      <c r="A535" s="143" t="str">
        <f t="shared" si="33"/>
        <v>AKH12345</v>
      </c>
      <c r="B535" s="260" t="s">
        <v>1527</v>
      </c>
      <c r="C535" s="8" t="s">
        <v>1528</v>
      </c>
      <c r="D535" s="105"/>
      <c r="E535" s="106" t="s">
        <v>1529</v>
      </c>
      <c r="F535" s="105"/>
      <c r="G535" s="106"/>
      <c r="H535" s="6" t="s">
        <v>1530</v>
      </c>
      <c r="I535" s="6" t="s">
        <v>1233</v>
      </c>
      <c r="J535" s="6" t="s">
        <v>1491</v>
      </c>
      <c r="K535" s="6" t="s">
        <v>1235</v>
      </c>
      <c r="L535" s="207" t="s">
        <v>1235</v>
      </c>
      <c r="M535" s="145" t="str">
        <f t="shared" si="34"/>
        <v>OneCo Networks AS</v>
      </c>
      <c r="N5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5" s="268" t="str">
        <f ca="1">IFERROR(IF(
OR(Table1[[#This Row],[Product category]]="Service items",Table1[[#This Row],[Product category]]="Additional services",Table1[[#This Row],[Product category]]="Additional materials"),
"NOK",IF(($N$3&lt;&gt;""),VLOOKUP(Table1[[#This Row],[Product code]],INDIRECT(Aux!$A$1),6,FALSE),"")),"")</f>
        <v>NOK</v>
      </c>
      <c r="P535" s="41" t="str">
        <f ca="1">IFERROR(IF(AND(Table1[[#This Row],[Quantity]]&lt;&gt;"",Table1[[#This Row],[Currency]]="NOK"),Table1[[#This Row],[Quantity]]*Table1[[#This Row],[Unit Price]],""),"")</f>
        <v/>
      </c>
      <c r="Q535" s="41" t="str">
        <f ca="1">IFERROR(IF(AND(Table1[[#This Row],[ACT_Qty]]&lt;&gt;"",Table1[[#This Row],[Currency]]="NOK"),Table1[[#This Row],[ACT_Qty]]*Table1[[#This Row],[Unit Price]],""),"")</f>
        <v/>
      </c>
      <c r="R535" s="41" t="str">
        <f ca="1">IFERROR(IF(AND(Table1[[#This Row],[Quantity]]&lt;&gt;"",Table1[[#This Row],[Currency]]="EUR"),Table1[[#This Row],[Quantity]]*Table1[[#This Row],[Unit Price]],""),"")</f>
        <v/>
      </c>
      <c r="S535" s="41" t="str">
        <f ca="1">IFERROR(IF(AND(Table1[[#This Row],[ACT_Qty]]&lt;&gt;"",Table1[[#This Row],[Currency]]="EUR"),Table1[[#This Row],[ACT_Qty]]*Table1[[#This Row],[Unit Price]],""),"")</f>
        <v/>
      </c>
      <c r="T535" s="269" t="str">
        <f ca="1">IFERROR(IF(AND(($N$3&lt;&gt;""),INDIRECT(Aux!$D$1)),VLOOKUP(Table1[[#This Row],[Product code]],Aux!B:E,4,FALSE),""),"")</f>
        <v/>
      </c>
      <c r="U535" s="145" t="str">
        <f>IFERROR(IF(OR(Table1[[#This Row],[Quantity]]&lt;&gt;"",Table1[[#This Row],[ACT_Qty]]&lt;&gt;""),Table1[[#This Row],[ACT_Qty]]-Table1[[#This Row],[Quantity]],""),"")</f>
        <v/>
      </c>
      <c r="V535" s="45"/>
      <c r="W535" s="45"/>
      <c r="X535" s="45"/>
    </row>
    <row r="536" spans="1:24" ht="15" customHeight="1">
      <c r="A536" s="233" t="str">
        <f t="shared" si="33"/>
        <v>AKH12345</v>
      </c>
      <c r="B536" s="261" t="s">
        <v>1531</v>
      </c>
      <c r="C536" s="7" t="s">
        <v>1532</v>
      </c>
      <c r="D536" s="105"/>
      <c r="E536" s="89"/>
      <c r="F536" s="68"/>
      <c r="G536" s="89"/>
      <c r="H536" s="5" t="s">
        <v>1533</v>
      </c>
      <c r="I536" s="5" t="s">
        <v>1233</v>
      </c>
      <c r="J536" s="5" t="s">
        <v>1491</v>
      </c>
      <c r="K536" s="5" t="s">
        <v>1235</v>
      </c>
      <c r="L536" s="208" t="s">
        <v>1235</v>
      </c>
      <c r="M536" s="148" t="str">
        <f t="shared" si="34"/>
        <v>OneCo Networks AS</v>
      </c>
      <c r="N53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6" s="270" t="str">
        <f ca="1">IFERROR(IF(
OR(Table1[[#This Row],[Product category]]="Service items",Table1[[#This Row],[Product category]]="Additional services",Table1[[#This Row],[Product category]]="Additional materials"),
"NOK",IF(($N$3&lt;&gt;""),VLOOKUP(Table1[[#This Row],[Product code]],INDIRECT(Aux!$A$1),6,FALSE),"")),"")</f>
        <v>NOK</v>
      </c>
      <c r="P536" s="43" t="str">
        <f ca="1">IFERROR(IF(AND(Table1[[#This Row],[Quantity]]&lt;&gt;"",Table1[[#This Row],[Currency]]="NOK"),Table1[[#This Row],[Quantity]]*Table1[[#This Row],[Unit Price]],""),"")</f>
        <v/>
      </c>
      <c r="Q536" s="43" t="str">
        <f ca="1">IFERROR(IF(AND(Table1[[#This Row],[ACT_Qty]]&lt;&gt;"",Table1[[#This Row],[Currency]]="NOK"),Table1[[#This Row],[ACT_Qty]]*Table1[[#This Row],[Unit Price]],""),"")</f>
        <v/>
      </c>
      <c r="R536" s="43" t="str">
        <f ca="1">IFERROR(IF(AND(Table1[[#This Row],[Quantity]]&lt;&gt;"",Table1[[#This Row],[Currency]]="EUR"),Table1[[#This Row],[Quantity]]*Table1[[#This Row],[Unit Price]],""),"")</f>
        <v/>
      </c>
      <c r="S536" s="43" t="str">
        <f ca="1">IFERROR(IF(AND(Table1[[#This Row],[ACT_Qty]]&lt;&gt;"",Table1[[#This Row],[Currency]]="EUR"),Table1[[#This Row],[ACT_Qty]]*Table1[[#This Row],[Unit Price]],""),"")</f>
        <v/>
      </c>
      <c r="T536" s="271" t="str">
        <f ca="1">IFERROR(IF(AND(($N$3&lt;&gt;""),INDIRECT(Aux!$D$1)),VLOOKUP(Table1[[#This Row],[Product code]],Aux!B:E,4,FALSE),""),"")</f>
        <v/>
      </c>
      <c r="U536" s="148" t="str">
        <f>IFERROR(IF(OR(Table1[[#This Row],[Quantity]]&lt;&gt;"",Table1[[#This Row],[ACT_Qty]]&lt;&gt;""),Table1[[#This Row],[ACT_Qty]]-Table1[[#This Row],[Quantity]],""),"")</f>
        <v/>
      </c>
      <c r="V536" s="46"/>
      <c r="W536" s="46"/>
      <c r="X536" s="46"/>
    </row>
    <row r="537" spans="1:24" ht="15" customHeight="1">
      <c r="A537" s="143" t="str">
        <f t="shared" si="33"/>
        <v>AKH12345</v>
      </c>
      <c r="B537" s="260" t="s">
        <v>1534</v>
      </c>
      <c r="C537" s="8" t="s">
        <v>1535</v>
      </c>
      <c r="D537" s="105"/>
      <c r="E537" s="106"/>
      <c r="F537" s="105"/>
      <c r="G537" s="106"/>
      <c r="H537" s="6" t="s">
        <v>1536</v>
      </c>
      <c r="I537" s="6" t="s">
        <v>1233</v>
      </c>
      <c r="J537" s="6" t="s">
        <v>1491</v>
      </c>
      <c r="K537" s="6" t="s">
        <v>1235</v>
      </c>
      <c r="L537" s="207" t="s">
        <v>1235</v>
      </c>
      <c r="M537" s="145" t="str">
        <f t="shared" si="34"/>
        <v>OneCo Networks AS</v>
      </c>
      <c r="N5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7" s="268" t="str">
        <f ca="1">IFERROR(IF(
OR(Table1[[#This Row],[Product category]]="Service items",Table1[[#This Row],[Product category]]="Additional services",Table1[[#This Row],[Product category]]="Additional materials"),
"NOK",IF(($N$3&lt;&gt;""),VLOOKUP(Table1[[#This Row],[Product code]],INDIRECT(Aux!$A$1),6,FALSE),"")),"")</f>
        <v>NOK</v>
      </c>
      <c r="P537" s="41" t="str">
        <f ca="1">IFERROR(IF(AND(Table1[[#This Row],[Quantity]]&lt;&gt;"",Table1[[#This Row],[Currency]]="NOK"),Table1[[#This Row],[Quantity]]*Table1[[#This Row],[Unit Price]],""),"")</f>
        <v/>
      </c>
      <c r="Q537" s="41" t="str">
        <f ca="1">IFERROR(IF(AND(Table1[[#This Row],[ACT_Qty]]&lt;&gt;"",Table1[[#This Row],[Currency]]="NOK"),Table1[[#This Row],[ACT_Qty]]*Table1[[#This Row],[Unit Price]],""),"")</f>
        <v/>
      </c>
      <c r="R537" s="41" t="str">
        <f ca="1">IFERROR(IF(AND(Table1[[#This Row],[Quantity]]&lt;&gt;"",Table1[[#This Row],[Currency]]="EUR"),Table1[[#This Row],[Quantity]]*Table1[[#This Row],[Unit Price]],""),"")</f>
        <v/>
      </c>
      <c r="S537" s="41" t="str">
        <f ca="1">IFERROR(IF(AND(Table1[[#This Row],[ACT_Qty]]&lt;&gt;"",Table1[[#This Row],[Currency]]="EUR"),Table1[[#This Row],[ACT_Qty]]*Table1[[#This Row],[Unit Price]],""),"")</f>
        <v/>
      </c>
      <c r="T537" s="269" t="str">
        <f ca="1">IFERROR(IF(AND(($N$3&lt;&gt;""),INDIRECT(Aux!$D$1)),VLOOKUP(Table1[[#This Row],[Product code]],Aux!B:E,4,FALSE),""),"")</f>
        <v/>
      </c>
      <c r="U537" s="145" t="str">
        <f>IFERROR(IF(OR(Table1[[#This Row],[Quantity]]&lt;&gt;"",Table1[[#This Row],[ACT_Qty]]&lt;&gt;""),Table1[[#This Row],[ACT_Qty]]-Table1[[#This Row],[Quantity]],""),"")</f>
        <v/>
      </c>
      <c r="V537" s="45"/>
      <c r="W537" s="45"/>
      <c r="X537" s="45"/>
    </row>
    <row r="538" spans="1:24" ht="15" customHeight="1">
      <c r="A538" s="233" t="str">
        <f t="shared" si="33"/>
        <v>AKH12345</v>
      </c>
      <c r="B538" s="261" t="s">
        <v>1537</v>
      </c>
      <c r="C538" s="7" t="s">
        <v>1538</v>
      </c>
      <c r="D538" s="105"/>
      <c r="E538" s="89"/>
      <c r="F538" s="68"/>
      <c r="G538" s="89"/>
      <c r="H538" s="5" t="s">
        <v>1539</v>
      </c>
      <c r="I538" s="5" t="s">
        <v>1233</v>
      </c>
      <c r="J538" s="5" t="s">
        <v>1491</v>
      </c>
      <c r="K538" s="5" t="s">
        <v>1235</v>
      </c>
      <c r="L538" s="208" t="s">
        <v>1235</v>
      </c>
      <c r="M538" s="148" t="str">
        <f t="shared" si="34"/>
        <v>OneCo Networks AS</v>
      </c>
      <c r="N53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8" s="270" t="str">
        <f ca="1">IFERROR(IF(
OR(Table1[[#This Row],[Product category]]="Service items",Table1[[#This Row],[Product category]]="Additional services",Table1[[#This Row],[Product category]]="Additional materials"),
"NOK",IF(($N$3&lt;&gt;""),VLOOKUP(Table1[[#This Row],[Product code]],INDIRECT(Aux!$A$1),6,FALSE),"")),"")</f>
        <v>NOK</v>
      </c>
      <c r="P538" s="43" t="str">
        <f ca="1">IFERROR(IF(AND(Table1[[#This Row],[Quantity]]&lt;&gt;"",Table1[[#This Row],[Currency]]="NOK"),Table1[[#This Row],[Quantity]]*Table1[[#This Row],[Unit Price]],""),"")</f>
        <v/>
      </c>
      <c r="Q538" s="43" t="str">
        <f ca="1">IFERROR(IF(AND(Table1[[#This Row],[ACT_Qty]]&lt;&gt;"",Table1[[#This Row],[Currency]]="NOK"),Table1[[#This Row],[ACT_Qty]]*Table1[[#This Row],[Unit Price]],""),"")</f>
        <v/>
      </c>
      <c r="R538" s="43" t="str">
        <f ca="1">IFERROR(IF(AND(Table1[[#This Row],[Quantity]]&lt;&gt;"",Table1[[#This Row],[Currency]]="EUR"),Table1[[#This Row],[Quantity]]*Table1[[#This Row],[Unit Price]],""),"")</f>
        <v/>
      </c>
      <c r="S538" s="43" t="str">
        <f ca="1">IFERROR(IF(AND(Table1[[#This Row],[ACT_Qty]]&lt;&gt;"",Table1[[#This Row],[Currency]]="EUR"),Table1[[#This Row],[ACT_Qty]]*Table1[[#This Row],[Unit Price]],""),"")</f>
        <v/>
      </c>
      <c r="T538" s="271" t="str">
        <f ca="1">IFERROR(IF(AND(($N$3&lt;&gt;""),INDIRECT(Aux!$D$1)),VLOOKUP(Table1[[#This Row],[Product code]],Aux!B:E,4,FALSE),""),"")</f>
        <v/>
      </c>
      <c r="U538" s="148" t="str">
        <f>IFERROR(IF(OR(Table1[[#This Row],[Quantity]]&lt;&gt;"",Table1[[#This Row],[ACT_Qty]]&lt;&gt;""),Table1[[#This Row],[ACT_Qty]]-Table1[[#This Row],[Quantity]],""),"")</f>
        <v/>
      </c>
      <c r="V538" s="46"/>
      <c r="W538" s="46"/>
      <c r="X538" s="46"/>
    </row>
    <row r="539" spans="1:24" ht="15" customHeight="1">
      <c r="A539" s="143" t="str">
        <f t="shared" si="33"/>
        <v>AKH12345</v>
      </c>
      <c r="B539" s="260" t="s">
        <v>1540</v>
      </c>
      <c r="C539" s="8" t="s">
        <v>1541</v>
      </c>
      <c r="D539" s="105"/>
      <c r="E539" s="106"/>
      <c r="F539" s="105"/>
      <c r="G539" s="106"/>
      <c r="H539" s="6" t="s">
        <v>1542</v>
      </c>
      <c r="I539" s="6" t="s">
        <v>1233</v>
      </c>
      <c r="J539" s="6" t="s">
        <v>1543</v>
      </c>
      <c r="K539" s="6" t="s">
        <v>1235</v>
      </c>
      <c r="L539" s="207" t="s">
        <v>1235</v>
      </c>
      <c r="M539" s="145" t="str">
        <f t="shared" si="34"/>
        <v>OneCo Networks AS</v>
      </c>
      <c r="N5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39" s="268" t="str">
        <f ca="1">IFERROR(IF(
OR(Table1[[#This Row],[Product category]]="Service items",Table1[[#This Row],[Product category]]="Additional services",Table1[[#This Row],[Product category]]="Additional materials"),
"NOK",IF(($N$3&lt;&gt;""),VLOOKUP(Table1[[#This Row],[Product code]],INDIRECT(Aux!$A$1),6,FALSE),"")),"")</f>
        <v>NOK</v>
      </c>
      <c r="P539" s="41" t="str">
        <f ca="1">IFERROR(IF(AND(Table1[[#This Row],[Quantity]]&lt;&gt;"",Table1[[#This Row],[Currency]]="NOK"),Table1[[#This Row],[Quantity]]*Table1[[#This Row],[Unit Price]],""),"")</f>
        <v/>
      </c>
      <c r="Q539" s="41" t="str">
        <f ca="1">IFERROR(IF(AND(Table1[[#This Row],[ACT_Qty]]&lt;&gt;"",Table1[[#This Row],[Currency]]="NOK"),Table1[[#This Row],[ACT_Qty]]*Table1[[#This Row],[Unit Price]],""),"")</f>
        <v/>
      </c>
      <c r="R539" s="41" t="str">
        <f ca="1">IFERROR(IF(AND(Table1[[#This Row],[Quantity]]&lt;&gt;"",Table1[[#This Row],[Currency]]="EUR"),Table1[[#This Row],[Quantity]]*Table1[[#This Row],[Unit Price]],""),"")</f>
        <v/>
      </c>
      <c r="S539" s="41" t="str">
        <f ca="1">IFERROR(IF(AND(Table1[[#This Row],[ACT_Qty]]&lt;&gt;"",Table1[[#This Row],[Currency]]="EUR"),Table1[[#This Row],[ACT_Qty]]*Table1[[#This Row],[Unit Price]],""),"")</f>
        <v/>
      </c>
      <c r="T539" s="269" t="str">
        <f ca="1">IFERROR(IF(AND(($N$3&lt;&gt;""),INDIRECT(Aux!$D$1)),VLOOKUP(Table1[[#This Row],[Product code]],Aux!B:E,4,FALSE),""),"")</f>
        <v/>
      </c>
      <c r="U539" s="145" t="str">
        <f>IFERROR(IF(OR(Table1[[#This Row],[Quantity]]&lt;&gt;"",Table1[[#This Row],[ACT_Qty]]&lt;&gt;""),Table1[[#This Row],[ACT_Qty]]-Table1[[#This Row],[Quantity]],""),"")</f>
        <v/>
      </c>
      <c r="V539" s="45"/>
      <c r="W539" s="45"/>
      <c r="X539" s="45"/>
    </row>
    <row r="540" spans="1:24" ht="15" customHeight="1">
      <c r="A540" s="233" t="str">
        <f t="shared" si="33"/>
        <v>AKH12345</v>
      </c>
      <c r="B540" s="261" t="s">
        <v>1544</v>
      </c>
      <c r="C540" s="7" t="s">
        <v>1545</v>
      </c>
      <c r="D540" s="105"/>
      <c r="E540" s="89"/>
      <c r="F540" s="68"/>
      <c r="G540" s="89"/>
      <c r="H540" s="5" t="s">
        <v>1546</v>
      </c>
      <c r="I540" s="5" t="s">
        <v>1233</v>
      </c>
      <c r="J540" s="5" t="s">
        <v>1543</v>
      </c>
      <c r="K540" s="5" t="s">
        <v>1235</v>
      </c>
      <c r="L540" s="208" t="s">
        <v>1235</v>
      </c>
      <c r="M540" s="148" t="str">
        <f t="shared" si="34"/>
        <v>OneCo Networks AS</v>
      </c>
      <c r="N54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0" s="270" t="str">
        <f ca="1">IFERROR(IF(
OR(Table1[[#This Row],[Product category]]="Service items",Table1[[#This Row],[Product category]]="Additional services",Table1[[#This Row],[Product category]]="Additional materials"),
"NOK",IF(($N$3&lt;&gt;""),VLOOKUP(Table1[[#This Row],[Product code]],INDIRECT(Aux!$A$1),6,FALSE),"")),"")</f>
        <v>NOK</v>
      </c>
      <c r="P540" s="43" t="str">
        <f ca="1">IFERROR(IF(AND(Table1[[#This Row],[Quantity]]&lt;&gt;"",Table1[[#This Row],[Currency]]="NOK"),Table1[[#This Row],[Quantity]]*Table1[[#This Row],[Unit Price]],""),"")</f>
        <v/>
      </c>
      <c r="Q540" s="43" t="str">
        <f ca="1">IFERROR(IF(AND(Table1[[#This Row],[ACT_Qty]]&lt;&gt;"",Table1[[#This Row],[Currency]]="NOK"),Table1[[#This Row],[ACT_Qty]]*Table1[[#This Row],[Unit Price]],""),"")</f>
        <v/>
      </c>
      <c r="R540" s="43" t="str">
        <f ca="1">IFERROR(IF(AND(Table1[[#This Row],[Quantity]]&lt;&gt;"",Table1[[#This Row],[Currency]]="EUR"),Table1[[#This Row],[Quantity]]*Table1[[#This Row],[Unit Price]],""),"")</f>
        <v/>
      </c>
      <c r="S540" s="43" t="str">
        <f ca="1">IFERROR(IF(AND(Table1[[#This Row],[ACT_Qty]]&lt;&gt;"",Table1[[#This Row],[Currency]]="EUR"),Table1[[#This Row],[ACT_Qty]]*Table1[[#This Row],[Unit Price]],""),"")</f>
        <v/>
      </c>
      <c r="T540" s="271" t="str">
        <f ca="1">IFERROR(IF(AND(($N$3&lt;&gt;""),INDIRECT(Aux!$D$1)),VLOOKUP(Table1[[#This Row],[Product code]],Aux!B:E,4,FALSE),""),"")</f>
        <v/>
      </c>
      <c r="U540" s="148" t="str">
        <f>IFERROR(IF(OR(Table1[[#This Row],[Quantity]]&lt;&gt;"",Table1[[#This Row],[ACT_Qty]]&lt;&gt;""),Table1[[#This Row],[ACT_Qty]]-Table1[[#This Row],[Quantity]],""),"")</f>
        <v/>
      </c>
      <c r="V540" s="46"/>
      <c r="W540" s="46"/>
      <c r="X540" s="46"/>
    </row>
    <row r="541" spans="1:24" ht="15" customHeight="1">
      <c r="A541" s="143" t="str">
        <f t="shared" si="33"/>
        <v>AKH12345</v>
      </c>
      <c r="B541" s="260" t="s">
        <v>1547</v>
      </c>
      <c r="C541" s="8" t="s">
        <v>1548</v>
      </c>
      <c r="D541" s="105"/>
      <c r="E541" s="106"/>
      <c r="F541" s="105"/>
      <c r="G541" s="106"/>
      <c r="H541" s="6" t="s">
        <v>1549</v>
      </c>
      <c r="I541" s="6" t="s">
        <v>1233</v>
      </c>
      <c r="J541" s="6" t="s">
        <v>1543</v>
      </c>
      <c r="K541" s="6" t="s">
        <v>1235</v>
      </c>
      <c r="L541" s="207" t="s">
        <v>1235</v>
      </c>
      <c r="M541" s="145" t="str">
        <f t="shared" si="34"/>
        <v>OneCo Networks AS</v>
      </c>
      <c r="N5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1" s="268" t="str">
        <f ca="1">IFERROR(IF(
OR(Table1[[#This Row],[Product category]]="Service items",Table1[[#This Row],[Product category]]="Additional services",Table1[[#This Row],[Product category]]="Additional materials"),
"NOK",IF(($N$3&lt;&gt;""),VLOOKUP(Table1[[#This Row],[Product code]],INDIRECT(Aux!$A$1),6,FALSE),"")),"")</f>
        <v>NOK</v>
      </c>
      <c r="P541" s="41" t="str">
        <f ca="1">IFERROR(IF(AND(Table1[[#This Row],[Quantity]]&lt;&gt;"",Table1[[#This Row],[Currency]]="NOK"),Table1[[#This Row],[Quantity]]*Table1[[#This Row],[Unit Price]],""),"")</f>
        <v/>
      </c>
      <c r="Q541" s="41" t="str">
        <f ca="1">IFERROR(IF(AND(Table1[[#This Row],[ACT_Qty]]&lt;&gt;"",Table1[[#This Row],[Currency]]="NOK"),Table1[[#This Row],[ACT_Qty]]*Table1[[#This Row],[Unit Price]],""),"")</f>
        <v/>
      </c>
      <c r="R541" s="41" t="str">
        <f ca="1">IFERROR(IF(AND(Table1[[#This Row],[Quantity]]&lt;&gt;"",Table1[[#This Row],[Currency]]="EUR"),Table1[[#This Row],[Quantity]]*Table1[[#This Row],[Unit Price]],""),"")</f>
        <v/>
      </c>
      <c r="S541" s="41" t="str">
        <f ca="1">IFERROR(IF(AND(Table1[[#This Row],[ACT_Qty]]&lt;&gt;"",Table1[[#This Row],[Currency]]="EUR"),Table1[[#This Row],[ACT_Qty]]*Table1[[#This Row],[Unit Price]],""),"")</f>
        <v/>
      </c>
      <c r="T541" s="269" t="str">
        <f ca="1">IFERROR(IF(AND(($N$3&lt;&gt;""),INDIRECT(Aux!$D$1)),VLOOKUP(Table1[[#This Row],[Product code]],Aux!B:E,4,FALSE),""),"")</f>
        <v/>
      </c>
      <c r="U541" s="145" t="str">
        <f>IFERROR(IF(OR(Table1[[#This Row],[Quantity]]&lt;&gt;"",Table1[[#This Row],[ACT_Qty]]&lt;&gt;""),Table1[[#This Row],[ACT_Qty]]-Table1[[#This Row],[Quantity]],""),"")</f>
        <v/>
      </c>
      <c r="V541" s="45"/>
      <c r="W541" s="45"/>
      <c r="X541" s="45"/>
    </row>
    <row r="542" spans="1:24" ht="15" customHeight="1">
      <c r="A542" s="233" t="str">
        <f t="shared" si="33"/>
        <v>AKH12345</v>
      </c>
      <c r="B542" s="261" t="s">
        <v>1550</v>
      </c>
      <c r="C542" s="7" t="s">
        <v>1551</v>
      </c>
      <c r="D542" s="105"/>
      <c r="E542" s="89"/>
      <c r="F542" s="68"/>
      <c r="G542" s="89"/>
      <c r="H542" s="5" t="s">
        <v>1549</v>
      </c>
      <c r="I542" s="5" t="s">
        <v>1233</v>
      </c>
      <c r="J542" s="5" t="s">
        <v>1543</v>
      </c>
      <c r="K542" s="5" t="s">
        <v>1235</v>
      </c>
      <c r="L542" s="208" t="s">
        <v>1235</v>
      </c>
      <c r="M542" s="148" t="str">
        <f t="shared" si="34"/>
        <v>OneCo Networks AS</v>
      </c>
      <c r="N54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2" s="270" t="str">
        <f ca="1">IFERROR(IF(
OR(Table1[[#This Row],[Product category]]="Service items",Table1[[#This Row],[Product category]]="Additional services",Table1[[#This Row],[Product category]]="Additional materials"),
"NOK",IF(($N$3&lt;&gt;""),VLOOKUP(Table1[[#This Row],[Product code]],INDIRECT(Aux!$A$1),6,FALSE),"")),"")</f>
        <v>NOK</v>
      </c>
      <c r="P542" s="43" t="str">
        <f ca="1">IFERROR(IF(AND(Table1[[#This Row],[Quantity]]&lt;&gt;"",Table1[[#This Row],[Currency]]="NOK"),Table1[[#This Row],[Quantity]]*Table1[[#This Row],[Unit Price]],""),"")</f>
        <v/>
      </c>
      <c r="Q542" s="43" t="str">
        <f ca="1">IFERROR(IF(AND(Table1[[#This Row],[ACT_Qty]]&lt;&gt;"",Table1[[#This Row],[Currency]]="NOK"),Table1[[#This Row],[ACT_Qty]]*Table1[[#This Row],[Unit Price]],""),"")</f>
        <v/>
      </c>
      <c r="R542" s="43" t="str">
        <f ca="1">IFERROR(IF(AND(Table1[[#This Row],[Quantity]]&lt;&gt;"",Table1[[#This Row],[Currency]]="EUR"),Table1[[#This Row],[Quantity]]*Table1[[#This Row],[Unit Price]],""),"")</f>
        <v/>
      </c>
      <c r="S542" s="43" t="str">
        <f ca="1">IFERROR(IF(AND(Table1[[#This Row],[ACT_Qty]]&lt;&gt;"",Table1[[#This Row],[Currency]]="EUR"),Table1[[#This Row],[ACT_Qty]]*Table1[[#This Row],[Unit Price]],""),"")</f>
        <v/>
      </c>
      <c r="T542" s="271" t="str">
        <f ca="1">IFERROR(IF(AND(($N$3&lt;&gt;""),INDIRECT(Aux!$D$1)),VLOOKUP(Table1[[#This Row],[Product code]],Aux!B:E,4,FALSE),""),"")</f>
        <v/>
      </c>
      <c r="U542" s="148" t="str">
        <f>IFERROR(IF(OR(Table1[[#This Row],[Quantity]]&lt;&gt;"",Table1[[#This Row],[ACT_Qty]]&lt;&gt;""),Table1[[#This Row],[ACT_Qty]]-Table1[[#This Row],[Quantity]],""),"")</f>
        <v/>
      </c>
      <c r="V542" s="46"/>
      <c r="W542" s="46"/>
      <c r="X542" s="46"/>
    </row>
    <row r="543" spans="1:24" ht="15" customHeight="1">
      <c r="A543" s="143" t="str">
        <f t="shared" si="33"/>
        <v>AKH12345</v>
      </c>
      <c r="B543" s="260" t="s">
        <v>1552</v>
      </c>
      <c r="C543" s="8" t="s">
        <v>1553</v>
      </c>
      <c r="D543" s="105"/>
      <c r="E543" s="106" t="s">
        <v>1554</v>
      </c>
      <c r="F543" s="105"/>
      <c r="G543" s="106"/>
      <c r="H543" s="6" t="s">
        <v>1549</v>
      </c>
      <c r="I543" s="6" t="s">
        <v>1233</v>
      </c>
      <c r="J543" s="6" t="s">
        <v>1543</v>
      </c>
      <c r="K543" s="6" t="s">
        <v>1235</v>
      </c>
      <c r="L543" s="207" t="s">
        <v>1235</v>
      </c>
      <c r="M543" s="145" t="str">
        <f t="shared" si="34"/>
        <v>OneCo Networks AS</v>
      </c>
      <c r="N5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3" s="268" t="str">
        <f ca="1">IFERROR(IF(
OR(Table1[[#This Row],[Product category]]="Service items",Table1[[#This Row],[Product category]]="Additional services",Table1[[#This Row],[Product category]]="Additional materials"),
"NOK",IF(($N$3&lt;&gt;""),VLOOKUP(Table1[[#This Row],[Product code]],INDIRECT(Aux!$A$1),6,FALSE),"")),"")</f>
        <v>NOK</v>
      </c>
      <c r="P543" s="41" t="str">
        <f ca="1">IFERROR(IF(AND(Table1[[#This Row],[Quantity]]&lt;&gt;"",Table1[[#This Row],[Currency]]="NOK"),Table1[[#This Row],[Quantity]]*Table1[[#This Row],[Unit Price]],""),"")</f>
        <v/>
      </c>
      <c r="Q543" s="41" t="str">
        <f ca="1">IFERROR(IF(AND(Table1[[#This Row],[ACT_Qty]]&lt;&gt;"",Table1[[#This Row],[Currency]]="NOK"),Table1[[#This Row],[ACT_Qty]]*Table1[[#This Row],[Unit Price]],""),"")</f>
        <v/>
      </c>
      <c r="R543" s="41" t="str">
        <f ca="1">IFERROR(IF(AND(Table1[[#This Row],[Quantity]]&lt;&gt;"",Table1[[#This Row],[Currency]]="EUR"),Table1[[#This Row],[Quantity]]*Table1[[#This Row],[Unit Price]],""),"")</f>
        <v/>
      </c>
      <c r="S543" s="41" t="str">
        <f ca="1">IFERROR(IF(AND(Table1[[#This Row],[ACT_Qty]]&lt;&gt;"",Table1[[#This Row],[Currency]]="EUR"),Table1[[#This Row],[ACT_Qty]]*Table1[[#This Row],[Unit Price]],""),"")</f>
        <v/>
      </c>
      <c r="T543" s="269" t="str">
        <f ca="1">IFERROR(IF(AND(($N$3&lt;&gt;""),INDIRECT(Aux!$D$1)),VLOOKUP(Table1[[#This Row],[Product code]],Aux!B:E,4,FALSE),""),"")</f>
        <v/>
      </c>
      <c r="U543" s="145" t="str">
        <f>IFERROR(IF(OR(Table1[[#This Row],[Quantity]]&lt;&gt;"",Table1[[#This Row],[ACT_Qty]]&lt;&gt;""),Table1[[#This Row],[ACT_Qty]]-Table1[[#This Row],[Quantity]],""),"")</f>
        <v/>
      </c>
      <c r="V543" s="45"/>
      <c r="W543" s="45"/>
      <c r="X543" s="45"/>
    </row>
    <row r="544" spans="1:24" ht="15" customHeight="1">
      <c r="A544" s="233" t="str">
        <f t="shared" si="33"/>
        <v>AKH12345</v>
      </c>
      <c r="B544" s="261" t="s">
        <v>1555</v>
      </c>
      <c r="C544" s="7" t="s">
        <v>1556</v>
      </c>
      <c r="D544" s="105"/>
      <c r="E544" s="89"/>
      <c r="F544" s="68"/>
      <c r="G544" s="89"/>
      <c r="H544" s="5" t="s">
        <v>1557</v>
      </c>
      <c r="I544" s="5" t="s">
        <v>1233</v>
      </c>
      <c r="J544" s="5" t="s">
        <v>1543</v>
      </c>
      <c r="K544" s="5" t="s">
        <v>1235</v>
      </c>
      <c r="L544" s="208" t="s">
        <v>1235</v>
      </c>
      <c r="M544" s="148" t="str">
        <f t="shared" si="34"/>
        <v>OneCo Networks AS</v>
      </c>
      <c r="N54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4" s="270" t="str">
        <f ca="1">IFERROR(IF(
OR(Table1[[#This Row],[Product category]]="Service items",Table1[[#This Row],[Product category]]="Additional services",Table1[[#This Row],[Product category]]="Additional materials"),
"NOK",IF(($N$3&lt;&gt;""),VLOOKUP(Table1[[#This Row],[Product code]],INDIRECT(Aux!$A$1),6,FALSE),"")),"")</f>
        <v>NOK</v>
      </c>
      <c r="P544" s="43" t="str">
        <f ca="1">IFERROR(IF(AND(Table1[[#This Row],[Quantity]]&lt;&gt;"",Table1[[#This Row],[Currency]]="NOK"),Table1[[#This Row],[Quantity]]*Table1[[#This Row],[Unit Price]],""),"")</f>
        <v/>
      </c>
      <c r="Q544" s="43" t="str">
        <f ca="1">IFERROR(IF(AND(Table1[[#This Row],[ACT_Qty]]&lt;&gt;"",Table1[[#This Row],[Currency]]="NOK"),Table1[[#This Row],[ACT_Qty]]*Table1[[#This Row],[Unit Price]],""),"")</f>
        <v/>
      </c>
      <c r="R544" s="43" t="str">
        <f ca="1">IFERROR(IF(AND(Table1[[#This Row],[Quantity]]&lt;&gt;"",Table1[[#This Row],[Currency]]="EUR"),Table1[[#This Row],[Quantity]]*Table1[[#This Row],[Unit Price]],""),"")</f>
        <v/>
      </c>
      <c r="S544" s="43" t="str">
        <f ca="1">IFERROR(IF(AND(Table1[[#This Row],[ACT_Qty]]&lt;&gt;"",Table1[[#This Row],[Currency]]="EUR"),Table1[[#This Row],[ACT_Qty]]*Table1[[#This Row],[Unit Price]],""),"")</f>
        <v/>
      </c>
      <c r="T544" s="271" t="str">
        <f ca="1">IFERROR(IF(AND(($N$3&lt;&gt;""),INDIRECT(Aux!$D$1)),VLOOKUP(Table1[[#This Row],[Product code]],Aux!B:E,4,FALSE),""),"")</f>
        <v/>
      </c>
      <c r="U544" s="148" t="str">
        <f>IFERROR(IF(OR(Table1[[#This Row],[Quantity]]&lt;&gt;"",Table1[[#This Row],[ACT_Qty]]&lt;&gt;""),Table1[[#This Row],[ACT_Qty]]-Table1[[#This Row],[Quantity]],""),"")</f>
        <v/>
      </c>
      <c r="V544" s="46"/>
      <c r="W544" s="46"/>
      <c r="X544" s="46"/>
    </row>
    <row r="545" spans="1:24" ht="15" customHeight="1">
      <c r="A545" s="143" t="str">
        <f t="shared" si="33"/>
        <v>AKH12345</v>
      </c>
      <c r="B545" s="260" t="s">
        <v>1558</v>
      </c>
      <c r="C545" s="8" t="s">
        <v>1559</v>
      </c>
      <c r="D545" s="105"/>
      <c r="E545" s="106"/>
      <c r="F545" s="105"/>
      <c r="G545" s="106"/>
      <c r="H545" s="6" t="s">
        <v>1560</v>
      </c>
      <c r="I545" s="6" t="s">
        <v>1233</v>
      </c>
      <c r="J545" s="6" t="s">
        <v>1543</v>
      </c>
      <c r="K545" s="6" t="s">
        <v>1235</v>
      </c>
      <c r="L545" s="207" t="s">
        <v>1235</v>
      </c>
      <c r="M545" s="145" t="str">
        <f t="shared" si="34"/>
        <v>OneCo Networks AS</v>
      </c>
      <c r="N5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5" s="268" t="str">
        <f ca="1">IFERROR(IF(
OR(Table1[[#This Row],[Product category]]="Service items",Table1[[#This Row],[Product category]]="Additional services",Table1[[#This Row],[Product category]]="Additional materials"),
"NOK",IF(($N$3&lt;&gt;""),VLOOKUP(Table1[[#This Row],[Product code]],INDIRECT(Aux!$A$1),6,FALSE),"")),"")</f>
        <v>NOK</v>
      </c>
      <c r="P545" s="41" t="str">
        <f ca="1">IFERROR(IF(AND(Table1[[#This Row],[Quantity]]&lt;&gt;"",Table1[[#This Row],[Currency]]="NOK"),Table1[[#This Row],[Quantity]]*Table1[[#This Row],[Unit Price]],""),"")</f>
        <v/>
      </c>
      <c r="Q545" s="41" t="str">
        <f ca="1">IFERROR(IF(AND(Table1[[#This Row],[ACT_Qty]]&lt;&gt;"",Table1[[#This Row],[Currency]]="NOK"),Table1[[#This Row],[ACT_Qty]]*Table1[[#This Row],[Unit Price]],""),"")</f>
        <v/>
      </c>
      <c r="R545" s="41" t="str">
        <f ca="1">IFERROR(IF(AND(Table1[[#This Row],[Quantity]]&lt;&gt;"",Table1[[#This Row],[Currency]]="EUR"),Table1[[#This Row],[Quantity]]*Table1[[#This Row],[Unit Price]],""),"")</f>
        <v/>
      </c>
      <c r="S545" s="41" t="str">
        <f ca="1">IFERROR(IF(AND(Table1[[#This Row],[ACT_Qty]]&lt;&gt;"",Table1[[#This Row],[Currency]]="EUR"),Table1[[#This Row],[ACT_Qty]]*Table1[[#This Row],[Unit Price]],""),"")</f>
        <v/>
      </c>
      <c r="T545" s="269" t="str">
        <f ca="1">IFERROR(IF(AND(($N$3&lt;&gt;""),INDIRECT(Aux!$D$1)),VLOOKUP(Table1[[#This Row],[Product code]],Aux!B:E,4,FALSE),""),"")</f>
        <v/>
      </c>
      <c r="U545" s="145" t="str">
        <f>IFERROR(IF(OR(Table1[[#This Row],[Quantity]]&lt;&gt;"",Table1[[#This Row],[ACT_Qty]]&lt;&gt;""),Table1[[#This Row],[ACT_Qty]]-Table1[[#This Row],[Quantity]],""),"")</f>
        <v/>
      </c>
      <c r="V545" s="45"/>
      <c r="W545" s="45"/>
      <c r="X545" s="45"/>
    </row>
    <row r="546" spans="1:24" ht="15" customHeight="1">
      <c r="A546" s="233" t="str">
        <f t="shared" si="33"/>
        <v>AKH12345</v>
      </c>
      <c r="B546" s="261" t="s">
        <v>1561</v>
      </c>
      <c r="C546" s="7" t="s">
        <v>1562</v>
      </c>
      <c r="D546" s="105"/>
      <c r="E546" s="89" t="s">
        <v>1563</v>
      </c>
      <c r="F546" s="68"/>
      <c r="G546" s="89"/>
      <c r="H546" s="5" t="s">
        <v>1564</v>
      </c>
      <c r="I546" s="5" t="s">
        <v>1233</v>
      </c>
      <c r="J546" s="5" t="s">
        <v>1543</v>
      </c>
      <c r="K546" s="5" t="s">
        <v>1235</v>
      </c>
      <c r="L546" s="208" t="s">
        <v>1235</v>
      </c>
      <c r="M546" s="148" t="str">
        <f t="shared" si="34"/>
        <v>OneCo Networks AS</v>
      </c>
      <c r="N54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6" s="270" t="str">
        <f ca="1">IFERROR(IF(
OR(Table1[[#This Row],[Product category]]="Service items",Table1[[#This Row],[Product category]]="Additional services",Table1[[#This Row],[Product category]]="Additional materials"),
"NOK",IF(($N$3&lt;&gt;""),VLOOKUP(Table1[[#This Row],[Product code]],INDIRECT(Aux!$A$1),6,FALSE),"")),"")</f>
        <v>NOK</v>
      </c>
      <c r="P546" s="43" t="str">
        <f ca="1">IFERROR(IF(AND(Table1[[#This Row],[Quantity]]&lt;&gt;"",Table1[[#This Row],[Currency]]="NOK"),Table1[[#This Row],[Quantity]]*Table1[[#This Row],[Unit Price]],""),"")</f>
        <v/>
      </c>
      <c r="Q546" s="43" t="str">
        <f ca="1">IFERROR(IF(AND(Table1[[#This Row],[ACT_Qty]]&lt;&gt;"",Table1[[#This Row],[Currency]]="NOK"),Table1[[#This Row],[ACT_Qty]]*Table1[[#This Row],[Unit Price]],""),"")</f>
        <v/>
      </c>
      <c r="R546" s="43" t="str">
        <f ca="1">IFERROR(IF(AND(Table1[[#This Row],[Quantity]]&lt;&gt;"",Table1[[#This Row],[Currency]]="EUR"),Table1[[#This Row],[Quantity]]*Table1[[#This Row],[Unit Price]],""),"")</f>
        <v/>
      </c>
      <c r="S546" s="43" t="str">
        <f ca="1">IFERROR(IF(AND(Table1[[#This Row],[ACT_Qty]]&lt;&gt;"",Table1[[#This Row],[Currency]]="EUR"),Table1[[#This Row],[ACT_Qty]]*Table1[[#This Row],[Unit Price]],""),"")</f>
        <v/>
      </c>
      <c r="T546" s="271" t="str">
        <f ca="1">IFERROR(IF(AND(($N$3&lt;&gt;""),INDIRECT(Aux!$D$1)),VLOOKUP(Table1[[#This Row],[Product code]],Aux!B:E,4,FALSE),""),"")</f>
        <v/>
      </c>
      <c r="U546" s="148" t="str">
        <f>IFERROR(IF(OR(Table1[[#This Row],[Quantity]]&lt;&gt;"",Table1[[#This Row],[ACT_Qty]]&lt;&gt;""),Table1[[#This Row],[ACT_Qty]]-Table1[[#This Row],[Quantity]],""),"")</f>
        <v/>
      </c>
      <c r="V546" s="46"/>
      <c r="W546" s="46"/>
      <c r="X546" s="46"/>
    </row>
    <row r="547" spans="1:24" ht="15" customHeight="1">
      <c r="A547" s="143" t="str">
        <f t="shared" si="33"/>
        <v>AKH12345</v>
      </c>
      <c r="B547" s="260" t="s">
        <v>1565</v>
      </c>
      <c r="C547" s="8" t="s">
        <v>1566</v>
      </c>
      <c r="D547" s="105"/>
      <c r="E547" s="106"/>
      <c r="F547" s="105"/>
      <c r="G547" s="106"/>
      <c r="H547" s="6" t="s">
        <v>1567</v>
      </c>
      <c r="I547" s="6" t="s">
        <v>1233</v>
      </c>
      <c r="J547" s="6" t="s">
        <v>1543</v>
      </c>
      <c r="K547" s="6" t="s">
        <v>1235</v>
      </c>
      <c r="L547" s="207" t="s">
        <v>1235</v>
      </c>
      <c r="M547" s="145" t="str">
        <f t="shared" si="34"/>
        <v>OneCo Networks AS</v>
      </c>
      <c r="N5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7" s="268" t="str">
        <f ca="1">IFERROR(IF(
OR(Table1[[#This Row],[Product category]]="Service items",Table1[[#This Row],[Product category]]="Additional services",Table1[[#This Row],[Product category]]="Additional materials"),
"NOK",IF(($N$3&lt;&gt;""),VLOOKUP(Table1[[#This Row],[Product code]],INDIRECT(Aux!$A$1),6,FALSE),"")),"")</f>
        <v>NOK</v>
      </c>
      <c r="P547" s="41" t="str">
        <f ca="1">IFERROR(IF(AND(Table1[[#This Row],[Quantity]]&lt;&gt;"",Table1[[#This Row],[Currency]]="NOK"),Table1[[#This Row],[Quantity]]*Table1[[#This Row],[Unit Price]],""),"")</f>
        <v/>
      </c>
      <c r="Q547" s="41" t="str">
        <f ca="1">IFERROR(IF(AND(Table1[[#This Row],[ACT_Qty]]&lt;&gt;"",Table1[[#This Row],[Currency]]="NOK"),Table1[[#This Row],[ACT_Qty]]*Table1[[#This Row],[Unit Price]],""),"")</f>
        <v/>
      </c>
      <c r="R547" s="41" t="str">
        <f ca="1">IFERROR(IF(AND(Table1[[#This Row],[Quantity]]&lt;&gt;"",Table1[[#This Row],[Currency]]="EUR"),Table1[[#This Row],[Quantity]]*Table1[[#This Row],[Unit Price]],""),"")</f>
        <v/>
      </c>
      <c r="S547" s="41" t="str">
        <f ca="1">IFERROR(IF(AND(Table1[[#This Row],[ACT_Qty]]&lt;&gt;"",Table1[[#This Row],[Currency]]="EUR"),Table1[[#This Row],[ACT_Qty]]*Table1[[#This Row],[Unit Price]],""),"")</f>
        <v/>
      </c>
      <c r="T547" s="269" t="str">
        <f ca="1">IFERROR(IF(AND(($N$3&lt;&gt;""),INDIRECT(Aux!$D$1)),VLOOKUP(Table1[[#This Row],[Product code]],Aux!B:E,4,FALSE),""),"")</f>
        <v/>
      </c>
      <c r="U547" s="145" t="str">
        <f>IFERROR(IF(OR(Table1[[#This Row],[Quantity]]&lt;&gt;"",Table1[[#This Row],[ACT_Qty]]&lt;&gt;""),Table1[[#This Row],[ACT_Qty]]-Table1[[#This Row],[Quantity]],""),"")</f>
        <v/>
      </c>
      <c r="V547" s="45"/>
      <c r="W547" s="45"/>
      <c r="X547" s="45"/>
    </row>
    <row r="548" spans="1:24" ht="15" customHeight="1">
      <c r="A548" s="233" t="str">
        <f t="shared" si="33"/>
        <v>AKH12345</v>
      </c>
      <c r="B548" s="261" t="s">
        <v>1568</v>
      </c>
      <c r="C548" s="7" t="s">
        <v>1569</v>
      </c>
      <c r="D548" s="105"/>
      <c r="E548" s="89" t="s">
        <v>1570</v>
      </c>
      <c r="F548" s="68"/>
      <c r="G548" s="89"/>
      <c r="H548" s="5" t="s">
        <v>1571</v>
      </c>
      <c r="I548" s="5" t="s">
        <v>1233</v>
      </c>
      <c r="J548" s="5" t="s">
        <v>1543</v>
      </c>
      <c r="K548" s="5" t="s">
        <v>1235</v>
      </c>
      <c r="L548" s="208" t="s">
        <v>1235</v>
      </c>
      <c r="M548" s="148" t="str">
        <f t="shared" si="34"/>
        <v>OneCo Networks AS</v>
      </c>
      <c r="N54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8" s="270" t="str">
        <f ca="1">IFERROR(IF(
OR(Table1[[#This Row],[Product category]]="Service items",Table1[[#This Row],[Product category]]="Additional services",Table1[[#This Row],[Product category]]="Additional materials"),
"NOK",IF(($N$3&lt;&gt;""),VLOOKUP(Table1[[#This Row],[Product code]],INDIRECT(Aux!$A$1),6,FALSE),"")),"")</f>
        <v>NOK</v>
      </c>
      <c r="P548" s="43" t="str">
        <f ca="1">IFERROR(IF(AND(Table1[[#This Row],[Quantity]]&lt;&gt;"",Table1[[#This Row],[Currency]]="NOK"),Table1[[#This Row],[Quantity]]*Table1[[#This Row],[Unit Price]],""),"")</f>
        <v/>
      </c>
      <c r="Q548" s="43" t="str">
        <f ca="1">IFERROR(IF(AND(Table1[[#This Row],[ACT_Qty]]&lt;&gt;"",Table1[[#This Row],[Currency]]="NOK"),Table1[[#This Row],[ACT_Qty]]*Table1[[#This Row],[Unit Price]],""),"")</f>
        <v/>
      </c>
      <c r="R548" s="43" t="str">
        <f ca="1">IFERROR(IF(AND(Table1[[#This Row],[Quantity]]&lt;&gt;"",Table1[[#This Row],[Currency]]="EUR"),Table1[[#This Row],[Quantity]]*Table1[[#This Row],[Unit Price]],""),"")</f>
        <v/>
      </c>
      <c r="S548" s="43" t="str">
        <f ca="1">IFERROR(IF(AND(Table1[[#This Row],[ACT_Qty]]&lt;&gt;"",Table1[[#This Row],[Currency]]="EUR"),Table1[[#This Row],[ACT_Qty]]*Table1[[#This Row],[Unit Price]],""),"")</f>
        <v/>
      </c>
      <c r="T548" s="271" t="str">
        <f ca="1">IFERROR(IF(AND(($N$3&lt;&gt;""),INDIRECT(Aux!$D$1)),VLOOKUP(Table1[[#This Row],[Product code]],Aux!B:E,4,FALSE),""),"")</f>
        <v/>
      </c>
      <c r="U548" s="148" t="str">
        <f>IFERROR(IF(OR(Table1[[#This Row],[Quantity]]&lt;&gt;"",Table1[[#This Row],[ACT_Qty]]&lt;&gt;""),Table1[[#This Row],[ACT_Qty]]-Table1[[#This Row],[Quantity]],""),"")</f>
        <v/>
      </c>
      <c r="V548" s="46"/>
      <c r="W548" s="46"/>
      <c r="X548" s="46"/>
    </row>
    <row r="549" spans="1:24" ht="15" customHeight="1">
      <c r="A549" s="143" t="str">
        <f t="shared" si="33"/>
        <v>AKH12345</v>
      </c>
      <c r="B549" s="260" t="s">
        <v>1572</v>
      </c>
      <c r="C549" s="8" t="s">
        <v>1573</v>
      </c>
      <c r="D549" s="105"/>
      <c r="E549" s="106"/>
      <c r="F549" s="105"/>
      <c r="G549" s="106"/>
      <c r="H549" s="6" t="s">
        <v>1574</v>
      </c>
      <c r="I549" s="6" t="s">
        <v>1233</v>
      </c>
      <c r="J549" s="6" t="s">
        <v>1543</v>
      </c>
      <c r="K549" s="6" t="s">
        <v>1235</v>
      </c>
      <c r="L549" s="207" t="s">
        <v>1235</v>
      </c>
      <c r="M549" s="145" t="str">
        <f t="shared" si="34"/>
        <v>OneCo Networks AS</v>
      </c>
      <c r="N5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49" s="268" t="str">
        <f ca="1">IFERROR(IF(
OR(Table1[[#This Row],[Product category]]="Service items",Table1[[#This Row],[Product category]]="Additional services",Table1[[#This Row],[Product category]]="Additional materials"),
"NOK",IF(($N$3&lt;&gt;""),VLOOKUP(Table1[[#This Row],[Product code]],INDIRECT(Aux!$A$1),6,FALSE),"")),"")</f>
        <v>NOK</v>
      </c>
      <c r="P549" s="41" t="str">
        <f ca="1">IFERROR(IF(AND(Table1[[#This Row],[Quantity]]&lt;&gt;"",Table1[[#This Row],[Currency]]="NOK"),Table1[[#This Row],[Quantity]]*Table1[[#This Row],[Unit Price]],""),"")</f>
        <v/>
      </c>
      <c r="Q549" s="41" t="str">
        <f ca="1">IFERROR(IF(AND(Table1[[#This Row],[ACT_Qty]]&lt;&gt;"",Table1[[#This Row],[Currency]]="NOK"),Table1[[#This Row],[ACT_Qty]]*Table1[[#This Row],[Unit Price]],""),"")</f>
        <v/>
      </c>
      <c r="R549" s="41" t="str">
        <f ca="1">IFERROR(IF(AND(Table1[[#This Row],[Quantity]]&lt;&gt;"",Table1[[#This Row],[Currency]]="EUR"),Table1[[#This Row],[Quantity]]*Table1[[#This Row],[Unit Price]],""),"")</f>
        <v/>
      </c>
      <c r="S549" s="41" t="str">
        <f ca="1">IFERROR(IF(AND(Table1[[#This Row],[ACT_Qty]]&lt;&gt;"",Table1[[#This Row],[Currency]]="EUR"),Table1[[#This Row],[ACT_Qty]]*Table1[[#This Row],[Unit Price]],""),"")</f>
        <v/>
      </c>
      <c r="T549" s="269" t="str">
        <f ca="1">IFERROR(IF(AND(($N$3&lt;&gt;""),INDIRECT(Aux!$D$1)),VLOOKUP(Table1[[#This Row],[Product code]],Aux!B:E,4,FALSE),""),"")</f>
        <v/>
      </c>
      <c r="U549" s="145" t="str">
        <f>IFERROR(IF(OR(Table1[[#This Row],[Quantity]]&lt;&gt;"",Table1[[#This Row],[ACT_Qty]]&lt;&gt;""),Table1[[#This Row],[ACT_Qty]]-Table1[[#This Row],[Quantity]],""),"")</f>
        <v/>
      </c>
      <c r="V549" s="45"/>
      <c r="W549" s="45"/>
      <c r="X549" s="45"/>
    </row>
    <row r="550" spans="1:24" ht="15" customHeight="1">
      <c r="A550" s="233" t="str">
        <f t="shared" si="33"/>
        <v>AKH12345</v>
      </c>
      <c r="B550" s="261" t="s">
        <v>1575</v>
      </c>
      <c r="C550" s="7" t="s">
        <v>1576</v>
      </c>
      <c r="D550" s="105"/>
      <c r="E550" s="89"/>
      <c r="F550" s="68"/>
      <c r="G550" s="89"/>
      <c r="H550" s="255" t="s">
        <v>1577</v>
      </c>
      <c r="I550" s="5" t="s">
        <v>1233</v>
      </c>
      <c r="J550" s="5" t="s">
        <v>1543</v>
      </c>
      <c r="K550" s="5" t="s">
        <v>1235</v>
      </c>
      <c r="L550" s="208" t="s">
        <v>1235</v>
      </c>
      <c r="M550" s="148" t="str">
        <f t="shared" si="34"/>
        <v>OneCo Networks AS</v>
      </c>
      <c r="N55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0" s="270" t="str">
        <f ca="1">IFERROR(IF(
OR(Table1[[#This Row],[Product category]]="Service items",Table1[[#This Row],[Product category]]="Additional services",Table1[[#This Row],[Product category]]="Additional materials"),
"NOK",IF(($N$3&lt;&gt;""),VLOOKUP(Table1[[#This Row],[Product code]],INDIRECT(Aux!$A$1),6,FALSE),"")),"")</f>
        <v>NOK</v>
      </c>
      <c r="P550" s="43" t="str">
        <f ca="1">IFERROR(IF(AND(Table1[[#This Row],[Quantity]]&lt;&gt;"",Table1[[#This Row],[Currency]]="NOK"),Table1[[#This Row],[Quantity]]*Table1[[#This Row],[Unit Price]],""),"")</f>
        <v/>
      </c>
      <c r="Q550" s="43" t="str">
        <f ca="1">IFERROR(IF(AND(Table1[[#This Row],[ACT_Qty]]&lt;&gt;"",Table1[[#This Row],[Currency]]="NOK"),Table1[[#This Row],[ACT_Qty]]*Table1[[#This Row],[Unit Price]],""),"")</f>
        <v/>
      </c>
      <c r="R550" s="43" t="str">
        <f ca="1">IFERROR(IF(AND(Table1[[#This Row],[Quantity]]&lt;&gt;"",Table1[[#This Row],[Currency]]="EUR"),Table1[[#This Row],[Quantity]]*Table1[[#This Row],[Unit Price]],""),"")</f>
        <v/>
      </c>
      <c r="S550" s="43" t="str">
        <f ca="1">IFERROR(IF(AND(Table1[[#This Row],[ACT_Qty]]&lt;&gt;"",Table1[[#This Row],[Currency]]="EUR"),Table1[[#This Row],[ACT_Qty]]*Table1[[#This Row],[Unit Price]],""),"")</f>
        <v/>
      </c>
      <c r="T550" s="271" t="str">
        <f ca="1">IFERROR(IF(AND(($N$3&lt;&gt;""),INDIRECT(Aux!$D$1)),VLOOKUP(Table1[[#This Row],[Product code]],Aux!B:E,4,FALSE),""),"")</f>
        <v/>
      </c>
      <c r="U550" s="148" t="str">
        <f>IFERROR(IF(OR(Table1[[#This Row],[Quantity]]&lt;&gt;"",Table1[[#This Row],[ACT_Qty]]&lt;&gt;""),Table1[[#This Row],[ACT_Qty]]-Table1[[#This Row],[Quantity]],""),"")</f>
        <v/>
      </c>
      <c r="V550" s="46"/>
      <c r="W550" s="46"/>
      <c r="X550" s="46"/>
    </row>
    <row r="551" spans="1:24" ht="15" customHeight="1">
      <c r="A551" s="143" t="str">
        <f t="shared" si="33"/>
        <v>AKH12345</v>
      </c>
      <c r="B551" s="260" t="s">
        <v>1578</v>
      </c>
      <c r="C551" s="8" t="s">
        <v>1579</v>
      </c>
      <c r="D551" s="105"/>
      <c r="E551" s="106" t="s">
        <v>1580</v>
      </c>
      <c r="F551" s="105"/>
      <c r="G551" s="106"/>
      <c r="H551" s="6" t="s">
        <v>1581</v>
      </c>
      <c r="I551" s="6" t="s">
        <v>1233</v>
      </c>
      <c r="J551" s="6" t="s">
        <v>1543</v>
      </c>
      <c r="K551" s="6" t="s">
        <v>1235</v>
      </c>
      <c r="L551" s="207" t="s">
        <v>1235</v>
      </c>
      <c r="M551" s="145" t="str">
        <f t="shared" si="34"/>
        <v>OneCo Networks AS</v>
      </c>
      <c r="N5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1" s="268" t="str">
        <f ca="1">IFERROR(IF(
OR(Table1[[#This Row],[Product category]]="Service items",Table1[[#This Row],[Product category]]="Additional services",Table1[[#This Row],[Product category]]="Additional materials"),
"NOK",IF(($N$3&lt;&gt;""),VLOOKUP(Table1[[#This Row],[Product code]],INDIRECT(Aux!$A$1),6,FALSE),"")),"")</f>
        <v>NOK</v>
      </c>
      <c r="P551" s="41" t="str">
        <f ca="1">IFERROR(IF(AND(Table1[[#This Row],[Quantity]]&lt;&gt;"",Table1[[#This Row],[Currency]]="NOK"),Table1[[#This Row],[Quantity]]*Table1[[#This Row],[Unit Price]],""),"")</f>
        <v/>
      </c>
      <c r="Q551" s="41" t="str">
        <f ca="1">IFERROR(IF(AND(Table1[[#This Row],[ACT_Qty]]&lt;&gt;"",Table1[[#This Row],[Currency]]="NOK"),Table1[[#This Row],[ACT_Qty]]*Table1[[#This Row],[Unit Price]],""),"")</f>
        <v/>
      </c>
      <c r="R551" s="41" t="str">
        <f ca="1">IFERROR(IF(AND(Table1[[#This Row],[Quantity]]&lt;&gt;"",Table1[[#This Row],[Currency]]="EUR"),Table1[[#This Row],[Quantity]]*Table1[[#This Row],[Unit Price]],""),"")</f>
        <v/>
      </c>
      <c r="S551" s="41" t="str">
        <f ca="1">IFERROR(IF(AND(Table1[[#This Row],[ACT_Qty]]&lt;&gt;"",Table1[[#This Row],[Currency]]="EUR"),Table1[[#This Row],[ACT_Qty]]*Table1[[#This Row],[Unit Price]],""),"")</f>
        <v/>
      </c>
      <c r="T551" s="269" t="str">
        <f ca="1">IFERROR(IF(AND(($N$3&lt;&gt;""),INDIRECT(Aux!$D$1)),VLOOKUP(Table1[[#This Row],[Product code]],Aux!B:E,4,FALSE),""),"")</f>
        <v/>
      </c>
      <c r="U551" s="145" t="str">
        <f>IFERROR(IF(OR(Table1[[#This Row],[Quantity]]&lt;&gt;"",Table1[[#This Row],[ACT_Qty]]&lt;&gt;""),Table1[[#This Row],[ACT_Qty]]-Table1[[#This Row],[Quantity]],""),"")</f>
        <v/>
      </c>
      <c r="V551" s="45"/>
      <c r="W551" s="45"/>
      <c r="X551" s="45"/>
    </row>
    <row r="552" spans="1:24" ht="15" customHeight="1">
      <c r="A552" s="233" t="str">
        <f t="shared" si="33"/>
        <v>AKH12345</v>
      </c>
      <c r="B552" s="261" t="s">
        <v>1582</v>
      </c>
      <c r="C552" s="7" t="s">
        <v>1583</v>
      </c>
      <c r="D552" s="105"/>
      <c r="E552" s="89" t="s">
        <v>1584</v>
      </c>
      <c r="F552" s="68"/>
      <c r="G552" s="89"/>
      <c r="H552" s="5" t="s">
        <v>1585</v>
      </c>
      <c r="I552" s="5" t="s">
        <v>1233</v>
      </c>
      <c r="J552" s="5" t="s">
        <v>1543</v>
      </c>
      <c r="K552" s="5" t="s">
        <v>1235</v>
      </c>
      <c r="L552" s="208" t="s">
        <v>1235</v>
      </c>
      <c r="M552" s="148" t="str">
        <f t="shared" si="34"/>
        <v>OneCo Networks AS</v>
      </c>
      <c r="N55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2" s="270" t="str">
        <f ca="1">IFERROR(IF(
OR(Table1[[#This Row],[Product category]]="Service items",Table1[[#This Row],[Product category]]="Additional services",Table1[[#This Row],[Product category]]="Additional materials"),
"NOK",IF(($N$3&lt;&gt;""),VLOOKUP(Table1[[#This Row],[Product code]],INDIRECT(Aux!$A$1),6,FALSE),"")),"")</f>
        <v>NOK</v>
      </c>
      <c r="P552" s="43" t="str">
        <f ca="1">IFERROR(IF(AND(Table1[[#This Row],[Quantity]]&lt;&gt;"",Table1[[#This Row],[Currency]]="NOK"),Table1[[#This Row],[Quantity]]*Table1[[#This Row],[Unit Price]],""),"")</f>
        <v/>
      </c>
      <c r="Q552" s="43" t="str">
        <f ca="1">IFERROR(IF(AND(Table1[[#This Row],[ACT_Qty]]&lt;&gt;"",Table1[[#This Row],[Currency]]="NOK"),Table1[[#This Row],[ACT_Qty]]*Table1[[#This Row],[Unit Price]],""),"")</f>
        <v/>
      </c>
      <c r="R552" s="43" t="str">
        <f ca="1">IFERROR(IF(AND(Table1[[#This Row],[Quantity]]&lt;&gt;"",Table1[[#This Row],[Currency]]="EUR"),Table1[[#This Row],[Quantity]]*Table1[[#This Row],[Unit Price]],""),"")</f>
        <v/>
      </c>
      <c r="S552" s="43" t="str">
        <f ca="1">IFERROR(IF(AND(Table1[[#This Row],[ACT_Qty]]&lt;&gt;"",Table1[[#This Row],[Currency]]="EUR"),Table1[[#This Row],[ACT_Qty]]*Table1[[#This Row],[Unit Price]],""),"")</f>
        <v/>
      </c>
      <c r="T552" s="271" t="str">
        <f ca="1">IFERROR(IF(AND(($N$3&lt;&gt;""),INDIRECT(Aux!$D$1)),VLOOKUP(Table1[[#This Row],[Product code]],Aux!B:E,4,FALSE),""),"")</f>
        <v/>
      </c>
      <c r="U552" s="148" t="str">
        <f>IFERROR(IF(OR(Table1[[#This Row],[Quantity]]&lt;&gt;"",Table1[[#This Row],[ACT_Qty]]&lt;&gt;""),Table1[[#This Row],[ACT_Qty]]-Table1[[#This Row],[Quantity]],""),"")</f>
        <v/>
      </c>
      <c r="V552" s="46"/>
      <c r="W552" s="46"/>
      <c r="X552" s="46"/>
    </row>
    <row r="553" spans="1:24" ht="15" customHeight="1">
      <c r="A553" s="233" t="str">
        <f t="shared" si="33"/>
        <v>AKH12345</v>
      </c>
      <c r="B553" s="260" t="s">
        <v>1586</v>
      </c>
      <c r="C553" s="8" t="s">
        <v>1587</v>
      </c>
      <c r="D553" s="105"/>
      <c r="E553" s="106"/>
      <c r="F553" s="105"/>
      <c r="G553" s="106"/>
      <c r="H553" s="6" t="s">
        <v>1588</v>
      </c>
      <c r="I553" s="6" t="s">
        <v>1233</v>
      </c>
      <c r="J553" s="6" t="s">
        <v>1543</v>
      </c>
      <c r="K553" s="6" t="s">
        <v>1235</v>
      </c>
      <c r="L553" s="207" t="s">
        <v>1235</v>
      </c>
      <c r="M553" s="200" t="str">
        <f t="shared" si="34"/>
        <v>OneCo Networks AS</v>
      </c>
      <c r="N5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3" s="269" t="str">
        <f ca="1">IFERROR(IF(
OR(Table1[[#This Row],[Product category]]="Service items",Table1[[#This Row],[Product category]]="Additional services",Table1[[#This Row],[Product category]]="Additional materials"),
"NOK",IF(($N$3&lt;&gt;""),VLOOKUP(Table1[[#This Row],[Product code]],INDIRECT(Aux!$A$1),6,FALSE),"")),"")</f>
        <v>NOK</v>
      </c>
      <c r="P553" s="41" t="str">
        <f ca="1">IFERROR(IF(AND(Table1[[#This Row],[Quantity]]&lt;&gt;"",Table1[[#This Row],[Currency]]="NOK"),Table1[[#This Row],[Quantity]]*Table1[[#This Row],[Unit Price]],""),"")</f>
        <v/>
      </c>
      <c r="Q553" s="41" t="str">
        <f ca="1">IFERROR(IF(AND(Table1[[#This Row],[ACT_Qty]]&lt;&gt;"",Table1[[#This Row],[Currency]]="NOK"),Table1[[#This Row],[ACT_Qty]]*Table1[[#This Row],[Unit Price]],""),"")</f>
        <v/>
      </c>
      <c r="R553" s="40" t="str">
        <f ca="1">IFERROR(IF(AND(Table1[[#This Row],[Quantity]]&lt;&gt;"",Table1[[#This Row],[Currency]]="EUR"),Table1[[#This Row],[Quantity]]*Table1[[#This Row],[Unit Price]],""),"")</f>
        <v/>
      </c>
      <c r="S553" s="40" t="str">
        <f ca="1">IFERROR(IF(AND(Table1[[#This Row],[ACT_Qty]]&lt;&gt;"",Table1[[#This Row],[Currency]]="EUR"),Table1[[#This Row],[ACT_Qty]]*Table1[[#This Row],[Unit Price]],""),"")</f>
        <v/>
      </c>
      <c r="T553" s="269" t="str">
        <f ca="1">IFERROR(IF(AND(($N$3&lt;&gt;""),INDIRECT(Aux!$D$1)),VLOOKUP(Table1[[#This Row],[Product code]],Aux!B:E,4,FALSE),""),"")</f>
        <v/>
      </c>
      <c r="U553" s="145" t="str">
        <f>IFERROR(IF(OR(Table1[[#This Row],[Quantity]]&lt;&gt;"",Table1[[#This Row],[ACT_Qty]]&lt;&gt;""),Table1[[#This Row],[ACT_Qty]]-Table1[[#This Row],[Quantity]],""),"")</f>
        <v/>
      </c>
      <c r="V553" s="45"/>
      <c r="W553" s="45"/>
      <c r="X553" s="45"/>
    </row>
    <row r="554" spans="1:24" ht="15" customHeight="1">
      <c r="A554" s="233" t="str">
        <f t="shared" si="33"/>
        <v>AKH12345</v>
      </c>
      <c r="B554" s="261" t="s">
        <v>1589</v>
      </c>
      <c r="C554" s="7" t="s">
        <v>1590</v>
      </c>
      <c r="D554" s="105"/>
      <c r="E554" s="89"/>
      <c r="F554" s="68"/>
      <c r="G554" s="89"/>
      <c r="H554" s="5" t="s">
        <v>1588</v>
      </c>
      <c r="I554" s="5" t="s">
        <v>1233</v>
      </c>
      <c r="J554" s="5" t="s">
        <v>1543</v>
      </c>
      <c r="K554" s="5" t="s">
        <v>1235</v>
      </c>
      <c r="L554" s="208" t="s">
        <v>1235</v>
      </c>
      <c r="M554" s="200" t="str">
        <f t="shared" si="34"/>
        <v>OneCo Networks AS</v>
      </c>
      <c r="N554"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4" s="269" t="str">
        <f ca="1">IFERROR(IF(
OR(Table1[[#This Row],[Product category]]="Service items",Table1[[#This Row],[Product category]]="Additional services",Table1[[#This Row],[Product category]]="Additional materials"),
"NOK",IF(($N$3&lt;&gt;""),VLOOKUP(Table1[[#This Row],[Product code]],INDIRECT(Aux!$A$1),6,FALSE),"")),"")</f>
        <v>NOK</v>
      </c>
      <c r="P554" s="41" t="str">
        <f ca="1">IFERROR(IF(AND(Table1[[#This Row],[Quantity]]&lt;&gt;"",Table1[[#This Row],[Currency]]="NOK"),Table1[[#This Row],[Quantity]]*Table1[[#This Row],[Unit Price]],""),"")</f>
        <v/>
      </c>
      <c r="Q554" s="41" t="str">
        <f ca="1">IFERROR(IF(AND(Table1[[#This Row],[ACT_Qty]]&lt;&gt;"",Table1[[#This Row],[Currency]]="NOK"),Table1[[#This Row],[ACT_Qty]]*Table1[[#This Row],[Unit Price]],""),"")</f>
        <v/>
      </c>
      <c r="R554" s="40" t="str">
        <f ca="1">IFERROR(IF(AND(Table1[[#This Row],[Quantity]]&lt;&gt;"",Table1[[#This Row],[Currency]]="EUR"),Table1[[#This Row],[Quantity]]*Table1[[#This Row],[Unit Price]],""),"")</f>
        <v/>
      </c>
      <c r="S554" s="40" t="str">
        <f ca="1">IFERROR(IF(AND(Table1[[#This Row],[ACT_Qty]]&lt;&gt;"",Table1[[#This Row],[Currency]]="EUR"),Table1[[#This Row],[ACT_Qty]]*Table1[[#This Row],[Unit Price]],""),"")</f>
        <v/>
      </c>
      <c r="T554" s="269" t="str">
        <f ca="1">IFERROR(IF(AND(($N$3&lt;&gt;""),INDIRECT(Aux!$D$1)),VLOOKUP(Table1[[#This Row],[Product code]],Aux!B:E,4,FALSE),""),"")</f>
        <v/>
      </c>
      <c r="U554" s="145" t="str">
        <f>IFERROR(IF(OR(Table1[[#This Row],[Quantity]]&lt;&gt;"",Table1[[#This Row],[ACT_Qty]]&lt;&gt;""),Table1[[#This Row],[ACT_Qty]]-Table1[[#This Row],[Quantity]],""),"")</f>
        <v/>
      </c>
      <c r="V554" s="45"/>
      <c r="W554" s="45"/>
      <c r="X554" s="45"/>
    </row>
    <row r="555" spans="1:24" ht="15" customHeight="1">
      <c r="A555" s="143" t="str">
        <f t="shared" si="33"/>
        <v>AKH12345</v>
      </c>
      <c r="B555" s="260" t="s">
        <v>1591</v>
      </c>
      <c r="C555" s="8" t="s">
        <v>1592</v>
      </c>
      <c r="D555" s="105"/>
      <c r="E555" s="106"/>
      <c r="F555" s="105"/>
      <c r="G555" s="106"/>
      <c r="H555" s="6" t="s">
        <v>1593</v>
      </c>
      <c r="I555" s="6" t="s">
        <v>1233</v>
      </c>
      <c r="J555" s="6" t="s">
        <v>1594</v>
      </c>
      <c r="K555" s="6" t="s">
        <v>1235</v>
      </c>
      <c r="L555" s="207" t="s">
        <v>1235</v>
      </c>
      <c r="M555" s="145" t="str">
        <f t="shared" si="34"/>
        <v>OneCo Networks AS</v>
      </c>
      <c r="N5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5" s="268" t="str">
        <f ca="1">IFERROR(IF(
OR(Table1[[#This Row],[Product category]]="Service items",Table1[[#This Row],[Product category]]="Additional services",Table1[[#This Row],[Product category]]="Additional materials"),
"NOK",IF(($N$3&lt;&gt;""),VLOOKUP(Table1[[#This Row],[Product code]],INDIRECT(Aux!$A$1),6,FALSE),"")),"")</f>
        <v>NOK</v>
      </c>
      <c r="P555" s="41" t="str">
        <f ca="1">IFERROR(IF(AND(Table1[[#This Row],[Quantity]]&lt;&gt;"",Table1[[#This Row],[Currency]]="NOK"),Table1[[#This Row],[Quantity]]*Table1[[#This Row],[Unit Price]],""),"")</f>
        <v/>
      </c>
      <c r="Q555" s="41" t="str">
        <f ca="1">IFERROR(IF(AND(Table1[[#This Row],[ACT_Qty]]&lt;&gt;"",Table1[[#This Row],[Currency]]="NOK"),Table1[[#This Row],[ACT_Qty]]*Table1[[#This Row],[Unit Price]],""),"")</f>
        <v/>
      </c>
      <c r="R555" s="41" t="str">
        <f ca="1">IFERROR(IF(AND(Table1[[#This Row],[Quantity]]&lt;&gt;"",Table1[[#This Row],[Currency]]="EUR"),Table1[[#This Row],[Quantity]]*Table1[[#This Row],[Unit Price]],""),"")</f>
        <v/>
      </c>
      <c r="S555" s="41" t="str">
        <f ca="1">IFERROR(IF(AND(Table1[[#This Row],[ACT_Qty]]&lt;&gt;"",Table1[[#This Row],[Currency]]="EUR"),Table1[[#This Row],[ACT_Qty]]*Table1[[#This Row],[Unit Price]],""),"")</f>
        <v/>
      </c>
      <c r="T555" s="269" t="str">
        <f ca="1">IFERROR(IF(AND(($N$3&lt;&gt;""),INDIRECT(Aux!$D$1)),VLOOKUP(Table1[[#This Row],[Product code]],Aux!B:E,4,FALSE),""),"")</f>
        <v/>
      </c>
      <c r="U555" s="145" t="str">
        <f>IFERROR(IF(OR(Table1[[#This Row],[Quantity]]&lt;&gt;"",Table1[[#This Row],[ACT_Qty]]&lt;&gt;""),Table1[[#This Row],[ACT_Qty]]-Table1[[#This Row],[Quantity]],""),"")</f>
        <v/>
      </c>
      <c r="V555" s="45"/>
      <c r="W555" s="45"/>
      <c r="X555" s="45"/>
    </row>
    <row r="556" spans="1:24">
      <c r="A556" s="233" t="str">
        <f t="shared" si="33"/>
        <v>AKH12345</v>
      </c>
      <c r="B556" s="261" t="s">
        <v>1595</v>
      </c>
      <c r="C556" s="7" t="s">
        <v>1596</v>
      </c>
      <c r="D556" s="105"/>
      <c r="E556" s="89"/>
      <c r="F556" s="68"/>
      <c r="G556" s="89"/>
      <c r="H556" s="5" t="s">
        <v>1597</v>
      </c>
      <c r="I556" s="5" t="s">
        <v>1233</v>
      </c>
      <c r="J556" s="5" t="s">
        <v>1594</v>
      </c>
      <c r="K556" s="5" t="s">
        <v>1235</v>
      </c>
      <c r="L556" s="208" t="s">
        <v>1235</v>
      </c>
      <c r="M556" s="148" t="str">
        <f t="shared" si="34"/>
        <v>OneCo Networks AS</v>
      </c>
      <c r="N55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6" s="270" t="str">
        <f ca="1">IFERROR(IF(
OR(Table1[[#This Row],[Product category]]="Service items",Table1[[#This Row],[Product category]]="Additional services",Table1[[#This Row],[Product category]]="Additional materials"),
"NOK",IF(($N$3&lt;&gt;""),VLOOKUP(Table1[[#This Row],[Product code]],INDIRECT(Aux!$A$1),6,FALSE),"")),"")</f>
        <v>NOK</v>
      </c>
      <c r="P556" s="43" t="str">
        <f ca="1">IFERROR(IF(AND(Table1[[#This Row],[Quantity]]&lt;&gt;"",Table1[[#This Row],[Currency]]="NOK"),Table1[[#This Row],[Quantity]]*Table1[[#This Row],[Unit Price]],""),"")</f>
        <v/>
      </c>
      <c r="Q556" s="43" t="str">
        <f ca="1">IFERROR(IF(AND(Table1[[#This Row],[ACT_Qty]]&lt;&gt;"",Table1[[#This Row],[Currency]]="NOK"),Table1[[#This Row],[ACT_Qty]]*Table1[[#This Row],[Unit Price]],""),"")</f>
        <v/>
      </c>
      <c r="R556" s="43" t="str">
        <f ca="1">IFERROR(IF(AND(Table1[[#This Row],[Quantity]]&lt;&gt;"",Table1[[#This Row],[Currency]]="EUR"),Table1[[#This Row],[Quantity]]*Table1[[#This Row],[Unit Price]],""),"")</f>
        <v/>
      </c>
      <c r="S556" s="43" t="str">
        <f ca="1">IFERROR(IF(AND(Table1[[#This Row],[ACT_Qty]]&lt;&gt;"",Table1[[#This Row],[Currency]]="EUR"),Table1[[#This Row],[ACT_Qty]]*Table1[[#This Row],[Unit Price]],""),"")</f>
        <v/>
      </c>
      <c r="T556" s="271" t="str">
        <f ca="1">IFERROR(IF(AND(($N$3&lt;&gt;""),INDIRECT(Aux!$D$1)),VLOOKUP(Table1[[#This Row],[Product code]],Aux!B:E,4,FALSE),""),"")</f>
        <v/>
      </c>
      <c r="U556" s="148" t="str">
        <f>IFERROR(IF(OR(Table1[[#This Row],[Quantity]]&lt;&gt;"",Table1[[#This Row],[ACT_Qty]]&lt;&gt;""),Table1[[#This Row],[ACT_Qty]]-Table1[[#This Row],[Quantity]],""),"")</f>
        <v/>
      </c>
      <c r="V556" s="46"/>
      <c r="W556" s="46"/>
      <c r="X556" s="46"/>
    </row>
    <row r="557" spans="1:24" ht="15" customHeight="1">
      <c r="A557" s="143" t="str">
        <f t="shared" si="33"/>
        <v>AKH12345</v>
      </c>
      <c r="B557" s="260" t="s">
        <v>1598</v>
      </c>
      <c r="C557" s="8" t="s">
        <v>1599</v>
      </c>
      <c r="D557" s="105"/>
      <c r="E557" s="106"/>
      <c r="F557" s="105"/>
      <c r="G557" s="106"/>
      <c r="H557" s="6" t="s">
        <v>1600</v>
      </c>
      <c r="I557" s="6" t="s">
        <v>1233</v>
      </c>
      <c r="J557" s="6" t="s">
        <v>1594</v>
      </c>
      <c r="K557" s="6" t="s">
        <v>1235</v>
      </c>
      <c r="L557" s="207" t="s">
        <v>1235</v>
      </c>
      <c r="M557" s="145" t="str">
        <f t="shared" si="34"/>
        <v>OneCo Networks AS</v>
      </c>
      <c r="N5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7" s="268" t="str">
        <f ca="1">IFERROR(IF(
OR(Table1[[#This Row],[Product category]]="Service items",Table1[[#This Row],[Product category]]="Additional services",Table1[[#This Row],[Product category]]="Additional materials"),
"NOK",IF(($N$3&lt;&gt;""),VLOOKUP(Table1[[#This Row],[Product code]],INDIRECT(Aux!$A$1),6,FALSE),"")),"")</f>
        <v>NOK</v>
      </c>
      <c r="P557" s="41" t="str">
        <f ca="1">IFERROR(IF(AND(Table1[[#This Row],[Quantity]]&lt;&gt;"",Table1[[#This Row],[Currency]]="NOK"),Table1[[#This Row],[Quantity]]*Table1[[#This Row],[Unit Price]],""),"")</f>
        <v/>
      </c>
      <c r="Q557" s="41" t="str">
        <f ca="1">IFERROR(IF(AND(Table1[[#This Row],[ACT_Qty]]&lt;&gt;"",Table1[[#This Row],[Currency]]="NOK"),Table1[[#This Row],[ACT_Qty]]*Table1[[#This Row],[Unit Price]],""),"")</f>
        <v/>
      </c>
      <c r="R557" s="41" t="str">
        <f ca="1">IFERROR(IF(AND(Table1[[#This Row],[Quantity]]&lt;&gt;"",Table1[[#This Row],[Currency]]="EUR"),Table1[[#This Row],[Quantity]]*Table1[[#This Row],[Unit Price]],""),"")</f>
        <v/>
      </c>
      <c r="S557" s="41" t="str">
        <f ca="1">IFERROR(IF(AND(Table1[[#This Row],[ACT_Qty]]&lt;&gt;"",Table1[[#This Row],[Currency]]="EUR"),Table1[[#This Row],[ACT_Qty]]*Table1[[#This Row],[Unit Price]],""),"")</f>
        <v/>
      </c>
      <c r="T557" s="269" t="str">
        <f ca="1">IFERROR(IF(AND(($N$3&lt;&gt;""),INDIRECT(Aux!$D$1)),VLOOKUP(Table1[[#This Row],[Product code]],Aux!B:E,4,FALSE),""),"")</f>
        <v/>
      </c>
      <c r="U557" s="145" t="str">
        <f>IFERROR(IF(OR(Table1[[#This Row],[Quantity]]&lt;&gt;"",Table1[[#This Row],[ACT_Qty]]&lt;&gt;""),Table1[[#This Row],[ACT_Qty]]-Table1[[#This Row],[Quantity]],""),"")</f>
        <v/>
      </c>
      <c r="V557" s="45"/>
      <c r="W557" s="45"/>
      <c r="X557" s="45"/>
    </row>
    <row r="558" spans="1:24" ht="15" customHeight="1">
      <c r="A558" s="233" t="str">
        <f t="shared" si="33"/>
        <v>AKH12345</v>
      </c>
      <c r="B558" s="261" t="s">
        <v>1601</v>
      </c>
      <c r="C558" s="7" t="s">
        <v>1602</v>
      </c>
      <c r="D558" s="105"/>
      <c r="E558" s="89"/>
      <c r="F558" s="68"/>
      <c r="G558" s="89"/>
      <c r="H558" s="5" t="s">
        <v>1603</v>
      </c>
      <c r="I558" s="5" t="s">
        <v>1233</v>
      </c>
      <c r="J558" s="5" t="s">
        <v>1594</v>
      </c>
      <c r="K558" s="5" t="s">
        <v>1235</v>
      </c>
      <c r="L558" s="208" t="s">
        <v>1235</v>
      </c>
      <c r="M558" s="148" t="str">
        <f>IF($C$3&lt;&gt;"",$C$3,"")</f>
        <v>OneCo Networks AS</v>
      </c>
      <c r="N55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8" s="270" t="str">
        <f ca="1">IFERROR(IF(
OR(Table1[[#This Row],[Product category]]="Service items",Table1[[#This Row],[Product category]]="Additional services",Table1[[#This Row],[Product category]]="Additional materials"),
"NOK",IF(($N$3&lt;&gt;""),VLOOKUP(Table1[[#This Row],[Product code]],INDIRECT(Aux!$A$1),6,FALSE),"")),"")</f>
        <v>NOK</v>
      </c>
      <c r="P558" s="43" t="str">
        <f ca="1">IFERROR(IF(AND(Table1[[#This Row],[Quantity]]&lt;&gt;"",Table1[[#This Row],[Currency]]="NOK"),Table1[[#This Row],[Quantity]]*Table1[[#This Row],[Unit Price]],""),"")</f>
        <v/>
      </c>
      <c r="Q558" s="43" t="str">
        <f ca="1">IFERROR(IF(AND(Table1[[#This Row],[ACT_Qty]]&lt;&gt;"",Table1[[#This Row],[Currency]]="NOK"),Table1[[#This Row],[ACT_Qty]]*Table1[[#This Row],[Unit Price]],""),"")</f>
        <v/>
      </c>
      <c r="R558" s="43" t="str">
        <f ca="1">IFERROR(IF(AND(Table1[[#This Row],[Quantity]]&lt;&gt;"",Table1[[#This Row],[Currency]]="EUR"),Table1[[#This Row],[Quantity]]*Table1[[#This Row],[Unit Price]],""),"")</f>
        <v/>
      </c>
      <c r="S558" s="43" t="str">
        <f ca="1">IFERROR(IF(AND(Table1[[#This Row],[ACT_Qty]]&lt;&gt;"",Table1[[#This Row],[Currency]]="EUR"),Table1[[#This Row],[ACT_Qty]]*Table1[[#This Row],[Unit Price]],""),"")</f>
        <v/>
      </c>
      <c r="T558" s="271" t="str">
        <f ca="1">IFERROR(IF(AND(($N$3&lt;&gt;""),INDIRECT(Aux!$D$1)),VLOOKUP(Table1[[#This Row],[Product code]],Aux!B:E,4,FALSE),""),"")</f>
        <v/>
      </c>
      <c r="U558" s="148" t="str">
        <f>IFERROR(IF(OR(Table1[[#This Row],[Quantity]]&lt;&gt;"",Table1[[#This Row],[ACT_Qty]]&lt;&gt;""),Table1[[#This Row],[ACT_Qty]]-Table1[[#This Row],[Quantity]],""),"")</f>
        <v/>
      </c>
      <c r="V558" s="46"/>
      <c r="W558" s="46"/>
      <c r="X558" s="46"/>
    </row>
    <row r="559" spans="1:24" ht="15" customHeight="1">
      <c r="A559" s="143" t="str">
        <f t="shared" si="33"/>
        <v>AKH12345</v>
      </c>
      <c r="B559" s="260" t="s">
        <v>1604</v>
      </c>
      <c r="C559" s="8" t="s">
        <v>1605</v>
      </c>
      <c r="D559" s="105"/>
      <c r="E559" s="106"/>
      <c r="F559" s="105"/>
      <c r="G559" s="106"/>
      <c r="H559" s="6" t="s">
        <v>1606</v>
      </c>
      <c r="I559" s="6" t="s">
        <v>1233</v>
      </c>
      <c r="J559" s="6" t="s">
        <v>1594</v>
      </c>
      <c r="K559" s="6" t="s">
        <v>1235</v>
      </c>
      <c r="L559" s="207" t="s">
        <v>1235</v>
      </c>
      <c r="M559" s="145" t="str">
        <f t="shared" si="34"/>
        <v>OneCo Networks AS</v>
      </c>
      <c r="N5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59" s="268" t="str">
        <f ca="1">IFERROR(IF(
OR(Table1[[#This Row],[Product category]]="Service items",Table1[[#This Row],[Product category]]="Additional services",Table1[[#This Row],[Product category]]="Additional materials"),
"NOK",IF(($N$3&lt;&gt;""),VLOOKUP(Table1[[#This Row],[Product code]],INDIRECT(Aux!$A$1),6,FALSE),"")),"")</f>
        <v>NOK</v>
      </c>
      <c r="P559" s="41" t="str">
        <f ca="1">IFERROR(IF(AND(Table1[[#This Row],[Quantity]]&lt;&gt;"",Table1[[#This Row],[Currency]]="NOK"),Table1[[#This Row],[Quantity]]*Table1[[#This Row],[Unit Price]],""),"")</f>
        <v/>
      </c>
      <c r="Q559" s="41" t="str">
        <f ca="1">IFERROR(IF(AND(Table1[[#This Row],[ACT_Qty]]&lt;&gt;"",Table1[[#This Row],[Currency]]="NOK"),Table1[[#This Row],[ACT_Qty]]*Table1[[#This Row],[Unit Price]],""),"")</f>
        <v/>
      </c>
      <c r="R559" s="41" t="str">
        <f ca="1">IFERROR(IF(AND(Table1[[#This Row],[Quantity]]&lt;&gt;"",Table1[[#This Row],[Currency]]="EUR"),Table1[[#This Row],[Quantity]]*Table1[[#This Row],[Unit Price]],""),"")</f>
        <v/>
      </c>
      <c r="S559" s="41" t="str">
        <f ca="1">IFERROR(IF(AND(Table1[[#This Row],[ACT_Qty]]&lt;&gt;"",Table1[[#This Row],[Currency]]="EUR"),Table1[[#This Row],[ACT_Qty]]*Table1[[#This Row],[Unit Price]],""),"")</f>
        <v/>
      </c>
      <c r="T559" s="269" t="str">
        <f ca="1">IFERROR(IF(AND(($N$3&lt;&gt;""),INDIRECT(Aux!$D$1)),VLOOKUP(Table1[[#This Row],[Product code]],Aux!B:E,4,FALSE),""),"")</f>
        <v/>
      </c>
      <c r="U559" s="145" t="str">
        <f>IFERROR(IF(OR(Table1[[#This Row],[Quantity]]&lt;&gt;"",Table1[[#This Row],[ACT_Qty]]&lt;&gt;""),Table1[[#This Row],[ACT_Qty]]-Table1[[#This Row],[Quantity]],""),"")</f>
        <v/>
      </c>
      <c r="V559" s="45"/>
      <c r="W559" s="45"/>
      <c r="X559" s="45"/>
    </row>
    <row r="560" spans="1:24" ht="15" customHeight="1">
      <c r="A560" s="233" t="str">
        <f t="shared" si="33"/>
        <v>AKH12345</v>
      </c>
      <c r="B560" s="261" t="s">
        <v>1607</v>
      </c>
      <c r="C560" s="7" t="s">
        <v>1608</v>
      </c>
      <c r="D560" s="105"/>
      <c r="E560" s="89"/>
      <c r="F560" s="68"/>
      <c r="G560" s="89"/>
      <c r="H560" s="5" t="s">
        <v>1609</v>
      </c>
      <c r="I560" s="5" t="s">
        <v>1233</v>
      </c>
      <c r="J560" s="5" t="s">
        <v>1594</v>
      </c>
      <c r="K560" s="5" t="s">
        <v>1235</v>
      </c>
      <c r="L560" s="208" t="s">
        <v>1235</v>
      </c>
      <c r="M560" s="148" t="str">
        <f t="shared" si="34"/>
        <v>OneCo Networks AS</v>
      </c>
      <c r="N56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0" s="270" t="str">
        <f ca="1">IFERROR(IF(
OR(Table1[[#This Row],[Product category]]="Service items",Table1[[#This Row],[Product category]]="Additional services",Table1[[#This Row],[Product category]]="Additional materials"),
"NOK",IF(($N$3&lt;&gt;""),VLOOKUP(Table1[[#This Row],[Product code]],INDIRECT(Aux!$A$1),6,FALSE),"")),"")</f>
        <v>NOK</v>
      </c>
      <c r="P560" s="43" t="str">
        <f ca="1">IFERROR(IF(AND(Table1[[#This Row],[Quantity]]&lt;&gt;"",Table1[[#This Row],[Currency]]="NOK"),Table1[[#This Row],[Quantity]]*Table1[[#This Row],[Unit Price]],""),"")</f>
        <v/>
      </c>
      <c r="Q560" s="43" t="str">
        <f ca="1">IFERROR(IF(AND(Table1[[#This Row],[ACT_Qty]]&lt;&gt;"",Table1[[#This Row],[Currency]]="NOK"),Table1[[#This Row],[ACT_Qty]]*Table1[[#This Row],[Unit Price]],""),"")</f>
        <v/>
      </c>
      <c r="R560" s="43" t="str">
        <f ca="1">IFERROR(IF(AND(Table1[[#This Row],[Quantity]]&lt;&gt;"",Table1[[#This Row],[Currency]]="EUR"),Table1[[#This Row],[Quantity]]*Table1[[#This Row],[Unit Price]],""),"")</f>
        <v/>
      </c>
      <c r="S560" s="43" t="str">
        <f ca="1">IFERROR(IF(AND(Table1[[#This Row],[ACT_Qty]]&lt;&gt;"",Table1[[#This Row],[Currency]]="EUR"),Table1[[#This Row],[ACT_Qty]]*Table1[[#This Row],[Unit Price]],""),"")</f>
        <v/>
      </c>
      <c r="T560" s="271" t="str">
        <f ca="1">IFERROR(IF(AND(($N$3&lt;&gt;""),INDIRECT(Aux!$D$1)),VLOOKUP(Table1[[#This Row],[Product code]],Aux!B:E,4,FALSE),""),"")</f>
        <v/>
      </c>
      <c r="U560" s="148" t="str">
        <f>IFERROR(IF(OR(Table1[[#This Row],[Quantity]]&lt;&gt;"",Table1[[#This Row],[ACT_Qty]]&lt;&gt;""),Table1[[#This Row],[ACT_Qty]]-Table1[[#This Row],[Quantity]],""),"")</f>
        <v/>
      </c>
      <c r="V560" s="46"/>
      <c r="W560" s="46"/>
      <c r="X560" s="46"/>
    </row>
    <row r="561" spans="1:24" ht="15" customHeight="1">
      <c r="A561" s="143" t="str">
        <f t="shared" si="33"/>
        <v>AKH12345</v>
      </c>
      <c r="B561" s="260" t="s">
        <v>1610</v>
      </c>
      <c r="C561" s="8" t="s">
        <v>1611</v>
      </c>
      <c r="D561" s="105"/>
      <c r="E561" s="106"/>
      <c r="F561" s="105"/>
      <c r="G561" s="106"/>
      <c r="H561" s="6" t="s">
        <v>1612</v>
      </c>
      <c r="I561" s="6" t="s">
        <v>1233</v>
      </c>
      <c r="J561" s="6" t="s">
        <v>1594</v>
      </c>
      <c r="K561" s="6" t="s">
        <v>1235</v>
      </c>
      <c r="L561" s="207" t="s">
        <v>1235</v>
      </c>
      <c r="M561" s="145" t="str">
        <f t="shared" si="34"/>
        <v>OneCo Networks AS</v>
      </c>
      <c r="N5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1" s="268" t="str">
        <f ca="1">IFERROR(IF(
OR(Table1[[#This Row],[Product category]]="Service items",Table1[[#This Row],[Product category]]="Additional services",Table1[[#This Row],[Product category]]="Additional materials"),
"NOK",IF(($N$3&lt;&gt;""),VLOOKUP(Table1[[#This Row],[Product code]],INDIRECT(Aux!$A$1),6,FALSE),"")),"")</f>
        <v>NOK</v>
      </c>
      <c r="P561" s="41" t="str">
        <f ca="1">IFERROR(IF(AND(Table1[[#This Row],[Quantity]]&lt;&gt;"",Table1[[#This Row],[Currency]]="NOK"),Table1[[#This Row],[Quantity]]*Table1[[#This Row],[Unit Price]],""),"")</f>
        <v/>
      </c>
      <c r="Q561" s="41" t="str">
        <f ca="1">IFERROR(IF(AND(Table1[[#This Row],[ACT_Qty]]&lt;&gt;"",Table1[[#This Row],[Currency]]="NOK"),Table1[[#This Row],[ACT_Qty]]*Table1[[#This Row],[Unit Price]],""),"")</f>
        <v/>
      </c>
      <c r="R561" s="41" t="str">
        <f ca="1">IFERROR(IF(AND(Table1[[#This Row],[Quantity]]&lt;&gt;"",Table1[[#This Row],[Currency]]="EUR"),Table1[[#This Row],[Quantity]]*Table1[[#This Row],[Unit Price]],""),"")</f>
        <v/>
      </c>
      <c r="S561" s="41" t="str">
        <f ca="1">IFERROR(IF(AND(Table1[[#This Row],[ACT_Qty]]&lt;&gt;"",Table1[[#This Row],[Currency]]="EUR"),Table1[[#This Row],[ACT_Qty]]*Table1[[#This Row],[Unit Price]],""),"")</f>
        <v/>
      </c>
      <c r="T561" s="269" t="str">
        <f ca="1">IFERROR(IF(AND(($N$3&lt;&gt;""),INDIRECT(Aux!$D$1)),VLOOKUP(Table1[[#This Row],[Product code]],Aux!B:E,4,FALSE),""),"")</f>
        <v/>
      </c>
      <c r="U561" s="145" t="str">
        <f>IFERROR(IF(OR(Table1[[#This Row],[Quantity]]&lt;&gt;"",Table1[[#This Row],[ACT_Qty]]&lt;&gt;""),Table1[[#This Row],[ACT_Qty]]-Table1[[#This Row],[Quantity]],""),"")</f>
        <v/>
      </c>
      <c r="V561" s="45"/>
      <c r="W561" s="45"/>
      <c r="X561" s="45"/>
    </row>
    <row r="562" spans="1:24" ht="15" customHeight="1">
      <c r="A562" s="233" t="str">
        <f t="shared" si="33"/>
        <v>AKH12345</v>
      </c>
      <c r="B562" s="261" t="s">
        <v>1613</v>
      </c>
      <c r="C562" s="7" t="s">
        <v>1614</v>
      </c>
      <c r="D562" s="105"/>
      <c r="E562" s="89"/>
      <c r="F562" s="68"/>
      <c r="G562" s="89"/>
      <c r="H562" s="5" t="s">
        <v>1612</v>
      </c>
      <c r="I562" s="5" t="s">
        <v>1233</v>
      </c>
      <c r="J562" s="5" t="s">
        <v>1594</v>
      </c>
      <c r="K562" s="5" t="s">
        <v>1235</v>
      </c>
      <c r="L562" s="208" t="s">
        <v>1235</v>
      </c>
      <c r="M562" s="148" t="str">
        <f t="shared" si="34"/>
        <v>OneCo Networks AS</v>
      </c>
      <c r="N56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2" s="270" t="str">
        <f ca="1">IFERROR(IF(
OR(Table1[[#This Row],[Product category]]="Service items",Table1[[#This Row],[Product category]]="Additional services",Table1[[#This Row],[Product category]]="Additional materials"),
"NOK",IF(($N$3&lt;&gt;""),VLOOKUP(Table1[[#This Row],[Product code]],INDIRECT(Aux!$A$1),6,FALSE),"")),"")</f>
        <v>NOK</v>
      </c>
      <c r="P562" s="43" t="str">
        <f ca="1">IFERROR(IF(AND(Table1[[#This Row],[Quantity]]&lt;&gt;"",Table1[[#This Row],[Currency]]="NOK"),Table1[[#This Row],[Quantity]]*Table1[[#This Row],[Unit Price]],""),"")</f>
        <v/>
      </c>
      <c r="Q562" s="43" t="str">
        <f ca="1">IFERROR(IF(AND(Table1[[#This Row],[ACT_Qty]]&lt;&gt;"",Table1[[#This Row],[Currency]]="NOK"),Table1[[#This Row],[ACT_Qty]]*Table1[[#This Row],[Unit Price]],""),"")</f>
        <v/>
      </c>
      <c r="R562" s="43" t="str">
        <f ca="1">IFERROR(IF(AND(Table1[[#This Row],[Quantity]]&lt;&gt;"",Table1[[#This Row],[Currency]]="EUR"),Table1[[#This Row],[Quantity]]*Table1[[#This Row],[Unit Price]],""),"")</f>
        <v/>
      </c>
      <c r="S562" s="43" t="str">
        <f ca="1">IFERROR(IF(AND(Table1[[#This Row],[ACT_Qty]]&lt;&gt;"",Table1[[#This Row],[Currency]]="EUR"),Table1[[#This Row],[ACT_Qty]]*Table1[[#This Row],[Unit Price]],""),"")</f>
        <v/>
      </c>
      <c r="T562" s="271" t="str">
        <f ca="1">IFERROR(IF(AND(($N$3&lt;&gt;""),INDIRECT(Aux!$D$1)),VLOOKUP(Table1[[#This Row],[Product code]],Aux!B:E,4,FALSE),""),"")</f>
        <v/>
      </c>
      <c r="U562" s="148" t="str">
        <f>IFERROR(IF(OR(Table1[[#This Row],[Quantity]]&lt;&gt;"",Table1[[#This Row],[ACT_Qty]]&lt;&gt;""),Table1[[#This Row],[ACT_Qty]]-Table1[[#This Row],[Quantity]],""),"")</f>
        <v/>
      </c>
      <c r="V562" s="46"/>
      <c r="W562" s="46"/>
      <c r="X562" s="46"/>
    </row>
    <row r="563" spans="1:24" ht="15" customHeight="1">
      <c r="A563" s="143" t="str">
        <f t="shared" si="33"/>
        <v>AKH12345</v>
      </c>
      <c r="B563" s="260" t="s">
        <v>1615</v>
      </c>
      <c r="C563" s="8" t="s">
        <v>1616</v>
      </c>
      <c r="D563" s="105"/>
      <c r="E563" s="106"/>
      <c r="F563" s="105"/>
      <c r="G563" s="106"/>
      <c r="H563" s="6" t="s">
        <v>1617</v>
      </c>
      <c r="I563" s="6" t="s">
        <v>1233</v>
      </c>
      <c r="J563" s="6" t="s">
        <v>1618</v>
      </c>
      <c r="K563" s="6" t="s">
        <v>1235</v>
      </c>
      <c r="L563" s="207" t="s">
        <v>1235</v>
      </c>
      <c r="M563" s="145" t="str">
        <f t="shared" si="34"/>
        <v>OneCo Networks AS</v>
      </c>
      <c r="N5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3" s="268" t="str">
        <f ca="1">IFERROR(IF(
OR(Table1[[#This Row],[Product category]]="Service items",Table1[[#This Row],[Product category]]="Additional services",Table1[[#This Row],[Product category]]="Additional materials"),
"NOK",IF(($N$3&lt;&gt;""),VLOOKUP(Table1[[#This Row],[Product code]],INDIRECT(Aux!$A$1),6,FALSE),"")),"")</f>
        <v>NOK</v>
      </c>
      <c r="P563" s="41" t="str">
        <f ca="1">IFERROR(IF(AND(Table1[[#This Row],[Quantity]]&lt;&gt;"",Table1[[#This Row],[Currency]]="NOK"),Table1[[#This Row],[Quantity]]*Table1[[#This Row],[Unit Price]],""),"")</f>
        <v/>
      </c>
      <c r="Q563" s="41" t="str">
        <f ca="1">IFERROR(IF(AND(Table1[[#This Row],[ACT_Qty]]&lt;&gt;"",Table1[[#This Row],[Currency]]="NOK"),Table1[[#This Row],[ACT_Qty]]*Table1[[#This Row],[Unit Price]],""),"")</f>
        <v/>
      </c>
      <c r="R563" s="41" t="str">
        <f ca="1">IFERROR(IF(AND(Table1[[#This Row],[Quantity]]&lt;&gt;"",Table1[[#This Row],[Currency]]="EUR"),Table1[[#This Row],[Quantity]]*Table1[[#This Row],[Unit Price]],""),"")</f>
        <v/>
      </c>
      <c r="S563" s="41" t="str">
        <f ca="1">IFERROR(IF(AND(Table1[[#This Row],[ACT_Qty]]&lt;&gt;"",Table1[[#This Row],[Currency]]="EUR"),Table1[[#This Row],[ACT_Qty]]*Table1[[#This Row],[Unit Price]],""),"")</f>
        <v/>
      </c>
      <c r="T563" s="269" t="str">
        <f ca="1">IFERROR(IF(AND(($N$3&lt;&gt;""),INDIRECT(Aux!$D$1)),VLOOKUP(Table1[[#This Row],[Product code]],Aux!B:E,4,FALSE),""),"")</f>
        <v/>
      </c>
      <c r="U563" s="145" t="str">
        <f>IFERROR(IF(OR(Table1[[#This Row],[Quantity]]&lt;&gt;"",Table1[[#This Row],[ACT_Qty]]&lt;&gt;""),Table1[[#This Row],[ACT_Qty]]-Table1[[#This Row],[Quantity]],""),"")</f>
        <v/>
      </c>
      <c r="V563" s="45"/>
      <c r="W563" s="45"/>
      <c r="X563" s="45"/>
    </row>
    <row r="564" spans="1:24" ht="15" customHeight="1">
      <c r="A564" s="233" t="str">
        <f t="shared" si="33"/>
        <v>AKH12345</v>
      </c>
      <c r="B564" s="261" t="s">
        <v>1619</v>
      </c>
      <c r="C564" s="7" t="s">
        <v>1620</v>
      </c>
      <c r="D564" s="105"/>
      <c r="E564" s="89"/>
      <c r="F564" s="68"/>
      <c r="G564" s="89"/>
      <c r="H564" s="5" t="s">
        <v>1621</v>
      </c>
      <c r="I564" s="5" t="s">
        <v>1233</v>
      </c>
      <c r="J564" s="5" t="s">
        <v>1618</v>
      </c>
      <c r="K564" s="5" t="s">
        <v>1235</v>
      </c>
      <c r="L564" s="208" t="s">
        <v>1235</v>
      </c>
      <c r="M564" s="148" t="str">
        <f t="shared" si="34"/>
        <v>OneCo Networks AS</v>
      </c>
      <c r="N56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4" s="270" t="str">
        <f ca="1">IFERROR(IF(
OR(Table1[[#This Row],[Product category]]="Service items",Table1[[#This Row],[Product category]]="Additional services",Table1[[#This Row],[Product category]]="Additional materials"),
"NOK",IF(($N$3&lt;&gt;""),VLOOKUP(Table1[[#This Row],[Product code]],INDIRECT(Aux!$A$1),6,FALSE),"")),"")</f>
        <v>NOK</v>
      </c>
      <c r="P564" s="43" t="str">
        <f ca="1">IFERROR(IF(AND(Table1[[#This Row],[Quantity]]&lt;&gt;"",Table1[[#This Row],[Currency]]="NOK"),Table1[[#This Row],[Quantity]]*Table1[[#This Row],[Unit Price]],""),"")</f>
        <v/>
      </c>
      <c r="Q564" s="43" t="str">
        <f ca="1">IFERROR(IF(AND(Table1[[#This Row],[ACT_Qty]]&lt;&gt;"",Table1[[#This Row],[Currency]]="NOK"),Table1[[#This Row],[ACT_Qty]]*Table1[[#This Row],[Unit Price]],""),"")</f>
        <v/>
      </c>
      <c r="R564" s="43" t="str">
        <f ca="1">IFERROR(IF(AND(Table1[[#This Row],[Quantity]]&lt;&gt;"",Table1[[#This Row],[Currency]]="EUR"),Table1[[#This Row],[Quantity]]*Table1[[#This Row],[Unit Price]],""),"")</f>
        <v/>
      </c>
      <c r="S564" s="43" t="str">
        <f ca="1">IFERROR(IF(AND(Table1[[#This Row],[ACT_Qty]]&lt;&gt;"",Table1[[#This Row],[Currency]]="EUR"),Table1[[#This Row],[ACT_Qty]]*Table1[[#This Row],[Unit Price]],""),"")</f>
        <v/>
      </c>
      <c r="T564" s="271" t="str">
        <f ca="1">IFERROR(IF(AND(($N$3&lt;&gt;""),INDIRECT(Aux!$D$1)),VLOOKUP(Table1[[#This Row],[Product code]],Aux!B:E,4,FALSE),""),"")</f>
        <v/>
      </c>
      <c r="U564" s="148" t="str">
        <f>IFERROR(IF(OR(Table1[[#This Row],[Quantity]]&lt;&gt;"",Table1[[#This Row],[ACT_Qty]]&lt;&gt;""),Table1[[#This Row],[ACT_Qty]]-Table1[[#This Row],[Quantity]],""),"")</f>
        <v/>
      </c>
      <c r="V564" s="46"/>
      <c r="W564" s="46"/>
      <c r="X564" s="46"/>
    </row>
    <row r="565" spans="1:24" ht="15" customHeight="1">
      <c r="A565" s="143" t="str">
        <f t="shared" si="33"/>
        <v>AKH12345</v>
      </c>
      <c r="B565" s="260" t="s">
        <v>1622</v>
      </c>
      <c r="C565" s="8" t="s">
        <v>1623</v>
      </c>
      <c r="D565" s="105"/>
      <c r="E565" s="106"/>
      <c r="F565" s="105"/>
      <c r="G565" s="106"/>
      <c r="H565" s="6" t="s">
        <v>1624</v>
      </c>
      <c r="I565" s="6" t="s">
        <v>1233</v>
      </c>
      <c r="J565" s="6" t="s">
        <v>1618</v>
      </c>
      <c r="K565" s="6" t="s">
        <v>1235</v>
      </c>
      <c r="L565" s="207" t="s">
        <v>1235</v>
      </c>
      <c r="M565" s="145" t="str">
        <f t="shared" si="34"/>
        <v>OneCo Networks AS</v>
      </c>
      <c r="N5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5" s="268" t="str">
        <f ca="1">IFERROR(IF(
OR(Table1[[#This Row],[Product category]]="Service items",Table1[[#This Row],[Product category]]="Additional services",Table1[[#This Row],[Product category]]="Additional materials"),
"NOK",IF(($N$3&lt;&gt;""),VLOOKUP(Table1[[#This Row],[Product code]],INDIRECT(Aux!$A$1),6,FALSE),"")),"")</f>
        <v>NOK</v>
      </c>
      <c r="P565" s="41" t="str">
        <f ca="1">IFERROR(IF(AND(Table1[[#This Row],[Quantity]]&lt;&gt;"",Table1[[#This Row],[Currency]]="NOK"),Table1[[#This Row],[Quantity]]*Table1[[#This Row],[Unit Price]],""),"")</f>
        <v/>
      </c>
      <c r="Q565" s="41" t="str">
        <f ca="1">IFERROR(IF(AND(Table1[[#This Row],[ACT_Qty]]&lt;&gt;"",Table1[[#This Row],[Currency]]="NOK"),Table1[[#This Row],[ACT_Qty]]*Table1[[#This Row],[Unit Price]],""),"")</f>
        <v/>
      </c>
      <c r="R565" s="41" t="str">
        <f ca="1">IFERROR(IF(AND(Table1[[#This Row],[Quantity]]&lt;&gt;"",Table1[[#This Row],[Currency]]="EUR"),Table1[[#This Row],[Quantity]]*Table1[[#This Row],[Unit Price]],""),"")</f>
        <v/>
      </c>
      <c r="S565" s="41" t="str">
        <f ca="1">IFERROR(IF(AND(Table1[[#This Row],[ACT_Qty]]&lt;&gt;"",Table1[[#This Row],[Currency]]="EUR"),Table1[[#This Row],[ACT_Qty]]*Table1[[#This Row],[Unit Price]],""),"")</f>
        <v/>
      </c>
      <c r="T565" s="269" t="str">
        <f ca="1">IFERROR(IF(AND(($N$3&lt;&gt;""),INDIRECT(Aux!$D$1)),VLOOKUP(Table1[[#This Row],[Product code]],Aux!B:E,4,FALSE),""),"")</f>
        <v/>
      </c>
      <c r="U565" s="145" t="str">
        <f>IFERROR(IF(OR(Table1[[#This Row],[Quantity]]&lt;&gt;"",Table1[[#This Row],[ACT_Qty]]&lt;&gt;""),Table1[[#This Row],[ACT_Qty]]-Table1[[#This Row],[Quantity]],""),"")</f>
        <v/>
      </c>
      <c r="V565" s="45"/>
      <c r="W565" s="45"/>
      <c r="X565" s="45"/>
    </row>
    <row r="566" spans="1:24" ht="15" customHeight="1">
      <c r="A566" s="233" t="str">
        <f t="shared" si="33"/>
        <v>AKH12345</v>
      </c>
      <c r="B566" s="261" t="s">
        <v>1625</v>
      </c>
      <c r="C566" s="7" t="s">
        <v>1626</v>
      </c>
      <c r="D566" s="105"/>
      <c r="E566" s="89"/>
      <c r="F566" s="68"/>
      <c r="G566" s="89"/>
      <c r="H566" s="5" t="s">
        <v>1627</v>
      </c>
      <c r="I566" s="5" t="s">
        <v>1233</v>
      </c>
      <c r="J566" s="5" t="s">
        <v>1618</v>
      </c>
      <c r="K566" s="5" t="s">
        <v>1235</v>
      </c>
      <c r="L566" s="208" t="s">
        <v>1235</v>
      </c>
      <c r="M566" s="148" t="str">
        <f t="shared" si="34"/>
        <v>OneCo Networks AS</v>
      </c>
      <c r="N56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6" s="270" t="str">
        <f ca="1">IFERROR(IF(
OR(Table1[[#This Row],[Product category]]="Service items",Table1[[#This Row],[Product category]]="Additional services",Table1[[#This Row],[Product category]]="Additional materials"),
"NOK",IF(($N$3&lt;&gt;""),VLOOKUP(Table1[[#This Row],[Product code]],INDIRECT(Aux!$A$1),6,FALSE),"")),"")</f>
        <v>NOK</v>
      </c>
      <c r="P566" s="43" t="str">
        <f ca="1">IFERROR(IF(AND(Table1[[#This Row],[Quantity]]&lt;&gt;"",Table1[[#This Row],[Currency]]="NOK"),Table1[[#This Row],[Quantity]]*Table1[[#This Row],[Unit Price]],""),"")</f>
        <v/>
      </c>
      <c r="Q566" s="43" t="str">
        <f ca="1">IFERROR(IF(AND(Table1[[#This Row],[ACT_Qty]]&lt;&gt;"",Table1[[#This Row],[Currency]]="NOK"),Table1[[#This Row],[ACT_Qty]]*Table1[[#This Row],[Unit Price]],""),"")</f>
        <v/>
      </c>
      <c r="R566" s="43" t="str">
        <f ca="1">IFERROR(IF(AND(Table1[[#This Row],[Quantity]]&lt;&gt;"",Table1[[#This Row],[Currency]]="EUR"),Table1[[#This Row],[Quantity]]*Table1[[#This Row],[Unit Price]],""),"")</f>
        <v/>
      </c>
      <c r="S566" s="43" t="str">
        <f ca="1">IFERROR(IF(AND(Table1[[#This Row],[ACT_Qty]]&lt;&gt;"",Table1[[#This Row],[Currency]]="EUR"),Table1[[#This Row],[ACT_Qty]]*Table1[[#This Row],[Unit Price]],""),"")</f>
        <v/>
      </c>
      <c r="T566" s="271" t="str">
        <f ca="1">IFERROR(IF(AND(($N$3&lt;&gt;""),INDIRECT(Aux!$D$1)),VLOOKUP(Table1[[#This Row],[Product code]],Aux!B:E,4,FALSE),""),"")</f>
        <v/>
      </c>
      <c r="U566" s="148" t="str">
        <f>IFERROR(IF(OR(Table1[[#This Row],[Quantity]]&lt;&gt;"",Table1[[#This Row],[ACT_Qty]]&lt;&gt;""),Table1[[#This Row],[ACT_Qty]]-Table1[[#This Row],[Quantity]],""),"")</f>
        <v/>
      </c>
      <c r="V566" s="46"/>
      <c r="W566" s="46"/>
      <c r="X566" s="46"/>
    </row>
    <row r="567" spans="1:24" ht="15" customHeight="1">
      <c r="A567" s="143" t="str">
        <f t="shared" si="33"/>
        <v>AKH12345</v>
      </c>
      <c r="B567" s="260" t="s">
        <v>1628</v>
      </c>
      <c r="C567" s="8" t="s">
        <v>1629</v>
      </c>
      <c r="D567" s="105"/>
      <c r="E567" s="106"/>
      <c r="F567" s="105"/>
      <c r="G567" s="106"/>
      <c r="H567" s="6" t="s">
        <v>1630</v>
      </c>
      <c r="I567" s="6" t="s">
        <v>1233</v>
      </c>
      <c r="J567" s="6" t="s">
        <v>1618</v>
      </c>
      <c r="K567" s="6" t="s">
        <v>1235</v>
      </c>
      <c r="L567" s="207" t="s">
        <v>1235</v>
      </c>
      <c r="M567" s="145" t="str">
        <f t="shared" si="34"/>
        <v>OneCo Networks AS</v>
      </c>
      <c r="N5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7" s="268" t="str">
        <f ca="1">IFERROR(IF(
OR(Table1[[#This Row],[Product category]]="Service items",Table1[[#This Row],[Product category]]="Additional services",Table1[[#This Row],[Product category]]="Additional materials"),
"NOK",IF(($N$3&lt;&gt;""),VLOOKUP(Table1[[#This Row],[Product code]],INDIRECT(Aux!$A$1),6,FALSE),"")),"")</f>
        <v>NOK</v>
      </c>
      <c r="P567" s="41" t="str">
        <f ca="1">IFERROR(IF(AND(Table1[[#This Row],[Quantity]]&lt;&gt;"",Table1[[#This Row],[Currency]]="NOK"),Table1[[#This Row],[Quantity]]*Table1[[#This Row],[Unit Price]],""),"")</f>
        <v/>
      </c>
      <c r="Q567" s="41" t="str">
        <f ca="1">IFERROR(IF(AND(Table1[[#This Row],[ACT_Qty]]&lt;&gt;"",Table1[[#This Row],[Currency]]="NOK"),Table1[[#This Row],[ACT_Qty]]*Table1[[#This Row],[Unit Price]],""),"")</f>
        <v/>
      </c>
      <c r="R567" s="41" t="str">
        <f ca="1">IFERROR(IF(AND(Table1[[#This Row],[Quantity]]&lt;&gt;"",Table1[[#This Row],[Currency]]="EUR"),Table1[[#This Row],[Quantity]]*Table1[[#This Row],[Unit Price]],""),"")</f>
        <v/>
      </c>
      <c r="S567" s="41" t="str">
        <f ca="1">IFERROR(IF(AND(Table1[[#This Row],[ACT_Qty]]&lt;&gt;"",Table1[[#This Row],[Currency]]="EUR"),Table1[[#This Row],[ACT_Qty]]*Table1[[#This Row],[Unit Price]],""),"")</f>
        <v/>
      </c>
      <c r="T567" s="269" t="str">
        <f ca="1">IFERROR(IF(AND(($N$3&lt;&gt;""),INDIRECT(Aux!$D$1)),VLOOKUP(Table1[[#This Row],[Product code]],Aux!B:E,4,FALSE),""),"")</f>
        <v/>
      </c>
      <c r="U567" s="145" t="str">
        <f>IFERROR(IF(OR(Table1[[#This Row],[Quantity]]&lt;&gt;"",Table1[[#This Row],[ACT_Qty]]&lt;&gt;""),Table1[[#This Row],[ACT_Qty]]-Table1[[#This Row],[Quantity]],""),"")</f>
        <v/>
      </c>
      <c r="V567" s="45"/>
      <c r="W567" s="45"/>
      <c r="X567" s="45"/>
    </row>
    <row r="568" spans="1:24" ht="15" customHeight="1">
      <c r="A568" s="233" t="str">
        <f t="shared" si="33"/>
        <v>AKH12345</v>
      </c>
      <c r="B568" s="261" t="s">
        <v>1631</v>
      </c>
      <c r="C568" s="7" t="s">
        <v>1632</v>
      </c>
      <c r="D568" s="105"/>
      <c r="E568" s="89"/>
      <c r="F568" s="68"/>
      <c r="G568" s="89"/>
      <c r="H568" s="5" t="s">
        <v>1633</v>
      </c>
      <c r="I568" s="5" t="s">
        <v>1233</v>
      </c>
      <c r="J568" s="5" t="s">
        <v>1618</v>
      </c>
      <c r="K568" s="5" t="s">
        <v>1235</v>
      </c>
      <c r="L568" s="208" t="s">
        <v>1235</v>
      </c>
      <c r="M568" s="148" t="str">
        <f t="shared" si="34"/>
        <v>OneCo Networks AS</v>
      </c>
      <c r="N56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8" s="270" t="str">
        <f ca="1">IFERROR(IF(
OR(Table1[[#This Row],[Product category]]="Service items",Table1[[#This Row],[Product category]]="Additional services",Table1[[#This Row],[Product category]]="Additional materials"),
"NOK",IF(($N$3&lt;&gt;""),VLOOKUP(Table1[[#This Row],[Product code]],INDIRECT(Aux!$A$1),6,FALSE),"")),"")</f>
        <v>NOK</v>
      </c>
      <c r="P568" s="43" t="str">
        <f ca="1">IFERROR(IF(AND(Table1[[#This Row],[Quantity]]&lt;&gt;"",Table1[[#This Row],[Currency]]="NOK"),Table1[[#This Row],[Quantity]]*Table1[[#This Row],[Unit Price]],""),"")</f>
        <v/>
      </c>
      <c r="Q568" s="43" t="str">
        <f ca="1">IFERROR(IF(AND(Table1[[#This Row],[ACT_Qty]]&lt;&gt;"",Table1[[#This Row],[Currency]]="NOK"),Table1[[#This Row],[ACT_Qty]]*Table1[[#This Row],[Unit Price]],""),"")</f>
        <v/>
      </c>
      <c r="R568" s="43" t="str">
        <f ca="1">IFERROR(IF(AND(Table1[[#This Row],[Quantity]]&lt;&gt;"",Table1[[#This Row],[Currency]]="EUR"),Table1[[#This Row],[Quantity]]*Table1[[#This Row],[Unit Price]],""),"")</f>
        <v/>
      </c>
      <c r="S568" s="43" t="str">
        <f ca="1">IFERROR(IF(AND(Table1[[#This Row],[ACT_Qty]]&lt;&gt;"",Table1[[#This Row],[Currency]]="EUR"),Table1[[#This Row],[ACT_Qty]]*Table1[[#This Row],[Unit Price]],""),"")</f>
        <v/>
      </c>
      <c r="T568" s="271" t="str">
        <f ca="1">IFERROR(IF(AND(($N$3&lt;&gt;""),INDIRECT(Aux!$D$1)),VLOOKUP(Table1[[#This Row],[Product code]],Aux!B:E,4,FALSE),""),"")</f>
        <v/>
      </c>
      <c r="U568" s="148" t="str">
        <f>IFERROR(IF(OR(Table1[[#This Row],[Quantity]]&lt;&gt;"",Table1[[#This Row],[ACT_Qty]]&lt;&gt;""),Table1[[#This Row],[ACT_Qty]]-Table1[[#This Row],[Quantity]],""),"")</f>
        <v/>
      </c>
      <c r="V568" s="46"/>
      <c r="W568" s="46"/>
      <c r="X568" s="46"/>
    </row>
    <row r="569" spans="1:24" ht="15" customHeight="1">
      <c r="A569" s="143" t="str">
        <f t="shared" si="33"/>
        <v>AKH12345</v>
      </c>
      <c r="B569" s="260" t="s">
        <v>1634</v>
      </c>
      <c r="C569" s="8" t="s">
        <v>1635</v>
      </c>
      <c r="D569" s="105"/>
      <c r="E569" s="106"/>
      <c r="F569" s="105"/>
      <c r="G569" s="106"/>
      <c r="H569" s="6" t="s">
        <v>1636</v>
      </c>
      <c r="I569" s="6" t="s">
        <v>1233</v>
      </c>
      <c r="J569" s="6" t="s">
        <v>1618</v>
      </c>
      <c r="K569" s="6" t="s">
        <v>1235</v>
      </c>
      <c r="L569" s="207" t="s">
        <v>1235</v>
      </c>
      <c r="M569" s="145" t="str">
        <f t="shared" si="34"/>
        <v>OneCo Networks AS</v>
      </c>
      <c r="N5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69" s="268" t="str">
        <f ca="1">IFERROR(IF(
OR(Table1[[#This Row],[Product category]]="Service items",Table1[[#This Row],[Product category]]="Additional services",Table1[[#This Row],[Product category]]="Additional materials"),
"NOK",IF(($N$3&lt;&gt;""),VLOOKUP(Table1[[#This Row],[Product code]],INDIRECT(Aux!$A$1),6,FALSE),"")),"")</f>
        <v>NOK</v>
      </c>
      <c r="P569" s="41" t="str">
        <f ca="1">IFERROR(IF(AND(Table1[[#This Row],[Quantity]]&lt;&gt;"",Table1[[#This Row],[Currency]]="NOK"),Table1[[#This Row],[Quantity]]*Table1[[#This Row],[Unit Price]],""),"")</f>
        <v/>
      </c>
      <c r="Q569" s="41" t="str">
        <f ca="1">IFERROR(IF(AND(Table1[[#This Row],[ACT_Qty]]&lt;&gt;"",Table1[[#This Row],[Currency]]="NOK"),Table1[[#This Row],[ACT_Qty]]*Table1[[#This Row],[Unit Price]],""),"")</f>
        <v/>
      </c>
      <c r="R569" s="41" t="str">
        <f ca="1">IFERROR(IF(AND(Table1[[#This Row],[Quantity]]&lt;&gt;"",Table1[[#This Row],[Currency]]="EUR"),Table1[[#This Row],[Quantity]]*Table1[[#This Row],[Unit Price]],""),"")</f>
        <v/>
      </c>
      <c r="S569" s="41" t="str">
        <f ca="1">IFERROR(IF(AND(Table1[[#This Row],[ACT_Qty]]&lt;&gt;"",Table1[[#This Row],[Currency]]="EUR"),Table1[[#This Row],[ACT_Qty]]*Table1[[#This Row],[Unit Price]],""),"")</f>
        <v/>
      </c>
      <c r="T569" s="269" t="str">
        <f ca="1">IFERROR(IF(AND(($N$3&lt;&gt;""),INDIRECT(Aux!$D$1)),VLOOKUP(Table1[[#This Row],[Product code]],Aux!B:E,4,FALSE),""),"")</f>
        <v/>
      </c>
      <c r="U569" s="145" t="str">
        <f>IFERROR(IF(OR(Table1[[#This Row],[Quantity]]&lt;&gt;"",Table1[[#This Row],[ACT_Qty]]&lt;&gt;""),Table1[[#This Row],[ACT_Qty]]-Table1[[#This Row],[Quantity]],""),"")</f>
        <v/>
      </c>
      <c r="V569" s="45"/>
      <c r="W569" s="45"/>
      <c r="X569" s="45"/>
    </row>
    <row r="570" spans="1:24" ht="15" customHeight="1">
      <c r="A570" s="233" t="str">
        <f t="shared" si="33"/>
        <v>AKH12345</v>
      </c>
      <c r="B570" s="261" t="s">
        <v>1637</v>
      </c>
      <c r="C570" s="7" t="s">
        <v>1638</v>
      </c>
      <c r="D570" s="105"/>
      <c r="E570" s="89"/>
      <c r="F570" s="68"/>
      <c r="G570" s="89"/>
      <c r="H570" s="5" t="s">
        <v>1639</v>
      </c>
      <c r="I570" s="5" t="s">
        <v>1233</v>
      </c>
      <c r="J570" s="5" t="s">
        <v>1618</v>
      </c>
      <c r="K570" s="5" t="s">
        <v>1235</v>
      </c>
      <c r="L570" s="208" t="s">
        <v>1235</v>
      </c>
      <c r="M570" s="148" t="str">
        <f t="shared" si="34"/>
        <v>OneCo Networks AS</v>
      </c>
      <c r="N57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0" s="270" t="str">
        <f ca="1">IFERROR(IF(
OR(Table1[[#This Row],[Product category]]="Service items",Table1[[#This Row],[Product category]]="Additional services",Table1[[#This Row],[Product category]]="Additional materials"),
"NOK",IF(($N$3&lt;&gt;""),VLOOKUP(Table1[[#This Row],[Product code]],INDIRECT(Aux!$A$1),6,FALSE),"")),"")</f>
        <v>NOK</v>
      </c>
      <c r="P570" s="43" t="str">
        <f ca="1">IFERROR(IF(AND(Table1[[#This Row],[Quantity]]&lt;&gt;"",Table1[[#This Row],[Currency]]="NOK"),Table1[[#This Row],[Quantity]]*Table1[[#This Row],[Unit Price]],""),"")</f>
        <v/>
      </c>
      <c r="Q570" s="43" t="str">
        <f ca="1">IFERROR(IF(AND(Table1[[#This Row],[ACT_Qty]]&lt;&gt;"",Table1[[#This Row],[Currency]]="NOK"),Table1[[#This Row],[ACT_Qty]]*Table1[[#This Row],[Unit Price]],""),"")</f>
        <v/>
      </c>
      <c r="R570" s="43" t="str">
        <f ca="1">IFERROR(IF(AND(Table1[[#This Row],[Quantity]]&lt;&gt;"",Table1[[#This Row],[Currency]]="EUR"),Table1[[#This Row],[Quantity]]*Table1[[#This Row],[Unit Price]],""),"")</f>
        <v/>
      </c>
      <c r="S570" s="43" t="str">
        <f ca="1">IFERROR(IF(AND(Table1[[#This Row],[ACT_Qty]]&lt;&gt;"",Table1[[#This Row],[Currency]]="EUR"),Table1[[#This Row],[ACT_Qty]]*Table1[[#This Row],[Unit Price]],""),"")</f>
        <v/>
      </c>
      <c r="T570" s="271" t="str">
        <f ca="1">IFERROR(IF(AND(($N$3&lt;&gt;""),INDIRECT(Aux!$D$1)),VLOOKUP(Table1[[#This Row],[Product code]],Aux!B:E,4,FALSE),""),"")</f>
        <v/>
      </c>
      <c r="U570" s="148" t="str">
        <f>IFERROR(IF(OR(Table1[[#This Row],[Quantity]]&lt;&gt;"",Table1[[#This Row],[ACT_Qty]]&lt;&gt;""),Table1[[#This Row],[ACT_Qty]]-Table1[[#This Row],[Quantity]],""),"")</f>
        <v/>
      </c>
      <c r="V570" s="46"/>
      <c r="W570" s="46"/>
      <c r="X570" s="46"/>
    </row>
    <row r="571" spans="1:24" ht="15" customHeight="1">
      <c r="A571" s="143" t="str">
        <f t="shared" si="33"/>
        <v>AKH12345</v>
      </c>
      <c r="B571" s="260" t="s">
        <v>1640</v>
      </c>
      <c r="C571" s="8" t="s">
        <v>1641</v>
      </c>
      <c r="D571" s="105"/>
      <c r="E571" s="106"/>
      <c r="F571" s="105"/>
      <c r="G571" s="106"/>
      <c r="H571" s="6" t="s">
        <v>1642</v>
      </c>
      <c r="I571" s="6" t="s">
        <v>1233</v>
      </c>
      <c r="J571" s="6" t="s">
        <v>1618</v>
      </c>
      <c r="K571" s="6" t="s">
        <v>1235</v>
      </c>
      <c r="L571" s="207" t="s">
        <v>1235</v>
      </c>
      <c r="M571" s="145" t="str">
        <f t="shared" si="34"/>
        <v>OneCo Networks AS</v>
      </c>
      <c r="N5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1" s="268" t="str">
        <f ca="1">IFERROR(IF(
OR(Table1[[#This Row],[Product category]]="Service items",Table1[[#This Row],[Product category]]="Additional services",Table1[[#This Row],[Product category]]="Additional materials"),
"NOK",IF(($N$3&lt;&gt;""),VLOOKUP(Table1[[#This Row],[Product code]],INDIRECT(Aux!$A$1),6,FALSE),"")),"")</f>
        <v>NOK</v>
      </c>
      <c r="P571" s="41" t="str">
        <f ca="1">IFERROR(IF(AND(Table1[[#This Row],[Quantity]]&lt;&gt;"",Table1[[#This Row],[Currency]]="NOK"),Table1[[#This Row],[Quantity]]*Table1[[#This Row],[Unit Price]],""),"")</f>
        <v/>
      </c>
      <c r="Q571" s="41" t="str">
        <f ca="1">IFERROR(IF(AND(Table1[[#This Row],[ACT_Qty]]&lt;&gt;"",Table1[[#This Row],[Currency]]="NOK"),Table1[[#This Row],[ACT_Qty]]*Table1[[#This Row],[Unit Price]],""),"")</f>
        <v/>
      </c>
      <c r="R571" s="41" t="str">
        <f ca="1">IFERROR(IF(AND(Table1[[#This Row],[Quantity]]&lt;&gt;"",Table1[[#This Row],[Currency]]="EUR"),Table1[[#This Row],[Quantity]]*Table1[[#This Row],[Unit Price]],""),"")</f>
        <v/>
      </c>
      <c r="S571" s="41" t="str">
        <f ca="1">IFERROR(IF(AND(Table1[[#This Row],[ACT_Qty]]&lt;&gt;"",Table1[[#This Row],[Currency]]="EUR"),Table1[[#This Row],[ACT_Qty]]*Table1[[#This Row],[Unit Price]],""),"")</f>
        <v/>
      </c>
      <c r="T571" s="269" t="str">
        <f ca="1">IFERROR(IF(AND(($N$3&lt;&gt;""),INDIRECT(Aux!$D$1)),VLOOKUP(Table1[[#This Row],[Product code]],Aux!B:E,4,FALSE),""),"")</f>
        <v/>
      </c>
      <c r="U571" s="145" t="str">
        <f>IFERROR(IF(OR(Table1[[#This Row],[Quantity]]&lt;&gt;"",Table1[[#This Row],[ACT_Qty]]&lt;&gt;""),Table1[[#This Row],[ACT_Qty]]-Table1[[#This Row],[Quantity]],""),"")</f>
        <v/>
      </c>
      <c r="V571" s="45"/>
      <c r="W571" s="45"/>
      <c r="X571" s="45"/>
    </row>
    <row r="572" spans="1:24" ht="15" customHeight="1">
      <c r="A572" s="233" t="str">
        <f t="shared" si="33"/>
        <v>AKH12345</v>
      </c>
      <c r="B572" s="261" t="s">
        <v>1643</v>
      </c>
      <c r="C572" s="7" t="s">
        <v>1644</v>
      </c>
      <c r="D572" s="105"/>
      <c r="E572" s="89"/>
      <c r="F572" s="68"/>
      <c r="G572" s="89"/>
      <c r="H572" s="5" t="s">
        <v>1645</v>
      </c>
      <c r="I572" s="5" t="s">
        <v>1233</v>
      </c>
      <c r="J572" s="5" t="s">
        <v>1618</v>
      </c>
      <c r="K572" s="5" t="s">
        <v>1235</v>
      </c>
      <c r="L572" s="208" t="s">
        <v>1235</v>
      </c>
      <c r="M572" s="148" t="str">
        <f t="shared" si="34"/>
        <v>OneCo Networks AS</v>
      </c>
      <c r="N57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2" s="270" t="str">
        <f ca="1">IFERROR(IF(
OR(Table1[[#This Row],[Product category]]="Service items",Table1[[#This Row],[Product category]]="Additional services",Table1[[#This Row],[Product category]]="Additional materials"),
"NOK",IF(($N$3&lt;&gt;""),VLOOKUP(Table1[[#This Row],[Product code]],INDIRECT(Aux!$A$1),6,FALSE),"")),"")</f>
        <v>NOK</v>
      </c>
      <c r="P572" s="43" t="str">
        <f ca="1">IFERROR(IF(AND(Table1[[#This Row],[Quantity]]&lt;&gt;"",Table1[[#This Row],[Currency]]="NOK"),Table1[[#This Row],[Quantity]]*Table1[[#This Row],[Unit Price]],""),"")</f>
        <v/>
      </c>
      <c r="Q572" s="43" t="str">
        <f ca="1">IFERROR(IF(AND(Table1[[#This Row],[ACT_Qty]]&lt;&gt;"",Table1[[#This Row],[Currency]]="NOK"),Table1[[#This Row],[ACT_Qty]]*Table1[[#This Row],[Unit Price]],""),"")</f>
        <v/>
      </c>
      <c r="R572" s="43" t="str">
        <f ca="1">IFERROR(IF(AND(Table1[[#This Row],[Quantity]]&lt;&gt;"",Table1[[#This Row],[Currency]]="EUR"),Table1[[#This Row],[Quantity]]*Table1[[#This Row],[Unit Price]],""),"")</f>
        <v/>
      </c>
      <c r="S572" s="43" t="str">
        <f ca="1">IFERROR(IF(AND(Table1[[#This Row],[ACT_Qty]]&lt;&gt;"",Table1[[#This Row],[Currency]]="EUR"),Table1[[#This Row],[ACT_Qty]]*Table1[[#This Row],[Unit Price]],""),"")</f>
        <v/>
      </c>
      <c r="T572" s="271" t="str">
        <f ca="1">IFERROR(IF(AND(($N$3&lt;&gt;""),INDIRECT(Aux!$D$1)),VLOOKUP(Table1[[#This Row],[Product code]],Aux!B:E,4,FALSE),""),"")</f>
        <v/>
      </c>
      <c r="U572" s="148" t="str">
        <f>IFERROR(IF(OR(Table1[[#This Row],[Quantity]]&lt;&gt;"",Table1[[#This Row],[ACT_Qty]]&lt;&gt;""),Table1[[#This Row],[ACT_Qty]]-Table1[[#This Row],[Quantity]],""),"")</f>
        <v/>
      </c>
      <c r="V572" s="46"/>
      <c r="W572" s="46"/>
      <c r="X572" s="46"/>
    </row>
    <row r="573" spans="1:24" ht="15" customHeight="1">
      <c r="A573" s="143" t="str">
        <f t="shared" si="33"/>
        <v>AKH12345</v>
      </c>
      <c r="B573" s="260" t="s">
        <v>1646</v>
      </c>
      <c r="C573" s="8" t="s">
        <v>1647</v>
      </c>
      <c r="D573" s="105"/>
      <c r="E573" s="106"/>
      <c r="F573" s="105"/>
      <c r="G573" s="106"/>
      <c r="H573" s="6" t="s">
        <v>1648</v>
      </c>
      <c r="I573" s="6" t="s">
        <v>1233</v>
      </c>
      <c r="J573" s="6" t="s">
        <v>1618</v>
      </c>
      <c r="K573" s="6" t="s">
        <v>1235</v>
      </c>
      <c r="L573" s="207" t="s">
        <v>1235</v>
      </c>
      <c r="M573" s="145" t="str">
        <f t="shared" si="34"/>
        <v>OneCo Networks AS</v>
      </c>
      <c r="N5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3" s="268" t="str">
        <f ca="1">IFERROR(IF(
OR(Table1[[#This Row],[Product category]]="Service items",Table1[[#This Row],[Product category]]="Additional services",Table1[[#This Row],[Product category]]="Additional materials"),
"NOK",IF(($N$3&lt;&gt;""),VLOOKUP(Table1[[#This Row],[Product code]],INDIRECT(Aux!$A$1),6,FALSE),"")),"")</f>
        <v>NOK</v>
      </c>
      <c r="P573" s="41" t="str">
        <f ca="1">IFERROR(IF(AND(Table1[[#This Row],[Quantity]]&lt;&gt;"",Table1[[#This Row],[Currency]]="NOK"),Table1[[#This Row],[Quantity]]*Table1[[#This Row],[Unit Price]],""),"")</f>
        <v/>
      </c>
      <c r="Q573" s="41" t="str">
        <f ca="1">IFERROR(IF(AND(Table1[[#This Row],[ACT_Qty]]&lt;&gt;"",Table1[[#This Row],[Currency]]="NOK"),Table1[[#This Row],[ACT_Qty]]*Table1[[#This Row],[Unit Price]],""),"")</f>
        <v/>
      </c>
      <c r="R573" s="41" t="str">
        <f ca="1">IFERROR(IF(AND(Table1[[#This Row],[Quantity]]&lt;&gt;"",Table1[[#This Row],[Currency]]="EUR"),Table1[[#This Row],[Quantity]]*Table1[[#This Row],[Unit Price]],""),"")</f>
        <v/>
      </c>
      <c r="S573" s="41" t="str">
        <f ca="1">IFERROR(IF(AND(Table1[[#This Row],[ACT_Qty]]&lt;&gt;"",Table1[[#This Row],[Currency]]="EUR"),Table1[[#This Row],[ACT_Qty]]*Table1[[#This Row],[Unit Price]],""),"")</f>
        <v/>
      </c>
      <c r="T573" s="269" t="str">
        <f ca="1">IFERROR(IF(AND(($N$3&lt;&gt;""),INDIRECT(Aux!$D$1)),VLOOKUP(Table1[[#This Row],[Product code]],Aux!B:E,4,FALSE),""),"")</f>
        <v/>
      </c>
      <c r="U573" s="145" t="str">
        <f>IFERROR(IF(OR(Table1[[#This Row],[Quantity]]&lt;&gt;"",Table1[[#This Row],[ACT_Qty]]&lt;&gt;""),Table1[[#This Row],[ACT_Qty]]-Table1[[#This Row],[Quantity]],""),"")</f>
        <v/>
      </c>
      <c r="V573" s="45"/>
      <c r="W573" s="45"/>
      <c r="X573" s="45"/>
    </row>
    <row r="574" spans="1:24" ht="15" customHeight="1">
      <c r="A574" s="233" t="str">
        <f t="shared" si="33"/>
        <v>AKH12345</v>
      </c>
      <c r="B574" s="261" t="s">
        <v>1649</v>
      </c>
      <c r="C574" s="7" t="s">
        <v>1650</v>
      </c>
      <c r="D574" s="105"/>
      <c r="E574" s="89"/>
      <c r="F574" s="68"/>
      <c r="G574" s="89"/>
      <c r="H574" s="5" t="s">
        <v>1651</v>
      </c>
      <c r="I574" s="5" t="s">
        <v>1233</v>
      </c>
      <c r="J574" s="5" t="s">
        <v>1618</v>
      </c>
      <c r="K574" s="5" t="s">
        <v>1235</v>
      </c>
      <c r="L574" s="208" t="s">
        <v>1235</v>
      </c>
      <c r="M574" s="148" t="str">
        <f t="shared" si="34"/>
        <v>OneCo Networks AS</v>
      </c>
      <c r="N57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4" s="270" t="str">
        <f ca="1">IFERROR(IF(
OR(Table1[[#This Row],[Product category]]="Service items",Table1[[#This Row],[Product category]]="Additional services",Table1[[#This Row],[Product category]]="Additional materials"),
"NOK",IF(($N$3&lt;&gt;""),VLOOKUP(Table1[[#This Row],[Product code]],INDIRECT(Aux!$A$1),6,FALSE),"")),"")</f>
        <v>NOK</v>
      </c>
      <c r="P574" s="43" t="str">
        <f ca="1">IFERROR(IF(AND(Table1[[#This Row],[Quantity]]&lt;&gt;"",Table1[[#This Row],[Currency]]="NOK"),Table1[[#This Row],[Quantity]]*Table1[[#This Row],[Unit Price]],""),"")</f>
        <v/>
      </c>
      <c r="Q574" s="43" t="str">
        <f ca="1">IFERROR(IF(AND(Table1[[#This Row],[ACT_Qty]]&lt;&gt;"",Table1[[#This Row],[Currency]]="NOK"),Table1[[#This Row],[ACT_Qty]]*Table1[[#This Row],[Unit Price]],""),"")</f>
        <v/>
      </c>
      <c r="R574" s="43" t="str">
        <f ca="1">IFERROR(IF(AND(Table1[[#This Row],[Quantity]]&lt;&gt;"",Table1[[#This Row],[Currency]]="EUR"),Table1[[#This Row],[Quantity]]*Table1[[#This Row],[Unit Price]],""),"")</f>
        <v/>
      </c>
      <c r="S574" s="43" t="str">
        <f ca="1">IFERROR(IF(AND(Table1[[#This Row],[ACT_Qty]]&lt;&gt;"",Table1[[#This Row],[Currency]]="EUR"),Table1[[#This Row],[ACT_Qty]]*Table1[[#This Row],[Unit Price]],""),"")</f>
        <v/>
      </c>
      <c r="T574" s="271" t="str">
        <f ca="1">IFERROR(IF(AND(($N$3&lt;&gt;""),INDIRECT(Aux!$D$1)),VLOOKUP(Table1[[#This Row],[Product code]],Aux!B:E,4,FALSE),""),"")</f>
        <v/>
      </c>
      <c r="U574" s="148" t="str">
        <f>IFERROR(IF(OR(Table1[[#This Row],[Quantity]]&lt;&gt;"",Table1[[#This Row],[ACT_Qty]]&lt;&gt;""),Table1[[#This Row],[ACT_Qty]]-Table1[[#This Row],[Quantity]],""),"")</f>
        <v/>
      </c>
      <c r="V574" s="46"/>
      <c r="W574" s="46"/>
      <c r="X574" s="46"/>
    </row>
    <row r="575" spans="1:24" ht="15" customHeight="1">
      <c r="A575" s="143" t="str">
        <f t="shared" si="33"/>
        <v>AKH12345</v>
      </c>
      <c r="B575" s="260" t="s">
        <v>1652</v>
      </c>
      <c r="C575" s="8" t="s">
        <v>1653</v>
      </c>
      <c r="D575" s="105"/>
      <c r="E575" s="106"/>
      <c r="F575" s="105"/>
      <c r="G575" s="106"/>
      <c r="H575" s="6" t="s">
        <v>1654</v>
      </c>
      <c r="I575" s="6" t="s">
        <v>1233</v>
      </c>
      <c r="J575" s="6" t="s">
        <v>1618</v>
      </c>
      <c r="K575" s="6" t="s">
        <v>1235</v>
      </c>
      <c r="L575" s="207" t="s">
        <v>1235</v>
      </c>
      <c r="M575" s="145" t="str">
        <f t="shared" si="34"/>
        <v>OneCo Networks AS</v>
      </c>
      <c r="N5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5" s="268" t="str">
        <f ca="1">IFERROR(IF(
OR(Table1[[#This Row],[Product category]]="Service items",Table1[[#This Row],[Product category]]="Additional services",Table1[[#This Row],[Product category]]="Additional materials"),
"NOK",IF(($N$3&lt;&gt;""),VLOOKUP(Table1[[#This Row],[Product code]],INDIRECT(Aux!$A$1),6,FALSE),"")),"")</f>
        <v>NOK</v>
      </c>
      <c r="P575" s="41" t="str">
        <f ca="1">IFERROR(IF(AND(Table1[[#This Row],[Quantity]]&lt;&gt;"",Table1[[#This Row],[Currency]]="NOK"),Table1[[#This Row],[Quantity]]*Table1[[#This Row],[Unit Price]],""),"")</f>
        <v/>
      </c>
      <c r="Q575" s="41" t="str">
        <f ca="1">IFERROR(IF(AND(Table1[[#This Row],[ACT_Qty]]&lt;&gt;"",Table1[[#This Row],[Currency]]="NOK"),Table1[[#This Row],[ACT_Qty]]*Table1[[#This Row],[Unit Price]],""),"")</f>
        <v/>
      </c>
      <c r="R575" s="41" t="str">
        <f ca="1">IFERROR(IF(AND(Table1[[#This Row],[Quantity]]&lt;&gt;"",Table1[[#This Row],[Currency]]="EUR"),Table1[[#This Row],[Quantity]]*Table1[[#This Row],[Unit Price]],""),"")</f>
        <v/>
      </c>
      <c r="S575" s="41" t="str">
        <f ca="1">IFERROR(IF(AND(Table1[[#This Row],[ACT_Qty]]&lt;&gt;"",Table1[[#This Row],[Currency]]="EUR"),Table1[[#This Row],[ACT_Qty]]*Table1[[#This Row],[Unit Price]],""),"")</f>
        <v/>
      </c>
      <c r="T575" s="269" t="str">
        <f ca="1">IFERROR(IF(AND(($N$3&lt;&gt;""),INDIRECT(Aux!$D$1)),VLOOKUP(Table1[[#This Row],[Product code]],Aux!B:E,4,FALSE),""),"")</f>
        <v/>
      </c>
      <c r="U575" s="145" t="str">
        <f>IFERROR(IF(OR(Table1[[#This Row],[Quantity]]&lt;&gt;"",Table1[[#This Row],[ACT_Qty]]&lt;&gt;""),Table1[[#This Row],[ACT_Qty]]-Table1[[#This Row],[Quantity]],""),"")</f>
        <v/>
      </c>
      <c r="V575" s="45"/>
      <c r="W575" s="45"/>
      <c r="X575" s="45"/>
    </row>
    <row r="576" spans="1:24" ht="15" customHeight="1">
      <c r="A576" s="233" t="str">
        <f t="shared" si="33"/>
        <v>AKH12345</v>
      </c>
      <c r="B576" s="261" t="s">
        <v>1655</v>
      </c>
      <c r="C576" s="7" t="s">
        <v>1656</v>
      </c>
      <c r="D576" s="105"/>
      <c r="E576" s="89"/>
      <c r="F576" s="68"/>
      <c r="G576" s="89"/>
      <c r="H576" s="5" t="s">
        <v>1657</v>
      </c>
      <c r="I576" s="5" t="s">
        <v>1233</v>
      </c>
      <c r="J576" s="5" t="s">
        <v>1658</v>
      </c>
      <c r="K576" s="5" t="s">
        <v>1235</v>
      </c>
      <c r="L576" s="208" t="s">
        <v>1235</v>
      </c>
      <c r="M576" s="148" t="str">
        <f t="shared" si="34"/>
        <v>OneCo Networks AS</v>
      </c>
      <c r="N57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6" s="270" t="str">
        <f ca="1">IFERROR(IF(
OR(Table1[[#This Row],[Product category]]="Service items",Table1[[#This Row],[Product category]]="Additional services",Table1[[#This Row],[Product category]]="Additional materials"),
"NOK",IF(($N$3&lt;&gt;""),VLOOKUP(Table1[[#This Row],[Product code]],INDIRECT(Aux!$A$1),6,FALSE),"")),"")</f>
        <v>NOK</v>
      </c>
      <c r="P576" s="43" t="str">
        <f ca="1">IFERROR(IF(AND(Table1[[#This Row],[Quantity]]&lt;&gt;"",Table1[[#This Row],[Currency]]="NOK"),Table1[[#This Row],[Quantity]]*Table1[[#This Row],[Unit Price]],""),"")</f>
        <v/>
      </c>
      <c r="Q576" s="43" t="str">
        <f ca="1">IFERROR(IF(AND(Table1[[#This Row],[ACT_Qty]]&lt;&gt;"",Table1[[#This Row],[Currency]]="NOK"),Table1[[#This Row],[ACT_Qty]]*Table1[[#This Row],[Unit Price]],""),"")</f>
        <v/>
      </c>
      <c r="R576" s="43" t="str">
        <f ca="1">IFERROR(IF(AND(Table1[[#This Row],[Quantity]]&lt;&gt;"",Table1[[#This Row],[Currency]]="EUR"),Table1[[#This Row],[Quantity]]*Table1[[#This Row],[Unit Price]],""),"")</f>
        <v/>
      </c>
      <c r="S576" s="43" t="str">
        <f ca="1">IFERROR(IF(AND(Table1[[#This Row],[ACT_Qty]]&lt;&gt;"",Table1[[#This Row],[Currency]]="EUR"),Table1[[#This Row],[ACT_Qty]]*Table1[[#This Row],[Unit Price]],""),"")</f>
        <v/>
      </c>
      <c r="T576" s="271" t="str">
        <f ca="1">IFERROR(IF(AND(($N$3&lt;&gt;""),INDIRECT(Aux!$D$1)),VLOOKUP(Table1[[#This Row],[Product code]],Aux!B:E,4,FALSE),""),"")</f>
        <v/>
      </c>
      <c r="U576" s="148" t="str">
        <f>IFERROR(IF(OR(Table1[[#This Row],[Quantity]]&lt;&gt;"",Table1[[#This Row],[ACT_Qty]]&lt;&gt;""),Table1[[#This Row],[ACT_Qty]]-Table1[[#This Row],[Quantity]],""),"")</f>
        <v/>
      </c>
      <c r="V576" s="46"/>
      <c r="W576" s="46"/>
      <c r="X576" s="46"/>
    </row>
    <row r="577" spans="1:24" ht="15" customHeight="1">
      <c r="A577" s="143" t="str">
        <f t="shared" ref="A577:A623" si="35">$C$4</f>
        <v>AKH12345</v>
      </c>
      <c r="B577" s="260" t="s">
        <v>1659</v>
      </c>
      <c r="C577" s="8" t="s">
        <v>1660</v>
      </c>
      <c r="D577" s="105"/>
      <c r="E577" s="106"/>
      <c r="F577" s="105"/>
      <c r="G577" s="106"/>
      <c r="H577" s="6" t="s">
        <v>1661</v>
      </c>
      <c r="I577" s="6" t="s">
        <v>1233</v>
      </c>
      <c r="J577" s="6" t="s">
        <v>1658</v>
      </c>
      <c r="K577" s="6" t="s">
        <v>1235</v>
      </c>
      <c r="L577" s="207" t="s">
        <v>1235</v>
      </c>
      <c r="M577" s="145" t="str">
        <f t="shared" si="34"/>
        <v>OneCo Networks AS</v>
      </c>
      <c r="N5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7" s="268" t="str">
        <f ca="1">IFERROR(IF(
OR(Table1[[#This Row],[Product category]]="Service items",Table1[[#This Row],[Product category]]="Additional services",Table1[[#This Row],[Product category]]="Additional materials"),
"NOK",IF(($N$3&lt;&gt;""),VLOOKUP(Table1[[#This Row],[Product code]],INDIRECT(Aux!$A$1),6,FALSE),"")),"")</f>
        <v>NOK</v>
      </c>
      <c r="P577" s="41" t="str">
        <f ca="1">IFERROR(IF(AND(Table1[[#This Row],[Quantity]]&lt;&gt;"",Table1[[#This Row],[Currency]]="NOK"),Table1[[#This Row],[Quantity]]*Table1[[#This Row],[Unit Price]],""),"")</f>
        <v/>
      </c>
      <c r="Q577" s="41" t="str">
        <f ca="1">IFERROR(IF(AND(Table1[[#This Row],[ACT_Qty]]&lt;&gt;"",Table1[[#This Row],[Currency]]="NOK"),Table1[[#This Row],[ACT_Qty]]*Table1[[#This Row],[Unit Price]],""),"")</f>
        <v/>
      </c>
      <c r="R577" s="41" t="str">
        <f ca="1">IFERROR(IF(AND(Table1[[#This Row],[Quantity]]&lt;&gt;"",Table1[[#This Row],[Currency]]="EUR"),Table1[[#This Row],[Quantity]]*Table1[[#This Row],[Unit Price]],""),"")</f>
        <v/>
      </c>
      <c r="S577" s="41" t="str">
        <f ca="1">IFERROR(IF(AND(Table1[[#This Row],[ACT_Qty]]&lt;&gt;"",Table1[[#This Row],[Currency]]="EUR"),Table1[[#This Row],[ACT_Qty]]*Table1[[#This Row],[Unit Price]],""),"")</f>
        <v/>
      </c>
      <c r="T577" s="269" t="str">
        <f ca="1">IFERROR(IF(AND(($N$3&lt;&gt;""),INDIRECT(Aux!$D$1)),VLOOKUP(Table1[[#This Row],[Product code]],Aux!B:E,4,FALSE),""),"")</f>
        <v/>
      </c>
      <c r="U577" s="145" t="str">
        <f>IFERROR(IF(OR(Table1[[#This Row],[Quantity]]&lt;&gt;"",Table1[[#This Row],[ACT_Qty]]&lt;&gt;""),Table1[[#This Row],[ACT_Qty]]-Table1[[#This Row],[Quantity]],""),"")</f>
        <v/>
      </c>
      <c r="V577" s="45"/>
      <c r="W577" s="45"/>
      <c r="X577" s="45"/>
    </row>
    <row r="578" spans="1:24" ht="15" customHeight="1">
      <c r="A578" s="233" t="str">
        <f t="shared" si="35"/>
        <v>AKH12345</v>
      </c>
      <c r="B578" s="261" t="s">
        <v>1662</v>
      </c>
      <c r="C578" s="7" t="s">
        <v>1663</v>
      </c>
      <c r="D578" s="105"/>
      <c r="E578" s="89"/>
      <c r="F578" s="68"/>
      <c r="G578" s="89"/>
      <c r="H578" s="5" t="s">
        <v>1661</v>
      </c>
      <c r="I578" s="5" t="s">
        <v>1233</v>
      </c>
      <c r="J578" s="5" t="s">
        <v>1658</v>
      </c>
      <c r="K578" s="5" t="s">
        <v>1235</v>
      </c>
      <c r="L578" s="208" t="s">
        <v>1235</v>
      </c>
      <c r="M578" s="148" t="str">
        <f t="shared" si="34"/>
        <v>OneCo Networks AS</v>
      </c>
      <c r="N57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8" s="270" t="str">
        <f ca="1">IFERROR(IF(
OR(Table1[[#This Row],[Product category]]="Service items",Table1[[#This Row],[Product category]]="Additional services",Table1[[#This Row],[Product category]]="Additional materials"),
"NOK",IF(($N$3&lt;&gt;""),VLOOKUP(Table1[[#This Row],[Product code]],INDIRECT(Aux!$A$1),6,FALSE),"")),"")</f>
        <v>NOK</v>
      </c>
      <c r="P578" s="43" t="str">
        <f ca="1">IFERROR(IF(AND(Table1[[#This Row],[Quantity]]&lt;&gt;"",Table1[[#This Row],[Currency]]="NOK"),Table1[[#This Row],[Quantity]]*Table1[[#This Row],[Unit Price]],""),"")</f>
        <v/>
      </c>
      <c r="Q578" s="43" t="str">
        <f ca="1">IFERROR(IF(AND(Table1[[#This Row],[ACT_Qty]]&lt;&gt;"",Table1[[#This Row],[Currency]]="NOK"),Table1[[#This Row],[ACT_Qty]]*Table1[[#This Row],[Unit Price]],""),"")</f>
        <v/>
      </c>
      <c r="R578" s="43" t="str">
        <f ca="1">IFERROR(IF(AND(Table1[[#This Row],[Quantity]]&lt;&gt;"",Table1[[#This Row],[Currency]]="EUR"),Table1[[#This Row],[Quantity]]*Table1[[#This Row],[Unit Price]],""),"")</f>
        <v/>
      </c>
      <c r="S578" s="43" t="str">
        <f ca="1">IFERROR(IF(AND(Table1[[#This Row],[ACT_Qty]]&lt;&gt;"",Table1[[#This Row],[Currency]]="EUR"),Table1[[#This Row],[ACT_Qty]]*Table1[[#This Row],[Unit Price]],""),"")</f>
        <v/>
      </c>
      <c r="T578" s="271" t="str">
        <f ca="1">IFERROR(IF(AND(($N$3&lt;&gt;""),INDIRECT(Aux!$D$1)),VLOOKUP(Table1[[#This Row],[Product code]],Aux!B:E,4,FALSE),""),"")</f>
        <v/>
      </c>
      <c r="U578" s="148" t="str">
        <f>IFERROR(IF(OR(Table1[[#This Row],[Quantity]]&lt;&gt;"",Table1[[#This Row],[ACT_Qty]]&lt;&gt;""),Table1[[#This Row],[ACT_Qty]]-Table1[[#This Row],[Quantity]],""),"")</f>
        <v/>
      </c>
      <c r="V578" s="46"/>
      <c r="W578" s="46"/>
      <c r="X578" s="46"/>
    </row>
    <row r="579" spans="1:24" ht="15" customHeight="1">
      <c r="A579" s="143" t="str">
        <f t="shared" si="35"/>
        <v>AKH12345</v>
      </c>
      <c r="B579" s="260" t="s">
        <v>1664</v>
      </c>
      <c r="C579" s="8" t="s">
        <v>1665</v>
      </c>
      <c r="D579" s="105"/>
      <c r="E579" s="106"/>
      <c r="F579" s="105"/>
      <c r="G579" s="106"/>
      <c r="H579" s="6" t="s">
        <v>1666</v>
      </c>
      <c r="I579" s="6" t="s">
        <v>1233</v>
      </c>
      <c r="J579" s="6" t="s">
        <v>1658</v>
      </c>
      <c r="K579" s="6" t="s">
        <v>1235</v>
      </c>
      <c r="L579" s="207" t="s">
        <v>1235</v>
      </c>
      <c r="M579" s="145" t="str">
        <f t="shared" si="34"/>
        <v>OneCo Networks AS</v>
      </c>
      <c r="N5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79" s="268" t="str">
        <f ca="1">IFERROR(IF(
OR(Table1[[#This Row],[Product category]]="Service items",Table1[[#This Row],[Product category]]="Additional services",Table1[[#This Row],[Product category]]="Additional materials"),
"NOK",IF(($N$3&lt;&gt;""),VLOOKUP(Table1[[#This Row],[Product code]],INDIRECT(Aux!$A$1),6,FALSE),"")),"")</f>
        <v>NOK</v>
      </c>
      <c r="P579" s="41" t="str">
        <f ca="1">IFERROR(IF(AND(Table1[[#This Row],[Quantity]]&lt;&gt;"",Table1[[#This Row],[Currency]]="NOK"),Table1[[#This Row],[Quantity]]*Table1[[#This Row],[Unit Price]],""),"")</f>
        <v/>
      </c>
      <c r="Q579" s="41" t="str">
        <f ca="1">IFERROR(IF(AND(Table1[[#This Row],[ACT_Qty]]&lt;&gt;"",Table1[[#This Row],[Currency]]="NOK"),Table1[[#This Row],[ACT_Qty]]*Table1[[#This Row],[Unit Price]],""),"")</f>
        <v/>
      </c>
      <c r="R579" s="41" t="str">
        <f ca="1">IFERROR(IF(AND(Table1[[#This Row],[Quantity]]&lt;&gt;"",Table1[[#This Row],[Currency]]="EUR"),Table1[[#This Row],[Quantity]]*Table1[[#This Row],[Unit Price]],""),"")</f>
        <v/>
      </c>
      <c r="S579" s="41" t="str">
        <f ca="1">IFERROR(IF(AND(Table1[[#This Row],[ACT_Qty]]&lt;&gt;"",Table1[[#This Row],[Currency]]="EUR"),Table1[[#This Row],[ACT_Qty]]*Table1[[#This Row],[Unit Price]],""),"")</f>
        <v/>
      </c>
      <c r="T579" s="269" t="str">
        <f ca="1">IFERROR(IF(AND(($N$3&lt;&gt;""),INDIRECT(Aux!$D$1)),VLOOKUP(Table1[[#This Row],[Product code]],Aux!B:E,4,FALSE),""),"")</f>
        <v/>
      </c>
      <c r="U579" s="145" t="str">
        <f>IFERROR(IF(OR(Table1[[#This Row],[Quantity]]&lt;&gt;"",Table1[[#This Row],[ACT_Qty]]&lt;&gt;""),Table1[[#This Row],[ACT_Qty]]-Table1[[#This Row],[Quantity]],""),"")</f>
        <v/>
      </c>
      <c r="V579" s="45"/>
      <c r="W579" s="45"/>
      <c r="X579" s="45"/>
    </row>
    <row r="580" spans="1:24" ht="15" customHeight="1">
      <c r="A580" s="233" t="str">
        <f t="shared" si="35"/>
        <v>AKH12345</v>
      </c>
      <c r="B580" s="261" t="s">
        <v>1667</v>
      </c>
      <c r="C580" s="7" t="s">
        <v>1668</v>
      </c>
      <c r="D580" s="105"/>
      <c r="E580" s="89"/>
      <c r="F580" s="68"/>
      <c r="G580" s="89"/>
      <c r="H580" s="5" t="s">
        <v>1669</v>
      </c>
      <c r="I580" s="5" t="s">
        <v>1233</v>
      </c>
      <c r="J580" s="5" t="s">
        <v>1670</v>
      </c>
      <c r="K580" s="5" t="s">
        <v>1235</v>
      </c>
      <c r="L580" s="208" t="s">
        <v>1235</v>
      </c>
      <c r="M580" s="148" t="str">
        <f t="shared" ref="M580:M651" si="36">IF($C$3&lt;&gt;"",$C$3,"")</f>
        <v>OneCo Networks AS</v>
      </c>
      <c r="N58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0" s="270" t="str">
        <f ca="1">IFERROR(IF(
OR(Table1[[#This Row],[Product category]]="Service items",Table1[[#This Row],[Product category]]="Additional services",Table1[[#This Row],[Product category]]="Additional materials"),
"NOK",IF(($N$3&lt;&gt;""),VLOOKUP(Table1[[#This Row],[Product code]],INDIRECT(Aux!$A$1),6,FALSE),"")),"")</f>
        <v>NOK</v>
      </c>
      <c r="P580" s="43" t="str">
        <f ca="1">IFERROR(IF(AND(Table1[[#This Row],[Quantity]]&lt;&gt;"",Table1[[#This Row],[Currency]]="NOK"),Table1[[#This Row],[Quantity]]*Table1[[#This Row],[Unit Price]],""),"")</f>
        <v/>
      </c>
      <c r="Q580" s="43" t="str">
        <f ca="1">IFERROR(IF(AND(Table1[[#This Row],[ACT_Qty]]&lt;&gt;"",Table1[[#This Row],[Currency]]="NOK"),Table1[[#This Row],[ACT_Qty]]*Table1[[#This Row],[Unit Price]],""),"")</f>
        <v/>
      </c>
      <c r="R580" s="43" t="str">
        <f ca="1">IFERROR(IF(AND(Table1[[#This Row],[Quantity]]&lt;&gt;"",Table1[[#This Row],[Currency]]="EUR"),Table1[[#This Row],[Quantity]]*Table1[[#This Row],[Unit Price]],""),"")</f>
        <v/>
      </c>
      <c r="S580" s="43" t="str">
        <f ca="1">IFERROR(IF(AND(Table1[[#This Row],[ACT_Qty]]&lt;&gt;"",Table1[[#This Row],[Currency]]="EUR"),Table1[[#This Row],[ACT_Qty]]*Table1[[#This Row],[Unit Price]],""),"")</f>
        <v/>
      </c>
      <c r="T580" s="271" t="str">
        <f ca="1">IFERROR(IF(AND(($N$3&lt;&gt;""),INDIRECT(Aux!$D$1)),VLOOKUP(Table1[[#This Row],[Product code]],Aux!B:E,4,FALSE),""),"")</f>
        <v/>
      </c>
      <c r="U580" s="148" t="str">
        <f>IFERROR(IF(OR(Table1[[#This Row],[Quantity]]&lt;&gt;"",Table1[[#This Row],[ACT_Qty]]&lt;&gt;""),Table1[[#This Row],[ACT_Qty]]-Table1[[#This Row],[Quantity]],""),"")</f>
        <v/>
      </c>
      <c r="V580" s="46"/>
      <c r="W580" s="46"/>
      <c r="X580" s="46"/>
    </row>
    <row r="581" spans="1:24" ht="15" customHeight="1">
      <c r="A581" s="143" t="str">
        <f t="shared" si="35"/>
        <v>AKH12345</v>
      </c>
      <c r="B581" s="260" t="s">
        <v>1671</v>
      </c>
      <c r="C581" s="8" t="s">
        <v>1672</v>
      </c>
      <c r="D581" s="105"/>
      <c r="E581" s="106"/>
      <c r="F581" s="105"/>
      <c r="G581" s="106"/>
      <c r="H581" s="6" t="s">
        <v>1673</v>
      </c>
      <c r="I581" s="6" t="s">
        <v>1233</v>
      </c>
      <c r="J581" s="6" t="s">
        <v>1670</v>
      </c>
      <c r="K581" s="6" t="s">
        <v>1235</v>
      </c>
      <c r="L581" s="207" t="s">
        <v>1235</v>
      </c>
      <c r="M581" s="145" t="str">
        <f t="shared" si="36"/>
        <v>OneCo Networks AS</v>
      </c>
      <c r="N5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1" s="268" t="str">
        <f ca="1">IFERROR(IF(
OR(Table1[[#This Row],[Product category]]="Service items",Table1[[#This Row],[Product category]]="Additional services",Table1[[#This Row],[Product category]]="Additional materials"),
"NOK",IF(($N$3&lt;&gt;""),VLOOKUP(Table1[[#This Row],[Product code]],INDIRECT(Aux!$A$1),6,FALSE),"")),"")</f>
        <v>NOK</v>
      </c>
      <c r="P581" s="41" t="str">
        <f ca="1">IFERROR(IF(AND(Table1[[#This Row],[Quantity]]&lt;&gt;"",Table1[[#This Row],[Currency]]="NOK"),Table1[[#This Row],[Quantity]]*Table1[[#This Row],[Unit Price]],""),"")</f>
        <v/>
      </c>
      <c r="Q581" s="41" t="str">
        <f ca="1">IFERROR(IF(AND(Table1[[#This Row],[ACT_Qty]]&lt;&gt;"",Table1[[#This Row],[Currency]]="NOK"),Table1[[#This Row],[ACT_Qty]]*Table1[[#This Row],[Unit Price]],""),"")</f>
        <v/>
      </c>
      <c r="R581" s="41" t="str">
        <f ca="1">IFERROR(IF(AND(Table1[[#This Row],[Quantity]]&lt;&gt;"",Table1[[#This Row],[Currency]]="EUR"),Table1[[#This Row],[Quantity]]*Table1[[#This Row],[Unit Price]],""),"")</f>
        <v/>
      </c>
      <c r="S581" s="41" t="str">
        <f ca="1">IFERROR(IF(AND(Table1[[#This Row],[ACT_Qty]]&lt;&gt;"",Table1[[#This Row],[Currency]]="EUR"),Table1[[#This Row],[ACT_Qty]]*Table1[[#This Row],[Unit Price]],""),"")</f>
        <v/>
      </c>
      <c r="T581" s="269" t="str">
        <f ca="1">IFERROR(IF(AND(($N$3&lt;&gt;""),INDIRECT(Aux!$D$1)),VLOOKUP(Table1[[#This Row],[Product code]],Aux!B:E,4,FALSE),""),"")</f>
        <v/>
      </c>
      <c r="U581" s="145" t="str">
        <f>IFERROR(IF(OR(Table1[[#This Row],[Quantity]]&lt;&gt;"",Table1[[#This Row],[ACT_Qty]]&lt;&gt;""),Table1[[#This Row],[ACT_Qty]]-Table1[[#This Row],[Quantity]],""),"")</f>
        <v/>
      </c>
      <c r="V581" s="45"/>
      <c r="W581" s="45"/>
      <c r="X581" s="45"/>
    </row>
    <row r="582" spans="1:24" ht="15" customHeight="1">
      <c r="A582" s="233" t="str">
        <f t="shared" si="35"/>
        <v>AKH12345</v>
      </c>
      <c r="B582" s="261" t="s">
        <v>1674</v>
      </c>
      <c r="C582" s="7" t="s">
        <v>1675</v>
      </c>
      <c r="D582" s="105"/>
      <c r="E582" s="89"/>
      <c r="F582" s="68"/>
      <c r="G582" s="89"/>
      <c r="H582" s="5" t="s">
        <v>1676</v>
      </c>
      <c r="I582" s="5" t="s">
        <v>1233</v>
      </c>
      <c r="J582" s="5" t="s">
        <v>1670</v>
      </c>
      <c r="K582" s="5" t="s">
        <v>1235</v>
      </c>
      <c r="L582" s="208" t="s">
        <v>1235</v>
      </c>
      <c r="M582" s="148" t="str">
        <f t="shared" si="36"/>
        <v>OneCo Networks AS</v>
      </c>
      <c r="N58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2" s="270" t="str">
        <f ca="1">IFERROR(IF(
OR(Table1[[#This Row],[Product category]]="Service items",Table1[[#This Row],[Product category]]="Additional services",Table1[[#This Row],[Product category]]="Additional materials"),
"NOK",IF(($N$3&lt;&gt;""),VLOOKUP(Table1[[#This Row],[Product code]],INDIRECT(Aux!$A$1),6,FALSE),"")),"")</f>
        <v>NOK</v>
      </c>
      <c r="P582" s="43" t="str">
        <f ca="1">IFERROR(IF(AND(Table1[[#This Row],[Quantity]]&lt;&gt;"",Table1[[#This Row],[Currency]]="NOK"),Table1[[#This Row],[Quantity]]*Table1[[#This Row],[Unit Price]],""),"")</f>
        <v/>
      </c>
      <c r="Q582" s="43" t="str">
        <f ca="1">IFERROR(IF(AND(Table1[[#This Row],[ACT_Qty]]&lt;&gt;"",Table1[[#This Row],[Currency]]="NOK"),Table1[[#This Row],[ACT_Qty]]*Table1[[#This Row],[Unit Price]],""),"")</f>
        <v/>
      </c>
      <c r="R582" s="43" t="str">
        <f ca="1">IFERROR(IF(AND(Table1[[#This Row],[Quantity]]&lt;&gt;"",Table1[[#This Row],[Currency]]="EUR"),Table1[[#This Row],[Quantity]]*Table1[[#This Row],[Unit Price]],""),"")</f>
        <v/>
      </c>
      <c r="S582" s="43" t="str">
        <f ca="1">IFERROR(IF(AND(Table1[[#This Row],[ACT_Qty]]&lt;&gt;"",Table1[[#This Row],[Currency]]="EUR"),Table1[[#This Row],[ACT_Qty]]*Table1[[#This Row],[Unit Price]],""),"")</f>
        <v/>
      </c>
      <c r="T582" s="271" t="str">
        <f ca="1">IFERROR(IF(AND(($N$3&lt;&gt;""),INDIRECT(Aux!$D$1)),VLOOKUP(Table1[[#This Row],[Product code]],Aux!B:E,4,FALSE),""),"")</f>
        <v/>
      </c>
      <c r="U582" s="148" t="str">
        <f>IFERROR(IF(OR(Table1[[#This Row],[Quantity]]&lt;&gt;"",Table1[[#This Row],[ACT_Qty]]&lt;&gt;""),Table1[[#This Row],[ACT_Qty]]-Table1[[#This Row],[Quantity]],""),"")</f>
        <v/>
      </c>
      <c r="V582" s="46"/>
      <c r="W582" s="46"/>
      <c r="X582" s="46"/>
    </row>
    <row r="583" spans="1:24" ht="15" customHeight="1">
      <c r="A583" s="143" t="str">
        <f t="shared" si="35"/>
        <v>AKH12345</v>
      </c>
      <c r="B583" s="260" t="s">
        <v>1677</v>
      </c>
      <c r="C583" s="8" t="s">
        <v>1678</v>
      </c>
      <c r="D583" s="105"/>
      <c r="E583" s="106"/>
      <c r="F583" s="105"/>
      <c r="G583" s="106"/>
      <c r="H583" s="6" t="s">
        <v>1679</v>
      </c>
      <c r="I583" s="6" t="s">
        <v>1233</v>
      </c>
      <c r="J583" s="6" t="s">
        <v>1670</v>
      </c>
      <c r="K583" s="6" t="s">
        <v>1235</v>
      </c>
      <c r="L583" s="207" t="s">
        <v>1235</v>
      </c>
      <c r="M583" s="145" t="str">
        <f t="shared" si="36"/>
        <v>OneCo Networks AS</v>
      </c>
      <c r="N5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3" s="268" t="str">
        <f ca="1">IFERROR(IF(
OR(Table1[[#This Row],[Product category]]="Service items",Table1[[#This Row],[Product category]]="Additional services",Table1[[#This Row],[Product category]]="Additional materials"),
"NOK",IF(($N$3&lt;&gt;""),VLOOKUP(Table1[[#This Row],[Product code]],INDIRECT(Aux!$A$1),6,FALSE),"")),"")</f>
        <v>NOK</v>
      </c>
      <c r="P583" s="41" t="str">
        <f ca="1">IFERROR(IF(AND(Table1[[#This Row],[Quantity]]&lt;&gt;"",Table1[[#This Row],[Currency]]="NOK"),Table1[[#This Row],[Quantity]]*Table1[[#This Row],[Unit Price]],""),"")</f>
        <v/>
      </c>
      <c r="Q583" s="41" t="str">
        <f ca="1">IFERROR(IF(AND(Table1[[#This Row],[ACT_Qty]]&lt;&gt;"",Table1[[#This Row],[Currency]]="NOK"),Table1[[#This Row],[ACT_Qty]]*Table1[[#This Row],[Unit Price]],""),"")</f>
        <v/>
      </c>
      <c r="R583" s="41" t="str">
        <f ca="1">IFERROR(IF(AND(Table1[[#This Row],[Quantity]]&lt;&gt;"",Table1[[#This Row],[Currency]]="EUR"),Table1[[#This Row],[Quantity]]*Table1[[#This Row],[Unit Price]],""),"")</f>
        <v/>
      </c>
      <c r="S583" s="41" t="str">
        <f ca="1">IFERROR(IF(AND(Table1[[#This Row],[ACT_Qty]]&lt;&gt;"",Table1[[#This Row],[Currency]]="EUR"),Table1[[#This Row],[ACT_Qty]]*Table1[[#This Row],[Unit Price]],""),"")</f>
        <v/>
      </c>
      <c r="T583" s="269" t="str">
        <f ca="1">IFERROR(IF(AND(($N$3&lt;&gt;""),INDIRECT(Aux!$D$1)),VLOOKUP(Table1[[#This Row],[Product code]],Aux!B:E,4,FALSE),""),"")</f>
        <v/>
      </c>
      <c r="U583" s="145" t="str">
        <f>IFERROR(IF(OR(Table1[[#This Row],[Quantity]]&lt;&gt;"",Table1[[#This Row],[ACT_Qty]]&lt;&gt;""),Table1[[#This Row],[ACT_Qty]]-Table1[[#This Row],[Quantity]],""),"")</f>
        <v/>
      </c>
      <c r="V583" s="45"/>
      <c r="W583" s="45"/>
      <c r="X583" s="45"/>
    </row>
    <row r="584" spans="1:24" ht="15" customHeight="1">
      <c r="A584" s="233" t="str">
        <f t="shared" si="35"/>
        <v>AKH12345</v>
      </c>
      <c r="B584" s="261" t="s">
        <v>1680</v>
      </c>
      <c r="C584" s="7" t="s">
        <v>1681</v>
      </c>
      <c r="D584" s="105"/>
      <c r="E584" s="89"/>
      <c r="F584" s="68"/>
      <c r="G584" s="89"/>
      <c r="H584" s="5" t="s">
        <v>1682</v>
      </c>
      <c r="I584" s="5" t="s">
        <v>1233</v>
      </c>
      <c r="J584" s="5" t="s">
        <v>1670</v>
      </c>
      <c r="K584" s="5" t="s">
        <v>1235</v>
      </c>
      <c r="L584" s="208" t="s">
        <v>1235</v>
      </c>
      <c r="M584" s="148" t="str">
        <f t="shared" si="36"/>
        <v>OneCo Networks AS</v>
      </c>
      <c r="N58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4" s="270" t="str">
        <f ca="1">IFERROR(IF(
OR(Table1[[#This Row],[Product category]]="Service items",Table1[[#This Row],[Product category]]="Additional services",Table1[[#This Row],[Product category]]="Additional materials"),
"NOK",IF(($N$3&lt;&gt;""),VLOOKUP(Table1[[#This Row],[Product code]],INDIRECT(Aux!$A$1),6,FALSE),"")),"")</f>
        <v>NOK</v>
      </c>
      <c r="P584" s="43" t="str">
        <f ca="1">IFERROR(IF(AND(Table1[[#This Row],[Quantity]]&lt;&gt;"",Table1[[#This Row],[Currency]]="NOK"),Table1[[#This Row],[Quantity]]*Table1[[#This Row],[Unit Price]],""),"")</f>
        <v/>
      </c>
      <c r="Q584" s="43" t="str">
        <f ca="1">IFERROR(IF(AND(Table1[[#This Row],[ACT_Qty]]&lt;&gt;"",Table1[[#This Row],[Currency]]="NOK"),Table1[[#This Row],[ACT_Qty]]*Table1[[#This Row],[Unit Price]],""),"")</f>
        <v/>
      </c>
      <c r="R584" s="43" t="str">
        <f ca="1">IFERROR(IF(AND(Table1[[#This Row],[Quantity]]&lt;&gt;"",Table1[[#This Row],[Currency]]="EUR"),Table1[[#This Row],[Quantity]]*Table1[[#This Row],[Unit Price]],""),"")</f>
        <v/>
      </c>
      <c r="S584" s="43" t="str">
        <f ca="1">IFERROR(IF(AND(Table1[[#This Row],[ACT_Qty]]&lt;&gt;"",Table1[[#This Row],[Currency]]="EUR"),Table1[[#This Row],[ACT_Qty]]*Table1[[#This Row],[Unit Price]],""),"")</f>
        <v/>
      </c>
      <c r="T584" s="271" t="str">
        <f ca="1">IFERROR(IF(AND(($N$3&lt;&gt;""),INDIRECT(Aux!$D$1)),VLOOKUP(Table1[[#This Row],[Product code]],Aux!B:E,4,FALSE),""),"")</f>
        <v/>
      </c>
      <c r="U584" s="148" t="str">
        <f>IFERROR(IF(OR(Table1[[#This Row],[Quantity]]&lt;&gt;"",Table1[[#This Row],[ACT_Qty]]&lt;&gt;""),Table1[[#This Row],[ACT_Qty]]-Table1[[#This Row],[Quantity]],""),"")</f>
        <v/>
      </c>
      <c r="V584" s="46"/>
      <c r="W584" s="46"/>
      <c r="X584" s="46"/>
    </row>
    <row r="585" spans="1:24" ht="15" customHeight="1">
      <c r="A585" s="143" t="str">
        <f t="shared" si="35"/>
        <v>AKH12345</v>
      </c>
      <c r="B585" s="260" t="s">
        <v>1683</v>
      </c>
      <c r="C585" s="8" t="s">
        <v>1684</v>
      </c>
      <c r="D585" s="105"/>
      <c r="E585" s="106"/>
      <c r="F585" s="105"/>
      <c r="G585" s="106"/>
      <c r="H585" s="6" t="s">
        <v>1685</v>
      </c>
      <c r="I585" s="6" t="s">
        <v>1233</v>
      </c>
      <c r="J585" s="6" t="s">
        <v>1670</v>
      </c>
      <c r="K585" s="6" t="s">
        <v>1235</v>
      </c>
      <c r="L585" s="207" t="s">
        <v>1235</v>
      </c>
      <c r="M585" s="145" t="str">
        <f t="shared" si="36"/>
        <v>OneCo Networks AS</v>
      </c>
      <c r="N5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5" s="268" t="str">
        <f ca="1">IFERROR(IF(
OR(Table1[[#This Row],[Product category]]="Service items",Table1[[#This Row],[Product category]]="Additional services",Table1[[#This Row],[Product category]]="Additional materials"),
"NOK",IF(($N$3&lt;&gt;""),VLOOKUP(Table1[[#This Row],[Product code]],INDIRECT(Aux!$A$1),6,FALSE),"")),"")</f>
        <v>NOK</v>
      </c>
      <c r="P585" s="41" t="str">
        <f ca="1">IFERROR(IF(AND(Table1[[#This Row],[Quantity]]&lt;&gt;"",Table1[[#This Row],[Currency]]="NOK"),Table1[[#This Row],[Quantity]]*Table1[[#This Row],[Unit Price]],""),"")</f>
        <v/>
      </c>
      <c r="Q585" s="41" t="str">
        <f ca="1">IFERROR(IF(AND(Table1[[#This Row],[ACT_Qty]]&lt;&gt;"",Table1[[#This Row],[Currency]]="NOK"),Table1[[#This Row],[ACT_Qty]]*Table1[[#This Row],[Unit Price]],""),"")</f>
        <v/>
      </c>
      <c r="R585" s="41" t="str">
        <f ca="1">IFERROR(IF(AND(Table1[[#This Row],[Quantity]]&lt;&gt;"",Table1[[#This Row],[Currency]]="EUR"),Table1[[#This Row],[Quantity]]*Table1[[#This Row],[Unit Price]],""),"")</f>
        <v/>
      </c>
      <c r="S585" s="41" t="str">
        <f ca="1">IFERROR(IF(AND(Table1[[#This Row],[ACT_Qty]]&lt;&gt;"",Table1[[#This Row],[Currency]]="EUR"),Table1[[#This Row],[ACT_Qty]]*Table1[[#This Row],[Unit Price]],""),"")</f>
        <v/>
      </c>
      <c r="T585" s="269" t="str">
        <f ca="1">IFERROR(IF(AND(($N$3&lt;&gt;""),INDIRECT(Aux!$D$1)),VLOOKUP(Table1[[#This Row],[Product code]],Aux!B:E,4,FALSE),""),"")</f>
        <v/>
      </c>
      <c r="U585" s="145" t="str">
        <f>IFERROR(IF(OR(Table1[[#This Row],[Quantity]]&lt;&gt;"",Table1[[#This Row],[ACT_Qty]]&lt;&gt;""),Table1[[#This Row],[ACT_Qty]]-Table1[[#This Row],[Quantity]],""),"")</f>
        <v/>
      </c>
      <c r="V585" s="45"/>
      <c r="W585" s="45"/>
      <c r="X585" s="45"/>
    </row>
    <row r="586" spans="1:24" ht="15" customHeight="1">
      <c r="A586" s="233" t="str">
        <f t="shared" si="35"/>
        <v>AKH12345</v>
      </c>
      <c r="B586" s="261" t="s">
        <v>1686</v>
      </c>
      <c r="C586" s="7" t="s">
        <v>1687</v>
      </c>
      <c r="D586" s="105"/>
      <c r="E586" s="89"/>
      <c r="F586" s="68"/>
      <c r="G586" s="89"/>
      <c r="H586" s="5" t="s">
        <v>1688</v>
      </c>
      <c r="I586" s="5" t="s">
        <v>1233</v>
      </c>
      <c r="J586" s="5" t="s">
        <v>1670</v>
      </c>
      <c r="K586" s="5" t="s">
        <v>1235</v>
      </c>
      <c r="L586" s="208" t="s">
        <v>1235</v>
      </c>
      <c r="M586" s="148" t="str">
        <f t="shared" si="36"/>
        <v>OneCo Networks AS</v>
      </c>
      <c r="N58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6" s="270" t="str">
        <f ca="1">IFERROR(IF(
OR(Table1[[#This Row],[Product category]]="Service items",Table1[[#This Row],[Product category]]="Additional services",Table1[[#This Row],[Product category]]="Additional materials"),
"NOK",IF(($N$3&lt;&gt;""),VLOOKUP(Table1[[#This Row],[Product code]],INDIRECT(Aux!$A$1),6,FALSE),"")),"")</f>
        <v>NOK</v>
      </c>
      <c r="P586" s="43" t="str">
        <f ca="1">IFERROR(IF(AND(Table1[[#This Row],[Quantity]]&lt;&gt;"",Table1[[#This Row],[Currency]]="NOK"),Table1[[#This Row],[Quantity]]*Table1[[#This Row],[Unit Price]],""),"")</f>
        <v/>
      </c>
      <c r="Q586" s="43" t="str">
        <f ca="1">IFERROR(IF(AND(Table1[[#This Row],[ACT_Qty]]&lt;&gt;"",Table1[[#This Row],[Currency]]="NOK"),Table1[[#This Row],[ACT_Qty]]*Table1[[#This Row],[Unit Price]],""),"")</f>
        <v/>
      </c>
      <c r="R586" s="43" t="str">
        <f ca="1">IFERROR(IF(AND(Table1[[#This Row],[Quantity]]&lt;&gt;"",Table1[[#This Row],[Currency]]="EUR"),Table1[[#This Row],[Quantity]]*Table1[[#This Row],[Unit Price]],""),"")</f>
        <v/>
      </c>
      <c r="S586" s="43" t="str">
        <f ca="1">IFERROR(IF(AND(Table1[[#This Row],[ACT_Qty]]&lt;&gt;"",Table1[[#This Row],[Currency]]="EUR"),Table1[[#This Row],[ACT_Qty]]*Table1[[#This Row],[Unit Price]],""),"")</f>
        <v/>
      </c>
      <c r="T586" s="271" t="str">
        <f ca="1">IFERROR(IF(AND(($N$3&lt;&gt;""),INDIRECT(Aux!$D$1)),VLOOKUP(Table1[[#This Row],[Product code]],Aux!B:E,4,FALSE),""),"")</f>
        <v/>
      </c>
      <c r="U586" s="148" t="str">
        <f>IFERROR(IF(OR(Table1[[#This Row],[Quantity]]&lt;&gt;"",Table1[[#This Row],[ACT_Qty]]&lt;&gt;""),Table1[[#This Row],[ACT_Qty]]-Table1[[#This Row],[Quantity]],""),"")</f>
        <v/>
      </c>
      <c r="V586" s="46"/>
      <c r="W586" s="46"/>
      <c r="X586" s="46"/>
    </row>
    <row r="587" spans="1:24" ht="15" customHeight="1">
      <c r="A587" s="143" t="str">
        <f t="shared" si="35"/>
        <v>AKH12345</v>
      </c>
      <c r="B587" s="260" t="s">
        <v>1689</v>
      </c>
      <c r="C587" s="8" t="s">
        <v>1690</v>
      </c>
      <c r="D587" s="105"/>
      <c r="E587" s="106" t="s">
        <v>1691</v>
      </c>
      <c r="F587" s="105"/>
      <c r="G587" s="106"/>
      <c r="H587" s="6" t="s">
        <v>1692</v>
      </c>
      <c r="I587" s="6" t="s">
        <v>1233</v>
      </c>
      <c r="J587" s="6" t="s">
        <v>1670</v>
      </c>
      <c r="K587" s="6" t="s">
        <v>1235</v>
      </c>
      <c r="L587" s="207" t="s">
        <v>1235</v>
      </c>
      <c r="M587" s="145" t="str">
        <f t="shared" si="36"/>
        <v>OneCo Networks AS</v>
      </c>
      <c r="N5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7" s="268" t="str">
        <f ca="1">IFERROR(IF(
OR(Table1[[#This Row],[Product category]]="Service items",Table1[[#This Row],[Product category]]="Additional services",Table1[[#This Row],[Product category]]="Additional materials"),
"NOK",IF(($N$3&lt;&gt;""),VLOOKUP(Table1[[#This Row],[Product code]],INDIRECT(Aux!$A$1),6,FALSE),"")),"")</f>
        <v>NOK</v>
      </c>
      <c r="P587" s="41" t="str">
        <f ca="1">IFERROR(IF(AND(Table1[[#This Row],[Quantity]]&lt;&gt;"",Table1[[#This Row],[Currency]]="NOK"),Table1[[#This Row],[Quantity]]*Table1[[#This Row],[Unit Price]],""),"")</f>
        <v/>
      </c>
      <c r="Q587" s="41" t="str">
        <f ca="1">IFERROR(IF(AND(Table1[[#This Row],[ACT_Qty]]&lt;&gt;"",Table1[[#This Row],[Currency]]="NOK"),Table1[[#This Row],[ACT_Qty]]*Table1[[#This Row],[Unit Price]],""),"")</f>
        <v/>
      </c>
      <c r="R587" s="41" t="str">
        <f ca="1">IFERROR(IF(AND(Table1[[#This Row],[Quantity]]&lt;&gt;"",Table1[[#This Row],[Currency]]="EUR"),Table1[[#This Row],[Quantity]]*Table1[[#This Row],[Unit Price]],""),"")</f>
        <v/>
      </c>
      <c r="S587" s="41" t="str">
        <f ca="1">IFERROR(IF(AND(Table1[[#This Row],[ACT_Qty]]&lt;&gt;"",Table1[[#This Row],[Currency]]="EUR"),Table1[[#This Row],[ACT_Qty]]*Table1[[#This Row],[Unit Price]],""),"")</f>
        <v/>
      </c>
      <c r="T587" s="269" t="str">
        <f ca="1">IFERROR(IF(AND(($N$3&lt;&gt;""),INDIRECT(Aux!$D$1)),VLOOKUP(Table1[[#This Row],[Product code]],Aux!B:E,4,FALSE),""),"")</f>
        <v/>
      </c>
      <c r="U587" s="145" t="str">
        <f>IFERROR(IF(OR(Table1[[#This Row],[Quantity]]&lt;&gt;"",Table1[[#This Row],[ACT_Qty]]&lt;&gt;""),Table1[[#This Row],[ACT_Qty]]-Table1[[#This Row],[Quantity]],""),"")</f>
        <v/>
      </c>
      <c r="V587" s="45"/>
      <c r="W587" s="45"/>
      <c r="X587" s="45"/>
    </row>
    <row r="588" spans="1:24" ht="15" customHeight="1">
      <c r="A588" s="233" t="str">
        <f t="shared" si="35"/>
        <v>AKH12345</v>
      </c>
      <c r="B588" s="261" t="s">
        <v>1693</v>
      </c>
      <c r="C588" s="7" t="s">
        <v>1694</v>
      </c>
      <c r="D588" s="105"/>
      <c r="E588" s="89"/>
      <c r="F588" s="68"/>
      <c r="G588" s="89"/>
      <c r="H588" s="5" t="s">
        <v>1695</v>
      </c>
      <c r="I588" s="5" t="s">
        <v>1233</v>
      </c>
      <c r="J588" s="5" t="s">
        <v>1670</v>
      </c>
      <c r="K588" s="5" t="s">
        <v>1235</v>
      </c>
      <c r="L588" s="208" t="s">
        <v>1235</v>
      </c>
      <c r="M588" s="148" t="str">
        <f t="shared" si="36"/>
        <v>OneCo Networks AS</v>
      </c>
      <c r="N58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8" s="270" t="str">
        <f ca="1">IFERROR(IF(
OR(Table1[[#This Row],[Product category]]="Service items",Table1[[#This Row],[Product category]]="Additional services",Table1[[#This Row],[Product category]]="Additional materials"),
"NOK",IF(($N$3&lt;&gt;""),VLOOKUP(Table1[[#This Row],[Product code]],INDIRECT(Aux!$A$1),6,FALSE),"")),"")</f>
        <v>NOK</v>
      </c>
      <c r="P588" s="43" t="str">
        <f ca="1">IFERROR(IF(AND(Table1[[#This Row],[Quantity]]&lt;&gt;"",Table1[[#This Row],[Currency]]="NOK"),Table1[[#This Row],[Quantity]]*Table1[[#This Row],[Unit Price]],""),"")</f>
        <v/>
      </c>
      <c r="Q588" s="43" t="str">
        <f ca="1">IFERROR(IF(AND(Table1[[#This Row],[ACT_Qty]]&lt;&gt;"",Table1[[#This Row],[Currency]]="NOK"),Table1[[#This Row],[ACT_Qty]]*Table1[[#This Row],[Unit Price]],""),"")</f>
        <v/>
      </c>
      <c r="R588" s="43" t="str">
        <f ca="1">IFERROR(IF(AND(Table1[[#This Row],[Quantity]]&lt;&gt;"",Table1[[#This Row],[Currency]]="EUR"),Table1[[#This Row],[Quantity]]*Table1[[#This Row],[Unit Price]],""),"")</f>
        <v/>
      </c>
      <c r="S588" s="43" t="str">
        <f ca="1">IFERROR(IF(AND(Table1[[#This Row],[ACT_Qty]]&lt;&gt;"",Table1[[#This Row],[Currency]]="EUR"),Table1[[#This Row],[ACT_Qty]]*Table1[[#This Row],[Unit Price]],""),"")</f>
        <v/>
      </c>
      <c r="T588" s="271" t="str">
        <f ca="1">IFERROR(IF(AND(($N$3&lt;&gt;""),INDIRECT(Aux!$D$1)),VLOOKUP(Table1[[#This Row],[Product code]],Aux!B:E,4,FALSE),""),"")</f>
        <v/>
      </c>
      <c r="U588" s="148" t="str">
        <f>IFERROR(IF(OR(Table1[[#This Row],[Quantity]]&lt;&gt;"",Table1[[#This Row],[ACT_Qty]]&lt;&gt;""),Table1[[#This Row],[ACT_Qty]]-Table1[[#This Row],[Quantity]],""),"")</f>
        <v/>
      </c>
      <c r="V588" s="46"/>
      <c r="W588" s="46"/>
      <c r="X588" s="46"/>
    </row>
    <row r="589" spans="1:24" ht="15" customHeight="1">
      <c r="A589" s="143" t="str">
        <f t="shared" si="35"/>
        <v>AKH12345</v>
      </c>
      <c r="B589" s="260" t="s">
        <v>1696</v>
      </c>
      <c r="C589" s="8" t="s">
        <v>1697</v>
      </c>
      <c r="D589" s="105"/>
      <c r="E589" s="106"/>
      <c r="F589" s="105"/>
      <c r="G589" s="106"/>
      <c r="H589" s="6" t="s">
        <v>1698</v>
      </c>
      <c r="I589" s="6" t="s">
        <v>1233</v>
      </c>
      <c r="J589" s="6" t="s">
        <v>1670</v>
      </c>
      <c r="K589" s="6" t="s">
        <v>1235</v>
      </c>
      <c r="L589" s="207" t="s">
        <v>1235</v>
      </c>
      <c r="M589" s="145" t="str">
        <f t="shared" si="36"/>
        <v>OneCo Networks AS</v>
      </c>
      <c r="N5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89" s="268" t="str">
        <f ca="1">IFERROR(IF(
OR(Table1[[#This Row],[Product category]]="Service items",Table1[[#This Row],[Product category]]="Additional services",Table1[[#This Row],[Product category]]="Additional materials"),
"NOK",IF(($N$3&lt;&gt;""),VLOOKUP(Table1[[#This Row],[Product code]],INDIRECT(Aux!$A$1),6,FALSE),"")),"")</f>
        <v>NOK</v>
      </c>
      <c r="P589" s="41" t="str">
        <f ca="1">IFERROR(IF(AND(Table1[[#This Row],[Quantity]]&lt;&gt;"",Table1[[#This Row],[Currency]]="NOK"),Table1[[#This Row],[Quantity]]*Table1[[#This Row],[Unit Price]],""),"")</f>
        <v/>
      </c>
      <c r="Q589" s="41" t="str">
        <f ca="1">IFERROR(IF(AND(Table1[[#This Row],[ACT_Qty]]&lt;&gt;"",Table1[[#This Row],[Currency]]="NOK"),Table1[[#This Row],[ACT_Qty]]*Table1[[#This Row],[Unit Price]],""),"")</f>
        <v/>
      </c>
      <c r="R589" s="41" t="str">
        <f ca="1">IFERROR(IF(AND(Table1[[#This Row],[Quantity]]&lt;&gt;"",Table1[[#This Row],[Currency]]="EUR"),Table1[[#This Row],[Quantity]]*Table1[[#This Row],[Unit Price]],""),"")</f>
        <v/>
      </c>
      <c r="S589" s="41" t="str">
        <f ca="1">IFERROR(IF(AND(Table1[[#This Row],[ACT_Qty]]&lt;&gt;"",Table1[[#This Row],[Currency]]="EUR"),Table1[[#This Row],[ACT_Qty]]*Table1[[#This Row],[Unit Price]],""),"")</f>
        <v/>
      </c>
      <c r="T589" s="269" t="str">
        <f ca="1">IFERROR(IF(AND(($N$3&lt;&gt;""),INDIRECT(Aux!$D$1)),VLOOKUP(Table1[[#This Row],[Product code]],Aux!B:E,4,FALSE),""),"")</f>
        <v/>
      </c>
      <c r="U589" s="145" t="str">
        <f>IFERROR(IF(OR(Table1[[#This Row],[Quantity]]&lt;&gt;"",Table1[[#This Row],[ACT_Qty]]&lt;&gt;""),Table1[[#This Row],[ACT_Qty]]-Table1[[#This Row],[Quantity]],""),"")</f>
        <v/>
      </c>
      <c r="V589" s="45"/>
      <c r="W589" s="45"/>
      <c r="X589" s="45"/>
    </row>
    <row r="590" spans="1:24" ht="15" customHeight="1">
      <c r="A590" s="233" t="str">
        <f t="shared" si="35"/>
        <v>AKH12345</v>
      </c>
      <c r="B590" s="261" t="s">
        <v>1699</v>
      </c>
      <c r="C590" s="7" t="s">
        <v>1700</v>
      </c>
      <c r="D590" s="105"/>
      <c r="E590" s="89"/>
      <c r="F590" s="68"/>
      <c r="G590" s="89"/>
      <c r="H590" s="5" t="s">
        <v>1701</v>
      </c>
      <c r="I590" s="5" t="s">
        <v>1233</v>
      </c>
      <c r="J590" s="5" t="s">
        <v>1670</v>
      </c>
      <c r="K590" s="5" t="s">
        <v>1235</v>
      </c>
      <c r="L590" s="208" t="s">
        <v>1235</v>
      </c>
      <c r="M590" s="148" t="str">
        <f t="shared" si="36"/>
        <v>OneCo Networks AS</v>
      </c>
      <c r="N59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0" s="270" t="str">
        <f ca="1">IFERROR(IF(
OR(Table1[[#This Row],[Product category]]="Service items",Table1[[#This Row],[Product category]]="Additional services",Table1[[#This Row],[Product category]]="Additional materials"),
"NOK",IF(($N$3&lt;&gt;""),VLOOKUP(Table1[[#This Row],[Product code]],INDIRECT(Aux!$A$1),6,FALSE),"")),"")</f>
        <v>NOK</v>
      </c>
      <c r="P590" s="43" t="str">
        <f ca="1">IFERROR(IF(AND(Table1[[#This Row],[Quantity]]&lt;&gt;"",Table1[[#This Row],[Currency]]="NOK"),Table1[[#This Row],[Quantity]]*Table1[[#This Row],[Unit Price]],""),"")</f>
        <v/>
      </c>
      <c r="Q590" s="43" t="str">
        <f ca="1">IFERROR(IF(AND(Table1[[#This Row],[ACT_Qty]]&lt;&gt;"",Table1[[#This Row],[Currency]]="NOK"),Table1[[#This Row],[ACT_Qty]]*Table1[[#This Row],[Unit Price]],""),"")</f>
        <v/>
      </c>
      <c r="R590" s="43" t="str">
        <f ca="1">IFERROR(IF(AND(Table1[[#This Row],[Quantity]]&lt;&gt;"",Table1[[#This Row],[Currency]]="EUR"),Table1[[#This Row],[Quantity]]*Table1[[#This Row],[Unit Price]],""),"")</f>
        <v/>
      </c>
      <c r="S590" s="43" t="str">
        <f ca="1">IFERROR(IF(AND(Table1[[#This Row],[ACT_Qty]]&lt;&gt;"",Table1[[#This Row],[Currency]]="EUR"),Table1[[#This Row],[ACT_Qty]]*Table1[[#This Row],[Unit Price]],""),"")</f>
        <v/>
      </c>
      <c r="T590" s="271" t="str">
        <f ca="1">IFERROR(IF(AND(($N$3&lt;&gt;""),INDIRECT(Aux!$D$1)),VLOOKUP(Table1[[#This Row],[Product code]],Aux!B:E,4,FALSE),""),"")</f>
        <v/>
      </c>
      <c r="U590" s="148" t="str">
        <f>IFERROR(IF(OR(Table1[[#This Row],[Quantity]]&lt;&gt;"",Table1[[#This Row],[ACT_Qty]]&lt;&gt;""),Table1[[#This Row],[ACT_Qty]]-Table1[[#This Row],[Quantity]],""),"")</f>
        <v/>
      </c>
      <c r="V590" s="46"/>
      <c r="W590" s="46"/>
      <c r="X590" s="46"/>
    </row>
    <row r="591" spans="1:24" ht="15" customHeight="1">
      <c r="A591" s="143" t="str">
        <f t="shared" si="35"/>
        <v>AKH12345</v>
      </c>
      <c r="B591" s="260" t="s">
        <v>1702</v>
      </c>
      <c r="C591" s="8" t="s">
        <v>1703</v>
      </c>
      <c r="D591" s="105"/>
      <c r="E591" s="106" t="s">
        <v>1704</v>
      </c>
      <c r="F591" s="105"/>
      <c r="G591" s="106"/>
      <c r="H591" s="6" t="s">
        <v>1705</v>
      </c>
      <c r="I591" s="6" t="s">
        <v>1233</v>
      </c>
      <c r="J591" s="6" t="s">
        <v>1670</v>
      </c>
      <c r="K591" s="6" t="s">
        <v>1235</v>
      </c>
      <c r="L591" s="207" t="s">
        <v>1235</v>
      </c>
      <c r="M591" s="145" t="str">
        <f t="shared" si="36"/>
        <v>OneCo Networks AS</v>
      </c>
      <c r="N5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1" s="268" t="str">
        <f ca="1">IFERROR(IF(
OR(Table1[[#This Row],[Product category]]="Service items",Table1[[#This Row],[Product category]]="Additional services",Table1[[#This Row],[Product category]]="Additional materials"),
"NOK",IF(($N$3&lt;&gt;""),VLOOKUP(Table1[[#This Row],[Product code]],INDIRECT(Aux!$A$1),6,FALSE),"")),"")</f>
        <v>NOK</v>
      </c>
      <c r="P591" s="41" t="str">
        <f ca="1">IFERROR(IF(AND(Table1[[#This Row],[Quantity]]&lt;&gt;"",Table1[[#This Row],[Currency]]="NOK"),Table1[[#This Row],[Quantity]]*Table1[[#This Row],[Unit Price]],""),"")</f>
        <v/>
      </c>
      <c r="Q591" s="41" t="str">
        <f ca="1">IFERROR(IF(AND(Table1[[#This Row],[ACT_Qty]]&lt;&gt;"",Table1[[#This Row],[Currency]]="NOK"),Table1[[#This Row],[ACT_Qty]]*Table1[[#This Row],[Unit Price]],""),"")</f>
        <v/>
      </c>
      <c r="R591" s="41" t="str">
        <f ca="1">IFERROR(IF(AND(Table1[[#This Row],[Quantity]]&lt;&gt;"",Table1[[#This Row],[Currency]]="EUR"),Table1[[#This Row],[Quantity]]*Table1[[#This Row],[Unit Price]],""),"")</f>
        <v/>
      </c>
      <c r="S591" s="41" t="str">
        <f ca="1">IFERROR(IF(AND(Table1[[#This Row],[ACT_Qty]]&lt;&gt;"",Table1[[#This Row],[Currency]]="EUR"),Table1[[#This Row],[ACT_Qty]]*Table1[[#This Row],[Unit Price]],""),"")</f>
        <v/>
      </c>
      <c r="T591" s="269" t="str">
        <f ca="1">IFERROR(IF(AND(($N$3&lt;&gt;""),INDIRECT(Aux!$D$1)),VLOOKUP(Table1[[#This Row],[Product code]],Aux!B:E,4,FALSE),""),"")</f>
        <v/>
      </c>
      <c r="U591" s="145" t="str">
        <f>IFERROR(IF(OR(Table1[[#This Row],[Quantity]]&lt;&gt;"",Table1[[#This Row],[ACT_Qty]]&lt;&gt;""),Table1[[#This Row],[ACT_Qty]]-Table1[[#This Row],[Quantity]],""),"")</f>
        <v/>
      </c>
      <c r="V591" s="45"/>
      <c r="W591" s="45"/>
      <c r="X591" s="45"/>
    </row>
    <row r="592" spans="1:24" ht="15" customHeight="1">
      <c r="A592" s="233" t="str">
        <f t="shared" si="35"/>
        <v>AKH12345</v>
      </c>
      <c r="B592" s="261" t="s">
        <v>1706</v>
      </c>
      <c r="C592" s="7" t="s">
        <v>1707</v>
      </c>
      <c r="D592" s="105"/>
      <c r="E592" s="89"/>
      <c r="F592" s="68"/>
      <c r="G592" s="89"/>
      <c r="H592" s="5" t="s">
        <v>1708</v>
      </c>
      <c r="I592" s="5" t="s">
        <v>1233</v>
      </c>
      <c r="J592" s="5" t="s">
        <v>1670</v>
      </c>
      <c r="K592" s="5" t="s">
        <v>1235</v>
      </c>
      <c r="L592" s="208" t="s">
        <v>1235</v>
      </c>
      <c r="M592" s="148" t="str">
        <f t="shared" si="36"/>
        <v>OneCo Networks AS</v>
      </c>
      <c r="N59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2" s="270" t="str">
        <f ca="1">IFERROR(IF(
OR(Table1[[#This Row],[Product category]]="Service items",Table1[[#This Row],[Product category]]="Additional services",Table1[[#This Row],[Product category]]="Additional materials"),
"NOK",IF(($N$3&lt;&gt;""),VLOOKUP(Table1[[#This Row],[Product code]],INDIRECT(Aux!$A$1),6,FALSE),"")),"")</f>
        <v>NOK</v>
      </c>
      <c r="P592" s="43" t="str">
        <f ca="1">IFERROR(IF(AND(Table1[[#This Row],[Quantity]]&lt;&gt;"",Table1[[#This Row],[Currency]]="NOK"),Table1[[#This Row],[Quantity]]*Table1[[#This Row],[Unit Price]],""),"")</f>
        <v/>
      </c>
      <c r="Q592" s="43" t="str">
        <f ca="1">IFERROR(IF(AND(Table1[[#This Row],[ACT_Qty]]&lt;&gt;"",Table1[[#This Row],[Currency]]="NOK"),Table1[[#This Row],[ACT_Qty]]*Table1[[#This Row],[Unit Price]],""),"")</f>
        <v/>
      </c>
      <c r="R592" s="43" t="str">
        <f ca="1">IFERROR(IF(AND(Table1[[#This Row],[Quantity]]&lt;&gt;"",Table1[[#This Row],[Currency]]="EUR"),Table1[[#This Row],[Quantity]]*Table1[[#This Row],[Unit Price]],""),"")</f>
        <v/>
      </c>
      <c r="S592" s="43" t="str">
        <f ca="1">IFERROR(IF(AND(Table1[[#This Row],[ACT_Qty]]&lt;&gt;"",Table1[[#This Row],[Currency]]="EUR"),Table1[[#This Row],[ACT_Qty]]*Table1[[#This Row],[Unit Price]],""),"")</f>
        <v/>
      </c>
      <c r="T592" s="271" t="str">
        <f ca="1">IFERROR(IF(AND(($N$3&lt;&gt;""),INDIRECT(Aux!$D$1)),VLOOKUP(Table1[[#This Row],[Product code]],Aux!B:E,4,FALSE),""),"")</f>
        <v/>
      </c>
      <c r="U592" s="148" t="str">
        <f>IFERROR(IF(OR(Table1[[#This Row],[Quantity]]&lt;&gt;"",Table1[[#This Row],[ACT_Qty]]&lt;&gt;""),Table1[[#This Row],[ACT_Qty]]-Table1[[#This Row],[Quantity]],""),"")</f>
        <v/>
      </c>
      <c r="V592" s="46"/>
      <c r="W592" s="46"/>
      <c r="X592" s="46"/>
    </row>
    <row r="593" spans="1:24" ht="15" customHeight="1">
      <c r="A593" s="143" t="str">
        <f t="shared" si="35"/>
        <v>AKH12345</v>
      </c>
      <c r="B593" s="260" t="s">
        <v>1709</v>
      </c>
      <c r="C593" s="8" t="s">
        <v>1710</v>
      </c>
      <c r="D593" s="105"/>
      <c r="E593" s="106" t="s">
        <v>1711</v>
      </c>
      <c r="F593" s="105"/>
      <c r="G593" s="106"/>
      <c r="H593" s="6" t="s">
        <v>1712</v>
      </c>
      <c r="I593" s="6" t="s">
        <v>1233</v>
      </c>
      <c r="J593" s="6" t="s">
        <v>1670</v>
      </c>
      <c r="K593" s="6" t="s">
        <v>1235</v>
      </c>
      <c r="L593" s="207" t="s">
        <v>1235</v>
      </c>
      <c r="M593" s="145" t="str">
        <f t="shared" si="36"/>
        <v>OneCo Networks AS</v>
      </c>
      <c r="N5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3" s="268" t="str">
        <f ca="1">IFERROR(IF(
OR(Table1[[#This Row],[Product category]]="Service items",Table1[[#This Row],[Product category]]="Additional services",Table1[[#This Row],[Product category]]="Additional materials"),
"NOK",IF(($N$3&lt;&gt;""),VLOOKUP(Table1[[#This Row],[Product code]],INDIRECT(Aux!$A$1),6,FALSE),"")),"")</f>
        <v>NOK</v>
      </c>
      <c r="P593" s="41" t="str">
        <f ca="1">IFERROR(IF(AND(Table1[[#This Row],[Quantity]]&lt;&gt;"",Table1[[#This Row],[Currency]]="NOK"),Table1[[#This Row],[Quantity]]*Table1[[#This Row],[Unit Price]],""),"")</f>
        <v/>
      </c>
      <c r="Q593" s="41" t="str">
        <f ca="1">IFERROR(IF(AND(Table1[[#This Row],[ACT_Qty]]&lt;&gt;"",Table1[[#This Row],[Currency]]="NOK"),Table1[[#This Row],[ACT_Qty]]*Table1[[#This Row],[Unit Price]],""),"")</f>
        <v/>
      </c>
      <c r="R593" s="41" t="str">
        <f ca="1">IFERROR(IF(AND(Table1[[#This Row],[Quantity]]&lt;&gt;"",Table1[[#This Row],[Currency]]="EUR"),Table1[[#This Row],[Quantity]]*Table1[[#This Row],[Unit Price]],""),"")</f>
        <v/>
      </c>
      <c r="S593" s="41" t="str">
        <f ca="1">IFERROR(IF(AND(Table1[[#This Row],[ACT_Qty]]&lt;&gt;"",Table1[[#This Row],[Currency]]="EUR"),Table1[[#This Row],[ACT_Qty]]*Table1[[#This Row],[Unit Price]],""),"")</f>
        <v/>
      </c>
      <c r="T593" s="269" t="str">
        <f ca="1">IFERROR(IF(AND(($N$3&lt;&gt;""),INDIRECT(Aux!$D$1)),VLOOKUP(Table1[[#This Row],[Product code]],Aux!B:E,4,FALSE),""),"")</f>
        <v/>
      </c>
      <c r="U593" s="145" t="str">
        <f>IFERROR(IF(OR(Table1[[#This Row],[Quantity]]&lt;&gt;"",Table1[[#This Row],[ACT_Qty]]&lt;&gt;""),Table1[[#This Row],[ACT_Qty]]-Table1[[#This Row],[Quantity]],""),"")</f>
        <v/>
      </c>
      <c r="V593" s="45"/>
      <c r="W593" s="45"/>
      <c r="X593" s="45"/>
    </row>
    <row r="594" spans="1:24" ht="15" customHeight="1">
      <c r="A594" s="233" t="str">
        <f t="shared" si="35"/>
        <v>AKH12345</v>
      </c>
      <c r="B594" s="261" t="s">
        <v>1713</v>
      </c>
      <c r="C594" s="7" t="s">
        <v>1714</v>
      </c>
      <c r="D594" s="105"/>
      <c r="E594" s="89" t="s">
        <v>1715</v>
      </c>
      <c r="F594" s="68"/>
      <c r="G594" s="89"/>
      <c r="H594" s="5" t="s">
        <v>1716</v>
      </c>
      <c r="I594" s="5" t="s">
        <v>1233</v>
      </c>
      <c r="J594" s="5" t="s">
        <v>1670</v>
      </c>
      <c r="K594" s="5" t="s">
        <v>1235</v>
      </c>
      <c r="L594" s="208" t="s">
        <v>1235</v>
      </c>
      <c r="M594" s="148" t="str">
        <f t="shared" si="36"/>
        <v>OneCo Networks AS</v>
      </c>
      <c r="N59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4" s="270" t="str">
        <f ca="1">IFERROR(IF(
OR(Table1[[#This Row],[Product category]]="Service items",Table1[[#This Row],[Product category]]="Additional services",Table1[[#This Row],[Product category]]="Additional materials"),
"NOK",IF(($N$3&lt;&gt;""),VLOOKUP(Table1[[#This Row],[Product code]],INDIRECT(Aux!$A$1),6,FALSE),"")),"")</f>
        <v>NOK</v>
      </c>
      <c r="P594" s="43" t="str">
        <f ca="1">IFERROR(IF(AND(Table1[[#This Row],[Quantity]]&lt;&gt;"",Table1[[#This Row],[Currency]]="NOK"),Table1[[#This Row],[Quantity]]*Table1[[#This Row],[Unit Price]],""),"")</f>
        <v/>
      </c>
      <c r="Q594" s="43" t="str">
        <f ca="1">IFERROR(IF(AND(Table1[[#This Row],[ACT_Qty]]&lt;&gt;"",Table1[[#This Row],[Currency]]="NOK"),Table1[[#This Row],[ACT_Qty]]*Table1[[#This Row],[Unit Price]],""),"")</f>
        <v/>
      </c>
      <c r="R594" s="43" t="str">
        <f ca="1">IFERROR(IF(AND(Table1[[#This Row],[Quantity]]&lt;&gt;"",Table1[[#This Row],[Currency]]="EUR"),Table1[[#This Row],[Quantity]]*Table1[[#This Row],[Unit Price]],""),"")</f>
        <v/>
      </c>
      <c r="S594" s="43" t="str">
        <f ca="1">IFERROR(IF(AND(Table1[[#This Row],[ACT_Qty]]&lt;&gt;"",Table1[[#This Row],[Currency]]="EUR"),Table1[[#This Row],[ACT_Qty]]*Table1[[#This Row],[Unit Price]],""),"")</f>
        <v/>
      </c>
      <c r="T594" s="271" t="str">
        <f ca="1">IFERROR(IF(AND(($N$3&lt;&gt;""),INDIRECT(Aux!$D$1)),VLOOKUP(Table1[[#This Row],[Product code]],Aux!B:E,4,FALSE),""),"")</f>
        <v/>
      </c>
      <c r="U594" s="148" t="str">
        <f>IFERROR(IF(OR(Table1[[#This Row],[Quantity]]&lt;&gt;"",Table1[[#This Row],[ACT_Qty]]&lt;&gt;""),Table1[[#This Row],[ACT_Qty]]-Table1[[#This Row],[Quantity]],""),"")</f>
        <v/>
      </c>
      <c r="V594" s="46"/>
      <c r="W594" s="46"/>
      <c r="X594" s="46"/>
    </row>
    <row r="595" spans="1:24" ht="15" customHeight="1">
      <c r="A595" s="143" t="str">
        <f t="shared" si="35"/>
        <v>AKH12345</v>
      </c>
      <c r="B595" s="260" t="s">
        <v>1717</v>
      </c>
      <c r="C595" s="8" t="s">
        <v>1718</v>
      </c>
      <c r="D595" s="105"/>
      <c r="E595" s="106"/>
      <c r="F595" s="105"/>
      <c r="G595" s="106"/>
      <c r="H595" s="6" t="s">
        <v>1719</v>
      </c>
      <c r="I595" s="6" t="s">
        <v>1233</v>
      </c>
      <c r="J595" s="6" t="s">
        <v>1670</v>
      </c>
      <c r="K595" s="6" t="s">
        <v>1235</v>
      </c>
      <c r="L595" s="207" t="s">
        <v>1235</v>
      </c>
      <c r="M595" s="145" t="str">
        <f t="shared" si="36"/>
        <v>OneCo Networks AS</v>
      </c>
      <c r="N5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5" s="268" t="str">
        <f ca="1">IFERROR(IF(
OR(Table1[[#This Row],[Product category]]="Service items",Table1[[#This Row],[Product category]]="Additional services",Table1[[#This Row],[Product category]]="Additional materials"),
"NOK",IF(($N$3&lt;&gt;""),VLOOKUP(Table1[[#This Row],[Product code]],INDIRECT(Aux!$A$1),6,FALSE),"")),"")</f>
        <v>NOK</v>
      </c>
      <c r="P595" s="41" t="str">
        <f ca="1">IFERROR(IF(AND(Table1[[#This Row],[Quantity]]&lt;&gt;"",Table1[[#This Row],[Currency]]="NOK"),Table1[[#This Row],[Quantity]]*Table1[[#This Row],[Unit Price]],""),"")</f>
        <v/>
      </c>
      <c r="Q595" s="41" t="str">
        <f ca="1">IFERROR(IF(AND(Table1[[#This Row],[ACT_Qty]]&lt;&gt;"",Table1[[#This Row],[Currency]]="NOK"),Table1[[#This Row],[ACT_Qty]]*Table1[[#This Row],[Unit Price]],""),"")</f>
        <v/>
      </c>
      <c r="R595" s="41" t="str">
        <f ca="1">IFERROR(IF(AND(Table1[[#This Row],[Quantity]]&lt;&gt;"",Table1[[#This Row],[Currency]]="EUR"),Table1[[#This Row],[Quantity]]*Table1[[#This Row],[Unit Price]],""),"")</f>
        <v/>
      </c>
      <c r="S595" s="41" t="str">
        <f ca="1">IFERROR(IF(AND(Table1[[#This Row],[ACT_Qty]]&lt;&gt;"",Table1[[#This Row],[Currency]]="EUR"),Table1[[#This Row],[ACT_Qty]]*Table1[[#This Row],[Unit Price]],""),"")</f>
        <v/>
      </c>
      <c r="T595" s="269" t="str">
        <f ca="1">IFERROR(IF(AND(($N$3&lt;&gt;""),INDIRECT(Aux!$D$1)),VLOOKUP(Table1[[#This Row],[Product code]],Aux!B:E,4,FALSE),""),"")</f>
        <v/>
      </c>
      <c r="U595" s="145" t="str">
        <f>IFERROR(IF(OR(Table1[[#This Row],[Quantity]]&lt;&gt;"",Table1[[#This Row],[ACT_Qty]]&lt;&gt;""),Table1[[#This Row],[ACT_Qty]]-Table1[[#This Row],[Quantity]],""),"")</f>
        <v/>
      </c>
      <c r="V595" s="45"/>
      <c r="W595" s="45"/>
      <c r="X595" s="45"/>
    </row>
    <row r="596" spans="1:24" ht="15" customHeight="1">
      <c r="A596" s="233" t="str">
        <f t="shared" si="35"/>
        <v>AKH12345</v>
      </c>
      <c r="B596" s="261" t="s">
        <v>1720</v>
      </c>
      <c r="C596" s="7" t="s">
        <v>1721</v>
      </c>
      <c r="D596" s="105"/>
      <c r="E596" s="89"/>
      <c r="F596" s="68"/>
      <c r="G596" s="89"/>
      <c r="H596" s="5" t="s">
        <v>1719</v>
      </c>
      <c r="I596" s="5" t="s">
        <v>1233</v>
      </c>
      <c r="J596" s="5" t="s">
        <v>1670</v>
      </c>
      <c r="K596" s="5" t="s">
        <v>1235</v>
      </c>
      <c r="L596" s="208" t="s">
        <v>1235</v>
      </c>
      <c r="M596" s="148" t="str">
        <f t="shared" si="36"/>
        <v>OneCo Networks AS</v>
      </c>
      <c r="N59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6" s="270" t="str">
        <f ca="1">IFERROR(IF(
OR(Table1[[#This Row],[Product category]]="Service items",Table1[[#This Row],[Product category]]="Additional services",Table1[[#This Row],[Product category]]="Additional materials"),
"NOK",IF(($N$3&lt;&gt;""),VLOOKUP(Table1[[#This Row],[Product code]],INDIRECT(Aux!$A$1),6,FALSE),"")),"")</f>
        <v>NOK</v>
      </c>
      <c r="P596" s="43" t="str">
        <f ca="1">IFERROR(IF(AND(Table1[[#This Row],[Quantity]]&lt;&gt;"",Table1[[#This Row],[Currency]]="NOK"),Table1[[#This Row],[Quantity]]*Table1[[#This Row],[Unit Price]],""),"")</f>
        <v/>
      </c>
      <c r="Q596" s="43" t="str">
        <f ca="1">IFERROR(IF(AND(Table1[[#This Row],[ACT_Qty]]&lt;&gt;"",Table1[[#This Row],[Currency]]="NOK"),Table1[[#This Row],[ACT_Qty]]*Table1[[#This Row],[Unit Price]],""),"")</f>
        <v/>
      </c>
      <c r="R596" s="43" t="str">
        <f ca="1">IFERROR(IF(AND(Table1[[#This Row],[Quantity]]&lt;&gt;"",Table1[[#This Row],[Currency]]="EUR"),Table1[[#This Row],[Quantity]]*Table1[[#This Row],[Unit Price]],""),"")</f>
        <v/>
      </c>
      <c r="S596" s="43" t="str">
        <f ca="1">IFERROR(IF(AND(Table1[[#This Row],[ACT_Qty]]&lt;&gt;"",Table1[[#This Row],[Currency]]="EUR"),Table1[[#This Row],[ACT_Qty]]*Table1[[#This Row],[Unit Price]],""),"")</f>
        <v/>
      </c>
      <c r="T596" s="271" t="str">
        <f ca="1">IFERROR(IF(AND(($N$3&lt;&gt;""),INDIRECT(Aux!$D$1)),VLOOKUP(Table1[[#This Row],[Product code]],Aux!B:E,4,FALSE),""),"")</f>
        <v/>
      </c>
      <c r="U596" s="148" t="str">
        <f>IFERROR(IF(OR(Table1[[#This Row],[Quantity]]&lt;&gt;"",Table1[[#This Row],[ACT_Qty]]&lt;&gt;""),Table1[[#This Row],[ACT_Qty]]-Table1[[#This Row],[Quantity]],""),"")</f>
        <v/>
      </c>
      <c r="V596" s="46"/>
      <c r="W596" s="46"/>
      <c r="X596" s="46"/>
    </row>
    <row r="597" spans="1:24" ht="15" customHeight="1">
      <c r="A597" s="143" t="str">
        <f t="shared" si="35"/>
        <v>AKH12345</v>
      </c>
      <c r="B597" s="260" t="s">
        <v>1722</v>
      </c>
      <c r="C597" s="8" t="s">
        <v>1723</v>
      </c>
      <c r="D597" s="105"/>
      <c r="E597" s="106"/>
      <c r="F597" s="105"/>
      <c r="G597" s="106"/>
      <c r="H597" s="6" t="s">
        <v>1724</v>
      </c>
      <c r="I597" s="6" t="s">
        <v>1233</v>
      </c>
      <c r="J597" s="6" t="s">
        <v>1670</v>
      </c>
      <c r="K597" s="6" t="s">
        <v>1235</v>
      </c>
      <c r="L597" s="207" t="s">
        <v>1235</v>
      </c>
      <c r="M597" s="145" t="str">
        <f t="shared" si="36"/>
        <v>OneCo Networks AS</v>
      </c>
      <c r="N5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7" s="268" t="str">
        <f ca="1">IFERROR(IF(
OR(Table1[[#This Row],[Product category]]="Service items",Table1[[#This Row],[Product category]]="Additional services",Table1[[#This Row],[Product category]]="Additional materials"),
"NOK",IF(($N$3&lt;&gt;""),VLOOKUP(Table1[[#This Row],[Product code]],INDIRECT(Aux!$A$1),6,FALSE),"")),"")</f>
        <v>NOK</v>
      </c>
      <c r="P597" s="41" t="str">
        <f ca="1">IFERROR(IF(AND(Table1[[#This Row],[Quantity]]&lt;&gt;"",Table1[[#This Row],[Currency]]="NOK"),Table1[[#This Row],[Quantity]]*Table1[[#This Row],[Unit Price]],""),"")</f>
        <v/>
      </c>
      <c r="Q597" s="41" t="str">
        <f ca="1">IFERROR(IF(AND(Table1[[#This Row],[ACT_Qty]]&lt;&gt;"",Table1[[#This Row],[Currency]]="NOK"),Table1[[#This Row],[ACT_Qty]]*Table1[[#This Row],[Unit Price]],""),"")</f>
        <v/>
      </c>
      <c r="R597" s="41" t="str">
        <f ca="1">IFERROR(IF(AND(Table1[[#This Row],[Quantity]]&lt;&gt;"",Table1[[#This Row],[Currency]]="EUR"),Table1[[#This Row],[Quantity]]*Table1[[#This Row],[Unit Price]],""),"")</f>
        <v/>
      </c>
      <c r="S597" s="41" t="str">
        <f ca="1">IFERROR(IF(AND(Table1[[#This Row],[ACT_Qty]]&lt;&gt;"",Table1[[#This Row],[Currency]]="EUR"),Table1[[#This Row],[ACT_Qty]]*Table1[[#This Row],[Unit Price]],""),"")</f>
        <v/>
      </c>
      <c r="T597" s="269" t="str">
        <f ca="1">IFERROR(IF(AND(($N$3&lt;&gt;""),INDIRECT(Aux!$D$1)),VLOOKUP(Table1[[#This Row],[Product code]],Aux!B:E,4,FALSE),""),"")</f>
        <v/>
      </c>
      <c r="U597" s="145" t="str">
        <f>IFERROR(IF(OR(Table1[[#This Row],[Quantity]]&lt;&gt;"",Table1[[#This Row],[ACT_Qty]]&lt;&gt;""),Table1[[#This Row],[ACT_Qty]]-Table1[[#This Row],[Quantity]],""),"")</f>
        <v/>
      </c>
      <c r="V597" s="45"/>
      <c r="W597" s="45"/>
      <c r="X597" s="45"/>
    </row>
    <row r="598" spans="1:24" ht="15" customHeight="1">
      <c r="A598" s="233" t="str">
        <f t="shared" si="35"/>
        <v>AKH12345</v>
      </c>
      <c r="B598" s="261" t="s">
        <v>1725</v>
      </c>
      <c r="C598" s="7" t="s">
        <v>1726</v>
      </c>
      <c r="D598" s="105"/>
      <c r="E598" s="89" t="s">
        <v>1727</v>
      </c>
      <c r="F598" s="68"/>
      <c r="G598" s="89"/>
      <c r="H598" s="5" t="s">
        <v>1728</v>
      </c>
      <c r="I598" s="5" t="s">
        <v>1233</v>
      </c>
      <c r="J598" s="5" t="s">
        <v>1670</v>
      </c>
      <c r="K598" s="5" t="s">
        <v>1235</v>
      </c>
      <c r="L598" s="208" t="s">
        <v>1235</v>
      </c>
      <c r="M598" s="148" t="str">
        <f t="shared" si="36"/>
        <v>OneCo Networks AS</v>
      </c>
      <c r="N59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8" s="270" t="str">
        <f ca="1">IFERROR(IF(
OR(Table1[[#This Row],[Product category]]="Service items",Table1[[#This Row],[Product category]]="Additional services",Table1[[#This Row],[Product category]]="Additional materials"),
"NOK",IF(($N$3&lt;&gt;""),VLOOKUP(Table1[[#This Row],[Product code]],INDIRECT(Aux!$A$1),6,FALSE),"")),"")</f>
        <v>NOK</v>
      </c>
      <c r="P598" s="43" t="str">
        <f ca="1">IFERROR(IF(AND(Table1[[#This Row],[Quantity]]&lt;&gt;"",Table1[[#This Row],[Currency]]="NOK"),Table1[[#This Row],[Quantity]]*Table1[[#This Row],[Unit Price]],""),"")</f>
        <v/>
      </c>
      <c r="Q598" s="43" t="str">
        <f ca="1">IFERROR(IF(AND(Table1[[#This Row],[ACT_Qty]]&lt;&gt;"",Table1[[#This Row],[Currency]]="NOK"),Table1[[#This Row],[ACT_Qty]]*Table1[[#This Row],[Unit Price]],""),"")</f>
        <v/>
      </c>
      <c r="R598" s="43" t="str">
        <f ca="1">IFERROR(IF(AND(Table1[[#This Row],[Quantity]]&lt;&gt;"",Table1[[#This Row],[Currency]]="EUR"),Table1[[#This Row],[Quantity]]*Table1[[#This Row],[Unit Price]],""),"")</f>
        <v/>
      </c>
      <c r="S598" s="43" t="str">
        <f ca="1">IFERROR(IF(AND(Table1[[#This Row],[ACT_Qty]]&lt;&gt;"",Table1[[#This Row],[Currency]]="EUR"),Table1[[#This Row],[ACT_Qty]]*Table1[[#This Row],[Unit Price]],""),"")</f>
        <v/>
      </c>
      <c r="T598" s="271" t="str">
        <f ca="1">IFERROR(IF(AND(($N$3&lt;&gt;""),INDIRECT(Aux!$D$1)),VLOOKUP(Table1[[#This Row],[Product code]],Aux!B:E,4,FALSE),""),"")</f>
        <v/>
      </c>
      <c r="U598" s="148" t="str">
        <f>IFERROR(IF(OR(Table1[[#This Row],[Quantity]]&lt;&gt;"",Table1[[#This Row],[ACT_Qty]]&lt;&gt;""),Table1[[#This Row],[ACT_Qty]]-Table1[[#This Row],[Quantity]],""),"")</f>
        <v/>
      </c>
      <c r="V598" s="46"/>
      <c r="W598" s="46"/>
      <c r="X598" s="46"/>
    </row>
    <row r="599" spans="1:24" ht="15" customHeight="1">
      <c r="A599" s="143" t="str">
        <f t="shared" si="35"/>
        <v>AKH12345</v>
      </c>
      <c r="B599" s="260" t="s">
        <v>1729</v>
      </c>
      <c r="C599" s="8" t="s">
        <v>1730</v>
      </c>
      <c r="D599" s="105"/>
      <c r="E599" s="106" t="s">
        <v>1727</v>
      </c>
      <c r="F599" s="105"/>
      <c r="G599" s="106"/>
      <c r="H599" s="6" t="s">
        <v>1731</v>
      </c>
      <c r="I599" s="6" t="s">
        <v>1233</v>
      </c>
      <c r="J599" s="6" t="s">
        <v>1670</v>
      </c>
      <c r="K599" s="6" t="s">
        <v>1235</v>
      </c>
      <c r="L599" s="207" t="s">
        <v>1235</v>
      </c>
      <c r="M599" s="145" t="str">
        <f t="shared" si="36"/>
        <v>OneCo Networks AS</v>
      </c>
      <c r="N5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599" s="268" t="str">
        <f ca="1">IFERROR(IF(
OR(Table1[[#This Row],[Product category]]="Service items",Table1[[#This Row],[Product category]]="Additional services",Table1[[#This Row],[Product category]]="Additional materials"),
"NOK",IF(($N$3&lt;&gt;""),VLOOKUP(Table1[[#This Row],[Product code]],INDIRECT(Aux!$A$1),6,FALSE),"")),"")</f>
        <v>NOK</v>
      </c>
      <c r="P599" s="41" t="str">
        <f ca="1">IFERROR(IF(AND(Table1[[#This Row],[Quantity]]&lt;&gt;"",Table1[[#This Row],[Currency]]="NOK"),Table1[[#This Row],[Quantity]]*Table1[[#This Row],[Unit Price]],""),"")</f>
        <v/>
      </c>
      <c r="Q599" s="41" t="str">
        <f ca="1">IFERROR(IF(AND(Table1[[#This Row],[ACT_Qty]]&lt;&gt;"",Table1[[#This Row],[Currency]]="NOK"),Table1[[#This Row],[ACT_Qty]]*Table1[[#This Row],[Unit Price]],""),"")</f>
        <v/>
      </c>
      <c r="R599" s="41" t="str">
        <f ca="1">IFERROR(IF(AND(Table1[[#This Row],[Quantity]]&lt;&gt;"",Table1[[#This Row],[Currency]]="EUR"),Table1[[#This Row],[Quantity]]*Table1[[#This Row],[Unit Price]],""),"")</f>
        <v/>
      </c>
      <c r="S599" s="41" t="str">
        <f ca="1">IFERROR(IF(AND(Table1[[#This Row],[ACT_Qty]]&lt;&gt;"",Table1[[#This Row],[Currency]]="EUR"),Table1[[#This Row],[ACT_Qty]]*Table1[[#This Row],[Unit Price]],""),"")</f>
        <v/>
      </c>
      <c r="T599" s="269" t="str">
        <f ca="1">IFERROR(IF(AND(($N$3&lt;&gt;""),INDIRECT(Aux!$D$1)),VLOOKUP(Table1[[#This Row],[Product code]],Aux!B:E,4,FALSE),""),"")</f>
        <v/>
      </c>
      <c r="U599" s="145" t="str">
        <f>IFERROR(IF(OR(Table1[[#This Row],[Quantity]]&lt;&gt;"",Table1[[#This Row],[ACT_Qty]]&lt;&gt;""),Table1[[#This Row],[ACT_Qty]]-Table1[[#This Row],[Quantity]],""),"")</f>
        <v/>
      </c>
      <c r="V599" s="45"/>
      <c r="W599" s="45"/>
      <c r="X599" s="45"/>
    </row>
    <row r="600" spans="1:24" ht="15" customHeight="1">
      <c r="A600" s="233" t="str">
        <f t="shared" si="35"/>
        <v>AKH12345</v>
      </c>
      <c r="B600" s="261" t="s">
        <v>1732</v>
      </c>
      <c r="C600" s="7" t="s">
        <v>1733</v>
      </c>
      <c r="D600" s="105"/>
      <c r="E600" s="89" t="s">
        <v>507</v>
      </c>
      <c r="F600" s="68"/>
      <c r="G600" s="89"/>
      <c r="H600" s="5" t="s">
        <v>1734</v>
      </c>
      <c r="I600" s="5" t="s">
        <v>1233</v>
      </c>
      <c r="J600" s="5" t="s">
        <v>1735</v>
      </c>
      <c r="K600" s="5" t="s">
        <v>1235</v>
      </c>
      <c r="L600" s="208" t="s">
        <v>1235</v>
      </c>
      <c r="M600" s="148" t="str">
        <f t="shared" si="36"/>
        <v>OneCo Networks AS</v>
      </c>
      <c r="N60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0" s="270" t="str">
        <f ca="1">IFERROR(IF(
OR(Table1[[#This Row],[Product category]]="Service items",Table1[[#This Row],[Product category]]="Additional services",Table1[[#This Row],[Product category]]="Additional materials"),
"NOK",IF(($N$3&lt;&gt;""),VLOOKUP(Table1[[#This Row],[Product code]],INDIRECT(Aux!$A$1),6,FALSE),"")),"")</f>
        <v>NOK</v>
      </c>
      <c r="P600" s="43" t="str">
        <f ca="1">IFERROR(IF(AND(Table1[[#This Row],[Quantity]]&lt;&gt;"",Table1[[#This Row],[Currency]]="NOK"),Table1[[#This Row],[Quantity]]*Table1[[#This Row],[Unit Price]],""),"")</f>
        <v/>
      </c>
      <c r="Q600" s="43" t="str">
        <f ca="1">IFERROR(IF(AND(Table1[[#This Row],[ACT_Qty]]&lt;&gt;"",Table1[[#This Row],[Currency]]="NOK"),Table1[[#This Row],[ACT_Qty]]*Table1[[#This Row],[Unit Price]],""),"")</f>
        <v/>
      </c>
      <c r="R600" s="43" t="str">
        <f ca="1">IFERROR(IF(AND(Table1[[#This Row],[Quantity]]&lt;&gt;"",Table1[[#This Row],[Currency]]="EUR"),Table1[[#This Row],[Quantity]]*Table1[[#This Row],[Unit Price]],""),"")</f>
        <v/>
      </c>
      <c r="S600" s="43" t="str">
        <f ca="1">IFERROR(IF(AND(Table1[[#This Row],[ACT_Qty]]&lt;&gt;"",Table1[[#This Row],[Currency]]="EUR"),Table1[[#This Row],[ACT_Qty]]*Table1[[#This Row],[Unit Price]],""),"")</f>
        <v/>
      </c>
      <c r="T600" s="271" t="str">
        <f ca="1">IFERROR(IF(AND(($N$3&lt;&gt;""),INDIRECT(Aux!$D$1)),VLOOKUP(Table1[[#This Row],[Product code]],Aux!B:E,4,FALSE),""),"")</f>
        <v/>
      </c>
      <c r="U600" s="148" t="str">
        <f>IFERROR(IF(OR(Table1[[#This Row],[Quantity]]&lt;&gt;"",Table1[[#This Row],[ACT_Qty]]&lt;&gt;""),Table1[[#This Row],[ACT_Qty]]-Table1[[#This Row],[Quantity]],""),"")</f>
        <v/>
      </c>
      <c r="V600" s="46"/>
      <c r="W600" s="46"/>
      <c r="X600" s="46"/>
    </row>
    <row r="601" spans="1:24" ht="15" customHeight="1">
      <c r="A601" s="143" t="str">
        <f t="shared" si="35"/>
        <v>AKH12345</v>
      </c>
      <c r="B601" s="260" t="s">
        <v>1736</v>
      </c>
      <c r="C601" s="8" t="s">
        <v>1737</v>
      </c>
      <c r="D601" s="105"/>
      <c r="E601" s="106"/>
      <c r="F601" s="105"/>
      <c r="G601" s="106"/>
      <c r="H601" s="6" t="s">
        <v>1738</v>
      </c>
      <c r="I601" s="6" t="s">
        <v>1233</v>
      </c>
      <c r="J601" s="6" t="s">
        <v>1735</v>
      </c>
      <c r="K601" s="6" t="s">
        <v>1235</v>
      </c>
      <c r="L601" s="207" t="s">
        <v>1235</v>
      </c>
      <c r="M601" s="145" t="str">
        <f t="shared" si="36"/>
        <v>OneCo Networks AS</v>
      </c>
      <c r="N6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1" s="268" t="str">
        <f ca="1">IFERROR(IF(
OR(Table1[[#This Row],[Product category]]="Service items",Table1[[#This Row],[Product category]]="Additional services",Table1[[#This Row],[Product category]]="Additional materials"),
"NOK",IF(($N$3&lt;&gt;""),VLOOKUP(Table1[[#This Row],[Product code]],INDIRECT(Aux!$A$1),6,FALSE),"")),"")</f>
        <v>NOK</v>
      </c>
      <c r="P601" s="41" t="str">
        <f ca="1">IFERROR(IF(AND(Table1[[#This Row],[Quantity]]&lt;&gt;"",Table1[[#This Row],[Currency]]="NOK"),Table1[[#This Row],[Quantity]]*Table1[[#This Row],[Unit Price]],""),"")</f>
        <v/>
      </c>
      <c r="Q601" s="41" t="str">
        <f ca="1">IFERROR(IF(AND(Table1[[#This Row],[ACT_Qty]]&lt;&gt;"",Table1[[#This Row],[Currency]]="NOK"),Table1[[#This Row],[ACT_Qty]]*Table1[[#This Row],[Unit Price]],""),"")</f>
        <v/>
      </c>
      <c r="R601" s="41" t="str">
        <f ca="1">IFERROR(IF(AND(Table1[[#This Row],[Quantity]]&lt;&gt;"",Table1[[#This Row],[Currency]]="EUR"),Table1[[#This Row],[Quantity]]*Table1[[#This Row],[Unit Price]],""),"")</f>
        <v/>
      </c>
      <c r="S601" s="41" t="str">
        <f ca="1">IFERROR(IF(AND(Table1[[#This Row],[ACT_Qty]]&lt;&gt;"",Table1[[#This Row],[Currency]]="EUR"),Table1[[#This Row],[ACT_Qty]]*Table1[[#This Row],[Unit Price]],""),"")</f>
        <v/>
      </c>
      <c r="T601" s="269" t="str">
        <f ca="1">IFERROR(IF(AND(($N$3&lt;&gt;""),INDIRECT(Aux!$D$1)),VLOOKUP(Table1[[#This Row],[Product code]],Aux!B:E,4,FALSE),""),"")</f>
        <v/>
      </c>
      <c r="U601" s="145" t="str">
        <f>IFERROR(IF(OR(Table1[[#This Row],[Quantity]]&lt;&gt;"",Table1[[#This Row],[ACT_Qty]]&lt;&gt;""),Table1[[#This Row],[ACT_Qty]]-Table1[[#This Row],[Quantity]],""),"")</f>
        <v/>
      </c>
      <c r="V601" s="45"/>
      <c r="W601" s="45"/>
      <c r="X601" s="45"/>
    </row>
    <row r="602" spans="1:24" ht="15" customHeight="1">
      <c r="A602" s="233" t="str">
        <f t="shared" si="35"/>
        <v>AKH12345</v>
      </c>
      <c r="B602" s="261" t="s">
        <v>1739</v>
      </c>
      <c r="C602" s="7" t="s">
        <v>1740</v>
      </c>
      <c r="D602" s="105"/>
      <c r="E602" s="89"/>
      <c r="F602" s="68"/>
      <c r="G602" s="89"/>
      <c r="H602" s="5" t="s">
        <v>1741</v>
      </c>
      <c r="I602" s="5" t="s">
        <v>1233</v>
      </c>
      <c r="J602" s="5" t="s">
        <v>1735</v>
      </c>
      <c r="K602" s="5" t="s">
        <v>1235</v>
      </c>
      <c r="L602" s="208" t="s">
        <v>1235</v>
      </c>
      <c r="M602" s="148" t="str">
        <f t="shared" si="36"/>
        <v>OneCo Networks AS</v>
      </c>
      <c r="N60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2" s="270" t="str">
        <f ca="1">IFERROR(IF(
OR(Table1[[#This Row],[Product category]]="Service items",Table1[[#This Row],[Product category]]="Additional services",Table1[[#This Row],[Product category]]="Additional materials"),
"NOK",IF(($N$3&lt;&gt;""),VLOOKUP(Table1[[#This Row],[Product code]],INDIRECT(Aux!$A$1),6,FALSE),"")),"")</f>
        <v>NOK</v>
      </c>
      <c r="P602" s="43" t="str">
        <f ca="1">IFERROR(IF(AND(Table1[[#This Row],[Quantity]]&lt;&gt;"",Table1[[#This Row],[Currency]]="NOK"),Table1[[#This Row],[Quantity]]*Table1[[#This Row],[Unit Price]],""),"")</f>
        <v/>
      </c>
      <c r="Q602" s="43" t="str">
        <f ca="1">IFERROR(IF(AND(Table1[[#This Row],[ACT_Qty]]&lt;&gt;"",Table1[[#This Row],[Currency]]="NOK"),Table1[[#This Row],[ACT_Qty]]*Table1[[#This Row],[Unit Price]],""),"")</f>
        <v/>
      </c>
      <c r="R602" s="43" t="str">
        <f ca="1">IFERROR(IF(AND(Table1[[#This Row],[Quantity]]&lt;&gt;"",Table1[[#This Row],[Currency]]="EUR"),Table1[[#This Row],[Quantity]]*Table1[[#This Row],[Unit Price]],""),"")</f>
        <v/>
      </c>
      <c r="S602" s="43" t="str">
        <f ca="1">IFERROR(IF(AND(Table1[[#This Row],[ACT_Qty]]&lt;&gt;"",Table1[[#This Row],[Currency]]="EUR"),Table1[[#This Row],[ACT_Qty]]*Table1[[#This Row],[Unit Price]],""),"")</f>
        <v/>
      </c>
      <c r="T602" s="271" t="str">
        <f ca="1">IFERROR(IF(AND(($N$3&lt;&gt;""),INDIRECT(Aux!$D$1)),VLOOKUP(Table1[[#This Row],[Product code]],Aux!B:E,4,FALSE),""),"")</f>
        <v/>
      </c>
      <c r="U602" s="148" t="str">
        <f>IFERROR(IF(OR(Table1[[#This Row],[Quantity]]&lt;&gt;"",Table1[[#This Row],[ACT_Qty]]&lt;&gt;""),Table1[[#This Row],[ACT_Qty]]-Table1[[#This Row],[Quantity]],""),"")</f>
        <v/>
      </c>
      <c r="V602" s="46"/>
      <c r="W602" s="46"/>
      <c r="X602" s="46"/>
    </row>
    <row r="603" spans="1:24" ht="15" customHeight="1">
      <c r="A603" s="143" t="str">
        <f t="shared" si="35"/>
        <v>AKH12345</v>
      </c>
      <c r="B603" s="260" t="s">
        <v>1742</v>
      </c>
      <c r="C603" s="8" t="s">
        <v>1743</v>
      </c>
      <c r="D603" s="105"/>
      <c r="E603" s="106"/>
      <c r="F603" s="105"/>
      <c r="G603" s="106"/>
      <c r="H603" s="6" t="s">
        <v>1636</v>
      </c>
      <c r="I603" s="6" t="s">
        <v>1233</v>
      </c>
      <c r="J603" s="6" t="s">
        <v>1735</v>
      </c>
      <c r="K603" s="6" t="s">
        <v>1235</v>
      </c>
      <c r="L603" s="207" t="s">
        <v>1235</v>
      </c>
      <c r="M603" s="145" t="str">
        <f t="shared" si="36"/>
        <v>OneCo Networks AS</v>
      </c>
      <c r="N6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3" s="268" t="str">
        <f ca="1">IFERROR(IF(
OR(Table1[[#This Row],[Product category]]="Service items",Table1[[#This Row],[Product category]]="Additional services",Table1[[#This Row],[Product category]]="Additional materials"),
"NOK",IF(($N$3&lt;&gt;""),VLOOKUP(Table1[[#This Row],[Product code]],INDIRECT(Aux!$A$1),6,FALSE),"")),"")</f>
        <v>NOK</v>
      </c>
      <c r="P603" s="41" t="str">
        <f ca="1">IFERROR(IF(AND(Table1[[#This Row],[Quantity]]&lt;&gt;"",Table1[[#This Row],[Currency]]="NOK"),Table1[[#This Row],[Quantity]]*Table1[[#This Row],[Unit Price]],""),"")</f>
        <v/>
      </c>
      <c r="Q603" s="41" t="str">
        <f ca="1">IFERROR(IF(AND(Table1[[#This Row],[ACT_Qty]]&lt;&gt;"",Table1[[#This Row],[Currency]]="NOK"),Table1[[#This Row],[ACT_Qty]]*Table1[[#This Row],[Unit Price]],""),"")</f>
        <v/>
      </c>
      <c r="R603" s="41" t="str">
        <f ca="1">IFERROR(IF(AND(Table1[[#This Row],[Quantity]]&lt;&gt;"",Table1[[#This Row],[Currency]]="EUR"),Table1[[#This Row],[Quantity]]*Table1[[#This Row],[Unit Price]],""),"")</f>
        <v/>
      </c>
      <c r="S603" s="41" t="str">
        <f ca="1">IFERROR(IF(AND(Table1[[#This Row],[ACT_Qty]]&lt;&gt;"",Table1[[#This Row],[Currency]]="EUR"),Table1[[#This Row],[ACT_Qty]]*Table1[[#This Row],[Unit Price]],""),"")</f>
        <v/>
      </c>
      <c r="T603" s="269" t="str">
        <f ca="1">IFERROR(IF(AND(($N$3&lt;&gt;""),INDIRECT(Aux!$D$1)),VLOOKUP(Table1[[#This Row],[Product code]],Aux!B:E,4,FALSE),""),"")</f>
        <v/>
      </c>
      <c r="U603" s="145" t="str">
        <f>IFERROR(IF(OR(Table1[[#This Row],[Quantity]]&lt;&gt;"",Table1[[#This Row],[ACT_Qty]]&lt;&gt;""),Table1[[#This Row],[ACT_Qty]]-Table1[[#This Row],[Quantity]],""),"")</f>
        <v/>
      </c>
      <c r="V603" s="45"/>
      <c r="W603" s="45"/>
      <c r="X603" s="45"/>
    </row>
    <row r="604" spans="1:24" ht="15" customHeight="1">
      <c r="A604" s="143" t="str">
        <f t="shared" si="35"/>
        <v>AKH12345</v>
      </c>
      <c r="B604" s="261" t="s">
        <v>1744</v>
      </c>
      <c r="C604" s="7" t="s">
        <v>1745</v>
      </c>
      <c r="D604" s="105"/>
      <c r="E604" s="89"/>
      <c r="F604" s="68"/>
      <c r="G604" s="89"/>
      <c r="H604" s="5" t="s">
        <v>1636</v>
      </c>
      <c r="I604" s="5" t="s">
        <v>1233</v>
      </c>
      <c r="J604" s="5" t="s">
        <v>1735</v>
      </c>
      <c r="K604" s="5" t="s">
        <v>1235</v>
      </c>
      <c r="L604" s="208" t="s">
        <v>1235</v>
      </c>
      <c r="M604" s="148" t="str">
        <f t="shared" si="36"/>
        <v>OneCo Networks AS</v>
      </c>
      <c r="N60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4" s="270" t="str">
        <f ca="1">IFERROR(IF(
OR(Table1[[#This Row],[Product category]]="Service items",Table1[[#This Row],[Product category]]="Additional services",Table1[[#This Row],[Product category]]="Additional materials"),
"NOK",IF(($N$3&lt;&gt;""),VLOOKUP(Table1[[#This Row],[Product code]],INDIRECT(Aux!$A$1),6,FALSE),"")),"")</f>
        <v>NOK</v>
      </c>
      <c r="P604" s="43" t="str">
        <f ca="1">IFERROR(IF(AND(Table1[[#This Row],[Quantity]]&lt;&gt;"",Table1[[#This Row],[Currency]]="NOK"),Table1[[#This Row],[Quantity]]*Table1[[#This Row],[Unit Price]],""),"")</f>
        <v/>
      </c>
      <c r="Q604" s="43" t="str">
        <f ca="1">IFERROR(IF(AND(Table1[[#This Row],[ACT_Qty]]&lt;&gt;"",Table1[[#This Row],[Currency]]="NOK"),Table1[[#This Row],[ACT_Qty]]*Table1[[#This Row],[Unit Price]],""),"")</f>
        <v/>
      </c>
      <c r="R604" s="43" t="str">
        <f ca="1">IFERROR(IF(AND(Table1[[#This Row],[Quantity]]&lt;&gt;"",Table1[[#This Row],[Currency]]="EUR"),Table1[[#This Row],[Quantity]]*Table1[[#This Row],[Unit Price]],""),"")</f>
        <v/>
      </c>
      <c r="S604" s="43" t="str">
        <f ca="1">IFERROR(IF(AND(Table1[[#This Row],[ACT_Qty]]&lt;&gt;"",Table1[[#This Row],[Currency]]="EUR"),Table1[[#This Row],[ACT_Qty]]*Table1[[#This Row],[Unit Price]],""),"")</f>
        <v/>
      </c>
      <c r="T604" s="271" t="str">
        <f ca="1">IFERROR(IF(AND(($N$3&lt;&gt;""),INDIRECT(Aux!$D$1)),VLOOKUP(Table1[[#This Row],[Product code]],Aux!B:E,4,FALSE),""),"")</f>
        <v/>
      </c>
      <c r="U604" s="148" t="str">
        <f>IFERROR(IF(OR(Table1[[#This Row],[Quantity]]&lt;&gt;"",Table1[[#This Row],[ACT_Qty]]&lt;&gt;""),Table1[[#This Row],[ACT_Qty]]-Table1[[#This Row],[Quantity]],""),"")</f>
        <v/>
      </c>
      <c r="V604" s="46"/>
      <c r="W604" s="46"/>
      <c r="X604" s="46"/>
    </row>
    <row r="605" spans="1:24" ht="15" customHeight="1">
      <c r="A605" s="143" t="str">
        <f t="shared" si="35"/>
        <v>AKH12345</v>
      </c>
      <c r="B605" s="260" t="s">
        <v>1746</v>
      </c>
      <c r="C605" s="8" t="s">
        <v>1747</v>
      </c>
      <c r="D605" s="105"/>
      <c r="E605" s="106"/>
      <c r="F605" s="105"/>
      <c r="G605" s="106"/>
      <c r="H605" s="6" t="s">
        <v>1636</v>
      </c>
      <c r="I605" s="6" t="s">
        <v>1233</v>
      </c>
      <c r="J605" s="6" t="s">
        <v>1735</v>
      </c>
      <c r="K605" s="6" t="s">
        <v>1235</v>
      </c>
      <c r="L605" s="207" t="s">
        <v>1235</v>
      </c>
      <c r="M605" s="145" t="str">
        <f t="shared" si="36"/>
        <v>OneCo Networks AS</v>
      </c>
      <c r="N6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5" s="268" t="str">
        <f ca="1">IFERROR(IF(
OR(Table1[[#This Row],[Product category]]="Service items",Table1[[#This Row],[Product category]]="Additional services",Table1[[#This Row],[Product category]]="Additional materials"),
"NOK",IF(($N$3&lt;&gt;""),VLOOKUP(Table1[[#This Row],[Product code]],INDIRECT(Aux!$A$1),6,FALSE),"")),"")</f>
        <v>NOK</v>
      </c>
      <c r="P605" s="41" t="str">
        <f ca="1">IFERROR(IF(AND(Table1[[#This Row],[Quantity]]&lt;&gt;"",Table1[[#This Row],[Currency]]="NOK"),Table1[[#This Row],[Quantity]]*Table1[[#This Row],[Unit Price]],""),"")</f>
        <v/>
      </c>
      <c r="Q605" s="41" t="str">
        <f ca="1">IFERROR(IF(AND(Table1[[#This Row],[ACT_Qty]]&lt;&gt;"",Table1[[#This Row],[Currency]]="NOK"),Table1[[#This Row],[ACT_Qty]]*Table1[[#This Row],[Unit Price]],""),"")</f>
        <v/>
      </c>
      <c r="R605" s="41" t="str">
        <f ca="1">IFERROR(IF(AND(Table1[[#This Row],[Quantity]]&lt;&gt;"",Table1[[#This Row],[Currency]]="EUR"),Table1[[#This Row],[Quantity]]*Table1[[#This Row],[Unit Price]],""),"")</f>
        <v/>
      </c>
      <c r="S605" s="41" t="str">
        <f ca="1">IFERROR(IF(AND(Table1[[#This Row],[ACT_Qty]]&lt;&gt;"",Table1[[#This Row],[Currency]]="EUR"),Table1[[#This Row],[ACT_Qty]]*Table1[[#This Row],[Unit Price]],""),"")</f>
        <v/>
      </c>
      <c r="T605" s="269" t="str">
        <f ca="1">IFERROR(IF(AND(($N$3&lt;&gt;""),INDIRECT(Aux!$D$1)),VLOOKUP(Table1[[#This Row],[Product code]],Aux!B:E,4,FALSE),""),"")</f>
        <v/>
      </c>
      <c r="U605" s="145" t="str">
        <f>IFERROR(IF(OR(Table1[[#This Row],[Quantity]]&lt;&gt;"",Table1[[#This Row],[ACT_Qty]]&lt;&gt;""),Table1[[#This Row],[ACT_Qty]]-Table1[[#This Row],[Quantity]],""),"")</f>
        <v/>
      </c>
      <c r="V605" s="45"/>
      <c r="W605" s="45"/>
      <c r="X605" s="45"/>
    </row>
    <row r="606" spans="1:24" ht="15" customHeight="1">
      <c r="A606" s="143" t="str">
        <f t="shared" si="35"/>
        <v>AKH12345</v>
      </c>
      <c r="B606" s="261" t="s">
        <v>1748</v>
      </c>
      <c r="C606" s="7" t="s">
        <v>1749</v>
      </c>
      <c r="D606" s="105"/>
      <c r="E606" s="89" t="s">
        <v>1283</v>
      </c>
      <c r="F606" s="68"/>
      <c r="G606" s="89"/>
      <c r="H606" s="5" t="s">
        <v>1750</v>
      </c>
      <c r="I606" s="5" t="s">
        <v>1233</v>
      </c>
      <c r="J606" s="5" t="s">
        <v>1751</v>
      </c>
      <c r="K606" s="5" t="s">
        <v>1235</v>
      </c>
      <c r="L606" s="208" t="s">
        <v>1235</v>
      </c>
      <c r="M606" s="200" t="str">
        <f t="shared" ref="M606" si="37">IF($C$3&lt;&gt;"",$C$3,"")</f>
        <v>OneCo Networks AS</v>
      </c>
      <c r="N606"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6" s="269" t="str">
        <f ca="1">IFERROR(IF(
OR(Table1[[#This Row],[Product category]]="Service items",Table1[[#This Row],[Product category]]="Additional services",Table1[[#This Row],[Product category]]="Additional materials"),
"NOK",IF(($N$3&lt;&gt;""),VLOOKUP(Table1[[#This Row],[Product code]],INDIRECT(Aux!$A$1),6,FALSE),"")),"")</f>
        <v>NOK</v>
      </c>
      <c r="P606" s="41" t="str">
        <f ca="1">IFERROR(IF(AND(Table1[[#This Row],[Quantity]]&lt;&gt;"",Table1[[#This Row],[Currency]]="NOK"),Table1[[#This Row],[Quantity]]*Table1[[#This Row],[Unit Price]],""),"")</f>
        <v/>
      </c>
      <c r="Q606" s="41" t="str">
        <f ca="1">IFERROR(IF(AND(Table1[[#This Row],[ACT_Qty]]&lt;&gt;"",Table1[[#This Row],[Currency]]="NOK"),Table1[[#This Row],[ACT_Qty]]*Table1[[#This Row],[Unit Price]],""),"")</f>
        <v/>
      </c>
      <c r="R606" s="40" t="str">
        <f ca="1">IFERROR(IF(AND(Table1[[#This Row],[Quantity]]&lt;&gt;"",Table1[[#This Row],[Currency]]="EUR"),Table1[[#This Row],[Quantity]]*Table1[[#This Row],[Unit Price]],""),"")</f>
        <v/>
      </c>
      <c r="S606" s="40" t="str">
        <f ca="1">IFERROR(IF(AND(Table1[[#This Row],[ACT_Qty]]&lt;&gt;"",Table1[[#This Row],[Currency]]="EUR"),Table1[[#This Row],[ACT_Qty]]*Table1[[#This Row],[Unit Price]],""),"")</f>
        <v/>
      </c>
      <c r="T606" s="269" t="str">
        <f ca="1">IFERROR(IF(AND(($N$3&lt;&gt;""),INDIRECT(Aux!$D$1)),VLOOKUP(Table1[[#This Row],[Product code]],Aux!B:E,4,FALSE),""),"")</f>
        <v/>
      </c>
      <c r="U606" s="145" t="str">
        <f>IFERROR(IF(OR(Table1[[#This Row],[Quantity]]&lt;&gt;"",Table1[[#This Row],[ACT_Qty]]&lt;&gt;""),Table1[[#This Row],[ACT_Qty]]-Table1[[#This Row],[Quantity]],""),"")</f>
        <v/>
      </c>
      <c r="V606" s="45"/>
      <c r="W606" s="45"/>
      <c r="X606" s="45"/>
    </row>
    <row r="607" spans="1:24" ht="15" customHeight="1">
      <c r="A607" s="143" t="str">
        <f t="shared" si="35"/>
        <v>AKH12345</v>
      </c>
      <c r="B607" s="260" t="s">
        <v>1752</v>
      </c>
      <c r="C607" s="8" t="s">
        <v>1753</v>
      </c>
      <c r="D607" s="105"/>
      <c r="E607" s="106" t="s">
        <v>1283</v>
      </c>
      <c r="F607" s="105"/>
      <c r="G607" s="106"/>
      <c r="H607" s="6" t="s">
        <v>1754</v>
      </c>
      <c r="I607" s="6" t="s">
        <v>1233</v>
      </c>
      <c r="J607" s="6" t="s">
        <v>1751</v>
      </c>
      <c r="K607" s="6" t="s">
        <v>1235</v>
      </c>
      <c r="L607" s="207" t="s">
        <v>1235</v>
      </c>
      <c r="M607" s="200" t="str">
        <f t="shared" ref="M607:M613" si="38">IF($C$3&lt;&gt;"",$C$3,"")</f>
        <v>OneCo Networks AS</v>
      </c>
      <c r="N6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7" s="269" t="str">
        <f ca="1">IFERROR(IF(
OR(Table1[[#This Row],[Product category]]="Service items",Table1[[#This Row],[Product category]]="Additional services",Table1[[#This Row],[Product category]]="Additional materials"),
"NOK",IF(($N$3&lt;&gt;""),VLOOKUP(Table1[[#This Row],[Product code]],INDIRECT(Aux!$A$1),6,FALSE),"")),"")</f>
        <v>NOK</v>
      </c>
      <c r="P607" s="41" t="str">
        <f ca="1">IFERROR(IF(AND(Table1[[#This Row],[Quantity]]&lt;&gt;"",Table1[[#This Row],[Currency]]="NOK"),Table1[[#This Row],[Quantity]]*Table1[[#This Row],[Unit Price]],""),"")</f>
        <v/>
      </c>
      <c r="Q607" s="41" t="str">
        <f ca="1">IFERROR(IF(AND(Table1[[#This Row],[ACT_Qty]]&lt;&gt;"",Table1[[#This Row],[Currency]]="NOK"),Table1[[#This Row],[ACT_Qty]]*Table1[[#This Row],[Unit Price]],""),"")</f>
        <v/>
      </c>
      <c r="R607" s="40" t="str">
        <f ca="1">IFERROR(IF(AND(Table1[[#This Row],[Quantity]]&lt;&gt;"",Table1[[#This Row],[Currency]]="EUR"),Table1[[#This Row],[Quantity]]*Table1[[#This Row],[Unit Price]],""),"")</f>
        <v/>
      </c>
      <c r="S607" s="40" t="str">
        <f ca="1">IFERROR(IF(AND(Table1[[#This Row],[ACT_Qty]]&lt;&gt;"",Table1[[#This Row],[Currency]]="EUR"),Table1[[#This Row],[ACT_Qty]]*Table1[[#This Row],[Unit Price]],""),"")</f>
        <v/>
      </c>
      <c r="T607" s="269" t="str">
        <f ca="1">IFERROR(IF(AND(($N$3&lt;&gt;""),INDIRECT(Aux!$D$1)),VLOOKUP(Table1[[#This Row],[Product code]],Aux!B:E,4,FALSE),""),"")</f>
        <v/>
      </c>
      <c r="U607" s="145" t="str">
        <f>IFERROR(IF(OR(Table1[[#This Row],[Quantity]]&lt;&gt;"",Table1[[#This Row],[ACT_Qty]]&lt;&gt;""),Table1[[#This Row],[ACT_Qty]]-Table1[[#This Row],[Quantity]],""),"")</f>
        <v/>
      </c>
      <c r="V607" s="45"/>
      <c r="W607" s="45"/>
      <c r="X607" s="45"/>
    </row>
    <row r="608" spans="1:24" ht="15" customHeight="1">
      <c r="A608" s="143" t="str">
        <f t="shared" si="35"/>
        <v>AKH12345</v>
      </c>
      <c r="B608" s="261" t="s">
        <v>1755</v>
      </c>
      <c r="C608" s="7" t="s">
        <v>1756</v>
      </c>
      <c r="D608" s="105"/>
      <c r="E608" s="89" t="s">
        <v>1283</v>
      </c>
      <c r="F608" s="68"/>
      <c r="G608" s="89"/>
      <c r="H608" s="5" t="s">
        <v>1757</v>
      </c>
      <c r="I608" s="5" t="s">
        <v>1233</v>
      </c>
      <c r="J608" s="5" t="s">
        <v>1751</v>
      </c>
      <c r="K608" s="5" t="s">
        <v>1235</v>
      </c>
      <c r="L608" s="208" t="s">
        <v>1235</v>
      </c>
      <c r="M608" s="200" t="str">
        <f t="shared" si="38"/>
        <v>OneCo Networks AS</v>
      </c>
      <c r="N608"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8" s="269" t="str">
        <f ca="1">IFERROR(IF(
OR(Table1[[#This Row],[Product category]]="Service items",Table1[[#This Row],[Product category]]="Additional services",Table1[[#This Row],[Product category]]="Additional materials"),
"NOK",IF(($N$3&lt;&gt;""),VLOOKUP(Table1[[#This Row],[Product code]],INDIRECT(Aux!$A$1),6,FALSE),"")),"")</f>
        <v>NOK</v>
      </c>
      <c r="P608" s="41" t="str">
        <f ca="1">IFERROR(IF(AND(Table1[[#This Row],[Quantity]]&lt;&gt;"",Table1[[#This Row],[Currency]]="NOK"),Table1[[#This Row],[Quantity]]*Table1[[#This Row],[Unit Price]],""),"")</f>
        <v/>
      </c>
      <c r="Q608" s="41" t="str">
        <f ca="1">IFERROR(IF(AND(Table1[[#This Row],[ACT_Qty]]&lt;&gt;"",Table1[[#This Row],[Currency]]="NOK"),Table1[[#This Row],[ACT_Qty]]*Table1[[#This Row],[Unit Price]],""),"")</f>
        <v/>
      </c>
      <c r="R608" s="40" t="str">
        <f ca="1">IFERROR(IF(AND(Table1[[#This Row],[Quantity]]&lt;&gt;"",Table1[[#This Row],[Currency]]="EUR"),Table1[[#This Row],[Quantity]]*Table1[[#This Row],[Unit Price]],""),"")</f>
        <v/>
      </c>
      <c r="S608" s="40" t="str">
        <f ca="1">IFERROR(IF(AND(Table1[[#This Row],[ACT_Qty]]&lt;&gt;"",Table1[[#This Row],[Currency]]="EUR"),Table1[[#This Row],[ACT_Qty]]*Table1[[#This Row],[Unit Price]],""),"")</f>
        <v/>
      </c>
      <c r="T608" s="269" t="str">
        <f ca="1">IFERROR(IF(AND(($N$3&lt;&gt;""),INDIRECT(Aux!$D$1)),VLOOKUP(Table1[[#This Row],[Product code]],Aux!B:E,4,FALSE),""),"")</f>
        <v/>
      </c>
      <c r="U608" s="145" t="str">
        <f>IFERROR(IF(OR(Table1[[#This Row],[Quantity]]&lt;&gt;"",Table1[[#This Row],[ACT_Qty]]&lt;&gt;""),Table1[[#This Row],[ACT_Qty]]-Table1[[#This Row],[Quantity]],""),"")</f>
        <v/>
      </c>
      <c r="V608" s="45"/>
      <c r="W608" s="45"/>
      <c r="X608" s="45"/>
    </row>
    <row r="609" spans="1:24" ht="15" customHeight="1">
      <c r="A609" s="143" t="str">
        <f t="shared" si="35"/>
        <v>AKH12345</v>
      </c>
      <c r="B609" s="260" t="s">
        <v>1758</v>
      </c>
      <c r="C609" s="8" t="s">
        <v>1759</v>
      </c>
      <c r="D609" s="105"/>
      <c r="E609" s="106" t="s">
        <v>1760</v>
      </c>
      <c r="F609" s="105"/>
      <c r="G609" s="106"/>
      <c r="H609" s="6" t="s">
        <v>1761</v>
      </c>
      <c r="I609" s="6" t="s">
        <v>1233</v>
      </c>
      <c r="J609" s="6" t="s">
        <v>1751</v>
      </c>
      <c r="K609" s="6" t="s">
        <v>1235</v>
      </c>
      <c r="L609" s="207" t="s">
        <v>1235</v>
      </c>
      <c r="M609" s="200" t="str">
        <f t="shared" si="38"/>
        <v>OneCo Networks AS</v>
      </c>
      <c r="N6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09" s="269" t="str">
        <f ca="1">IFERROR(IF(
OR(Table1[[#This Row],[Product category]]="Service items",Table1[[#This Row],[Product category]]="Additional services",Table1[[#This Row],[Product category]]="Additional materials"),
"NOK",IF(($N$3&lt;&gt;""),VLOOKUP(Table1[[#This Row],[Product code]],INDIRECT(Aux!$A$1),6,FALSE),"")),"")</f>
        <v>NOK</v>
      </c>
      <c r="P609" s="41" t="str">
        <f ca="1">IFERROR(IF(AND(Table1[[#This Row],[Quantity]]&lt;&gt;"",Table1[[#This Row],[Currency]]="NOK"),Table1[[#This Row],[Quantity]]*Table1[[#This Row],[Unit Price]],""),"")</f>
        <v/>
      </c>
      <c r="Q609" s="41" t="str">
        <f ca="1">IFERROR(IF(AND(Table1[[#This Row],[ACT_Qty]]&lt;&gt;"",Table1[[#This Row],[Currency]]="NOK"),Table1[[#This Row],[ACT_Qty]]*Table1[[#This Row],[Unit Price]],""),"")</f>
        <v/>
      </c>
      <c r="R609" s="40" t="str">
        <f ca="1">IFERROR(IF(AND(Table1[[#This Row],[Quantity]]&lt;&gt;"",Table1[[#This Row],[Currency]]="EUR"),Table1[[#This Row],[Quantity]]*Table1[[#This Row],[Unit Price]],""),"")</f>
        <v/>
      </c>
      <c r="S609" s="40" t="str">
        <f ca="1">IFERROR(IF(AND(Table1[[#This Row],[ACT_Qty]]&lt;&gt;"",Table1[[#This Row],[Currency]]="EUR"),Table1[[#This Row],[ACT_Qty]]*Table1[[#This Row],[Unit Price]],""),"")</f>
        <v/>
      </c>
      <c r="T609" s="269" t="str">
        <f ca="1">IFERROR(IF(AND(($N$3&lt;&gt;""),INDIRECT(Aux!$D$1)),VLOOKUP(Table1[[#This Row],[Product code]],Aux!B:E,4,FALSE),""),"")</f>
        <v/>
      </c>
      <c r="U609" s="145" t="str">
        <f>IFERROR(IF(OR(Table1[[#This Row],[Quantity]]&lt;&gt;"",Table1[[#This Row],[ACT_Qty]]&lt;&gt;""),Table1[[#This Row],[ACT_Qty]]-Table1[[#This Row],[Quantity]],""),"")</f>
        <v/>
      </c>
      <c r="V609" s="45"/>
      <c r="W609" s="45"/>
      <c r="X609" s="45"/>
    </row>
    <row r="610" spans="1:24" ht="15" customHeight="1">
      <c r="A610" s="143" t="str">
        <f t="shared" si="35"/>
        <v>AKH12345</v>
      </c>
      <c r="B610" s="261" t="s">
        <v>1762</v>
      </c>
      <c r="C610" s="7" t="s">
        <v>1763</v>
      </c>
      <c r="D610" s="105"/>
      <c r="E610" s="89" t="s">
        <v>1280</v>
      </c>
      <c r="F610" s="68"/>
      <c r="G610" s="89"/>
      <c r="H610" s="5" t="s">
        <v>1764</v>
      </c>
      <c r="I610" s="5" t="s">
        <v>1233</v>
      </c>
      <c r="J610" s="5" t="s">
        <v>1751</v>
      </c>
      <c r="K610" s="5" t="s">
        <v>1235</v>
      </c>
      <c r="L610" s="208" t="s">
        <v>1235</v>
      </c>
      <c r="M610" s="200" t="str">
        <f t="shared" si="38"/>
        <v>OneCo Networks AS</v>
      </c>
      <c r="N610"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0" s="269" t="str">
        <f ca="1">IFERROR(IF(
OR(Table1[[#This Row],[Product category]]="Service items",Table1[[#This Row],[Product category]]="Additional services",Table1[[#This Row],[Product category]]="Additional materials"),
"NOK",IF(($N$3&lt;&gt;""),VLOOKUP(Table1[[#This Row],[Product code]],INDIRECT(Aux!$A$1),6,FALSE),"")),"")</f>
        <v>NOK</v>
      </c>
      <c r="P610" s="41" t="str">
        <f ca="1">IFERROR(IF(AND(Table1[[#This Row],[Quantity]]&lt;&gt;"",Table1[[#This Row],[Currency]]="NOK"),Table1[[#This Row],[Quantity]]*Table1[[#This Row],[Unit Price]],""),"")</f>
        <v/>
      </c>
      <c r="Q610" s="41" t="str">
        <f ca="1">IFERROR(IF(AND(Table1[[#This Row],[ACT_Qty]]&lt;&gt;"",Table1[[#This Row],[Currency]]="NOK"),Table1[[#This Row],[ACT_Qty]]*Table1[[#This Row],[Unit Price]],""),"")</f>
        <v/>
      </c>
      <c r="R610" s="40" t="str">
        <f ca="1">IFERROR(IF(AND(Table1[[#This Row],[Quantity]]&lt;&gt;"",Table1[[#This Row],[Currency]]="EUR"),Table1[[#This Row],[Quantity]]*Table1[[#This Row],[Unit Price]],""),"")</f>
        <v/>
      </c>
      <c r="S610" s="40" t="str">
        <f ca="1">IFERROR(IF(AND(Table1[[#This Row],[ACT_Qty]]&lt;&gt;"",Table1[[#This Row],[Currency]]="EUR"),Table1[[#This Row],[ACT_Qty]]*Table1[[#This Row],[Unit Price]],""),"")</f>
        <v/>
      </c>
      <c r="T610" s="269" t="str">
        <f ca="1">IFERROR(IF(AND(($N$3&lt;&gt;""),INDIRECT(Aux!$D$1)),VLOOKUP(Table1[[#This Row],[Product code]],Aux!B:E,4,FALSE),""),"")</f>
        <v/>
      </c>
      <c r="U610" s="145" t="str">
        <f>IFERROR(IF(OR(Table1[[#This Row],[Quantity]]&lt;&gt;"",Table1[[#This Row],[ACT_Qty]]&lt;&gt;""),Table1[[#This Row],[ACT_Qty]]-Table1[[#This Row],[Quantity]],""),"")</f>
        <v/>
      </c>
      <c r="V610" s="45"/>
      <c r="W610" s="45"/>
      <c r="X610" s="45"/>
    </row>
    <row r="611" spans="1:24" ht="15" customHeight="1">
      <c r="A611" s="143" t="str">
        <f t="shared" si="35"/>
        <v>AKH12345</v>
      </c>
      <c r="B611" s="260" t="s">
        <v>1765</v>
      </c>
      <c r="C611" s="8" t="s">
        <v>1766</v>
      </c>
      <c r="D611" s="105"/>
      <c r="E611" s="106" t="s">
        <v>1280</v>
      </c>
      <c r="F611" s="105"/>
      <c r="G611" s="106"/>
      <c r="H611" s="6" t="s">
        <v>1767</v>
      </c>
      <c r="I611" s="6" t="s">
        <v>1233</v>
      </c>
      <c r="J611" s="6" t="s">
        <v>1751</v>
      </c>
      <c r="K611" s="6" t="s">
        <v>1235</v>
      </c>
      <c r="L611" s="207" t="s">
        <v>1235</v>
      </c>
      <c r="M611" s="200" t="str">
        <f t="shared" si="38"/>
        <v>OneCo Networks AS</v>
      </c>
      <c r="N6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1" s="269" t="str">
        <f ca="1">IFERROR(IF(
OR(Table1[[#This Row],[Product category]]="Service items",Table1[[#This Row],[Product category]]="Additional services",Table1[[#This Row],[Product category]]="Additional materials"),
"NOK",IF(($N$3&lt;&gt;""),VLOOKUP(Table1[[#This Row],[Product code]],INDIRECT(Aux!$A$1),6,FALSE),"")),"")</f>
        <v>NOK</v>
      </c>
      <c r="P611" s="41" t="str">
        <f ca="1">IFERROR(IF(AND(Table1[[#This Row],[Quantity]]&lt;&gt;"",Table1[[#This Row],[Currency]]="NOK"),Table1[[#This Row],[Quantity]]*Table1[[#This Row],[Unit Price]],""),"")</f>
        <v/>
      </c>
      <c r="Q611" s="41" t="str">
        <f ca="1">IFERROR(IF(AND(Table1[[#This Row],[ACT_Qty]]&lt;&gt;"",Table1[[#This Row],[Currency]]="NOK"),Table1[[#This Row],[ACT_Qty]]*Table1[[#This Row],[Unit Price]],""),"")</f>
        <v/>
      </c>
      <c r="R611" s="40" t="str">
        <f ca="1">IFERROR(IF(AND(Table1[[#This Row],[Quantity]]&lt;&gt;"",Table1[[#This Row],[Currency]]="EUR"),Table1[[#This Row],[Quantity]]*Table1[[#This Row],[Unit Price]],""),"")</f>
        <v/>
      </c>
      <c r="S611" s="40" t="str">
        <f ca="1">IFERROR(IF(AND(Table1[[#This Row],[ACT_Qty]]&lt;&gt;"",Table1[[#This Row],[Currency]]="EUR"),Table1[[#This Row],[ACT_Qty]]*Table1[[#This Row],[Unit Price]],""),"")</f>
        <v/>
      </c>
      <c r="T611" s="269" t="str">
        <f ca="1">IFERROR(IF(AND(($N$3&lt;&gt;""),INDIRECT(Aux!$D$1)),VLOOKUP(Table1[[#This Row],[Product code]],Aux!B:E,4,FALSE),""),"")</f>
        <v/>
      </c>
      <c r="U611" s="145" t="str">
        <f>IFERROR(IF(OR(Table1[[#This Row],[Quantity]]&lt;&gt;"",Table1[[#This Row],[ACT_Qty]]&lt;&gt;""),Table1[[#This Row],[ACT_Qty]]-Table1[[#This Row],[Quantity]],""),"")</f>
        <v/>
      </c>
      <c r="V611" s="45"/>
      <c r="W611" s="45"/>
      <c r="X611" s="45"/>
    </row>
    <row r="612" spans="1:24" ht="15" customHeight="1">
      <c r="A612" s="143" t="str">
        <f t="shared" si="35"/>
        <v>AKH12345</v>
      </c>
      <c r="B612" s="261" t="s">
        <v>1768</v>
      </c>
      <c r="C612" s="7" t="s">
        <v>1769</v>
      </c>
      <c r="D612" s="105"/>
      <c r="E612" s="89" t="s">
        <v>1770</v>
      </c>
      <c r="F612" s="68"/>
      <c r="G612" s="89"/>
      <c r="H612" s="5" t="s">
        <v>1771</v>
      </c>
      <c r="I612" s="5" t="s">
        <v>1233</v>
      </c>
      <c r="J612" s="5" t="s">
        <v>1751</v>
      </c>
      <c r="K612" s="5" t="s">
        <v>1235</v>
      </c>
      <c r="L612" s="208" t="s">
        <v>1235</v>
      </c>
      <c r="M612" s="200" t="str">
        <f t="shared" si="38"/>
        <v>OneCo Networks AS</v>
      </c>
      <c r="N612"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2" s="269" t="str">
        <f ca="1">IFERROR(IF(
OR(Table1[[#This Row],[Product category]]="Service items",Table1[[#This Row],[Product category]]="Additional services",Table1[[#This Row],[Product category]]="Additional materials"),
"NOK",IF(($N$3&lt;&gt;""),VLOOKUP(Table1[[#This Row],[Product code]],INDIRECT(Aux!$A$1),6,FALSE),"")),"")</f>
        <v>NOK</v>
      </c>
      <c r="P612" s="41" t="str">
        <f ca="1">IFERROR(IF(AND(Table1[[#This Row],[Quantity]]&lt;&gt;"",Table1[[#This Row],[Currency]]="NOK"),Table1[[#This Row],[Quantity]]*Table1[[#This Row],[Unit Price]],""),"")</f>
        <v/>
      </c>
      <c r="Q612" s="41" t="str">
        <f ca="1">IFERROR(IF(AND(Table1[[#This Row],[ACT_Qty]]&lt;&gt;"",Table1[[#This Row],[Currency]]="NOK"),Table1[[#This Row],[ACT_Qty]]*Table1[[#This Row],[Unit Price]],""),"")</f>
        <v/>
      </c>
      <c r="R612" s="40" t="str">
        <f ca="1">IFERROR(IF(AND(Table1[[#This Row],[Quantity]]&lt;&gt;"",Table1[[#This Row],[Currency]]="EUR"),Table1[[#This Row],[Quantity]]*Table1[[#This Row],[Unit Price]],""),"")</f>
        <v/>
      </c>
      <c r="S612" s="40" t="str">
        <f ca="1">IFERROR(IF(AND(Table1[[#This Row],[ACT_Qty]]&lt;&gt;"",Table1[[#This Row],[Currency]]="EUR"),Table1[[#This Row],[ACT_Qty]]*Table1[[#This Row],[Unit Price]],""),"")</f>
        <v/>
      </c>
      <c r="T612" s="269" t="str">
        <f ca="1">IFERROR(IF(AND(($N$3&lt;&gt;""),INDIRECT(Aux!$D$1)),VLOOKUP(Table1[[#This Row],[Product code]],Aux!B:E,4,FALSE),""),"")</f>
        <v/>
      </c>
      <c r="U612" s="145" t="str">
        <f>IFERROR(IF(OR(Table1[[#This Row],[Quantity]]&lt;&gt;"",Table1[[#This Row],[ACT_Qty]]&lt;&gt;""),Table1[[#This Row],[ACT_Qty]]-Table1[[#This Row],[Quantity]],""),"")</f>
        <v/>
      </c>
      <c r="V612" s="45"/>
      <c r="W612" s="45"/>
      <c r="X612" s="45"/>
    </row>
    <row r="613" spans="1:24" ht="15" customHeight="1">
      <c r="A613" s="143" t="str">
        <f t="shared" si="35"/>
        <v>AKH12345</v>
      </c>
      <c r="B613" s="260" t="s">
        <v>1772</v>
      </c>
      <c r="C613" s="8" t="s">
        <v>1773</v>
      </c>
      <c r="D613" s="105"/>
      <c r="E613" s="106" t="s">
        <v>1283</v>
      </c>
      <c r="F613" s="105"/>
      <c r="G613" s="106"/>
      <c r="H613" s="6" t="s">
        <v>1774</v>
      </c>
      <c r="I613" s="6" t="s">
        <v>1233</v>
      </c>
      <c r="J613" s="6" t="s">
        <v>1751</v>
      </c>
      <c r="K613" s="6" t="s">
        <v>1235</v>
      </c>
      <c r="L613" s="207" t="s">
        <v>1235</v>
      </c>
      <c r="M613" s="200" t="str">
        <f t="shared" si="38"/>
        <v>OneCo Networks AS</v>
      </c>
      <c r="N6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3" s="269" t="str">
        <f ca="1">IFERROR(IF(
OR(Table1[[#This Row],[Product category]]="Service items",Table1[[#This Row],[Product category]]="Additional services",Table1[[#This Row],[Product category]]="Additional materials"),
"NOK",IF(($N$3&lt;&gt;""),VLOOKUP(Table1[[#This Row],[Product code]],INDIRECT(Aux!$A$1),6,FALSE),"")),"")</f>
        <v>NOK</v>
      </c>
      <c r="P613" s="41" t="str">
        <f ca="1">IFERROR(IF(AND(Table1[[#This Row],[Quantity]]&lt;&gt;"",Table1[[#This Row],[Currency]]="NOK"),Table1[[#This Row],[Quantity]]*Table1[[#This Row],[Unit Price]],""),"")</f>
        <v/>
      </c>
      <c r="Q613" s="41" t="str">
        <f ca="1">IFERROR(IF(AND(Table1[[#This Row],[ACT_Qty]]&lt;&gt;"",Table1[[#This Row],[Currency]]="NOK"),Table1[[#This Row],[ACT_Qty]]*Table1[[#This Row],[Unit Price]],""),"")</f>
        <v/>
      </c>
      <c r="R613" s="40" t="str">
        <f ca="1">IFERROR(IF(AND(Table1[[#This Row],[Quantity]]&lt;&gt;"",Table1[[#This Row],[Currency]]="EUR"),Table1[[#This Row],[Quantity]]*Table1[[#This Row],[Unit Price]],""),"")</f>
        <v/>
      </c>
      <c r="S613" s="40" t="str">
        <f ca="1">IFERROR(IF(AND(Table1[[#This Row],[ACT_Qty]]&lt;&gt;"",Table1[[#This Row],[Currency]]="EUR"),Table1[[#This Row],[ACT_Qty]]*Table1[[#This Row],[Unit Price]],""),"")</f>
        <v/>
      </c>
      <c r="T613" s="269" t="str">
        <f ca="1">IFERROR(IF(AND(($N$3&lt;&gt;""),INDIRECT(Aux!$D$1)),VLOOKUP(Table1[[#This Row],[Product code]],Aux!B:E,4,FALSE),""),"")</f>
        <v/>
      </c>
      <c r="U613" s="145" t="str">
        <f>IFERROR(IF(OR(Table1[[#This Row],[Quantity]]&lt;&gt;"",Table1[[#This Row],[ACT_Qty]]&lt;&gt;""),Table1[[#This Row],[ACT_Qty]]-Table1[[#This Row],[Quantity]],""),"")</f>
        <v/>
      </c>
      <c r="V613" s="45"/>
      <c r="W613" s="45"/>
      <c r="X613" s="45"/>
    </row>
    <row r="614" spans="1:24" ht="15" customHeight="1">
      <c r="A614" s="233" t="str">
        <f t="shared" si="35"/>
        <v>AKH12345</v>
      </c>
      <c r="B614" s="262" t="s">
        <v>1775</v>
      </c>
      <c r="C614" s="13" t="s">
        <v>1776</v>
      </c>
      <c r="D614" s="68"/>
      <c r="E614" s="89"/>
      <c r="F614" s="68"/>
      <c r="G614" s="89"/>
      <c r="H614" s="209" t="s">
        <v>1777</v>
      </c>
      <c r="I614" s="210" t="s">
        <v>1778</v>
      </c>
      <c r="J614" s="209" t="s">
        <v>1778</v>
      </c>
      <c r="K614" s="209" t="s">
        <v>1235</v>
      </c>
      <c r="L614" s="211" t="s">
        <v>1235</v>
      </c>
      <c r="M614" s="148" t="str">
        <f t="shared" si="36"/>
        <v>OneCo Networks AS</v>
      </c>
      <c r="N61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4" s="270" t="str">
        <f ca="1">IFERROR(IF(
OR(Table1[[#This Row],[Product category]]="Service items",Table1[[#This Row],[Product category]]="Additional services",Table1[[#This Row],[Product category]]="Additional materials"),
"NOK",IF(($N$3&lt;&gt;""),VLOOKUP(Table1[[#This Row],[Product code]],INDIRECT(Aux!$A$1),6,FALSE),"")),"")</f>
        <v>NOK</v>
      </c>
      <c r="P614" s="43" t="str">
        <f ca="1">IFERROR(IF(AND(Table1[[#This Row],[Quantity]]&lt;&gt;"",Table1[[#This Row],[Currency]]="NOK"),Table1[[#This Row],[Quantity]]*Table1[[#This Row],[Unit Price]],""),"")</f>
        <v/>
      </c>
      <c r="Q614" s="43" t="str">
        <f ca="1">IFERROR(IF(AND(Table1[[#This Row],[ACT_Qty]]&lt;&gt;"",Table1[[#This Row],[Currency]]="NOK"),Table1[[#This Row],[ACT_Qty]]*Table1[[#This Row],[Unit Price]],""),"")</f>
        <v/>
      </c>
      <c r="R614" s="43" t="str">
        <f ca="1">IFERROR(IF(AND(Table1[[#This Row],[Quantity]]&lt;&gt;"",Table1[[#This Row],[Currency]]="EUR"),Table1[[#This Row],[Quantity]]*Table1[[#This Row],[Unit Price]],""),"")</f>
        <v/>
      </c>
      <c r="S614" s="43" t="str">
        <f ca="1">IFERROR(IF(AND(Table1[[#This Row],[ACT_Qty]]&lt;&gt;"",Table1[[#This Row],[Currency]]="EUR"),Table1[[#This Row],[ACT_Qty]]*Table1[[#This Row],[Unit Price]],""),"")</f>
        <v/>
      </c>
      <c r="T614" s="271" t="str">
        <f ca="1">IFERROR(IF(AND(($N$3&lt;&gt;""),INDIRECT(Aux!$D$1)),VLOOKUP(Table1[[#This Row],[Product code]],Aux!B:E,4,FALSE),""),"")</f>
        <v/>
      </c>
      <c r="U614" s="148" t="str">
        <f>IFERROR(IF(OR(Table1[[#This Row],[Quantity]]&lt;&gt;"",Table1[[#This Row],[ACT_Qty]]&lt;&gt;""),Table1[[#This Row],[ACT_Qty]]-Table1[[#This Row],[Quantity]],""),"")</f>
        <v/>
      </c>
      <c r="V614" s="46"/>
      <c r="W614" s="46"/>
      <c r="X614" s="46"/>
    </row>
    <row r="615" spans="1:24" ht="15" customHeight="1">
      <c r="A615" s="143" t="str">
        <f t="shared" si="35"/>
        <v>AKH12345</v>
      </c>
      <c r="B615" s="262" t="s">
        <v>1775</v>
      </c>
      <c r="C615" s="13" t="s">
        <v>1776</v>
      </c>
      <c r="D615" s="105"/>
      <c r="E615" s="106" t="s">
        <v>1779</v>
      </c>
      <c r="F615" s="105"/>
      <c r="G615" s="106"/>
      <c r="H615" s="209" t="s">
        <v>1777</v>
      </c>
      <c r="I615" s="210" t="s">
        <v>1778</v>
      </c>
      <c r="J615" s="209" t="s">
        <v>1778</v>
      </c>
      <c r="K615" s="209" t="s">
        <v>1235</v>
      </c>
      <c r="L615" s="211" t="s">
        <v>1235</v>
      </c>
      <c r="M615" s="145" t="str">
        <f t="shared" si="36"/>
        <v>OneCo Networks AS</v>
      </c>
      <c r="N6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5" s="268" t="str">
        <f ca="1">IFERROR(IF(
OR(Table1[[#This Row],[Product category]]="Service items",Table1[[#This Row],[Product category]]="Additional services",Table1[[#This Row],[Product category]]="Additional materials"),
"NOK",IF(($N$3&lt;&gt;""),VLOOKUP(Table1[[#This Row],[Product code]],INDIRECT(Aux!$A$1),6,FALSE),"")),"")</f>
        <v>NOK</v>
      </c>
      <c r="P615" s="41" t="str">
        <f ca="1">IFERROR(IF(AND(Table1[[#This Row],[Quantity]]&lt;&gt;"",Table1[[#This Row],[Currency]]="NOK"),Table1[[#This Row],[Quantity]]*Table1[[#This Row],[Unit Price]],""),"")</f>
        <v/>
      </c>
      <c r="Q615" s="41" t="str">
        <f ca="1">IFERROR(IF(AND(Table1[[#This Row],[ACT_Qty]]&lt;&gt;"",Table1[[#This Row],[Currency]]="NOK"),Table1[[#This Row],[ACT_Qty]]*Table1[[#This Row],[Unit Price]],""),"")</f>
        <v/>
      </c>
      <c r="R615" s="41" t="str">
        <f ca="1">IFERROR(IF(AND(Table1[[#This Row],[Quantity]]&lt;&gt;"",Table1[[#This Row],[Currency]]="EUR"),Table1[[#This Row],[Quantity]]*Table1[[#This Row],[Unit Price]],""),"")</f>
        <v/>
      </c>
      <c r="S615" s="41" t="str">
        <f ca="1">IFERROR(IF(AND(Table1[[#This Row],[ACT_Qty]]&lt;&gt;"",Table1[[#This Row],[Currency]]="EUR"),Table1[[#This Row],[ACT_Qty]]*Table1[[#This Row],[Unit Price]],""),"")</f>
        <v/>
      </c>
      <c r="T615" s="269" t="str">
        <f ca="1">IFERROR(IF(AND(($N$3&lt;&gt;""),INDIRECT(Aux!$D$1)),VLOOKUP(Table1[[#This Row],[Product code]],Aux!B:E,4,FALSE),""),"")</f>
        <v/>
      </c>
      <c r="U615" s="145" t="str">
        <f>IFERROR(IF(OR(Table1[[#This Row],[Quantity]]&lt;&gt;"",Table1[[#This Row],[ACT_Qty]]&lt;&gt;""),Table1[[#This Row],[ACT_Qty]]-Table1[[#This Row],[Quantity]],""),"")</f>
        <v/>
      </c>
      <c r="V615" s="45"/>
      <c r="W615" s="45"/>
      <c r="X615" s="45"/>
    </row>
    <row r="616" spans="1:24" ht="15" customHeight="1">
      <c r="A616" s="233" t="str">
        <f t="shared" si="35"/>
        <v>AKH12345</v>
      </c>
      <c r="B616" s="262" t="s">
        <v>1775</v>
      </c>
      <c r="C616" s="13" t="s">
        <v>1776</v>
      </c>
      <c r="D616" s="68"/>
      <c r="E616" s="89" t="s">
        <v>1779</v>
      </c>
      <c r="F616" s="68"/>
      <c r="G616" s="89"/>
      <c r="H616" s="209" t="s">
        <v>1777</v>
      </c>
      <c r="I616" s="210" t="s">
        <v>1778</v>
      </c>
      <c r="J616" s="209" t="s">
        <v>1778</v>
      </c>
      <c r="K616" s="209" t="s">
        <v>1235</v>
      </c>
      <c r="L616" s="211" t="s">
        <v>1235</v>
      </c>
      <c r="M616" s="148" t="str">
        <f t="shared" si="36"/>
        <v>OneCo Networks AS</v>
      </c>
      <c r="N61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6" s="270" t="str">
        <f ca="1">IFERROR(IF(
OR(Table1[[#This Row],[Product category]]="Service items",Table1[[#This Row],[Product category]]="Additional services",Table1[[#This Row],[Product category]]="Additional materials"),
"NOK",IF(($N$3&lt;&gt;""),VLOOKUP(Table1[[#This Row],[Product code]],INDIRECT(Aux!$A$1),6,FALSE),"")),"")</f>
        <v>NOK</v>
      </c>
      <c r="P616" s="43" t="str">
        <f ca="1">IFERROR(IF(AND(Table1[[#This Row],[Quantity]]&lt;&gt;"",Table1[[#This Row],[Currency]]="NOK"),Table1[[#This Row],[Quantity]]*Table1[[#This Row],[Unit Price]],""),"")</f>
        <v/>
      </c>
      <c r="Q616" s="43" t="str">
        <f ca="1">IFERROR(IF(AND(Table1[[#This Row],[ACT_Qty]]&lt;&gt;"",Table1[[#This Row],[Currency]]="NOK"),Table1[[#This Row],[ACT_Qty]]*Table1[[#This Row],[Unit Price]],""),"")</f>
        <v/>
      </c>
      <c r="R616" s="43" t="str">
        <f ca="1">IFERROR(IF(AND(Table1[[#This Row],[Quantity]]&lt;&gt;"",Table1[[#This Row],[Currency]]="EUR"),Table1[[#This Row],[Quantity]]*Table1[[#This Row],[Unit Price]],""),"")</f>
        <v/>
      </c>
      <c r="S616" s="43" t="str">
        <f ca="1">IFERROR(IF(AND(Table1[[#This Row],[ACT_Qty]]&lt;&gt;"",Table1[[#This Row],[Currency]]="EUR"),Table1[[#This Row],[ACT_Qty]]*Table1[[#This Row],[Unit Price]],""),"")</f>
        <v/>
      </c>
      <c r="T616" s="271" t="str">
        <f ca="1">IFERROR(IF(AND(($N$3&lt;&gt;""),INDIRECT(Aux!$D$1)),VLOOKUP(Table1[[#This Row],[Product code]],Aux!B:E,4,FALSE),""),"")</f>
        <v/>
      </c>
      <c r="U616" s="148" t="str">
        <f>IFERROR(IF(OR(Table1[[#This Row],[Quantity]]&lt;&gt;"",Table1[[#This Row],[ACT_Qty]]&lt;&gt;""),Table1[[#This Row],[ACT_Qty]]-Table1[[#This Row],[Quantity]],""),"")</f>
        <v/>
      </c>
      <c r="V616" s="46"/>
      <c r="W616" s="46"/>
      <c r="X616" s="46"/>
    </row>
    <row r="617" spans="1:24" ht="15" customHeight="1">
      <c r="A617" s="143" t="str">
        <f t="shared" si="35"/>
        <v>AKH12345</v>
      </c>
      <c r="B617" s="262" t="s">
        <v>1775</v>
      </c>
      <c r="C617" s="13" t="s">
        <v>1776</v>
      </c>
      <c r="D617" s="105"/>
      <c r="E617" s="106" t="s">
        <v>1779</v>
      </c>
      <c r="F617" s="105"/>
      <c r="G617" s="106"/>
      <c r="H617" s="209" t="s">
        <v>1777</v>
      </c>
      <c r="I617" s="210" t="s">
        <v>1778</v>
      </c>
      <c r="J617" s="209" t="s">
        <v>1778</v>
      </c>
      <c r="K617" s="209" t="s">
        <v>1235</v>
      </c>
      <c r="L617" s="211" t="s">
        <v>1235</v>
      </c>
      <c r="M617" s="145" t="str">
        <f t="shared" si="36"/>
        <v>OneCo Networks AS</v>
      </c>
      <c r="N6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7" s="268" t="str">
        <f ca="1">IFERROR(IF(
OR(Table1[[#This Row],[Product category]]="Service items",Table1[[#This Row],[Product category]]="Additional services",Table1[[#This Row],[Product category]]="Additional materials"),
"NOK",IF(($N$3&lt;&gt;""),VLOOKUP(Table1[[#This Row],[Product code]],INDIRECT(Aux!$A$1),6,FALSE),"")),"")</f>
        <v>NOK</v>
      </c>
      <c r="P617" s="41" t="str">
        <f ca="1">IFERROR(IF(AND(Table1[[#This Row],[Quantity]]&lt;&gt;"",Table1[[#This Row],[Currency]]="NOK"),Table1[[#This Row],[Quantity]]*Table1[[#This Row],[Unit Price]],""),"")</f>
        <v/>
      </c>
      <c r="Q617" s="41" t="str">
        <f ca="1">IFERROR(IF(AND(Table1[[#This Row],[ACT_Qty]]&lt;&gt;"",Table1[[#This Row],[Currency]]="NOK"),Table1[[#This Row],[ACT_Qty]]*Table1[[#This Row],[Unit Price]],""),"")</f>
        <v/>
      </c>
      <c r="R617" s="41" t="str">
        <f ca="1">IFERROR(IF(AND(Table1[[#This Row],[Quantity]]&lt;&gt;"",Table1[[#This Row],[Currency]]="EUR"),Table1[[#This Row],[Quantity]]*Table1[[#This Row],[Unit Price]],""),"")</f>
        <v/>
      </c>
      <c r="S617" s="41" t="str">
        <f ca="1">IFERROR(IF(AND(Table1[[#This Row],[ACT_Qty]]&lt;&gt;"",Table1[[#This Row],[Currency]]="EUR"),Table1[[#This Row],[ACT_Qty]]*Table1[[#This Row],[Unit Price]],""),"")</f>
        <v/>
      </c>
      <c r="T617" s="269" t="str">
        <f ca="1">IFERROR(IF(AND(($N$3&lt;&gt;""),INDIRECT(Aux!$D$1)),VLOOKUP(Table1[[#This Row],[Product code]],Aux!B:E,4,FALSE),""),"")</f>
        <v/>
      </c>
      <c r="U617" s="145" t="str">
        <f>IFERROR(IF(OR(Table1[[#This Row],[Quantity]]&lt;&gt;"",Table1[[#This Row],[ACT_Qty]]&lt;&gt;""),Table1[[#This Row],[ACT_Qty]]-Table1[[#This Row],[Quantity]],""),"")</f>
        <v/>
      </c>
      <c r="V617" s="45"/>
      <c r="W617" s="45"/>
      <c r="X617" s="45"/>
    </row>
    <row r="618" spans="1:24" ht="15" customHeight="1">
      <c r="A618" s="233" t="str">
        <f t="shared" si="35"/>
        <v>AKH12345</v>
      </c>
      <c r="B618" s="262" t="s">
        <v>1780</v>
      </c>
      <c r="C618" s="13" t="s">
        <v>1781</v>
      </c>
      <c r="D618" s="68"/>
      <c r="E618" s="89" t="s">
        <v>1782</v>
      </c>
      <c r="F618" s="68"/>
      <c r="G618" s="89"/>
      <c r="H618" s="209" t="s">
        <v>1783</v>
      </c>
      <c r="I618" s="210" t="s">
        <v>1784</v>
      </c>
      <c r="J618" s="209" t="s">
        <v>1784</v>
      </c>
      <c r="K618" s="209" t="s">
        <v>1235</v>
      </c>
      <c r="L618" s="211" t="s">
        <v>1235</v>
      </c>
      <c r="M618" s="148" t="str">
        <f t="shared" si="36"/>
        <v>OneCo Networks AS</v>
      </c>
      <c r="N61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8" s="270" t="str">
        <f ca="1">IFERROR(IF(
OR(Table1[[#This Row],[Product category]]="Service items",Table1[[#This Row],[Product category]]="Additional services",Table1[[#This Row],[Product category]]="Additional materials"),
"NOK",IF(($N$3&lt;&gt;""),VLOOKUP(Table1[[#This Row],[Product code]],INDIRECT(Aux!$A$1),6,FALSE),"")),"")</f>
        <v>NOK</v>
      </c>
      <c r="P618" s="43" t="str">
        <f ca="1">IFERROR(IF(AND(Table1[[#This Row],[Quantity]]&lt;&gt;"",Table1[[#This Row],[Currency]]="NOK"),Table1[[#This Row],[Quantity]]*Table1[[#This Row],[Unit Price]],""),"")</f>
        <v/>
      </c>
      <c r="Q618" s="43" t="str">
        <f ca="1">IFERROR(IF(AND(Table1[[#This Row],[ACT_Qty]]&lt;&gt;"",Table1[[#This Row],[Currency]]="NOK"),Table1[[#This Row],[ACT_Qty]]*Table1[[#This Row],[Unit Price]],""),"")</f>
        <v/>
      </c>
      <c r="R618" s="43" t="str">
        <f ca="1">IFERROR(IF(AND(Table1[[#This Row],[Quantity]]&lt;&gt;"",Table1[[#This Row],[Currency]]="EUR"),Table1[[#This Row],[Quantity]]*Table1[[#This Row],[Unit Price]],""),"")</f>
        <v/>
      </c>
      <c r="S618" s="43" t="str">
        <f ca="1">IFERROR(IF(AND(Table1[[#This Row],[ACT_Qty]]&lt;&gt;"",Table1[[#This Row],[Currency]]="EUR"),Table1[[#This Row],[ACT_Qty]]*Table1[[#This Row],[Unit Price]],""),"")</f>
        <v/>
      </c>
      <c r="T618" s="271" t="str">
        <f ca="1">IFERROR(IF(AND(($N$3&lt;&gt;""),INDIRECT(Aux!$D$1)),VLOOKUP(Table1[[#This Row],[Product code]],Aux!B:E,4,FALSE),""),"")</f>
        <v/>
      </c>
      <c r="U618" s="148" t="str">
        <f>IFERROR(IF(OR(Table1[[#This Row],[Quantity]]&lt;&gt;"",Table1[[#This Row],[ACT_Qty]]&lt;&gt;""),Table1[[#This Row],[ACT_Qty]]-Table1[[#This Row],[Quantity]],""),"")</f>
        <v/>
      </c>
      <c r="V618" s="46"/>
      <c r="W618" s="46"/>
      <c r="X618" s="46"/>
    </row>
    <row r="619" spans="1:24" ht="15" customHeight="1">
      <c r="A619" s="143" t="str">
        <f t="shared" si="35"/>
        <v>AKH12345</v>
      </c>
      <c r="B619" s="262" t="s">
        <v>1780</v>
      </c>
      <c r="C619" s="13" t="s">
        <v>1781</v>
      </c>
      <c r="D619" s="105"/>
      <c r="E619" s="106" t="s">
        <v>1782</v>
      </c>
      <c r="F619" s="105"/>
      <c r="G619" s="106"/>
      <c r="H619" s="209" t="s">
        <v>1783</v>
      </c>
      <c r="I619" s="210" t="s">
        <v>1784</v>
      </c>
      <c r="J619" s="209" t="s">
        <v>1784</v>
      </c>
      <c r="K619" s="209" t="s">
        <v>1235</v>
      </c>
      <c r="L619" s="211" t="s">
        <v>1235</v>
      </c>
      <c r="M619" s="145" t="str">
        <f t="shared" si="36"/>
        <v>OneCo Networks AS</v>
      </c>
      <c r="N6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19" s="268" t="str">
        <f ca="1">IFERROR(IF(
OR(Table1[[#This Row],[Product category]]="Service items",Table1[[#This Row],[Product category]]="Additional services",Table1[[#This Row],[Product category]]="Additional materials"),
"NOK",IF(($N$3&lt;&gt;""),VLOOKUP(Table1[[#This Row],[Product code]],INDIRECT(Aux!$A$1),6,FALSE),"")),"")</f>
        <v>NOK</v>
      </c>
      <c r="P619" s="41" t="str">
        <f ca="1">IFERROR(IF(AND(Table1[[#This Row],[Quantity]]&lt;&gt;"",Table1[[#This Row],[Currency]]="NOK"),Table1[[#This Row],[Quantity]]*Table1[[#This Row],[Unit Price]],""),"")</f>
        <v/>
      </c>
      <c r="Q619" s="41" t="str">
        <f ca="1">IFERROR(IF(AND(Table1[[#This Row],[ACT_Qty]]&lt;&gt;"",Table1[[#This Row],[Currency]]="NOK"),Table1[[#This Row],[ACT_Qty]]*Table1[[#This Row],[Unit Price]],""),"")</f>
        <v/>
      </c>
      <c r="R619" s="41" t="str">
        <f ca="1">IFERROR(IF(AND(Table1[[#This Row],[Quantity]]&lt;&gt;"",Table1[[#This Row],[Currency]]="EUR"),Table1[[#This Row],[Quantity]]*Table1[[#This Row],[Unit Price]],""),"")</f>
        <v/>
      </c>
      <c r="S619" s="41" t="str">
        <f ca="1">IFERROR(IF(AND(Table1[[#This Row],[ACT_Qty]]&lt;&gt;"",Table1[[#This Row],[Currency]]="EUR"),Table1[[#This Row],[ACT_Qty]]*Table1[[#This Row],[Unit Price]],""),"")</f>
        <v/>
      </c>
      <c r="T619" s="269" t="str">
        <f ca="1">IFERROR(IF(AND(($N$3&lt;&gt;""),INDIRECT(Aux!$D$1)),VLOOKUP(Table1[[#This Row],[Product code]],Aux!B:E,4,FALSE),""),"")</f>
        <v/>
      </c>
      <c r="U619" s="145" t="str">
        <f>IFERROR(IF(OR(Table1[[#This Row],[Quantity]]&lt;&gt;"",Table1[[#This Row],[ACT_Qty]]&lt;&gt;""),Table1[[#This Row],[ACT_Qty]]-Table1[[#This Row],[Quantity]],""),"")</f>
        <v/>
      </c>
      <c r="V619" s="45"/>
      <c r="W619" s="45"/>
      <c r="X619" s="45"/>
    </row>
    <row r="620" spans="1:24" ht="15" customHeight="1">
      <c r="A620" s="233" t="str">
        <f t="shared" si="35"/>
        <v>AKH12345</v>
      </c>
      <c r="B620" s="262" t="s">
        <v>1780</v>
      </c>
      <c r="C620" s="13" t="s">
        <v>1781</v>
      </c>
      <c r="D620" s="68"/>
      <c r="E620" s="89" t="s">
        <v>1782</v>
      </c>
      <c r="F620" s="68"/>
      <c r="G620" s="89"/>
      <c r="H620" s="209" t="s">
        <v>1783</v>
      </c>
      <c r="I620" s="210" t="s">
        <v>1784</v>
      </c>
      <c r="J620" s="209" t="s">
        <v>1784</v>
      </c>
      <c r="K620" s="209" t="s">
        <v>1235</v>
      </c>
      <c r="L620" s="211" t="s">
        <v>1235</v>
      </c>
      <c r="M620" s="148" t="str">
        <f t="shared" si="36"/>
        <v>OneCo Networks AS</v>
      </c>
      <c r="N62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0" s="270" t="str">
        <f ca="1">IFERROR(IF(
OR(Table1[[#This Row],[Product category]]="Service items",Table1[[#This Row],[Product category]]="Additional services",Table1[[#This Row],[Product category]]="Additional materials"),
"NOK",IF(($N$3&lt;&gt;""),VLOOKUP(Table1[[#This Row],[Product code]],INDIRECT(Aux!$A$1),6,FALSE),"")),"")</f>
        <v>NOK</v>
      </c>
      <c r="P620" s="43" t="str">
        <f ca="1">IFERROR(IF(AND(Table1[[#This Row],[Quantity]]&lt;&gt;"",Table1[[#This Row],[Currency]]="NOK"),Table1[[#This Row],[Quantity]]*Table1[[#This Row],[Unit Price]],""),"")</f>
        <v/>
      </c>
      <c r="Q620" s="43" t="str">
        <f ca="1">IFERROR(IF(AND(Table1[[#This Row],[ACT_Qty]]&lt;&gt;"",Table1[[#This Row],[Currency]]="NOK"),Table1[[#This Row],[ACT_Qty]]*Table1[[#This Row],[Unit Price]],""),"")</f>
        <v/>
      </c>
      <c r="R620" s="43" t="str">
        <f ca="1">IFERROR(IF(AND(Table1[[#This Row],[Quantity]]&lt;&gt;"",Table1[[#This Row],[Currency]]="EUR"),Table1[[#This Row],[Quantity]]*Table1[[#This Row],[Unit Price]],""),"")</f>
        <v/>
      </c>
      <c r="S620" s="43" t="str">
        <f ca="1">IFERROR(IF(AND(Table1[[#This Row],[ACT_Qty]]&lt;&gt;"",Table1[[#This Row],[Currency]]="EUR"),Table1[[#This Row],[ACT_Qty]]*Table1[[#This Row],[Unit Price]],""),"")</f>
        <v/>
      </c>
      <c r="T620" s="271" t="str">
        <f ca="1">IFERROR(IF(AND(($N$3&lt;&gt;""),INDIRECT(Aux!$D$1)),VLOOKUP(Table1[[#This Row],[Product code]],Aux!B:E,4,FALSE),""),"")</f>
        <v/>
      </c>
      <c r="U620" s="148" t="str">
        <f>IFERROR(IF(OR(Table1[[#This Row],[Quantity]]&lt;&gt;"",Table1[[#This Row],[ACT_Qty]]&lt;&gt;""),Table1[[#This Row],[ACT_Qty]]-Table1[[#This Row],[Quantity]],""),"")</f>
        <v/>
      </c>
      <c r="V620" s="46"/>
      <c r="W620" s="46"/>
      <c r="X620" s="46"/>
    </row>
    <row r="621" spans="1:24" ht="15" customHeight="1">
      <c r="A621" s="143" t="str">
        <f t="shared" si="35"/>
        <v>AKH12345</v>
      </c>
      <c r="B621" s="107"/>
      <c r="C621" s="108"/>
      <c r="D621" s="109"/>
      <c r="E621" s="110"/>
      <c r="F621" s="109"/>
      <c r="G621" s="110"/>
      <c r="H621" s="111"/>
      <c r="I621" s="112"/>
      <c r="J621" s="111"/>
      <c r="K621" s="111"/>
      <c r="L621" s="113"/>
      <c r="M621" s="145" t="str">
        <f t="shared" si="36"/>
        <v>OneCo Networks AS</v>
      </c>
      <c r="N6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1" s="268" t="str">
        <f ca="1">IFERROR(IF(
OR(Table1[[#This Row],[Product category]]="Service items",Table1[[#This Row],[Product category]]="Additional services",Table1[[#This Row],[Product category]]="Additional materials"),
"NOK",IF(($N$3&lt;&gt;""),VLOOKUP(Table1[[#This Row],[Product code]],INDIRECT(Aux!$A$1),6,FALSE),"")),"")</f>
        <v/>
      </c>
      <c r="P621" s="41" t="str">
        <f ca="1">IFERROR(IF(AND(Table1[[#This Row],[Quantity]]&lt;&gt;"",Table1[[#This Row],[Currency]]="NOK"),Table1[[#This Row],[Quantity]]*Table1[[#This Row],[Unit Price]],""),"")</f>
        <v/>
      </c>
      <c r="Q621" s="41" t="str">
        <f ca="1">IFERROR(IF(AND(Table1[[#This Row],[ACT_Qty]]&lt;&gt;"",Table1[[#This Row],[Currency]]="NOK"),Table1[[#This Row],[ACT_Qty]]*Table1[[#This Row],[Unit Price]],""),"")</f>
        <v/>
      </c>
      <c r="R621" s="41" t="str">
        <f ca="1">IFERROR(IF(AND(Table1[[#This Row],[Quantity]]&lt;&gt;"",Table1[[#This Row],[Currency]]="EUR"),Table1[[#This Row],[Quantity]]*Table1[[#This Row],[Unit Price]],""),"")</f>
        <v/>
      </c>
      <c r="S621" s="41" t="str">
        <f ca="1">IFERROR(IF(AND(Table1[[#This Row],[ACT_Qty]]&lt;&gt;"",Table1[[#This Row],[Currency]]="EUR"),Table1[[#This Row],[ACT_Qty]]*Table1[[#This Row],[Unit Price]],""),"")</f>
        <v/>
      </c>
      <c r="T621" s="269" t="str">
        <f ca="1">IFERROR(IF(AND(($N$3&lt;&gt;""),INDIRECT(Aux!$D$1)),VLOOKUP(Table1[[#This Row],[Product code]],Aux!B:E,4,FALSE),""),"")</f>
        <v/>
      </c>
      <c r="U621" s="145" t="str">
        <f>IFERROR(IF(OR(Table1[[#This Row],[Quantity]]&lt;&gt;"",Table1[[#This Row],[ACT_Qty]]&lt;&gt;""),Table1[[#This Row],[ACT_Qty]]-Table1[[#This Row],[Quantity]],""),"")</f>
        <v/>
      </c>
      <c r="V621" s="45"/>
      <c r="W621" s="45"/>
      <c r="X621" s="45"/>
    </row>
    <row r="622" spans="1:24" ht="15" customHeight="1">
      <c r="A622" s="233" t="str">
        <f t="shared" si="35"/>
        <v>AKH12345</v>
      </c>
      <c r="B622" s="91"/>
      <c r="C622" s="92"/>
      <c r="D622" s="93"/>
      <c r="E622" s="94"/>
      <c r="F622" s="93"/>
      <c r="G622" s="94"/>
      <c r="H622" s="95"/>
      <c r="I622" s="97"/>
      <c r="J622" s="95"/>
      <c r="K622" s="95"/>
      <c r="L622" s="96"/>
      <c r="M622" s="148" t="str">
        <f t="shared" si="36"/>
        <v>OneCo Networks AS</v>
      </c>
      <c r="N62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2" s="270" t="str">
        <f ca="1">IFERROR(IF(
OR(Table1[[#This Row],[Product category]]="Service items",Table1[[#This Row],[Product category]]="Additional services",Table1[[#This Row],[Product category]]="Additional materials"),
"NOK",IF(($N$3&lt;&gt;""),VLOOKUP(Table1[[#This Row],[Product code]],INDIRECT(Aux!$A$1),6,FALSE),"")),"")</f>
        <v/>
      </c>
      <c r="P622" s="43" t="str">
        <f ca="1">IFERROR(IF(AND(Table1[[#This Row],[Quantity]]&lt;&gt;"",Table1[[#This Row],[Currency]]="NOK"),Table1[[#This Row],[Quantity]]*Table1[[#This Row],[Unit Price]],""),"")</f>
        <v/>
      </c>
      <c r="Q622" s="43" t="str">
        <f ca="1">IFERROR(IF(AND(Table1[[#This Row],[ACT_Qty]]&lt;&gt;"",Table1[[#This Row],[Currency]]="NOK"),Table1[[#This Row],[ACT_Qty]]*Table1[[#This Row],[Unit Price]],""),"")</f>
        <v/>
      </c>
      <c r="R622" s="43" t="str">
        <f ca="1">IFERROR(IF(AND(Table1[[#This Row],[Quantity]]&lt;&gt;"",Table1[[#This Row],[Currency]]="EUR"),Table1[[#This Row],[Quantity]]*Table1[[#This Row],[Unit Price]],""),"")</f>
        <v/>
      </c>
      <c r="S622" s="43" t="str">
        <f ca="1">IFERROR(IF(AND(Table1[[#This Row],[ACT_Qty]]&lt;&gt;"",Table1[[#This Row],[Currency]]="EUR"),Table1[[#This Row],[ACT_Qty]]*Table1[[#This Row],[Unit Price]],""),"")</f>
        <v/>
      </c>
      <c r="T622" s="271" t="str">
        <f ca="1">IFERROR(IF(AND(($N$3&lt;&gt;""),INDIRECT(Aux!$D$1)),VLOOKUP(Table1[[#This Row],[Product code]],Aux!B:E,4,FALSE),""),"")</f>
        <v/>
      </c>
      <c r="U622" s="148" t="str">
        <f>IFERROR(IF(OR(Table1[[#This Row],[Quantity]]&lt;&gt;"",Table1[[#This Row],[ACT_Qty]]&lt;&gt;""),Table1[[#This Row],[ACT_Qty]]-Table1[[#This Row],[Quantity]],""),"")</f>
        <v/>
      </c>
      <c r="V622" s="46"/>
      <c r="W622" s="46"/>
      <c r="X622" s="46"/>
    </row>
    <row r="623" spans="1:24" ht="15" customHeight="1">
      <c r="A623" s="143" t="str">
        <f t="shared" si="35"/>
        <v>AKH12345</v>
      </c>
      <c r="B623" s="229"/>
      <c r="C623" s="114"/>
      <c r="D623" s="115"/>
      <c r="E623" s="116"/>
      <c r="F623" s="115"/>
      <c r="G623" s="116"/>
      <c r="H623" s="117"/>
      <c r="I623" s="118"/>
      <c r="J623" s="117"/>
      <c r="K623" s="117"/>
      <c r="L623" s="230"/>
      <c r="M623" s="145" t="str">
        <f t="shared" si="36"/>
        <v>OneCo Networks AS</v>
      </c>
      <c r="N6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3" s="268" t="str">
        <f ca="1">IFERROR(IF(
OR(Table1[[#This Row],[Product category]]="Service items",Table1[[#This Row],[Product category]]="Additional services",Table1[[#This Row],[Product category]]="Additional materials"),
"NOK",IF(($N$3&lt;&gt;""),VLOOKUP(Table1[[#This Row],[Product code]],INDIRECT(Aux!$A$1),6,FALSE),"")),"")</f>
        <v/>
      </c>
      <c r="P623" s="41" t="str">
        <f ca="1">IFERROR(IF(AND(Table1[[#This Row],[Quantity]]&lt;&gt;"",Table1[[#This Row],[Currency]]="NOK"),Table1[[#This Row],[Quantity]]*Table1[[#This Row],[Unit Price]],""),"")</f>
        <v/>
      </c>
      <c r="Q623" s="41" t="str">
        <f ca="1">IFERROR(IF(AND(Table1[[#This Row],[ACT_Qty]]&lt;&gt;"",Table1[[#This Row],[Currency]]="NOK"),Table1[[#This Row],[ACT_Qty]]*Table1[[#This Row],[Unit Price]],""),"")</f>
        <v/>
      </c>
      <c r="R623" s="41" t="str">
        <f ca="1">IFERROR(IF(AND(Table1[[#This Row],[Quantity]]&lt;&gt;"",Table1[[#This Row],[Currency]]="EUR"),Table1[[#This Row],[Quantity]]*Table1[[#This Row],[Unit Price]],""),"")</f>
        <v/>
      </c>
      <c r="S623" s="41" t="str">
        <f ca="1">IFERROR(IF(AND(Table1[[#This Row],[ACT_Qty]]&lt;&gt;"",Table1[[#This Row],[Currency]]="EUR"),Table1[[#This Row],[ACT_Qty]]*Table1[[#This Row],[Unit Price]],""),"")</f>
        <v/>
      </c>
      <c r="T623" s="269" t="str">
        <f ca="1">IFERROR(IF(AND(($N$3&lt;&gt;""),INDIRECT(Aux!$D$1)),VLOOKUP(Table1[[#This Row],[Product code]],Aux!B:E,4,FALSE),""),"")</f>
        <v/>
      </c>
      <c r="U623" s="145" t="str">
        <f>IFERROR(IF(OR(Table1[[#This Row],[Quantity]]&lt;&gt;"",Table1[[#This Row],[ACT_Qty]]&lt;&gt;""),Table1[[#This Row],[ACT_Qty]]-Table1[[#This Row],[Quantity]],""),"")</f>
        <v/>
      </c>
      <c r="V623" s="45"/>
      <c r="W623" s="45"/>
      <c r="X623" s="45"/>
    </row>
    <row r="624" spans="1:24" ht="15" customHeight="1">
      <c r="A624" s="233" t="str">
        <f t="shared" ref="A624:A687" si="39">$C$4</f>
        <v>AKH12345</v>
      </c>
      <c r="B624" s="80" t="s">
        <v>1785</v>
      </c>
      <c r="C624" s="92"/>
      <c r="D624" s="93"/>
      <c r="E624" s="94"/>
      <c r="F624" s="93"/>
      <c r="G624" s="94"/>
      <c r="H624" s="95"/>
      <c r="I624" s="97"/>
      <c r="J624" s="95"/>
      <c r="K624" s="95"/>
      <c r="L624" s="96"/>
      <c r="M624" s="148" t="str">
        <f t="shared" si="36"/>
        <v>OneCo Networks AS</v>
      </c>
      <c r="N62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4" s="270" t="str">
        <f ca="1">IFERROR(IF(
OR(Table1[[#This Row],[Product category]]="Service items",Table1[[#This Row],[Product category]]="Additional services",Table1[[#This Row],[Product category]]="Additional materials"),
"NOK",IF(($N$3&lt;&gt;""),VLOOKUP(Table1[[#This Row],[Product code]],INDIRECT(Aux!$A$1),6,FALSE),"")),"")</f>
        <v/>
      </c>
      <c r="P624" s="43" t="str">
        <f ca="1">IFERROR(IF(AND(Table1[[#This Row],[Quantity]]&lt;&gt;"",Table1[[#This Row],[Currency]]="NOK"),Table1[[#This Row],[Quantity]]*Table1[[#This Row],[Unit Price]],""),"")</f>
        <v/>
      </c>
      <c r="Q624" s="43" t="str">
        <f ca="1">IFERROR(IF(AND(Table1[[#This Row],[ACT_Qty]]&lt;&gt;"",Table1[[#This Row],[Currency]]="NOK"),Table1[[#This Row],[ACT_Qty]]*Table1[[#This Row],[Unit Price]],""),"")</f>
        <v/>
      </c>
      <c r="R624" s="43" t="str">
        <f ca="1">IFERROR(IF(AND(Table1[[#This Row],[Quantity]]&lt;&gt;"",Table1[[#This Row],[Currency]]="EUR"),Table1[[#This Row],[Quantity]]*Table1[[#This Row],[Unit Price]],""),"")</f>
        <v/>
      </c>
      <c r="S624" s="43" t="str">
        <f ca="1">IFERROR(IF(AND(Table1[[#This Row],[ACT_Qty]]&lt;&gt;"",Table1[[#This Row],[Currency]]="EUR"),Table1[[#This Row],[ACT_Qty]]*Table1[[#This Row],[Unit Price]],""),"")</f>
        <v/>
      </c>
      <c r="T624" s="271" t="str">
        <f ca="1">IFERROR(IF(AND(($N$3&lt;&gt;""),INDIRECT(Aux!$D$1)),VLOOKUP(Table1[[#This Row],[Product code]],Aux!B:E,4,FALSE),""),"")</f>
        <v/>
      </c>
      <c r="U624" s="148" t="str">
        <f>IFERROR(IF(OR(Table1[[#This Row],[Quantity]]&lt;&gt;"",Table1[[#This Row],[ACT_Qty]]&lt;&gt;""),Table1[[#This Row],[ACT_Qty]]-Table1[[#This Row],[Quantity]],""),"")</f>
        <v/>
      </c>
      <c r="V624" s="46"/>
      <c r="W624" s="46"/>
      <c r="X624" s="46"/>
    </row>
    <row r="625" spans="1:24" ht="15" customHeight="1">
      <c r="A625" s="143" t="str">
        <f t="shared" si="39"/>
        <v>AKH12345</v>
      </c>
      <c r="B625" s="229"/>
      <c r="C625" s="114" t="s">
        <v>1786</v>
      </c>
      <c r="D625" s="115"/>
      <c r="E625" s="116"/>
      <c r="F625" s="115"/>
      <c r="G625" s="116"/>
      <c r="H625" s="117"/>
      <c r="I625" s="118"/>
      <c r="J625" s="117"/>
      <c r="K625" s="117"/>
      <c r="L625" s="230"/>
      <c r="M625" s="145" t="str">
        <f t="shared" si="36"/>
        <v>OneCo Networks AS</v>
      </c>
      <c r="N6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5" s="268" t="str">
        <f ca="1">IFERROR(IF(
OR(Table1[[#This Row],[Product category]]="Service items",Table1[[#This Row],[Product category]]="Additional services",Table1[[#This Row],[Product category]]="Additional materials"),
"NOK",IF(($N$3&lt;&gt;""),VLOOKUP(Table1[[#This Row],[Product code]],INDIRECT(Aux!$A$1),6,FALSE),"")),"")</f>
        <v/>
      </c>
      <c r="P625" s="41" t="str">
        <f ca="1">IFERROR(IF(AND(Table1[[#This Row],[Quantity]]&lt;&gt;"",Table1[[#This Row],[Currency]]="NOK"),Table1[[#This Row],[Quantity]]*Table1[[#This Row],[Unit Price]],""),"")</f>
        <v/>
      </c>
      <c r="Q625" s="41" t="str">
        <f ca="1">IFERROR(IF(AND(Table1[[#This Row],[ACT_Qty]]&lt;&gt;"",Table1[[#This Row],[Currency]]="NOK"),Table1[[#This Row],[ACT_Qty]]*Table1[[#This Row],[Unit Price]],""),"")</f>
        <v/>
      </c>
      <c r="R625" s="41" t="str">
        <f ca="1">IFERROR(IF(AND(Table1[[#This Row],[Quantity]]&lt;&gt;"",Table1[[#This Row],[Currency]]="EUR"),Table1[[#This Row],[Quantity]]*Table1[[#This Row],[Unit Price]],""),"")</f>
        <v/>
      </c>
      <c r="S625" s="41" t="str">
        <f ca="1">IFERROR(IF(AND(Table1[[#This Row],[ACT_Qty]]&lt;&gt;"",Table1[[#This Row],[Currency]]="EUR"),Table1[[#This Row],[ACT_Qty]]*Table1[[#This Row],[Unit Price]],""),"")</f>
        <v/>
      </c>
      <c r="T625" s="269" t="str">
        <f ca="1">IFERROR(IF(AND(($N$3&lt;&gt;""),INDIRECT(Aux!$D$1)),VLOOKUP(Table1[[#This Row],[Product code]],Aux!B:E,4,FALSE),""),"")</f>
        <v/>
      </c>
      <c r="U625" s="145" t="str">
        <f>IFERROR(IF(OR(Table1[[#This Row],[Quantity]]&lt;&gt;"",Table1[[#This Row],[ACT_Qty]]&lt;&gt;""),Table1[[#This Row],[ACT_Qty]]-Table1[[#This Row],[Quantity]],""),"")</f>
        <v/>
      </c>
      <c r="V625" s="45"/>
      <c r="W625" s="45"/>
      <c r="X625" s="45"/>
    </row>
    <row r="626" spans="1:24" s="213" customFormat="1">
      <c r="A626" s="233" t="str">
        <f t="shared" si="39"/>
        <v>AKH12345</v>
      </c>
      <c r="B626" s="91"/>
      <c r="C626" s="92" t="s">
        <v>1787</v>
      </c>
      <c r="D626" s="93"/>
      <c r="E626" s="94"/>
      <c r="F626" s="93"/>
      <c r="G626" s="94"/>
      <c r="H626" s="95"/>
      <c r="I626" s="97"/>
      <c r="J626" s="95"/>
      <c r="K626" s="95"/>
      <c r="L626" s="96"/>
      <c r="M626" s="148" t="str">
        <f t="shared" si="36"/>
        <v>OneCo Networks AS</v>
      </c>
      <c r="N62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6" s="270" t="str">
        <f ca="1">IFERROR(IF(
OR(Table1[[#This Row],[Product category]]="Service items",Table1[[#This Row],[Product category]]="Additional services",Table1[[#This Row],[Product category]]="Additional materials"),
"NOK",IF(($N$3&lt;&gt;""),VLOOKUP(Table1[[#This Row],[Product code]],INDIRECT(Aux!$A$1),6,FALSE),"")),"")</f>
        <v/>
      </c>
      <c r="P626" s="43" t="str">
        <f ca="1">IFERROR(IF(AND(Table1[[#This Row],[Quantity]]&lt;&gt;"",Table1[[#This Row],[Currency]]="NOK"),Table1[[#This Row],[Quantity]]*Table1[[#This Row],[Unit Price]],""),"")</f>
        <v/>
      </c>
      <c r="Q626" s="43" t="str">
        <f ca="1">IFERROR(IF(AND(Table1[[#This Row],[ACT_Qty]]&lt;&gt;"",Table1[[#This Row],[Currency]]="NOK"),Table1[[#This Row],[ACT_Qty]]*Table1[[#This Row],[Unit Price]],""),"")</f>
        <v/>
      </c>
      <c r="R626" s="43" t="str">
        <f ca="1">IFERROR(IF(AND(Table1[[#This Row],[Quantity]]&lt;&gt;"",Table1[[#This Row],[Currency]]="EUR"),Table1[[#This Row],[Quantity]]*Table1[[#This Row],[Unit Price]],""),"")</f>
        <v/>
      </c>
      <c r="S626" s="43" t="str">
        <f ca="1">IFERROR(IF(AND(Table1[[#This Row],[ACT_Qty]]&lt;&gt;"",Table1[[#This Row],[Currency]]="EUR"),Table1[[#This Row],[ACT_Qty]]*Table1[[#This Row],[Unit Price]],""),"")</f>
        <v/>
      </c>
      <c r="T626" s="271" t="str">
        <f ca="1">IFERROR(IF(AND(($N$3&lt;&gt;""),INDIRECT(Aux!$D$1)),VLOOKUP(Table1[[#This Row],[Product code]],Aux!B:E,4,FALSE),""),"")</f>
        <v/>
      </c>
      <c r="U626" s="148" t="str">
        <f>IFERROR(IF(OR(Table1[[#This Row],[Quantity]]&lt;&gt;"",Table1[[#This Row],[ACT_Qty]]&lt;&gt;""),Table1[[#This Row],[ACT_Qty]]-Table1[[#This Row],[Quantity]],""),"")</f>
        <v/>
      </c>
      <c r="V626" s="46"/>
      <c r="W626" s="46"/>
      <c r="X626" s="46"/>
    </row>
    <row r="627" spans="1:24" s="213" customFormat="1">
      <c r="A627" s="143" t="str">
        <f t="shared" si="39"/>
        <v>AKH12345</v>
      </c>
      <c r="B627" s="229"/>
      <c r="C627" s="114"/>
      <c r="D627" s="115"/>
      <c r="E627" s="116"/>
      <c r="F627" s="115"/>
      <c r="G627" s="116"/>
      <c r="H627" s="117"/>
      <c r="I627" s="118"/>
      <c r="J627" s="117"/>
      <c r="K627" s="117"/>
      <c r="L627" s="230"/>
      <c r="M627" s="145" t="str">
        <f t="shared" si="36"/>
        <v>OneCo Networks AS</v>
      </c>
      <c r="N6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7" s="268" t="str">
        <f ca="1">IFERROR(IF(
OR(Table1[[#This Row],[Product category]]="Service items",Table1[[#This Row],[Product category]]="Additional services",Table1[[#This Row],[Product category]]="Additional materials"),
"NOK",IF(($N$3&lt;&gt;""),VLOOKUP(Table1[[#This Row],[Product code]],INDIRECT(Aux!$A$1),6,FALSE),"")),"")</f>
        <v/>
      </c>
      <c r="P627" s="41" t="str">
        <f ca="1">IFERROR(IF(AND(Table1[[#This Row],[Quantity]]&lt;&gt;"",Table1[[#This Row],[Currency]]="NOK"),Table1[[#This Row],[Quantity]]*Table1[[#This Row],[Unit Price]],""),"")</f>
        <v/>
      </c>
      <c r="Q627" s="41" t="str">
        <f ca="1">IFERROR(IF(AND(Table1[[#This Row],[ACT_Qty]]&lt;&gt;"",Table1[[#This Row],[Currency]]="NOK"),Table1[[#This Row],[ACT_Qty]]*Table1[[#This Row],[Unit Price]],""),"")</f>
        <v/>
      </c>
      <c r="R627" s="41" t="str">
        <f ca="1">IFERROR(IF(AND(Table1[[#This Row],[Quantity]]&lt;&gt;"",Table1[[#This Row],[Currency]]="EUR"),Table1[[#This Row],[Quantity]]*Table1[[#This Row],[Unit Price]],""),"")</f>
        <v/>
      </c>
      <c r="S627" s="41" t="str">
        <f ca="1">IFERROR(IF(AND(Table1[[#This Row],[ACT_Qty]]&lt;&gt;"",Table1[[#This Row],[Currency]]="EUR"),Table1[[#This Row],[ACT_Qty]]*Table1[[#This Row],[Unit Price]],""),"")</f>
        <v/>
      </c>
      <c r="T627" s="269" t="str">
        <f ca="1">IFERROR(IF(AND(($N$3&lt;&gt;""),INDIRECT(Aux!$D$1)),VLOOKUP(Table1[[#This Row],[Product code]],Aux!B:E,4,FALSE),""),"")</f>
        <v/>
      </c>
      <c r="U627" s="145" t="str">
        <f>IFERROR(IF(OR(Table1[[#This Row],[Quantity]]&lt;&gt;"",Table1[[#This Row],[ACT_Qty]]&lt;&gt;""),Table1[[#This Row],[ACT_Qty]]-Table1[[#This Row],[Quantity]],""),"")</f>
        <v/>
      </c>
      <c r="V627" s="45"/>
      <c r="W627" s="45"/>
      <c r="X627" s="45"/>
    </row>
    <row r="628" spans="1:24" s="213" customFormat="1">
      <c r="A628" s="233" t="str">
        <f t="shared" si="39"/>
        <v>AKH12345</v>
      </c>
      <c r="B628" s="80" t="s">
        <v>1788</v>
      </c>
      <c r="C628" s="81" t="s">
        <v>880</v>
      </c>
      <c r="D628" s="73"/>
      <c r="E628" s="90" t="s">
        <v>1789</v>
      </c>
      <c r="F628" s="73"/>
      <c r="G628" s="90"/>
      <c r="H628" s="82"/>
      <c r="I628" s="83"/>
      <c r="J628" s="82"/>
      <c r="K628" s="82"/>
      <c r="L628" s="84" t="s">
        <v>1790</v>
      </c>
      <c r="M628" s="148" t="str">
        <f t="shared" si="36"/>
        <v>OneCo Networks AS</v>
      </c>
      <c r="N62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8" s="270" t="str">
        <f ca="1">IFERROR(IF(
OR(Table1[[#This Row],[Product category]]="Service items",Table1[[#This Row],[Product category]]="Additional services",Table1[[#This Row],[Product category]]="Additional materials"),
"NOK",IF(($N$3&lt;&gt;""),VLOOKUP(Table1[[#This Row],[Product code]],INDIRECT(Aux!$A$1),6,FALSE),"")),"")</f>
        <v/>
      </c>
      <c r="P628" s="43" t="str">
        <f ca="1">IFERROR(IF(AND(Table1[[#This Row],[Quantity]]&lt;&gt;"",Table1[[#This Row],[Currency]]="NOK"),Table1[[#This Row],[Quantity]]*Table1[[#This Row],[Unit Price]],""),"")</f>
        <v/>
      </c>
      <c r="Q628" s="43" t="str">
        <f ca="1">IFERROR(IF(AND(Table1[[#This Row],[ACT_Qty]]&lt;&gt;"",Table1[[#This Row],[Currency]]="NOK"),Table1[[#This Row],[ACT_Qty]]*Table1[[#This Row],[Unit Price]],""),"")</f>
        <v/>
      </c>
      <c r="R628" s="43" t="str">
        <f ca="1">IFERROR(IF(AND(Table1[[#This Row],[Quantity]]&lt;&gt;"",Table1[[#This Row],[Currency]]="EUR"),Table1[[#This Row],[Quantity]]*Table1[[#This Row],[Unit Price]],""),"")</f>
        <v/>
      </c>
      <c r="S628" s="43" t="str">
        <f ca="1">IFERROR(IF(AND(Table1[[#This Row],[ACT_Qty]]&lt;&gt;"",Table1[[#This Row],[Currency]]="EUR"),Table1[[#This Row],[ACT_Qty]]*Table1[[#This Row],[Unit Price]],""),"")</f>
        <v/>
      </c>
      <c r="T628" s="271" t="str">
        <f ca="1">IFERROR(IF(AND(($N$3&lt;&gt;""),INDIRECT(Aux!$D$1)),VLOOKUP(Table1[[#This Row],[Product code]],Aux!B:E,4,FALSE),""),"")</f>
        <v/>
      </c>
      <c r="U628" s="148" t="str">
        <f>IFERROR(IF(OR(Table1[[#This Row],[Quantity]]&lt;&gt;"",Table1[[#This Row],[ACT_Qty]]&lt;&gt;""),Table1[[#This Row],[ACT_Qty]]-Table1[[#This Row],[Quantity]],""),"")</f>
        <v/>
      </c>
      <c r="V628" s="46"/>
      <c r="W628" s="46"/>
      <c r="X628" s="46"/>
    </row>
    <row r="629" spans="1:24" s="213" customFormat="1">
      <c r="A629" s="143" t="str">
        <f t="shared" si="39"/>
        <v>AKH12345</v>
      </c>
      <c r="B629" s="231" t="s">
        <v>1791</v>
      </c>
      <c r="C629" s="120" t="s">
        <v>1792</v>
      </c>
      <c r="D629" s="121"/>
      <c r="E629" s="122" t="s">
        <v>1793</v>
      </c>
      <c r="F629" s="121"/>
      <c r="G629" s="122"/>
      <c r="H629" s="119"/>
      <c r="I629" s="123"/>
      <c r="J629" s="119"/>
      <c r="K629" s="119"/>
      <c r="L629" s="232" t="s">
        <v>1790</v>
      </c>
      <c r="M629" s="145" t="str">
        <f t="shared" si="36"/>
        <v>OneCo Networks AS</v>
      </c>
      <c r="N6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29" s="268" t="str">
        <f ca="1">IFERROR(IF(
OR(Table1[[#This Row],[Product category]]="Service items",Table1[[#This Row],[Product category]]="Additional services",Table1[[#This Row],[Product category]]="Additional materials"),
"NOK",IF(($N$3&lt;&gt;""),VLOOKUP(Table1[[#This Row],[Product code]],INDIRECT(Aux!$A$1),6,FALSE),"")),"")</f>
        <v/>
      </c>
      <c r="P629" s="41" t="str">
        <f ca="1">IFERROR(IF(AND(Table1[[#This Row],[Quantity]]&lt;&gt;"",Table1[[#This Row],[Currency]]="NOK"),Table1[[#This Row],[Quantity]]*Table1[[#This Row],[Unit Price]],""),"")</f>
        <v/>
      </c>
      <c r="Q629" s="41" t="str">
        <f ca="1">IFERROR(IF(AND(Table1[[#This Row],[ACT_Qty]]&lt;&gt;"",Table1[[#This Row],[Currency]]="NOK"),Table1[[#This Row],[ACT_Qty]]*Table1[[#This Row],[Unit Price]],""),"")</f>
        <v/>
      </c>
      <c r="R629" s="41" t="str">
        <f ca="1">IFERROR(IF(AND(Table1[[#This Row],[Quantity]]&lt;&gt;"",Table1[[#This Row],[Currency]]="EUR"),Table1[[#This Row],[Quantity]]*Table1[[#This Row],[Unit Price]],""),"")</f>
        <v/>
      </c>
      <c r="S629" s="41" t="str">
        <f ca="1">IFERROR(IF(AND(Table1[[#This Row],[ACT_Qty]]&lt;&gt;"",Table1[[#This Row],[Currency]]="EUR"),Table1[[#This Row],[ACT_Qty]]*Table1[[#This Row],[Unit Price]],""),"")</f>
        <v/>
      </c>
      <c r="T629" s="269" t="str">
        <f ca="1">IFERROR(IF(AND(($N$3&lt;&gt;""),INDIRECT(Aux!$D$1)),VLOOKUP(Table1[[#This Row],[Product code]],Aux!B:E,4,FALSE),""),"")</f>
        <v/>
      </c>
      <c r="U629" s="145" t="str">
        <f>IFERROR(IF(OR(Table1[[#This Row],[Quantity]]&lt;&gt;"",Table1[[#This Row],[ACT_Qty]]&lt;&gt;""),Table1[[#This Row],[ACT_Qty]]-Table1[[#This Row],[Quantity]],""),"")</f>
        <v/>
      </c>
      <c r="V629" s="45"/>
      <c r="W629" s="45"/>
      <c r="X629" s="45"/>
    </row>
    <row r="630" spans="1:24" s="213" customFormat="1">
      <c r="A630" s="233" t="str">
        <f t="shared" si="39"/>
        <v>AKH12345</v>
      </c>
      <c r="B630" s="80"/>
      <c r="C630" s="81"/>
      <c r="D630" s="73"/>
      <c r="E630" s="90"/>
      <c r="F630" s="73"/>
      <c r="G630" s="90"/>
      <c r="H630" s="82"/>
      <c r="I630" s="83"/>
      <c r="J630" s="82"/>
      <c r="K630" s="82"/>
      <c r="L630" s="84"/>
      <c r="M630" s="148" t="str">
        <f t="shared" si="36"/>
        <v>OneCo Networks AS</v>
      </c>
      <c r="N63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0" s="270" t="str">
        <f ca="1">IFERROR(IF(
OR(Table1[[#This Row],[Product category]]="Service items",Table1[[#This Row],[Product category]]="Additional services",Table1[[#This Row],[Product category]]="Additional materials"),
"NOK",IF(($N$3&lt;&gt;""),VLOOKUP(Table1[[#This Row],[Product code]],INDIRECT(Aux!$A$1),6,FALSE),"")),"")</f>
        <v/>
      </c>
      <c r="P630" s="43" t="str">
        <f ca="1">IFERROR(IF(AND(Table1[[#This Row],[Quantity]]&lt;&gt;"",Table1[[#This Row],[Currency]]="NOK"),Table1[[#This Row],[Quantity]]*Table1[[#This Row],[Unit Price]],""),"")</f>
        <v/>
      </c>
      <c r="Q630" s="43" t="str">
        <f ca="1">IFERROR(IF(AND(Table1[[#This Row],[ACT_Qty]]&lt;&gt;"",Table1[[#This Row],[Currency]]="NOK"),Table1[[#This Row],[ACT_Qty]]*Table1[[#This Row],[Unit Price]],""),"")</f>
        <v/>
      </c>
      <c r="R630" s="43" t="str">
        <f ca="1">IFERROR(IF(AND(Table1[[#This Row],[Quantity]]&lt;&gt;"",Table1[[#This Row],[Currency]]="EUR"),Table1[[#This Row],[Quantity]]*Table1[[#This Row],[Unit Price]],""),"")</f>
        <v/>
      </c>
      <c r="S630" s="43" t="str">
        <f ca="1">IFERROR(IF(AND(Table1[[#This Row],[ACT_Qty]]&lt;&gt;"",Table1[[#This Row],[Currency]]="EUR"),Table1[[#This Row],[ACT_Qty]]*Table1[[#This Row],[Unit Price]],""),"")</f>
        <v/>
      </c>
      <c r="T630" s="271" t="str">
        <f ca="1">IFERROR(IF(AND(($N$3&lt;&gt;""),INDIRECT(Aux!$D$1)),VLOOKUP(Table1[[#This Row],[Product code]],Aux!B:E,4,FALSE),""),"")</f>
        <v/>
      </c>
      <c r="U630" s="148" t="str">
        <f>IFERROR(IF(OR(Table1[[#This Row],[Quantity]]&lt;&gt;"",Table1[[#This Row],[ACT_Qty]]&lt;&gt;""),Table1[[#This Row],[ACT_Qty]]-Table1[[#This Row],[Quantity]],""),"")</f>
        <v/>
      </c>
      <c r="V630" s="46"/>
      <c r="W630" s="46"/>
      <c r="X630" s="46"/>
    </row>
    <row r="631" spans="1:24" s="213" customFormat="1">
      <c r="A631" s="143" t="str">
        <f t="shared" si="39"/>
        <v>AKH12345</v>
      </c>
      <c r="B631" s="231"/>
      <c r="C631" s="120"/>
      <c r="D631" s="121"/>
      <c r="E631" s="122"/>
      <c r="F631" s="121"/>
      <c r="G631" s="122"/>
      <c r="H631" s="119"/>
      <c r="I631" s="123"/>
      <c r="J631" s="119"/>
      <c r="K631" s="119"/>
      <c r="L631" s="232"/>
      <c r="M631" s="145" t="str">
        <f t="shared" si="36"/>
        <v>OneCo Networks AS</v>
      </c>
      <c r="N6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1" s="268" t="str">
        <f ca="1">IFERROR(IF(
OR(Table1[[#This Row],[Product category]]="Service items",Table1[[#This Row],[Product category]]="Additional services",Table1[[#This Row],[Product category]]="Additional materials"),
"NOK",IF(($N$3&lt;&gt;""),VLOOKUP(Table1[[#This Row],[Product code]],INDIRECT(Aux!$A$1),6,FALSE),"")),"")</f>
        <v/>
      </c>
      <c r="P631" s="41" t="str">
        <f ca="1">IFERROR(IF(AND(Table1[[#This Row],[Quantity]]&lt;&gt;"",Table1[[#This Row],[Currency]]="NOK"),Table1[[#This Row],[Quantity]]*Table1[[#This Row],[Unit Price]],""),"")</f>
        <v/>
      </c>
      <c r="Q631" s="41" t="str">
        <f ca="1">IFERROR(IF(AND(Table1[[#This Row],[ACT_Qty]]&lt;&gt;"",Table1[[#This Row],[Currency]]="NOK"),Table1[[#This Row],[ACT_Qty]]*Table1[[#This Row],[Unit Price]],""),"")</f>
        <v/>
      </c>
      <c r="R631" s="41" t="str">
        <f ca="1">IFERROR(IF(AND(Table1[[#This Row],[Quantity]]&lt;&gt;"",Table1[[#This Row],[Currency]]="EUR"),Table1[[#This Row],[Quantity]]*Table1[[#This Row],[Unit Price]],""),"")</f>
        <v/>
      </c>
      <c r="S631" s="41" t="str">
        <f ca="1">IFERROR(IF(AND(Table1[[#This Row],[ACT_Qty]]&lt;&gt;"",Table1[[#This Row],[Currency]]="EUR"),Table1[[#This Row],[ACT_Qty]]*Table1[[#This Row],[Unit Price]],""),"")</f>
        <v/>
      </c>
      <c r="T631" s="269" t="str">
        <f ca="1">IFERROR(IF(AND(($N$3&lt;&gt;""),INDIRECT(Aux!$D$1)),VLOOKUP(Table1[[#This Row],[Product code]],Aux!B:E,4,FALSE),""),"")</f>
        <v/>
      </c>
      <c r="U631" s="145" t="str">
        <f>IFERROR(IF(OR(Table1[[#This Row],[Quantity]]&lt;&gt;"",Table1[[#This Row],[ACT_Qty]]&lt;&gt;""),Table1[[#This Row],[ACT_Qty]]-Table1[[#This Row],[Quantity]],""),"")</f>
        <v/>
      </c>
      <c r="V631" s="45"/>
      <c r="W631" s="45"/>
      <c r="X631" s="45"/>
    </row>
    <row r="632" spans="1:24" s="213" customFormat="1">
      <c r="A632" s="233" t="str">
        <f t="shared" si="39"/>
        <v>AKH12345</v>
      </c>
      <c r="B632" s="80"/>
      <c r="C632" s="81"/>
      <c r="D632" s="73"/>
      <c r="E632" s="90"/>
      <c r="F632" s="73"/>
      <c r="G632" s="90"/>
      <c r="H632" s="82"/>
      <c r="I632" s="83"/>
      <c r="J632" s="82"/>
      <c r="K632" s="82"/>
      <c r="L632" s="84"/>
      <c r="M632" s="148" t="str">
        <f t="shared" si="36"/>
        <v>OneCo Networks AS</v>
      </c>
      <c r="N63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2" s="270" t="str">
        <f ca="1">IFERROR(IF(
OR(Table1[[#This Row],[Product category]]="Service items",Table1[[#This Row],[Product category]]="Additional services",Table1[[#This Row],[Product category]]="Additional materials"),
"NOK",IF(($N$3&lt;&gt;""),VLOOKUP(Table1[[#This Row],[Product code]],INDIRECT(Aux!$A$1),6,FALSE),"")),"")</f>
        <v/>
      </c>
      <c r="P632" s="43" t="str">
        <f ca="1">IFERROR(IF(AND(Table1[[#This Row],[Quantity]]&lt;&gt;"",Table1[[#This Row],[Currency]]="NOK"),Table1[[#This Row],[Quantity]]*Table1[[#This Row],[Unit Price]],""),"")</f>
        <v/>
      </c>
      <c r="Q632" s="43" t="str">
        <f ca="1">IFERROR(IF(AND(Table1[[#This Row],[ACT_Qty]]&lt;&gt;"",Table1[[#This Row],[Currency]]="NOK"),Table1[[#This Row],[ACT_Qty]]*Table1[[#This Row],[Unit Price]],""),"")</f>
        <v/>
      </c>
      <c r="R632" s="43" t="str">
        <f ca="1">IFERROR(IF(AND(Table1[[#This Row],[Quantity]]&lt;&gt;"",Table1[[#This Row],[Currency]]="EUR"),Table1[[#This Row],[Quantity]]*Table1[[#This Row],[Unit Price]],""),"")</f>
        <v/>
      </c>
      <c r="S632" s="43" t="str">
        <f ca="1">IFERROR(IF(AND(Table1[[#This Row],[ACT_Qty]]&lt;&gt;"",Table1[[#This Row],[Currency]]="EUR"),Table1[[#This Row],[ACT_Qty]]*Table1[[#This Row],[Unit Price]],""),"")</f>
        <v/>
      </c>
      <c r="T632" s="271" t="str">
        <f ca="1">IFERROR(IF(AND(($N$3&lt;&gt;""),INDIRECT(Aux!$D$1)),VLOOKUP(Table1[[#This Row],[Product code]],Aux!B:E,4,FALSE),""),"")</f>
        <v/>
      </c>
      <c r="U632" s="148" t="str">
        <f>IFERROR(IF(OR(Table1[[#This Row],[Quantity]]&lt;&gt;"",Table1[[#This Row],[ACT_Qty]]&lt;&gt;""),Table1[[#This Row],[ACT_Qty]]-Table1[[#This Row],[Quantity]],""),"")</f>
        <v/>
      </c>
      <c r="V632" s="46"/>
      <c r="W632" s="46"/>
      <c r="X632" s="46"/>
    </row>
    <row r="633" spans="1:24" s="213" customFormat="1">
      <c r="A633" s="143" t="str">
        <f t="shared" si="39"/>
        <v>AKH12345</v>
      </c>
      <c r="B633" s="231"/>
      <c r="C633" s="120"/>
      <c r="D633" s="121"/>
      <c r="E633" s="122"/>
      <c r="F633" s="121"/>
      <c r="G633" s="122"/>
      <c r="H633" s="119"/>
      <c r="I633" s="123"/>
      <c r="J633" s="119"/>
      <c r="K633" s="119"/>
      <c r="L633" s="232"/>
      <c r="M633" s="145" t="str">
        <f t="shared" si="36"/>
        <v>OneCo Networks AS</v>
      </c>
      <c r="N6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3" s="268" t="str">
        <f ca="1">IFERROR(IF(
OR(Table1[[#This Row],[Product category]]="Service items",Table1[[#This Row],[Product category]]="Additional services",Table1[[#This Row],[Product category]]="Additional materials"),
"NOK",IF(($N$3&lt;&gt;""),VLOOKUP(Table1[[#This Row],[Product code]],INDIRECT(Aux!$A$1),6,FALSE),"")),"")</f>
        <v/>
      </c>
      <c r="P633" s="41" t="str">
        <f ca="1">IFERROR(IF(AND(Table1[[#This Row],[Quantity]]&lt;&gt;"",Table1[[#This Row],[Currency]]="NOK"),Table1[[#This Row],[Quantity]]*Table1[[#This Row],[Unit Price]],""),"")</f>
        <v/>
      </c>
      <c r="Q633" s="41" t="str">
        <f ca="1">IFERROR(IF(AND(Table1[[#This Row],[ACT_Qty]]&lt;&gt;"",Table1[[#This Row],[Currency]]="NOK"),Table1[[#This Row],[ACT_Qty]]*Table1[[#This Row],[Unit Price]],""),"")</f>
        <v/>
      </c>
      <c r="R633" s="41" t="str">
        <f ca="1">IFERROR(IF(AND(Table1[[#This Row],[Quantity]]&lt;&gt;"",Table1[[#This Row],[Currency]]="EUR"),Table1[[#This Row],[Quantity]]*Table1[[#This Row],[Unit Price]],""),"")</f>
        <v/>
      </c>
      <c r="S633" s="41" t="str">
        <f ca="1">IFERROR(IF(AND(Table1[[#This Row],[ACT_Qty]]&lt;&gt;"",Table1[[#This Row],[Currency]]="EUR"),Table1[[#This Row],[ACT_Qty]]*Table1[[#This Row],[Unit Price]],""),"")</f>
        <v/>
      </c>
      <c r="T633" s="269" t="str">
        <f ca="1">IFERROR(IF(AND(($N$3&lt;&gt;""),INDIRECT(Aux!$D$1)),VLOOKUP(Table1[[#This Row],[Product code]],Aux!B:E,4,FALSE),""),"")</f>
        <v/>
      </c>
      <c r="U633" s="145" t="str">
        <f>IFERROR(IF(OR(Table1[[#This Row],[Quantity]]&lt;&gt;"",Table1[[#This Row],[ACT_Qty]]&lt;&gt;""),Table1[[#This Row],[ACT_Qty]]-Table1[[#This Row],[Quantity]],""),"")</f>
        <v/>
      </c>
      <c r="V633" s="45"/>
      <c r="W633" s="45"/>
      <c r="X633" s="45"/>
    </row>
    <row r="634" spans="1:24" s="213" customFormat="1">
      <c r="A634" s="233" t="str">
        <f t="shared" si="39"/>
        <v>AKH12345</v>
      </c>
      <c r="B634" s="80"/>
      <c r="C634" s="81"/>
      <c r="D634" s="73"/>
      <c r="E634" s="90"/>
      <c r="F634" s="73"/>
      <c r="G634" s="90"/>
      <c r="H634" s="82"/>
      <c r="I634" s="83"/>
      <c r="J634" s="82"/>
      <c r="K634" s="82"/>
      <c r="L634" s="84"/>
      <c r="M634" s="148" t="str">
        <f t="shared" si="36"/>
        <v>OneCo Networks AS</v>
      </c>
      <c r="N63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4" s="270" t="str">
        <f ca="1">IFERROR(IF(
OR(Table1[[#This Row],[Product category]]="Service items",Table1[[#This Row],[Product category]]="Additional services",Table1[[#This Row],[Product category]]="Additional materials"),
"NOK",IF(($N$3&lt;&gt;""),VLOOKUP(Table1[[#This Row],[Product code]],INDIRECT(Aux!$A$1),6,FALSE),"")),"")</f>
        <v/>
      </c>
      <c r="P634" s="43" t="str">
        <f ca="1">IFERROR(IF(AND(Table1[[#This Row],[Quantity]]&lt;&gt;"",Table1[[#This Row],[Currency]]="NOK"),Table1[[#This Row],[Quantity]]*Table1[[#This Row],[Unit Price]],""),"")</f>
        <v/>
      </c>
      <c r="Q634" s="43" t="str">
        <f ca="1">IFERROR(IF(AND(Table1[[#This Row],[ACT_Qty]]&lt;&gt;"",Table1[[#This Row],[Currency]]="NOK"),Table1[[#This Row],[ACT_Qty]]*Table1[[#This Row],[Unit Price]],""),"")</f>
        <v/>
      </c>
      <c r="R634" s="43" t="str">
        <f ca="1">IFERROR(IF(AND(Table1[[#This Row],[Quantity]]&lt;&gt;"",Table1[[#This Row],[Currency]]="EUR"),Table1[[#This Row],[Quantity]]*Table1[[#This Row],[Unit Price]],""),"")</f>
        <v/>
      </c>
      <c r="S634" s="43" t="str">
        <f ca="1">IFERROR(IF(AND(Table1[[#This Row],[ACT_Qty]]&lt;&gt;"",Table1[[#This Row],[Currency]]="EUR"),Table1[[#This Row],[ACT_Qty]]*Table1[[#This Row],[Unit Price]],""),"")</f>
        <v/>
      </c>
      <c r="T634" s="271" t="str">
        <f ca="1">IFERROR(IF(AND(($N$3&lt;&gt;""),INDIRECT(Aux!$D$1)),VLOOKUP(Table1[[#This Row],[Product code]],Aux!B:E,4,FALSE),""),"")</f>
        <v/>
      </c>
      <c r="U634" s="148" t="str">
        <f>IFERROR(IF(OR(Table1[[#This Row],[Quantity]]&lt;&gt;"",Table1[[#This Row],[ACT_Qty]]&lt;&gt;""),Table1[[#This Row],[ACT_Qty]]-Table1[[#This Row],[Quantity]],""),"")</f>
        <v/>
      </c>
      <c r="V634" s="46"/>
      <c r="W634" s="46"/>
      <c r="X634" s="46"/>
    </row>
    <row r="635" spans="1:24" s="213" customFormat="1">
      <c r="A635" s="143" t="str">
        <f t="shared" si="39"/>
        <v>AKH12345</v>
      </c>
      <c r="B635" s="231"/>
      <c r="C635" s="120"/>
      <c r="D635" s="121"/>
      <c r="E635" s="122"/>
      <c r="F635" s="121"/>
      <c r="G635" s="122"/>
      <c r="H635" s="119"/>
      <c r="I635" s="123"/>
      <c r="J635" s="119"/>
      <c r="K635" s="119"/>
      <c r="L635" s="232"/>
      <c r="M635" s="145" t="str">
        <f t="shared" si="36"/>
        <v>OneCo Networks AS</v>
      </c>
      <c r="N6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5" s="268" t="str">
        <f ca="1">IFERROR(IF(
OR(Table1[[#This Row],[Product category]]="Service items",Table1[[#This Row],[Product category]]="Additional services",Table1[[#This Row],[Product category]]="Additional materials"),
"NOK",IF(($N$3&lt;&gt;""),VLOOKUP(Table1[[#This Row],[Product code]],INDIRECT(Aux!$A$1),6,FALSE),"")),"")</f>
        <v/>
      </c>
      <c r="P635" s="41" t="str">
        <f ca="1">IFERROR(IF(AND(Table1[[#This Row],[Quantity]]&lt;&gt;"",Table1[[#This Row],[Currency]]="NOK"),Table1[[#This Row],[Quantity]]*Table1[[#This Row],[Unit Price]],""),"")</f>
        <v/>
      </c>
      <c r="Q635" s="41" t="str">
        <f ca="1">IFERROR(IF(AND(Table1[[#This Row],[ACT_Qty]]&lt;&gt;"",Table1[[#This Row],[Currency]]="NOK"),Table1[[#This Row],[ACT_Qty]]*Table1[[#This Row],[Unit Price]],""),"")</f>
        <v/>
      </c>
      <c r="R635" s="41" t="str">
        <f ca="1">IFERROR(IF(AND(Table1[[#This Row],[Quantity]]&lt;&gt;"",Table1[[#This Row],[Currency]]="EUR"),Table1[[#This Row],[Quantity]]*Table1[[#This Row],[Unit Price]],""),"")</f>
        <v/>
      </c>
      <c r="S635" s="41" t="str">
        <f ca="1">IFERROR(IF(AND(Table1[[#This Row],[ACT_Qty]]&lt;&gt;"",Table1[[#This Row],[Currency]]="EUR"),Table1[[#This Row],[ACT_Qty]]*Table1[[#This Row],[Unit Price]],""),"")</f>
        <v/>
      </c>
      <c r="T635" s="269" t="str">
        <f ca="1">IFERROR(IF(AND(($N$3&lt;&gt;""),INDIRECT(Aux!$D$1)),VLOOKUP(Table1[[#This Row],[Product code]],Aux!B:E,4,FALSE),""),"")</f>
        <v/>
      </c>
      <c r="U635" s="145" t="str">
        <f>IFERROR(IF(OR(Table1[[#This Row],[Quantity]]&lt;&gt;"",Table1[[#This Row],[ACT_Qty]]&lt;&gt;""),Table1[[#This Row],[ACT_Qty]]-Table1[[#This Row],[Quantity]],""),"")</f>
        <v/>
      </c>
      <c r="V635" s="45"/>
      <c r="W635" s="45"/>
      <c r="X635" s="45"/>
    </row>
    <row r="636" spans="1:24" s="213" customFormat="1">
      <c r="A636" s="233" t="str">
        <f t="shared" si="39"/>
        <v>AKH12345</v>
      </c>
      <c r="B636" s="80"/>
      <c r="C636" s="81"/>
      <c r="D636" s="73"/>
      <c r="E636" s="90"/>
      <c r="F636" s="73"/>
      <c r="G636" s="90"/>
      <c r="H636" s="82"/>
      <c r="I636" s="83"/>
      <c r="J636" s="82"/>
      <c r="K636" s="82"/>
      <c r="L636" s="84"/>
      <c r="M636" s="148" t="str">
        <f t="shared" si="36"/>
        <v>OneCo Networks AS</v>
      </c>
      <c r="N63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6" s="270" t="str">
        <f ca="1">IFERROR(IF(
OR(Table1[[#This Row],[Product category]]="Service items",Table1[[#This Row],[Product category]]="Additional services",Table1[[#This Row],[Product category]]="Additional materials"),
"NOK",IF(($N$3&lt;&gt;""),VLOOKUP(Table1[[#This Row],[Product code]],INDIRECT(Aux!$A$1),6,FALSE),"")),"")</f>
        <v/>
      </c>
      <c r="P636" s="43" t="str">
        <f ca="1">IFERROR(IF(AND(Table1[[#This Row],[Quantity]]&lt;&gt;"",Table1[[#This Row],[Currency]]="NOK"),Table1[[#This Row],[Quantity]]*Table1[[#This Row],[Unit Price]],""),"")</f>
        <v/>
      </c>
      <c r="Q636" s="43" t="str">
        <f ca="1">IFERROR(IF(AND(Table1[[#This Row],[ACT_Qty]]&lt;&gt;"",Table1[[#This Row],[Currency]]="NOK"),Table1[[#This Row],[ACT_Qty]]*Table1[[#This Row],[Unit Price]],""),"")</f>
        <v/>
      </c>
      <c r="R636" s="43" t="str">
        <f ca="1">IFERROR(IF(AND(Table1[[#This Row],[Quantity]]&lt;&gt;"",Table1[[#This Row],[Currency]]="EUR"),Table1[[#This Row],[Quantity]]*Table1[[#This Row],[Unit Price]],""),"")</f>
        <v/>
      </c>
      <c r="S636" s="43" t="str">
        <f ca="1">IFERROR(IF(AND(Table1[[#This Row],[ACT_Qty]]&lt;&gt;"",Table1[[#This Row],[Currency]]="EUR"),Table1[[#This Row],[ACT_Qty]]*Table1[[#This Row],[Unit Price]],""),"")</f>
        <v/>
      </c>
      <c r="T636" s="271" t="str">
        <f ca="1">IFERROR(IF(AND(($N$3&lt;&gt;""),INDIRECT(Aux!$D$1)),VLOOKUP(Table1[[#This Row],[Product code]],Aux!B:E,4,FALSE),""),"")</f>
        <v/>
      </c>
      <c r="U636" s="148" t="str">
        <f>IFERROR(IF(OR(Table1[[#This Row],[Quantity]]&lt;&gt;"",Table1[[#This Row],[ACT_Qty]]&lt;&gt;""),Table1[[#This Row],[ACT_Qty]]-Table1[[#This Row],[Quantity]],""),"")</f>
        <v/>
      </c>
      <c r="V636" s="46"/>
      <c r="W636" s="46"/>
      <c r="X636" s="46"/>
    </row>
    <row r="637" spans="1:24" s="213" customFormat="1">
      <c r="A637" s="143" t="str">
        <f t="shared" si="39"/>
        <v>AKH12345</v>
      </c>
      <c r="B637" s="231"/>
      <c r="C637" s="120"/>
      <c r="D637" s="121"/>
      <c r="E637" s="122"/>
      <c r="F637" s="121"/>
      <c r="G637" s="122"/>
      <c r="H637" s="119"/>
      <c r="I637" s="123"/>
      <c r="J637" s="119"/>
      <c r="K637" s="119"/>
      <c r="L637" s="232"/>
      <c r="M637" s="145" t="str">
        <f t="shared" si="36"/>
        <v>OneCo Networks AS</v>
      </c>
      <c r="N6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7" s="268" t="str">
        <f ca="1">IFERROR(IF(
OR(Table1[[#This Row],[Product category]]="Service items",Table1[[#This Row],[Product category]]="Additional services",Table1[[#This Row],[Product category]]="Additional materials"),
"NOK",IF(($N$3&lt;&gt;""),VLOOKUP(Table1[[#This Row],[Product code]],INDIRECT(Aux!$A$1),6,FALSE),"")),"")</f>
        <v/>
      </c>
      <c r="P637" s="41" t="str">
        <f ca="1">IFERROR(IF(AND(Table1[[#This Row],[Quantity]]&lt;&gt;"",Table1[[#This Row],[Currency]]="NOK"),Table1[[#This Row],[Quantity]]*Table1[[#This Row],[Unit Price]],""),"")</f>
        <v/>
      </c>
      <c r="Q637" s="41" t="str">
        <f ca="1">IFERROR(IF(AND(Table1[[#This Row],[ACT_Qty]]&lt;&gt;"",Table1[[#This Row],[Currency]]="NOK"),Table1[[#This Row],[ACT_Qty]]*Table1[[#This Row],[Unit Price]],""),"")</f>
        <v/>
      </c>
      <c r="R637" s="41" t="str">
        <f ca="1">IFERROR(IF(AND(Table1[[#This Row],[Quantity]]&lt;&gt;"",Table1[[#This Row],[Currency]]="EUR"),Table1[[#This Row],[Quantity]]*Table1[[#This Row],[Unit Price]],""),"")</f>
        <v/>
      </c>
      <c r="S637" s="41" t="str">
        <f ca="1">IFERROR(IF(AND(Table1[[#This Row],[ACT_Qty]]&lt;&gt;"",Table1[[#This Row],[Currency]]="EUR"),Table1[[#This Row],[ACT_Qty]]*Table1[[#This Row],[Unit Price]],""),"")</f>
        <v/>
      </c>
      <c r="T637" s="269" t="str">
        <f ca="1">IFERROR(IF(AND(($N$3&lt;&gt;""),INDIRECT(Aux!$D$1)),VLOOKUP(Table1[[#This Row],[Product code]],Aux!B:E,4,FALSE),""),"")</f>
        <v/>
      </c>
      <c r="U637" s="145" t="str">
        <f>IFERROR(IF(OR(Table1[[#This Row],[Quantity]]&lt;&gt;"",Table1[[#This Row],[ACT_Qty]]&lt;&gt;""),Table1[[#This Row],[ACT_Qty]]-Table1[[#This Row],[Quantity]],""),"")</f>
        <v/>
      </c>
      <c r="V637" s="45"/>
      <c r="W637" s="45"/>
      <c r="X637" s="45"/>
    </row>
    <row r="638" spans="1:24">
      <c r="A638" s="233" t="str">
        <f t="shared" si="39"/>
        <v>AKH12345</v>
      </c>
      <c r="B638" s="80"/>
      <c r="C638" s="81"/>
      <c r="D638" s="73"/>
      <c r="E638" s="90"/>
      <c r="F638" s="73"/>
      <c r="G638" s="90"/>
      <c r="H638" s="82"/>
      <c r="I638" s="83"/>
      <c r="J638" s="82"/>
      <c r="K638" s="82"/>
      <c r="L638" s="84"/>
      <c r="M638" s="148" t="str">
        <f t="shared" si="36"/>
        <v>OneCo Networks AS</v>
      </c>
      <c r="N63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8" s="270" t="str">
        <f ca="1">IFERROR(IF(
OR(Table1[[#This Row],[Product category]]="Service items",Table1[[#This Row],[Product category]]="Additional services",Table1[[#This Row],[Product category]]="Additional materials"),
"NOK",IF(($N$3&lt;&gt;""),VLOOKUP(Table1[[#This Row],[Product code]],INDIRECT(Aux!$A$1),6,FALSE),"")),"")</f>
        <v/>
      </c>
      <c r="P638" s="43" t="str">
        <f ca="1">IFERROR(IF(AND(Table1[[#This Row],[Quantity]]&lt;&gt;"",Table1[[#This Row],[Currency]]="NOK"),Table1[[#This Row],[Quantity]]*Table1[[#This Row],[Unit Price]],""),"")</f>
        <v/>
      </c>
      <c r="Q638" s="43" t="str">
        <f ca="1">IFERROR(IF(AND(Table1[[#This Row],[ACT_Qty]]&lt;&gt;"",Table1[[#This Row],[Currency]]="NOK"),Table1[[#This Row],[ACT_Qty]]*Table1[[#This Row],[Unit Price]],""),"")</f>
        <v/>
      </c>
      <c r="R638" s="43" t="str">
        <f ca="1">IFERROR(IF(AND(Table1[[#This Row],[Quantity]]&lt;&gt;"",Table1[[#This Row],[Currency]]="EUR"),Table1[[#This Row],[Quantity]]*Table1[[#This Row],[Unit Price]],""),"")</f>
        <v/>
      </c>
      <c r="S638" s="43" t="str">
        <f ca="1">IFERROR(IF(AND(Table1[[#This Row],[ACT_Qty]]&lt;&gt;"",Table1[[#This Row],[Currency]]="EUR"),Table1[[#This Row],[ACT_Qty]]*Table1[[#This Row],[Unit Price]],""),"")</f>
        <v/>
      </c>
      <c r="T638" s="271" t="str">
        <f ca="1">IFERROR(IF(AND(($N$3&lt;&gt;""),INDIRECT(Aux!$D$1)),VLOOKUP(Table1[[#This Row],[Product code]],Aux!B:E,4,FALSE),""),"")</f>
        <v/>
      </c>
      <c r="U638" s="148" t="str">
        <f>IFERROR(IF(OR(Table1[[#This Row],[Quantity]]&lt;&gt;"",Table1[[#This Row],[ACT_Qty]]&lt;&gt;""),Table1[[#This Row],[ACT_Qty]]-Table1[[#This Row],[Quantity]],""),"")</f>
        <v/>
      </c>
      <c r="V638" s="46"/>
      <c r="W638" s="46"/>
      <c r="X638" s="46"/>
    </row>
    <row r="639" spans="1:24">
      <c r="A639" s="143" t="str">
        <f t="shared" si="39"/>
        <v>AKH12345</v>
      </c>
      <c r="B639" s="231"/>
      <c r="C639" s="120"/>
      <c r="D639" s="121"/>
      <c r="E639" s="122"/>
      <c r="F639" s="121"/>
      <c r="G639" s="122"/>
      <c r="H639" s="119"/>
      <c r="I639" s="123"/>
      <c r="J639" s="119"/>
      <c r="K639" s="119"/>
      <c r="L639" s="232"/>
      <c r="M639" s="145" t="str">
        <f t="shared" si="36"/>
        <v>OneCo Networks AS</v>
      </c>
      <c r="N6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39" s="268" t="str">
        <f ca="1">IFERROR(IF(
OR(Table1[[#This Row],[Product category]]="Service items",Table1[[#This Row],[Product category]]="Additional services",Table1[[#This Row],[Product category]]="Additional materials"),
"NOK",IF(($N$3&lt;&gt;""),VLOOKUP(Table1[[#This Row],[Product code]],INDIRECT(Aux!$A$1),6,FALSE),"")),"")</f>
        <v/>
      </c>
      <c r="P639" s="41" t="str">
        <f ca="1">IFERROR(IF(AND(Table1[[#This Row],[Quantity]]&lt;&gt;"",Table1[[#This Row],[Currency]]="NOK"),Table1[[#This Row],[Quantity]]*Table1[[#This Row],[Unit Price]],""),"")</f>
        <v/>
      </c>
      <c r="Q639" s="41" t="str">
        <f ca="1">IFERROR(IF(AND(Table1[[#This Row],[ACT_Qty]]&lt;&gt;"",Table1[[#This Row],[Currency]]="NOK"),Table1[[#This Row],[ACT_Qty]]*Table1[[#This Row],[Unit Price]],""),"")</f>
        <v/>
      </c>
      <c r="R639" s="41" t="str">
        <f ca="1">IFERROR(IF(AND(Table1[[#This Row],[Quantity]]&lt;&gt;"",Table1[[#This Row],[Currency]]="EUR"),Table1[[#This Row],[Quantity]]*Table1[[#This Row],[Unit Price]],""),"")</f>
        <v/>
      </c>
      <c r="S639" s="41" t="str">
        <f ca="1">IFERROR(IF(AND(Table1[[#This Row],[ACT_Qty]]&lt;&gt;"",Table1[[#This Row],[Currency]]="EUR"),Table1[[#This Row],[ACT_Qty]]*Table1[[#This Row],[Unit Price]],""),"")</f>
        <v/>
      </c>
      <c r="T639" s="269" t="str">
        <f ca="1">IFERROR(IF(AND(($N$3&lt;&gt;""),INDIRECT(Aux!$D$1)),VLOOKUP(Table1[[#This Row],[Product code]],Aux!B:E,4,FALSE),""),"")</f>
        <v/>
      </c>
      <c r="U639" s="145" t="str">
        <f>IFERROR(IF(OR(Table1[[#This Row],[Quantity]]&lt;&gt;"",Table1[[#This Row],[ACT_Qty]]&lt;&gt;""),Table1[[#This Row],[ACT_Qty]]-Table1[[#This Row],[Quantity]],""),"")</f>
        <v/>
      </c>
      <c r="V639" s="45"/>
      <c r="W639" s="45"/>
      <c r="X639" s="45"/>
    </row>
    <row r="640" spans="1:24">
      <c r="A640" s="233" t="str">
        <f t="shared" si="39"/>
        <v>AKH12345</v>
      </c>
      <c r="B640" s="80"/>
      <c r="C640" s="81"/>
      <c r="D640" s="73"/>
      <c r="E640" s="90"/>
      <c r="F640" s="73"/>
      <c r="G640" s="90"/>
      <c r="H640" s="82"/>
      <c r="I640" s="83"/>
      <c r="J640" s="82"/>
      <c r="K640" s="82"/>
      <c r="L640" s="84"/>
      <c r="M640" s="148" t="str">
        <f t="shared" si="36"/>
        <v>OneCo Networks AS</v>
      </c>
      <c r="N64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0" s="270" t="str">
        <f ca="1">IFERROR(IF(
OR(Table1[[#This Row],[Product category]]="Service items",Table1[[#This Row],[Product category]]="Additional services",Table1[[#This Row],[Product category]]="Additional materials"),
"NOK",IF(($N$3&lt;&gt;""),VLOOKUP(Table1[[#This Row],[Product code]],INDIRECT(Aux!$A$1),6,FALSE),"")),"")</f>
        <v/>
      </c>
      <c r="P640" s="43" t="str">
        <f ca="1">IFERROR(IF(AND(Table1[[#This Row],[Quantity]]&lt;&gt;"",Table1[[#This Row],[Currency]]="NOK"),Table1[[#This Row],[Quantity]]*Table1[[#This Row],[Unit Price]],""),"")</f>
        <v/>
      </c>
      <c r="Q640" s="43" t="str">
        <f ca="1">IFERROR(IF(AND(Table1[[#This Row],[ACT_Qty]]&lt;&gt;"",Table1[[#This Row],[Currency]]="NOK"),Table1[[#This Row],[ACT_Qty]]*Table1[[#This Row],[Unit Price]],""),"")</f>
        <v/>
      </c>
      <c r="R640" s="43" t="str">
        <f ca="1">IFERROR(IF(AND(Table1[[#This Row],[Quantity]]&lt;&gt;"",Table1[[#This Row],[Currency]]="EUR"),Table1[[#This Row],[Quantity]]*Table1[[#This Row],[Unit Price]],""),"")</f>
        <v/>
      </c>
      <c r="S640" s="43" t="str">
        <f ca="1">IFERROR(IF(AND(Table1[[#This Row],[ACT_Qty]]&lt;&gt;"",Table1[[#This Row],[Currency]]="EUR"),Table1[[#This Row],[ACT_Qty]]*Table1[[#This Row],[Unit Price]],""),"")</f>
        <v/>
      </c>
      <c r="T640" s="271" t="str">
        <f ca="1">IFERROR(IF(AND(($N$3&lt;&gt;""),INDIRECT(Aux!$D$1)),VLOOKUP(Table1[[#This Row],[Product code]],Aux!B:E,4,FALSE),""),"")</f>
        <v/>
      </c>
      <c r="U640" s="148" t="str">
        <f>IFERROR(IF(OR(Table1[[#This Row],[Quantity]]&lt;&gt;"",Table1[[#This Row],[ACT_Qty]]&lt;&gt;""),Table1[[#This Row],[ACT_Qty]]-Table1[[#This Row],[Quantity]],""),"")</f>
        <v/>
      </c>
      <c r="V640" s="46"/>
      <c r="W640" s="46"/>
      <c r="X640" s="46"/>
    </row>
    <row r="641" spans="1:24">
      <c r="A641" s="143" t="str">
        <f t="shared" si="39"/>
        <v>AKH12345</v>
      </c>
      <c r="B641" s="231"/>
      <c r="C641" s="120"/>
      <c r="D641" s="121"/>
      <c r="E641" s="122"/>
      <c r="F641" s="121"/>
      <c r="G641" s="122"/>
      <c r="H641" s="119"/>
      <c r="I641" s="123"/>
      <c r="J641" s="119"/>
      <c r="K641" s="119"/>
      <c r="L641" s="232"/>
      <c r="M641" s="145" t="str">
        <f t="shared" si="36"/>
        <v>OneCo Networks AS</v>
      </c>
      <c r="N6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1" s="268" t="str">
        <f ca="1">IFERROR(IF(
OR(Table1[[#This Row],[Product category]]="Service items",Table1[[#This Row],[Product category]]="Additional services",Table1[[#This Row],[Product category]]="Additional materials"),
"NOK",IF(($N$3&lt;&gt;""),VLOOKUP(Table1[[#This Row],[Product code]],INDIRECT(Aux!$A$1),6,FALSE),"")),"")</f>
        <v/>
      </c>
      <c r="P641" s="41" t="str">
        <f ca="1">IFERROR(IF(AND(Table1[[#This Row],[Quantity]]&lt;&gt;"",Table1[[#This Row],[Currency]]="NOK"),Table1[[#This Row],[Quantity]]*Table1[[#This Row],[Unit Price]],""),"")</f>
        <v/>
      </c>
      <c r="Q641" s="41" t="str">
        <f ca="1">IFERROR(IF(AND(Table1[[#This Row],[ACT_Qty]]&lt;&gt;"",Table1[[#This Row],[Currency]]="NOK"),Table1[[#This Row],[ACT_Qty]]*Table1[[#This Row],[Unit Price]],""),"")</f>
        <v/>
      </c>
      <c r="R641" s="41" t="str">
        <f ca="1">IFERROR(IF(AND(Table1[[#This Row],[Quantity]]&lt;&gt;"",Table1[[#This Row],[Currency]]="EUR"),Table1[[#This Row],[Quantity]]*Table1[[#This Row],[Unit Price]],""),"")</f>
        <v/>
      </c>
      <c r="S641" s="41" t="str">
        <f ca="1">IFERROR(IF(AND(Table1[[#This Row],[ACT_Qty]]&lt;&gt;"",Table1[[#This Row],[Currency]]="EUR"),Table1[[#This Row],[ACT_Qty]]*Table1[[#This Row],[Unit Price]],""),"")</f>
        <v/>
      </c>
      <c r="T641" s="269" t="str">
        <f ca="1">IFERROR(IF(AND(($N$3&lt;&gt;""),INDIRECT(Aux!$D$1)),VLOOKUP(Table1[[#This Row],[Product code]],Aux!B:E,4,FALSE),""),"")</f>
        <v/>
      </c>
      <c r="U641" s="145" t="str">
        <f>IFERROR(IF(OR(Table1[[#This Row],[Quantity]]&lt;&gt;"",Table1[[#This Row],[ACT_Qty]]&lt;&gt;""),Table1[[#This Row],[ACT_Qty]]-Table1[[#This Row],[Quantity]],""),"")</f>
        <v/>
      </c>
      <c r="V641" s="45"/>
      <c r="W641" s="45"/>
      <c r="X641" s="45"/>
    </row>
    <row r="642" spans="1:24">
      <c r="A642" s="233" t="str">
        <f t="shared" si="39"/>
        <v>AKH12345</v>
      </c>
      <c r="B642" s="80"/>
      <c r="C642" s="81"/>
      <c r="D642" s="73"/>
      <c r="E642" s="90"/>
      <c r="F642" s="73"/>
      <c r="G642" s="90"/>
      <c r="H642" s="82"/>
      <c r="I642" s="83"/>
      <c r="J642" s="82"/>
      <c r="K642" s="82"/>
      <c r="L642" s="84"/>
      <c r="M642" s="148" t="str">
        <f t="shared" si="36"/>
        <v>OneCo Networks AS</v>
      </c>
      <c r="N64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2" s="270" t="str">
        <f ca="1">IFERROR(IF(
OR(Table1[[#This Row],[Product category]]="Service items",Table1[[#This Row],[Product category]]="Additional services",Table1[[#This Row],[Product category]]="Additional materials"),
"NOK",IF(($N$3&lt;&gt;""),VLOOKUP(Table1[[#This Row],[Product code]],INDIRECT(Aux!$A$1),6,FALSE),"")),"")</f>
        <v/>
      </c>
      <c r="P642" s="43" t="str">
        <f ca="1">IFERROR(IF(AND(Table1[[#This Row],[Quantity]]&lt;&gt;"",Table1[[#This Row],[Currency]]="NOK"),Table1[[#This Row],[Quantity]]*Table1[[#This Row],[Unit Price]],""),"")</f>
        <v/>
      </c>
      <c r="Q642" s="43" t="str">
        <f ca="1">IFERROR(IF(AND(Table1[[#This Row],[ACT_Qty]]&lt;&gt;"",Table1[[#This Row],[Currency]]="NOK"),Table1[[#This Row],[ACT_Qty]]*Table1[[#This Row],[Unit Price]],""),"")</f>
        <v/>
      </c>
      <c r="R642" s="43" t="str">
        <f ca="1">IFERROR(IF(AND(Table1[[#This Row],[Quantity]]&lt;&gt;"",Table1[[#This Row],[Currency]]="EUR"),Table1[[#This Row],[Quantity]]*Table1[[#This Row],[Unit Price]],""),"")</f>
        <v/>
      </c>
      <c r="S642" s="43" t="str">
        <f ca="1">IFERROR(IF(AND(Table1[[#This Row],[ACT_Qty]]&lt;&gt;"",Table1[[#This Row],[Currency]]="EUR"),Table1[[#This Row],[ACT_Qty]]*Table1[[#This Row],[Unit Price]],""),"")</f>
        <v/>
      </c>
      <c r="T642" s="271" t="str">
        <f ca="1">IFERROR(IF(AND(($N$3&lt;&gt;""),INDIRECT(Aux!$D$1)),VLOOKUP(Table1[[#This Row],[Product code]],Aux!B:E,4,FALSE),""),"")</f>
        <v/>
      </c>
      <c r="U642" s="148" t="str">
        <f>IFERROR(IF(OR(Table1[[#This Row],[Quantity]]&lt;&gt;"",Table1[[#This Row],[ACT_Qty]]&lt;&gt;""),Table1[[#This Row],[ACT_Qty]]-Table1[[#This Row],[Quantity]],""),"")</f>
        <v/>
      </c>
      <c r="V642" s="46"/>
      <c r="W642" s="46"/>
      <c r="X642" s="46"/>
    </row>
    <row r="643" spans="1:24">
      <c r="A643" s="143" t="str">
        <f t="shared" si="39"/>
        <v>AKH12345</v>
      </c>
      <c r="B643" s="231"/>
      <c r="C643" s="120"/>
      <c r="D643" s="121"/>
      <c r="E643" s="122"/>
      <c r="F643" s="121"/>
      <c r="G643" s="122"/>
      <c r="H643" s="119"/>
      <c r="I643" s="123"/>
      <c r="J643" s="119"/>
      <c r="K643" s="119"/>
      <c r="L643" s="232"/>
      <c r="M643" s="145" t="str">
        <f t="shared" si="36"/>
        <v>OneCo Networks AS</v>
      </c>
      <c r="N6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3" s="268" t="str">
        <f ca="1">IFERROR(IF(
OR(Table1[[#This Row],[Product category]]="Service items",Table1[[#This Row],[Product category]]="Additional services",Table1[[#This Row],[Product category]]="Additional materials"),
"NOK",IF(($N$3&lt;&gt;""),VLOOKUP(Table1[[#This Row],[Product code]],INDIRECT(Aux!$A$1),6,FALSE),"")),"")</f>
        <v/>
      </c>
      <c r="P643" s="41" t="str">
        <f ca="1">IFERROR(IF(AND(Table1[[#This Row],[Quantity]]&lt;&gt;"",Table1[[#This Row],[Currency]]="NOK"),Table1[[#This Row],[Quantity]]*Table1[[#This Row],[Unit Price]],""),"")</f>
        <v/>
      </c>
      <c r="Q643" s="41" t="str">
        <f ca="1">IFERROR(IF(AND(Table1[[#This Row],[ACT_Qty]]&lt;&gt;"",Table1[[#This Row],[Currency]]="NOK"),Table1[[#This Row],[ACT_Qty]]*Table1[[#This Row],[Unit Price]],""),"")</f>
        <v/>
      </c>
      <c r="R643" s="41" t="str">
        <f ca="1">IFERROR(IF(AND(Table1[[#This Row],[Quantity]]&lt;&gt;"",Table1[[#This Row],[Currency]]="EUR"),Table1[[#This Row],[Quantity]]*Table1[[#This Row],[Unit Price]],""),"")</f>
        <v/>
      </c>
      <c r="S643" s="41" t="str">
        <f ca="1">IFERROR(IF(AND(Table1[[#This Row],[ACT_Qty]]&lt;&gt;"",Table1[[#This Row],[Currency]]="EUR"),Table1[[#This Row],[ACT_Qty]]*Table1[[#This Row],[Unit Price]],""),"")</f>
        <v/>
      </c>
      <c r="T643" s="269" t="str">
        <f ca="1">IFERROR(IF(AND(($N$3&lt;&gt;""),INDIRECT(Aux!$D$1)),VLOOKUP(Table1[[#This Row],[Product code]],Aux!B:E,4,FALSE),""),"")</f>
        <v/>
      </c>
      <c r="U643" s="145" t="str">
        <f>IFERROR(IF(OR(Table1[[#This Row],[Quantity]]&lt;&gt;"",Table1[[#This Row],[ACT_Qty]]&lt;&gt;""),Table1[[#This Row],[ACT_Qty]]-Table1[[#This Row],[Quantity]],""),"")</f>
        <v/>
      </c>
      <c r="V643" s="45"/>
      <c r="W643" s="45"/>
      <c r="X643" s="45"/>
    </row>
    <row r="644" spans="1:24">
      <c r="A644" s="233" t="str">
        <f t="shared" si="39"/>
        <v>AKH12345</v>
      </c>
      <c r="B644" s="80"/>
      <c r="C644" s="81"/>
      <c r="D644" s="73"/>
      <c r="E644" s="90"/>
      <c r="F644" s="73"/>
      <c r="G644" s="90"/>
      <c r="H644" s="82"/>
      <c r="I644" s="83"/>
      <c r="J644" s="82"/>
      <c r="K644" s="82"/>
      <c r="L644" s="84"/>
      <c r="M644" s="148" t="str">
        <f t="shared" si="36"/>
        <v>OneCo Networks AS</v>
      </c>
      <c r="N64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4" s="270" t="str">
        <f ca="1">IFERROR(IF(
OR(Table1[[#This Row],[Product category]]="Service items",Table1[[#This Row],[Product category]]="Additional services",Table1[[#This Row],[Product category]]="Additional materials"),
"NOK",IF(($N$3&lt;&gt;""),VLOOKUP(Table1[[#This Row],[Product code]],INDIRECT(Aux!$A$1),6,FALSE),"")),"")</f>
        <v/>
      </c>
      <c r="P644" s="43" t="str">
        <f ca="1">IFERROR(IF(AND(Table1[[#This Row],[Quantity]]&lt;&gt;"",Table1[[#This Row],[Currency]]="NOK"),Table1[[#This Row],[Quantity]]*Table1[[#This Row],[Unit Price]],""),"")</f>
        <v/>
      </c>
      <c r="Q644" s="43" t="str">
        <f ca="1">IFERROR(IF(AND(Table1[[#This Row],[ACT_Qty]]&lt;&gt;"",Table1[[#This Row],[Currency]]="NOK"),Table1[[#This Row],[ACT_Qty]]*Table1[[#This Row],[Unit Price]],""),"")</f>
        <v/>
      </c>
      <c r="R644" s="43" t="str">
        <f ca="1">IFERROR(IF(AND(Table1[[#This Row],[Quantity]]&lt;&gt;"",Table1[[#This Row],[Currency]]="EUR"),Table1[[#This Row],[Quantity]]*Table1[[#This Row],[Unit Price]],""),"")</f>
        <v/>
      </c>
      <c r="S644" s="43" t="str">
        <f ca="1">IFERROR(IF(AND(Table1[[#This Row],[ACT_Qty]]&lt;&gt;"",Table1[[#This Row],[Currency]]="EUR"),Table1[[#This Row],[ACT_Qty]]*Table1[[#This Row],[Unit Price]],""),"")</f>
        <v/>
      </c>
      <c r="T644" s="271" t="str">
        <f ca="1">IFERROR(IF(AND(($N$3&lt;&gt;""),INDIRECT(Aux!$D$1)),VLOOKUP(Table1[[#This Row],[Product code]],Aux!B:E,4,FALSE),""),"")</f>
        <v/>
      </c>
      <c r="U644" s="148" t="str">
        <f>IFERROR(IF(OR(Table1[[#This Row],[Quantity]]&lt;&gt;"",Table1[[#This Row],[ACT_Qty]]&lt;&gt;""),Table1[[#This Row],[ACT_Qty]]-Table1[[#This Row],[Quantity]],""),"")</f>
        <v/>
      </c>
      <c r="V644" s="46"/>
      <c r="W644" s="46"/>
      <c r="X644" s="46"/>
    </row>
    <row r="645" spans="1:24">
      <c r="A645" s="143" t="str">
        <f t="shared" si="39"/>
        <v>AKH12345</v>
      </c>
      <c r="B645" s="231"/>
      <c r="C645" s="120"/>
      <c r="D645" s="121"/>
      <c r="E645" s="122"/>
      <c r="F645" s="121"/>
      <c r="G645" s="122"/>
      <c r="H645" s="119"/>
      <c r="I645" s="123"/>
      <c r="J645" s="119"/>
      <c r="K645" s="119"/>
      <c r="L645" s="232"/>
      <c r="M645" s="145" t="str">
        <f t="shared" si="36"/>
        <v>OneCo Networks AS</v>
      </c>
      <c r="N6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5" s="268" t="str">
        <f ca="1">IFERROR(IF(
OR(Table1[[#This Row],[Product category]]="Service items",Table1[[#This Row],[Product category]]="Additional services",Table1[[#This Row],[Product category]]="Additional materials"),
"NOK",IF(($N$3&lt;&gt;""),VLOOKUP(Table1[[#This Row],[Product code]],INDIRECT(Aux!$A$1),6,FALSE),"")),"")</f>
        <v/>
      </c>
      <c r="P645" s="41" t="str">
        <f ca="1">IFERROR(IF(AND(Table1[[#This Row],[Quantity]]&lt;&gt;"",Table1[[#This Row],[Currency]]="NOK"),Table1[[#This Row],[Quantity]]*Table1[[#This Row],[Unit Price]],""),"")</f>
        <v/>
      </c>
      <c r="Q645" s="41" t="str">
        <f ca="1">IFERROR(IF(AND(Table1[[#This Row],[ACT_Qty]]&lt;&gt;"",Table1[[#This Row],[Currency]]="NOK"),Table1[[#This Row],[ACT_Qty]]*Table1[[#This Row],[Unit Price]],""),"")</f>
        <v/>
      </c>
      <c r="R645" s="41" t="str">
        <f ca="1">IFERROR(IF(AND(Table1[[#This Row],[Quantity]]&lt;&gt;"",Table1[[#This Row],[Currency]]="EUR"),Table1[[#This Row],[Quantity]]*Table1[[#This Row],[Unit Price]],""),"")</f>
        <v/>
      </c>
      <c r="S645" s="41" t="str">
        <f ca="1">IFERROR(IF(AND(Table1[[#This Row],[ACT_Qty]]&lt;&gt;"",Table1[[#This Row],[Currency]]="EUR"),Table1[[#This Row],[ACT_Qty]]*Table1[[#This Row],[Unit Price]],""),"")</f>
        <v/>
      </c>
      <c r="T645" s="269" t="str">
        <f ca="1">IFERROR(IF(AND(($N$3&lt;&gt;""),INDIRECT(Aux!$D$1)),VLOOKUP(Table1[[#This Row],[Product code]],Aux!B:E,4,FALSE),""),"")</f>
        <v/>
      </c>
      <c r="U645" s="145" t="str">
        <f>IFERROR(IF(OR(Table1[[#This Row],[Quantity]]&lt;&gt;"",Table1[[#This Row],[ACT_Qty]]&lt;&gt;""),Table1[[#This Row],[ACT_Qty]]-Table1[[#This Row],[Quantity]],""),"")</f>
        <v/>
      </c>
      <c r="V645" s="45"/>
      <c r="W645" s="45"/>
      <c r="X645" s="45"/>
    </row>
    <row r="646" spans="1:24">
      <c r="A646" s="233" t="str">
        <f t="shared" si="39"/>
        <v>AKH12345</v>
      </c>
      <c r="B646" s="80"/>
      <c r="C646" s="81"/>
      <c r="D646" s="73"/>
      <c r="E646" s="90"/>
      <c r="F646" s="73"/>
      <c r="G646" s="90"/>
      <c r="H646" s="82"/>
      <c r="I646" s="83"/>
      <c r="J646" s="82"/>
      <c r="K646" s="82"/>
      <c r="L646" s="84"/>
      <c r="M646" s="148" t="str">
        <f t="shared" si="36"/>
        <v>OneCo Networks AS</v>
      </c>
      <c r="N64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6" s="270" t="str">
        <f ca="1">IFERROR(IF(
OR(Table1[[#This Row],[Product category]]="Service items",Table1[[#This Row],[Product category]]="Additional services",Table1[[#This Row],[Product category]]="Additional materials"),
"NOK",IF(($N$3&lt;&gt;""),VLOOKUP(Table1[[#This Row],[Product code]],INDIRECT(Aux!$A$1),6,FALSE),"")),"")</f>
        <v/>
      </c>
      <c r="P646" s="43" t="str">
        <f ca="1">IFERROR(IF(AND(Table1[[#This Row],[Quantity]]&lt;&gt;"",Table1[[#This Row],[Currency]]="NOK"),Table1[[#This Row],[Quantity]]*Table1[[#This Row],[Unit Price]],""),"")</f>
        <v/>
      </c>
      <c r="Q646" s="43" t="str">
        <f ca="1">IFERROR(IF(AND(Table1[[#This Row],[ACT_Qty]]&lt;&gt;"",Table1[[#This Row],[Currency]]="NOK"),Table1[[#This Row],[ACT_Qty]]*Table1[[#This Row],[Unit Price]],""),"")</f>
        <v/>
      </c>
      <c r="R646" s="43" t="str">
        <f ca="1">IFERROR(IF(AND(Table1[[#This Row],[Quantity]]&lt;&gt;"",Table1[[#This Row],[Currency]]="EUR"),Table1[[#This Row],[Quantity]]*Table1[[#This Row],[Unit Price]],""),"")</f>
        <v/>
      </c>
      <c r="S646" s="43" t="str">
        <f ca="1">IFERROR(IF(AND(Table1[[#This Row],[ACT_Qty]]&lt;&gt;"",Table1[[#This Row],[Currency]]="EUR"),Table1[[#This Row],[ACT_Qty]]*Table1[[#This Row],[Unit Price]],""),"")</f>
        <v/>
      </c>
      <c r="T646" s="271" t="str">
        <f ca="1">IFERROR(IF(AND(($N$3&lt;&gt;""),INDIRECT(Aux!$D$1)),VLOOKUP(Table1[[#This Row],[Product code]],Aux!B:E,4,FALSE),""),"")</f>
        <v/>
      </c>
      <c r="U646" s="148" t="str">
        <f>IFERROR(IF(OR(Table1[[#This Row],[Quantity]]&lt;&gt;"",Table1[[#This Row],[ACT_Qty]]&lt;&gt;""),Table1[[#This Row],[ACT_Qty]]-Table1[[#This Row],[Quantity]],""),"")</f>
        <v/>
      </c>
      <c r="V646" s="46"/>
      <c r="W646" s="46"/>
      <c r="X646" s="46"/>
    </row>
    <row r="647" spans="1:24">
      <c r="A647" s="143" t="str">
        <f t="shared" si="39"/>
        <v>AKH12345</v>
      </c>
      <c r="B647" s="231"/>
      <c r="C647" s="120"/>
      <c r="D647" s="121"/>
      <c r="E647" s="122"/>
      <c r="F647" s="121"/>
      <c r="G647" s="122"/>
      <c r="H647" s="119"/>
      <c r="I647" s="123"/>
      <c r="J647" s="119"/>
      <c r="K647" s="119"/>
      <c r="L647" s="232"/>
      <c r="M647" s="145" t="str">
        <f t="shared" si="36"/>
        <v>OneCo Networks AS</v>
      </c>
      <c r="N6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7" s="268" t="str">
        <f ca="1">IFERROR(IF(
OR(Table1[[#This Row],[Product category]]="Service items",Table1[[#This Row],[Product category]]="Additional services",Table1[[#This Row],[Product category]]="Additional materials"),
"NOK",IF(($N$3&lt;&gt;""),VLOOKUP(Table1[[#This Row],[Product code]],INDIRECT(Aux!$A$1),6,FALSE),"")),"")</f>
        <v/>
      </c>
      <c r="P647" s="41" t="str">
        <f ca="1">IFERROR(IF(AND(Table1[[#This Row],[Quantity]]&lt;&gt;"",Table1[[#This Row],[Currency]]="NOK"),Table1[[#This Row],[Quantity]]*Table1[[#This Row],[Unit Price]],""),"")</f>
        <v/>
      </c>
      <c r="Q647" s="41" t="str">
        <f ca="1">IFERROR(IF(AND(Table1[[#This Row],[ACT_Qty]]&lt;&gt;"",Table1[[#This Row],[Currency]]="NOK"),Table1[[#This Row],[ACT_Qty]]*Table1[[#This Row],[Unit Price]],""),"")</f>
        <v/>
      </c>
      <c r="R647" s="41" t="str">
        <f ca="1">IFERROR(IF(AND(Table1[[#This Row],[Quantity]]&lt;&gt;"",Table1[[#This Row],[Currency]]="EUR"),Table1[[#This Row],[Quantity]]*Table1[[#This Row],[Unit Price]],""),"")</f>
        <v/>
      </c>
      <c r="S647" s="41" t="str">
        <f ca="1">IFERROR(IF(AND(Table1[[#This Row],[ACT_Qty]]&lt;&gt;"",Table1[[#This Row],[Currency]]="EUR"),Table1[[#This Row],[ACT_Qty]]*Table1[[#This Row],[Unit Price]],""),"")</f>
        <v/>
      </c>
      <c r="T647" s="269" t="str">
        <f ca="1">IFERROR(IF(AND(($N$3&lt;&gt;""),INDIRECT(Aux!$D$1)),VLOOKUP(Table1[[#This Row],[Product code]],Aux!B:E,4,FALSE),""),"")</f>
        <v/>
      </c>
      <c r="U647" s="145" t="str">
        <f>IFERROR(IF(OR(Table1[[#This Row],[Quantity]]&lt;&gt;"",Table1[[#This Row],[ACT_Qty]]&lt;&gt;""),Table1[[#This Row],[ACT_Qty]]-Table1[[#This Row],[Quantity]],""),"")</f>
        <v/>
      </c>
      <c r="V647" s="45"/>
      <c r="W647" s="45"/>
      <c r="X647" s="45"/>
    </row>
    <row r="648" spans="1:24">
      <c r="A648" s="233" t="str">
        <f t="shared" si="39"/>
        <v>AKH12345</v>
      </c>
      <c r="B648" s="80"/>
      <c r="C648" s="81"/>
      <c r="D648" s="73"/>
      <c r="E648" s="90"/>
      <c r="F648" s="73"/>
      <c r="G648" s="90"/>
      <c r="H648" s="82"/>
      <c r="I648" s="83"/>
      <c r="J648" s="82"/>
      <c r="K648" s="82"/>
      <c r="L648" s="84"/>
      <c r="M648" s="148" t="str">
        <f t="shared" si="36"/>
        <v>OneCo Networks AS</v>
      </c>
      <c r="N64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8" s="270" t="str">
        <f ca="1">IFERROR(IF(
OR(Table1[[#This Row],[Product category]]="Service items",Table1[[#This Row],[Product category]]="Additional services",Table1[[#This Row],[Product category]]="Additional materials"),
"NOK",IF(($N$3&lt;&gt;""),VLOOKUP(Table1[[#This Row],[Product code]],INDIRECT(Aux!$A$1),6,FALSE),"")),"")</f>
        <v/>
      </c>
      <c r="P648" s="43" t="str">
        <f ca="1">IFERROR(IF(AND(Table1[[#This Row],[Quantity]]&lt;&gt;"",Table1[[#This Row],[Currency]]="NOK"),Table1[[#This Row],[Quantity]]*Table1[[#This Row],[Unit Price]],""),"")</f>
        <v/>
      </c>
      <c r="Q648" s="43" t="str">
        <f ca="1">IFERROR(IF(AND(Table1[[#This Row],[ACT_Qty]]&lt;&gt;"",Table1[[#This Row],[Currency]]="NOK"),Table1[[#This Row],[ACT_Qty]]*Table1[[#This Row],[Unit Price]],""),"")</f>
        <v/>
      </c>
      <c r="R648" s="43" t="str">
        <f ca="1">IFERROR(IF(AND(Table1[[#This Row],[Quantity]]&lt;&gt;"",Table1[[#This Row],[Currency]]="EUR"),Table1[[#This Row],[Quantity]]*Table1[[#This Row],[Unit Price]],""),"")</f>
        <v/>
      </c>
      <c r="S648" s="43" t="str">
        <f ca="1">IFERROR(IF(AND(Table1[[#This Row],[ACT_Qty]]&lt;&gt;"",Table1[[#This Row],[Currency]]="EUR"),Table1[[#This Row],[ACT_Qty]]*Table1[[#This Row],[Unit Price]],""),"")</f>
        <v/>
      </c>
      <c r="T648" s="271" t="str">
        <f ca="1">IFERROR(IF(AND(($N$3&lt;&gt;""),INDIRECT(Aux!$D$1)),VLOOKUP(Table1[[#This Row],[Product code]],Aux!B:E,4,FALSE),""),"")</f>
        <v/>
      </c>
      <c r="U648" s="148" t="str">
        <f>IFERROR(IF(OR(Table1[[#This Row],[Quantity]]&lt;&gt;"",Table1[[#This Row],[ACT_Qty]]&lt;&gt;""),Table1[[#This Row],[ACT_Qty]]-Table1[[#This Row],[Quantity]],""),"")</f>
        <v/>
      </c>
      <c r="V648" s="46"/>
      <c r="W648" s="46"/>
      <c r="X648" s="46"/>
    </row>
    <row r="649" spans="1:24">
      <c r="A649" s="143" t="str">
        <f t="shared" si="39"/>
        <v>AKH12345</v>
      </c>
      <c r="B649" s="231"/>
      <c r="C649" s="120"/>
      <c r="D649" s="121"/>
      <c r="E649" s="122"/>
      <c r="F649" s="121"/>
      <c r="G649" s="122"/>
      <c r="H649" s="119"/>
      <c r="I649" s="123"/>
      <c r="J649" s="119"/>
      <c r="K649" s="119"/>
      <c r="L649" s="232"/>
      <c r="M649" s="145" t="str">
        <f t="shared" si="36"/>
        <v>OneCo Networks AS</v>
      </c>
      <c r="N6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49" s="268" t="str">
        <f ca="1">IFERROR(IF(
OR(Table1[[#This Row],[Product category]]="Service items",Table1[[#This Row],[Product category]]="Additional services",Table1[[#This Row],[Product category]]="Additional materials"),
"NOK",IF(($N$3&lt;&gt;""),VLOOKUP(Table1[[#This Row],[Product code]],INDIRECT(Aux!$A$1),6,FALSE),"")),"")</f>
        <v/>
      </c>
      <c r="P649" s="41" t="str">
        <f ca="1">IFERROR(IF(AND(Table1[[#This Row],[Quantity]]&lt;&gt;"",Table1[[#This Row],[Currency]]="NOK"),Table1[[#This Row],[Quantity]]*Table1[[#This Row],[Unit Price]],""),"")</f>
        <v/>
      </c>
      <c r="Q649" s="41" t="str">
        <f ca="1">IFERROR(IF(AND(Table1[[#This Row],[ACT_Qty]]&lt;&gt;"",Table1[[#This Row],[Currency]]="NOK"),Table1[[#This Row],[ACT_Qty]]*Table1[[#This Row],[Unit Price]],""),"")</f>
        <v/>
      </c>
      <c r="R649" s="41" t="str">
        <f ca="1">IFERROR(IF(AND(Table1[[#This Row],[Quantity]]&lt;&gt;"",Table1[[#This Row],[Currency]]="EUR"),Table1[[#This Row],[Quantity]]*Table1[[#This Row],[Unit Price]],""),"")</f>
        <v/>
      </c>
      <c r="S649" s="41" t="str">
        <f ca="1">IFERROR(IF(AND(Table1[[#This Row],[ACT_Qty]]&lt;&gt;"",Table1[[#This Row],[Currency]]="EUR"),Table1[[#This Row],[ACT_Qty]]*Table1[[#This Row],[Unit Price]],""),"")</f>
        <v/>
      </c>
      <c r="T649" s="269" t="str">
        <f ca="1">IFERROR(IF(AND(($N$3&lt;&gt;""),INDIRECT(Aux!$D$1)),VLOOKUP(Table1[[#This Row],[Product code]],Aux!B:E,4,FALSE),""),"")</f>
        <v/>
      </c>
      <c r="U649" s="145" t="str">
        <f>IFERROR(IF(OR(Table1[[#This Row],[Quantity]]&lt;&gt;"",Table1[[#This Row],[ACT_Qty]]&lt;&gt;""),Table1[[#This Row],[ACT_Qty]]-Table1[[#This Row],[Quantity]],""),"")</f>
        <v/>
      </c>
      <c r="V649" s="45"/>
      <c r="W649" s="45"/>
      <c r="X649" s="45"/>
    </row>
    <row r="650" spans="1:24">
      <c r="A650" s="233" t="str">
        <f t="shared" si="39"/>
        <v>AKH12345</v>
      </c>
      <c r="B650" s="80"/>
      <c r="C650" s="81"/>
      <c r="D650" s="73"/>
      <c r="E650" s="90"/>
      <c r="F650" s="73"/>
      <c r="G650" s="90"/>
      <c r="H650" s="82"/>
      <c r="I650" s="83"/>
      <c r="J650" s="82"/>
      <c r="K650" s="82"/>
      <c r="L650" s="84"/>
      <c r="M650" s="148" t="str">
        <f t="shared" si="36"/>
        <v>OneCo Networks AS</v>
      </c>
      <c r="N65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0" s="270" t="str">
        <f ca="1">IFERROR(IF(
OR(Table1[[#This Row],[Product category]]="Service items",Table1[[#This Row],[Product category]]="Additional services",Table1[[#This Row],[Product category]]="Additional materials"),
"NOK",IF(($N$3&lt;&gt;""),VLOOKUP(Table1[[#This Row],[Product code]],INDIRECT(Aux!$A$1),6,FALSE),"")),"")</f>
        <v/>
      </c>
      <c r="P650" s="43" t="str">
        <f ca="1">IFERROR(IF(AND(Table1[[#This Row],[Quantity]]&lt;&gt;"",Table1[[#This Row],[Currency]]="NOK"),Table1[[#This Row],[Quantity]]*Table1[[#This Row],[Unit Price]],""),"")</f>
        <v/>
      </c>
      <c r="Q650" s="43" t="str">
        <f ca="1">IFERROR(IF(AND(Table1[[#This Row],[ACT_Qty]]&lt;&gt;"",Table1[[#This Row],[Currency]]="NOK"),Table1[[#This Row],[ACT_Qty]]*Table1[[#This Row],[Unit Price]],""),"")</f>
        <v/>
      </c>
      <c r="R650" s="43" t="str">
        <f ca="1">IFERROR(IF(AND(Table1[[#This Row],[Quantity]]&lt;&gt;"",Table1[[#This Row],[Currency]]="EUR"),Table1[[#This Row],[Quantity]]*Table1[[#This Row],[Unit Price]],""),"")</f>
        <v/>
      </c>
      <c r="S650" s="43" t="str">
        <f ca="1">IFERROR(IF(AND(Table1[[#This Row],[ACT_Qty]]&lt;&gt;"",Table1[[#This Row],[Currency]]="EUR"),Table1[[#This Row],[ACT_Qty]]*Table1[[#This Row],[Unit Price]],""),"")</f>
        <v/>
      </c>
      <c r="T650" s="271" t="str">
        <f ca="1">IFERROR(IF(AND(($N$3&lt;&gt;""),INDIRECT(Aux!$D$1)),VLOOKUP(Table1[[#This Row],[Product code]],Aux!B:E,4,FALSE),""),"")</f>
        <v/>
      </c>
      <c r="U650" s="148" t="str">
        <f>IFERROR(IF(OR(Table1[[#This Row],[Quantity]]&lt;&gt;"",Table1[[#This Row],[ACT_Qty]]&lt;&gt;""),Table1[[#This Row],[ACT_Qty]]-Table1[[#This Row],[Quantity]],""),"")</f>
        <v/>
      </c>
      <c r="V650" s="46"/>
      <c r="W650" s="46"/>
      <c r="X650" s="46"/>
    </row>
    <row r="651" spans="1:24">
      <c r="A651" s="143" t="str">
        <f t="shared" si="39"/>
        <v>AKH12345</v>
      </c>
      <c r="B651" s="231"/>
      <c r="C651" s="120"/>
      <c r="D651" s="121"/>
      <c r="E651" s="122"/>
      <c r="F651" s="121"/>
      <c r="G651" s="122"/>
      <c r="H651" s="119"/>
      <c r="I651" s="123"/>
      <c r="J651" s="119"/>
      <c r="K651" s="119"/>
      <c r="L651" s="232"/>
      <c r="M651" s="145" t="str">
        <f t="shared" si="36"/>
        <v>OneCo Networks AS</v>
      </c>
      <c r="N6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1" s="268" t="str">
        <f ca="1">IFERROR(IF(
OR(Table1[[#This Row],[Product category]]="Service items",Table1[[#This Row],[Product category]]="Additional services",Table1[[#This Row],[Product category]]="Additional materials"),
"NOK",IF(($N$3&lt;&gt;""),VLOOKUP(Table1[[#This Row],[Product code]],INDIRECT(Aux!$A$1),6,FALSE),"")),"")</f>
        <v/>
      </c>
      <c r="P651" s="41" t="str">
        <f ca="1">IFERROR(IF(AND(Table1[[#This Row],[Quantity]]&lt;&gt;"",Table1[[#This Row],[Currency]]="NOK"),Table1[[#This Row],[Quantity]]*Table1[[#This Row],[Unit Price]],""),"")</f>
        <v/>
      </c>
      <c r="Q651" s="41" t="str">
        <f ca="1">IFERROR(IF(AND(Table1[[#This Row],[ACT_Qty]]&lt;&gt;"",Table1[[#This Row],[Currency]]="NOK"),Table1[[#This Row],[ACT_Qty]]*Table1[[#This Row],[Unit Price]],""),"")</f>
        <v/>
      </c>
      <c r="R651" s="41" t="str">
        <f ca="1">IFERROR(IF(AND(Table1[[#This Row],[Quantity]]&lt;&gt;"",Table1[[#This Row],[Currency]]="EUR"),Table1[[#This Row],[Quantity]]*Table1[[#This Row],[Unit Price]],""),"")</f>
        <v/>
      </c>
      <c r="S651" s="41" t="str">
        <f ca="1">IFERROR(IF(AND(Table1[[#This Row],[ACT_Qty]]&lt;&gt;"",Table1[[#This Row],[Currency]]="EUR"),Table1[[#This Row],[ACT_Qty]]*Table1[[#This Row],[Unit Price]],""),"")</f>
        <v/>
      </c>
      <c r="T651" s="269" t="str">
        <f ca="1">IFERROR(IF(AND(($N$3&lt;&gt;""),INDIRECT(Aux!$D$1)),VLOOKUP(Table1[[#This Row],[Product code]],Aux!B:E,4,FALSE),""),"")</f>
        <v/>
      </c>
      <c r="U651" s="145" t="str">
        <f>IFERROR(IF(OR(Table1[[#This Row],[Quantity]]&lt;&gt;"",Table1[[#This Row],[ACT_Qty]]&lt;&gt;""),Table1[[#This Row],[ACT_Qty]]-Table1[[#This Row],[Quantity]],""),"")</f>
        <v/>
      </c>
      <c r="V651" s="45"/>
      <c r="W651" s="45"/>
      <c r="X651" s="45"/>
    </row>
    <row r="652" spans="1:24">
      <c r="A652" s="233" t="str">
        <f t="shared" si="39"/>
        <v>AKH12345</v>
      </c>
      <c r="B652" s="80"/>
      <c r="C652" s="81"/>
      <c r="D652" s="73"/>
      <c r="E652" s="90"/>
      <c r="F652" s="73"/>
      <c r="G652" s="90"/>
      <c r="H652" s="82"/>
      <c r="I652" s="83"/>
      <c r="J652" s="82"/>
      <c r="K652" s="82"/>
      <c r="L652" s="84"/>
      <c r="M652" s="148" t="str">
        <f t="shared" ref="M652:M715" si="40">IF($C$3&lt;&gt;"",$C$3,"")</f>
        <v>OneCo Networks AS</v>
      </c>
      <c r="N65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2" s="270" t="str">
        <f ca="1">IFERROR(IF(
OR(Table1[[#This Row],[Product category]]="Service items",Table1[[#This Row],[Product category]]="Additional services",Table1[[#This Row],[Product category]]="Additional materials"),
"NOK",IF(($N$3&lt;&gt;""),VLOOKUP(Table1[[#This Row],[Product code]],INDIRECT(Aux!$A$1),6,FALSE),"")),"")</f>
        <v/>
      </c>
      <c r="P652" s="43" t="str">
        <f ca="1">IFERROR(IF(AND(Table1[[#This Row],[Quantity]]&lt;&gt;"",Table1[[#This Row],[Currency]]="NOK"),Table1[[#This Row],[Quantity]]*Table1[[#This Row],[Unit Price]],""),"")</f>
        <v/>
      </c>
      <c r="Q652" s="43" t="str">
        <f ca="1">IFERROR(IF(AND(Table1[[#This Row],[ACT_Qty]]&lt;&gt;"",Table1[[#This Row],[Currency]]="NOK"),Table1[[#This Row],[ACT_Qty]]*Table1[[#This Row],[Unit Price]],""),"")</f>
        <v/>
      </c>
      <c r="R652" s="43" t="str">
        <f ca="1">IFERROR(IF(AND(Table1[[#This Row],[Quantity]]&lt;&gt;"",Table1[[#This Row],[Currency]]="EUR"),Table1[[#This Row],[Quantity]]*Table1[[#This Row],[Unit Price]],""),"")</f>
        <v/>
      </c>
      <c r="S652" s="43" t="str">
        <f ca="1">IFERROR(IF(AND(Table1[[#This Row],[ACT_Qty]]&lt;&gt;"",Table1[[#This Row],[Currency]]="EUR"),Table1[[#This Row],[ACT_Qty]]*Table1[[#This Row],[Unit Price]],""),"")</f>
        <v/>
      </c>
      <c r="T652" s="271" t="str">
        <f ca="1">IFERROR(IF(AND(($N$3&lt;&gt;""),INDIRECT(Aux!$D$1)),VLOOKUP(Table1[[#This Row],[Product code]],Aux!B:E,4,FALSE),""),"")</f>
        <v/>
      </c>
      <c r="U652" s="148" t="str">
        <f>IFERROR(IF(OR(Table1[[#This Row],[Quantity]]&lt;&gt;"",Table1[[#This Row],[ACT_Qty]]&lt;&gt;""),Table1[[#This Row],[ACT_Qty]]-Table1[[#This Row],[Quantity]],""),"")</f>
        <v/>
      </c>
      <c r="V652" s="46"/>
      <c r="W652" s="46"/>
      <c r="X652" s="46"/>
    </row>
    <row r="653" spans="1:24">
      <c r="A653" s="143" t="str">
        <f t="shared" si="39"/>
        <v>AKH12345</v>
      </c>
      <c r="B653" s="231"/>
      <c r="C653" s="120"/>
      <c r="D653" s="121"/>
      <c r="E653" s="122"/>
      <c r="F653" s="121"/>
      <c r="G653" s="122"/>
      <c r="H653" s="119"/>
      <c r="I653" s="123"/>
      <c r="J653" s="119"/>
      <c r="K653" s="119"/>
      <c r="L653" s="232"/>
      <c r="M653" s="145" t="str">
        <f t="shared" si="40"/>
        <v>OneCo Networks AS</v>
      </c>
      <c r="N6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3" s="268" t="str">
        <f ca="1">IFERROR(IF(
OR(Table1[[#This Row],[Product category]]="Service items",Table1[[#This Row],[Product category]]="Additional services",Table1[[#This Row],[Product category]]="Additional materials"),
"NOK",IF(($N$3&lt;&gt;""),VLOOKUP(Table1[[#This Row],[Product code]],INDIRECT(Aux!$A$1),6,FALSE),"")),"")</f>
        <v/>
      </c>
      <c r="P653" s="41" t="str">
        <f ca="1">IFERROR(IF(AND(Table1[[#This Row],[Quantity]]&lt;&gt;"",Table1[[#This Row],[Currency]]="NOK"),Table1[[#This Row],[Quantity]]*Table1[[#This Row],[Unit Price]],""),"")</f>
        <v/>
      </c>
      <c r="Q653" s="41" t="str">
        <f ca="1">IFERROR(IF(AND(Table1[[#This Row],[ACT_Qty]]&lt;&gt;"",Table1[[#This Row],[Currency]]="NOK"),Table1[[#This Row],[ACT_Qty]]*Table1[[#This Row],[Unit Price]],""),"")</f>
        <v/>
      </c>
      <c r="R653" s="41" t="str">
        <f ca="1">IFERROR(IF(AND(Table1[[#This Row],[Quantity]]&lt;&gt;"",Table1[[#This Row],[Currency]]="EUR"),Table1[[#This Row],[Quantity]]*Table1[[#This Row],[Unit Price]],""),"")</f>
        <v/>
      </c>
      <c r="S653" s="41" t="str">
        <f ca="1">IFERROR(IF(AND(Table1[[#This Row],[ACT_Qty]]&lt;&gt;"",Table1[[#This Row],[Currency]]="EUR"),Table1[[#This Row],[ACT_Qty]]*Table1[[#This Row],[Unit Price]],""),"")</f>
        <v/>
      </c>
      <c r="T653" s="269" t="str">
        <f ca="1">IFERROR(IF(AND(($N$3&lt;&gt;""),INDIRECT(Aux!$D$1)),VLOOKUP(Table1[[#This Row],[Product code]],Aux!B:E,4,FALSE),""),"")</f>
        <v/>
      </c>
      <c r="U653" s="145" t="str">
        <f>IFERROR(IF(OR(Table1[[#This Row],[Quantity]]&lt;&gt;"",Table1[[#This Row],[ACT_Qty]]&lt;&gt;""),Table1[[#This Row],[ACT_Qty]]-Table1[[#This Row],[Quantity]],""),"")</f>
        <v/>
      </c>
      <c r="V653" s="45"/>
      <c r="W653" s="45"/>
      <c r="X653" s="45"/>
    </row>
    <row r="654" spans="1:24">
      <c r="A654" s="233" t="str">
        <f t="shared" si="39"/>
        <v>AKH12345</v>
      </c>
      <c r="B654" s="80"/>
      <c r="C654" s="81"/>
      <c r="D654" s="73"/>
      <c r="E654" s="90"/>
      <c r="F654" s="73"/>
      <c r="G654" s="90"/>
      <c r="H654" s="82"/>
      <c r="I654" s="83"/>
      <c r="J654" s="82"/>
      <c r="K654" s="82"/>
      <c r="L654" s="84"/>
      <c r="M654" s="148" t="str">
        <f t="shared" si="40"/>
        <v>OneCo Networks AS</v>
      </c>
      <c r="N65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4" s="270" t="str">
        <f ca="1">IFERROR(IF(
OR(Table1[[#This Row],[Product category]]="Service items",Table1[[#This Row],[Product category]]="Additional services",Table1[[#This Row],[Product category]]="Additional materials"),
"NOK",IF(($N$3&lt;&gt;""),VLOOKUP(Table1[[#This Row],[Product code]],INDIRECT(Aux!$A$1),6,FALSE),"")),"")</f>
        <v/>
      </c>
      <c r="P654" s="43" t="str">
        <f ca="1">IFERROR(IF(AND(Table1[[#This Row],[Quantity]]&lt;&gt;"",Table1[[#This Row],[Currency]]="NOK"),Table1[[#This Row],[Quantity]]*Table1[[#This Row],[Unit Price]],""),"")</f>
        <v/>
      </c>
      <c r="Q654" s="43" t="str">
        <f ca="1">IFERROR(IF(AND(Table1[[#This Row],[ACT_Qty]]&lt;&gt;"",Table1[[#This Row],[Currency]]="NOK"),Table1[[#This Row],[ACT_Qty]]*Table1[[#This Row],[Unit Price]],""),"")</f>
        <v/>
      </c>
      <c r="R654" s="43" t="str">
        <f ca="1">IFERROR(IF(AND(Table1[[#This Row],[Quantity]]&lt;&gt;"",Table1[[#This Row],[Currency]]="EUR"),Table1[[#This Row],[Quantity]]*Table1[[#This Row],[Unit Price]],""),"")</f>
        <v/>
      </c>
      <c r="S654" s="43" t="str">
        <f ca="1">IFERROR(IF(AND(Table1[[#This Row],[ACT_Qty]]&lt;&gt;"",Table1[[#This Row],[Currency]]="EUR"),Table1[[#This Row],[ACT_Qty]]*Table1[[#This Row],[Unit Price]],""),"")</f>
        <v/>
      </c>
      <c r="T654" s="271" t="str">
        <f ca="1">IFERROR(IF(AND(($N$3&lt;&gt;""),INDIRECT(Aux!$D$1)),VLOOKUP(Table1[[#This Row],[Product code]],Aux!B:E,4,FALSE),""),"")</f>
        <v/>
      </c>
      <c r="U654" s="148" t="str">
        <f>IFERROR(IF(OR(Table1[[#This Row],[Quantity]]&lt;&gt;"",Table1[[#This Row],[ACT_Qty]]&lt;&gt;""),Table1[[#This Row],[ACT_Qty]]-Table1[[#This Row],[Quantity]],""),"")</f>
        <v/>
      </c>
      <c r="V654" s="46"/>
      <c r="W654" s="46"/>
      <c r="X654" s="46"/>
    </row>
    <row r="655" spans="1:24">
      <c r="A655" s="143" t="str">
        <f t="shared" si="39"/>
        <v>AKH12345</v>
      </c>
      <c r="B655" s="231"/>
      <c r="C655" s="120"/>
      <c r="D655" s="121"/>
      <c r="E655" s="122"/>
      <c r="F655" s="121"/>
      <c r="G655" s="122"/>
      <c r="H655" s="119"/>
      <c r="I655" s="123"/>
      <c r="J655" s="119"/>
      <c r="K655" s="119"/>
      <c r="L655" s="232"/>
      <c r="M655" s="145" t="str">
        <f t="shared" si="40"/>
        <v>OneCo Networks AS</v>
      </c>
      <c r="N6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5" s="268" t="str">
        <f ca="1">IFERROR(IF(
OR(Table1[[#This Row],[Product category]]="Service items",Table1[[#This Row],[Product category]]="Additional services",Table1[[#This Row],[Product category]]="Additional materials"),
"NOK",IF(($N$3&lt;&gt;""),VLOOKUP(Table1[[#This Row],[Product code]],INDIRECT(Aux!$A$1),6,FALSE),"")),"")</f>
        <v/>
      </c>
      <c r="P655" s="41" t="str">
        <f ca="1">IFERROR(IF(AND(Table1[[#This Row],[Quantity]]&lt;&gt;"",Table1[[#This Row],[Currency]]="NOK"),Table1[[#This Row],[Quantity]]*Table1[[#This Row],[Unit Price]],""),"")</f>
        <v/>
      </c>
      <c r="Q655" s="41" t="str">
        <f ca="1">IFERROR(IF(AND(Table1[[#This Row],[ACT_Qty]]&lt;&gt;"",Table1[[#This Row],[Currency]]="NOK"),Table1[[#This Row],[ACT_Qty]]*Table1[[#This Row],[Unit Price]],""),"")</f>
        <v/>
      </c>
      <c r="R655" s="41" t="str">
        <f ca="1">IFERROR(IF(AND(Table1[[#This Row],[Quantity]]&lt;&gt;"",Table1[[#This Row],[Currency]]="EUR"),Table1[[#This Row],[Quantity]]*Table1[[#This Row],[Unit Price]],""),"")</f>
        <v/>
      </c>
      <c r="S655" s="41" t="str">
        <f ca="1">IFERROR(IF(AND(Table1[[#This Row],[ACT_Qty]]&lt;&gt;"",Table1[[#This Row],[Currency]]="EUR"),Table1[[#This Row],[ACT_Qty]]*Table1[[#This Row],[Unit Price]],""),"")</f>
        <v/>
      </c>
      <c r="T655" s="269" t="str">
        <f ca="1">IFERROR(IF(AND(($N$3&lt;&gt;""),INDIRECT(Aux!$D$1)),VLOOKUP(Table1[[#This Row],[Product code]],Aux!B:E,4,FALSE),""),"")</f>
        <v/>
      </c>
      <c r="U655" s="145" t="str">
        <f>IFERROR(IF(OR(Table1[[#This Row],[Quantity]]&lt;&gt;"",Table1[[#This Row],[ACT_Qty]]&lt;&gt;""),Table1[[#This Row],[ACT_Qty]]-Table1[[#This Row],[Quantity]],""),"")</f>
        <v/>
      </c>
      <c r="V655" s="45"/>
      <c r="W655" s="45"/>
      <c r="X655" s="45"/>
    </row>
    <row r="656" spans="1:24">
      <c r="A656" s="233" t="str">
        <f t="shared" si="39"/>
        <v>AKH12345</v>
      </c>
      <c r="B656" s="80"/>
      <c r="C656" s="81"/>
      <c r="D656" s="73"/>
      <c r="E656" s="90"/>
      <c r="F656" s="73"/>
      <c r="G656" s="90"/>
      <c r="H656" s="82"/>
      <c r="I656" s="83"/>
      <c r="J656" s="82"/>
      <c r="K656" s="82"/>
      <c r="L656" s="84"/>
      <c r="M656" s="148" t="str">
        <f t="shared" si="40"/>
        <v>OneCo Networks AS</v>
      </c>
      <c r="N65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6" s="270" t="str">
        <f ca="1">IFERROR(IF(
OR(Table1[[#This Row],[Product category]]="Service items",Table1[[#This Row],[Product category]]="Additional services",Table1[[#This Row],[Product category]]="Additional materials"),
"NOK",IF(($N$3&lt;&gt;""),VLOOKUP(Table1[[#This Row],[Product code]],INDIRECT(Aux!$A$1),6,FALSE),"")),"")</f>
        <v/>
      </c>
      <c r="P656" s="43" t="str">
        <f ca="1">IFERROR(IF(AND(Table1[[#This Row],[Quantity]]&lt;&gt;"",Table1[[#This Row],[Currency]]="NOK"),Table1[[#This Row],[Quantity]]*Table1[[#This Row],[Unit Price]],""),"")</f>
        <v/>
      </c>
      <c r="Q656" s="43" t="str">
        <f ca="1">IFERROR(IF(AND(Table1[[#This Row],[ACT_Qty]]&lt;&gt;"",Table1[[#This Row],[Currency]]="NOK"),Table1[[#This Row],[ACT_Qty]]*Table1[[#This Row],[Unit Price]],""),"")</f>
        <v/>
      </c>
      <c r="R656" s="43" t="str">
        <f ca="1">IFERROR(IF(AND(Table1[[#This Row],[Quantity]]&lt;&gt;"",Table1[[#This Row],[Currency]]="EUR"),Table1[[#This Row],[Quantity]]*Table1[[#This Row],[Unit Price]],""),"")</f>
        <v/>
      </c>
      <c r="S656" s="43" t="str">
        <f ca="1">IFERROR(IF(AND(Table1[[#This Row],[ACT_Qty]]&lt;&gt;"",Table1[[#This Row],[Currency]]="EUR"),Table1[[#This Row],[ACT_Qty]]*Table1[[#This Row],[Unit Price]],""),"")</f>
        <v/>
      </c>
      <c r="T656" s="271" t="str">
        <f ca="1">IFERROR(IF(AND(($N$3&lt;&gt;""),INDIRECT(Aux!$D$1)),VLOOKUP(Table1[[#This Row],[Product code]],Aux!B:E,4,FALSE),""),"")</f>
        <v/>
      </c>
      <c r="U656" s="148" t="str">
        <f>IFERROR(IF(OR(Table1[[#This Row],[Quantity]]&lt;&gt;"",Table1[[#This Row],[ACT_Qty]]&lt;&gt;""),Table1[[#This Row],[ACT_Qty]]-Table1[[#This Row],[Quantity]],""),"")</f>
        <v/>
      </c>
      <c r="V656" s="46"/>
      <c r="W656" s="46"/>
      <c r="X656" s="46"/>
    </row>
    <row r="657" spans="1:24">
      <c r="A657" s="143" t="str">
        <f t="shared" si="39"/>
        <v>AKH12345</v>
      </c>
      <c r="B657" s="231"/>
      <c r="C657" s="120"/>
      <c r="D657" s="121"/>
      <c r="E657" s="122"/>
      <c r="F657" s="121"/>
      <c r="G657" s="122"/>
      <c r="H657" s="119"/>
      <c r="I657" s="123"/>
      <c r="J657" s="119"/>
      <c r="K657" s="119"/>
      <c r="L657" s="232"/>
      <c r="M657" s="145" t="str">
        <f t="shared" si="40"/>
        <v>OneCo Networks AS</v>
      </c>
      <c r="N6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7" s="268" t="str">
        <f ca="1">IFERROR(IF(
OR(Table1[[#This Row],[Product category]]="Service items",Table1[[#This Row],[Product category]]="Additional services",Table1[[#This Row],[Product category]]="Additional materials"),
"NOK",IF(($N$3&lt;&gt;""),VLOOKUP(Table1[[#This Row],[Product code]],INDIRECT(Aux!$A$1),6,FALSE),"")),"")</f>
        <v/>
      </c>
      <c r="P657" s="41" t="str">
        <f ca="1">IFERROR(IF(AND(Table1[[#This Row],[Quantity]]&lt;&gt;"",Table1[[#This Row],[Currency]]="NOK"),Table1[[#This Row],[Quantity]]*Table1[[#This Row],[Unit Price]],""),"")</f>
        <v/>
      </c>
      <c r="Q657" s="41" t="str">
        <f ca="1">IFERROR(IF(AND(Table1[[#This Row],[ACT_Qty]]&lt;&gt;"",Table1[[#This Row],[Currency]]="NOK"),Table1[[#This Row],[ACT_Qty]]*Table1[[#This Row],[Unit Price]],""),"")</f>
        <v/>
      </c>
      <c r="R657" s="41" t="str">
        <f ca="1">IFERROR(IF(AND(Table1[[#This Row],[Quantity]]&lt;&gt;"",Table1[[#This Row],[Currency]]="EUR"),Table1[[#This Row],[Quantity]]*Table1[[#This Row],[Unit Price]],""),"")</f>
        <v/>
      </c>
      <c r="S657" s="41" t="str">
        <f ca="1">IFERROR(IF(AND(Table1[[#This Row],[ACT_Qty]]&lt;&gt;"",Table1[[#This Row],[Currency]]="EUR"),Table1[[#This Row],[ACT_Qty]]*Table1[[#This Row],[Unit Price]],""),"")</f>
        <v/>
      </c>
      <c r="T657" s="269" t="str">
        <f ca="1">IFERROR(IF(AND(($N$3&lt;&gt;""),INDIRECT(Aux!$D$1)),VLOOKUP(Table1[[#This Row],[Product code]],Aux!B:E,4,FALSE),""),"")</f>
        <v/>
      </c>
      <c r="U657" s="145" t="str">
        <f>IFERROR(IF(OR(Table1[[#This Row],[Quantity]]&lt;&gt;"",Table1[[#This Row],[ACT_Qty]]&lt;&gt;""),Table1[[#This Row],[ACT_Qty]]-Table1[[#This Row],[Quantity]],""),"")</f>
        <v/>
      </c>
      <c r="V657" s="45"/>
      <c r="W657" s="45"/>
      <c r="X657" s="45"/>
    </row>
    <row r="658" spans="1:24">
      <c r="A658" s="233" t="str">
        <f t="shared" si="39"/>
        <v>AKH12345</v>
      </c>
      <c r="B658" s="80"/>
      <c r="C658" s="81"/>
      <c r="D658" s="73"/>
      <c r="E658" s="90"/>
      <c r="F658" s="73"/>
      <c r="G658" s="90"/>
      <c r="H658" s="82"/>
      <c r="I658" s="83"/>
      <c r="J658" s="82"/>
      <c r="K658" s="82"/>
      <c r="L658" s="84"/>
      <c r="M658" s="148" t="str">
        <f t="shared" si="40"/>
        <v>OneCo Networks AS</v>
      </c>
      <c r="N65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8" s="270" t="str">
        <f ca="1">IFERROR(IF(
OR(Table1[[#This Row],[Product category]]="Service items",Table1[[#This Row],[Product category]]="Additional services",Table1[[#This Row],[Product category]]="Additional materials"),
"NOK",IF(($N$3&lt;&gt;""),VLOOKUP(Table1[[#This Row],[Product code]],INDIRECT(Aux!$A$1),6,FALSE),"")),"")</f>
        <v/>
      </c>
      <c r="P658" s="43" t="str">
        <f ca="1">IFERROR(IF(AND(Table1[[#This Row],[Quantity]]&lt;&gt;"",Table1[[#This Row],[Currency]]="NOK"),Table1[[#This Row],[Quantity]]*Table1[[#This Row],[Unit Price]],""),"")</f>
        <v/>
      </c>
      <c r="Q658" s="43" t="str">
        <f ca="1">IFERROR(IF(AND(Table1[[#This Row],[ACT_Qty]]&lt;&gt;"",Table1[[#This Row],[Currency]]="NOK"),Table1[[#This Row],[ACT_Qty]]*Table1[[#This Row],[Unit Price]],""),"")</f>
        <v/>
      </c>
      <c r="R658" s="43" t="str">
        <f ca="1">IFERROR(IF(AND(Table1[[#This Row],[Quantity]]&lt;&gt;"",Table1[[#This Row],[Currency]]="EUR"),Table1[[#This Row],[Quantity]]*Table1[[#This Row],[Unit Price]],""),"")</f>
        <v/>
      </c>
      <c r="S658" s="43" t="str">
        <f ca="1">IFERROR(IF(AND(Table1[[#This Row],[ACT_Qty]]&lt;&gt;"",Table1[[#This Row],[Currency]]="EUR"),Table1[[#This Row],[ACT_Qty]]*Table1[[#This Row],[Unit Price]],""),"")</f>
        <v/>
      </c>
      <c r="T658" s="271" t="str">
        <f ca="1">IFERROR(IF(AND(($N$3&lt;&gt;""),INDIRECT(Aux!$D$1)),VLOOKUP(Table1[[#This Row],[Product code]],Aux!B:E,4,FALSE),""),"")</f>
        <v/>
      </c>
      <c r="U658" s="148" t="str">
        <f>IFERROR(IF(OR(Table1[[#This Row],[Quantity]]&lt;&gt;"",Table1[[#This Row],[ACT_Qty]]&lt;&gt;""),Table1[[#This Row],[ACT_Qty]]-Table1[[#This Row],[Quantity]],""),"")</f>
        <v/>
      </c>
      <c r="V658" s="46"/>
      <c r="W658" s="46"/>
      <c r="X658" s="46"/>
    </row>
    <row r="659" spans="1:24">
      <c r="A659" s="143" t="str">
        <f t="shared" si="39"/>
        <v>AKH12345</v>
      </c>
      <c r="B659" s="231"/>
      <c r="C659" s="120"/>
      <c r="D659" s="121"/>
      <c r="E659" s="122"/>
      <c r="F659" s="121"/>
      <c r="G659" s="122"/>
      <c r="H659" s="119"/>
      <c r="I659" s="123"/>
      <c r="J659" s="119"/>
      <c r="K659" s="119"/>
      <c r="L659" s="232"/>
      <c r="M659" s="145" t="str">
        <f t="shared" si="40"/>
        <v>OneCo Networks AS</v>
      </c>
      <c r="N6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59" s="268" t="str">
        <f ca="1">IFERROR(IF(
OR(Table1[[#This Row],[Product category]]="Service items",Table1[[#This Row],[Product category]]="Additional services",Table1[[#This Row],[Product category]]="Additional materials"),
"NOK",IF(($N$3&lt;&gt;""),VLOOKUP(Table1[[#This Row],[Product code]],INDIRECT(Aux!$A$1),6,FALSE),"")),"")</f>
        <v/>
      </c>
      <c r="P659" s="41" t="str">
        <f ca="1">IFERROR(IF(AND(Table1[[#This Row],[Quantity]]&lt;&gt;"",Table1[[#This Row],[Currency]]="NOK"),Table1[[#This Row],[Quantity]]*Table1[[#This Row],[Unit Price]],""),"")</f>
        <v/>
      </c>
      <c r="Q659" s="41" t="str">
        <f ca="1">IFERROR(IF(AND(Table1[[#This Row],[ACT_Qty]]&lt;&gt;"",Table1[[#This Row],[Currency]]="NOK"),Table1[[#This Row],[ACT_Qty]]*Table1[[#This Row],[Unit Price]],""),"")</f>
        <v/>
      </c>
      <c r="R659" s="41" t="str">
        <f ca="1">IFERROR(IF(AND(Table1[[#This Row],[Quantity]]&lt;&gt;"",Table1[[#This Row],[Currency]]="EUR"),Table1[[#This Row],[Quantity]]*Table1[[#This Row],[Unit Price]],""),"")</f>
        <v/>
      </c>
      <c r="S659" s="41" t="str">
        <f ca="1">IFERROR(IF(AND(Table1[[#This Row],[ACT_Qty]]&lt;&gt;"",Table1[[#This Row],[Currency]]="EUR"),Table1[[#This Row],[ACT_Qty]]*Table1[[#This Row],[Unit Price]],""),"")</f>
        <v/>
      </c>
      <c r="T659" s="269" t="str">
        <f ca="1">IFERROR(IF(AND(($N$3&lt;&gt;""),INDIRECT(Aux!$D$1)),VLOOKUP(Table1[[#This Row],[Product code]],Aux!B:E,4,FALSE),""),"")</f>
        <v/>
      </c>
      <c r="U659" s="145" t="str">
        <f>IFERROR(IF(OR(Table1[[#This Row],[Quantity]]&lt;&gt;"",Table1[[#This Row],[ACT_Qty]]&lt;&gt;""),Table1[[#This Row],[ACT_Qty]]-Table1[[#This Row],[Quantity]],""),"")</f>
        <v/>
      </c>
      <c r="V659" s="45"/>
      <c r="W659" s="45"/>
      <c r="X659" s="45"/>
    </row>
    <row r="660" spans="1:24">
      <c r="A660" s="233" t="str">
        <f t="shared" si="39"/>
        <v>AKH12345</v>
      </c>
      <c r="B660" s="80"/>
      <c r="C660" s="81"/>
      <c r="D660" s="73"/>
      <c r="E660" s="90"/>
      <c r="F660" s="73"/>
      <c r="G660" s="90"/>
      <c r="H660" s="82"/>
      <c r="I660" s="83"/>
      <c r="J660" s="82"/>
      <c r="K660" s="82"/>
      <c r="L660" s="84"/>
      <c r="M660" s="148" t="str">
        <f t="shared" si="40"/>
        <v>OneCo Networks AS</v>
      </c>
      <c r="N66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0" s="270" t="str">
        <f ca="1">IFERROR(IF(
OR(Table1[[#This Row],[Product category]]="Service items",Table1[[#This Row],[Product category]]="Additional services",Table1[[#This Row],[Product category]]="Additional materials"),
"NOK",IF(($N$3&lt;&gt;""),VLOOKUP(Table1[[#This Row],[Product code]],INDIRECT(Aux!$A$1),6,FALSE),"")),"")</f>
        <v/>
      </c>
      <c r="P660" s="43" t="str">
        <f ca="1">IFERROR(IF(AND(Table1[[#This Row],[Quantity]]&lt;&gt;"",Table1[[#This Row],[Currency]]="NOK"),Table1[[#This Row],[Quantity]]*Table1[[#This Row],[Unit Price]],""),"")</f>
        <v/>
      </c>
      <c r="Q660" s="43" t="str">
        <f ca="1">IFERROR(IF(AND(Table1[[#This Row],[ACT_Qty]]&lt;&gt;"",Table1[[#This Row],[Currency]]="NOK"),Table1[[#This Row],[ACT_Qty]]*Table1[[#This Row],[Unit Price]],""),"")</f>
        <v/>
      </c>
      <c r="R660" s="43" t="str">
        <f ca="1">IFERROR(IF(AND(Table1[[#This Row],[Quantity]]&lt;&gt;"",Table1[[#This Row],[Currency]]="EUR"),Table1[[#This Row],[Quantity]]*Table1[[#This Row],[Unit Price]],""),"")</f>
        <v/>
      </c>
      <c r="S660" s="43" t="str">
        <f ca="1">IFERROR(IF(AND(Table1[[#This Row],[ACT_Qty]]&lt;&gt;"",Table1[[#This Row],[Currency]]="EUR"),Table1[[#This Row],[ACT_Qty]]*Table1[[#This Row],[Unit Price]],""),"")</f>
        <v/>
      </c>
      <c r="T660" s="271" t="str">
        <f ca="1">IFERROR(IF(AND(($N$3&lt;&gt;""),INDIRECT(Aux!$D$1)),VLOOKUP(Table1[[#This Row],[Product code]],Aux!B:E,4,FALSE),""),"")</f>
        <v/>
      </c>
      <c r="U660" s="148" t="str">
        <f>IFERROR(IF(OR(Table1[[#This Row],[Quantity]]&lt;&gt;"",Table1[[#This Row],[ACT_Qty]]&lt;&gt;""),Table1[[#This Row],[ACT_Qty]]-Table1[[#This Row],[Quantity]],""),"")</f>
        <v/>
      </c>
      <c r="V660" s="46"/>
      <c r="W660" s="46"/>
      <c r="X660" s="46"/>
    </row>
    <row r="661" spans="1:24">
      <c r="A661" s="143" t="str">
        <f t="shared" si="39"/>
        <v>AKH12345</v>
      </c>
      <c r="B661" s="231"/>
      <c r="C661" s="120"/>
      <c r="D661" s="121"/>
      <c r="E661" s="122"/>
      <c r="F661" s="121"/>
      <c r="G661" s="122"/>
      <c r="H661" s="119"/>
      <c r="I661" s="123"/>
      <c r="J661" s="119"/>
      <c r="K661" s="119"/>
      <c r="L661" s="232"/>
      <c r="M661" s="145" t="str">
        <f t="shared" si="40"/>
        <v>OneCo Networks AS</v>
      </c>
      <c r="N6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1" s="268" t="str">
        <f ca="1">IFERROR(IF(
OR(Table1[[#This Row],[Product category]]="Service items",Table1[[#This Row],[Product category]]="Additional services",Table1[[#This Row],[Product category]]="Additional materials"),
"NOK",IF(($N$3&lt;&gt;""),VLOOKUP(Table1[[#This Row],[Product code]],INDIRECT(Aux!$A$1),6,FALSE),"")),"")</f>
        <v/>
      </c>
      <c r="P661" s="41" t="str">
        <f ca="1">IFERROR(IF(AND(Table1[[#This Row],[Quantity]]&lt;&gt;"",Table1[[#This Row],[Currency]]="NOK"),Table1[[#This Row],[Quantity]]*Table1[[#This Row],[Unit Price]],""),"")</f>
        <v/>
      </c>
      <c r="Q661" s="41" t="str">
        <f ca="1">IFERROR(IF(AND(Table1[[#This Row],[ACT_Qty]]&lt;&gt;"",Table1[[#This Row],[Currency]]="NOK"),Table1[[#This Row],[ACT_Qty]]*Table1[[#This Row],[Unit Price]],""),"")</f>
        <v/>
      </c>
      <c r="R661" s="41" t="str">
        <f ca="1">IFERROR(IF(AND(Table1[[#This Row],[Quantity]]&lt;&gt;"",Table1[[#This Row],[Currency]]="EUR"),Table1[[#This Row],[Quantity]]*Table1[[#This Row],[Unit Price]],""),"")</f>
        <v/>
      </c>
      <c r="S661" s="41" t="str">
        <f ca="1">IFERROR(IF(AND(Table1[[#This Row],[ACT_Qty]]&lt;&gt;"",Table1[[#This Row],[Currency]]="EUR"),Table1[[#This Row],[ACT_Qty]]*Table1[[#This Row],[Unit Price]],""),"")</f>
        <v/>
      </c>
      <c r="T661" s="269" t="str">
        <f ca="1">IFERROR(IF(AND(($N$3&lt;&gt;""),INDIRECT(Aux!$D$1)),VLOOKUP(Table1[[#This Row],[Product code]],Aux!B:E,4,FALSE),""),"")</f>
        <v/>
      </c>
      <c r="U661" s="145" t="str">
        <f>IFERROR(IF(OR(Table1[[#This Row],[Quantity]]&lt;&gt;"",Table1[[#This Row],[ACT_Qty]]&lt;&gt;""),Table1[[#This Row],[ACT_Qty]]-Table1[[#This Row],[Quantity]],""),"")</f>
        <v/>
      </c>
      <c r="V661" s="45"/>
      <c r="W661" s="45"/>
      <c r="X661" s="45"/>
    </row>
    <row r="662" spans="1:24">
      <c r="A662" s="233" t="str">
        <f t="shared" si="39"/>
        <v>AKH12345</v>
      </c>
      <c r="B662" s="80"/>
      <c r="C662" s="81"/>
      <c r="D662" s="73"/>
      <c r="E662" s="90"/>
      <c r="F662" s="73"/>
      <c r="G662" s="90"/>
      <c r="H662" s="82"/>
      <c r="I662" s="83"/>
      <c r="J662" s="82"/>
      <c r="K662" s="82"/>
      <c r="L662" s="84"/>
      <c r="M662" s="148" t="str">
        <f t="shared" si="40"/>
        <v>OneCo Networks AS</v>
      </c>
      <c r="N66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2" s="270" t="str">
        <f ca="1">IFERROR(IF(
OR(Table1[[#This Row],[Product category]]="Service items",Table1[[#This Row],[Product category]]="Additional services",Table1[[#This Row],[Product category]]="Additional materials"),
"NOK",IF(($N$3&lt;&gt;""),VLOOKUP(Table1[[#This Row],[Product code]],INDIRECT(Aux!$A$1),6,FALSE),"")),"")</f>
        <v/>
      </c>
      <c r="P662" s="43" t="str">
        <f ca="1">IFERROR(IF(AND(Table1[[#This Row],[Quantity]]&lt;&gt;"",Table1[[#This Row],[Currency]]="NOK"),Table1[[#This Row],[Quantity]]*Table1[[#This Row],[Unit Price]],""),"")</f>
        <v/>
      </c>
      <c r="Q662" s="43" t="str">
        <f ca="1">IFERROR(IF(AND(Table1[[#This Row],[ACT_Qty]]&lt;&gt;"",Table1[[#This Row],[Currency]]="NOK"),Table1[[#This Row],[ACT_Qty]]*Table1[[#This Row],[Unit Price]],""),"")</f>
        <v/>
      </c>
      <c r="R662" s="43" t="str">
        <f ca="1">IFERROR(IF(AND(Table1[[#This Row],[Quantity]]&lt;&gt;"",Table1[[#This Row],[Currency]]="EUR"),Table1[[#This Row],[Quantity]]*Table1[[#This Row],[Unit Price]],""),"")</f>
        <v/>
      </c>
      <c r="S662" s="43" t="str">
        <f ca="1">IFERROR(IF(AND(Table1[[#This Row],[ACT_Qty]]&lt;&gt;"",Table1[[#This Row],[Currency]]="EUR"),Table1[[#This Row],[ACT_Qty]]*Table1[[#This Row],[Unit Price]],""),"")</f>
        <v/>
      </c>
      <c r="T662" s="271" t="str">
        <f ca="1">IFERROR(IF(AND(($N$3&lt;&gt;""),INDIRECT(Aux!$D$1)),VLOOKUP(Table1[[#This Row],[Product code]],Aux!B:E,4,FALSE),""),"")</f>
        <v/>
      </c>
      <c r="U662" s="148" t="str">
        <f>IFERROR(IF(OR(Table1[[#This Row],[Quantity]]&lt;&gt;"",Table1[[#This Row],[ACT_Qty]]&lt;&gt;""),Table1[[#This Row],[ACT_Qty]]-Table1[[#This Row],[Quantity]],""),"")</f>
        <v/>
      </c>
      <c r="V662" s="46"/>
      <c r="W662" s="46"/>
      <c r="X662" s="46"/>
    </row>
    <row r="663" spans="1:24">
      <c r="A663" s="143" t="str">
        <f t="shared" si="39"/>
        <v>AKH12345</v>
      </c>
      <c r="B663" s="231"/>
      <c r="C663" s="120"/>
      <c r="D663" s="121"/>
      <c r="E663" s="122"/>
      <c r="F663" s="121"/>
      <c r="G663" s="122"/>
      <c r="H663" s="119"/>
      <c r="I663" s="123"/>
      <c r="J663" s="119"/>
      <c r="K663" s="119"/>
      <c r="L663" s="232"/>
      <c r="M663" s="145" t="str">
        <f t="shared" si="40"/>
        <v>OneCo Networks AS</v>
      </c>
      <c r="N6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3" s="268" t="str">
        <f ca="1">IFERROR(IF(
OR(Table1[[#This Row],[Product category]]="Service items",Table1[[#This Row],[Product category]]="Additional services",Table1[[#This Row],[Product category]]="Additional materials"),
"NOK",IF(($N$3&lt;&gt;""),VLOOKUP(Table1[[#This Row],[Product code]],INDIRECT(Aux!$A$1),6,FALSE),"")),"")</f>
        <v/>
      </c>
      <c r="P663" s="41" t="str">
        <f ca="1">IFERROR(IF(AND(Table1[[#This Row],[Quantity]]&lt;&gt;"",Table1[[#This Row],[Currency]]="NOK"),Table1[[#This Row],[Quantity]]*Table1[[#This Row],[Unit Price]],""),"")</f>
        <v/>
      </c>
      <c r="Q663" s="41" t="str">
        <f ca="1">IFERROR(IF(AND(Table1[[#This Row],[ACT_Qty]]&lt;&gt;"",Table1[[#This Row],[Currency]]="NOK"),Table1[[#This Row],[ACT_Qty]]*Table1[[#This Row],[Unit Price]],""),"")</f>
        <v/>
      </c>
      <c r="R663" s="41" t="str">
        <f ca="1">IFERROR(IF(AND(Table1[[#This Row],[Quantity]]&lt;&gt;"",Table1[[#This Row],[Currency]]="EUR"),Table1[[#This Row],[Quantity]]*Table1[[#This Row],[Unit Price]],""),"")</f>
        <v/>
      </c>
      <c r="S663" s="41" t="str">
        <f ca="1">IFERROR(IF(AND(Table1[[#This Row],[ACT_Qty]]&lt;&gt;"",Table1[[#This Row],[Currency]]="EUR"),Table1[[#This Row],[ACT_Qty]]*Table1[[#This Row],[Unit Price]],""),"")</f>
        <v/>
      </c>
      <c r="T663" s="269" t="str">
        <f ca="1">IFERROR(IF(AND(($N$3&lt;&gt;""),INDIRECT(Aux!$D$1)),VLOOKUP(Table1[[#This Row],[Product code]],Aux!B:E,4,FALSE),""),"")</f>
        <v/>
      </c>
      <c r="U663" s="145" t="str">
        <f>IFERROR(IF(OR(Table1[[#This Row],[Quantity]]&lt;&gt;"",Table1[[#This Row],[ACT_Qty]]&lt;&gt;""),Table1[[#This Row],[ACT_Qty]]-Table1[[#This Row],[Quantity]],""),"")</f>
        <v/>
      </c>
      <c r="V663" s="45"/>
      <c r="W663" s="45"/>
      <c r="X663" s="45"/>
    </row>
    <row r="664" spans="1:24">
      <c r="A664" s="233" t="str">
        <f t="shared" si="39"/>
        <v>AKH12345</v>
      </c>
      <c r="B664" s="80"/>
      <c r="C664" s="81"/>
      <c r="D664" s="73"/>
      <c r="E664" s="90"/>
      <c r="F664" s="73"/>
      <c r="G664" s="90"/>
      <c r="H664" s="82"/>
      <c r="I664" s="83"/>
      <c r="J664" s="82"/>
      <c r="K664" s="82"/>
      <c r="L664" s="84"/>
      <c r="M664" s="148" t="str">
        <f t="shared" si="40"/>
        <v>OneCo Networks AS</v>
      </c>
      <c r="N66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4" s="270" t="str">
        <f ca="1">IFERROR(IF(
OR(Table1[[#This Row],[Product category]]="Service items",Table1[[#This Row],[Product category]]="Additional services",Table1[[#This Row],[Product category]]="Additional materials"),
"NOK",IF(($N$3&lt;&gt;""),VLOOKUP(Table1[[#This Row],[Product code]],INDIRECT(Aux!$A$1),6,FALSE),"")),"")</f>
        <v/>
      </c>
      <c r="P664" s="43" t="str">
        <f ca="1">IFERROR(IF(AND(Table1[[#This Row],[Quantity]]&lt;&gt;"",Table1[[#This Row],[Currency]]="NOK"),Table1[[#This Row],[Quantity]]*Table1[[#This Row],[Unit Price]],""),"")</f>
        <v/>
      </c>
      <c r="Q664" s="43" t="str">
        <f ca="1">IFERROR(IF(AND(Table1[[#This Row],[ACT_Qty]]&lt;&gt;"",Table1[[#This Row],[Currency]]="NOK"),Table1[[#This Row],[ACT_Qty]]*Table1[[#This Row],[Unit Price]],""),"")</f>
        <v/>
      </c>
      <c r="R664" s="43" t="str">
        <f ca="1">IFERROR(IF(AND(Table1[[#This Row],[Quantity]]&lt;&gt;"",Table1[[#This Row],[Currency]]="EUR"),Table1[[#This Row],[Quantity]]*Table1[[#This Row],[Unit Price]],""),"")</f>
        <v/>
      </c>
      <c r="S664" s="43" t="str">
        <f ca="1">IFERROR(IF(AND(Table1[[#This Row],[ACT_Qty]]&lt;&gt;"",Table1[[#This Row],[Currency]]="EUR"),Table1[[#This Row],[ACT_Qty]]*Table1[[#This Row],[Unit Price]],""),"")</f>
        <v/>
      </c>
      <c r="T664" s="271" t="str">
        <f ca="1">IFERROR(IF(AND(($N$3&lt;&gt;""),INDIRECT(Aux!$D$1)),VLOOKUP(Table1[[#This Row],[Product code]],Aux!B:E,4,FALSE),""),"")</f>
        <v/>
      </c>
      <c r="U664" s="148" t="str">
        <f>IFERROR(IF(OR(Table1[[#This Row],[Quantity]]&lt;&gt;"",Table1[[#This Row],[ACT_Qty]]&lt;&gt;""),Table1[[#This Row],[ACT_Qty]]-Table1[[#This Row],[Quantity]],""),"")</f>
        <v/>
      </c>
      <c r="V664" s="46"/>
      <c r="W664" s="46"/>
      <c r="X664" s="46"/>
    </row>
    <row r="665" spans="1:24">
      <c r="A665" s="143" t="str">
        <f t="shared" si="39"/>
        <v>AKH12345</v>
      </c>
      <c r="B665" s="231"/>
      <c r="C665" s="120"/>
      <c r="D665" s="121"/>
      <c r="E665" s="122"/>
      <c r="F665" s="121"/>
      <c r="G665" s="122"/>
      <c r="H665" s="119"/>
      <c r="I665" s="123"/>
      <c r="J665" s="119"/>
      <c r="K665" s="119"/>
      <c r="L665" s="232"/>
      <c r="M665" s="145" t="str">
        <f t="shared" si="40"/>
        <v>OneCo Networks AS</v>
      </c>
      <c r="N6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5" s="268" t="str">
        <f ca="1">IFERROR(IF(
OR(Table1[[#This Row],[Product category]]="Service items",Table1[[#This Row],[Product category]]="Additional services",Table1[[#This Row],[Product category]]="Additional materials"),
"NOK",IF(($N$3&lt;&gt;""),VLOOKUP(Table1[[#This Row],[Product code]],INDIRECT(Aux!$A$1),6,FALSE),"")),"")</f>
        <v/>
      </c>
      <c r="P665" s="41" t="str">
        <f ca="1">IFERROR(IF(AND(Table1[[#This Row],[Quantity]]&lt;&gt;"",Table1[[#This Row],[Currency]]="NOK"),Table1[[#This Row],[Quantity]]*Table1[[#This Row],[Unit Price]],""),"")</f>
        <v/>
      </c>
      <c r="Q665" s="41" t="str">
        <f ca="1">IFERROR(IF(AND(Table1[[#This Row],[ACT_Qty]]&lt;&gt;"",Table1[[#This Row],[Currency]]="NOK"),Table1[[#This Row],[ACT_Qty]]*Table1[[#This Row],[Unit Price]],""),"")</f>
        <v/>
      </c>
      <c r="R665" s="41" t="str">
        <f ca="1">IFERROR(IF(AND(Table1[[#This Row],[Quantity]]&lt;&gt;"",Table1[[#This Row],[Currency]]="EUR"),Table1[[#This Row],[Quantity]]*Table1[[#This Row],[Unit Price]],""),"")</f>
        <v/>
      </c>
      <c r="S665" s="41" t="str">
        <f ca="1">IFERROR(IF(AND(Table1[[#This Row],[ACT_Qty]]&lt;&gt;"",Table1[[#This Row],[Currency]]="EUR"),Table1[[#This Row],[ACT_Qty]]*Table1[[#This Row],[Unit Price]],""),"")</f>
        <v/>
      </c>
      <c r="T665" s="269" t="str">
        <f ca="1">IFERROR(IF(AND(($N$3&lt;&gt;""),INDIRECT(Aux!$D$1)),VLOOKUP(Table1[[#This Row],[Product code]],Aux!B:E,4,FALSE),""),"")</f>
        <v/>
      </c>
      <c r="U665" s="145" t="str">
        <f>IFERROR(IF(OR(Table1[[#This Row],[Quantity]]&lt;&gt;"",Table1[[#This Row],[ACT_Qty]]&lt;&gt;""),Table1[[#This Row],[ACT_Qty]]-Table1[[#This Row],[Quantity]],""),"")</f>
        <v/>
      </c>
      <c r="V665" s="45"/>
      <c r="W665" s="45"/>
      <c r="X665" s="45"/>
    </row>
    <row r="666" spans="1:24">
      <c r="A666" s="233" t="str">
        <f t="shared" si="39"/>
        <v>AKH12345</v>
      </c>
      <c r="B666" s="80"/>
      <c r="C666" s="81"/>
      <c r="D666" s="73"/>
      <c r="E666" s="90"/>
      <c r="F666" s="73"/>
      <c r="G666" s="90"/>
      <c r="H666" s="82"/>
      <c r="I666" s="83"/>
      <c r="J666" s="82"/>
      <c r="K666" s="82"/>
      <c r="L666" s="84"/>
      <c r="M666" s="148" t="str">
        <f t="shared" si="40"/>
        <v>OneCo Networks AS</v>
      </c>
      <c r="N66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6" s="270" t="str">
        <f ca="1">IFERROR(IF(
OR(Table1[[#This Row],[Product category]]="Service items",Table1[[#This Row],[Product category]]="Additional services",Table1[[#This Row],[Product category]]="Additional materials"),
"NOK",IF(($N$3&lt;&gt;""),VLOOKUP(Table1[[#This Row],[Product code]],INDIRECT(Aux!$A$1),6,FALSE),"")),"")</f>
        <v/>
      </c>
      <c r="P666" s="43" t="str">
        <f ca="1">IFERROR(IF(AND(Table1[[#This Row],[Quantity]]&lt;&gt;"",Table1[[#This Row],[Currency]]="NOK"),Table1[[#This Row],[Quantity]]*Table1[[#This Row],[Unit Price]],""),"")</f>
        <v/>
      </c>
      <c r="Q666" s="43" t="str">
        <f ca="1">IFERROR(IF(AND(Table1[[#This Row],[ACT_Qty]]&lt;&gt;"",Table1[[#This Row],[Currency]]="NOK"),Table1[[#This Row],[ACT_Qty]]*Table1[[#This Row],[Unit Price]],""),"")</f>
        <v/>
      </c>
      <c r="R666" s="43" t="str">
        <f ca="1">IFERROR(IF(AND(Table1[[#This Row],[Quantity]]&lt;&gt;"",Table1[[#This Row],[Currency]]="EUR"),Table1[[#This Row],[Quantity]]*Table1[[#This Row],[Unit Price]],""),"")</f>
        <v/>
      </c>
      <c r="S666" s="43" t="str">
        <f ca="1">IFERROR(IF(AND(Table1[[#This Row],[ACT_Qty]]&lt;&gt;"",Table1[[#This Row],[Currency]]="EUR"),Table1[[#This Row],[ACT_Qty]]*Table1[[#This Row],[Unit Price]],""),"")</f>
        <v/>
      </c>
      <c r="T666" s="271" t="str">
        <f ca="1">IFERROR(IF(AND(($N$3&lt;&gt;""),INDIRECT(Aux!$D$1)),VLOOKUP(Table1[[#This Row],[Product code]],Aux!B:E,4,FALSE),""),"")</f>
        <v/>
      </c>
      <c r="U666" s="148" t="str">
        <f>IFERROR(IF(OR(Table1[[#This Row],[Quantity]]&lt;&gt;"",Table1[[#This Row],[ACT_Qty]]&lt;&gt;""),Table1[[#This Row],[ACT_Qty]]-Table1[[#This Row],[Quantity]],""),"")</f>
        <v/>
      </c>
      <c r="V666" s="46"/>
      <c r="W666" s="46"/>
      <c r="X666" s="46"/>
    </row>
    <row r="667" spans="1:24">
      <c r="A667" s="143" t="str">
        <f t="shared" si="39"/>
        <v>AKH12345</v>
      </c>
      <c r="B667" s="231"/>
      <c r="C667" s="120"/>
      <c r="D667" s="121"/>
      <c r="E667" s="122"/>
      <c r="F667" s="121"/>
      <c r="G667" s="122"/>
      <c r="H667" s="119"/>
      <c r="I667" s="123"/>
      <c r="J667" s="119"/>
      <c r="K667" s="119"/>
      <c r="L667" s="232"/>
      <c r="M667" s="145" t="str">
        <f t="shared" si="40"/>
        <v>OneCo Networks AS</v>
      </c>
      <c r="N6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7" s="268" t="str">
        <f ca="1">IFERROR(IF(
OR(Table1[[#This Row],[Product category]]="Service items",Table1[[#This Row],[Product category]]="Additional services",Table1[[#This Row],[Product category]]="Additional materials"),
"NOK",IF(($N$3&lt;&gt;""),VLOOKUP(Table1[[#This Row],[Product code]],INDIRECT(Aux!$A$1),6,FALSE),"")),"")</f>
        <v/>
      </c>
      <c r="P667" s="41" t="str">
        <f ca="1">IFERROR(IF(AND(Table1[[#This Row],[Quantity]]&lt;&gt;"",Table1[[#This Row],[Currency]]="NOK"),Table1[[#This Row],[Quantity]]*Table1[[#This Row],[Unit Price]],""),"")</f>
        <v/>
      </c>
      <c r="Q667" s="41" t="str">
        <f ca="1">IFERROR(IF(AND(Table1[[#This Row],[ACT_Qty]]&lt;&gt;"",Table1[[#This Row],[Currency]]="NOK"),Table1[[#This Row],[ACT_Qty]]*Table1[[#This Row],[Unit Price]],""),"")</f>
        <v/>
      </c>
      <c r="R667" s="41" t="str">
        <f ca="1">IFERROR(IF(AND(Table1[[#This Row],[Quantity]]&lt;&gt;"",Table1[[#This Row],[Currency]]="EUR"),Table1[[#This Row],[Quantity]]*Table1[[#This Row],[Unit Price]],""),"")</f>
        <v/>
      </c>
      <c r="S667" s="41" t="str">
        <f ca="1">IFERROR(IF(AND(Table1[[#This Row],[ACT_Qty]]&lt;&gt;"",Table1[[#This Row],[Currency]]="EUR"),Table1[[#This Row],[ACT_Qty]]*Table1[[#This Row],[Unit Price]],""),"")</f>
        <v/>
      </c>
      <c r="T667" s="269" t="str">
        <f ca="1">IFERROR(IF(AND(($N$3&lt;&gt;""),INDIRECT(Aux!$D$1)),VLOOKUP(Table1[[#This Row],[Product code]],Aux!B:E,4,FALSE),""),"")</f>
        <v/>
      </c>
      <c r="U667" s="145" t="str">
        <f>IFERROR(IF(OR(Table1[[#This Row],[Quantity]]&lt;&gt;"",Table1[[#This Row],[ACT_Qty]]&lt;&gt;""),Table1[[#This Row],[ACT_Qty]]-Table1[[#This Row],[Quantity]],""),"")</f>
        <v/>
      </c>
      <c r="V667" s="45"/>
      <c r="W667" s="45"/>
      <c r="X667" s="45"/>
    </row>
    <row r="668" spans="1:24">
      <c r="A668" s="233" t="str">
        <f t="shared" si="39"/>
        <v>AKH12345</v>
      </c>
      <c r="B668" s="80"/>
      <c r="C668" s="81"/>
      <c r="D668" s="73"/>
      <c r="E668" s="90"/>
      <c r="F668" s="73"/>
      <c r="G668" s="90"/>
      <c r="H668" s="82"/>
      <c r="I668" s="83"/>
      <c r="J668" s="82"/>
      <c r="K668" s="82"/>
      <c r="L668" s="84"/>
      <c r="M668" s="148" t="str">
        <f t="shared" si="40"/>
        <v>OneCo Networks AS</v>
      </c>
      <c r="N66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8" s="270" t="str">
        <f ca="1">IFERROR(IF(
OR(Table1[[#This Row],[Product category]]="Service items",Table1[[#This Row],[Product category]]="Additional services",Table1[[#This Row],[Product category]]="Additional materials"),
"NOK",IF(($N$3&lt;&gt;""),VLOOKUP(Table1[[#This Row],[Product code]],INDIRECT(Aux!$A$1),6,FALSE),"")),"")</f>
        <v/>
      </c>
      <c r="P668" s="43" t="str">
        <f ca="1">IFERROR(IF(AND(Table1[[#This Row],[Quantity]]&lt;&gt;"",Table1[[#This Row],[Currency]]="NOK"),Table1[[#This Row],[Quantity]]*Table1[[#This Row],[Unit Price]],""),"")</f>
        <v/>
      </c>
      <c r="Q668" s="43" t="str">
        <f ca="1">IFERROR(IF(AND(Table1[[#This Row],[ACT_Qty]]&lt;&gt;"",Table1[[#This Row],[Currency]]="NOK"),Table1[[#This Row],[ACT_Qty]]*Table1[[#This Row],[Unit Price]],""),"")</f>
        <v/>
      </c>
      <c r="R668" s="43" t="str">
        <f ca="1">IFERROR(IF(AND(Table1[[#This Row],[Quantity]]&lt;&gt;"",Table1[[#This Row],[Currency]]="EUR"),Table1[[#This Row],[Quantity]]*Table1[[#This Row],[Unit Price]],""),"")</f>
        <v/>
      </c>
      <c r="S668" s="43" t="str">
        <f ca="1">IFERROR(IF(AND(Table1[[#This Row],[ACT_Qty]]&lt;&gt;"",Table1[[#This Row],[Currency]]="EUR"),Table1[[#This Row],[ACT_Qty]]*Table1[[#This Row],[Unit Price]],""),"")</f>
        <v/>
      </c>
      <c r="T668" s="271" t="str">
        <f ca="1">IFERROR(IF(AND(($N$3&lt;&gt;""),INDIRECT(Aux!$D$1)),VLOOKUP(Table1[[#This Row],[Product code]],Aux!B:E,4,FALSE),""),"")</f>
        <v/>
      </c>
      <c r="U668" s="148" t="str">
        <f>IFERROR(IF(OR(Table1[[#This Row],[Quantity]]&lt;&gt;"",Table1[[#This Row],[ACT_Qty]]&lt;&gt;""),Table1[[#This Row],[ACT_Qty]]-Table1[[#This Row],[Quantity]],""),"")</f>
        <v/>
      </c>
      <c r="V668" s="46"/>
      <c r="W668" s="46"/>
      <c r="X668" s="46"/>
    </row>
    <row r="669" spans="1:24">
      <c r="A669" s="143" t="str">
        <f t="shared" si="39"/>
        <v>AKH12345</v>
      </c>
      <c r="B669" s="231"/>
      <c r="C669" s="120"/>
      <c r="D669" s="121"/>
      <c r="E669" s="122"/>
      <c r="F669" s="121"/>
      <c r="G669" s="122"/>
      <c r="H669" s="119"/>
      <c r="I669" s="123"/>
      <c r="J669" s="119"/>
      <c r="K669" s="119"/>
      <c r="L669" s="232"/>
      <c r="M669" s="145" t="str">
        <f t="shared" si="40"/>
        <v>OneCo Networks AS</v>
      </c>
      <c r="N6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69" s="268" t="str">
        <f ca="1">IFERROR(IF(
OR(Table1[[#This Row],[Product category]]="Service items",Table1[[#This Row],[Product category]]="Additional services",Table1[[#This Row],[Product category]]="Additional materials"),
"NOK",IF(($N$3&lt;&gt;""),VLOOKUP(Table1[[#This Row],[Product code]],INDIRECT(Aux!$A$1),6,FALSE),"")),"")</f>
        <v/>
      </c>
      <c r="P669" s="41" t="str">
        <f ca="1">IFERROR(IF(AND(Table1[[#This Row],[Quantity]]&lt;&gt;"",Table1[[#This Row],[Currency]]="NOK"),Table1[[#This Row],[Quantity]]*Table1[[#This Row],[Unit Price]],""),"")</f>
        <v/>
      </c>
      <c r="Q669" s="41" t="str">
        <f ca="1">IFERROR(IF(AND(Table1[[#This Row],[ACT_Qty]]&lt;&gt;"",Table1[[#This Row],[Currency]]="NOK"),Table1[[#This Row],[ACT_Qty]]*Table1[[#This Row],[Unit Price]],""),"")</f>
        <v/>
      </c>
      <c r="R669" s="41" t="str">
        <f ca="1">IFERROR(IF(AND(Table1[[#This Row],[Quantity]]&lt;&gt;"",Table1[[#This Row],[Currency]]="EUR"),Table1[[#This Row],[Quantity]]*Table1[[#This Row],[Unit Price]],""),"")</f>
        <v/>
      </c>
      <c r="S669" s="41" t="str">
        <f ca="1">IFERROR(IF(AND(Table1[[#This Row],[ACT_Qty]]&lt;&gt;"",Table1[[#This Row],[Currency]]="EUR"),Table1[[#This Row],[ACT_Qty]]*Table1[[#This Row],[Unit Price]],""),"")</f>
        <v/>
      </c>
      <c r="T669" s="269" t="str">
        <f ca="1">IFERROR(IF(AND(($N$3&lt;&gt;""),INDIRECT(Aux!$D$1)),VLOOKUP(Table1[[#This Row],[Product code]],Aux!B:E,4,FALSE),""),"")</f>
        <v/>
      </c>
      <c r="U669" s="145" t="str">
        <f>IFERROR(IF(OR(Table1[[#This Row],[Quantity]]&lt;&gt;"",Table1[[#This Row],[ACT_Qty]]&lt;&gt;""),Table1[[#This Row],[ACT_Qty]]-Table1[[#This Row],[Quantity]],""),"")</f>
        <v/>
      </c>
      <c r="V669" s="45"/>
      <c r="W669" s="45"/>
      <c r="X669" s="45"/>
    </row>
    <row r="670" spans="1:24">
      <c r="A670" s="233" t="str">
        <f t="shared" si="39"/>
        <v>AKH12345</v>
      </c>
      <c r="B670" s="80"/>
      <c r="C670" s="81"/>
      <c r="D670" s="73"/>
      <c r="E670" s="90"/>
      <c r="F670" s="73"/>
      <c r="G670" s="90"/>
      <c r="H670" s="82"/>
      <c r="I670" s="83"/>
      <c r="J670" s="82"/>
      <c r="K670" s="82"/>
      <c r="L670" s="84"/>
      <c r="M670" s="148" t="str">
        <f t="shared" si="40"/>
        <v>OneCo Networks AS</v>
      </c>
      <c r="N67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0" s="270" t="str">
        <f ca="1">IFERROR(IF(
OR(Table1[[#This Row],[Product category]]="Service items",Table1[[#This Row],[Product category]]="Additional services",Table1[[#This Row],[Product category]]="Additional materials"),
"NOK",IF(($N$3&lt;&gt;""),VLOOKUP(Table1[[#This Row],[Product code]],INDIRECT(Aux!$A$1),6,FALSE),"")),"")</f>
        <v/>
      </c>
      <c r="P670" s="43" t="str">
        <f ca="1">IFERROR(IF(AND(Table1[[#This Row],[Quantity]]&lt;&gt;"",Table1[[#This Row],[Currency]]="NOK"),Table1[[#This Row],[Quantity]]*Table1[[#This Row],[Unit Price]],""),"")</f>
        <v/>
      </c>
      <c r="Q670" s="43" t="str">
        <f ca="1">IFERROR(IF(AND(Table1[[#This Row],[ACT_Qty]]&lt;&gt;"",Table1[[#This Row],[Currency]]="NOK"),Table1[[#This Row],[ACT_Qty]]*Table1[[#This Row],[Unit Price]],""),"")</f>
        <v/>
      </c>
      <c r="R670" s="43" t="str">
        <f ca="1">IFERROR(IF(AND(Table1[[#This Row],[Quantity]]&lt;&gt;"",Table1[[#This Row],[Currency]]="EUR"),Table1[[#This Row],[Quantity]]*Table1[[#This Row],[Unit Price]],""),"")</f>
        <v/>
      </c>
      <c r="S670" s="43" t="str">
        <f ca="1">IFERROR(IF(AND(Table1[[#This Row],[ACT_Qty]]&lt;&gt;"",Table1[[#This Row],[Currency]]="EUR"),Table1[[#This Row],[ACT_Qty]]*Table1[[#This Row],[Unit Price]],""),"")</f>
        <v/>
      </c>
      <c r="T670" s="271" t="str">
        <f ca="1">IFERROR(IF(AND(($N$3&lt;&gt;""),INDIRECT(Aux!$D$1)),VLOOKUP(Table1[[#This Row],[Product code]],Aux!B:E,4,FALSE),""),"")</f>
        <v/>
      </c>
      <c r="U670" s="148" t="str">
        <f>IFERROR(IF(OR(Table1[[#This Row],[Quantity]]&lt;&gt;"",Table1[[#This Row],[ACT_Qty]]&lt;&gt;""),Table1[[#This Row],[ACT_Qty]]-Table1[[#This Row],[Quantity]],""),"")</f>
        <v/>
      </c>
      <c r="V670" s="46"/>
      <c r="W670" s="46"/>
      <c r="X670" s="46"/>
    </row>
    <row r="671" spans="1:24">
      <c r="A671" s="143" t="str">
        <f t="shared" si="39"/>
        <v>AKH12345</v>
      </c>
      <c r="B671" s="231"/>
      <c r="C671" s="120"/>
      <c r="D671" s="121"/>
      <c r="E671" s="122"/>
      <c r="F671" s="121"/>
      <c r="G671" s="122"/>
      <c r="H671" s="119"/>
      <c r="I671" s="123"/>
      <c r="J671" s="119"/>
      <c r="K671" s="119"/>
      <c r="L671" s="232"/>
      <c r="M671" s="145" t="str">
        <f t="shared" si="40"/>
        <v>OneCo Networks AS</v>
      </c>
      <c r="N6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1" s="268" t="str">
        <f ca="1">IFERROR(IF(
OR(Table1[[#This Row],[Product category]]="Service items",Table1[[#This Row],[Product category]]="Additional services",Table1[[#This Row],[Product category]]="Additional materials"),
"NOK",IF(($N$3&lt;&gt;""),VLOOKUP(Table1[[#This Row],[Product code]],INDIRECT(Aux!$A$1),6,FALSE),"")),"")</f>
        <v/>
      </c>
      <c r="P671" s="41" t="str">
        <f ca="1">IFERROR(IF(AND(Table1[[#This Row],[Quantity]]&lt;&gt;"",Table1[[#This Row],[Currency]]="NOK"),Table1[[#This Row],[Quantity]]*Table1[[#This Row],[Unit Price]],""),"")</f>
        <v/>
      </c>
      <c r="Q671" s="41" t="str">
        <f ca="1">IFERROR(IF(AND(Table1[[#This Row],[ACT_Qty]]&lt;&gt;"",Table1[[#This Row],[Currency]]="NOK"),Table1[[#This Row],[ACT_Qty]]*Table1[[#This Row],[Unit Price]],""),"")</f>
        <v/>
      </c>
      <c r="R671" s="41" t="str">
        <f ca="1">IFERROR(IF(AND(Table1[[#This Row],[Quantity]]&lt;&gt;"",Table1[[#This Row],[Currency]]="EUR"),Table1[[#This Row],[Quantity]]*Table1[[#This Row],[Unit Price]],""),"")</f>
        <v/>
      </c>
      <c r="S671" s="41" t="str">
        <f ca="1">IFERROR(IF(AND(Table1[[#This Row],[ACT_Qty]]&lt;&gt;"",Table1[[#This Row],[Currency]]="EUR"),Table1[[#This Row],[ACT_Qty]]*Table1[[#This Row],[Unit Price]],""),"")</f>
        <v/>
      </c>
      <c r="T671" s="269" t="str">
        <f ca="1">IFERROR(IF(AND(($N$3&lt;&gt;""),INDIRECT(Aux!$D$1)),VLOOKUP(Table1[[#This Row],[Product code]],Aux!B:E,4,FALSE),""),"")</f>
        <v/>
      </c>
      <c r="U671" s="145" t="str">
        <f>IFERROR(IF(OR(Table1[[#This Row],[Quantity]]&lt;&gt;"",Table1[[#This Row],[ACT_Qty]]&lt;&gt;""),Table1[[#This Row],[ACT_Qty]]-Table1[[#This Row],[Quantity]],""),"")</f>
        <v/>
      </c>
      <c r="V671" s="45"/>
      <c r="W671" s="45"/>
      <c r="X671" s="45"/>
    </row>
    <row r="672" spans="1:24">
      <c r="A672" s="233" t="str">
        <f t="shared" si="39"/>
        <v>AKH12345</v>
      </c>
      <c r="B672" s="80"/>
      <c r="C672" s="81"/>
      <c r="D672" s="73"/>
      <c r="E672" s="90"/>
      <c r="F672" s="73"/>
      <c r="G672" s="90"/>
      <c r="H672" s="82"/>
      <c r="I672" s="83"/>
      <c r="J672" s="82"/>
      <c r="K672" s="82"/>
      <c r="L672" s="84"/>
      <c r="M672" s="148" t="str">
        <f t="shared" si="40"/>
        <v>OneCo Networks AS</v>
      </c>
      <c r="N67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2" s="270" t="str">
        <f ca="1">IFERROR(IF(
OR(Table1[[#This Row],[Product category]]="Service items",Table1[[#This Row],[Product category]]="Additional services",Table1[[#This Row],[Product category]]="Additional materials"),
"NOK",IF(($N$3&lt;&gt;""),VLOOKUP(Table1[[#This Row],[Product code]],INDIRECT(Aux!$A$1),6,FALSE),"")),"")</f>
        <v/>
      </c>
      <c r="P672" s="43" t="str">
        <f ca="1">IFERROR(IF(AND(Table1[[#This Row],[Quantity]]&lt;&gt;"",Table1[[#This Row],[Currency]]="NOK"),Table1[[#This Row],[Quantity]]*Table1[[#This Row],[Unit Price]],""),"")</f>
        <v/>
      </c>
      <c r="Q672" s="43" t="str">
        <f ca="1">IFERROR(IF(AND(Table1[[#This Row],[ACT_Qty]]&lt;&gt;"",Table1[[#This Row],[Currency]]="NOK"),Table1[[#This Row],[ACT_Qty]]*Table1[[#This Row],[Unit Price]],""),"")</f>
        <v/>
      </c>
      <c r="R672" s="43" t="str">
        <f ca="1">IFERROR(IF(AND(Table1[[#This Row],[Quantity]]&lt;&gt;"",Table1[[#This Row],[Currency]]="EUR"),Table1[[#This Row],[Quantity]]*Table1[[#This Row],[Unit Price]],""),"")</f>
        <v/>
      </c>
      <c r="S672" s="43" t="str">
        <f ca="1">IFERROR(IF(AND(Table1[[#This Row],[ACT_Qty]]&lt;&gt;"",Table1[[#This Row],[Currency]]="EUR"),Table1[[#This Row],[ACT_Qty]]*Table1[[#This Row],[Unit Price]],""),"")</f>
        <v/>
      </c>
      <c r="T672" s="271" t="str">
        <f ca="1">IFERROR(IF(AND(($N$3&lt;&gt;""),INDIRECT(Aux!$D$1)),VLOOKUP(Table1[[#This Row],[Product code]],Aux!B:E,4,FALSE),""),"")</f>
        <v/>
      </c>
      <c r="U672" s="148" t="str">
        <f>IFERROR(IF(OR(Table1[[#This Row],[Quantity]]&lt;&gt;"",Table1[[#This Row],[ACT_Qty]]&lt;&gt;""),Table1[[#This Row],[ACT_Qty]]-Table1[[#This Row],[Quantity]],""),"")</f>
        <v/>
      </c>
      <c r="V672" s="46"/>
      <c r="W672" s="46"/>
      <c r="X672" s="46"/>
    </row>
    <row r="673" spans="1:24">
      <c r="A673" s="143" t="str">
        <f t="shared" si="39"/>
        <v>AKH12345</v>
      </c>
      <c r="B673" s="231"/>
      <c r="C673" s="120"/>
      <c r="D673" s="121"/>
      <c r="E673" s="122"/>
      <c r="F673" s="121"/>
      <c r="G673" s="122"/>
      <c r="H673" s="119"/>
      <c r="I673" s="123"/>
      <c r="J673" s="119"/>
      <c r="K673" s="119"/>
      <c r="L673" s="232"/>
      <c r="M673" s="145" t="str">
        <f t="shared" si="40"/>
        <v>OneCo Networks AS</v>
      </c>
      <c r="N6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3" s="268" t="str">
        <f ca="1">IFERROR(IF(
OR(Table1[[#This Row],[Product category]]="Service items",Table1[[#This Row],[Product category]]="Additional services",Table1[[#This Row],[Product category]]="Additional materials"),
"NOK",IF(($N$3&lt;&gt;""),VLOOKUP(Table1[[#This Row],[Product code]],INDIRECT(Aux!$A$1),6,FALSE),"")),"")</f>
        <v/>
      </c>
      <c r="P673" s="41" t="str">
        <f ca="1">IFERROR(IF(AND(Table1[[#This Row],[Quantity]]&lt;&gt;"",Table1[[#This Row],[Currency]]="NOK"),Table1[[#This Row],[Quantity]]*Table1[[#This Row],[Unit Price]],""),"")</f>
        <v/>
      </c>
      <c r="Q673" s="41" t="str">
        <f ca="1">IFERROR(IF(AND(Table1[[#This Row],[ACT_Qty]]&lt;&gt;"",Table1[[#This Row],[Currency]]="NOK"),Table1[[#This Row],[ACT_Qty]]*Table1[[#This Row],[Unit Price]],""),"")</f>
        <v/>
      </c>
      <c r="R673" s="41" t="str">
        <f ca="1">IFERROR(IF(AND(Table1[[#This Row],[Quantity]]&lt;&gt;"",Table1[[#This Row],[Currency]]="EUR"),Table1[[#This Row],[Quantity]]*Table1[[#This Row],[Unit Price]],""),"")</f>
        <v/>
      </c>
      <c r="S673" s="41" t="str">
        <f ca="1">IFERROR(IF(AND(Table1[[#This Row],[ACT_Qty]]&lt;&gt;"",Table1[[#This Row],[Currency]]="EUR"),Table1[[#This Row],[ACT_Qty]]*Table1[[#This Row],[Unit Price]],""),"")</f>
        <v/>
      </c>
      <c r="T673" s="269" t="str">
        <f ca="1">IFERROR(IF(AND(($N$3&lt;&gt;""),INDIRECT(Aux!$D$1)),VLOOKUP(Table1[[#This Row],[Product code]],Aux!B:E,4,FALSE),""),"")</f>
        <v/>
      </c>
      <c r="U673" s="145" t="str">
        <f>IFERROR(IF(OR(Table1[[#This Row],[Quantity]]&lt;&gt;"",Table1[[#This Row],[ACT_Qty]]&lt;&gt;""),Table1[[#This Row],[ACT_Qty]]-Table1[[#This Row],[Quantity]],""),"")</f>
        <v/>
      </c>
      <c r="V673" s="45"/>
      <c r="W673" s="45"/>
      <c r="X673" s="45"/>
    </row>
    <row r="674" spans="1:24">
      <c r="A674" s="233" t="str">
        <f t="shared" si="39"/>
        <v>AKH12345</v>
      </c>
      <c r="B674" s="80"/>
      <c r="C674" s="81"/>
      <c r="D674" s="73"/>
      <c r="E674" s="90"/>
      <c r="F674" s="73"/>
      <c r="G674" s="90"/>
      <c r="H674" s="82"/>
      <c r="I674" s="83"/>
      <c r="J674" s="82"/>
      <c r="K674" s="82"/>
      <c r="L674" s="84"/>
      <c r="M674" s="148" t="str">
        <f t="shared" si="40"/>
        <v>OneCo Networks AS</v>
      </c>
      <c r="N67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4" s="270" t="str">
        <f ca="1">IFERROR(IF(
OR(Table1[[#This Row],[Product category]]="Service items",Table1[[#This Row],[Product category]]="Additional services",Table1[[#This Row],[Product category]]="Additional materials"),
"NOK",IF(($N$3&lt;&gt;""),VLOOKUP(Table1[[#This Row],[Product code]],INDIRECT(Aux!$A$1),6,FALSE),"")),"")</f>
        <v/>
      </c>
      <c r="P674" s="43" t="str">
        <f ca="1">IFERROR(IF(AND(Table1[[#This Row],[Quantity]]&lt;&gt;"",Table1[[#This Row],[Currency]]="NOK"),Table1[[#This Row],[Quantity]]*Table1[[#This Row],[Unit Price]],""),"")</f>
        <v/>
      </c>
      <c r="Q674" s="43" t="str">
        <f ca="1">IFERROR(IF(AND(Table1[[#This Row],[ACT_Qty]]&lt;&gt;"",Table1[[#This Row],[Currency]]="NOK"),Table1[[#This Row],[ACT_Qty]]*Table1[[#This Row],[Unit Price]],""),"")</f>
        <v/>
      </c>
      <c r="R674" s="43" t="str">
        <f ca="1">IFERROR(IF(AND(Table1[[#This Row],[Quantity]]&lt;&gt;"",Table1[[#This Row],[Currency]]="EUR"),Table1[[#This Row],[Quantity]]*Table1[[#This Row],[Unit Price]],""),"")</f>
        <v/>
      </c>
      <c r="S674" s="43" t="str">
        <f ca="1">IFERROR(IF(AND(Table1[[#This Row],[ACT_Qty]]&lt;&gt;"",Table1[[#This Row],[Currency]]="EUR"),Table1[[#This Row],[ACT_Qty]]*Table1[[#This Row],[Unit Price]],""),"")</f>
        <v/>
      </c>
      <c r="T674" s="271" t="str">
        <f ca="1">IFERROR(IF(AND(($N$3&lt;&gt;""),INDIRECT(Aux!$D$1)),VLOOKUP(Table1[[#This Row],[Product code]],Aux!B:E,4,FALSE),""),"")</f>
        <v/>
      </c>
      <c r="U674" s="148" t="str">
        <f>IFERROR(IF(OR(Table1[[#This Row],[Quantity]]&lt;&gt;"",Table1[[#This Row],[ACT_Qty]]&lt;&gt;""),Table1[[#This Row],[ACT_Qty]]-Table1[[#This Row],[Quantity]],""),"")</f>
        <v/>
      </c>
      <c r="V674" s="46"/>
      <c r="W674" s="46"/>
      <c r="X674" s="46"/>
    </row>
    <row r="675" spans="1:24">
      <c r="A675" s="143" t="str">
        <f t="shared" si="39"/>
        <v>AKH12345</v>
      </c>
      <c r="B675" s="231"/>
      <c r="C675" s="120"/>
      <c r="D675" s="121"/>
      <c r="E675" s="122"/>
      <c r="F675" s="121"/>
      <c r="G675" s="122"/>
      <c r="H675" s="119"/>
      <c r="I675" s="123"/>
      <c r="J675" s="119"/>
      <c r="K675" s="119"/>
      <c r="L675" s="232"/>
      <c r="M675" s="145" t="str">
        <f t="shared" si="40"/>
        <v>OneCo Networks AS</v>
      </c>
      <c r="N6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5" s="268" t="str">
        <f ca="1">IFERROR(IF(
OR(Table1[[#This Row],[Product category]]="Service items",Table1[[#This Row],[Product category]]="Additional services",Table1[[#This Row],[Product category]]="Additional materials"),
"NOK",IF(($N$3&lt;&gt;""),VLOOKUP(Table1[[#This Row],[Product code]],INDIRECT(Aux!$A$1),6,FALSE),"")),"")</f>
        <v/>
      </c>
      <c r="P675" s="41" t="str">
        <f ca="1">IFERROR(IF(AND(Table1[[#This Row],[Quantity]]&lt;&gt;"",Table1[[#This Row],[Currency]]="NOK"),Table1[[#This Row],[Quantity]]*Table1[[#This Row],[Unit Price]],""),"")</f>
        <v/>
      </c>
      <c r="Q675" s="41" t="str">
        <f ca="1">IFERROR(IF(AND(Table1[[#This Row],[ACT_Qty]]&lt;&gt;"",Table1[[#This Row],[Currency]]="NOK"),Table1[[#This Row],[ACT_Qty]]*Table1[[#This Row],[Unit Price]],""),"")</f>
        <v/>
      </c>
      <c r="R675" s="41" t="str">
        <f ca="1">IFERROR(IF(AND(Table1[[#This Row],[Quantity]]&lt;&gt;"",Table1[[#This Row],[Currency]]="EUR"),Table1[[#This Row],[Quantity]]*Table1[[#This Row],[Unit Price]],""),"")</f>
        <v/>
      </c>
      <c r="S675" s="41" t="str">
        <f ca="1">IFERROR(IF(AND(Table1[[#This Row],[ACT_Qty]]&lt;&gt;"",Table1[[#This Row],[Currency]]="EUR"),Table1[[#This Row],[ACT_Qty]]*Table1[[#This Row],[Unit Price]],""),"")</f>
        <v/>
      </c>
      <c r="T675" s="269" t="str">
        <f ca="1">IFERROR(IF(AND(($N$3&lt;&gt;""),INDIRECT(Aux!$D$1)),VLOOKUP(Table1[[#This Row],[Product code]],Aux!B:E,4,FALSE),""),"")</f>
        <v/>
      </c>
      <c r="U675" s="145" t="str">
        <f>IFERROR(IF(OR(Table1[[#This Row],[Quantity]]&lt;&gt;"",Table1[[#This Row],[ACT_Qty]]&lt;&gt;""),Table1[[#This Row],[ACT_Qty]]-Table1[[#This Row],[Quantity]],""),"")</f>
        <v/>
      </c>
      <c r="V675" s="45"/>
      <c r="W675" s="45"/>
      <c r="X675" s="45"/>
    </row>
    <row r="676" spans="1:24">
      <c r="A676" s="233" t="str">
        <f t="shared" si="39"/>
        <v>AKH12345</v>
      </c>
      <c r="B676" s="80"/>
      <c r="C676" s="81"/>
      <c r="D676" s="73"/>
      <c r="E676" s="90"/>
      <c r="F676" s="73"/>
      <c r="G676" s="90"/>
      <c r="H676" s="82"/>
      <c r="I676" s="83"/>
      <c r="J676" s="82"/>
      <c r="K676" s="82"/>
      <c r="L676" s="84"/>
      <c r="M676" s="148" t="str">
        <f t="shared" si="40"/>
        <v>OneCo Networks AS</v>
      </c>
      <c r="N67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6" s="270" t="str">
        <f ca="1">IFERROR(IF(
OR(Table1[[#This Row],[Product category]]="Service items",Table1[[#This Row],[Product category]]="Additional services",Table1[[#This Row],[Product category]]="Additional materials"),
"NOK",IF(($N$3&lt;&gt;""),VLOOKUP(Table1[[#This Row],[Product code]],INDIRECT(Aux!$A$1),6,FALSE),"")),"")</f>
        <v/>
      </c>
      <c r="P676" s="43" t="str">
        <f ca="1">IFERROR(IF(AND(Table1[[#This Row],[Quantity]]&lt;&gt;"",Table1[[#This Row],[Currency]]="NOK"),Table1[[#This Row],[Quantity]]*Table1[[#This Row],[Unit Price]],""),"")</f>
        <v/>
      </c>
      <c r="Q676" s="43" t="str">
        <f ca="1">IFERROR(IF(AND(Table1[[#This Row],[ACT_Qty]]&lt;&gt;"",Table1[[#This Row],[Currency]]="NOK"),Table1[[#This Row],[ACT_Qty]]*Table1[[#This Row],[Unit Price]],""),"")</f>
        <v/>
      </c>
      <c r="R676" s="43" t="str">
        <f ca="1">IFERROR(IF(AND(Table1[[#This Row],[Quantity]]&lt;&gt;"",Table1[[#This Row],[Currency]]="EUR"),Table1[[#This Row],[Quantity]]*Table1[[#This Row],[Unit Price]],""),"")</f>
        <v/>
      </c>
      <c r="S676" s="43" t="str">
        <f ca="1">IFERROR(IF(AND(Table1[[#This Row],[ACT_Qty]]&lt;&gt;"",Table1[[#This Row],[Currency]]="EUR"),Table1[[#This Row],[ACT_Qty]]*Table1[[#This Row],[Unit Price]],""),"")</f>
        <v/>
      </c>
      <c r="T676" s="271" t="str">
        <f ca="1">IFERROR(IF(AND(($N$3&lt;&gt;""),INDIRECT(Aux!$D$1)),VLOOKUP(Table1[[#This Row],[Product code]],Aux!B:E,4,FALSE),""),"")</f>
        <v/>
      </c>
      <c r="U676" s="148" t="str">
        <f>IFERROR(IF(OR(Table1[[#This Row],[Quantity]]&lt;&gt;"",Table1[[#This Row],[ACT_Qty]]&lt;&gt;""),Table1[[#This Row],[ACT_Qty]]-Table1[[#This Row],[Quantity]],""),"")</f>
        <v/>
      </c>
      <c r="V676" s="46"/>
      <c r="W676" s="46"/>
      <c r="X676" s="46"/>
    </row>
    <row r="677" spans="1:24">
      <c r="A677" s="143" t="str">
        <f t="shared" si="39"/>
        <v>AKH12345</v>
      </c>
      <c r="B677" s="231"/>
      <c r="C677" s="120"/>
      <c r="D677" s="121"/>
      <c r="E677" s="122"/>
      <c r="F677" s="121"/>
      <c r="G677" s="122"/>
      <c r="H677" s="119"/>
      <c r="I677" s="123"/>
      <c r="J677" s="119"/>
      <c r="K677" s="119"/>
      <c r="L677" s="232"/>
      <c r="M677" s="145" t="str">
        <f t="shared" si="40"/>
        <v>OneCo Networks AS</v>
      </c>
      <c r="N6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7" s="268" t="str">
        <f ca="1">IFERROR(IF(
OR(Table1[[#This Row],[Product category]]="Service items",Table1[[#This Row],[Product category]]="Additional services",Table1[[#This Row],[Product category]]="Additional materials"),
"NOK",IF(($N$3&lt;&gt;""),VLOOKUP(Table1[[#This Row],[Product code]],INDIRECT(Aux!$A$1),6,FALSE),"")),"")</f>
        <v/>
      </c>
      <c r="P677" s="41" t="str">
        <f ca="1">IFERROR(IF(AND(Table1[[#This Row],[Quantity]]&lt;&gt;"",Table1[[#This Row],[Currency]]="NOK"),Table1[[#This Row],[Quantity]]*Table1[[#This Row],[Unit Price]],""),"")</f>
        <v/>
      </c>
      <c r="Q677" s="41" t="str">
        <f ca="1">IFERROR(IF(AND(Table1[[#This Row],[ACT_Qty]]&lt;&gt;"",Table1[[#This Row],[Currency]]="NOK"),Table1[[#This Row],[ACT_Qty]]*Table1[[#This Row],[Unit Price]],""),"")</f>
        <v/>
      </c>
      <c r="R677" s="41" t="str">
        <f ca="1">IFERROR(IF(AND(Table1[[#This Row],[Quantity]]&lt;&gt;"",Table1[[#This Row],[Currency]]="EUR"),Table1[[#This Row],[Quantity]]*Table1[[#This Row],[Unit Price]],""),"")</f>
        <v/>
      </c>
      <c r="S677" s="41" t="str">
        <f ca="1">IFERROR(IF(AND(Table1[[#This Row],[ACT_Qty]]&lt;&gt;"",Table1[[#This Row],[Currency]]="EUR"),Table1[[#This Row],[ACT_Qty]]*Table1[[#This Row],[Unit Price]],""),"")</f>
        <v/>
      </c>
      <c r="T677" s="269" t="str">
        <f ca="1">IFERROR(IF(AND(($N$3&lt;&gt;""),INDIRECT(Aux!$D$1)),VLOOKUP(Table1[[#This Row],[Product code]],Aux!B:E,4,FALSE),""),"")</f>
        <v/>
      </c>
      <c r="U677" s="145" t="str">
        <f>IFERROR(IF(OR(Table1[[#This Row],[Quantity]]&lt;&gt;"",Table1[[#This Row],[ACT_Qty]]&lt;&gt;""),Table1[[#This Row],[ACT_Qty]]-Table1[[#This Row],[Quantity]],""),"")</f>
        <v/>
      </c>
      <c r="V677" s="45"/>
      <c r="W677" s="45"/>
      <c r="X677" s="45"/>
    </row>
    <row r="678" spans="1:24">
      <c r="A678" s="233" t="str">
        <f t="shared" si="39"/>
        <v>AKH12345</v>
      </c>
      <c r="B678" s="80"/>
      <c r="C678" s="81"/>
      <c r="D678" s="73"/>
      <c r="E678" s="90"/>
      <c r="F678" s="73"/>
      <c r="G678" s="90"/>
      <c r="H678" s="82"/>
      <c r="I678" s="83"/>
      <c r="J678" s="82"/>
      <c r="K678" s="82"/>
      <c r="L678" s="84"/>
      <c r="M678" s="148" t="str">
        <f t="shared" si="40"/>
        <v>OneCo Networks AS</v>
      </c>
      <c r="N67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8" s="270" t="str">
        <f ca="1">IFERROR(IF(
OR(Table1[[#This Row],[Product category]]="Service items",Table1[[#This Row],[Product category]]="Additional services",Table1[[#This Row],[Product category]]="Additional materials"),
"NOK",IF(($N$3&lt;&gt;""),VLOOKUP(Table1[[#This Row],[Product code]],INDIRECT(Aux!$A$1),6,FALSE),"")),"")</f>
        <v/>
      </c>
      <c r="P678" s="43" t="str">
        <f ca="1">IFERROR(IF(AND(Table1[[#This Row],[Quantity]]&lt;&gt;"",Table1[[#This Row],[Currency]]="NOK"),Table1[[#This Row],[Quantity]]*Table1[[#This Row],[Unit Price]],""),"")</f>
        <v/>
      </c>
      <c r="Q678" s="43" t="str">
        <f ca="1">IFERROR(IF(AND(Table1[[#This Row],[ACT_Qty]]&lt;&gt;"",Table1[[#This Row],[Currency]]="NOK"),Table1[[#This Row],[ACT_Qty]]*Table1[[#This Row],[Unit Price]],""),"")</f>
        <v/>
      </c>
      <c r="R678" s="43" t="str">
        <f ca="1">IFERROR(IF(AND(Table1[[#This Row],[Quantity]]&lt;&gt;"",Table1[[#This Row],[Currency]]="EUR"),Table1[[#This Row],[Quantity]]*Table1[[#This Row],[Unit Price]],""),"")</f>
        <v/>
      </c>
      <c r="S678" s="43" t="str">
        <f ca="1">IFERROR(IF(AND(Table1[[#This Row],[ACT_Qty]]&lt;&gt;"",Table1[[#This Row],[Currency]]="EUR"),Table1[[#This Row],[ACT_Qty]]*Table1[[#This Row],[Unit Price]],""),"")</f>
        <v/>
      </c>
      <c r="T678" s="271" t="str">
        <f ca="1">IFERROR(IF(AND(($N$3&lt;&gt;""),INDIRECT(Aux!$D$1)),VLOOKUP(Table1[[#This Row],[Product code]],Aux!B:E,4,FALSE),""),"")</f>
        <v/>
      </c>
      <c r="U678" s="148" t="str">
        <f>IFERROR(IF(OR(Table1[[#This Row],[Quantity]]&lt;&gt;"",Table1[[#This Row],[ACT_Qty]]&lt;&gt;""),Table1[[#This Row],[ACT_Qty]]-Table1[[#This Row],[Quantity]],""),"")</f>
        <v/>
      </c>
      <c r="V678" s="46"/>
      <c r="W678" s="46"/>
      <c r="X678" s="46"/>
    </row>
    <row r="679" spans="1:24">
      <c r="A679" s="143" t="str">
        <f t="shared" si="39"/>
        <v>AKH12345</v>
      </c>
      <c r="B679" s="231"/>
      <c r="C679" s="120"/>
      <c r="D679" s="121"/>
      <c r="E679" s="122"/>
      <c r="F679" s="121"/>
      <c r="G679" s="122"/>
      <c r="H679" s="119"/>
      <c r="I679" s="123"/>
      <c r="J679" s="119"/>
      <c r="K679" s="119"/>
      <c r="L679" s="232"/>
      <c r="M679" s="145" t="str">
        <f t="shared" si="40"/>
        <v>OneCo Networks AS</v>
      </c>
      <c r="N6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79" s="268" t="str">
        <f ca="1">IFERROR(IF(
OR(Table1[[#This Row],[Product category]]="Service items",Table1[[#This Row],[Product category]]="Additional services",Table1[[#This Row],[Product category]]="Additional materials"),
"NOK",IF(($N$3&lt;&gt;""),VLOOKUP(Table1[[#This Row],[Product code]],INDIRECT(Aux!$A$1),6,FALSE),"")),"")</f>
        <v/>
      </c>
      <c r="P679" s="41" t="str">
        <f ca="1">IFERROR(IF(AND(Table1[[#This Row],[Quantity]]&lt;&gt;"",Table1[[#This Row],[Currency]]="NOK"),Table1[[#This Row],[Quantity]]*Table1[[#This Row],[Unit Price]],""),"")</f>
        <v/>
      </c>
      <c r="Q679" s="41" t="str">
        <f ca="1">IFERROR(IF(AND(Table1[[#This Row],[ACT_Qty]]&lt;&gt;"",Table1[[#This Row],[Currency]]="NOK"),Table1[[#This Row],[ACT_Qty]]*Table1[[#This Row],[Unit Price]],""),"")</f>
        <v/>
      </c>
      <c r="R679" s="41" t="str">
        <f ca="1">IFERROR(IF(AND(Table1[[#This Row],[Quantity]]&lt;&gt;"",Table1[[#This Row],[Currency]]="EUR"),Table1[[#This Row],[Quantity]]*Table1[[#This Row],[Unit Price]],""),"")</f>
        <v/>
      </c>
      <c r="S679" s="41" t="str">
        <f ca="1">IFERROR(IF(AND(Table1[[#This Row],[ACT_Qty]]&lt;&gt;"",Table1[[#This Row],[Currency]]="EUR"),Table1[[#This Row],[ACT_Qty]]*Table1[[#This Row],[Unit Price]],""),"")</f>
        <v/>
      </c>
      <c r="T679" s="269" t="str">
        <f ca="1">IFERROR(IF(AND(($N$3&lt;&gt;""),INDIRECT(Aux!$D$1)),VLOOKUP(Table1[[#This Row],[Product code]],Aux!B:E,4,FALSE),""),"")</f>
        <v/>
      </c>
      <c r="U679" s="145" t="str">
        <f>IFERROR(IF(OR(Table1[[#This Row],[Quantity]]&lt;&gt;"",Table1[[#This Row],[ACT_Qty]]&lt;&gt;""),Table1[[#This Row],[ACT_Qty]]-Table1[[#This Row],[Quantity]],""),"")</f>
        <v/>
      </c>
      <c r="V679" s="45"/>
      <c r="W679" s="45"/>
      <c r="X679" s="45"/>
    </row>
    <row r="680" spans="1:24">
      <c r="A680" s="233" t="str">
        <f t="shared" si="39"/>
        <v>AKH12345</v>
      </c>
      <c r="B680" s="80"/>
      <c r="C680" s="81"/>
      <c r="D680" s="73"/>
      <c r="E680" s="90"/>
      <c r="F680" s="73"/>
      <c r="G680" s="90"/>
      <c r="H680" s="82"/>
      <c r="I680" s="83"/>
      <c r="J680" s="82"/>
      <c r="K680" s="82"/>
      <c r="L680" s="84"/>
      <c r="M680" s="148" t="str">
        <f t="shared" si="40"/>
        <v>OneCo Networks AS</v>
      </c>
      <c r="N68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0" s="270" t="str">
        <f ca="1">IFERROR(IF(
OR(Table1[[#This Row],[Product category]]="Service items",Table1[[#This Row],[Product category]]="Additional services",Table1[[#This Row],[Product category]]="Additional materials"),
"NOK",IF(($N$3&lt;&gt;""),VLOOKUP(Table1[[#This Row],[Product code]],INDIRECT(Aux!$A$1),6,FALSE),"")),"")</f>
        <v/>
      </c>
      <c r="P680" s="43" t="str">
        <f ca="1">IFERROR(IF(AND(Table1[[#This Row],[Quantity]]&lt;&gt;"",Table1[[#This Row],[Currency]]="NOK"),Table1[[#This Row],[Quantity]]*Table1[[#This Row],[Unit Price]],""),"")</f>
        <v/>
      </c>
      <c r="Q680" s="43" t="str">
        <f ca="1">IFERROR(IF(AND(Table1[[#This Row],[ACT_Qty]]&lt;&gt;"",Table1[[#This Row],[Currency]]="NOK"),Table1[[#This Row],[ACT_Qty]]*Table1[[#This Row],[Unit Price]],""),"")</f>
        <v/>
      </c>
      <c r="R680" s="43" t="str">
        <f ca="1">IFERROR(IF(AND(Table1[[#This Row],[Quantity]]&lt;&gt;"",Table1[[#This Row],[Currency]]="EUR"),Table1[[#This Row],[Quantity]]*Table1[[#This Row],[Unit Price]],""),"")</f>
        <v/>
      </c>
      <c r="S680" s="43" t="str">
        <f ca="1">IFERROR(IF(AND(Table1[[#This Row],[ACT_Qty]]&lt;&gt;"",Table1[[#This Row],[Currency]]="EUR"),Table1[[#This Row],[ACT_Qty]]*Table1[[#This Row],[Unit Price]],""),"")</f>
        <v/>
      </c>
      <c r="T680" s="271" t="str">
        <f ca="1">IFERROR(IF(AND(($N$3&lt;&gt;""),INDIRECT(Aux!$D$1)),VLOOKUP(Table1[[#This Row],[Product code]],Aux!B:E,4,FALSE),""),"")</f>
        <v/>
      </c>
      <c r="U680" s="148" t="str">
        <f>IFERROR(IF(OR(Table1[[#This Row],[Quantity]]&lt;&gt;"",Table1[[#This Row],[ACT_Qty]]&lt;&gt;""),Table1[[#This Row],[ACT_Qty]]-Table1[[#This Row],[Quantity]],""),"")</f>
        <v/>
      </c>
      <c r="V680" s="46"/>
      <c r="W680" s="46"/>
      <c r="X680" s="46"/>
    </row>
    <row r="681" spans="1:24">
      <c r="A681" s="143" t="str">
        <f t="shared" si="39"/>
        <v>AKH12345</v>
      </c>
      <c r="B681" s="231"/>
      <c r="C681" s="120"/>
      <c r="D681" s="121"/>
      <c r="E681" s="122"/>
      <c r="F681" s="121"/>
      <c r="G681" s="122"/>
      <c r="H681" s="119"/>
      <c r="I681" s="123"/>
      <c r="J681" s="119"/>
      <c r="K681" s="119"/>
      <c r="L681" s="232"/>
      <c r="M681" s="145" t="str">
        <f t="shared" si="40"/>
        <v>OneCo Networks AS</v>
      </c>
      <c r="N6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1" s="268" t="str">
        <f ca="1">IFERROR(IF(
OR(Table1[[#This Row],[Product category]]="Service items",Table1[[#This Row],[Product category]]="Additional services",Table1[[#This Row],[Product category]]="Additional materials"),
"NOK",IF(($N$3&lt;&gt;""),VLOOKUP(Table1[[#This Row],[Product code]],INDIRECT(Aux!$A$1),6,FALSE),"")),"")</f>
        <v/>
      </c>
      <c r="P681" s="41" t="str">
        <f ca="1">IFERROR(IF(AND(Table1[[#This Row],[Quantity]]&lt;&gt;"",Table1[[#This Row],[Currency]]="NOK"),Table1[[#This Row],[Quantity]]*Table1[[#This Row],[Unit Price]],""),"")</f>
        <v/>
      </c>
      <c r="Q681" s="41" t="str">
        <f ca="1">IFERROR(IF(AND(Table1[[#This Row],[ACT_Qty]]&lt;&gt;"",Table1[[#This Row],[Currency]]="NOK"),Table1[[#This Row],[ACT_Qty]]*Table1[[#This Row],[Unit Price]],""),"")</f>
        <v/>
      </c>
      <c r="R681" s="41" t="str">
        <f ca="1">IFERROR(IF(AND(Table1[[#This Row],[Quantity]]&lt;&gt;"",Table1[[#This Row],[Currency]]="EUR"),Table1[[#This Row],[Quantity]]*Table1[[#This Row],[Unit Price]],""),"")</f>
        <v/>
      </c>
      <c r="S681" s="41" t="str">
        <f ca="1">IFERROR(IF(AND(Table1[[#This Row],[ACT_Qty]]&lt;&gt;"",Table1[[#This Row],[Currency]]="EUR"),Table1[[#This Row],[ACT_Qty]]*Table1[[#This Row],[Unit Price]],""),"")</f>
        <v/>
      </c>
      <c r="T681" s="269" t="str">
        <f ca="1">IFERROR(IF(AND(($N$3&lt;&gt;""),INDIRECT(Aux!$D$1)),VLOOKUP(Table1[[#This Row],[Product code]],Aux!B:E,4,FALSE),""),"")</f>
        <v/>
      </c>
      <c r="U681" s="145" t="str">
        <f>IFERROR(IF(OR(Table1[[#This Row],[Quantity]]&lt;&gt;"",Table1[[#This Row],[ACT_Qty]]&lt;&gt;""),Table1[[#This Row],[ACT_Qty]]-Table1[[#This Row],[Quantity]],""),"")</f>
        <v/>
      </c>
      <c r="V681" s="45"/>
      <c r="W681" s="45"/>
      <c r="X681" s="45"/>
    </row>
    <row r="682" spans="1:24">
      <c r="A682" s="233" t="str">
        <f t="shared" si="39"/>
        <v>AKH12345</v>
      </c>
      <c r="B682" s="80"/>
      <c r="C682" s="81"/>
      <c r="D682" s="73"/>
      <c r="E682" s="90"/>
      <c r="F682" s="73"/>
      <c r="G682" s="90"/>
      <c r="H682" s="82"/>
      <c r="I682" s="83"/>
      <c r="J682" s="82"/>
      <c r="K682" s="82"/>
      <c r="L682" s="84"/>
      <c r="M682" s="148" t="str">
        <f t="shared" si="40"/>
        <v>OneCo Networks AS</v>
      </c>
      <c r="N68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2" s="270" t="str">
        <f ca="1">IFERROR(IF(
OR(Table1[[#This Row],[Product category]]="Service items",Table1[[#This Row],[Product category]]="Additional services",Table1[[#This Row],[Product category]]="Additional materials"),
"NOK",IF(($N$3&lt;&gt;""),VLOOKUP(Table1[[#This Row],[Product code]],INDIRECT(Aux!$A$1),6,FALSE),"")),"")</f>
        <v/>
      </c>
      <c r="P682" s="43" t="str">
        <f ca="1">IFERROR(IF(AND(Table1[[#This Row],[Quantity]]&lt;&gt;"",Table1[[#This Row],[Currency]]="NOK"),Table1[[#This Row],[Quantity]]*Table1[[#This Row],[Unit Price]],""),"")</f>
        <v/>
      </c>
      <c r="Q682" s="43" t="str">
        <f ca="1">IFERROR(IF(AND(Table1[[#This Row],[ACT_Qty]]&lt;&gt;"",Table1[[#This Row],[Currency]]="NOK"),Table1[[#This Row],[ACT_Qty]]*Table1[[#This Row],[Unit Price]],""),"")</f>
        <v/>
      </c>
      <c r="R682" s="43" t="str">
        <f ca="1">IFERROR(IF(AND(Table1[[#This Row],[Quantity]]&lt;&gt;"",Table1[[#This Row],[Currency]]="EUR"),Table1[[#This Row],[Quantity]]*Table1[[#This Row],[Unit Price]],""),"")</f>
        <v/>
      </c>
      <c r="S682" s="43" t="str">
        <f ca="1">IFERROR(IF(AND(Table1[[#This Row],[ACT_Qty]]&lt;&gt;"",Table1[[#This Row],[Currency]]="EUR"),Table1[[#This Row],[ACT_Qty]]*Table1[[#This Row],[Unit Price]],""),"")</f>
        <v/>
      </c>
      <c r="T682" s="271" t="str">
        <f ca="1">IFERROR(IF(AND(($N$3&lt;&gt;""),INDIRECT(Aux!$D$1)),VLOOKUP(Table1[[#This Row],[Product code]],Aux!B:E,4,FALSE),""),"")</f>
        <v/>
      </c>
      <c r="U682" s="148" t="str">
        <f>IFERROR(IF(OR(Table1[[#This Row],[Quantity]]&lt;&gt;"",Table1[[#This Row],[ACT_Qty]]&lt;&gt;""),Table1[[#This Row],[ACT_Qty]]-Table1[[#This Row],[Quantity]],""),"")</f>
        <v/>
      </c>
      <c r="V682" s="46"/>
      <c r="W682" s="46"/>
      <c r="X682" s="46"/>
    </row>
    <row r="683" spans="1:24">
      <c r="A683" s="143" t="str">
        <f t="shared" si="39"/>
        <v>AKH12345</v>
      </c>
      <c r="B683" s="231"/>
      <c r="C683" s="120"/>
      <c r="D683" s="121"/>
      <c r="E683" s="122"/>
      <c r="F683" s="121"/>
      <c r="G683" s="122"/>
      <c r="H683" s="119"/>
      <c r="I683" s="123"/>
      <c r="J683" s="119"/>
      <c r="K683" s="119"/>
      <c r="L683" s="232"/>
      <c r="M683" s="145" t="str">
        <f t="shared" si="40"/>
        <v>OneCo Networks AS</v>
      </c>
      <c r="N68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3" s="268" t="str">
        <f ca="1">IFERROR(IF(
OR(Table1[[#This Row],[Product category]]="Service items",Table1[[#This Row],[Product category]]="Additional services",Table1[[#This Row],[Product category]]="Additional materials"),
"NOK",IF(($N$3&lt;&gt;""),VLOOKUP(Table1[[#This Row],[Product code]],INDIRECT(Aux!$A$1),6,FALSE),"")),"")</f>
        <v/>
      </c>
      <c r="P683" s="41" t="str">
        <f ca="1">IFERROR(IF(AND(Table1[[#This Row],[Quantity]]&lt;&gt;"",Table1[[#This Row],[Currency]]="NOK"),Table1[[#This Row],[Quantity]]*Table1[[#This Row],[Unit Price]],""),"")</f>
        <v/>
      </c>
      <c r="Q683" s="41" t="str">
        <f ca="1">IFERROR(IF(AND(Table1[[#This Row],[ACT_Qty]]&lt;&gt;"",Table1[[#This Row],[Currency]]="NOK"),Table1[[#This Row],[ACT_Qty]]*Table1[[#This Row],[Unit Price]],""),"")</f>
        <v/>
      </c>
      <c r="R683" s="41" t="str">
        <f ca="1">IFERROR(IF(AND(Table1[[#This Row],[Quantity]]&lt;&gt;"",Table1[[#This Row],[Currency]]="EUR"),Table1[[#This Row],[Quantity]]*Table1[[#This Row],[Unit Price]],""),"")</f>
        <v/>
      </c>
      <c r="S683" s="41" t="str">
        <f ca="1">IFERROR(IF(AND(Table1[[#This Row],[ACT_Qty]]&lt;&gt;"",Table1[[#This Row],[Currency]]="EUR"),Table1[[#This Row],[ACT_Qty]]*Table1[[#This Row],[Unit Price]],""),"")</f>
        <v/>
      </c>
      <c r="T683" s="269" t="str">
        <f ca="1">IFERROR(IF(AND(($N$3&lt;&gt;""),INDIRECT(Aux!$D$1)),VLOOKUP(Table1[[#This Row],[Product code]],Aux!B:E,4,FALSE),""),"")</f>
        <v/>
      </c>
      <c r="U683" s="145" t="str">
        <f>IFERROR(IF(OR(Table1[[#This Row],[Quantity]]&lt;&gt;"",Table1[[#This Row],[ACT_Qty]]&lt;&gt;""),Table1[[#This Row],[ACT_Qty]]-Table1[[#This Row],[Quantity]],""),"")</f>
        <v/>
      </c>
      <c r="V683" s="45"/>
      <c r="W683" s="45"/>
      <c r="X683" s="45"/>
    </row>
    <row r="684" spans="1:24">
      <c r="A684" s="233" t="str">
        <f t="shared" si="39"/>
        <v>AKH12345</v>
      </c>
      <c r="B684" s="80"/>
      <c r="C684" s="81"/>
      <c r="D684" s="73"/>
      <c r="E684" s="90"/>
      <c r="F684" s="73"/>
      <c r="G684" s="90"/>
      <c r="H684" s="82"/>
      <c r="I684" s="83"/>
      <c r="J684" s="82"/>
      <c r="K684" s="82"/>
      <c r="L684" s="84"/>
      <c r="M684" s="148" t="str">
        <f t="shared" si="40"/>
        <v>OneCo Networks AS</v>
      </c>
      <c r="N68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4" s="270" t="str">
        <f ca="1">IFERROR(IF(
OR(Table1[[#This Row],[Product category]]="Service items",Table1[[#This Row],[Product category]]="Additional services",Table1[[#This Row],[Product category]]="Additional materials"),
"NOK",IF(($N$3&lt;&gt;""),VLOOKUP(Table1[[#This Row],[Product code]],INDIRECT(Aux!$A$1),6,FALSE),"")),"")</f>
        <v/>
      </c>
      <c r="P684" s="43" t="str">
        <f ca="1">IFERROR(IF(AND(Table1[[#This Row],[Quantity]]&lt;&gt;"",Table1[[#This Row],[Currency]]="NOK"),Table1[[#This Row],[Quantity]]*Table1[[#This Row],[Unit Price]],""),"")</f>
        <v/>
      </c>
      <c r="Q684" s="43" t="str">
        <f ca="1">IFERROR(IF(AND(Table1[[#This Row],[ACT_Qty]]&lt;&gt;"",Table1[[#This Row],[Currency]]="NOK"),Table1[[#This Row],[ACT_Qty]]*Table1[[#This Row],[Unit Price]],""),"")</f>
        <v/>
      </c>
      <c r="R684" s="43" t="str">
        <f ca="1">IFERROR(IF(AND(Table1[[#This Row],[Quantity]]&lt;&gt;"",Table1[[#This Row],[Currency]]="EUR"),Table1[[#This Row],[Quantity]]*Table1[[#This Row],[Unit Price]],""),"")</f>
        <v/>
      </c>
      <c r="S684" s="43" t="str">
        <f ca="1">IFERROR(IF(AND(Table1[[#This Row],[ACT_Qty]]&lt;&gt;"",Table1[[#This Row],[Currency]]="EUR"),Table1[[#This Row],[ACT_Qty]]*Table1[[#This Row],[Unit Price]],""),"")</f>
        <v/>
      </c>
      <c r="T684" s="271" t="str">
        <f ca="1">IFERROR(IF(AND(($N$3&lt;&gt;""),INDIRECT(Aux!$D$1)),VLOOKUP(Table1[[#This Row],[Product code]],Aux!B:E,4,FALSE),""),"")</f>
        <v/>
      </c>
      <c r="U684" s="148" t="str">
        <f>IFERROR(IF(OR(Table1[[#This Row],[Quantity]]&lt;&gt;"",Table1[[#This Row],[ACT_Qty]]&lt;&gt;""),Table1[[#This Row],[ACT_Qty]]-Table1[[#This Row],[Quantity]],""),"")</f>
        <v/>
      </c>
      <c r="V684" s="46"/>
      <c r="W684" s="46"/>
      <c r="X684" s="46"/>
    </row>
    <row r="685" spans="1:24">
      <c r="A685" s="143" t="str">
        <f t="shared" si="39"/>
        <v>AKH12345</v>
      </c>
      <c r="B685" s="231"/>
      <c r="C685" s="120"/>
      <c r="D685" s="121"/>
      <c r="E685" s="122"/>
      <c r="F685" s="121"/>
      <c r="G685" s="122"/>
      <c r="H685" s="119"/>
      <c r="I685" s="123"/>
      <c r="J685" s="119"/>
      <c r="K685" s="119"/>
      <c r="L685" s="232"/>
      <c r="M685" s="145" t="str">
        <f t="shared" si="40"/>
        <v>OneCo Networks AS</v>
      </c>
      <c r="N68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5" s="268" t="str">
        <f ca="1">IFERROR(IF(
OR(Table1[[#This Row],[Product category]]="Service items",Table1[[#This Row],[Product category]]="Additional services",Table1[[#This Row],[Product category]]="Additional materials"),
"NOK",IF(($N$3&lt;&gt;""),VLOOKUP(Table1[[#This Row],[Product code]],INDIRECT(Aux!$A$1),6,FALSE),"")),"")</f>
        <v/>
      </c>
      <c r="P685" s="41" t="str">
        <f ca="1">IFERROR(IF(AND(Table1[[#This Row],[Quantity]]&lt;&gt;"",Table1[[#This Row],[Currency]]="NOK"),Table1[[#This Row],[Quantity]]*Table1[[#This Row],[Unit Price]],""),"")</f>
        <v/>
      </c>
      <c r="Q685" s="41" t="str">
        <f ca="1">IFERROR(IF(AND(Table1[[#This Row],[ACT_Qty]]&lt;&gt;"",Table1[[#This Row],[Currency]]="NOK"),Table1[[#This Row],[ACT_Qty]]*Table1[[#This Row],[Unit Price]],""),"")</f>
        <v/>
      </c>
      <c r="R685" s="41" t="str">
        <f ca="1">IFERROR(IF(AND(Table1[[#This Row],[Quantity]]&lt;&gt;"",Table1[[#This Row],[Currency]]="EUR"),Table1[[#This Row],[Quantity]]*Table1[[#This Row],[Unit Price]],""),"")</f>
        <v/>
      </c>
      <c r="S685" s="41" t="str">
        <f ca="1">IFERROR(IF(AND(Table1[[#This Row],[ACT_Qty]]&lt;&gt;"",Table1[[#This Row],[Currency]]="EUR"),Table1[[#This Row],[ACT_Qty]]*Table1[[#This Row],[Unit Price]],""),"")</f>
        <v/>
      </c>
      <c r="T685" s="269" t="str">
        <f ca="1">IFERROR(IF(AND(($N$3&lt;&gt;""),INDIRECT(Aux!$D$1)),VLOOKUP(Table1[[#This Row],[Product code]],Aux!B:E,4,FALSE),""),"")</f>
        <v/>
      </c>
      <c r="U685" s="145" t="str">
        <f>IFERROR(IF(OR(Table1[[#This Row],[Quantity]]&lt;&gt;"",Table1[[#This Row],[ACT_Qty]]&lt;&gt;""),Table1[[#This Row],[ACT_Qty]]-Table1[[#This Row],[Quantity]],""),"")</f>
        <v/>
      </c>
      <c r="V685" s="45"/>
      <c r="W685" s="45"/>
      <c r="X685" s="45"/>
    </row>
    <row r="686" spans="1:24">
      <c r="A686" s="233" t="str">
        <f t="shared" si="39"/>
        <v>AKH12345</v>
      </c>
      <c r="B686" s="80"/>
      <c r="C686" s="81"/>
      <c r="D686" s="73"/>
      <c r="E686" s="90"/>
      <c r="F686" s="73"/>
      <c r="G686" s="90"/>
      <c r="H686" s="82"/>
      <c r="I686" s="83"/>
      <c r="J686" s="82"/>
      <c r="K686" s="82"/>
      <c r="L686" s="84"/>
      <c r="M686" s="148" t="str">
        <f t="shared" si="40"/>
        <v>OneCo Networks AS</v>
      </c>
      <c r="N68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6" s="270" t="str">
        <f ca="1">IFERROR(IF(
OR(Table1[[#This Row],[Product category]]="Service items",Table1[[#This Row],[Product category]]="Additional services",Table1[[#This Row],[Product category]]="Additional materials"),
"NOK",IF(($N$3&lt;&gt;""),VLOOKUP(Table1[[#This Row],[Product code]],INDIRECT(Aux!$A$1),6,FALSE),"")),"")</f>
        <v/>
      </c>
      <c r="P686" s="43" t="str">
        <f ca="1">IFERROR(IF(AND(Table1[[#This Row],[Quantity]]&lt;&gt;"",Table1[[#This Row],[Currency]]="NOK"),Table1[[#This Row],[Quantity]]*Table1[[#This Row],[Unit Price]],""),"")</f>
        <v/>
      </c>
      <c r="Q686" s="43" t="str">
        <f ca="1">IFERROR(IF(AND(Table1[[#This Row],[ACT_Qty]]&lt;&gt;"",Table1[[#This Row],[Currency]]="NOK"),Table1[[#This Row],[ACT_Qty]]*Table1[[#This Row],[Unit Price]],""),"")</f>
        <v/>
      </c>
      <c r="R686" s="43" t="str">
        <f ca="1">IFERROR(IF(AND(Table1[[#This Row],[Quantity]]&lt;&gt;"",Table1[[#This Row],[Currency]]="EUR"),Table1[[#This Row],[Quantity]]*Table1[[#This Row],[Unit Price]],""),"")</f>
        <v/>
      </c>
      <c r="S686" s="43" t="str">
        <f ca="1">IFERROR(IF(AND(Table1[[#This Row],[ACT_Qty]]&lt;&gt;"",Table1[[#This Row],[Currency]]="EUR"),Table1[[#This Row],[ACT_Qty]]*Table1[[#This Row],[Unit Price]],""),"")</f>
        <v/>
      </c>
      <c r="T686" s="271" t="str">
        <f ca="1">IFERROR(IF(AND(($N$3&lt;&gt;""),INDIRECT(Aux!$D$1)),VLOOKUP(Table1[[#This Row],[Product code]],Aux!B:E,4,FALSE),""),"")</f>
        <v/>
      </c>
      <c r="U686" s="148" t="str">
        <f>IFERROR(IF(OR(Table1[[#This Row],[Quantity]]&lt;&gt;"",Table1[[#This Row],[ACT_Qty]]&lt;&gt;""),Table1[[#This Row],[ACT_Qty]]-Table1[[#This Row],[Quantity]],""),"")</f>
        <v/>
      </c>
      <c r="V686" s="46"/>
      <c r="W686" s="46"/>
      <c r="X686" s="46"/>
    </row>
    <row r="687" spans="1:24">
      <c r="A687" s="143" t="str">
        <f t="shared" si="39"/>
        <v>AKH12345</v>
      </c>
      <c r="B687" s="231"/>
      <c r="C687" s="120"/>
      <c r="D687" s="121"/>
      <c r="E687" s="122"/>
      <c r="F687" s="121"/>
      <c r="G687" s="122"/>
      <c r="H687" s="119"/>
      <c r="I687" s="123"/>
      <c r="J687" s="119"/>
      <c r="K687" s="119"/>
      <c r="L687" s="232"/>
      <c r="M687" s="145" t="str">
        <f t="shared" si="40"/>
        <v>OneCo Networks AS</v>
      </c>
      <c r="N68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7" s="268" t="str">
        <f ca="1">IFERROR(IF(
OR(Table1[[#This Row],[Product category]]="Service items",Table1[[#This Row],[Product category]]="Additional services",Table1[[#This Row],[Product category]]="Additional materials"),
"NOK",IF(($N$3&lt;&gt;""),VLOOKUP(Table1[[#This Row],[Product code]],INDIRECT(Aux!$A$1),6,FALSE),"")),"")</f>
        <v/>
      </c>
      <c r="P687" s="41" t="str">
        <f ca="1">IFERROR(IF(AND(Table1[[#This Row],[Quantity]]&lt;&gt;"",Table1[[#This Row],[Currency]]="NOK"),Table1[[#This Row],[Quantity]]*Table1[[#This Row],[Unit Price]],""),"")</f>
        <v/>
      </c>
      <c r="Q687" s="41" t="str">
        <f ca="1">IFERROR(IF(AND(Table1[[#This Row],[ACT_Qty]]&lt;&gt;"",Table1[[#This Row],[Currency]]="NOK"),Table1[[#This Row],[ACT_Qty]]*Table1[[#This Row],[Unit Price]],""),"")</f>
        <v/>
      </c>
      <c r="R687" s="41" t="str">
        <f ca="1">IFERROR(IF(AND(Table1[[#This Row],[Quantity]]&lt;&gt;"",Table1[[#This Row],[Currency]]="EUR"),Table1[[#This Row],[Quantity]]*Table1[[#This Row],[Unit Price]],""),"")</f>
        <v/>
      </c>
      <c r="S687" s="41" t="str">
        <f ca="1">IFERROR(IF(AND(Table1[[#This Row],[ACT_Qty]]&lt;&gt;"",Table1[[#This Row],[Currency]]="EUR"),Table1[[#This Row],[ACT_Qty]]*Table1[[#This Row],[Unit Price]],""),"")</f>
        <v/>
      </c>
      <c r="T687" s="269" t="str">
        <f ca="1">IFERROR(IF(AND(($N$3&lt;&gt;""),INDIRECT(Aux!$D$1)),VLOOKUP(Table1[[#This Row],[Product code]],Aux!B:E,4,FALSE),""),"")</f>
        <v/>
      </c>
      <c r="U687" s="145" t="str">
        <f>IFERROR(IF(OR(Table1[[#This Row],[Quantity]]&lt;&gt;"",Table1[[#This Row],[ACT_Qty]]&lt;&gt;""),Table1[[#This Row],[ACT_Qty]]-Table1[[#This Row],[Quantity]],""),"")</f>
        <v/>
      </c>
      <c r="V687" s="45"/>
      <c r="W687" s="45"/>
      <c r="X687" s="45"/>
    </row>
    <row r="688" spans="1:24">
      <c r="A688" s="233" t="str">
        <f t="shared" ref="A688:A751" si="41">$C$4</f>
        <v>AKH12345</v>
      </c>
      <c r="B688" s="80"/>
      <c r="C688" s="81"/>
      <c r="D688" s="73"/>
      <c r="E688" s="90"/>
      <c r="F688" s="73"/>
      <c r="G688" s="90"/>
      <c r="H688" s="82"/>
      <c r="I688" s="83"/>
      <c r="J688" s="82"/>
      <c r="K688" s="82"/>
      <c r="L688" s="84"/>
      <c r="M688" s="148" t="str">
        <f t="shared" si="40"/>
        <v>OneCo Networks AS</v>
      </c>
      <c r="N68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8" s="270" t="str">
        <f ca="1">IFERROR(IF(
OR(Table1[[#This Row],[Product category]]="Service items",Table1[[#This Row],[Product category]]="Additional services",Table1[[#This Row],[Product category]]="Additional materials"),
"NOK",IF(($N$3&lt;&gt;""),VLOOKUP(Table1[[#This Row],[Product code]],INDIRECT(Aux!$A$1),6,FALSE),"")),"")</f>
        <v/>
      </c>
      <c r="P688" s="43" t="str">
        <f ca="1">IFERROR(IF(AND(Table1[[#This Row],[Quantity]]&lt;&gt;"",Table1[[#This Row],[Currency]]="NOK"),Table1[[#This Row],[Quantity]]*Table1[[#This Row],[Unit Price]],""),"")</f>
        <v/>
      </c>
      <c r="Q688" s="43" t="str">
        <f ca="1">IFERROR(IF(AND(Table1[[#This Row],[ACT_Qty]]&lt;&gt;"",Table1[[#This Row],[Currency]]="NOK"),Table1[[#This Row],[ACT_Qty]]*Table1[[#This Row],[Unit Price]],""),"")</f>
        <v/>
      </c>
      <c r="R688" s="43" t="str">
        <f ca="1">IFERROR(IF(AND(Table1[[#This Row],[Quantity]]&lt;&gt;"",Table1[[#This Row],[Currency]]="EUR"),Table1[[#This Row],[Quantity]]*Table1[[#This Row],[Unit Price]],""),"")</f>
        <v/>
      </c>
      <c r="S688" s="43" t="str">
        <f ca="1">IFERROR(IF(AND(Table1[[#This Row],[ACT_Qty]]&lt;&gt;"",Table1[[#This Row],[Currency]]="EUR"),Table1[[#This Row],[ACT_Qty]]*Table1[[#This Row],[Unit Price]],""),"")</f>
        <v/>
      </c>
      <c r="T688" s="271" t="str">
        <f ca="1">IFERROR(IF(AND(($N$3&lt;&gt;""),INDIRECT(Aux!$D$1)),VLOOKUP(Table1[[#This Row],[Product code]],Aux!B:E,4,FALSE),""),"")</f>
        <v/>
      </c>
      <c r="U688" s="148" t="str">
        <f>IFERROR(IF(OR(Table1[[#This Row],[Quantity]]&lt;&gt;"",Table1[[#This Row],[ACT_Qty]]&lt;&gt;""),Table1[[#This Row],[ACT_Qty]]-Table1[[#This Row],[Quantity]],""),"")</f>
        <v/>
      </c>
      <c r="V688" s="46"/>
      <c r="W688" s="46"/>
      <c r="X688" s="46"/>
    </row>
    <row r="689" spans="1:24">
      <c r="A689" s="143" t="str">
        <f t="shared" si="41"/>
        <v>AKH12345</v>
      </c>
      <c r="B689" s="231"/>
      <c r="C689" s="120"/>
      <c r="D689" s="121"/>
      <c r="E689" s="122"/>
      <c r="F689" s="121"/>
      <c r="G689" s="122"/>
      <c r="H689" s="119"/>
      <c r="I689" s="123"/>
      <c r="J689" s="119"/>
      <c r="K689" s="119"/>
      <c r="L689" s="232"/>
      <c r="M689" s="145" t="str">
        <f t="shared" si="40"/>
        <v>OneCo Networks AS</v>
      </c>
      <c r="N68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89" s="268" t="str">
        <f ca="1">IFERROR(IF(
OR(Table1[[#This Row],[Product category]]="Service items",Table1[[#This Row],[Product category]]="Additional services",Table1[[#This Row],[Product category]]="Additional materials"),
"NOK",IF(($N$3&lt;&gt;""),VLOOKUP(Table1[[#This Row],[Product code]],INDIRECT(Aux!$A$1),6,FALSE),"")),"")</f>
        <v/>
      </c>
      <c r="P689" s="41" t="str">
        <f ca="1">IFERROR(IF(AND(Table1[[#This Row],[Quantity]]&lt;&gt;"",Table1[[#This Row],[Currency]]="NOK"),Table1[[#This Row],[Quantity]]*Table1[[#This Row],[Unit Price]],""),"")</f>
        <v/>
      </c>
      <c r="Q689" s="41" t="str">
        <f ca="1">IFERROR(IF(AND(Table1[[#This Row],[ACT_Qty]]&lt;&gt;"",Table1[[#This Row],[Currency]]="NOK"),Table1[[#This Row],[ACT_Qty]]*Table1[[#This Row],[Unit Price]],""),"")</f>
        <v/>
      </c>
      <c r="R689" s="41" t="str">
        <f ca="1">IFERROR(IF(AND(Table1[[#This Row],[Quantity]]&lt;&gt;"",Table1[[#This Row],[Currency]]="EUR"),Table1[[#This Row],[Quantity]]*Table1[[#This Row],[Unit Price]],""),"")</f>
        <v/>
      </c>
      <c r="S689" s="41" t="str">
        <f ca="1">IFERROR(IF(AND(Table1[[#This Row],[ACT_Qty]]&lt;&gt;"",Table1[[#This Row],[Currency]]="EUR"),Table1[[#This Row],[ACT_Qty]]*Table1[[#This Row],[Unit Price]],""),"")</f>
        <v/>
      </c>
      <c r="T689" s="269" t="str">
        <f ca="1">IFERROR(IF(AND(($N$3&lt;&gt;""),INDIRECT(Aux!$D$1)),VLOOKUP(Table1[[#This Row],[Product code]],Aux!B:E,4,FALSE),""),"")</f>
        <v/>
      </c>
      <c r="U689" s="145" t="str">
        <f>IFERROR(IF(OR(Table1[[#This Row],[Quantity]]&lt;&gt;"",Table1[[#This Row],[ACT_Qty]]&lt;&gt;""),Table1[[#This Row],[ACT_Qty]]-Table1[[#This Row],[Quantity]],""),"")</f>
        <v/>
      </c>
      <c r="V689" s="45"/>
      <c r="W689" s="45"/>
      <c r="X689" s="45"/>
    </row>
    <row r="690" spans="1:24">
      <c r="A690" s="233" t="str">
        <f t="shared" si="41"/>
        <v>AKH12345</v>
      </c>
      <c r="B690" s="80"/>
      <c r="C690" s="81"/>
      <c r="D690" s="73"/>
      <c r="E690" s="90"/>
      <c r="F690" s="73"/>
      <c r="G690" s="90"/>
      <c r="H690" s="82"/>
      <c r="I690" s="83"/>
      <c r="J690" s="82"/>
      <c r="K690" s="82"/>
      <c r="L690" s="84"/>
      <c r="M690" s="148" t="str">
        <f t="shared" si="40"/>
        <v>OneCo Networks AS</v>
      </c>
      <c r="N69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0" s="270" t="str">
        <f ca="1">IFERROR(IF(
OR(Table1[[#This Row],[Product category]]="Service items",Table1[[#This Row],[Product category]]="Additional services",Table1[[#This Row],[Product category]]="Additional materials"),
"NOK",IF(($N$3&lt;&gt;""),VLOOKUP(Table1[[#This Row],[Product code]],INDIRECT(Aux!$A$1),6,FALSE),"")),"")</f>
        <v/>
      </c>
      <c r="P690" s="43" t="str">
        <f ca="1">IFERROR(IF(AND(Table1[[#This Row],[Quantity]]&lt;&gt;"",Table1[[#This Row],[Currency]]="NOK"),Table1[[#This Row],[Quantity]]*Table1[[#This Row],[Unit Price]],""),"")</f>
        <v/>
      </c>
      <c r="Q690" s="43" t="str">
        <f ca="1">IFERROR(IF(AND(Table1[[#This Row],[ACT_Qty]]&lt;&gt;"",Table1[[#This Row],[Currency]]="NOK"),Table1[[#This Row],[ACT_Qty]]*Table1[[#This Row],[Unit Price]],""),"")</f>
        <v/>
      </c>
      <c r="R690" s="43" t="str">
        <f ca="1">IFERROR(IF(AND(Table1[[#This Row],[Quantity]]&lt;&gt;"",Table1[[#This Row],[Currency]]="EUR"),Table1[[#This Row],[Quantity]]*Table1[[#This Row],[Unit Price]],""),"")</f>
        <v/>
      </c>
      <c r="S690" s="43" t="str">
        <f ca="1">IFERROR(IF(AND(Table1[[#This Row],[ACT_Qty]]&lt;&gt;"",Table1[[#This Row],[Currency]]="EUR"),Table1[[#This Row],[ACT_Qty]]*Table1[[#This Row],[Unit Price]],""),"")</f>
        <v/>
      </c>
      <c r="T690" s="271" t="str">
        <f ca="1">IFERROR(IF(AND(($N$3&lt;&gt;""),INDIRECT(Aux!$D$1)),VLOOKUP(Table1[[#This Row],[Product code]],Aux!B:E,4,FALSE),""),"")</f>
        <v/>
      </c>
      <c r="U690" s="148" t="str">
        <f>IFERROR(IF(OR(Table1[[#This Row],[Quantity]]&lt;&gt;"",Table1[[#This Row],[ACT_Qty]]&lt;&gt;""),Table1[[#This Row],[ACT_Qty]]-Table1[[#This Row],[Quantity]],""),"")</f>
        <v/>
      </c>
      <c r="V690" s="46"/>
      <c r="W690" s="46"/>
      <c r="X690" s="46"/>
    </row>
    <row r="691" spans="1:24">
      <c r="A691" s="143" t="str">
        <f t="shared" si="41"/>
        <v>AKH12345</v>
      </c>
      <c r="B691" s="231"/>
      <c r="C691" s="120"/>
      <c r="D691" s="121"/>
      <c r="E691" s="122"/>
      <c r="F691" s="121"/>
      <c r="G691" s="122"/>
      <c r="H691" s="119"/>
      <c r="I691" s="123"/>
      <c r="J691" s="119"/>
      <c r="K691" s="119"/>
      <c r="L691" s="232"/>
      <c r="M691" s="145" t="str">
        <f t="shared" si="40"/>
        <v>OneCo Networks AS</v>
      </c>
      <c r="N69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1" s="268" t="str">
        <f ca="1">IFERROR(IF(
OR(Table1[[#This Row],[Product category]]="Service items",Table1[[#This Row],[Product category]]="Additional services",Table1[[#This Row],[Product category]]="Additional materials"),
"NOK",IF(($N$3&lt;&gt;""),VLOOKUP(Table1[[#This Row],[Product code]],INDIRECT(Aux!$A$1),6,FALSE),"")),"")</f>
        <v/>
      </c>
      <c r="P691" s="41" t="str">
        <f ca="1">IFERROR(IF(AND(Table1[[#This Row],[Quantity]]&lt;&gt;"",Table1[[#This Row],[Currency]]="NOK"),Table1[[#This Row],[Quantity]]*Table1[[#This Row],[Unit Price]],""),"")</f>
        <v/>
      </c>
      <c r="Q691" s="41" t="str">
        <f ca="1">IFERROR(IF(AND(Table1[[#This Row],[ACT_Qty]]&lt;&gt;"",Table1[[#This Row],[Currency]]="NOK"),Table1[[#This Row],[ACT_Qty]]*Table1[[#This Row],[Unit Price]],""),"")</f>
        <v/>
      </c>
      <c r="R691" s="41" t="str">
        <f ca="1">IFERROR(IF(AND(Table1[[#This Row],[Quantity]]&lt;&gt;"",Table1[[#This Row],[Currency]]="EUR"),Table1[[#This Row],[Quantity]]*Table1[[#This Row],[Unit Price]],""),"")</f>
        <v/>
      </c>
      <c r="S691" s="41" t="str">
        <f ca="1">IFERROR(IF(AND(Table1[[#This Row],[ACT_Qty]]&lt;&gt;"",Table1[[#This Row],[Currency]]="EUR"),Table1[[#This Row],[ACT_Qty]]*Table1[[#This Row],[Unit Price]],""),"")</f>
        <v/>
      </c>
      <c r="T691" s="269" t="str">
        <f ca="1">IFERROR(IF(AND(($N$3&lt;&gt;""),INDIRECT(Aux!$D$1)),VLOOKUP(Table1[[#This Row],[Product code]],Aux!B:E,4,FALSE),""),"")</f>
        <v/>
      </c>
      <c r="U691" s="145" t="str">
        <f>IFERROR(IF(OR(Table1[[#This Row],[Quantity]]&lt;&gt;"",Table1[[#This Row],[ACT_Qty]]&lt;&gt;""),Table1[[#This Row],[ACT_Qty]]-Table1[[#This Row],[Quantity]],""),"")</f>
        <v/>
      </c>
      <c r="V691" s="45"/>
      <c r="W691" s="45"/>
      <c r="X691" s="45"/>
    </row>
    <row r="692" spans="1:24">
      <c r="A692" s="233" t="str">
        <f t="shared" si="41"/>
        <v>AKH12345</v>
      </c>
      <c r="B692" s="80"/>
      <c r="C692" s="81"/>
      <c r="D692" s="73"/>
      <c r="E692" s="90"/>
      <c r="F692" s="73"/>
      <c r="G692" s="90"/>
      <c r="H692" s="82"/>
      <c r="I692" s="83"/>
      <c r="J692" s="82"/>
      <c r="K692" s="82"/>
      <c r="L692" s="84"/>
      <c r="M692" s="148" t="str">
        <f t="shared" si="40"/>
        <v>OneCo Networks AS</v>
      </c>
      <c r="N69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2" s="270" t="str">
        <f ca="1">IFERROR(IF(
OR(Table1[[#This Row],[Product category]]="Service items",Table1[[#This Row],[Product category]]="Additional services",Table1[[#This Row],[Product category]]="Additional materials"),
"NOK",IF(($N$3&lt;&gt;""),VLOOKUP(Table1[[#This Row],[Product code]],INDIRECT(Aux!$A$1),6,FALSE),"")),"")</f>
        <v/>
      </c>
      <c r="P692" s="43" t="str">
        <f ca="1">IFERROR(IF(AND(Table1[[#This Row],[Quantity]]&lt;&gt;"",Table1[[#This Row],[Currency]]="NOK"),Table1[[#This Row],[Quantity]]*Table1[[#This Row],[Unit Price]],""),"")</f>
        <v/>
      </c>
      <c r="Q692" s="43" t="str">
        <f ca="1">IFERROR(IF(AND(Table1[[#This Row],[ACT_Qty]]&lt;&gt;"",Table1[[#This Row],[Currency]]="NOK"),Table1[[#This Row],[ACT_Qty]]*Table1[[#This Row],[Unit Price]],""),"")</f>
        <v/>
      </c>
      <c r="R692" s="43" t="str">
        <f ca="1">IFERROR(IF(AND(Table1[[#This Row],[Quantity]]&lt;&gt;"",Table1[[#This Row],[Currency]]="EUR"),Table1[[#This Row],[Quantity]]*Table1[[#This Row],[Unit Price]],""),"")</f>
        <v/>
      </c>
      <c r="S692" s="43" t="str">
        <f ca="1">IFERROR(IF(AND(Table1[[#This Row],[ACT_Qty]]&lt;&gt;"",Table1[[#This Row],[Currency]]="EUR"),Table1[[#This Row],[ACT_Qty]]*Table1[[#This Row],[Unit Price]],""),"")</f>
        <v/>
      </c>
      <c r="T692" s="271" t="str">
        <f ca="1">IFERROR(IF(AND(($N$3&lt;&gt;""),INDIRECT(Aux!$D$1)),VLOOKUP(Table1[[#This Row],[Product code]],Aux!B:E,4,FALSE),""),"")</f>
        <v/>
      </c>
      <c r="U692" s="148" t="str">
        <f>IFERROR(IF(OR(Table1[[#This Row],[Quantity]]&lt;&gt;"",Table1[[#This Row],[ACT_Qty]]&lt;&gt;""),Table1[[#This Row],[ACT_Qty]]-Table1[[#This Row],[Quantity]],""),"")</f>
        <v/>
      </c>
      <c r="V692" s="46"/>
      <c r="W692" s="46"/>
      <c r="X692" s="46"/>
    </row>
    <row r="693" spans="1:24">
      <c r="A693" s="143" t="str">
        <f t="shared" si="41"/>
        <v>AKH12345</v>
      </c>
      <c r="B693" s="231"/>
      <c r="C693" s="120"/>
      <c r="D693" s="121"/>
      <c r="E693" s="122"/>
      <c r="F693" s="121"/>
      <c r="G693" s="122"/>
      <c r="H693" s="119"/>
      <c r="I693" s="123"/>
      <c r="J693" s="119"/>
      <c r="K693" s="119"/>
      <c r="L693" s="232"/>
      <c r="M693" s="145" t="str">
        <f t="shared" si="40"/>
        <v>OneCo Networks AS</v>
      </c>
      <c r="N69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3" s="268" t="str">
        <f ca="1">IFERROR(IF(
OR(Table1[[#This Row],[Product category]]="Service items",Table1[[#This Row],[Product category]]="Additional services",Table1[[#This Row],[Product category]]="Additional materials"),
"NOK",IF(($N$3&lt;&gt;""),VLOOKUP(Table1[[#This Row],[Product code]],INDIRECT(Aux!$A$1),6,FALSE),"")),"")</f>
        <v/>
      </c>
      <c r="P693" s="41" t="str">
        <f ca="1">IFERROR(IF(AND(Table1[[#This Row],[Quantity]]&lt;&gt;"",Table1[[#This Row],[Currency]]="NOK"),Table1[[#This Row],[Quantity]]*Table1[[#This Row],[Unit Price]],""),"")</f>
        <v/>
      </c>
      <c r="Q693" s="41" t="str">
        <f ca="1">IFERROR(IF(AND(Table1[[#This Row],[ACT_Qty]]&lt;&gt;"",Table1[[#This Row],[Currency]]="NOK"),Table1[[#This Row],[ACT_Qty]]*Table1[[#This Row],[Unit Price]],""),"")</f>
        <v/>
      </c>
      <c r="R693" s="41" t="str">
        <f ca="1">IFERROR(IF(AND(Table1[[#This Row],[Quantity]]&lt;&gt;"",Table1[[#This Row],[Currency]]="EUR"),Table1[[#This Row],[Quantity]]*Table1[[#This Row],[Unit Price]],""),"")</f>
        <v/>
      </c>
      <c r="S693" s="41" t="str">
        <f ca="1">IFERROR(IF(AND(Table1[[#This Row],[ACT_Qty]]&lt;&gt;"",Table1[[#This Row],[Currency]]="EUR"),Table1[[#This Row],[ACT_Qty]]*Table1[[#This Row],[Unit Price]],""),"")</f>
        <v/>
      </c>
      <c r="T693" s="269" t="str">
        <f ca="1">IFERROR(IF(AND(($N$3&lt;&gt;""),INDIRECT(Aux!$D$1)),VLOOKUP(Table1[[#This Row],[Product code]],Aux!B:E,4,FALSE),""),"")</f>
        <v/>
      </c>
      <c r="U693" s="145" t="str">
        <f>IFERROR(IF(OR(Table1[[#This Row],[Quantity]]&lt;&gt;"",Table1[[#This Row],[ACT_Qty]]&lt;&gt;""),Table1[[#This Row],[ACT_Qty]]-Table1[[#This Row],[Quantity]],""),"")</f>
        <v/>
      </c>
      <c r="V693" s="45"/>
      <c r="W693" s="45"/>
      <c r="X693" s="45"/>
    </row>
    <row r="694" spans="1:24">
      <c r="A694" s="233" t="str">
        <f t="shared" si="41"/>
        <v>AKH12345</v>
      </c>
      <c r="B694" s="80"/>
      <c r="C694" s="81"/>
      <c r="D694" s="73"/>
      <c r="E694" s="90"/>
      <c r="F694" s="73"/>
      <c r="G694" s="90"/>
      <c r="H694" s="82"/>
      <c r="I694" s="83"/>
      <c r="J694" s="82"/>
      <c r="K694" s="82"/>
      <c r="L694" s="84"/>
      <c r="M694" s="148" t="str">
        <f t="shared" si="40"/>
        <v>OneCo Networks AS</v>
      </c>
      <c r="N69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4" s="270" t="str">
        <f ca="1">IFERROR(IF(
OR(Table1[[#This Row],[Product category]]="Service items",Table1[[#This Row],[Product category]]="Additional services",Table1[[#This Row],[Product category]]="Additional materials"),
"NOK",IF(($N$3&lt;&gt;""),VLOOKUP(Table1[[#This Row],[Product code]],INDIRECT(Aux!$A$1),6,FALSE),"")),"")</f>
        <v/>
      </c>
      <c r="P694" s="43" t="str">
        <f ca="1">IFERROR(IF(AND(Table1[[#This Row],[Quantity]]&lt;&gt;"",Table1[[#This Row],[Currency]]="NOK"),Table1[[#This Row],[Quantity]]*Table1[[#This Row],[Unit Price]],""),"")</f>
        <v/>
      </c>
      <c r="Q694" s="43" t="str">
        <f ca="1">IFERROR(IF(AND(Table1[[#This Row],[ACT_Qty]]&lt;&gt;"",Table1[[#This Row],[Currency]]="NOK"),Table1[[#This Row],[ACT_Qty]]*Table1[[#This Row],[Unit Price]],""),"")</f>
        <v/>
      </c>
      <c r="R694" s="43" t="str">
        <f ca="1">IFERROR(IF(AND(Table1[[#This Row],[Quantity]]&lt;&gt;"",Table1[[#This Row],[Currency]]="EUR"),Table1[[#This Row],[Quantity]]*Table1[[#This Row],[Unit Price]],""),"")</f>
        <v/>
      </c>
      <c r="S694" s="43" t="str">
        <f ca="1">IFERROR(IF(AND(Table1[[#This Row],[ACT_Qty]]&lt;&gt;"",Table1[[#This Row],[Currency]]="EUR"),Table1[[#This Row],[ACT_Qty]]*Table1[[#This Row],[Unit Price]],""),"")</f>
        <v/>
      </c>
      <c r="T694" s="271" t="str">
        <f ca="1">IFERROR(IF(AND(($N$3&lt;&gt;""),INDIRECT(Aux!$D$1)),VLOOKUP(Table1[[#This Row],[Product code]],Aux!B:E,4,FALSE),""),"")</f>
        <v/>
      </c>
      <c r="U694" s="148" t="str">
        <f>IFERROR(IF(OR(Table1[[#This Row],[Quantity]]&lt;&gt;"",Table1[[#This Row],[ACT_Qty]]&lt;&gt;""),Table1[[#This Row],[ACT_Qty]]-Table1[[#This Row],[Quantity]],""),"")</f>
        <v/>
      </c>
      <c r="V694" s="46"/>
      <c r="W694" s="46"/>
      <c r="X694" s="46"/>
    </row>
    <row r="695" spans="1:24">
      <c r="A695" s="143" t="str">
        <f t="shared" si="41"/>
        <v>AKH12345</v>
      </c>
      <c r="B695" s="231"/>
      <c r="C695" s="120"/>
      <c r="D695" s="121"/>
      <c r="E695" s="122"/>
      <c r="F695" s="121"/>
      <c r="G695" s="122"/>
      <c r="H695" s="119"/>
      <c r="I695" s="123"/>
      <c r="J695" s="119"/>
      <c r="K695" s="119"/>
      <c r="L695" s="232"/>
      <c r="M695" s="145" t="str">
        <f t="shared" si="40"/>
        <v>OneCo Networks AS</v>
      </c>
      <c r="N69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5" s="268" t="str">
        <f ca="1">IFERROR(IF(
OR(Table1[[#This Row],[Product category]]="Service items",Table1[[#This Row],[Product category]]="Additional services",Table1[[#This Row],[Product category]]="Additional materials"),
"NOK",IF(($N$3&lt;&gt;""),VLOOKUP(Table1[[#This Row],[Product code]],INDIRECT(Aux!$A$1),6,FALSE),"")),"")</f>
        <v/>
      </c>
      <c r="P695" s="41" t="str">
        <f ca="1">IFERROR(IF(AND(Table1[[#This Row],[Quantity]]&lt;&gt;"",Table1[[#This Row],[Currency]]="NOK"),Table1[[#This Row],[Quantity]]*Table1[[#This Row],[Unit Price]],""),"")</f>
        <v/>
      </c>
      <c r="Q695" s="41" t="str">
        <f ca="1">IFERROR(IF(AND(Table1[[#This Row],[ACT_Qty]]&lt;&gt;"",Table1[[#This Row],[Currency]]="NOK"),Table1[[#This Row],[ACT_Qty]]*Table1[[#This Row],[Unit Price]],""),"")</f>
        <v/>
      </c>
      <c r="R695" s="41" t="str">
        <f ca="1">IFERROR(IF(AND(Table1[[#This Row],[Quantity]]&lt;&gt;"",Table1[[#This Row],[Currency]]="EUR"),Table1[[#This Row],[Quantity]]*Table1[[#This Row],[Unit Price]],""),"")</f>
        <v/>
      </c>
      <c r="S695" s="41" t="str">
        <f ca="1">IFERROR(IF(AND(Table1[[#This Row],[ACT_Qty]]&lt;&gt;"",Table1[[#This Row],[Currency]]="EUR"),Table1[[#This Row],[ACT_Qty]]*Table1[[#This Row],[Unit Price]],""),"")</f>
        <v/>
      </c>
      <c r="T695" s="269" t="str">
        <f ca="1">IFERROR(IF(AND(($N$3&lt;&gt;""),INDIRECT(Aux!$D$1)),VLOOKUP(Table1[[#This Row],[Product code]],Aux!B:E,4,FALSE),""),"")</f>
        <v/>
      </c>
      <c r="U695" s="145" t="str">
        <f>IFERROR(IF(OR(Table1[[#This Row],[Quantity]]&lt;&gt;"",Table1[[#This Row],[ACT_Qty]]&lt;&gt;""),Table1[[#This Row],[ACT_Qty]]-Table1[[#This Row],[Quantity]],""),"")</f>
        <v/>
      </c>
      <c r="V695" s="45"/>
      <c r="W695" s="45"/>
      <c r="X695" s="45"/>
    </row>
    <row r="696" spans="1:24">
      <c r="A696" s="233" t="str">
        <f t="shared" si="41"/>
        <v>AKH12345</v>
      </c>
      <c r="B696" s="80"/>
      <c r="C696" s="81"/>
      <c r="D696" s="73"/>
      <c r="E696" s="90"/>
      <c r="F696" s="73"/>
      <c r="G696" s="90"/>
      <c r="H696" s="82"/>
      <c r="I696" s="83"/>
      <c r="J696" s="82"/>
      <c r="K696" s="82"/>
      <c r="L696" s="84"/>
      <c r="M696" s="148" t="str">
        <f t="shared" si="40"/>
        <v>OneCo Networks AS</v>
      </c>
      <c r="N69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6" s="270" t="str">
        <f ca="1">IFERROR(IF(
OR(Table1[[#This Row],[Product category]]="Service items",Table1[[#This Row],[Product category]]="Additional services",Table1[[#This Row],[Product category]]="Additional materials"),
"NOK",IF(($N$3&lt;&gt;""),VLOOKUP(Table1[[#This Row],[Product code]],INDIRECT(Aux!$A$1),6,FALSE),"")),"")</f>
        <v/>
      </c>
      <c r="P696" s="43" t="str">
        <f ca="1">IFERROR(IF(AND(Table1[[#This Row],[Quantity]]&lt;&gt;"",Table1[[#This Row],[Currency]]="NOK"),Table1[[#This Row],[Quantity]]*Table1[[#This Row],[Unit Price]],""),"")</f>
        <v/>
      </c>
      <c r="Q696" s="43" t="str">
        <f ca="1">IFERROR(IF(AND(Table1[[#This Row],[ACT_Qty]]&lt;&gt;"",Table1[[#This Row],[Currency]]="NOK"),Table1[[#This Row],[ACT_Qty]]*Table1[[#This Row],[Unit Price]],""),"")</f>
        <v/>
      </c>
      <c r="R696" s="43" t="str">
        <f ca="1">IFERROR(IF(AND(Table1[[#This Row],[Quantity]]&lt;&gt;"",Table1[[#This Row],[Currency]]="EUR"),Table1[[#This Row],[Quantity]]*Table1[[#This Row],[Unit Price]],""),"")</f>
        <v/>
      </c>
      <c r="S696" s="43" t="str">
        <f ca="1">IFERROR(IF(AND(Table1[[#This Row],[ACT_Qty]]&lt;&gt;"",Table1[[#This Row],[Currency]]="EUR"),Table1[[#This Row],[ACT_Qty]]*Table1[[#This Row],[Unit Price]],""),"")</f>
        <v/>
      </c>
      <c r="T696" s="271" t="str">
        <f ca="1">IFERROR(IF(AND(($N$3&lt;&gt;""),INDIRECT(Aux!$D$1)),VLOOKUP(Table1[[#This Row],[Product code]],Aux!B:E,4,FALSE),""),"")</f>
        <v/>
      </c>
      <c r="U696" s="148" t="str">
        <f>IFERROR(IF(OR(Table1[[#This Row],[Quantity]]&lt;&gt;"",Table1[[#This Row],[ACT_Qty]]&lt;&gt;""),Table1[[#This Row],[ACT_Qty]]-Table1[[#This Row],[Quantity]],""),"")</f>
        <v/>
      </c>
      <c r="V696" s="46"/>
      <c r="W696" s="46"/>
      <c r="X696" s="46"/>
    </row>
    <row r="697" spans="1:24">
      <c r="A697" s="143" t="str">
        <f t="shared" si="41"/>
        <v>AKH12345</v>
      </c>
      <c r="B697" s="231"/>
      <c r="C697" s="120"/>
      <c r="D697" s="121"/>
      <c r="E697" s="122"/>
      <c r="F697" s="121"/>
      <c r="G697" s="122"/>
      <c r="H697" s="119"/>
      <c r="I697" s="123"/>
      <c r="J697" s="119"/>
      <c r="K697" s="119"/>
      <c r="L697" s="232"/>
      <c r="M697" s="145" t="str">
        <f t="shared" si="40"/>
        <v>OneCo Networks AS</v>
      </c>
      <c r="N69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7" s="268" t="str">
        <f ca="1">IFERROR(IF(
OR(Table1[[#This Row],[Product category]]="Service items",Table1[[#This Row],[Product category]]="Additional services",Table1[[#This Row],[Product category]]="Additional materials"),
"NOK",IF(($N$3&lt;&gt;""),VLOOKUP(Table1[[#This Row],[Product code]],INDIRECT(Aux!$A$1),6,FALSE),"")),"")</f>
        <v/>
      </c>
      <c r="P697" s="41" t="str">
        <f ca="1">IFERROR(IF(AND(Table1[[#This Row],[Quantity]]&lt;&gt;"",Table1[[#This Row],[Currency]]="NOK"),Table1[[#This Row],[Quantity]]*Table1[[#This Row],[Unit Price]],""),"")</f>
        <v/>
      </c>
      <c r="Q697" s="41" t="str">
        <f ca="1">IFERROR(IF(AND(Table1[[#This Row],[ACT_Qty]]&lt;&gt;"",Table1[[#This Row],[Currency]]="NOK"),Table1[[#This Row],[ACT_Qty]]*Table1[[#This Row],[Unit Price]],""),"")</f>
        <v/>
      </c>
      <c r="R697" s="41" t="str">
        <f ca="1">IFERROR(IF(AND(Table1[[#This Row],[Quantity]]&lt;&gt;"",Table1[[#This Row],[Currency]]="EUR"),Table1[[#This Row],[Quantity]]*Table1[[#This Row],[Unit Price]],""),"")</f>
        <v/>
      </c>
      <c r="S697" s="41" t="str">
        <f ca="1">IFERROR(IF(AND(Table1[[#This Row],[ACT_Qty]]&lt;&gt;"",Table1[[#This Row],[Currency]]="EUR"),Table1[[#This Row],[ACT_Qty]]*Table1[[#This Row],[Unit Price]],""),"")</f>
        <v/>
      </c>
      <c r="T697" s="269" t="str">
        <f ca="1">IFERROR(IF(AND(($N$3&lt;&gt;""),INDIRECT(Aux!$D$1)),VLOOKUP(Table1[[#This Row],[Product code]],Aux!B:E,4,FALSE),""),"")</f>
        <v/>
      </c>
      <c r="U697" s="145" t="str">
        <f>IFERROR(IF(OR(Table1[[#This Row],[Quantity]]&lt;&gt;"",Table1[[#This Row],[ACT_Qty]]&lt;&gt;""),Table1[[#This Row],[ACT_Qty]]-Table1[[#This Row],[Quantity]],""),"")</f>
        <v/>
      </c>
      <c r="V697" s="45"/>
      <c r="W697" s="45"/>
      <c r="X697" s="45"/>
    </row>
    <row r="698" spans="1:24">
      <c r="A698" s="233" t="str">
        <f t="shared" si="41"/>
        <v>AKH12345</v>
      </c>
      <c r="B698" s="80"/>
      <c r="C698" s="81"/>
      <c r="D698" s="73"/>
      <c r="E698" s="90"/>
      <c r="F698" s="73"/>
      <c r="G698" s="90"/>
      <c r="H698" s="82"/>
      <c r="I698" s="83"/>
      <c r="J698" s="82"/>
      <c r="K698" s="82"/>
      <c r="L698" s="84"/>
      <c r="M698" s="148" t="str">
        <f t="shared" si="40"/>
        <v>OneCo Networks AS</v>
      </c>
      <c r="N69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8" s="270" t="str">
        <f ca="1">IFERROR(IF(
OR(Table1[[#This Row],[Product category]]="Service items",Table1[[#This Row],[Product category]]="Additional services",Table1[[#This Row],[Product category]]="Additional materials"),
"NOK",IF(($N$3&lt;&gt;""),VLOOKUP(Table1[[#This Row],[Product code]],INDIRECT(Aux!$A$1),6,FALSE),"")),"")</f>
        <v/>
      </c>
      <c r="P698" s="43" t="str">
        <f ca="1">IFERROR(IF(AND(Table1[[#This Row],[Quantity]]&lt;&gt;"",Table1[[#This Row],[Currency]]="NOK"),Table1[[#This Row],[Quantity]]*Table1[[#This Row],[Unit Price]],""),"")</f>
        <v/>
      </c>
      <c r="Q698" s="43" t="str">
        <f ca="1">IFERROR(IF(AND(Table1[[#This Row],[ACT_Qty]]&lt;&gt;"",Table1[[#This Row],[Currency]]="NOK"),Table1[[#This Row],[ACT_Qty]]*Table1[[#This Row],[Unit Price]],""),"")</f>
        <v/>
      </c>
      <c r="R698" s="43" t="str">
        <f ca="1">IFERROR(IF(AND(Table1[[#This Row],[Quantity]]&lt;&gt;"",Table1[[#This Row],[Currency]]="EUR"),Table1[[#This Row],[Quantity]]*Table1[[#This Row],[Unit Price]],""),"")</f>
        <v/>
      </c>
      <c r="S698" s="43" t="str">
        <f ca="1">IFERROR(IF(AND(Table1[[#This Row],[ACT_Qty]]&lt;&gt;"",Table1[[#This Row],[Currency]]="EUR"),Table1[[#This Row],[ACT_Qty]]*Table1[[#This Row],[Unit Price]],""),"")</f>
        <v/>
      </c>
      <c r="T698" s="271" t="str">
        <f ca="1">IFERROR(IF(AND(($N$3&lt;&gt;""),INDIRECT(Aux!$D$1)),VLOOKUP(Table1[[#This Row],[Product code]],Aux!B:E,4,FALSE),""),"")</f>
        <v/>
      </c>
      <c r="U698" s="148" t="str">
        <f>IFERROR(IF(OR(Table1[[#This Row],[Quantity]]&lt;&gt;"",Table1[[#This Row],[ACT_Qty]]&lt;&gt;""),Table1[[#This Row],[ACT_Qty]]-Table1[[#This Row],[Quantity]],""),"")</f>
        <v/>
      </c>
      <c r="V698" s="46"/>
      <c r="W698" s="46"/>
      <c r="X698" s="46"/>
    </row>
    <row r="699" spans="1:24">
      <c r="A699" s="143" t="str">
        <f t="shared" si="41"/>
        <v>AKH12345</v>
      </c>
      <c r="B699" s="231"/>
      <c r="C699" s="120"/>
      <c r="D699" s="121"/>
      <c r="E699" s="122"/>
      <c r="F699" s="121"/>
      <c r="G699" s="122"/>
      <c r="H699" s="119"/>
      <c r="I699" s="123"/>
      <c r="J699" s="119"/>
      <c r="K699" s="119"/>
      <c r="L699" s="232"/>
      <c r="M699" s="145" t="str">
        <f t="shared" si="40"/>
        <v>OneCo Networks AS</v>
      </c>
      <c r="N69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699" s="268" t="str">
        <f ca="1">IFERROR(IF(
OR(Table1[[#This Row],[Product category]]="Service items",Table1[[#This Row],[Product category]]="Additional services",Table1[[#This Row],[Product category]]="Additional materials"),
"NOK",IF(($N$3&lt;&gt;""),VLOOKUP(Table1[[#This Row],[Product code]],INDIRECT(Aux!$A$1),6,FALSE),"")),"")</f>
        <v/>
      </c>
      <c r="P699" s="41" t="str">
        <f ca="1">IFERROR(IF(AND(Table1[[#This Row],[Quantity]]&lt;&gt;"",Table1[[#This Row],[Currency]]="NOK"),Table1[[#This Row],[Quantity]]*Table1[[#This Row],[Unit Price]],""),"")</f>
        <v/>
      </c>
      <c r="Q699" s="41" t="str">
        <f ca="1">IFERROR(IF(AND(Table1[[#This Row],[ACT_Qty]]&lt;&gt;"",Table1[[#This Row],[Currency]]="NOK"),Table1[[#This Row],[ACT_Qty]]*Table1[[#This Row],[Unit Price]],""),"")</f>
        <v/>
      </c>
      <c r="R699" s="41" t="str">
        <f ca="1">IFERROR(IF(AND(Table1[[#This Row],[Quantity]]&lt;&gt;"",Table1[[#This Row],[Currency]]="EUR"),Table1[[#This Row],[Quantity]]*Table1[[#This Row],[Unit Price]],""),"")</f>
        <v/>
      </c>
      <c r="S699" s="41" t="str">
        <f ca="1">IFERROR(IF(AND(Table1[[#This Row],[ACT_Qty]]&lt;&gt;"",Table1[[#This Row],[Currency]]="EUR"),Table1[[#This Row],[ACT_Qty]]*Table1[[#This Row],[Unit Price]],""),"")</f>
        <v/>
      </c>
      <c r="T699" s="269" t="str">
        <f ca="1">IFERROR(IF(AND(($N$3&lt;&gt;""),INDIRECT(Aux!$D$1)),VLOOKUP(Table1[[#This Row],[Product code]],Aux!B:E,4,FALSE),""),"")</f>
        <v/>
      </c>
      <c r="U699" s="145" t="str">
        <f>IFERROR(IF(OR(Table1[[#This Row],[Quantity]]&lt;&gt;"",Table1[[#This Row],[ACT_Qty]]&lt;&gt;""),Table1[[#This Row],[ACT_Qty]]-Table1[[#This Row],[Quantity]],""),"")</f>
        <v/>
      </c>
      <c r="V699" s="45"/>
      <c r="W699" s="45"/>
      <c r="X699" s="45"/>
    </row>
    <row r="700" spans="1:24">
      <c r="A700" s="233" t="str">
        <f t="shared" si="41"/>
        <v>AKH12345</v>
      </c>
      <c r="B700" s="80"/>
      <c r="C700" s="81"/>
      <c r="D700" s="73"/>
      <c r="E700" s="90"/>
      <c r="F700" s="73"/>
      <c r="G700" s="90"/>
      <c r="H700" s="82"/>
      <c r="I700" s="83"/>
      <c r="J700" s="82"/>
      <c r="K700" s="82"/>
      <c r="L700" s="84"/>
      <c r="M700" s="148" t="str">
        <f t="shared" si="40"/>
        <v>OneCo Networks AS</v>
      </c>
      <c r="N70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0" s="270" t="str">
        <f ca="1">IFERROR(IF(
OR(Table1[[#This Row],[Product category]]="Service items",Table1[[#This Row],[Product category]]="Additional services",Table1[[#This Row],[Product category]]="Additional materials"),
"NOK",IF(($N$3&lt;&gt;""),VLOOKUP(Table1[[#This Row],[Product code]],INDIRECT(Aux!$A$1),6,FALSE),"")),"")</f>
        <v/>
      </c>
      <c r="P700" s="43" t="str">
        <f ca="1">IFERROR(IF(AND(Table1[[#This Row],[Quantity]]&lt;&gt;"",Table1[[#This Row],[Currency]]="NOK"),Table1[[#This Row],[Quantity]]*Table1[[#This Row],[Unit Price]],""),"")</f>
        <v/>
      </c>
      <c r="Q700" s="43" t="str">
        <f ca="1">IFERROR(IF(AND(Table1[[#This Row],[ACT_Qty]]&lt;&gt;"",Table1[[#This Row],[Currency]]="NOK"),Table1[[#This Row],[ACT_Qty]]*Table1[[#This Row],[Unit Price]],""),"")</f>
        <v/>
      </c>
      <c r="R700" s="43" t="str">
        <f ca="1">IFERROR(IF(AND(Table1[[#This Row],[Quantity]]&lt;&gt;"",Table1[[#This Row],[Currency]]="EUR"),Table1[[#This Row],[Quantity]]*Table1[[#This Row],[Unit Price]],""),"")</f>
        <v/>
      </c>
      <c r="S700" s="43" t="str">
        <f ca="1">IFERROR(IF(AND(Table1[[#This Row],[ACT_Qty]]&lt;&gt;"",Table1[[#This Row],[Currency]]="EUR"),Table1[[#This Row],[ACT_Qty]]*Table1[[#This Row],[Unit Price]],""),"")</f>
        <v/>
      </c>
      <c r="T700" s="271" t="str">
        <f ca="1">IFERROR(IF(AND(($N$3&lt;&gt;""),INDIRECT(Aux!$D$1)),VLOOKUP(Table1[[#This Row],[Product code]],Aux!B:E,4,FALSE),""),"")</f>
        <v/>
      </c>
      <c r="U700" s="148" t="str">
        <f>IFERROR(IF(OR(Table1[[#This Row],[Quantity]]&lt;&gt;"",Table1[[#This Row],[ACT_Qty]]&lt;&gt;""),Table1[[#This Row],[ACT_Qty]]-Table1[[#This Row],[Quantity]],""),"")</f>
        <v/>
      </c>
      <c r="V700" s="46"/>
      <c r="W700" s="46"/>
      <c r="X700" s="46"/>
    </row>
    <row r="701" spans="1:24">
      <c r="A701" s="143" t="str">
        <f t="shared" si="41"/>
        <v>AKH12345</v>
      </c>
      <c r="B701" s="231"/>
      <c r="C701" s="120"/>
      <c r="D701" s="121"/>
      <c r="E701" s="122"/>
      <c r="F701" s="121"/>
      <c r="G701" s="122"/>
      <c r="H701" s="119"/>
      <c r="I701" s="123"/>
      <c r="J701" s="119"/>
      <c r="K701" s="119"/>
      <c r="L701" s="232"/>
      <c r="M701" s="145" t="str">
        <f t="shared" si="40"/>
        <v>OneCo Networks AS</v>
      </c>
      <c r="N70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1" s="268" t="str">
        <f ca="1">IFERROR(IF(
OR(Table1[[#This Row],[Product category]]="Service items",Table1[[#This Row],[Product category]]="Additional services",Table1[[#This Row],[Product category]]="Additional materials"),
"NOK",IF(($N$3&lt;&gt;""),VLOOKUP(Table1[[#This Row],[Product code]],INDIRECT(Aux!$A$1),6,FALSE),"")),"")</f>
        <v/>
      </c>
      <c r="P701" s="41" t="str">
        <f ca="1">IFERROR(IF(AND(Table1[[#This Row],[Quantity]]&lt;&gt;"",Table1[[#This Row],[Currency]]="NOK"),Table1[[#This Row],[Quantity]]*Table1[[#This Row],[Unit Price]],""),"")</f>
        <v/>
      </c>
      <c r="Q701" s="41" t="str">
        <f ca="1">IFERROR(IF(AND(Table1[[#This Row],[ACT_Qty]]&lt;&gt;"",Table1[[#This Row],[Currency]]="NOK"),Table1[[#This Row],[ACT_Qty]]*Table1[[#This Row],[Unit Price]],""),"")</f>
        <v/>
      </c>
      <c r="R701" s="41" t="str">
        <f ca="1">IFERROR(IF(AND(Table1[[#This Row],[Quantity]]&lt;&gt;"",Table1[[#This Row],[Currency]]="EUR"),Table1[[#This Row],[Quantity]]*Table1[[#This Row],[Unit Price]],""),"")</f>
        <v/>
      </c>
      <c r="S701" s="41" t="str">
        <f ca="1">IFERROR(IF(AND(Table1[[#This Row],[ACT_Qty]]&lt;&gt;"",Table1[[#This Row],[Currency]]="EUR"),Table1[[#This Row],[ACT_Qty]]*Table1[[#This Row],[Unit Price]],""),"")</f>
        <v/>
      </c>
      <c r="T701" s="269" t="str">
        <f ca="1">IFERROR(IF(AND(($N$3&lt;&gt;""),INDIRECT(Aux!$D$1)),VLOOKUP(Table1[[#This Row],[Product code]],Aux!B:E,4,FALSE),""),"")</f>
        <v/>
      </c>
      <c r="U701" s="145" t="str">
        <f>IFERROR(IF(OR(Table1[[#This Row],[Quantity]]&lt;&gt;"",Table1[[#This Row],[ACT_Qty]]&lt;&gt;""),Table1[[#This Row],[ACT_Qty]]-Table1[[#This Row],[Quantity]],""),"")</f>
        <v/>
      </c>
      <c r="V701" s="45"/>
      <c r="W701" s="45"/>
      <c r="X701" s="45"/>
    </row>
    <row r="702" spans="1:24">
      <c r="A702" s="233" t="str">
        <f t="shared" si="41"/>
        <v>AKH12345</v>
      </c>
      <c r="B702" s="80"/>
      <c r="C702" s="81"/>
      <c r="D702" s="73"/>
      <c r="E702" s="90"/>
      <c r="F702" s="73"/>
      <c r="G702" s="90"/>
      <c r="H702" s="82"/>
      <c r="I702" s="83"/>
      <c r="J702" s="82"/>
      <c r="K702" s="82"/>
      <c r="L702" s="84"/>
      <c r="M702" s="148" t="str">
        <f t="shared" si="40"/>
        <v>OneCo Networks AS</v>
      </c>
      <c r="N70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2" s="270" t="str">
        <f ca="1">IFERROR(IF(
OR(Table1[[#This Row],[Product category]]="Service items",Table1[[#This Row],[Product category]]="Additional services",Table1[[#This Row],[Product category]]="Additional materials"),
"NOK",IF(($N$3&lt;&gt;""),VLOOKUP(Table1[[#This Row],[Product code]],INDIRECT(Aux!$A$1),6,FALSE),"")),"")</f>
        <v/>
      </c>
      <c r="P702" s="43" t="str">
        <f ca="1">IFERROR(IF(AND(Table1[[#This Row],[Quantity]]&lt;&gt;"",Table1[[#This Row],[Currency]]="NOK"),Table1[[#This Row],[Quantity]]*Table1[[#This Row],[Unit Price]],""),"")</f>
        <v/>
      </c>
      <c r="Q702" s="43" t="str">
        <f ca="1">IFERROR(IF(AND(Table1[[#This Row],[ACT_Qty]]&lt;&gt;"",Table1[[#This Row],[Currency]]="NOK"),Table1[[#This Row],[ACT_Qty]]*Table1[[#This Row],[Unit Price]],""),"")</f>
        <v/>
      </c>
      <c r="R702" s="43" t="str">
        <f ca="1">IFERROR(IF(AND(Table1[[#This Row],[Quantity]]&lt;&gt;"",Table1[[#This Row],[Currency]]="EUR"),Table1[[#This Row],[Quantity]]*Table1[[#This Row],[Unit Price]],""),"")</f>
        <v/>
      </c>
      <c r="S702" s="43" t="str">
        <f ca="1">IFERROR(IF(AND(Table1[[#This Row],[ACT_Qty]]&lt;&gt;"",Table1[[#This Row],[Currency]]="EUR"),Table1[[#This Row],[ACT_Qty]]*Table1[[#This Row],[Unit Price]],""),"")</f>
        <v/>
      </c>
      <c r="T702" s="271" t="str">
        <f ca="1">IFERROR(IF(AND(($N$3&lt;&gt;""),INDIRECT(Aux!$D$1)),VLOOKUP(Table1[[#This Row],[Product code]],Aux!B:E,4,FALSE),""),"")</f>
        <v/>
      </c>
      <c r="U702" s="148" t="str">
        <f>IFERROR(IF(OR(Table1[[#This Row],[Quantity]]&lt;&gt;"",Table1[[#This Row],[ACT_Qty]]&lt;&gt;""),Table1[[#This Row],[ACT_Qty]]-Table1[[#This Row],[Quantity]],""),"")</f>
        <v/>
      </c>
      <c r="V702" s="46"/>
      <c r="W702" s="46"/>
      <c r="X702" s="46"/>
    </row>
    <row r="703" spans="1:24">
      <c r="A703" s="143" t="str">
        <f t="shared" si="41"/>
        <v>AKH12345</v>
      </c>
      <c r="B703" s="231"/>
      <c r="C703" s="120"/>
      <c r="D703" s="121"/>
      <c r="E703" s="122"/>
      <c r="F703" s="121"/>
      <c r="G703" s="122"/>
      <c r="H703" s="119"/>
      <c r="I703" s="123"/>
      <c r="J703" s="119"/>
      <c r="K703" s="119"/>
      <c r="L703" s="232"/>
      <c r="M703" s="145" t="str">
        <f t="shared" si="40"/>
        <v>OneCo Networks AS</v>
      </c>
      <c r="N70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3" s="268" t="str">
        <f ca="1">IFERROR(IF(
OR(Table1[[#This Row],[Product category]]="Service items",Table1[[#This Row],[Product category]]="Additional services",Table1[[#This Row],[Product category]]="Additional materials"),
"NOK",IF(($N$3&lt;&gt;""),VLOOKUP(Table1[[#This Row],[Product code]],INDIRECT(Aux!$A$1),6,FALSE),"")),"")</f>
        <v/>
      </c>
      <c r="P703" s="41" t="str">
        <f ca="1">IFERROR(IF(AND(Table1[[#This Row],[Quantity]]&lt;&gt;"",Table1[[#This Row],[Currency]]="NOK"),Table1[[#This Row],[Quantity]]*Table1[[#This Row],[Unit Price]],""),"")</f>
        <v/>
      </c>
      <c r="Q703" s="41" t="str">
        <f ca="1">IFERROR(IF(AND(Table1[[#This Row],[ACT_Qty]]&lt;&gt;"",Table1[[#This Row],[Currency]]="NOK"),Table1[[#This Row],[ACT_Qty]]*Table1[[#This Row],[Unit Price]],""),"")</f>
        <v/>
      </c>
      <c r="R703" s="41" t="str">
        <f ca="1">IFERROR(IF(AND(Table1[[#This Row],[Quantity]]&lt;&gt;"",Table1[[#This Row],[Currency]]="EUR"),Table1[[#This Row],[Quantity]]*Table1[[#This Row],[Unit Price]],""),"")</f>
        <v/>
      </c>
      <c r="S703" s="41" t="str">
        <f ca="1">IFERROR(IF(AND(Table1[[#This Row],[ACT_Qty]]&lt;&gt;"",Table1[[#This Row],[Currency]]="EUR"),Table1[[#This Row],[ACT_Qty]]*Table1[[#This Row],[Unit Price]],""),"")</f>
        <v/>
      </c>
      <c r="T703" s="269" t="str">
        <f ca="1">IFERROR(IF(AND(($N$3&lt;&gt;""),INDIRECT(Aux!$D$1)),VLOOKUP(Table1[[#This Row],[Product code]],Aux!B:E,4,FALSE),""),"")</f>
        <v/>
      </c>
      <c r="U703" s="145" t="str">
        <f>IFERROR(IF(OR(Table1[[#This Row],[Quantity]]&lt;&gt;"",Table1[[#This Row],[ACT_Qty]]&lt;&gt;""),Table1[[#This Row],[ACT_Qty]]-Table1[[#This Row],[Quantity]],""),"")</f>
        <v/>
      </c>
      <c r="V703" s="45"/>
      <c r="W703" s="45"/>
      <c r="X703" s="45"/>
    </row>
    <row r="704" spans="1:24">
      <c r="A704" s="233" t="str">
        <f t="shared" si="41"/>
        <v>AKH12345</v>
      </c>
      <c r="B704" s="80"/>
      <c r="C704" s="81"/>
      <c r="D704" s="73"/>
      <c r="E704" s="90"/>
      <c r="F704" s="73"/>
      <c r="G704" s="90"/>
      <c r="H704" s="82"/>
      <c r="I704" s="83"/>
      <c r="J704" s="82"/>
      <c r="K704" s="82"/>
      <c r="L704" s="84"/>
      <c r="M704" s="148" t="str">
        <f t="shared" si="40"/>
        <v>OneCo Networks AS</v>
      </c>
      <c r="N70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4" s="270" t="str">
        <f ca="1">IFERROR(IF(
OR(Table1[[#This Row],[Product category]]="Service items",Table1[[#This Row],[Product category]]="Additional services",Table1[[#This Row],[Product category]]="Additional materials"),
"NOK",IF(($N$3&lt;&gt;""),VLOOKUP(Table1[[#This Row],[Product code]],INDIRECT(Aux!$A$1),6,FALSE),"")),"")</f>
        <v/>
      </c>
      <c r="P704" s="43" t="str">
        <f ca="1">IFERROR(IF(AND(Table1[[#This Row],[Quantity]]&lt;&gt;"",Table1[[#This Row],[Currency]]="NOK"),Table1[[#This Row],[Quantity]]*Table1[[#This Row],[Unit Price]],""),"")</f>
        <v/>
      </c>
      <c r="Q704" s="43" t="str">
        <f ca="1">IFERROR(IF(AND(Table1[[#This Row],[ACT_Qty]]&lt;&gt;"",Table1[[#This Row],[Currency]]="NOK"),Table1[[#This Row],[ACT_Qty]]*Table1[[#This Row],[Unit Price]],""),"")</f>
        <v/>
      </c>
      <c r="R704" s="43" t="str">
        <f ca="1">IFERROR(IF(AND(Table1[[#This Row],[Quantity]]&lt;&gt;"",Table1[[#This Row],[Currency]]="EUR"),Table1[[#This Row],[Quantity]]*Table1[[#This Row],[Unit Price]],""),"")</f>
        <v/>
      </c>
      <c r="S704" s="43" t="str">
        <f ca="1">IFERROR(IF(AND(Table1[[#This Row],[ACT_Qty]]&lt;&gt;"",Table1[[#This Row],[Currency]]="EUR"),Table1[[#This Row],[ACT_Qty]]*Table1[[#This Row],[Unit Price]],""),"")</f>
        <v/>
      </c>
      <c r="T704" s="271" t="str">
        <f ca="1">IFERROR(IF(AND(($N$3&lt;&gt;""),INDIRECT(Aux!$D$1)),VLOOKUP(Table1[[#This Row],[Product code]],Aux!B:E,4,FALSE),""),"")</f>
        <v/>
      </c>
      <c r="U704" s="148" t="str">
        <f>IFERROR(IF(OR(Table1[[#This Row],[Quantity]]&lt;&gt;"",Table1[[#This Row],[ACT_Qty]]&lt;&gt;""),Table1[[#This Row],[ACT_Qty]]-Table1[[#This Row],[Quantity]],""),"")</f>
        <v/>
      </c>
      <c r="V704" s="46"/>
      <c r="W704" s="46"/>
      <c r="X704" s="46"/>
    </row>
    <row r="705" spans="1:24">
      <c r="A705" s="143" t="str">
        <f t="shared" si="41"/>
        <v>AKH12345</v>
      </c>
      <c r="B705" s="231"/>
      <c r="C705" s="120"/>
      <c r="D705" s="121"/>
      <c r="E705" s="122"/>
      <c r="F705" s="121"/>
      <c r="G705" s="122"/>
      <c r="H705" s="119"/>
      <c r="I705" s="123"/>
      <c r="J705" s="119"/>
      <c r="K705" s="119"/>
      <c r="L705" s="232"/>
      <c r="M705" s="145" t="str">
        <f t="shared" si="40"/>
        <v>OneCo Networks AS</v>
      </c>
      <c r="N70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5" s="268" t="str">
        <f ca="1">IFERROR(IF(
OR(Table1[[#This Row],[Product category]]="Service items",Table1[[#This Row],[Product category]]="Additional services",Table1[[#This Row],[Product category]]="Additional materials"),
"NOK",IF(($N$3&lt;&gt;""),VLOOKUP(Table1[[#This Row],[Product code]],INDIRECT(Aux!$A$1),6,FALSE),"")),"")</f>
        <v/>
      </c>
      <c r="P705" s="41" t="str">
        <f ca="1">IFERROR(IF(AND(Table1[[#This Row],[Quantity]]&lt;&gt;"",Table1[[#This Row],[Currency]]="NOK"),Table1[[#This Row],[Quantity]]*Table1[[#This Row],[Unit Price]],""),"")</f>
        <v/>
      </c>
      <c r="Q705" s="41" t="str">
        <f ca="1">IFERROR(IF(AND(Table1[[#This Row],[ACT_Qty]]&lt;&gt;"",Table1[[#This Row],[Currency]]="NOK"),Table1[[#This Row],[ACT_Qty]]*Table1[[#This Row],[Unit Price]],""),"")</f>
        <v/>
      </c>
      <c r="R705" s="41" t="str">
        <f ca="1">IFERROR(IF(AND(Table1[[#This Row],[Quantity]]&lt;&gt;"",Table1[[#This Row],[Currency]]="EUR"),Table1[[#This Row],[Quantity]]*Table1[[#This Row],[Unit Price]],""),"")</f>
        <v/>
      </c>
      <c r="S705" s="41" t="str">
        <f ca="1">IFERROR(IF(AND(Table1[[#This Row],[ACT_Qty]]&lt;&gt;"",Table1[[#This Row],[Currency]]="EUR"),Table1[[#This Row],[ACT_Qty]]*Table1[[#This Row],[Unit Price]],""),"")</f>
        <v/>
      </c>
      <c r="T705" s="269" t="str">
        <f ca="1">IFERROR(IF(AND(($N$3&lt;&gt;""),INDIRECT(Aux!$D$1)),VLOOKUP(Table1[[#This Row],[Product code]],Aux!B:E,4,FALSE),""),"")</f>
        <v/>
      </c>
      <c r="U705" s="145" t="str">
        <f>IFERROR(IF(OR(Table1[[#This Row],[Quantity]]&lt;&gt;"",Table1[[#This Row],[ACT_Qty]]&lt;&gt;""),Table1[[#This Row],[ACT_Qty]]-Table1[[#This Row],[Quantity]],""),"")</f>
        <v/>
      </c>
      <c r="V705" s="45"/>
      <c r="W705" s="45"/>
      <c r="X705" s="45"/>
    </row>
    <row r="706" spans="1:24">
      <c r="A706" s="233" t="str">
        <f t="shared" si="41"/>
        <v>AKH12345</v>
      </c>
      <c r="B706" s="80"/>
      <c r="C706" s="81"/>
      <c r="D706" s="73"/>
      <c r="E706" s="90"/>
      <c r="F706" s="73"/>
      <c r="G706" s="90"/>
      <c r="H706" s="82"/>
      <c r="I706" s="83"/>
      <c r="J706" s="82"/>
      <c r="K706" s="82"/>
      <c r="L706" s="84"/>
      <c r="M706" s="148" t="str">
        <f t="shared" si="40"/>
        <v>OneCo Networks AS</v>
      </c>
      <c r="N70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6" s="270" t="str">
        <f ca="1">IFERROR(IF(
OR(Table1[[#This Row],[Product category]]="Service items",Table1[[#This Row],[Product category]]="Additional services",Table1[[#This Row],[Product category]]="Additional materials"),
"NOK",IF(($N$3&lt;&gt;""),VLOOKUP(Table1[[#This Row],[Product code]],INDIRECT(Aux!$A$1),6,FALSE),"")),"")</f>
        <v/>
      </c>
      <c r="P706" s="43" t="str">
        <f ca="1">IFERROR(IF(AND(Table1[[#This Row],[Quantity]]&lt;&gt;"",Table1[[#This Row],[Currency]]="NOK"),Table1[[#This Row],[Quantity]]*Table1[[#This Row],[Unit Price]],""),"")</f>
        <v/>
      </c>
      <c r="Q706" s="43" t="str">
        <f ca="1">IFERROR(IF(AND(Table1[[#This Row],[ACT_Qty]]&lt;&gt;"",Table1[[#This Row],[Currency]]="NOK"),Table1[[#This Row],[ACT_Qty]]*Table1[[#This Row],[Unit Price]],""),"")</f>
        <v/>
      </c>
      <c r="R706" s="43" t="str">
        <f ca="1">IFERROR(IF(AND(Table1[[#This Row],[Quantity]]&lt;&gt;"",Table1[[#This Row],[Currency]]="EUR"),Table1[[#This Row],[Quantity]]*Table1[[#This Row],[Unit Price]],""),"")</f>
        <v/>
      </c>
      <c r="S706" s="43" t="str">
        <f ca="1">IFERROR(IF(AND(Table1[[#This Row],[ACT_Qty]]&lt;&gt;"",Table1[[#This Row],[Currency]]="EUR"),Table1[[#This Row],[ACT_Qty]]*Table1[[#This Row],[Unit Price]],""),"")</f>
        <v/>
      </c>
      <c r="T706" s="271" t="str">
        <f ca="1">IFERROR(IF(AND(($N$3&lt;&gt;""),INDIRECT(Aux!$D$1)),VLOOKUP(Table1[[#This Row],[Product code]],Aux!B:E,4,FALSE),""),"")</f>
        <v/>
      </c>
      <c r="U706" s="148" t="str">
        <f>IFERROR(IF(OR(Table1[[#This Row],[Quantity]]&lt;&gt;"",Table1[[#This Row],[ACT_Qty]]&lt;&gt;""),Table1[[#This Row],[ACT_Qty]]-Table1[[#This Row],[Quantity]],""),"")</f>
        <v/>
      </c>
      <c r="V706" s="46"/>
      <c r="W706" s="46"/>
      <c r="X706" s="46"/>
    </row>
    <row r="707" spans="1:24">
      <c r="A707" s="143" t="str">
        <f t="shared" si="41"/>
        <v>AKH12345</v>
      </c>
      <c r="B707" s="231"/>
      <c r="C707" s="120"/>
      <c r="D707" s="121"/>
      <c r="E707" s="122"/>
      <c r="F707" s="121"/>
      <c r="G707" s="122"/>
      <c r="H707" s="119"/>
      <c r="I707" s="123"/>
      <c r="J707" s="119"/>
      <c r="K707" s="119"/>
      <c r="L707" s="232"/>
      <c r="M707" s="145" t="str">
        <f t="shared" si="40"/>
        <v>OneCo Networks AS</v>
      </c>
      <c r="N70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7" s="268" t="str">
        <f ca="1">IFERROR(IF(
OR(Table1[[#This Row],[Product category]]="Service items",Table1[[#This Row],[Product category]]="Additional services",Table1[[#This Row],[Product category]]="Additional materials"),
"NOK",IF(($N$3&lt;&gt;""),VLOOKUP(Table1[[#This Row],[Product code]],INDIRECT(Aux!$A$1),6,FALSE),"")),"")</f>
        <v/>
      </c>
      <c r="P707" s="41" t="str">
        <f ca="1">IFERROR(IF(AND(Table1[[#This Row],[Quantity]]&lt;&gt;"",Table1[[#This Row],[Currency]]="NOK"),Table1[[#This Row],[Quantity]]*Table1[[#This Row],[Unit Price]],""),"")</f>
        <v/>
      </c>
      <c r="Q707" s="41" t="str">
        <f ca="1">IFERROR(IF(AND(Table1[[#This Row],[ACT_Qty]]&lt;&gt;"",Table1[[#This Row],[Currency]]="NOK"),Table1[[#This Row],[ACT_Qty]]*Table1[[#This Row],[Unit Price]],""),"")</f>
        <v/>
      </c>
      <c r="R707" s="41" t="str">
        <f ca="1">IFERROR(IF(AND(Table1[[#This Row],[Quantity]]&lt;&gt;"",Table1[[#This Row],[Currency]]="EUR"),Table1[[#This Row],[Quantity]]*Table1[[#This Row],[Unit Price]],""),"")</f>
        <v/>
      </c>
      <c r="S707" s="41" t="str">
        <f ca="1">IFERROR(IF(AND(Table1[[#This Row],[ACT_Qty]]&lt;&gt;"",Table1[[#This Row],[Currency]]="EUR"),Table1[[#This Row],[ACT_Qty]]*Table1[[#This Row],[Unit Price]],""),"")</f>
        <v/>
      </c>
      <c r="T707" s="269" t="str">
        <f ca="1">IFERROR(IF(AND(($N$3&lt;&gt;""),INDIRECT(Aux!$D$1)),VLOOKUP(Table1[[#This Row],[Product code]],Aux!B:E,4,FALSE),""),"")</f>
        <v/>
      </c>
      <c r="U707" s="145" t="str">
        <f>IFERROR(IF(OR(Table1[[#This Row],[Quantity]]&lt;&gt;"",Table1[[#This Row],[ACT_Qty]]&lt;&gt;""),Table1[[#This Row],[ACT_Qty]]-Table1[[#This Row],[Quantity]],""),"")</f>
        <v/>
      </c>
      <c r="V707" s="45"/>
      <c r="W707" s="45"/>
      <c r="X707" s="45"/>
    </row>
    <row r="708" spans="1:24">
      <c r="A708" s="233" t="str">
        <f t="shared" si="41"/>
        <v>AKH12345</v>
      </c>
      <c r="B708" s="80"/>
      <c r="C708" s="81"/>
      <c r="D708" s="73"/>
      <c r="E708" s="90"/>
      <c r="F708" s="73"/>
      <c r="G708" s="90"/>
      <c r="H708" s="82"/>
      <c r="I708" s="83"/>
      <c r="J708" s="82"/>
      <c r="K708" s="82"/>
      <c r="L708" s="84"/>
      <c r="M708" s="148" t="str">
        <f t="shared" si="40"/>
        <v>OneCo Networks AS</v>
      </c>
      <c r="N70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8" s="270" t="str">
        <f ca="1">IFERROR(IF(
OR(Table1[[#This Row],[Product category]]="Service items",Table1[[#This Row],[Product category]]="Additional services",Table1[[#This Row],[Product category]]="Additional materials"),
"NOK",IF(($N$3&lt;&gt;""),VLOOKUP(Table1[[#This Row],[Product code]],INDIRECT(Aux!$A$1),6,FALSE),"")),"")</f>
        <v/>
      </c>
      <c r="P708" s="43" t="str">
        <f ca="1">IFERROR(IF(AND(Table1[[#This Row],[Quantity]]&lt;&gt;"",Table1[[#This Row],[Currency]]="NOK"),Table1[[#This Row],[Quantity]]*Table1[[#This Row],[Unit Price]],""),"")</f>
        <v/>
      </c>
      <c r="Q708" s="43" t="str">
        <f ca="1">IFERROR(IF(AND(Table1[[#This Row],[ACT_Qty]]&lt;&gt;"",Table1[[#This Row],[Currency]]="NOK"),Table1[[#This Row],[ACT_Qty]]*Table1[[#This Row],[Unit Price]],""),"")</f>
        <v/>
      </c>
      <c r="R708" s="43" t="str">
        <f ca="1">IFERROR(IF(AND(Table1[[#This Row],[Quantity]]&lt;&gt;"",Table1[[#This Row],[Currency]]="EUR"),Table1[[#This Row],[Quantity]]*Table1[[#This Row],[Unit Price]],""),"")</f>
        <v/>
      </c>
      <c r="S708" s="43" t="str">
        <f ca="1">IFERROR(IF(AND(Table1[[#This Row],[ACT_Qty]]&lt;&gt;"",Table1[[#This Row],[Currency]]="EUR"),Table1[[#This Row],[ACT_Qty]]*Table1[[#This Row],[Unit Price]],""),"")</f>
        <v/>
      </c>
      <c r="T708" s="271" t="str">
        <f ca="1">IFERROR(IF(AND(($N$3&lt;&gt;""),INDIRECT(Aux!$D$1)),VLOOKUP(Table1[[#This Row],[Product code]],Aux!B:E,4,FALSE),""),"")</f>
        <v/>
      </c>
      <c r="U708" s="148" t="str">
        <f>IFERROR(IF(OR(Table1[[#This Row],[Quantity]]&lt;&gt;"",Table1[[#This Row],[ACT_Qty]]&lt;&gt;""),Table1[[#This Row],[ACT_Qty]]-Table1[[#This Row],[Quantity]],""),"")</f>
        <v/>
      </c>
      <c r="V708" s="46"/>
      <c r="W708" s="46"/>
      <c r="X708" s="46"/>
    </row>
    <row r="709" spans="1:24">
      <c r="A709" s="143" t="str">
        <f t="shared" si="41"/>
        <v>AKH12345</v>
      </c>
      <c r="B709" s="231"/>
      <c r="C709" s="120"/>
      <c r="D709" s="121"/>
      <c r="E709" s="122"/>
      <c r="F709" s="121"/>
      <c r="G709" s="122"/>
      <c r="H709" s="119"/>
      <c r="I709" s="123"/>
      <c r="J709" s="119"/>
      <c r="K709" s="119"/>
      <c r="L709" s="232"/>
      <c r="M709" s="145" t="str">
        <f t="shared" si="40"/>
        <v>OneCo Networks AS</v>
      </c>
      <c r="N70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09" s="268" t="str">
        <f ca="1">IFERROR(IF(
OR(Table1[[#This Row],[Product category]]="Service items",Table1[[#This Row],[Product category]]="Additional services",Table1[[#This Row],[Product category]]="Additional materials"),
"NOK",IF(($N$3&lt;&gt;""),VLOOKUP(Table1[[#This Row],[Product code]],INDIRECT(Aux!$A$1),6,FALSE),"")),"")</f>
        <v/>
      </c>
      <c r="P709" s="41" t="str">
        <f ca="1">IFERROR(IF(AND(Table1[[#This Row],[Quantity]]&lt;&gt;"",Table1[[#This Row],[Currency]]="NOK"),Table1[[#This Row],[Quantity]]*Table1[[#This Row],[Unit Price]],""),"")</f>
        <v/>
      </c>
      <c r="Q709" s="41" t="str">
        <f ca="1">IFERROR(IF(AND(Table1[[#This Row],[ACT_Qty]]&lt;&gt;"",Table1[[#This Row],[Currency]]="NOK"),Table1[[#This Row],[ACT_Qty]]*Table1[[#This Row],[Unit Price]],""),"")</f>
        <v/>
      </c>
      <c r="R709" s="41" t="str">
        <f ca="1">IFERROR(IF(AND(Table1[[#This Row],[Quantity]]&lt;&gt;"",Table1[[#This Row],[Currency]]="EUR"),Table1[[#This Row],[Quantity]]*Table1[[#This Row],[Unit Price]],""),"")</f>
        <v/>
      </c>
      <c r="S709" s="41" t="str">
        <f ca="1">IFERROR(IF(AND(Table1[[#This Row],[ACT_Qty]]&lt;&gt;"",Table1[[#This Row],[Currency]]="EUR"),Table1[[#This Row],[ACT_Qty]]*Table1[[#This Row],[Unit Price]],""),"")</f>
        <v/>
      </c>
      <c r="T709" s="269" t="str">
        <f ca="1">IFERROR(IF(AND(($N$3&lt;&gt;""),INDIRECT(Aux!$D$1)),VLOOKUP(Table1[[#This Row],[Product code]],Aux!B:E,4,FALSE),""),"")</f>
        <v/>
      </c>
      <c r="U709" s="145" t="str">
        <f>IFERROR(IF(OR(Table1[[#This Row],[Quantity]]&lt;&gt;"",Table1[[#This Row],[ACT_Qty]]&lt;&gt;""),Table1[[#This Row],[ACT_Qty]]-Table1[[#This Row],[Quantity]],""),"")</f>
        <v/>
      </c>
      <c r="V709" s="45"/>
      <c r="W709" s="45"/>
      <c r="X709" s="45"/>
    </row>
    <row r="710" spans="1:24">
      <c r="A710" s="233" t="str">
        <f t="shared" si="41"/>
        <v>AKH12345</v>
      </c>
      <c r="B710" s="80"/>
      <c r="C710" s="81"/>
      <c r="D710" s="73"/>
      <c r="E710" s="90"/>
      <c r="F710" s="73"/>
      <c r="G710" s="90"/>
      <c r="H710" s="82"/>
      <c r="I710" s="83"/>
      <c r="J710" s="82"/>
      <c r="K710" s="82"/>
      <c r="L710" s="84"/>
      <c r="M710" s="148" t="str">
        <f t="shared" si="40"/>
        <v>OneCo Networks AS</v>
      </c>
      <c r="N71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0" s="270" t="str">
        <f ca="1">IFERROR(IF(
OR(Table1[[#This Row],[Product category]]="Service items",Table1[[#This Row],[Product category]]="Additional services",Table1[[#This Row],[Product category]]="Additional materials"),
"NOK",IF(($N$3&lt;&gt;""),VLOOKUP(Table1[[#This Row],[Product code]],INDIRECT(Aux!$A$1),6,FALSE),"")),"")</f>
        <v/>
      </c>
      <c r="P710" s="43" t="str">
        <f ca="1">IFERROR(IF(AND(Table1[[#This Row],[Quantity]]&lt;&gt;"",Table1[[#This Row],[Currency]]="NOK"),Table1[[#This Row],[Quantity]]*Table1[[#This Row],[Unit Price]],""),"")</f>
        <v/>
      </c>
      <c r="Q710" s="43" t="str">
        <f ca="1">IFERROR(IF(AND(Table1[[#This Row],[ACT_Qty]]&lt;&gt;"",Table1[[#This Row],[Currency]]="NOK"),Table1[[#This Row],[ACT_Qty]]*Table1[[#This Row],[Unit Price]],""),"")</f>
        <v/>
      </c>
      <c r="R710" s="43" t="str">
        <f ca="1">IFERROR(IF(AND(Table1[[#This Row],[Quantity]]&lt;&gt;"",Table1[[#This Row],[Currency]]="EUR"),Table1[[#This Row],[Quantity]]*Table1[[#This Row],[Unit Price]],""),"")</f>
        <v/>
      </c>
      <c r="S710" s="43" t="str">
        <f ca="1">IFERROR(IF(AND(Table1[[#This Row],[ACT_Qty]]&lt;&gt;"",Table1[[#This Row],[Currency]]="EUR"),Table1[[#This Row],[ACT_Qty]]*Table1[[#This Row],[Unit Price]],""),"")</f>
        <v/>
      </c>
      <c r="T710" s="271" t="str">
        <f ca="1">IFERROR(IF(AND(($N$3&lt;&gt;""),INDIRECT(Aux!$D$1)),VLOOKUP(Table1[[#This Row],[Product code]],Aux!B:E,4,FALSE),""),"")</f>
        <v/>
      </c>
      <c r="U710" s="148" t="str">
        <f>IFERROR(IF(OR(Table1[[#This Row],[Quantity]]&lt;&gt;"",Table1[[#This Row],[ACT_Qty]]&lt;&gt;""),Table1[[#This Row],[ACT_Qty]]-Table1[[#This Row],[Quantity]],""),"")</f>
        <v/>
      </c>
      <c r="V710" s="46"/>
      <c r="W710" s="46"/>
      <c r="X710" s="46"/>
    </row>
    <row r="711" spans="1:24">
      <c r="A711" s="143" t="str">
        <f t="shared" si="41"/>
        <v>AKH12345</v>
      </c>
      <c r="B711" s="231"/>
      <c r="C711" s="120"/>
      <c r="D711" s="121"/>
      <c r="E711" s="122"/>
      <c r="F711" s="121"/>
      <c r="G711" s="122"/>
      <c r="H711" s="119"/>
      <c r="I711" s="123"/>
      <c r="J711" s="119"/>
      <c r="K711" s="119"/>
      <c r="L711" s="232"/>
      <c r="M711" s="145" t="str">
        <f t="shared" si="40"/>
        <v>OneCo Networks AS</v>
      </c>
      <c r="N71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1" s="268" t="str">
        <f ca="1">IFERROR(IF(
OR(Table1[[#This Row],[Product category]]="Service items",Table1[[#This Row],[Product category]]="Additional services",Table1[[#This Row],[Product category]]="Additional materials"),
"NOK",IF(($N$3&lt;&gt;""),VLOOKUP(Table1[[#This Row],[Product code]],INDIRECT(Aux!$A$1),6,FALSE),"")),"")</f>
        <v/>
      </c>
      <c r="P711" s="41" t="str">
        <f ca="1">IFERROR(IF(AND(Table1[[#This Row],[Quantity]]&lt;&gt;"",Table1[[#This Row],[Currency]]="NOK"),Table1[[#This Row],[Quantity]]*Table1[[#This Row],[Unit Price]],""),"")</f>
        <v/>
      </c>
      <c r="Q711" s="41" t="str">
        <f ca="1">IFERROR(IF(AND(Table1[[#This Row],[ACT_Qty]]&lt;&gt;"",Table1[[#This Row],[Currency]]="NOK"),Table1[[#This Row],[ACT_Qty]]*Table1[[#This Row],[Unit Price]],""),"")</f>
        <v/>
      </c>
      <c r="R711" s="41" t="str">
        <f ca="1">IFERROR(IF(AND(Table1[[#This Row],[Quantity]]&lt;&gt;"",Table1[[#This Row],[Currency]]="EUR"),Table1[[#This Row],[Quantity]]*Table1[[#This Row],[Unit Price]],""),"")</f>
        <v/>
      </c>
      <c r="S711" s="41" t="str">
        <f ca="1">IFERROR(IF(AND(Table1[[#This Row],[ACT_Qty]]&lt;&gt;"",Table1[[#This Row],[Currency]]="EUR"),Table1[[#This Row],[ACT_Qty]]*Table1[[#This Row],[Unit Price]],""),"")</f>
        <v/>
      </c>
      <c r="T711" s="269" t="str">
        <f ca="1">IFERROR(IF(AND(($N$3&lt;&gt;""),INDIRECT(Aux!$D$1)),VLOOKUP(Table1[[#This Row],[Product code]],Aux!B:E,4,FALSE),""),"")</f>
        <v/>
      </c>
      <c r="U711" s="145" t="str">
        <f>IFERROR(IF(OR(Table1[[#This Row],[Quantity]]&lt;&gt;"",Table1[[#This Row],[ACT_Qty]]&lt;&gt;""),Table1[[#This Row],[ACT_Qty]]-Table1[[#This Row],[Quantity]],""),"")</f>
        <v/>
      </c>
      <c r="V711" s="45"/>
      <c r="W711" s="45"/>
      <c r="X711" s="45"/>
    </row>
    <row r="712" spans="1:24">
      <c r="A712" s="233" t="str">
        <f t="shared" si="41"/>
        <v>AKH12345</v>
      </c>
      <c r="B712" s="80"/>
      <c r="C712" s="81"/>
      <c r="D712" s="73"/>
      <c r="E712" s="90"/>
      <c r="F712" s="73"/>
      <c r="G712" s="90"/>
      <c r="H712" s="82"/>
      <c r="I712" s="83"/>
      <c r="J712" s="82"/>
      <c r="K712" s="82"/>
      <c r="L712" s="84"/>
      <c r="M712" s="148" t="str">
        <f t="shared" si="40"/>
        <v>OneCo Networks AS</v>
      </c>
      <c r="N71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2" s="270" t="str">
        <f ca="1">IFERROR(IF(
OR(Table1[[#This Row],[Product category]]="Service items",Table1[[#This Row],[Product category]]="Additional services",Table1[[#This Row],[Product category]]="Additional materials"),
"NOK",IF(($N$3&lt;&gt;""),VLOOKUP(Table1[[#This Row],[Product code]],INDIRECT(Aux!$A$1),6,FALSE),"")),"")</f>
        <v/>
      </c>
      <c r="P712" s="43" t="str">
        <f ca="1">IFERROR(IF(AND(Table1[[#This Row],[Quantity]]&lt;&gt;"",Table1[[#This Row],[Currency]]="NOK"),Table1[[#This Row],[Quantity]]*Table1[[#This Row],[Unit Price]],""),"")</f>
        <v/>
      </c>
      <c r="Q712" s="43" t="str">
        <f ca="1">IFERROR(IF(AND(Table1[[#This Row],[ACT_Qty]]&lt;&gt;"",Table1[[#This Row],[Currency]]="NOK"),Table1[[#This Row],[ACT_Qty]]*Table1[[#This Row],[Unit Price]],""),"")</f>
        <v/>
      </c>
      <c r="R712" s="43" t="str">
        <f ca="1">IFERROR(IF(AND(Table1[[#This Row],[Quantity]]&lt;&gt;"",Table1[[#This Row],[Currency]]="EUR"),Table1[[#This Row],[Quantity]]*Table1[[#This Row],[Unit Price]],""),"")</f>
        <v/>
      </c>
      <c r="S712" s="43" t="str">
        <f ca="1">IFERROR(IF(AND(Table1[[#This Row],[ACT_Qty]]&lt;&gt;"",Table1[[#This Row],[Currency]]="EUR"),Table1[[#This Row],[ACT_Qty]]*Table1[[#This Row],[Unit Price]],""),"")</f>
        <v/>
      </c>
      <c r="T712" s="271" t="str">
        <f ca="1">IFERROR(IF(AND(($N$3&lt;&gt;""),INDIRECT(Aux!$D$1)),VLOOKUP(Table1[[#This Row],[Product code]],Aux!B:E,4,FALSE),""),"")</f>
        <v/>
      </c>
      <c r="U712" s="148" t="str">
        <f>IFERROR(IF(OR(Table1[[#This Row],[Quantity]]&lt;&gt;"",Table1[[#This Row],[ACT_Qty]]&lt;&gt;""),Table1[[#This Row],[ACT_Qty]]-Table1[[#This Row],[Quantity]],""),"")</f>
        <v/>
      </c>
      <c r="V712" s="46"/>
      <c r="W712" s="46"/>
      <c r="X712" s="46"/>
    </row>
    <row r="713" spans="1:24">
      <c r="A713" s="143" t="str">
        <f t="shared" si="41"/>
        <v>AKH12345</v>
      </c>
      <c r="B713" s="231"/>
      <c r="C713" s="120"/>
      <c r="D713" s="121"/>
      <c r="E713" s="122"/>
      <c r="F713" s="121"/>
      <c r="G713" s="122"/>
      <c r="H713" s="119"/>
      <c r="I713" s="123"/>
      <c r="J713" s="119"/>
      <c r="K713" s="119"/>
      <c r="L713" s="232"/>
      <c r="M713" s="145" t="str">
        <f t="shared" si="40"/>
        <v>OneCo Networks AS</v>
      </c>
      <c r="N71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3" s="268" t="str">
        <f ca="1">IFERROR(IF(
OR(Table1[[#This Row],[Product category]]="Service items",Table1[[#This Row],[Product category]]="Additional services",Table1[[#This Row],[Product category]]="Additional materials"),
"NOK",IF(($N$3&lt;&gt;""),VLOOKUP(Table1[[#This Row],[Product code]],INDIRECT(Aux!$A$1),6,FALSE),"")),"")</f>
        <v/>
      </c>
      <c r="P713" s="41" t="str">
        <f ca="1">IFERROR(IF(AND(Table1[[#This Row],[Quantity]]&lt;&gt;"",Table1[[#This Row],[Currency]]="NOK"),Table1[[#This Row],[Quantity]]*Table1[[#This Row],[Unit Price]],""),"")</f>
        <v/>
      </c>
      <c r="Q713" s="41" t="str">
        <f ca="1">IFERROR(IF(AND(Table1[[#This Row],[ACT_Qty]]&lt;&gt;"",Table1[[#This Row],[Currency]]="NOK"),Table1[[#This Row],[ACT_Qty]]*Table1[[#This Row],[Unit Price]],""),"")</f>
        <v/>
      </c>
      <c r="R713" s="41" t="str">
        <f ca="1">IFERROR(IF(AND(Table1[[#This Row],[Quantity]]&lt;&gt;"",Table1[[#This Row],[Currency]]="EUR"),Table1[[#This Row],[Quantity]]*Table1[[#This Row],[Unit Price]],""),"")</f>
        <v/>
      </c>
      <c r="S713" s="41" t="str">
        <f ca="1">IFERROR(IF(AND(Table1[[#This Row],[ACT_Qty]]&lt;&gt;"",Table1[[#This Row],[Currency]]="EUR"),Table1[[#This Row],[ACT_Qty]]*Table1[[#This Row],[Unit Price]],""),"")</f>
        <v/>
      </c>
      <c r="T713" s="269" t="str">
        <f ca="1">IFERROR(IF(AND(($N$3&lt;&gt;""),INDIRECT(Aux!$D$1)),VLOOKUP(Table1[[#This Row],[Product code]],Aux!B:E,4,FALSE),""),"")</f>
        <v/>
      </c>
      <c r="U713" s="145" t="str">
        <f>IFERROR(IF(OR(Table1[[#This Row],[Quantity]]&lt;&gt;"",Table1[[#This Row],[ACT_Qty]]&lt;&gt;""),Table1[[#This Row],[ACT_Qty]]-Table1[[#This Row],[Quantity]],""),"")</f>
        <v/>
      </c>
      <c r="V713" s="45"/>
      <c r="W713" s="45"/>
      <c r="X713" s="45"/>
    </row>
    <row r="714" spans="1:24">
      <c r="A714" s="233" t="str">
        <f t="shared" si="41"/>
        <v>AKH12345</v>
      </c>
      <c r="B714" s="80"/>
      <c r="C714" s="81"/>
      <c r="D714" s="73"/>
      <c r="E714" s="90"/>
      <c r="F714" s="73"/>
      <c r="G714" s="90"/>
      <c r="H714" s="82"/>
      <c r="I714" s="83"/>
      <c r="J714" s="82"/>
      <c r="K714" s="82"/>
      <c r="L714" s="84"/>
      <c r="M714" s="148" t="str">
        <f t="shared" si="40"/>
        <v>OneCo Networks AS</v>
      </c>
      <c r="N71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4" s="270" t="str">
        <f ca="1">IFERROR(IF(
OR(Table1[[#This Row],[Product category]]="Service items",Table1[[#This Row],[Product category]]="Additional services",Table1[[#This Row],[Product category]]="Additional materials"),
"NOK",IF(($N$3&lt;&gt;""),VLOOKUP(Table1[[#This Row],[Product code]],INDIRECT(Aux!$A$1),6,FALSE),"")),"")</f>
        <v/>
      </c>
      <c r="P714" s="43" t="str">
        <f ca="1">IFERROR(IF(AND(Table1[[#This Row],[Quantity]]&lt;&gt;"",Table1[[#This Row],[Currency]]="NOK"),Table1[[#This Row],[Quantity]]*Table1[[#This Row],[Unit Price]],""),"")</f>
        <v/>
      </c>
      <c r="Q714" s="43" t="str">
        <f ca="1">IFERROR(IF(AND(Table1[[#This Row],[ACT_Qty]]&lt;&gt;"",Table1[[#This Row],[Currency]]="NOK"),Table1[[#This Row],[ACT_Qty]]*Table1[[#This Row],[Unit Price]],""),"")</f>
        <v/>
      </c>
      <c r="R714" s="43" t="str">
        <f ca="1">IFERROR(IF(AND(Table1[[#This Row],[Quantity]]&lt;&gt;"",Table1[[#This Row],[Currency]]="EUR"),Table1[[#This Row],[Quantity]]*Table1[[#This Row],[Unit Price]],""),"")</f>
        <v/>
      </c>
      <c r="S714" s="43" t="str">
        <f ca="1">IFERROR(IF(AND(Table1[[#This Row],[ACT_Qty]]&lt;&gt;"",Table1[[#This Row],[Currency]]="EUR"),Table1[[#This Row],[ACT_Qty]]*Table1[[#This Row],[Unit Price]],""),"")</f>
        <v/>
      </c>
      <c r="T714" s="271" t="str">
        <f ca="1">IFERROR(IF(AND(($N$3&lt;&gt;""),INDIRECT(Aux!$D$1)),VLOOKUP(Table1[[#This Row],[Product code]],Aux!B:E,4,FALSE),""),"")</f>
        <v/>
      </c>
      <c r="U714" s="148" t="str">
        <f>IFERROR(IF(OR(Table1[[#This Row],[Quantity]]&lt;&gt;"",Table1[[#This Row],[ACT_Qty]]&lt;&gt;""),Table1[[#This Row],[ACT_Qty]]-Table1[[#This Row],[Quantity]],""),"")</f>
        <v/>
      </c>
      <c r="V714" s="46"/>
      <c r="W714" s="46"/>
      <c r="X714" s="46"/>
    </row>
    <row r="715" spans="1:24">
      <c r="A715" s="143" t="str">
        <f t="shared" si="41"/>
        <v>AKH12345</v>
      </c>
      <c r="B715" s="231"/>
      <c r="C715" s="120"/>
      <c r="D715" s="121"/>
      <c r="E715" s="122"/>
      <c r="F715" s="121"/>
      <c r="G715" s="122"/>
      <c r="H715" s="119"/>
      <c r="I715" s="123"/>
      <c r="J715" s="119"/>
      <c r="K715" s="119"/>
      <c r="L715" s="232"/>
      <c r="M715" s="145" t="str">
        <f t="shared" si="40"/>
        <v>OneCo Networks AS</v>
      </c>
      <c r="N71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5" s="268" t="str">
        <f ca="1">IFERROR(IF(
OR(Table1[[#This Row],[Product category]]="Service items",Table1[[#This Row],[Product category]]="Additional services",Table1[[#This Row],[Product category]]="Additional materials"),
"NOK",IF(($N$3&lt;&gt;""),VLOOKUP(Table1[[#This Row],[Product code]],INDIRECT(Aux!$A$1),6,FALSE),"")),"")</f>
        <v/>
      </c>
      <c r="P715" s="41" t="str">
        <f ca="1">IFERROR(IF(AND(Table1[[#This Row],[Quantity]]&lt;&gt;"",Table1[[#This Row],[Currency]]="NOK"),Table1[[#This Row],[Quantity]]*Table1[[#This Row],[Unit Price]],""),"")</f>
        <v/>
      </c>
      <c r="Q715" s="41" t="str">
        <f ca="1">IFERROR(IF(AND(Table1[[#This Row],[ACT_Qty]]&lt;&gt;"",Table1[[#This Row],[Currency]]="NOK"),Table1[[#This Row],[ACT_Qty]]*Table1[[#This Row],[Unit Price]],""),"")</f>
        <v/>
      </c>
      <c r="R715" s="41" t="str">
        <f ca="1">IFERROR(IF(AND(Table1[[#This Row],[Quantity]]&lt;&gt;"",Table1[[#This Row],[Currency]]="EUR"),Table1[[#This Row],[Quantity]]*Table1[[#This Row],[Unit Price]],""),"")</f>
        <v/>
      </c>
      <c r="S715" s="41" t="str">
        <f ca="1">IFERROR(IF(AND(Table1[[#This Row],[ACT_Qty]]&lt;&gt;"",Table1[[#This Row],[Currency]]="EUR"),Table1[[#This Row],[ACT_Qty]]*Table1[[#This Row],[Unit Price]],""),"")</f>
        <v/>
      </c>
      <c r="T715" s="269" t="str">
        <f ca="1">IFERROR(IF(AND(($N$3&lt;&gt;""),INDIRECT(Aux!$D$1)),VLOOKUP(Table1[[#This Row],[Product code]],Aux!B:E,4,FALSE),""),"")</f>
        <v/>
      </c>
      <c r="U715" s="145" t="str">
        <f>IFERROR(IF(OR(Table1[[#This Row],[Quantity]]&lt;&gt;"",Table1[[#This Row],[ACT_Qty]]&lt;&gt;""),Table1[[#This Row],[ACT_Qty]]-Table1[[#This Row],[Quantity]],""),"")</f>
        <v/>
      </c>
      <c r="V715" s="45"/>
      <c r="W715" s="45"/>
      <c r="X715" s="45"/>
    </row>
    <row r="716" spans="1:24">
      <c r="A716" s="233" t="str">
        <f t="shared" si="41"/>
        <v>AKH12345</v>
      </c>
      <c r="B716" s="80"/>
      <c r="C716" s="81"/>
      <c r="D716" s="73"/>
      <c r="E716" s="90"/>
      <c r="F716" s="73"/>
      <c r="G716" s="90"/>
      <c r="H716" s="82"/>
      <c r="I716" s="83"/>
      <c r="J716" s="82"/>
      <c r="K716" s="82"/>
      <c r="L716" s="84"/>
      <c r="M716" s="148" t="str">
        <f t="shared" ref="M716:M779" si="42">IF($C$3&lt;&gt;"",$C$3,"")</f>
        <v>OneCo Networks AS</v>
      </c>
      <c r="N71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6" s="270" t="str">
        <f ca="1">IFERROR(IF(
OR(Table1[[#This Row],[Product category]]="Service items",Table1[[#This Row],[Product category]]="Additional services",Table1[[#This Row],[Product category]]="Additional materials"),
"NOK",IF(($N$3&lt;&gt;""),VLOOKUP(Table1[[#This Row],[Product code]],INDIRECT(Aux!$A$1),6,FALSE),"")),"")</f>
        <v/>
      </c>
      <c r="P716" s="43" t="str">
        <f ca="1">IFERROR(IF(AND(Table1[[#This Row],[Quantity]]&lt;&gt;"",Table1[[#This Row],[Currency]]="NOK"),Table1[[#This Row],[Quantity]]*Table1[[#This Row],[Unit Price]],""),"")</f>
        <v/>
      </c>
      <c r="Q716" s="43" t="str">
        <f ca="1">IFERROR(IF(AND(Table1[[#This Row],[ACT_Qty]]&lt;&gt;"",Table1[[#This Row],[Currency]]="NOK"),Table1[[#This Row],[ACT_Qty]]*Table1[[#This Row],[Unit Price]],""),"")</f>
        <v/>
      </c>
      <c r="R716" s="43" t="str">
        <f ca="1">IFERROR(IF(AND(Table1[[#This Row],[Quantity]]&lt;&gt;"",Table1[[#This Row],[Currency]]="EUR"),Table1[[#This Row],[Quantity]]*Table1[[#This Row],[Unit Price]],""),"")</f>
        <v/>
      </c>
      <c r="S716" s="43" t="str">
        <f ca="1">IFERROR(IF(AND(Table1[[#This Row],[ACT_Qty]]&lt;&gt;"",Table1[[#This Row],[Currency]]="EUR"),Table1[[#This Row],[ACT_Qty]]*Table1[[#This Row],[Unit Price]],""),"")</f>
        <v/>
      </c>
      <c r="T716" s="271" t="str">
        <f ca="1">IFERROR(IF(AND(($N$3&lt;&gt;""),INDIRECT(Aux!$D$1)),VLOOKUP(Table1[[#This Row],[Product code]],Aux!B:E,4,FALSE),""),"")</f>
        <v/>
      </c>
      <c r="U716" s="148" t="str">
        <f>IFERROR(IF(OR(Table1[[#This Row],[Quantity]]&lt;&gt;"",Table1[[#This Row],[ACT_Qty]]&lt;&gt;""),Table1[[#This Row],[ACT_Qty]]-Table1[[#This Row],[Quantity]],""),"")</f>
        <v/>
      </c>
      <c r="V716" s="46"/>
      <c r="W716" s="46"/>
      <c r="X716" s="46"/>
    </row>
    <row r="717" spans="1:24">
      <c r="A717" s="143" t="str">
        <f t="shared" si="41"/>
        <v>AKH12345</v>
      </c>
      <c r="B717" s="231"/>
      <c r="C717" s="120"/>
      <c r="D717" s="121"/>
      <c r="E717" s="122"/>
      <c r="F717" s="121"/>
      <c r="G717" s="122"/>
      <c r="H717" s="119"/>
      <c r="I717" s="123"/>
      <c r="J717" s="119"/>
      <c r="K717" s="119"/>
      <c r="L717" s="232"/>
      <c r="M717" s="145" t="str">
        <f t="shared" si="42"/>
        <v>OneCo Networks AS</v>
      </c>
      <c r="N71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7" s="268" t="str">
        <f ca="1">IFERROR(IF(
OR(Table1[[#This Row],[Product category]]="Service items",Table1[[#This Row],[Product category]]="Additional services",Table1[[#This Row],[Product category]]="Additional materials"),
"NOK",IF(($N$3&lt;&gt;""),VLOOKUP(Table1[[#This Row],[Product code]],INDIRECT(Aux!$A$1),6,FALSE),"")),"")</f>
        <v/>
      </c>
      <c r="P717" s="41" t="str">
        <f ca="1">IFERROR(IF(AND(Table1[[#This Row],[Quantity]]&lt;&gt;"",Table1[[#This Row],[Currency]]="NOK"),Table1[[#This Row],[Quantity]]*Table1[[#This Row],[Unit Price]],""),"")</f>
        <v/>
      </c>
      <c r="Q717" s="41" t="str">
        <f ca="1">IFERROR(IF(AND(Table1[[#This Row],[ACT_Qty]]&lt;&gt;"",Table1[[#This Row],[Currency]]="NOK"),Table1[[#This Row],[ACT_Qty]]*Table1[[#This Row],[Unit Price]],""),"")</f>
        <v/>
      </c>
      <c r="R717" s="41" t="str">
        <f ca="1">IFERROR(IF(AND(Table1[[#This Row],[Quantity]]&lt;&gt;"",Table1[[#This Row],[Currency]]="EUR"),Table1[[#This Row],[Quantity]]*Table1[[#This Row],[Unit Price]],""),"")</f>
        <v/>
      </c>
      <c r="S717" s="41" t="str">
        <f ca="1">IFERROR(IF(AND(Table1[[#This Row],[ACT_Qty]]&lt;&gt;"",Table1[[#This Row],[Currency]]="EUR"),Table1[[#This Row],[ACT_Qty]]*Table1[[#This Row],[Unit Price]],""),"")</f>
        <v/>
      </c>
      <c r="T717" s="269" t="str">
        <f ca="1">IFERROR(IF(AND(($N$3&lt;&gt;""),INDIRECT(Aux!$D$1)),VLOOKUP(Table1[[#This Row],[Product code]],Aux!B:E,4,FALSE),""),"")</f>
        <v/>
      </c>
      <c r="U717" s="145" t="str">
        <f>IFERROR(IF(OR(Table1[[#This Row],[Quantity]]&lt;&gt;"",Table1[[#This Row],[ACT_Qty]]&lt;&gt;""),Table1[[#This Row],[ACT_Qty]]-Table1[[#This Row],[Quantity]],""),"")</f>
        <v/>
      </c>
      <c r="V717" s="45"/>
      <c r="W717" s="45"/>
      <c r="X717" s="45"/>
    </row>
    <row r="718" spans="1:24">
      <c r="A718" s="233" t="str">
        <f t="shared" si="41"/>
        <v>AKH12345</v>
      </c>
      <c r="B718" s="80"/>
      <c r="C718" s="81"/>
      <c r="D718" s="73"/>
      <c r="E718" s="90"/>
      <c r="F718" s="73"/>
      <c r="G718" s="90"/>
      <c r="H718" s="82"/>
      <c r="I718" s="83"/>
      <c r="J718" s="82"/>
      <c r="K718" s="82"/>
      <c r="L718" s="84"/>
      <c r="M718" s="148" t="str">
        <f t="shared" si="42"/>
        <v>OneCo Networks AS</v>
      </c>
      <c r="N71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8" s="270" t="str">
        <f ca="1">IFERROR(IF(
OR(Table1[[#This Row],[Product category]]="Service items",Table1[[#This Row],[Product category]]="Additional services",Table1[[#This Row],[Product category]]="Additional materials"),
"NOK",IF(($N$3&lt;&gt;""),VLOOKUP(Table1[[#This Row],[Product code]],INDIRECT(Aux!$A$1),6,FALSE),"")),"")</f>
        <v/>
      </c>
      <c r="P718" s="43" t="str">
        <f ca="1">IFERROR(IF(AND(Table1[[#This Row],[Quantity]]&lt;&gt;"",Table1[[#This Row],[Currency]]="NOK"),Table1[[#This Row],[Quantity]]*Table1[[#This Row],[Unit Price]],""),"")</f>
        <v/>
      </c>
      <c r="Q718" s="43" t="str">
        <f ca="1">IFERROR(IF(AND(Table1[[#This Row],[ACT_Qty]]&lt;&gt;"",Table1[[#This Row],[Currency]]="NOK"),Table1[[#This Row],[ACT_Qty]]*Table1[[#This Row],[Unit Price]],""),"")</f>
        <v/>
      </c>
      <c r="R718" s="43" t="str">
        <f ca="1">IFERROR(IF(AND(Table1[[#This Row],[Quantity]]&lt;&gt;"",Table1[[#This Row],[Currency]]="EUR"),Table1[[#This Row],[Quantity]]*Table1[[#This Row],[Unit Price]],""),"")</f>
        <v/>
      </c>
      <c r="S718" s="43" t="str">
        <f ca="1">IFERROR(IF(AND(Table1[[#This Row],[ACT_Qty]]&lt;&gt;"",Table1[[#This Row],[Currency]]="EUR"),Table1[[#This Row],[ACT_Qty]]*Table1[[#This Row],[Unit Price]],""),"")</f>
        <v/>
      </c>
      <c r="T718" s="271" t="str">
        <f ca="1">IFERROR(IF(AND(($N$3&lt;&gt;""),INDIRECT(Aux!$D$1)),VLOOKUP(Table1[[#This Row],[Product code]],Aux!B:E,4,FALSE),""),"")</f>
        <v/>
      </c>
      <c r="U718" s="148" t="str">
        <f>IFERROR(IF(OR(Table1[[#This Row],[Quantity]]&lt;&gt;"",Table1[[#This Row],[ACT_Qty]]&lt;&gt;""),Table1[[#This Row],[ACT_Qty]]-Table1[[#This Row],[Quantity]],""),"")</f>
        <v/>
      </c>
      <c r="V718" s="46"/>
      <c r="W718" s="46"/>
      <c r="X718" s="46"/>
    </row>
    <row r="719" spans="1:24">
      <c r="A719" s="143" t="str">
        <f t="shared" si="41"/>
        <v>AKH12345</v>
      </c>
      <c r="B719" s="231"/>
      <c r="C719" s="120"/>
      <c r="D719" s="121"/>
      <c r="E719" s="122"/>
      <c r="F719" s="121"/>
      <c r="G719" s="122"/>
      <c r="H719" s="119"/>
      <c r="I719" s="123"/>
      <c r="J719" s="119"/>
      <c r="K719" s="119"/>
      <c r="L719" s="232"/>
      <c r="M719" s="145" t="str">
        <f t="shared" si="42"/>
        <v>OneCo Networks AS</v>
      </c>
      <c r="N71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19" s="268" t="str">
        <f ca="1">IFERROR(IF(
OR(Table1[[#This Row],[Product category]]="Service items",Table1[[#This Row],[Product category]]="Additional services",Table1[[#This Row],[Product category]]="Additional materials"),
"NOK",IF(($N$3&lt;&gt;""),VLOOKUP(Table1[[#This Row],[Product code]],INDIRECT(Aux!$A$1),6,FALSE),"")),"")</f>
        <v/>
      </c>
      <c r="P719" s="41" t="str">
        <f ca="1">IFERROR(IF(AND(Table1[[#This Row],[Quantity]]&lt;&gt;"",Table1[[#This Row],[Currency]]="NOK"),Table1[[#This Row],[Quantity]]*Table1[[#This Row],[Unit Price]],""),"")</f>
        <v/>
      </c>
      <c r="Q719" s="41" t="str">
        <f ca="1">IFERROR(IF(AND(Table1[[#This Row],[ACT_Qty]]&lt;&gt;"",Table1[[#This Row],[Currency]]="NOK"),Table1[[#This Row],[ACT_Qty]]*Table1[[#This Row],[Unit Price]],""),"")</f>
        <v/>
      </c>
      <c r="R719" s="41" t="str">
        <f ca="1">IFERROR(IF(AND(Table1[[#This Row],[Quantity]]&lt;&gt;"",Table1[[#This Row],[Currency]]="EUR"),Table1[[#This Row],[Quantity]]*Table1[[#This Row],[Unit Price]],""),"")</f>
        <v/>
      </c>
      <c r="S719" s="41" t="str">
        <f ca="1">IFERROR(IF(AND(Table1[[#This Row],[ACT_Qty]]&lt;&gt;"",Table1[[#This Row],[Currency]]="EUR"),Table1[[#This Row],[ACT_Qty]]*Table1[[#This Row],[Unit Price]],""),"")</f>
        <v/>
      </c>
      <c r="T719" s="269" t="str">
        <f ca="1">IFERROR(IF(AND(($N$3&lt;&gt;""),INDIRECT(Aux!$D$1)),VLOOKUP(Table1[[#This Row],[Product code]],Aux!B:E,4,FALSE),""),"")</f>
        <v/>
      </c>
      <c r="U719" s="145" t="str">
        <f>IFERROR(IF(OR(Table1[[#This Row],[Quantity]]&lt;&gt;"",Table1[[#This Row],[ACT_Qty]]&lt;&gt;""),Table1[[#This Row],[ACT_Qty]]-Table1[[#This Row],[Quantity]],""),"")</f>
        <v/>
      </c>
      <c r="V719" s="45"/>
      <c r="W719" s="45"/>
      <c r="X719" s="45"/>
    </row>
    <row r="720" spans="1:24">
      <c r="A720" s="233" t="str">
        <f t="shared" si="41"/>
        <v>AKH12345</v>
      </c>
      <c r="B720" s="80"/>
      <c r="C720" s="81"/>
      <c r="D720" s="73"/>
      <c r="E720" s="90"/>
      <c r="F720" s="73"/>
      <c r="G720" s="90"/>
      <c r="H720" s="82"/>
      <c r="I720" s="83"/>
      <c r="J720" s="82"/>
      <c r="K720" s="82"/>
      <c r="L720" s="84"/>
      <c r="M720" s="148" t="str">
        <f t="shared" si="42"/>
        <v>OneCo Networks AS</v>
      </c>
      <c r="N72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0" s="270" t="str">
        <f ca="1">IFERROR(IF(
OR(Table1[[#This Row],[Product category]]="Service items",Table1[[#This Row],[Product category]]="Additional services",Table1[[#This Row],[Product category]]="Additional materials"),
"NOK",IF(($N$3&lt;&gt;""),VLOOKUP(Table1[[#This Row],[Product code]],INDIRECT(Aux!$A$1),6,FALSE),"")),"")</f>
        <v/>
      </c>
      <c r="P720" s="43" t="str">
        <f ca="1">IFERROR(IF(AND(Table1[[#This Row],[Quantity]]&lt;&gt;"",Table1[[#This Row],[Currency]]="NOK"),Table1[[#This Row],[Quantity]]*Table1[[#This Row],[Unit Price]],""),"")</f>
        <v/>
      </c>
      <c r="Q720" s="43" t="str">
        <f ca="1">IFERROR(IF(AND(Table1[[#This Row],[ACT_Qty]]&lt;&gt;"",Table1[[#This Row],[Currency]]="NOK"),Table1[[#This Row],[ACT_Qty]]*Table1[[#This Row],[Unit Price]],""),"")</f>
        <v/>
      </c>
      <c r="R720" s="43" t="str">
        <f ca="1">IFERROR(IF(AND(Table1[[#This Row],[Quantity]]&lt;&gt;"",Table1[[#This Row],[Currency]]="EUR"),Table1[[#This Row],[Quantity]]*Table1[[#This Row],[Unit Price]],""),"")</f>
        <v/>
      </c>
      <c r="S720" s="43" t="str">
        <f ca="1">IFERROR(IF(AND(Table1[[#This Row],[ACT_Qty]]&lt;&gt;"",Table1[[#This Row],[Currency]]="EUR"),Table1[[#This Row],[ACT_Qty]]*Table1[[#This Row],[Unit Price]],""),"")</f>
        <v/>
      </c>
      <c r="T720" s="271" t="str">
        <f ca="1">IFERROR(IF(AND(($N$3&lt;&gt;""),INDIRECT(Aux!$D$1)),VLOOKUP(Table1[[#This Row],[Product code]],Aux!B:E,4,FALSE),""),"")</f>
        <v/>
      </c>
      <c r="U720" s="148" t="str">
        <f>IFERROR(IF(OR(Table1[[#This Row],[Quantity]]&lt;&gt;"",Table1[[#This Row],[ACT_Qty]]&lt;&gt;""),Table1[[#This Row],[ACT_Qty]]-Table1[[#This Row],[Quantity]],""),"")</f>
        <v/>
      </c>
      <c r="V720" s="46"/>
      <c r="W720" s="46"/>
      <c r="X720" s="46"/>
    </row>
    <row r="721" spans="1:24">
      <c r="A721" s="143" t="str">
        <f t="shared" si="41"/>
        <v>AKH12345</v>
      </c>
      <c r="B721" s="231"/>
      <c r="C721" s="120"/>
      <c r="D721" s="121"/>
      <c r="E721" s="122"/>
      <c r="F721" s="121"/>
      <c r="G721" s="122"/>
      <c r="H721" s="119"/>
      <c r="I721" s="123"/>
      <c r="J721" s="119"/>
      <c r="K721" s="119"/>
      <c r="L721" s="232"/>
      <c r="M721" s="145" t="str">
        <f t="shared" si="42"/>
        <v>OneCo Networks AS</v>
      </c>
      <c r="N72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1" s="268" t="str">
        <f ca="1">IFERROR(IF(
OR(Table1[[#This Row],[Product category]]="Service items",Table1[[#This Row],[Product category]]="Additional services",Table1[[#This Row],[Product category]]="Additional materials"),
"NOK",IF(($N$3&lt;&gt;""),VLOOKUP(Table1[[#This Row],[Product code]],INDIRECT(Aux!$A$1),6,FALSE),"")),"")</f>
        <v/>
      </c>
      <c r="P721" s="41" t="str">
        <f ca="1">IFERROR(IF(AND(Table1[[#This Row],[Quantity]]&lt;&gt;"",Table1[[#This Row],[Currency]]="NOK"),Table1[[#This Row],[Quantity]]*Table1[[#This Row],[Unit Price]],""),"")</f>
        <v/>
      </c>
      <c r="Q721" s="41" t="str">
        <f ca="1">IFERROR(IF(AND(Table1[[#This Row],[ACT_Qty]]&lt;&gt;"",Table1[[#This Row],[Currency]]="NOK"),Table1[[#This Row],[ACT_Qty]]*Table1[[#This Row],[Unit Price]],""),"")</f>
        <v/>
      </c>
      <c r="R721" s="41" t="str">
        <f ca="1">IFERROR(IF(AND(Table1[[#This Row],[Quantity]]&lt;&gt;"",Table1[[#This Row],[Currency]]="EUR"),Table1[[#This Row],[Quantity]]*Table1[[#This Row],[Unit Price]],""),"")</f>
        <v/>
      </c>
      <c r="S721" s="41" t="str">
        <f ca="1">IFERROR(IF(AND(Table1[[#This Row],[ACT_Qty]]&lt;&gt;"",Table1[[#This Row],[Currency]]="EUR"),Table1[[#This Row],[ACT_Qty]]*Table1[[#This Row],[Unit Price]],""),"")</f>
        <v/>
      </c>
      <c r="T721" s="269" t="str">
        <f ca="1">IFERROR(IF(AND(($N$3&lt;&gt;""),INDIRECT(Aux!$D$1)),VLOOKUP(Table1[[#This Row],[Product code]],Aux!B:E,4,FALSE),""),"")</f>
        <v/>
      </c>
      <c r="U721" s="145" t="str">
        <f>IFERROR(IF(OR(Table1[[#This Row],[Quantity]]&lt;&gt;"",Table1[[#This Row],[ACT_Qty]]&lt;&gt;""),Table1[[#This Row],[ACT_Qty]]-Table1[[#This Row],[Quantity]],""),"")</f>
        <v/>
      </c>
      <c r="V721" s="45"/>
      <c r="W721" s="45"/>
      <c r="X721" s="45"/>
    </row>
    <row r="722" spans="1:24">
      <c r="A722" s="233" t="str">
        <f t="shared" si="41"/>
        <v>AKH12345</v>
      </c>
      <c r="B722" s="80"/>
      <c r="C722" s="81"/>
      <c r="D722" s="73"/>
      <c r="E722" s="90"/>
      <c r="F722" s="73"/>
      <c r="G722" s="90"/>
      <c r="H722" s="82"/>
      <c r="I722" s="83"/>
      <c r="J722" s="82"/>
      <c r="K722" s="82"/>
      <c r="L722" s="84"/>
      <c r="M722" s="148" t="str">
        <f t="shared" si="42"/>
        <v>OneCo Networks AS</v>
      </c>
      <c r="N72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2" s="270" t="str">
        <f ca="1">IFERROR(IF(
OR(Table1[[#This Row],[Product category]]="Service items",Table1[[#This Row],[Product category]]="Additional services",Table1[[#This Row],[Product category]]="Additional materials"),
"NOK",IF(($N$3&lt;&gt;""),VLOOKUP(Table1[[#This Row],[Product code]],INDIRECT(Aux!$A$1),6,FALSE),"")),"")</f>
        <v/>
      </c>
      <c r="P722" s="43" t="str">
        <f ca="1">IFERROR(IF(AND(Table1[[#This Row],[Quantity]]&lt;&gt;"",Table1[[#This Row],[Currency]]="NOK"),Table1[[#This Row],[Quantity]]*Table1[[#This Row],[Unit Price]],""),"")</f>
        <v/>
      </c>
      <c r="Q722" s="43" t="str">
        <f ca="1">IFERROR(IF(AND(Table1[[#This Row],[ACT_Qty]]&lt;&gt;"",Table1[[#This Row],[Currency]]="NOK"),Table1[[#This Row],[ACT_Qty]]*Table1[[#This Row],[Unit Price]],""),"")</f>
        <v/>
      </c>
      <c r="R722" s="43" t="str">
        <f ca="1">IFERROR(IF(AND(Table1[[#This Row],[Quantity]]&lt;&gt;"",Table1[[#This Row],[Currency]]="EUR"),Table1[[#This Row],[Quantity]]*Table1[[#This Row],[Unit Price]],""),"")</f>
        <v/>
      </c>
      <c r="S722" s="43" t="str">
        <f ca="1">IFERROR(IF(AND(Table1[[#This Row],[ACT_Qty]]&lt;&gt;"",Table1[[#This Row],[Currency]]="EUR"),Table1[[#This Row],[ACT_Qty]]*Table1[[#This Row],[Unit Price]],""),"")</f>
        <v/>
      </c>
      <c r="T722" s="271" t="str">
        <f ca="1">IFERROR(IF(AND(($N$3&lt;&gt;""),INDIRECT(Aux!$D$1)),VLOOKUP(Table1[[#This Row],[Product code]],Aux!B:E,4,FALSE),""),"")</f>
        <v/>
      </c>
      <c r="U722" s="148" t="str">
        <f>IFERROR(IF(OR(Table1[[#This Row],[Quantity]]&lt;&gt;"",Table1[[#This Row],[ACT_Qty]]&lt;&gt;""),Table1[[#This Row],[ACT_Qty]]-Table1[[#This Row],[Quantity]],""),"")</f>
        <v/>
      </c>
      <c r="V722" s="46"/>
      <c r="W722" s="46"/>
      <c r="X722" s="46"/>
    </row>
    <row r="723" spans="1:24">
      <c r="A723" s="143" t="str">
        <f t="shared" si="41"/>
        <v>AKH12345</v>
      </c>
      <c r="B723" s="231"/>
      <c r="C723" s="120"/>
      <c r="D723" s="121"/>
      <c r="E723" s="122"/>
      <c r="F723" s="121"/>
      <c r="G723" s="122"/>
      <c r="H723" s="119"/>
      <c r="I723" s="123"/>
      <c r="J723" s="119"/>
      <c r="K723" s="119"/>
      <c r="L723" s="232"/>
      <c r="M723" s="145" t="str">
        <f t="shared" si="42"/>
        <v>OneCo Networks AS</v>
      </c>
      <c r="N72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3" s="268" t="str">
        <f ca="1">IFERROR(IF(
OR(Table1[[#This Row],[Product category]]="Service items",Table1[[#This Row],[Product category]]="Additional services",Table1[[#This Row],[Product category]]="Additional materials"),
"NOK",IF(($N$3&lt;&gt;""),VLOOKUP(Table1[[#This Row],[Product code]],INDIRECT(Aux!$A$1),6,FALSE),"")),"")</f>
        <v/>
      </c>
      <c r="P723" s="41" t="str">
        <f ca="1">IFERROR(IF(AND(Table1[[#This Row],[Quantity]]&lt;&gt;"",Table1[[#This Row],[Currency]]="NOK"),Table1[[#This Row],[Quantity]]*Table1[[#This Row],[Unit Price]],""),"")</f>
        <v/>
      </c>
      <c r="Q723" s="41" t="str">
        <f ca="1">IFERROR(IF(AND(Table1[[#This Row],[ACT_Qty]]&lt;&gt;"",Table1[[#This Row],[Currency]]="NOK"),Table1[[#This Row],[ACT_Qty]]*Table1[[#This Row],[Unit Price]],""),"")</f>
        <v/>
      </c>
      <c r="R723" s="41" t="str">
        <f ca="1">IFERROR(IF(AND(Table1[[#This Row],[Quantity]]&lt;&gt;"",Table1[[#This Row],[Currency]]="EUR"),Table1[[#This Row],[Quantity]]*Table1[[#This Row],[Unit Price]],""),"")</f>
        <v/>
      </c>
      <c r="S723" s="41" t="str">
        <f ca="1">IFERROR(IF(AND(Table1[[#This Row],[ACT_Qty]]&lt;&gt;"",Table1[[#This Row],[Currency]]="EUR"),Table1[[#This Row],[ACT_Qty]]*Table1[[#This Row],[Unit Price]],""),"")</f>
        <v/>
      </c>
      <c r="T723" s="269" t="str">
        <f ca="1">IFERROR(IF(AND(($N$3&lt;&gt;""),INDIRECT(Aux!$D$1)),VLOOKUP(Table1[[#This Row],[Product code]],Aux!B:E,4,FALSE),""),"")</f>
        <v/>
      </c>
      <c r="U723" s="145" t="str">
        <f>IFERROR(IF(OR(Table1[[#This Row],[Quantity]]&lt;&gt;"",Table1[[#This Row],[ACT_Qty]]&lt;&gt;""),Table1[[#This Row],[ACT_Qty]]-Table1[[#This Row],[Quantity]],""),"")</f>
        <v/>
      </c>
      <c r="V723" s="45"/>
      <c r="W723" s="45"/>
      <c r="X723" s="45"/>
    </row>
    <row r="724" spans="1:24">
      <c r="A724" s="233" t="str">
        <f t="shared" si="41"/>
        <v>AKH12345</v>
      </c>
      <c r="B724" s="80"/>
      <c r="C724" s="81"/>
      <c r="D724" s="73"/>
      <c r="E724" s="90"/>
      <c r="F724" s="73"/>
      <c r="G724" s="90"/>
      <c r="H724" s="82"/>
      <c r="I724" s="83"/>
      <c r="J724" s="82"/>
      <c r="K724" s="82"/>
      <c r="L724" s="84"/>
      <c r="M724" s="148" t="str">
        <f t="shared" si="42"/>
        <v>OneCo Networks AS</v>
      </c>
      <c r="N72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4" s="270" t="str">
        <f ca="1">IFERROR(IF(
OR(Table1[[#This Row],[Product category]]="Service items",Table1[[#This Row],[Product category]]="Additional services",Table1[[#This Row],[Product category]]="Additional materials"),
"NOK",IF(($N$3&lt;&gt;""),VLOOKUP(Table1[[#This Row],[Product code]],INDIRECT(Aux!$A$1),6,FALSE),"")),"")</f>
        <v/>
      </c>
      <c r="P724" s="43" t="str">
        <f ca="1">IFERROR(IF(AND(Table1[[#This Row],[Quantity]]&lt;&gt;"",Table1[[#This Row],[Currency]]="NOK"),Table1[[#This Row],[Quantity]]*Table1[[#This Row],[Unit Price]],""),"")</f>
        <v/>
      </c>
      <c r="Q724" s="43" t="str">
        <f ca="1">IFERROR(IF(AND(Table1[[#This Row],[ACT_Qty]]&lt;&gt;"",Table1[[#This Row],[Currency]]="NOK"),Table1[[#This Row],[ACT_Qty]]*Table1[[#This Row],[Unit Price]],""),"")</f>
        <v/>
      </c>
      <c r="R724" s="43" t="str">
        <f ca="1">IFERROR(IF(AND(Table1[[#This Row],[Quantity]]&lt;&gt;"",Table1[[#This Row],[Currency]]="EUR"),Table1[[#This Row],[Quantity]]*Table1[[#This Row],[Unit Price]],""),"")</f>
        <v/>
      </c>
      <c r="S724" s="43" t="str">
        <f ca="1">IFERROR(IF(AND(Table1[[#This Row],[ACT_Qty]]&lt;&gt;"",Table1[[#This Row],[Currency]]="EUR"),Table1[[#This Row],[ACT_Qty]]*Table1[[#This Row],[Unit Price]],""),"")</f>
        <v/>
      </c>
      <c r="T724" s="271" t="str">
        <f ca="1">IFERROR(IF(AND(($N$3&lt;&gt;""),INDIRECT(Aux!$D$1)),VLOOKUP(Table1[[#This Row],[Product code]],Aux!B:E,4,FALSE),""),"")</f>
        <v/>
      </c>
      <c r="U724" s="148" t="str">
        <f>IFERROR(IF(OR(Table1[[#This Row],[Quantity]]&lt;&gt;"",Table1[[#This Row],[ACT_Qty]]&lt;&gt;""),Table1[[#This Row],[ACT_Qty]]-Table1[[#This Row],[Quantity]],""),"")</f>
        <v/>
      </c>
      <c r="V724" s="46"/>
      <c r="W724" s="46"/>
      <c r="X724" s="46"/>
    </row>
    <row r="725" spans="1:24">
      <c r="A725" s="143" t="str">
        <f t="shared" si="41"/>
        <v>AKH12345</v>
      </c>
      <c r="B725" s="231"/>
      <c r="C725" s="120"/>
      <c r="D725" s="121"/>
      <c r="E725" s="122"/>
      <c r="F725" s="121"/>
      <c r="G725" s="122"/>
      <c r="H725" s="119"/>
      <c r="I725" s="123"/>
      <c r="J725" s="119"/>
      <c r="K725" s="119"/>
      <c r="L725" s="232"/>
      <c r="M725" s="145" t="str">
        <f t="shared" si="42"/>
        <v>OneCo Networks AS</v>
      </c>
      <c r="N72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5" s="268" t="str">
        <f ca="1">IFERROR(IF(
OR(Table1[[#This Row],[Product category]]="Service items",Table1[[#This Row],[Product category]]="Additional services",Table1[[#This Row],[Product category]]="Additional materials"),
"NOK",IF(($N$3&lt;&gt;""),VLOOKUP(Table1[[#This Row],[Product code]],INDIRECT(Aux!$A$1),6,FALSE),"")),"")</f>
        <v/>
      </c>
      <c r="P725" s="41" t="str">
        <f ca="1">IFERROR(IF(AND(Table1[[#This Row],[Quantity]]&lt;&gt;"",Table1[[#This Row],[Currency]]="NOK"),Table1[[#This Row],[Quantity]]*Table1[[#This Row],[Unit Price]],""),"")</f>
        <v/>
      </c>
      <c r="Q725" s="41" t="str">
        <f ca="1">IFERROR(IF(AND(Table1[[#This Row],[ACT_Qty]]&lt;&gt;"",Table1[[#This Row],[Currency]]="NOK"),Table1[[#This Row],[ACT_Qty]]*Table1[[#This Row],[Unit Price]],""),"")</f>
        <v/>
      </c>
      <c r="R725" s="41" t="str">
        <f ca="1">IFERROR(IF(AND(Table1[[#This Row],[Quantity]]&lt;&gt;"",Table1[[#This Row],[Currency]]="EUR"),Table1[[#This Row],[Quantity]]*Table1[[#This Row],[Unit Price]],""),"")</f>
        <v/>
      </c>
      <c r="S725" s="41" t="str">
        <f ca="1">IFERROR(IF(AND(Table1[[#This Row],[ACT_Qty]]&lt;&gt;"",Table1[[#This Row],[Currency]]="EUR"),Table1[[#This Row],[ACT_Qty]]*Table1[[#This Row],[Unit Price]],""),"")</f>
        <v/>
      </c>
      <c r="T725" s="269" t="str">
        <f ca="1">IFERROR(IF(AND(($N$3&lt;&gt;""),INDIRECT(Aux!$D$1)),VLOOKUP(Table1[[#This Row],[Product code]],Aux!B:E,4,FALSE),""),"")</f>
        <v/>
      </c>
      <c r="U725" s="145" t="str">
        <f>IFERROR(IF(OR(Table1[[#This Row],[Quantity]]&lt;&gt;"",Table1[[#This Row],[ACT_Qty]]&lt;&gt;""),Table1[[#This Row],[ACT_Qty]]-Table1[[#This Row],[Quantity]],""),"")</f>
        <v/>
      </c>
      <c r="V725" s="45"/>
      <c r="W725" s="45"/>
      <c r="X725" s="45"/>
    </row>
    <row r="726" spans="1:24">
      <c r="A726" s="233" t="str">
        <f t="shared" si="41"/>
        <v>AKH12345</v>
      </c>
      <c r="B726" s="80"/>
      <c r="C726" s="81"/>
      <c r="D726" s="73"/>
      <c r="E726" s="90"/>
      <c r="F726" s="73"/>
      <c r="G726" s="90"/>
      <c r="H726" s="82"/>
      <c r="I726" s="83"/>
      <c r="J726" s="82"/>
      <c r="K726" s="82"/>
      <c r="L726" s="84"/>
      <c r="M726" s="148" t="str">
        <f t="shared" si="42"/>
        <v>OneCo Networks AS</v>
      </c>
      <c r="N72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6" s="270" t="str">
        <f ca="1">IFERROR(IF(
OR(Table1[[#This Row],[Product category]]="Service items",Table1[[#This Row],[Product category]]="Additional services",Table1[[#This Row],[Product category]]="Additional materials"),
"NOK",IF(($N$3&lt;&gt;""),VLOOKUP(Table1[[#This Row],[Product code]],INDIRECT(Aux!$A$1),6,FALSE),"")),"")</f>
        <v/>
      </c>
      <c r="P726" s="43" t="str">
        <f ca="1">IFERROR(IF(AND(Table1[[#This Row],[Quantity]]&lt;&gt;"",Table1[[#This Row],[Currency]]="NOK"),Table1[[#This Row],[Quantity]]*Table1[[#This Row],[Unit Price]],""),"")</f>
        <v/>
      </c>
      <c r="Q726" s="43" t="str">
        <f ca="1">IFERROR(IF(AND(Table1[[#This Row],[ACT_Qty]]&lt;&gt;"",Table1[[#This Row],[Currency]]="NOK"),Table1[[#This Row],[ACT_Qty]]*Table1[[#This Row],[Unit Price]],""),"")</f>
        <v/>
      </c>
      <c r="R726" s="43" t="str">
        <f ca="1">IFERROR(IF(AND(Table1[[#This Row],[Quantity]]&lt;&gt;"",Table1[[#This Row],[Currency]]="EUR"),Table1[[#This Row],[Quantity]]*Table1[[#This Row],[Unit Price]],""),"")</f>
        <v/>
      </c>
      <c r="S726" s="43" t="str">
        <f ca="1">IFERROR(IF(AND(Table1[[#This Row],[ACT_Qty]]&lt;&gt;"",Table1[[#This Row],[Currency]]="EUR"),Table1[[#This Row],[ACT_Qty]]*Table1[[#This Row],[Unit Price]],""),"")</f>
        <v/>
      </c>
      <c r="T726" s="271" t="str">
        <f ca="1">IFERROR(IF(AND(($N$3&lt;&gt;""),INDIRECT(Aux!$D$1)),VLOOKUP(Table1[[#This Row],[Product code]],Aux!B:E,4,FALSE),""),"")</f>
        <v/>
      </c>
      <c r="U726" s="148" t="str">
        <f>IFERROR(IF(OR(Table1[[#This Row],[Quantity]]&lt;&gt;"",Table1[[#This Row],[ACT_Qty]]&lt;&gt;""),Table1[[#This Row],[ACT_Qty]]-Table1[[#This Row],[Quantity]],""),"")</f>
        <v/>
      </c>
      <c r="V726" s="46"/>
      <c r="W726" s="46"/>
      <c r="X726" s="46"/>
    </row>
    <row r="727" spans="1:24">
      <c r="A727" s="143" t="str">
        <f t="shared" si="41"/>
        <v>AKH12345</v>
      </c>
      <c r="B727" s="231"/>
      <c r="C727" s="120"/>
      <c r="D727" s="121"/>
      <c r="E727" s="122"/>
      <c r="F727" s="121"/>
      <c r="G727" s="122"/>
      <c r="H727" s="119"/>
      <c r="I727" s="123"/>
      <c r="J727" s="119"/>
      <c r="K727" s="119"/>
      <c r="L727" s="232"/>
      <c r="M727" s="145" t="str">
        <f t="shared" si="42"/>
        <v>OneCo Networks AS</v>
      </c>
      <c r="N72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7" s="268" t="str">
        <f ca="1">IFERROR(IF(
OR(Table1[[#This Row],[Product category]]="Service items",Table1[[#This Row],[Product category]]="Additional services",Table1[[#This Row],[Product category]]="Additional materials"),
"NOK",IF(($N$3&lt;&gt;""),VLOOKUP(Table1[[#This Row],[Product code]],INDIRECT(Aux!$A$1),6,FALSE),"")),"")</f>
        <v/>
      </c>
      <c r="P727" s="41" t="str">
        <f ca="1">IFERROR(IF(AND(Table1[[#This Row],[Quantity]]&lt;&gt;"",Table1[[#This Row],[Currency]]="NOK"),Table1[[#This Row],[Quantity]]*Table1[[#This Row],[Unit Price]],""),"")</f>
        <v/>
      </c>
      <c r="Q727" s="41" t="str">
        <f ca="1">IFERROR(IF(AND(Table1[[#This Row],[ACT_Qty]]&lt;&gt;"",Table1[[#This Row],[Currency]]="NOK"),Table1[[#This Row],[ACT_Qty]]*Table1[[#This Row],[Unit Price]],""),"")</f>
        <v/>
      </c>
      <c r="R727" s="41" t="str">
        <f ca="1">IFERROR(IF(AND(Table1[[#This Row],[Quantity]]&lt;&gt;"",Table1[[#This Row],[Currency]]="EUR"),Table1[[#This Row],[Quantity]]*Table1[[#This Row],[Unit Price]],""),"")</f>
        <v/>
      </c>
      <c r="S727" s="41" t="str">
        <f ca="1">IFERROR(IF(AND(Table1[[#This Row],[ACT_Qty]]&lt;&gt;"",Table1[[#This Row],[Currency]]="EUR"),Table1[[#This Row],[ACT_Qty]]*Table1[[#This Row],[Unit Price]],""),"")</f>
        <v/>
      </c>
      <c r="T727" s="269" t="str">
        <f ca="1">IFERROR(IF(AND(($N$3&lt;&gt;""),INDIRECT(Aux!$D$1)),VLOOKUP(Table1[[#This Row],[Product code]],Aux!B:E,4,FALSE),""),"")</f>
        <v/>
      </c>
      <c r="U727" s="145" t="str">
        <f>IFERROR(IF(OR(Table1[[#This Row],[Quantity]]&lt;&gt;"",Table1[[#This Row],[ACT_Qty]]&lt;&gt;""),Table1[[#This Row],[ACT_Qty]]-Table1[[#This Row],[Quantity]],""),"")</f>
        <v/>
      </c>
      <c r="V727" s="45"/>
      <c r="W727" s="45"/>
      <c r="X727" s="45"/>
    </row>
    <row r="728" spans="1:24">
      <c r="A728" s="233" t="str">
        <f t="shared" si="41"/>
        <v>AKH12345</v>
      </c>
      <c r="B728" s="80"/>
      <c r="C728" s="81"/>
      <c r="D728" s="73"/>
      <c r="E728" s="90"/>
      <c r="F728" s="73"/>
      <c r="G728" s="90"/>
      <c r="H728" s="82"/>
      <c r="I728" s="83"/>
      <c r="J728" s="82"/>
      <c r="K728" s="82"/>
      <c r="L728" s="84"/>
      <c r="M728" s="148" t="str">
        <f t="shared" si="42"/>
        <v>OneCo Networks AS</v>
      </c>
      <c r="N72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8" s="270" t="str">
        <f ca="1">IFERROR(IF(
OR(Table1[[#This Row],[Product category]]="Service items",Table1[[#This Row],[Product category]]="Additional services",Table1[[#This Row],[Product category]]="Additional materials"),
"NOK",IF(($N$3&lt;&gt;""),VLOOKUP(Table1[[#This Row],[Product code]],INDIRECT(Aux!$A$1),6,FALSE),"")),"")</f>
        <v/>
      </c>
      <c r="P728" s="43" t="str">
        <f ca="1">IFERROR(IF(AND(Table1[[#This Row],[Quantity]]&lt;&gt;"",Table1[[#This Row],[Currency]]="NOK"),Table1[[#This Row],[Quantity]]*Table1[[#This Row],[Unit Price]],""),"")</f>
        <v/>
      </c>
      <c r="Q728" s="43" t="str">
        <f ca="1">IFERROR(IF(AND(Table1[[#This Row],[ACT_Qty]]&lt;&gt;"",Table1[[#This Row],[Currency]]="NOK"),Table1[[#This Row],[ACT_Qty]]*Table1[[#This Row],[Unit Price]],""),"")</f>
        <v/>
      </c>
      <c r="R728" s="43" t="str">
        <f ca="1">IFERROR(IF(AND(Table1[[#This Row],[Quantity]]&lt;&gt;"",Table1[[#This Row],[Currency]]="EUR"),Table1[[#This Row],[Quantity]]*Table1[[#This Row],[Unit Price]],""),"")</f>
        <v/>
      </c>
      <c r="S728" s="43" t="str">
        <f ca="1">IFERROR(IF(AND(Table1[[#This Row],[ACT_Qty]]&lt;&gt;"",Table1[[#This Row],[Currency]]="EUR"),Table1[[#This Row],[ACT_Qty]]*Table1[[#This Row],[Unit Price]],""),"")</f>
        <v/>
      </c>
      <c r="T728" s="271" t="str">
        <f ca="1">IFERROR(IF(AND(($N$3&lt;&gt;""),INDIRECT(Aux!$D$1)),VLOOKUP(Table1[[#This Row],[Product code]],Aux!B:E,4,FALSE),""),"")</f>
        <v/>
      </c>
      <c r="U728" s="148" t="str">
        <f>IFERROR(IF(OR(Table1[[#This Row],[Quantity]]&lt;&gt;"",Table1[[#This Row],[ACT_Qty]]&lt;&gt;""),Table1[[#This Row],[ACT_Qty]]-Table1[[#This Row],[Quantity]],""),"")</f>
        <v/>
      </c>
      <c r="V728" s="46"/>
      <c r="W728" s="46"/>
      <c r="X728" s="46"/>
    </row>
    <row r="729" spans="1:24">
      <c r="A729" s="143" t="str">
        <f t="shared" si="41"/>
        <v>AKH12345</v>
      </c>
      <c r="B729" s="231"/>
      <c r="C729" s="120"/>
      <c r="D729" s="121"/>
      <c r="E729" s="122"/>
      <c r="F729" s="121"/>
      <c r="G729" s="122"/>
      <c r="H729" s="119"/>
      <c r="I729" s="123"/>
      <c r="J729" s="119"/>
      <c r="K729" s="119"/>
      <c r="L729" s="232"/>
      <c r="M729" s="145" t="str">
        <f t="shared" si="42"/>
        <v>OneCo Networks AS</v>
      </c>
      <c r="N72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29" s="268" t="str">
        <f ca="1">IFERROR(IF(
OR(Table1[[#This Row],[Product category]]="Service items",Table1[[#This Row],[Product category]]="Additional services",Table1[[#This Row],[Product category]]="Additional materials"),
"NOK",IF(($N$3&lt;&gt;""),VLOOKUP(Table1[[#This Row],[Product code]],INDIRECT(Aux!$A$1),6,FALSE),"")),"")</f>
        <v/>
      </c>
      <c r="P729" s="41" t="str">
        <f ca="1">IFERROR(IF(AND(Table1[[#This Row],[Quantity]]&lt;&gt;"",Table1[[#This Row],[Currency]]="NOK"),Table1[[#This Row],[Quantity]]*Table1[[#This Row],[Unit Price]],""),"")</f>
        <v/>
      </c>
      <c r="Q729" s="41" t="str">
        <f ca="1">IFERROR(IF(AND(Table1[[#This Row],[ACT_Qty]]&lt;&gt;"",Table1[[#This Row],[Currency]]="NOK"),Table1[[#This Row],[ACT_Qty]]*Table1[[#This Row],[Unit Price]],""),"")</f>
        <v/>
      </c>
      <c r="R729" s="41" t="str">
        <f ca="1">IFERROR(IF(AND(Table1[[#This Row],[Quantity]]&lt;&gt;"",Table1[[#This Row],[Currency]]="EUR"),Table1[[#This Row],[Quantity]]*Table1[[#This Row],[Unit Price]],""),"")</f>
        <v/>
      </c>
      <c r="S729" s="41" t="str">
        <f ca="1">IFERROR(IF(AND(Table1[[#This Row],[ACT_Qty]]&lt;&gt;"",Table1[[#This Row],[Currency]]="EUR"),Table1[[#This Row],[ACT_Qty]]*Table1[[#This Row],[Unit Price]],""),"")</f>
        <v/>
      </c>
      <c r="T729" s="269" t="str">
        <f ca="1">IFERROR(IF(AND(($N$3&lt;&gt;""),INDIRECT(Aux!$D$1)),VLOOKUP(Table1[[#This Row],[Product code]],Aux!B:E,4,FALSE),""),"")</f>
        <v/>
      </c>
      <c r="U729" s="145" t="str">
        <f>IFERROR(IF(OR(Table1[[#This Row],[Quantity]]&lt;&gt;"",Table1[[#This Row],[ACT_Qty]]&lt;&gt;""),Table1[[#This Row],[ACT_Qty]]-Table1[[#This Row],[Quantity]],""),"")</f>
        <v/>
      </c>
      <c r="V729" s="45"/>
      <c r="W729" s="45"/>
      <c r="X729" s="45"/>
    </row>
    <row r="730" spans="1:24">
      <c r="A730" s="233" t="str">
        <f t="shared" si="41"/>
        <v>AKH12345</v>
      </c>
      <c r="B730" s="80"/>
      <c r="C730" s="81"/>
      <c r="D730" s="73"/>
      <c r="E730" s="90"/>
      <c r="F730" s="73"/>
      <c r="G730" s="90"/>
      <c r="H730" s="82"/>
      <c r="I730" s="83"/>
      <c r="J730" s="82"/>
      <c r="K730" s="82"/>
      <c r="L730" s="84"/>
      <c r="M730" s="148" t="str">
        <f t="shared" si="42"/>
        <v>OneCo Networks AS</v>
      </c>
      <c r="N73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0" s="270" t="str">
        <f ca="1">IFERROR(IF(
OR(Table1[[#This Row],[Product category]]="Service items",Table1[[#This Row],[Product category]]="Additional services",Table1[[#This Row],[Product category]]="Additional materials"),
"NOK",IF(($N$3&lt;&gt;""),VLOOKUP(Table1[[#This Row],[Product code]],INDIRECT(Aux!$A$1),6,FALSE),"")),"")</f>
        <v/>
      </c>
      <c r="P730" s="43" t="str">
        <f ca="1">IFERROR(IF(AND(Table1[[#This Row],[Quantity]]&lt;&gt;"",Table1[[#This Row],[Currency]]="NOK"),Table1[[#This Row],[Quantity]]*Table1[[#This Row],[Unit Price]],""),"")</f>
        <v/>
      </c>
      <c r="Q730" s="43" t="str">
        <f ca="1">IFERROR(IF(AND(Table1[[#This Row],[ACT_Qty]]&lt;&gt;"",Table1[[#This Row],[Currency]]="NOK"),Table1[[#This Row],[ACT_Qty]]*Table1[[#This Row],[Unit Price]],""),"")</f>
        <v/>
      </c>
      <c r="R730" s="43" t="str">
        <f ca="1">IFERROR(IF(AND(Table1[[#This Row],[Quantity]]&lt;&gt;"",Table1[[#This Row],[Currency]]="EUR"),Table1[[#This Row],[Quantity]]*Table1[[#This Row],[Unit Price]],""),"")</f>
        <v/>
      </c>
      <c r="S730" s="43" t="str">
        <f ca="1">IFERROR(IF(AND(Table1[[#This Row],[ACT_Qty]]&lt;&gt;"",Table1[[#This Row],[Currency]]="EUR"),Table1[[#This Row],[ACT_Qty]]*Table1[[#This Row],[Unit Price]],""),"")</f>
        <v/>
      </c>
      <c r="T730" s="271" t="str">
        <f ca="1">IFERROR(IF(AND(($N$3&lt;&gt;""),INDIRECT(Aux!$D$1)),VLOOKUP(Table1[[#This Row],[Product code]],Aux!B:E,4,FALSE),""),"")</f>
        <v/>
      </c>
      <c r="U730" s="148" t="str">
        <f>IFERROR(IF(OR(Table1[[#This Row],[Quantity]]&lt;&gt;"",Table1[[#This Row],[ACT_Qty]]&lt;&gt;""),Table1[[#This Row],[ACT_Qty]]-Table1[[#This Row],[Quantity]],""),"")</f>
        <v/>
      </c>
      <c r="V730" s="46"/>
      <c r="W730" s="46"/>
      <c r="X730" s="46"/>
    </row>
    <row r="731" spans="1:24">
      <c r="A731" s="143" t="str">
        <f t="shared" si="41"/>
        <v>AKH12345</v>
      </c>
      <c r="B731" s="231"/>
      <c r="C731" s="120"/>
      <c r="D731" s="121"/>
      <c r="E731" s="122"/>
      <c r="F731" s="121"/>
      <c r="G731" s="122"/>
      <c r="H731" s="119"/>
      <c r="I731" s="123"/>
      <c r="J731" s="119"/>
      <c r="K731" s="119"/>
      <c r="L731" s="232"/>
      <c r="M731" s="145" t="str">
        <f t="shared" si="42"/>
        <v>OneCo Networks AS</v>
      </c>
      <c r="N73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1" s="268" t="str">
        <f ca="1">IFERROR(IF(
OR(Table1[[#This Row],[Product category]]="Service items",Table1[[#This Row],[Product category]]="Additional services",Table1[[#This Row],[Product category]]="Additional materials"),
"NOK",IF(($N$3&lt;&gt;""),VLOOKUP(Table1[[#This Row],[Product code]],INDIRECT(Aux!$A$1),6,FALSE),"")),"")</f>
        <v/>
      </c>
      <c r="P731" s="41" t="str">
        <f ca="1">IFERROR(IF(AND(Table1[[#This Row],[Quantity]]&lt;&gt;"",Table1[[#This Row],[Currency]]="NOK"),Table1[[#This Row],[Quantity]]*Table1[[#This Row],[Unit Price]],""),"")</f>
        <v/>
      </c>
      <c r="Q731" s="41" t="str">
        <f ca="1">IFERROR(IF(AND(Table1[[#This Row],[ACT_Qty]]&lt;&gt;"",Table1[[#This Row],[Currency]]="NOK"),Table1[[#This Row],[ACT_Qty]]*Table1[[#This Row],[Unit Price]],""),"")</f>
        <v/>
      </c>
      <c r="R731" s="41" t="str">
        <f ca="1">IFERROR(IF(AND(Table1[[#This Row],[Quantity]]&lt;&gt;"",Table1[[#This Row],[Currency]]="EUR"),Table1[[#This Row],[Quantity]]*Table1[[#This Row],[Unit Price]],""),"")</f>
        <v/>
      </c>
      <c r="S731" s="41" t="str">
        <f ca="1">IFERROR(IF(AND(Table1[[#This Row],[ACT_Qty]]&lt;&gt;"",Table1[[#This Row],[Currency]]="EUR"),Table1[[#This Row],[ACT_Qty]]*Table1[[#This Row],[Unit Price]],""),"")</f>
        <v/>
      </c>
      <c r="T731" s="269" t="str">
        <f ca="1">IFERROR(IF(AND(($N$3&lt;&gt;""),INDIRECT(Aux!$D$1)),VLOOKUP(Table1[[#This Row],[Product code]],Aux!B:E,4,FALSE),""),"")</f>
        <v/>
      </c>
      <c r="U731" s="145" t="str">
        <f>IFERROR(IF(OR(Table1[[#This Row],[Quantity]]&lt;&gt;"",Table1[[#This Row],[ACT_Qty]]&lt;&gt;""),Table1[[#This Row],[ACT_Qty]]-Table1[[#This Row],[Quantity]],""),"")</f>
        <v/>
      </c>
      <c r="V731" s="45"/>
      <c r="W731" s="45"/>
      <c r="X731" s="45"/>
    </row>
    <row r="732" spans="1:24">
      <c r="A732" s="233" t="str">
        <f t="shared" si="41"/>
        <v>AKH12345</v>
      </c>
      <c r="B732" s="80"/>
      <c r="C732" s="81"/>
      <c r="D732" s="73"/>
      <c r="E732" s="90"/>
      <c r="F732" s="73"/>
      <c r="G732" s="90"/>
      <c r="H732" s="82"/>
      <c r="I732" s="83"/>
      <c r="J732" s="82"/>
      <c r="K732" s="82"/>
      <c r="L732" s="84"/>
      <c r="M732" s="148" t="str">
        <f t="shared" si="42"/>
        <v>OneCo Networks AS</v>
      </c>
      <c r="N73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2" s="270" t="str">
        <f ca="1">IFERROR(IF(
OR(Table1[[#This Row],[Product category]]="Service items",Table1[[#This Row],[Product category]]="Additional services",Table1[[#This Row],[Product category]]="Additional materials"),
"NOK",IF(($N$3&lt;&gt;""),VLOOKUP(Table1[[#This Row],[Product code]],INDIRECT(Aux!$A$1),6,FALSE),"")),"")</f>
        <v/>
      </c>
      <c r="P732" s="43" t="str">
        <f ca="1">IFERROR(IF(AND(Table1[[#This Row],[Quantity]]&lt;&gt;"",Table1[[#This Row],[Currency]]="NOK"),Table1[[#This Row],[Quantity]]*Table1[[#This Row],[Unit Price]],""),"")</f>
        <v/>
      </c>
      <c r="Q732" s="43" t="str">
        <f ca="1">IFERROR(IF(AND(Table1[[#This Row],[ACT_Qty]]&lt;&gt;"",Table1[[#This Row],[Currency]]="NOK"),Table1[[#This Row],[ACT_Qty]]*Table1[[#This Row],[Unit Price]],""),"")</f>
        <v/>
      </c>
      <c r="R732" s="43" t="str">
        <f ca="1">IFERROR(IF(AND(Table1[[#This Row],[Quantity]]&lt;&gt;"",Table1[[#This Row],[Currency]]="EUR"),Table1[[#This Row],[Quantity]]*Table1[[#This Row],[Unit Price]],""),"")</f>
        <v/>
      </c>
      <c r="S732" s="43" t="str">
        <f ca="1">IFERROR(IF(AND(Table1[[#This Row],[ACT_Qty]]&lt;&gt;"",Table1[[#This Row],[Currency]]="EUR"),Table1[[#This Row],[ACT_Qty]]*Table1[[#This Row],[Unit Price]],""),"")</f>
        <v/>
      </c>
      <c r="T732" s="271" t="str">
        <f ca="1">IFERROR(IF(AND(($N$3&lt;&gt;""),INDIRECT(Aux!$D$1)),VLOOKUP(Table1[[#This Row],[Product code]],Aux!B:E,4,FALSE),""),"")</f>
        <v/>
      </c>
      <c r="U732" s="148" t="str">
        <f>IFERROR(IF(OR(Table1[[#This Row],[Quantity]]&lt;&gt;"",Table1[[#This Row],[ACT_Qty]]&lt;&gt;""),Table1[[#This Row],[ACT_Qty]]-Table1[[#This Row],[Quantity]],""),"")</f>
        <v/>
      </c>
      <c r="V732" s="46"/>
      <c r="W732" s="46"/>
      <c r="X732" s="46"/>
    </row>
    <row r="733" spans="1:24">
      <c r="A733" s="143" t="str">
        <f t="shared" si="41"/>
        <v>AKH12345</v>
      </c>
      <c r="B733" s="231"/>
      <c r="C733" s="120"/>
      <c r="D733" s="121"/>
      <c r="E733" s="122"/>
      <c r="F733" s="121"/>
      <c r="G733" s="122"/>
      <c r="H733" s="119"/>
      <c r="I733" s="123"/>
      <c r="J733" s="119"/>
      <c r="K733" s="119"/>
      <c r="L733" s="232"/>
      <c r="M733" s="145" t="str">
        <f t="shared" si="42"/>
        <v>OneCo Networks AS</v>
      </c>
      <c r="N73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3" s="268" t="str">
        <f ca="1">IFERROR(IF(
OR(Table1[[#This Row],[Product category]]="Service items",Table1[[#This Row],[Product category]]="Additional services",Table1[[#This Row],[Product category]]="Additional materials"),
"NOK",IF(($N$3&lt;&gt;""),VLOOKUP(Table1[[#This Row],[Product code]],INDIRECT(Aux!$A$1),6,FALSE),"")),"")</f>
        <v/>
      </c>
      <c r="P733" s="41" t="str">
        <f ca="1">IFERROR(IF(AND(Table1[[#This Row],[Quantity]]&lt;&gt;"",Table1[[#This Row],[Currency]]="NOK"),Table1[[#This Row],[Quantity]]*Table1[[#This Row],[Unit Price]],""),"")</f>
        <v/>
      </c>
      <c r="Q733" s="41" t="str">
        <f ca="1">IFERROR(IF(AND(Table1[[#This Row],[ACT_Qty]]&lt;&gt;"",Table1[[#This Row],[Currency]]="NOK"),Table1[[#This Row],[ACT_Qty]]*Table1[[#This Row],[Unit Price]],""),"")</f>
        <v/>
      </c>
      <c r="R733" s="41" t="str">
        <f ca="1">IFERROR(IF(AND(Table1[[#This Row],[Quantity]]&lt;&gt;"",Table1[[#This Row],[Currency]]="EUR"),Table1[[#This Row],[Quantity]]*Table1[[#This Row],[Unit Price]],""),"")</f>
        <v/>
      </c>
      <c r="S733" s="41" t="str">
        <f ca="1">IFERROR(IF(AND(Table1[[#This Row],[ACT_Qty]]&lt;&gt;"",Table1[[#This Row],[Currency]]="EUR"),Table1[[#This Row],[ACT_Qty]]*Table1[[#This Row],[Unit Price]],""),"")</f>
        <v/>
      </c>
      <c r="T733" s="269" t="str">
        <f ca="1">IFERROR(IF(AND(($N$3&lt;&gt;""),INDIRECT(Aux!$D$1)),VLOOKUP(Table1[[#This Row],[Product code]],Aux!B:E,4,FALSE),""),"")</f>
        <v/>
      </c>
      <c r="U733" s="145" t="str">
        <f>IFERROR(IF(OR(Table1[[#This Row],[Quantity]]&lt;&gt;"",Table1[[#This Row],[ACT_Qty]]&lt;&gt;""),Table1[[#This Row],[ACT_Qty]]-Table1[[#This Row],[Quantity]],""),"")</f>
        <v/>
      </c>
      <c r="V733" s="45"/>
      <c r="W733" s="45"/>
      <c r="X733" s="45"/>
    </row>
    <row r="734" spans="1:24">
      <c r="A734" s="233" t="str">
        <f t="shared" si="41"/>
        <v>AKH12345</v>
      </c>
      <c r="B734" s="80"/>
      <c r="C734" s="81"/>
      <c r="D734" s="73"/>
      <c r="E734" s="90"/>
      <c r="F734" s="73"/>
      <c r="G734" s="90"/>
      <c r="H734" s="82"/>
      <c r="I734" s="83"/>
      <c r="J734" s="82"/>
      <c r="K734" s="82"/>
      <c r="L734" s="84"/>
      <c r="M734" s="148" t="str">
        <f t="shared" si="42"/>
        <v>OneCo Networks AS</v>
      </c>
      <c r="N73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4" s="270" t="str">
        <f ca="1">IFERROR(IF(
OR(Table1[[#This Row],[Product category]]="Service items",Table1[[#This Row],[Product category]]="Additional services",Table1[[#This Row],[Product category]]="Additional materials"),
"NOK",IF(($N$3&lt;&gt;""),VLOOKUP(Table1[[#This Row],[Product code]],INDIRECT(Aux!$A$1),6,FALSE),"")),"")</f>
        <v/>
      </c>
      <c r="P734" s="43" t="str">
        <f ca="1">IFERROR(IF(AND(Table1[[#This Row],[Quantity]]&lt;&gt;"",Table1[[#This Row],[Currency]]="NOK"),Table1[[#This Row],[Quantity]]*Table1[[#This Row],[Unit Price]],""),"")</f>
        <v/>
      </c>
      <c r="Q734" s="43" t="str">
        <f ca="1">IFERROR(IF(AND(Table1[[#This Row],[ACT_Qty]]&lt;&gt;"",Table1[[#This Row],[Currency]]="NOK"),Table1[[#This Row],[ACT_Qty]]*Table1[[#This Row],[Unit Price]],""),"")</f>
        <v/>
      </c>
      <c r="R734" s="43" t="str">
        <f ca="1">IFERROR(IF(AND(Table1[[#This Row],[Quantity]]&lt;&gt;"",Table1[[#This Row],[Currency]]="EUR"),Table1[[#This Row],[Quantity]]*Table1[[#This Row],[Unit Price]],""),"")</f>
        <v/>
      </c>
      <c r="S734" s="43" t="str">
        <f ca="1">IFERROR(IF(AND(Table1[[#This Row],[ACT_Qty]]&lt;&gt;"",Table1[[#This Row],[Currency]]="EUR"),Table1[[#This Row],[ACT_Qty]]*Table1[[#This Row],[Unit Price]],""),"")</f>
        <v/>
      </c>
      <c r="T734" s="271" t="str">
        <f ca="1">IFERROR(IF(AND(($N$3&lt;&gt;""),INDIRECT(Aux!$D$1)),VLOOKUP(Table1[[#This Row],[Product code]],Aux!B:E,4,FALSE),""),"")</f>
        <v/>
      </c>
      <c r="U734" s="148" t="str">
        <f>IFERROR(IF(OR(Table1[[#This Row],[Quantity]]&lt;&gt;"",Table1[[#This Row],[ACT_Qty]]&lt;&gt;""),Table1[[#This Row],[ACT_Qty]]-Table1[[#This Row],[Quantity]],""),"")</f>
        <v/>
      </c>
      <c r="V734" s="46"/>
      <c r="W734" s="46"/>
      <c r="X734" s="46"/>
    </row>
    <row r="735" spans="1:24">
      <c r="A735" s="143" t="str">
        <f t="shared" si="41"/>
        <v>AKH12345</v>
      </c>
      <c r="B735" s="231"/>
      <c r="C735" s="120"/>
      <c r="D735" s="121"/>
      <c r="E735" s="122"/>
      <c r="F735" s="121"/>
      <c r="G735" s="122"/>
      <c r="H735" s="119"/>
      <c r="I735" s="123"/>
      <c r="J735" s="119"/>
      <c r="K735" s="119"/>
      <c r="L735" s="232"/>
      <c r="M735" s="145" t="str">
        <f t="shared" si="42"/>
        <v>OneCo Networks AS</v>
      </c>
      <c r="N73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5" s="268" t="str">
        <f ca="1">IFERROR(IF(
OR(Table1[[#This Row],[Product category]]="Service items",Table1[[#This Row],[Product category]]="Additional services",Table1[[#This Row],[Product category]]="Additional materials"),
"NOK",IF(($N$3&lt;&gt;""),VLOOKUP(Table1[[#This Row],[Product code]],INDIRECT(Aux!$A$1),6,FALSE),"")),"")</f>
        <v/>
      </c>
      <c r="P735" s="41" t="str">
        <f ca="1">IFERROR(IF(AND(Table1[[#This Row],[Quantity]]&lt;&gt;"",Table1[[#This Row],[Currency]]="NOK"),Table1[[#This Row],[Quantity]]*Table1[[#This Row],[Unit Price]],""),"")</f>
        <v/>
      </c>
      <c r="Q735" s="41" t="str">
        <f ca="1">IFERROR(IF(AND(Table1[[#This Row],[ACT_Qty]]&lt;&gt;"",Table1[[#This Row],[Currency]]="NOK"),Table1[[#This Row],[ACT_Qty]]*Table1[[#This Row],[Unit Price]],""),"")</f>
        <v/>
      </c>
      <c r="R735" s="41" t="str">
        <f ca="1">IFERROR(IF(AND(Table1[[#This Row],[Quantity]]&lt;&gt;"",Table1[[#This Row],[Currency]]="EUR"),Table1[[#This Row],[Quantity]]*Table1[[#This Row],[Unit Price]],""),"")</f>
        <v/>
      </c>
      <c r="S735" s="41" t="str">
        <f ca="1">IFERROR(IF(AND(Table1[[#This Row],[ACT_Qty]]&lt;&gt;"",Table1[[#This Row],[Currency]]="EUR"),Table1[[#This Row],[ACT_Qty]]*Table1[[#This Row],[Unit Price]],""),"")</f>
        <v/>
      </c>
      <c r="T735" s="269" t="str">
        <f ca="1">IFERROR(IF(AND(($N$3&lt;&gt;""),INDIRECT(Aux!$D$1)),VLOOKUP(Table1[[#This Row],[Product code]],Aux!B:E,4,FALSE),""),"")</f>
        <v/>
      </c>
      <c r="U735" s="145" t="str">
        <f>IFERROR(IF(OR(Table1[[#This Row],[Quantity]]&lt;&gt;"",Table1[[#This Row],[ACT_Qty]]&lt;&gt;""),Table1[[#This Row],[ACT_Qty]]-Table1[[#This Row],[Quantity]],""),"")</f>
        <v/>
      </c>
      <c r="V735" s="45"/>
      <c r="W735" s="45"/>
      <c r="X735" s="45"/>
    </row>
    <row r="736" spans="1:24">
      <c r="A736" s="233" t="str">
        <f t="shared" si="41"/>
        <v>AKH12345</v>
      </c>
      <c r="B736" s="80"/>
      <c r="C736" s="81"/>
      <c r="D736" s="73"/>
      <c r="E736" s="90"/>
      <c r="F736" s="73"/>
      <c r="G736" s="90"/>
      <c r="H736" s="82"/>
      <c r="I736" s="83"/>
      <c r="J736" s="82"/>
      <c r="K736" s="82"/>
      <c r="L736" s="84"/>
      <c r="M736" s="148" t="str">
        <f t="shared" si="42"/>
        <v>OneCo Networks AS</v>
      </c>
      <c r="N73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6" s="270" t="str">
        <f ca="1">IFERROR(IF(
OR(Table1[[#This Row],[Product category]]="Service items",Table1[[#This Row],[Product category]]="Additional services",Table1[[#This Row],[Product category]]="Additional materials"),
"NOK",IF(($N$3&lt;&gt;""),VLOOKUP(Table1[[#This Row],[Product code]],INDIRECT(Aux!$A$1),6,FALSE),"")),"")</f>
        <v/>
      </c>
      <c r="P736" s="43" t="str">
        <f ca="1">IFERROR(IF(AND(Table1[[#This Row],[Quantity]]&lt;&gt;"",Table1[[#This Row],[Currency]]="NOK"),Table1[[#This Row],[Quantity]]*Table1[[#This Row],[Unit Price]],""),"")</f>
        <v/>
      </c>
      <c r="Q736" s="43" t="str">
        <f ca="1">IFERROR(IF(AND(Table1[[#This Row],[ACT_Qty]]&lt;&gt;"",Table1[[#This Row],[Currency]]="NOK"),Table1[[#This Row],[ACT_Qty]]*Table1[[#This Row],[Unit Price]],""),"")</f>
        <v/>
      </c>
      <c r="R736" s="43" t="str">
        <f ca="1">IFERROR(IF(AND(Table1[[#This Row],[Quantity]]&lt;&gt;"",Table1[[#This Row],[Currency]]="EUR"),Table1[[#This Row],[Quantity]]*Table1[[#This Row],[Unit Price]],""),"")</f>
        <v/>
      </c>
      <c r="S736" s="43" t="str">
        <f ca="1">IFERROR(IF(AND(Table1[[#This Row],[ACT_Qty]]&lt;&gt;"",Table1[[#This Row],[Currency]]="EUR"),Table1[[#This Row],[ACT_Qty]]*Table1[[#This Row],[Unit Price]],""),"")</f>
        <v/>
      </c>
      <c r="T736" s="271" t="str">
        <f ca="1">IFERROR(IF(AND(($N$3&lt;&gt;""),INDIRECT(Aux!$D$1)),VLOOKUP(Table1[[#This Row],[Product code]],Aux!B:E,4,FALSE),""),"")</f>
        <v/>
      </c>
      <c r="U736" s="148" t="str">
        <f>IFERROR(IF(OR(Table1[[#This Row],[Quantity]]&lt;&gt;"",Table1[[#This Row],[ACT_Qty]]&lt;&gt;""),Table1[[#This Row],[ACT_Qty]]-Table1[[#This Row],[Quantity]],""),"")</f>
        <v/>
      </c>
      <c r="V736" s="46"/>
      <c r="W736" s="46"/>
      <c r="X736" s="46"/>
    </row>
    <row r="737" spans="1:24">
      <c r="A737" s="143" t="str">
        <f t="shared" si="41"/>
        <v>AKH12345</v>
      </c>
      <c r="B737" s="231"/>
      <c r="C737" s="120"/>
      <c r="D737" s="121"/>
      <c r="E737" s="122"/>
      <c r="F737" s="121"/>
      <c r="G737" s="122"/>
      <c r="H737" s="119"/>
      <c r="I737" s="123"/>
      <c r="J737" s="119"/>
      <c r="K737" s="119"/>
      <c r="L737" s="232"/>
      <c r="M737" s="145" t="str">
        <f t="shared" si="42"/>
        <v>OneCo Networks AS</v>
      </c>
      <c r="N73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7" s="268" t="str">
        <f ca="1">IFERROR(IF(
OR(Table1[[#This Row],[Product category]]="Service items",Table1[[#This Row],[Product category]]="Additional services",Table1[[#This Row],[Product category]]="Additional materials"),
"NOK",IF(($N$3&lt;&gt;""),VLOOKUP(Table1[[#This Row],[Product code]],INDIRECT(Aux!$A$1),6,FALSE),"")),"")</f>
        <v/>
      </c>
      <c r="P737" s="41" t="str">
        <f ca="1">IFERROR(IF(AND(Table1[[#This Row],[Quantity]]&lt;&gt;"",Table1[[#This Row],[Currency]]="NOK"),Table1[[#This Row],[Quantity]]*Table1[[#This Row],[Unit Price]],""),"")</f>
        <v/>
      </c>
      <c r="Q737" s="41" t="str">
        <f ca="1">IFERROR(IF(AND(Table1[[#This Row],[ACT_Qty]]&lt;&gt;"",Table1[[#This Row],[Currency]]="NOK"),Table1[[#This Row],[ACT_Qty]]*Table1[[#This Row],[Unit Price]],""),"")</f>
        <v/>
      </c>
      <c r="R737" s="41" t="str">
        <f ca="1">IFERROR(IF(AND(Table1[[#This Row],[Quantity]]&lt;&gt;"",Table1[[#This Row],[Currency]]="EUR"),Table1[[#This Row],[Quantity]]*Table1[[#This Row],[Unit Price]],""),"")</f>
        <v/>
      </c>
      <c r="S737" s="41" t="str">
        <f ca="1">IFERROR(IF(AND(Table1[[#This Row],[ACT_Qty]]&lt;&gt;"",Table1[[#This Row],[Currency]]="EUR"),Table1[[#This Row],[ACT_Qty]]*Table1[[#This Row],[Unit Price]],""),"")</f>
        <v/>
      </c>
      <c r="T737" s="269" t="str">
        <f ca="1">IFERROR(IF(AND(($N$3&lt;&gt;""),INDIRECT(Aux!$D$1)),VLOOKUP(Table1[[#This Row],[Product code]],Aux!B:E,4,FALSE),""),"")</f>
        <v/>
      </c>
      <c r="U737" s="145" t="str">
        <f>IFERROR(IF(OR(Table1[[#This Row],[Quantity]]&lt;&gt;"",Table1[[#This Row],[ACT_Qty]]&lt;&gt;""),Table1[[#This Row],[ACT_Qty]]-Table1[[#This Row],[Quantity]],""),"")</f>
        <v/>
      </c>
      <c r="V737" s="45"/>
      <c r="W737" s="45"/>
      <c r="X737" s="45"/>
    </row>
    <row r="738" spans="1:24">
      <c r="A738" s="233" t="str">
        <f t="shared" si="41"/>
        <v>AKH12345</v>
      </c>
      <c r="B738" s="80"/>
      <c r="C738" s="81"/>
      <c r="D738" s="73"/>
      <c r="E738" s="90"/>
      <c r="F738" s="73"/>
      <c r="G738" s="90"/>
      <c r="H738" s="82"/>
      <c r="I738" s="83"/>
      <c r="J738" s="82"/>
      <c r="K738" s="82"/>
      <c r="L738" s="84"/>
      <c r="M738" s="148" t="str">
        <f t="shared" si="42"/>
        <v>OneCo Networks AS</v>
      </c>
      <c r="N73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8" s="270" t="str">
        <f ca="1">IFERROR(IF(
OR(Table1[[#This Row],[Product category]]="Service items",Table1[[#This Row],[Product category]]="Additional services",Table1[[#This Row],[Product category]]="Additional materials"),
"NOK",IF(($N$3&lt;&gt;""),VLOOKUP(Table1[[#This Row],[Product code]],INDIRECT(Aux!$A$1),6,FALSE),"")),"")</f>
        <v/>
      </c>
      <c r="P738" s="43" t="str">
        <f ca="1">IFERROR(IF(AND(Table1[[#This Row],[Quantity]]&lt;&gt;"",Table1[[#This Row],[Currency]]="NOK"),Table1[[#This Row],[Quantity]]*Table1[[#This Row],[Unit Price]],""),"")</f>
        <v/>
      </c>
      <c r="Q738" s="43" t="str">
        <f ca="1">IFERROR(IF(AND(Table1[[#This Row],[ACT_Qty]]&lt;&gt;"",Table1[[#This Row],[Currency]]="NOK"),Table1[[#This Row],[ACT_Qty]]*Table1[[#This Row],[Unit Price]],""),"")</f>
        <v/>
      </c>
      <c r="R738" s="43" t="str">
        <f ca="1">IFERROR(IF(AND(Table1[[#This Row],[Quantity]]&lt;&gt;"",Table1[[#This Row],[Currency]]="EUR"),Table1[[#This Row],[Quantity]]*Table1[[#This Row],[Unit Price]],""),"")</f>
        <v/>
      </c>
      <c r="S738" s="43" t="str">
        <f ca="1">IFERROR(IF(AND(Table1[[#This Row],[ACT_Qty]]&lt;&gt;"",Table1[[#This Row],[Currency]]="EUR"),Table1[[#This Row],[ACT_Qty]]*Table1[[#This Row],[Unit Price]],""),"")</f>
        <v/>
      </c>
      <c r="T738" s="271" t="str">
        <f ca="1">IFERROR(IF(AND(($N$3&lt;&gt;""),INDIRECT(Aux!$D$1)),VLOOKUP(Table1[[#This Row],[Product code]],Aux!B:E,4,FALSE),""),"")</f>
        <v/>
      </c>
      <c r="U738" s="148" t="str">
        <f>IFERROR(IF(OR(Table1[[#This Row],[Quantity]]&lt;&gt;"",Table1[[#This Row],[ACT_Qty]]&lt;&gt;""),Table1[[#This Row],[ACT_Qty]]-Table1[[#This Row],[Quantity]],""),"")</f>
        <v/>
      </c>
      <c r="V738" s="46"/>
      <c r="W738" s="46"/>
      <c r="X738" s="46"/>
    </row>
    <row r="739" spans="1:24">
      <c r="A739" s="143" t="str">
        <f t="shared" si="41"/>
        <v>AKH12345</v>
      </c>
      <c r="B739" s="231"/>
      <c r="C739" s="120"/>
      <c r="D739" s="121"/>
      <c r="E739" s="122"/>
      <c r="F739" s="121"/>
      <c r="G739" s="122"/>
      <c r="H739" s="119"/>
      <c r="I739" s="123"/>
      <c r="J739" s="119"/>
      <c r="K739" s="119"/>
      <c r="L739" s="232"/>
      <c r="M739" s="145" t="str">
        <f t="shared" si="42"/>
        <v>OneCo Networks AS</v>
      </c>
      <c r="N73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39" s="268" t="str">
        <f ca="1">IFERROR(IF(
OR(Table1[[#This Row],[Product category]]="Service items",Table1[[#This Row],[Product category]]="Additional services",Table1[[#This Row],[Product category]]="Additional materials"),
"NOK",IF(($N$3&lt;&gt;""),VLOOKUP(Table1[[#This Row],[Product code]],INDIRECT(Aux!$A$1),6,FALSE),"")),"")</f>
        <v/>
      </c>
      <c r="P739" s="41" t="str">
        <f ca="1">IFERROR(IF(AND(Table1[[#This Row],[Quantity]]&lt;&gt;"",Table1[[#This Row],[Currency]]="NOK"),Table1[[#This Row],[Quantity]]*Table1[[#This Row],[Unit Price]],""),"")</f>
        <v/>
      </c>
      <c r="Q739" s="41" t="str">
        <f ca="1">IFERROR(IF(AND(Table1[[#This Row],[ACT_Qty]]&lt;&gt;"",Table1[[#This Row],[Currency]]="NOK"),Table1[[#This Row],[ACT_Qty]]*Table1[[#This Row],[Unit Price]],""),"")</f>
        <v/>
      </c>
      <c r="R739" s="41" t="str">
        <f ca="1">IFERROR(IF(AND(Table1[[#This Row],[Quantity]]&lt;&gt;"",Table1[[#This Row],[Currency]]="EUR"),Table1[[#This Row],[Quantity]]*Table1[[#This Row],[Unit Price]],""),"")</f>
        <v/>
      </c>
      <c r="S739" s="41" t="str">
        <f ca="1">IFERROR(IF(AND(Table1[[#This Row],[ACT_Qty]]&lt;&gt;"",Table1[[#This Row],[Currency]]="EUR"),Table1[[#This Row],[ACT_Qty]]*Table1[[#This Row],[Unit Price]],""),"")</f>
        <v/>
      </c>
      <c r="T739" s="269" t="str">
        <f ca="1">IFERROR(IF(AND(($N$3&lt;&gt;""),INDIRECT(Aux!$D$1)),VLOOKUP(Table1[[#This Row],[Product code]],Aux!B:E,4,FALSE),""),"")</f>
        <v/>
      </c>
      <c r="U739" s="145" t="str">
        <f>IFERROR(IF(OR(Table1[[#This Row],[Quantity]]&lt;&gt;"",Table1[[#This Row],[ACT_Qty]]&lt;&gt;""),Table1[[#This Row],[ACT_Qty]]-Table1[[#This Row],[Quantity]],""),"")</f>
        <v/>
      </c>
      <c r="V739" s="45"/>
      <c r="W739" s="45"/>
      <c r="X739" s="45"/>
    </row>
    <row r="740" spans="1:24">
      <c r="A740" s="233" t="str">
        <f t="shared" si="41"/>
        <v>AKH12345</v>
      </c>
      <c r="B740" s="80"/>
      <c r="C740" s="81"/>
      <c r="D740" s="73"/>
      <c r="E740" s="90"/>
      <c r="F740" s="73"/>
      <c r="G740" s="90"/>
      <c r="H740" s="82"/>
      <c r="I740" s="83"/>
      <c r="J740" s="82"/>
      <c r="K740" s="82"/>
      <c r="L740" s="84"/>
      <c r="M740" s="148" t="str">
        <f t="shared" si="42"/>
        <v>OneCo Networks AS</v>
      </c>
      <c r="N74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0" s="270" t="str">
        <f ca="1">IFERROR(IF(
OR(Table1[[#This Row],[Product category]]="Service items",Table1[[#This Row],[Product category]]="Additional services",Table1[[#This Row],[Product category]]="Additional materials"),
"NOK",IF(($N$3&lt;&gt;""),VLOOKUP(Table1[[#This Row],[Product code]],INDIRECT(Aux!$A$1),6,FALSE),"")),"")</f>
        <v/>
      </c>
      <c r="P740" s="43" t="str">
        <f ca="1">IFERROR(IF(AND(Table1[[#This Row],[Quantity]]&lt;&gt;"",Table1[[#This Row],[Currency]]="NOK"),Table1[[#This Row],[Quantity]]*Table1[[#This Row],[Unit Price]],""),"")</f>
        <v/>
      </c>
      <c r="Q740" s="43" t="str">
        <f ca="1">IFERROR(IF(AND(Table1[[#This Row],[ACT_Qty]]&lt;&gt;"",Table1[[#This Row],[Currency]]="NOK"),Table1[[#This Row],[ACT_Qty]]*Table1[[#This Row],[Unit Price]],""),"")</f>
        <v/>
      </c>
      <c r="R740" s="43" t="str">
        <f ca="1">IFERROR(IF(AND(Table1[[#This Row],[Quantity]]&lt;&gt;"",Table1[[#This Row],[Currency]]="EUR"),Table1[[#This Row],[Quantity]]*Table1[[#This Row],[Unit Price]],""),"")</f>
        <v/>
      </c>
      <c r="S740" s="43" t="str">
        <f ca="1">IFERROR(IF(AND(Table1[[#This Row],[ACT_Qty]]&lt;&gt;"",Table1[[#This Row],[Currency]]="EUR"),Table1[[#This Row],[ACT_Qty]]*Table1[[#This Row],[Unit Price]],""),"")</f>
        <v/>
      </c>
      <c r="T740" s="271" t="str">
        <f ca="1">IFERROR(IF(AND(($N$3&lt;&gt;""),INDIRECT(Aux!$D$1)),VLOOKUP(Table1[[#This Row],[Product code]],Aux!B:E,4,FALSE),""),"")</f>
        <v/>
      </c>
      <c r="U740" s="148" t="str">
        <f>IFERROR(IF(OR(Table1[[#This Row],[Quantity]]&lt;&gt;"",Table1[[#This Row],[ACT_Qty]]&lt;&gt;""),Table1[[#This Row],[ACT_Qty]]-Table1[[#This Row],[Quantity]],""),"")</f>
        <v/>
      </c>
      <c r="V740" s="46"/>
      <c r="W740" s="46"/>
      <c r="X740" s="46"/>
    </row>
    <row r="741" spans="1:24">
      <c r="A741" s="143" t="str">
        <f t="shared" si="41"/>
        <v>AKH12345</v>
      </c>
      <c r="B741" s="231"/>
      <c r="C741" s="120"/>
      <c r="D741" s="121"/>
      <c r="E741" s="122"/>
      <c r="F741" s="121"/>
      <c r="G741" s="122"/>
      <c r="H741" s="119"/>
      <c r="I741" s="123"/>
      <c r="J741" s="119"/>
      <c r="K741" s="119"/>
      <c r="L741" s="232"/>
      <c r="M741" s="145" t="str">
        <f t="shared" si="42"/>
        <v>OneCo Networks AS</v>
      </c>
      <c r="N74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1" s="268" t="str">
        <f ca="1">IFERROR(IF(
OR(Table1[[#This Row],[Product category]]="Service items",Table1[[#This Row],[Product category]]="Additional services",Table1[[#This Row],[Product category]]="Additional materials"),
"NOK",IF(($N$3&lt;&gt;""),VLOOKUP(Table1[[#This Row],[Product code]],INDIRECT(Aux!$A$1),6,FALSE),"")),"")</f>
        <v/>
      </c>
      <c r="P741" s="41" t="str">
        <f ca="1">IFERROR(IF(AND(Table1[[#This Row],[Quantity]]&lt;&gt;"",Table1[[#This Row],[Currency]]="NOK"),Table1[[#This Row],[Quantity]]*Table1[[#This Row],[Unit Price]],""),"")</f>
        <v/>
      </c>
      <c r="Q741" s="41" t="str">
        <f ca="1">IFERROR(IF(AND(Table1[[#This Row],[ACT_Qty]]&lt;&gt;"",Table1[[#This Row],[Currency]]="NOK"),Table1[[#This Row],[ACT_Qty]]*Table1[[#This Row],[Unit Price]],""),"")</f>
        <v/>
      </c>
      <c r="R741" s="41" t="str">
        <f ca="1">IFERROR(IF(AND(Table1[[#This Row],[Quantity]]&lt;&gt;"",Table1[[#This Row],[Currency]]="EUR"),Table1[[#This Row],[Quantity]]*Table1[[#This Row],[Unit Price]],""),"")</f>
        <v/>
      </c>
      <c r="S741" s="41" t="str">
        <f ca="1">IFERROR(IF(AND(Table1[[#This Row],[ACT_Qty]]&lt;&gt;"",Table1[[#This Row],[Currency]]="EUR"),Table1[[#This Row],[ACT_Qty]]*Table1[[#This Row],[Unit Price]],""),"")</f>
        <v/>
      </c>
      <c r="T741" s="269" t="str">
        <f ca="1">IFERROR(IF(AND(($N$3&lt;&gt;""),INDIRECT(Aux!$D$1)),VLOOKUP(Table1[[#This Row],[Product code]],Aux!B:E,4,FALSE),""),"")</f>
        <v/>
      </c>
      <c r="U741" s="145" t="str">
        <f>IFERROR(IF(OR(Table1[[#This Row],[Quantity]]&lt;&gt;"",Table1[[#This Row],[ACT_Qty]]&lt;&gt;""),Table1[[#This Row],[ACT_Qty]]-Table1[[#This Row],[Quantity]],""),"")</f>
        <v/>
      </c>
      <c r="V741" s="45"/>
      <c r="W741" s="45"/>
      <c r="X741" s="45"/>
    </row>
    <row r="742" spans="1:24">
      <c r="A742" s="233" t="str">
        <f t="shared" si="41"/>
        <v>AKH12345</v>
      </c>
      <c r="B742" s="80"/>
      <c r="C742" s="81"/>
      <c r="D742" s="73"/>
      <c r="E742" s="90"/>
      <c r="F742" s="73"/>
      <c r="G742" s="90"/>
      <c r="H742" s="82"/>
      <c r="I742" s="83"/>
      <c r="J742" s="82"/>
      <c r="K742" s="82"/>
      <c r="L742" s="84"/>
      <c r="M742" s="148" t="str">
        <f t="shared" si="42"/>
        <v>OneCo Networks AS</v>
      </c>
      <c r="N74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2" s="270" t="str">
        <f ca="1">IFERROR(IF(
OR(Table1[[#This Row],[Product category]]="Service items",Table1[[#This Row],[Product category]]="Additional services",Table1[[#This Row],[Product category]]="Additional materials"),
"NOK",IF(($N$3&lt;&gt;""),VLOOKUP(Table1[[#This Row],[Product code]],INDIRECT(Aux!$A$1),6,FALSE),"")),"")</f>
        <v/>
      </c>
      <c r="P742" s="43" t="str">
        <f ca="1">IFERROR(IF(AND(Table1[[#This Row],[Quantity]]&lt;&gt;"",Table1[[#This Row],[Currency]]="NOK"),Table1[[#This Row],[Quantity]]*Table1[[#This Row],[Unit Price]],""),"")</f>
        <v/>
      </c>
      <c r="Q742" s="43" t="str">
        <f ca="1">IFERROR(IF(AND(Table1[[#This Row],[ACT_Qty]]&lt;&gt;"",Table1[[#This Row],[Currency]]="NOK"),Table1[[#This Row],[ACT_Qty]]*Table1[[#This Row],[Unit Price]],""),"")</f>
        <v/>
      </c>
      <c r="R742" s="43" t="str">
        <f ca="1">IFERROR(IF(AND(Table1[[#This Row],[Quantity]]&lt;&gt;"",Table1[[#This Row],[Currency]]="EUR"),Table1[[#This Row],[Quantity]]*Table1[[#This Row],[Unit Price]],""),"")</f>
        <v/>
      </c>
      <c r="S742" s="43" t="str">
        <f ca="1">IFERROR(IF(AND(Table1[[#This Row],[ACT_Qty]]&lt;&gt;"",Table1[[#This Row],[Currency]]="EUR"),Table1[[#This Row],[ACT_Qty]]*Table1[[#This Row],[Unit Price]],""),"")</f>
        <v/>
      </c>
      <c r="T742" s="271" t="str">
        <f ca="1">IFERROR(IF(AND(($N$3&lt;&gt;""),INDIRECT(Aux!$D$1)),VLOOKUP(Table1[[#This Row],[Product code]],Aux!B:E,4,FALSE),""),"")</f>
        <v/>
      </c>
      <c r="U742" s="148" t="str">
        <f>IFERROR(IF(OR(Table1[[#This Row],[Quantity]]&lt;&gt;"",Table1[[#This Row],[ACT_Qty]]&lt;&gt;""),Table1[[#This Row],[ACT_Qty]]-Table1[[#This Row],[Quantity]],""),"")</f>
        <v/>
      </c>
      <c r="V742" s="46"/>
      <c r="W742" s="46"/>
      <c r="X742" s="46"/>
    </row>
    <row r="743" spans="1:24">
      <c r="A743" s="143" t="str">
        <f t="shared" si="41"/>
        <v>AKH12345</v>
      </c>
      <c r="B743" s="231"/>
      <c r="C743" s="120"/>
      <c r="D743" s="121"/>
      <c r="E743" s="122"/>
      <c r="F743" s="121"/>
      <c r="G743" s="122"/>
      <c r="H743" s="119"/>
      <c r="I743" s="123"/>
      <c r="J743" s="119"/>
      <c r="K743" s="119"/>
      <c r="L743" s="232"/>
      <c r="M743" s="145" t="str">
        <f t="shared" si="42"/>
        <v>OneCo Networks AS</v>
      </c>
      <c r="N74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3" s="268" t="str">
        <f ca="1">IFERROR(IF(
OR(Table1[[#This Row],[Product category]]="Service items",Table1[[#This Row],[Product category]]="Additional services",Table1[[#This Row],[Product category]]="Additional materials"),
"NOK",IF(($N$3&lt;&gt;""),VLOOKUP(Table1[[#This Row],[Product code]],INDIRECT(Aux!$A$1),6,FALSE),"")),"")</f>
        <v/>
      </c>
      <c r="P743" s="41" t="str">
        <f ca="1">IFERROR(IF(AND(Table1[[#This Row],[Quantity]]&lt;&gt;"",Table1[[#This Row],[Currency]]="NOK"),Table1[[#This Row],[Quantity]]*Table1[[#This Row],[Unit Price]],""),"")</f>
        <v/>
      </c>
      <c r="Q743" s="41" t="str">
        <f ca="1">IFERROR(IF(AND(Table1[[#This Row],[ACT_Qty]]&lt;&gt;"",Table1[[#This Row],[Currency]]="NOK"),Table1[[#This Row],[ACT_Qty]]*Table1[[#This Row],[Unit Price]],""),"")</f>
        <v/>
      </c>
      <c r="R743" s="41" t="str">
        <f ca="1">IFERROR(IF(AND(Table1[[#This Row],[Quantity]]&lt;&gt;"",Table1[[#This Row],[Currency]]="EUR"),Table1[[#This Row],[Quantity]]*Table1[[#This Row],[Unit Price]],""),"")</f>
        <v/>
      </c>
      <c r="S743" s="41" t="str">
        <f ca="1">IFERROR(IF(AND(Table1[[#This Row],[ACT_Qty]]&lt;&gt;"",Table1[[#This Row],[Currency]]="EUR"),Table1[[#This Row],[ACT_Qty]]*Table1[[#This Row],[Unit Price]],""),"")</f>
        <v/>
      </c>
      <c r="T743" s="269" t="str">
        <f ca="1">IFERROR(IF(AND(($N$3&lt;&gt;""),INDIRECT(Aux!$D$1)),VLOOKUP(Table1[[#This Row],[Product code]],Aux!B:E,4,FALSE),""),"")</f>
        <v/>
      </c>
      <c r="U743" s="145" t="str">
        <f>IFERROR(IF(OR(Table1[[#This Row],[Quantity]]&lt;&gt;"",Table1[[#This Row],[ACT_Qty]]&lt;&gt;""),Table1[[#This Row],[ACT_Qty]]-Table1[[#This Row],[Quantity]],""),"")</f>
        <v/>
      </c>
      <c r="V743" s="45"/>
      <c r="W743" s="45"/>
      <c r="X743" s="45"/>
    </row>
    <row r="744" spans="1:24">
      <c r="A744" s="233" t="str">
        <f t="shared" si="41"/>
        <v>AKH12345</v>
      </c>
      <c r="B744" s="80"/>
      <c r="C744" s="81"/>
      <c r="D744" s="73"/>
      <c r="E744" s="90"/>
      <c r="F744" s="73"/>
      <c r="G744" s="90"/>
      <c r="H744" s="82"/>
      <c r="I744" s="83"/>
      <c r="J744" s="82"/>
      <c r="K744" s="82"/>
      <c r="L744" s="84"/>
      <c r="M744" s="148" t="str">
        <f t="shared" si="42"/>
        <v>OneCo Networks AS</v>
      </c>
      <c r="N74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4" s="270" t="str">
        <f ca="1">IFERROR(IF(
OR(Table1[[#This Row],[Product category]]="Service items",Table1[[#This Row],[Product category]]="Additional services",Table1[[#This Row],[Product category]]="Additional materials"),
"NOK",IF(($N$3&lt;&gt;""),VLOOKUP(Table1[[#This Row],[Product code]],INDIRECT(Aux!$A$1),6,FALSE),"")),"")</f>
        <v/>
      </c>
      <c r="P744" s="43" t="str">
        <f ca="1">IFERROR(IF(AND(Table1[[#This Row],[Quantity]]&lt;&gt;"",Table1[[#This Row],[Currency]]="NOK"),Table1[[#This Row],[Quantity]]*Table1[[#This Row],[Unit Price]],""),"")</f>
        <v/>
      </c>
      <c r="Q744" s="43" t="str">
        <f ca="1">IFERROR(IF(AND(Table1[[#This Row],[ACT_Qty]]&lt;&gt;"",Table1[[#This Row],[Currency]]="NOK"),Table1[[#This Row],[ACT_Qty]]*Table1[[#This Row],[Unit Price]],""),"")</f>
        <v/>
      </c>
      <c r="R744" s="43" t="str">
        <f ca="1">IFERROR(IF(AND(Table1[[#This Row],[Quantity]]&lt;&gt;"",Table1[[#This Row],[Currency]]="EUR"),Table1[[#This Row],[Quantity]]*Table1[[#This Row],[Unit Price]],""),"")</f>
        <v/>
      </c>
      <c r="S744" s="43" t="str">
        <f ca="1">IFERROR(IF(AND(Table1[[#This Row],[ACT_Qty]]&lt;&gt;"",Table1[[#This Row],[Currency]]="EUR"),Table1[[#This Row],[ACT_Qty]]*Table1[[#This Row],[Unit Price]],""),"")</f>
        <v/>
      </c>
      <c r="T744" s="271" t="str">
        <f ca="1">IFERROR(IF(AND(($N$3&lt;&gt;""),INDIRECT(Aux!$D$1)),VLOOKUP(Table1[[#This Row],[Product code]],Aux!B:E,4,FALSE),""),"")</f>
        <v/>
      </c>
      <c r="U744" s="148" t="str">
        <f>IFERROR(IF(OR(Table1[[#This Row],[Quantity]]&lt;&gt;"",Table1[[#This Row],[ACT_Qty]]&lt;&gt;""),Table1[[#This Row],[ACT_Qty]]-Table1[[#This Row],[Quantity]],""),"")</f>
        <v/>
      </c>
      <c r="V744" s="46"/>
      <c r="W744" s="46"/>
      <c r="X744" s="46"/>
    </row>
    <row r="745" spans="1:24">
      <c r="A745" s="143" t="str">
        <f t="shared" si="41"/>
        <v>AKH12345</v>
      </c>
      <c r="B745" s="231"/>
      <c r="C745" s="120"/>
      <c r="D745" s="121"/>
      <c r="E745" s="122"/>
      <c r="F745" s="121"/>
      <c r="G745" s="122"/>
      <c r="H745" s="119"/>
      <c r="I745" s="123"/>
      <c r="J745" s="119"/>
      <c r="K745" s="119"/>
      <c r="L745" s="232"/>
      <c r="M745" s="145" t="str">
        <f t="shared" si="42"/>
        <v>OneCo Networks AS</v>
      </c>
      <c r="N74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5" s="268" t="str">
        <f ca="1">IFERROR(IF(
OR(Table1[[#This Row],[Product category]]="Service items",Table1[[#This Row],[Product category]]="Additional services",Table1[[#This Row],[Product category]]="Additional materials"),
"NOK",IF(($N$3&lt;&gt;""),VLOOKUP(Table1[[#This Row],[Product code]],INDIRECT(Aux!$A$1),6,FALSE),"")),"")</f>
        <v/>
      </c>
      <c r="P745" s="41" t="str">
        <f ca="1">IFERROR(IF(AND(Table1[[#This Row],[Quantity]]&lt;&gt;"",Table1[[#This Row],[Currency]]="NOK"),Table1[[#This Row],[Quantity]]*Table1[[#This Row],[Unit Price]],""),"")</f>
        <v/>
      </c>
      <c r="Q745" s="41" t="str">
        <f ca="1">IFERROR(IF(AND(Table1[[#This Row],[ACT_Qty]]&lt;&gt;"",Table1[[#This Row],[Currency]]="NOK"),Table1[[#This Row],[ACT_Qty]]*Table1[[#This Row],[Unit Price]],""),"")</f>
        <v/>
      </c>
      <c r="R745" s="41" t="str">
        <f ca="1">IFERROR(IF(AND(Table1[[#This Row],[Quantity]]&lt;&gt;"",Table1[[#This Row],[Currency]]="EUR"),Table1[[#This Row],[Quantity]]*Table1[[#This Row],[Unit Price]],""),"")</f>
        <v/>
      </c>
      <c r="S745" s="41" t="str">
        <f ca="1">IFERROR(IF(AND(Table1[[#This Row],[ACT_Qty]]&lt;&gt;"",Table1[[#This Row],[Currency]]="EUR"),Table1[[#This Row],[ACT_Qty]]*Table1[[#This Row],[Unit Price]],""),"")</f>
        <v/>
      </c>
      <c r="T745" s="269" t="str">
        <f ca="1">IFERROR(IF(AND(($N$3&lt;&gt;""),INDIRECT(Aux!$D$1)),VLOOKUP(Table1[[#This Row],[Product code]],Aux!B:E,4,FALSE),""),"")</f>
        <v/>
      </c>
      <c r="U745" s="145" t="str">
        <f>IFERROR(IF(OR(Table1[[#This Row],[Quantity]]&lt;&gt;"",Table1[[#This Row],[ACT_Qty]]&lt;&gt;""),Table1[[#This Row],[ACT_Qty]]-Table1[[#This Row],[Quantity]],""),"")</f>
        <v/>
      </c>
      <c r="V745" s="45"/>
      <c r="W745" s="45"/>
      <c r="X745" s="45"/>
    </row>
    <row r="746" spans="1:24">
      <c r="A746" s="233" t="str">
        <f t="shared" si="41"/>
        <v>AKH12345</v>
      </c>
      <c r="B746" s="80"/>
      <c r="C746" s="81"/>
      <c r="D746" s="73"/>
      <c r="E746" s="90"/>
      <c r="F746" s="73"/>
      <c r="G746" s="90"/>
      <c r="H746" s="82"/>
      <c r="I746" s="83"/>
      <c r="J746" s="82"/>
      <c r="K746" s="82"/>
      <c r="L746" s="84"/>
      <c r="M746" s="148" t="str">
        <f t="shared" si="42"/>
        <v>OneCo Networks AS</v>
      </c>
      <c r="N74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6" s="270" t="str">
        <f ca="1">IFERROR(IF(
OR(Table1[[#This Row],[Product category]]="Service items",Table1[[#This Row],[Product category]]="Additional services",Table1[[#This Row],[Product category]]="Additional materials"),
"NOK",IF(($N$3&lt;&gt;""),VLOOKUP(Table1[[#This Row],[Product code]],INDIRECT(Aux!$A$1),6,FALSE),"")),"")</f>
        <v/>
      </c>
      <c r="P746" s="43" t="str">
        <f ca="1">IFERROR(IF(AND(Table1[[#This Row],[Quantity]]&lt;&gt;"",Table1[[#This Row],[Currency]]="NOK"),Table1[[#This Row],[Quantity]]*Table1[[#This Row],[Unit Price]],""),"")</f>
        <v/>
      </c>
      <c r="Q746" s="43" t="str">
        <f ca="1">IFERROR(IF(AND(Table1[[#This Row],[ACT_Qty]]&lt;&gt;"",Table1[[#This Row],[Currency]]="NOK"),Table1[[#This Row],[ACT_Qty]]*Table1[[#This Row],[Unit Price]],""),"")</f>
        <v/>
      </c>
      <c r="R746" s="43" t="str">
        <f ca="1">IFERROR(IF(AND(Table1[[#This Row],[Quantity]]&lt;&gt;"",Table1[[#This Row],[Currency]]="EUR"),Table1[[#This Row],[Quantity]]*Table1[[#This Row],[Unit Price]],""),"")</f>
        <v/>
      </c>
      <c r="S746" s="43" t="str">
        <f ca="1">IFERROR(IF(AND(Table1[[#This Row],[ACT_Qty]]&lt;&gt;"",Table1[[#This Row],[Currency]]="EUR"),Table1[[#This Row],[ACT_Qty]]*Table1[[#This Row],[Unit Price]],""),"")</f>
        <v/>
      </c>
      <c r="T746" s="271" t="str">
        <f ca="1">IFERROR(IF(AND(($N$3&lt;&gt;""),INDIRECT(Aux!$D$1)),VLOOKUP(Table1[[#This Row],[Product code]],Aux!B:E,4,FALSE),""),"")</f>
        <v/>
      </c>
      <c r="U746" s="148" t="str">
        <f>IFERROR(IF(OR(Table1[[#This Row],[Quantity]]&lt;&gt;"",Table1[[#This Row],[ACT_Qty]]&lt;&gt;""),Table1[[#This Row],[ACT_Qty]]-Table1[[#This Row],[Quantity]],""),"")</f>
        <v/>
      </c>
      <c r="V746" s="46"/>
      <c r="W746" s="46"/>
      <c r="X746" s="46"/>
    </row>
    <row r="747" spans="1:24">
      <c r="A747" s="143" t="str">
        <f t="shared" si="41"/>
        <v>AKH12345</v>
      </c>
      <c r="B747" s="231"/>
      <c r="C747" s="120"/>
      <c r="D747" s="121"/>
      <c r="E747" s="122"/>
      <c r="F747" s="121"/>
      <c r="G747" s="122"/>
      <c r="H747" s="119"/>
      <c r="I747" s="123"/>
      <c r="J747" s="119"/>
      <c r="K747" s="119"/>
      <c r="L747" s="232"/>
      <c r="M747" s="145" t="str">
        <f t="shared" si="42"/>
        <v>OneCo Networks AS</v>
      </c>
      <c r="N74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7" s="268" t="str">
        <f ca="1">IFERROR(IF(
OR(Table1[[#This Row],[Product category]]="Service items",Table1[[#This Row],[Product category]]="Additional services",Table1[[#This Row],[Product category]]="Additional materials"),
"NOK",IF(($N$3&lt;&gt;""),VLOOKUP(Table1[[#This Row],[Product code]],INDIRECT(Aux!$A$1),6,FALSE),"")),"")</f>
        <v/>
      </c>
      <c r="P747" s="41" t="str">
        <f ca="1">IFERROR(IF(AND(Table1[[#This Row],[Quantity]]&lt;&gt;"",Table1[[#This Row],[Currency]]="NOK"),Table1[[#This Row],[Quantity]]*Table1[[#This Row],[Unit Price]],""),"")</f>
        <v/>
      </c>
      <c r="Q747" s="41" t="str">
        <f ca="1">IFERROR(IF(AND(Table1[[#This Row],[ACT_Qty]]&lt;&gt;"",Table1[[#This Row],[Currency]]="NOK"),Table1[[#This Row],[ACT_Qty]]*Table1[[#This Row],[Unit Price]],""),"")</f>
        <v/>
      </c>
      <c r="R747" s="41" t="str">
        <f ca="1">IFERROR(IF(AND(Table1[[#This Row],[Quantity]]&lt;&gt;"",Table1[[#This Row],[Currency]]="EUR"),Table1[[#This Row],[Quantity]]*Table1[[#This Row],[Unit Price]],""),"")</f>
        <v/>
      </c>
      <c r="S747" s="41" t="str">
        <f ca="1">IFERROR(IF(AND(Table1[[#This Row],[ACT_Qty]]&lt;&gt;"",Table1[[#This Row],[Currency]]="EUR"),Table1[[#This Row],[ACT_Qty]]*Table1[[#This Row],[Unit Price]],""),"")</f>
        <v/>
      </c>
      <c r="T747" s="269" t="str">
        <f ca="1">IFERROR(IF(AND(($N$3&lt;&gt;""),INDIRECT(Aux!$D$1)),VLOOKUP(Table1[[#This Row],[Product code]],Aux!B:E,4,FALSE),""),"")</f>
        <v/>
      </c>
      <c r="U747" s="145" t="str">
        <f>IFERROR(IF(OR(Table1[[#This Row],[Quantity]]&lt;&gt;"",Table1[[#This Row],[ACT_Qty]]&lt;&gt;""),Table1[[#This Row],[ACT_Qty]]-Table1[[#This Row],[Quantity]],""),"")</f>
        <v/>
      </c>
      <c r="V747" s="45"/>
      <c r="W747" s="45"/>
      <c r="X747" s="45"/>
    </row>
    <row r="748" spans="1:24">
      <c r="A748" s="233" t="str">
        <f t="shared" si="41"/>
        <v>AKH12345</v>
      </c>
      <c r="B748" s="80"/>
      <c r="C748" s="81"/>
      <c r="D748" s="73"/>
      <c r="E748" s="90"/>
      <c r="F748" s="73"/>
      <c r="G748" s="90"/>
      <c r="H748" s="82"/>
      <c r="I748" s="83"/>
      <c r="J748" s="82"/>
      <c r="K748" s="82"/>
      <c r="L748" s="84"/>
      <c r="M748" s="148" t="str">
        <f t="shared" si="42"/>
        <v>OneCo Networks AS</v>
      </c>
      <c r="N74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8" s="270" t="str">
        <f ca="1">IFERROR(IF(
OR(Table1[[#This Row],[Product category]]="Service items",Table1[[#This Row],[Product category]]="Additional services",Table1[[#This Row],[Product category]]="Additional materials"),
"NOK",IF(($N$3&lt;&gt;""),VLOOKUP(Table1[[#This Row],[Product code]],INDIRECT(Aux!$A$1),6,FALSE),"")),"")</f>
        <v/>
      </c>
      <c r="P748" s="43" t="str">
        <f ca="1">IFERROR(IF(AND(Table1[[#This Row],[Quantity]]&lt;&gt;"",Table1[[#This Row],[Currency]]="NOK"),Table1[[#This Row],[Quantity]]*Table1[[#This Row],[Unit Price]],""),"")</f>
        <v/>
      </c>
      <c r="Q748" s="43" t="str">
        <f ca="1">IFERROR(IF(AND(Table1[[#This Row],[ACT_Qty]]&lt;&gt;"",Table1[[#This Row],[Currency]]="NOK"),Table1[[#This Row],[ACT_Qty]]*Table1[[#This Row],[Unit Price]],""),"")</f>
        <v/>
      </c>
      <c r="R748" s="43" t="str">
        <f ca="1">IFERROR(IF(AND(Table1[[#This Row],[Quantity]]&lt;&gt;"",Table1[[#This Row],[Currency]]="EUR"),Table1[[#This Row],[Quantity]]*Table1[[#This Row],[Unit Price]],""),"")</f>
        <v/>
      </c>
      <c r="S748" s="43" t="str">
        <f ca="1">IFERROR(IF(AND(Table1[[#This Row],[ACT_Qty]]&lt;&gt;"",Table1[[#This Row],[Currency]]="EUR"),Table1[[#This Row],[ACT_Qty]]*Table1[[#This Row],[Unit Price]],""),"")</f>
        <v/>
      </c>
      <c r="T748" s="271" t="str">
        <f ca="1">IFERROR(IF(AND(($N$3&lt;&gt;""),INDIRECT(Aux!$D$1)),VLOOKUP(Table1[[#This Row],[Product code]],Aux!B:E,4,FALSE),""),"")</f>
        <v/>
      </c>
      <c r="U748" s="148" t="str">
        <f>IFERROR(IF(OR(Table1[[#This Row],[Quantity]]&lt;&gt;"",Table1[[#This Row],[ACT_Qty]]&lt;&gt;""),Table1[[#This Row],[ACT_Qty]]-Table1[[#This Row],[Quantity]],""),"")</f>
        <v/>
      </c>
      <c r="V748" s="46"/>
      <c r="W748" s="46"/>
      <c r="X748" s="46"/>
    </row>
    <row r="749" spans="1:24">
      <c r="A749" s="143" t="str">
        <f t="shared" si="41"/>
        <v>AKH12345</v>
      </c>
      <c r="B749" s="231"/>
      <c r="C749" s="120"/>
      <c r="D749" s="121"/>
      <c r="E749" s="122"/>
      <c r="F749" s="121"/>
      <c r="G749" s="122"/>
      <c r="H749" s="119"/>
      <c r="I749" s="123"/>
      <c r="J749" s="119"/>
      <c r="K749" s="119"/>
      <c r="L749" s="232"/>
      <c r="M749" s="145" t="str">
        <f t="shared" si="42"/>
        <v>OneCo Networks AS</v>
      </c>
      <c r="N74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49" s="268" t="str">
        <f ca="1">IFERROR(IF(
OR(Table1[[#This Row],[Product category]]="Service items",Table1[[#This Row],[Product category]]="Additional services",Table1[[#This Row],[Product category]]="Additional materials"),
"NOK",IF(($N$3&lt;&gt;""),VLOOKUP(Table1[[#This Row],[Product code]],INDIRECT(Aux!$A$1),6,FALSE),"")),"")</f>
        <v/>
      </c>
      <c r="P749" s="41" t="str">
        <f ca="1">IFERROR(IF(AND(Table1[[#This Row],[Quantity]]&lt;&gt;"",Table1[[#This Row],[Currency]]="NOK"),Table1[[#This Row],[Quantity]]*Table1[[#This Row],[Unit Price]],""),"")</f>
        <v/>
      </c>
      <c r="Q749" s="41" t="str">
        <f ca="1">IFERROR(IF(AND(Table1[[#This Row],[ACT_Qty]]&lt;&gt;"",Table1[[#This Row],[Currency]]="NOK"),Table1[[#This Row],[ACT_Qty]]*Table1[[#This Row],[Unit Price]],""),"")</f>
        <v/>
      </c>
      <c r="R749" s="41" t="str">
        <f ca="1">IFERROR(IF(AND(Table1[[#This Row],[Quantity]]&lt;&gt;"",Table1[[#This Row],[Currency]]="EUR"),Table1[[#This Row],[Quantity]]*Table1[[#This Row],[Unit Price]],""),"")</f>
        <v/>
      </c>
      <c r="S749" s="41" t="str">
        <f ca="1">IFERROR(IF(AND(Table1[[#This Row],[ACT_Qty]]&lt;&gt;"",Table1[[#This Row],[Currency]]="EUR"),Table1[[#This Row],[ACT_Qty]]*Table1[[#This Row],[Unit Price]],""),"")</f>
        <v/>
      </c>
      <c r="T749" s="269" t="str">
        <f ca="1">IFERROR(IF(AND(($N$3&lt;&gt;""),INDIRECT(Aux!$D$1)),VLOOKUP(Table1[[#This Row],[Product code]],Aux!B:E,4,FALSE),""),"")</f>
        <v/>
      </c>
      <c r="U749" s="145" t="str">
        <f>IFERROR(IF(OR(Table1[[#This Row],[Quantity]]&lt;&gt;"",Table1[[#This Row],[ACT_Qty]]&lt;&gt;""),Table1[[#This Row],[ACT_Qty]]-Table1[[#This Row],[Quantity]],""),"")</f>
        <v/>
      </c>
      <c r="V749" s="45"/>
      <c r="W749" s="45"/>
      <c r="X749" s="45"/>
    </row>
    <row r="750" spans="1:24">
      <c r="A750" s="233" t="str">
        <f t="shared" si="41"/>
        <v>AKH12345</v>
      </c>
      <c r="B750" s="80"/>
      <c r="C750" s="81"/>
      <c r="D750" s="73"/>
      <c r="E750" s="90"/>
      <c r="F750" s="73"/>
      <c r="G750" s="90"/>
      <c r="H750" s="82"/>
      <c r="I750" s="83"/>
      <c r="J750" s="82"/>
      <c r="K750" s="82"/>
      <c r="L750" s="84"/>
      <c r="M750" s="148" t="str">
        <f t="shared" si="42"/>
        <v>OneCo Networks AS</v>
      </c>
      <c r="N75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0" s="270" t="str">
        <f ca="1">IFERROR(IF(
OR(Table1[[#This Row],[Product category]]="Service items",Table1[[#This Row],[Product category]]="Additional services",Table1[[#This Row],[Product category]]="Additional materials"),
"NOK",IF(($N$3&lt;&gt;""),VLOOKUP(Table1[[#This Row],[Product code]],INDIRECT(Aux!$A$1),6,FALSE),"")),"")</f>
        <v/>
      </c>
      <c r="P750" s="43" t="str">
        <f ca="1">IFERROR(IF(AND(Table1[[#This Row],[Quantity]]&lt;&gt;"",Table1[[#This Row],[Currency]]="NOK"),Table1[[#This Row],[Quantity]]*Table1[[#This Row],[Unit Price]],""),"")</f>
        <v/>
      </c>
      <c r="Q750" s="43" t="str">
        <f ca="1">IFERROR(IF(AND(Table1[[#This Row],[ACT_Qty]]&lt;&gt;"",Table1[[#This Row],[Currency]]="NOK"),Table1[[#This Row],[ACT_Qty]]*Table1[[#This Row],[Unit Price]],""),"")</f>
        <v/>
      </c>
      <c r="R750" s="43" t="str">
        <f ca="1">IFERROR(IF(AND(Table1[[#This Row],[Quantity]]&lt;&gt;"",Table1[[#This Row],[Currency]]="EUR"),Table1[[#This Row],[Quantity]]*Table1[[#This Row],[Unit Price]],""),"")</f>
        <v/>
      </c>
      <c r="S750" s="43" t="str">
        <f ca="1">IFERROR(IF(AND(Table1[[#This Row],[ACT_Qty]]&lt;&gt;"",Table1[[#This Row],[Currency]]="EUR"),Table1[[#This Row],[ACT_Qty]]*Table1[[#This Row],[Unit Price]],""),"")</f>
        <v/>
      </c>
      <c r="T750" s="271" t="str">
        <f ca="1">IFERROR(IF(AND(($N$3&lt;&gt;""),INDIRECT(Aux!$D$1)),VLOOKUP(Table1[[#This Row],[Product code]],Aux!B:E,4,FALSE),""),"")</f>
        <v/>
      </c>
      <c r="U750" s="148" t="str">
        <f>IFERROR(IF(OR(Table1[[#This Row],[Quantity]]&lt;&gt;"",Table1[[#This Row],[ACT_Qty]]&lt;&gt;""),Table1[[#This Row],[ACT_Qty]]-Table1[[#This Row],[Quantity]],""),"")</f>
        <v/>
      </c>
      <c r="V750" s="46"/>
      <c r="W750" s="46"/>
      <c r="X750" s="46"/>
    </row>
    <row r="751" spans="1:24">
      <c r="A751" s="143" t="str">
        <f t="shared" si="41"/>
        <v>AKH12345</v>
      </c>
      <c r="B751" s="231"/>
      <c r="C751" s="120"/>
      <c r="D751" s="121"/>
      <c r="E751" s="122"/>
      <c r="F751" s="121"/>
      <c r="G751" s="122"/>
      <c r="H751" s="119"/>
      <c r="I751" s="123"/>
      <c r="J751" s="119"/>
      <c r="K751" s="119"/>
      <c r="L751" s="232"/>
      <c r="M751" s="145" t="str">
        <f t="shared" si="42"/>
        <v>OneCo Networks AS</v>
      </c>
      <c r="N75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1" s="268" t="str">
        <f ca="1">IFERROR(IF(
OR(Table1[[#This Row],[Product category]]="Service items",Table1[[#This Row],[Product category]]="Additional services",Table1[[#This Row],[Product category]]="Additional materials"),
"NOK",IF(($N$3&lt;&gt;""),VLOOKUP(Table1[[#This Row],[Product code]],INDIRECT(Aux!$A$1),6,FALSE),"")),"")</f>
        <v/>
      </c>
      <c r="P751" s="41" t="str">
        <f ca="1">IFERROR(IF(AND(Table1[[#This Row],[Quantity]]&lt;&gt;"",Table1[[#This Row],[Currency]]="NOK"),Table1[[#This Row],[Quantity]]*Table1[[#This Row],[Unit Price]],""),"")</f>
        <v/>
      </c>
      <c r="Q751" s="41" t="str">
        <f ca="1">IFERROR(IF(AND(Table1[[#This Row],[ACT_Qty]]&lt;&gt;"",Table1[[#This Row],[Currency]]="NOK"),Table1[[#This Row],[ACT_Qty]]*Table1[[#This Row],[Unit Price]],""),"")</f>
        <v/>
      </c>
      <c r="R751" s="41" t="str">
        <f ca="1">IFERROR(IF(AND(Table1[[#This Row],[Quantity]]&lt;&gt;"",Table1[[#This Row],[Currency]]="EUR"),Table1[[#This Row],[Quantity]]*Table1[[#This Row],[Unit Price]],""),"")</f>
        <v/>
      </c>
      <c r="S751" s="41" t="str">
        <f ca="1">IFERROR(IF(AND(Table1[[#This Row],[ACT_Qty]]&lt;&gt;"",Table1[[#This Row],[Currency]]="EUR"),Table1[[#This Row],[ACT_Qty]]*Table1[[#This Row],[Unit Price]],""),"")</f>
        <v/>
      </c>
      <c r="T751" s="269" t="str">
        <f ca="1">IFERROR(IF(AND(($N$3&lt;&gt;""),INDIRECT(Aux!$D$1)),VLOOKUP(Table1[[#This Row],[Product code]],Aux!B:E,4,FALSE),""),"")</f>
        <v/>
      </c>
      <c r="U751" s="145" t="str">
        <f>IFERROR(IF(OR(Table1[[#This Row],[Quantity]]&lt;&gt;"",Table1[[#This Row],[ACT_Qty]]&lt;&gt;""),Table1[[#This Row],[ACT_Qty]]-Table1[[#This Row],[Quantity]],""),"")</f>
        <v/>
      </c>
      <c r="V751" s="45"/>
      <c r="W751" s="45"/>
      <c r="X751" s="45"/>
    </row>
    <row r="752" spans="1:24">
      <c r="A752" s="233" t="str">
        <f t="shared" ref="A752:A782" si="43">$C$4</f>
        <v>AKH12345</v>
      </c>
      <c r="B752" s="80"/>
      <c r="C752" s="81"/>
      <c r="D752" s="73"/>
      <c r="E752" s="90"/>
      <c r="F752" s="73"/>
      <c r="G752" s="90"/>
      <c r="H752" s="82"/>
      <c r="I752" s="83"/>
      <c r="J752" s="82"/>
      <c r="K752" s="82"/>
      <c r="L752" s="84"/>
      <c r="M752" s="148" t="str">
        <f t="shared" si="42"/>
        <v>OneCo Networks AS</v>
      </c>
      <c r="N75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2" s="270" t="str">
        <f ca="1">IFERROR(IF(
OR(Table1[[#This Row],[Product category]]="Service items",Table1[[#This Row],[Product category]]="Additional services",Table1[[#This Row],[Product category]]="Additional materials"),
"NOK",IF(($N$3&lt;&gt;""),VLOOKUP(Table1[[#This Row],[Product code]],INDIRECT(Aux!$A$1),6,FALSE),"")),"")</f>
        <v/>
      </c>
      <c r="P752" s="43" t="str">
        <f ca="1">IFERROR(IF(AND(Table1[[#This Row],[Quantity]]&lt;&gt;"",Table1[[#This Row],[Currency]]="NOK"),Table1[[#This Row],[Quantity]]*Table1[[#This Row],[Unit Price]],""),"")</f>
        <v/>
      </c>
      <c r="Q752" s="43" t="str">
        <f ca="1">IFERROR(IF(AND(Table1[[#This Row],[ACT_Qty]]&lt;&gt;"",Table1[[#This Row],[Currency]]="NOK"),Table1[[#This Row],[ACT_Qty]]*Table1[[#This Row],[Unit Price]],""),"")</f>
        <v/>
      </c>
      <c r="R752" s="43" t="str">
        <f ca="1">IFERROR(IF(AND(Table1[[#This Row],[Quantity]]&lt;&gt;"",Table1[[#This Row],[Currency]]="EUR"),Table1[[#This Row],[Quantity]]*Table1[[#This Row],[Unit Price]],""),"")</f>
        <v/>
      </c>
      <c r="S752" s="43" t="str">
        <f ca="1">IFERROR(IF(AND(Table1[[#This Row],[ACT_Qty]]&lt;&gt;"",Table1[[#This Row],[Currency]]="EUR"),Table1[[#This Row],[ACT_Qty]]*Table1[[#This Row],[Unit Price]],""),"")</f>
        <v/>
      </c>
      <c r="T752" s="271" t="str">
        <f ca="1">IFERROR(IF(AND(($N$3&lt;&gt;""),INDIRECT(Aux!$D$1)),VLOOKUP(Table1[[#This Row],[Product code]],Aux!B:E,4,FALSE),""),"")</f>
        <v/>
      </c>
      <c r="U752" s="148" t="str">
        <f>IFERROR(IF(OR(Table1[[#This Row],[Quantity]]&lt;&gt;"",Table1[[#This Row],[ACT_Qty]]&lt;&gt;""),Table1[[#This Row],[ACT_Qty]]-Table1[[#This Row],[Quantity]],""),"")</f>
        <v/>
      </c>
      <c r="V752" s="46"/>
      <c r="W752" s="46"/>
      <c r="X752" s="46"/>
    </row>
    <row r="753" spans="1:24">
      <c r="A753" s="143" t="str">
        <f t="shared" si="43"/>
        <v>AKH12345</v>
      </c>
      <c r="B753" s="231"/>
      <c r="C753" s="120"/>
      <c r="D753" s="121"/>
      <c r="E753" s="122"/>
      <c r="F753" s="121"/>
      <c r="G753" s="122"/>
      <c r="H753" s="119"/>
      <c r="I753" s="123"/>
      <c r="J753" s="119"/>
      <c r="K753" s="119"/>
      <c r="L753" s="232"/>
      <c r="M753" s="145" t="str">
        <f t="shared" si="42"/>
        <v>OneCo Networks AS</v>
      </c>
      <c r="N75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3" s="268" t="str">
        <f ca="1">IFERROR(IF(
OR(Table1[[#This Row],[Product category]]="Service items",Table1[[#This Row],[Product category]]="Additional services",Table1[[#This Row],[Product category]]="Additional materials"),
"NOK",IF(($N$3&lt;&gt;""),VLOOKUP(Table1[[#This Row],[Product code]],INDIRECT(Aux!$A$1),6,FALSE),"")),"")</f>
        <v/>
      </c>
      <c r="P753" s="41" t="str">
        <f ca="1">IFERROR(IF(AND(Table1[[#This Row],[Quantity]]&lt;&gt;"",Table1[[#This Row],[Currency]]="NOK"),Table1[[#This Row],[Quantity]]*Table1[[#This Row],[Unit Price]],""),"")</f>
        <v/>
      </c>
      <c r="Q753" s="41" t="str">
        <f ca="1">IFERROR(IF(AND(Table1[[#This Row],[ACT_Qty]]&lt;&gt;"",Table1[[#This Row],[Currency]]="NOK"),Table1[[#This Row],[ACT_Qty]]*Table1[[#This Row],[Unit Price]],""),"")</f>
        <v/>
      </c>
      <c r="R753" s="41" t="str">
        <f ca="1">IFERROR(IF(AND(Table1[[#This Row],[Quantity]]&lt;&gt;"",Table1[[#This Row],[Currency]]="EUR"),Table1[[#This Row],[Quantity]]*Table1[[#This Row],[Unit Price]],""),"")</f>
        <v/>
      </c>
      <c r="S753" s="41" t="str">
        <f ca="1">IFERROR(IF(AND(Table1[[#This Row],[ACT_Qty]]&lt;&gt;"",Table1[[#This Row],[Currency]]="EUR"),Table1[[#This Row],[ACT_Qty]]*Table1[[#This Row],[Unit Price]],""),"")</f>
        <v/>
      </c>
      <c r="T753" s="269" t="str">
        <f ca="1">IFERROR(IF(AND(($N$3&lt;&gt;""),INDIRECT(Aux!$D$1)),VLOOKUP(Table1[[#This Row],[Product code]],Aux!B:E,4,FALSE),""),"")</f>
        <v/>
      </c>
      <c r="U753" s="145" t="str">
        <f>IFERROR(IF(OR(Table1[[#This Row],[Quantity]]&lt;&gt;"",Table1[[#This Row],[ACT_Qty]]&lt;&gt;""),Table1[[#This Row],[ACT_Qty]]-Table1[[#This Row],[Quantity]],""),"")</f>
        <v/>
      </c>
      <c r="V753" s="45"/>
      <c r="W753" s="45"/>
      <c r="X753" s="45"/>
    </row>
    <row r="754" spans="1:24">
      <c r="A754" s="233" t="str">
        <f t="shared" si="43"/>
        <v>AKH12345</v>
      </c>
      <c r="B754" s="80"/>
      <c r="C754" s="81"/>
      <c r="D754" s="73"/>
      <c r="E754" s="90"/>
      <c r="F754" s="73"/>
      <c r="G754" s="90"/>
      <c r="H754" s="82"/>
      <c r="I754" s="83"/>
      <c r="J754" s="82"/>
      <c r="K754" s="82"/>
      <c r="L754" s="84"/>
      <c r="M754" s="148" t="str">
        <f t="shared" si="42"/>
        <v>OneCo Networks AS</v>
      </c>
      <c r="N75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4" s="270" t="str">
        <f ca="1">IFERROR(IF(
OR(Table1[[#This Row],[Product category]]="Service items",Table1[[#This Row],[Product category]]="Additional services",Table1[[#This Row],[Product category]]="Additional materials"),
"NOK",IF(($N$3&lt;&gt;""),VLOOKUP(Table1[[#This Row],[Product code]],INDIRECT(Aux!$A$1),6,FALSE),"")),"")</f>
        <v/>
      </c>
      <c r="P754" s="43" t="str">
        <f ca="1">IFERROR(IF(AND(Table1[[#This Row],[Quantity]]&lt;&gt;"",Table1[[#This Row],[Currency]]="NOK"),Table1[[#This Row],[Quantity]]*Table1[[#This Row],[Unit Price]],""),"")</f>
        <v/>
      </c>
      <c r="Q754" s="43" t="str">
        <f ca="1">IFERROR(IF(AND(Table1[[#This Row],[ACT_Qty]]&lt;&gt;"",Table1[[#This Row],[Currency]]="NOK"),Table1[[#This Row],[ACT_Qty]]*Table1[[#This Row],[Unit Price]],""),"")</f>
        <v/>
      </c>
      <c r="R754" s="43" t="str">
        <f ca="1">IFERROR(IF(AND(Table1[[#This Row],[Quantity]]&lt;&gt;"",Table1[[#This Row],[Currency]]="EUR"),Table1[[#This Row],[Quantity]]*Table1[[#This Row],[Unit Price]],""),"")</f>
        <v/>
      </c>
      <c r="S754" s="43" t="str">
        <f ca="1">IFERROR(IF(AND(Table1[[#This Row],[ACT_Qty]]&lt;&gt;"",Table1[[#This Row],[Currency]]="EUR"),Table1[[#This Row],[ACT_Qty]]*Table1[[#This Row],[Unit Price]],""),"")</f>
        <v/>
      </c>
      <c r="T754" s="271" t="str">
        <f ca="1">IFERROR(IF(AND(($N$3&lt;&gt;""),INDIRECT(Aux!$D$1)),VLOOKUP(Table1[[#This Row],[Product code]],Aux!B:E,4,FALSE),""),"")</f>
        <v/>
      </c>
      <c r="U754" s="148" t="str">
        <f>IFERROR(IF(OR(Table1[[#This Row],[Quantity]]&lt;&gt;"",Table1[[#This Row],[ACT_Qty]]&lt;&gt;""),Table1[[#This Row],[ACT_Qty]]-Table1[[#This Row],[Quantity]],""),"")</f>
        <v/>
      </c>
      <c r="V754" s="46"/>
      <c r="W754" s="46"/>
      <c r="X754" s="46"/>
    </row>
    <row r="755" spans="1:24">
      <c r="A755" s="143" t="str">
        <f t="shared" si="43"/>
        <v>AKH12345</v>
      </c>
      <c r="B755" s="231"/>
      <c r="C755" s="120"/>
      <c r="D755" s="121"/>
      <c r="E755" s="122"/>
      <c r="F755" s="121"/>
      <c r="G755" s="122"/>
      <c r="H755" s="119"/>
      <c r="I755" s="123"/>
      <c r="J755" s="119"/>
      <c r="K755" s="119"/>
      <c r="L755" s="232"/>
      <c r="M755" s="145" t="str">
        <f t="shared" si="42"/>
        <v>OneCo Networks AS</v>
      </c>
      <c r="N75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5" s="268" t="str">
        <f ca="1">IFERROR(IF(
OR(Table1[[#This Row],[Product category]]="Service items",Table1[[#This Row],[Product category]]="Additional services",Table1[[#This Row],[Product category]]="Additional materials"),
"NOK",IF(($N$3&lt;&gt;""),VLOOKUP(Table1[[#This Row],[Product code]],INDIRECT(Aux!$A$1),6,FALSE),"")),"")</f>
        <v/>
      </c>
      <c r="P755" s="41" t="str">
        <f ca="1">IFERROR(IF(AND(Table1[[#This Row],[Quantity]]&lt;&gt;"",Table1[[#This Row],[Currency]]="NOK"),Table1[[#This Row],[Quantity]]*Table1[[#This Row],[Unit Price]],""),"")</f>
        <v/>
      </c>
      <c r="Q755" s="41" t="str">
        <f ca="1">IFERROR(IF(AND(Table1[[#This Row],[ACT_Qty]]&lt;&gt;"",Table1[[#This Row],[Currency]]="NOK"),Table1[[#This Row],[ACT_Qty]]*Table1[[#This Row],[Unit Price]],""),"")</f>
        <v/>
      </c>
      <c r="R755" s="41" t="str">
        <f ca="1">IFERROR(IF(AND(Table1[[#This Row],[Quantity]]&lt;&gt;"",Table1[[#This Row],[Currency]]="EUR"),Table1[[#This Row],[Quantity]]*Table1[[#This Row],[Unit Price]],""),"")</f>
        <v/>
      </c>
      <c r="S755" s="41" t="str">
        <f ca="1">IFERROR(IF(AND(Table1[[#This Row],[ACT_Qty]]&lt;&gt;"",Table1[[#This Row],[Currency]]="EUR"),Table1[[#This Row],[ACT_Qty]]*Table1[[#This Row],[Unit Price]],""),"")</f>
        <v/>
      </c>
      <c r="T755" s="269" t="str">
        <f ca="1">IFERROR(IF(AND(($N$3&lt;&gt;""),INDIRECT(Aux!$D$1)),VLOOKUP(Table1[[#This Row],[Product code]],Aux!B:E,4,FALSE),""),"")</f>
        <v/>
      </c>
      <c r="U755" s="145" t="str">
        <f>IFERROR(IF(OR(Table1[[#This Row],[Quantity]]&lt;&gt;"",Table1[[#This Row],[ACT_Qty]]&lt;&gt;""),Table1[[#This Row],[ACT_Qty]]-Table1[[#This Row],[Quantity]],""),"")</f>
        <v/>
      </c>
      <c r="V755" s="45"/>
      <c r="W755" s="45"/>
      <c r="X755" s="45"/>
    </row>
    <row r="756" spans="1:24">
      <c r="A756" s="233" t="str">
        <f t="shared" si="43"/>
        <v>AKH12345</v>
      </c>
      <c r="B756" s="80"/>
      <c r="C756" s="81"/>
      <c r="D756" s="73"/>
      <c r="E756" s="90"/>
      <c r="F756" s="73"/>
      <c r="G756" s="90"/>
      <c r="H756" s="82"/>
      <c r="I756" s="83"/>
      <c r="J756" s="82"/>
      <c r="K756" s="82"/>
      <c r="L756" s="84"/>
      <c r="M756" s="148" t="str">
        <f t="shared" si="42"/>
        <v>OneCo Networks AS</v>
      </c>
      <c r="N75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6" s="270" t="str">
        <f ca="1">IFERROR(IF(
OR(Table1[[#This Row],[Product category]]="Service items",Table1[[#This Row],[Product category]]="Additional services",Table1[[#This Row],[Product category]]="Additional materials"),
"NOK",IF(($N$3&lt;&gt;""),VLOOKUP(Table1[[#This Row],[Product code]],INDIRECT(Aux!$A$1),6,FALSE),"")),"")</f>
        <v/>
      </c>
      <c r="P756" s="43" t="str">
        <f ca="1">IFERROR(IF(AND(Table1[[#This Row],[Quantity]]&lt;&gt;"",Table1[[#This Row],[Currency]]="NOK"),Table1[[#This Row],[Quantity]]*Table1[[#This Row],[Unit Price]],""),"")</f>
        <v/>
      </c>
      <c r="Q756" s="43" t="str">
        <f ca="1">IFERROR(IF(AND(Table1[[#This Row],[ACT_Qty]]&lt;&gt;"",Table1[[#This Row],[Currency]]="NOK"),Table1[[#This Row],[ACT_Qty]]*Table1[[#This Row],[Unit Price]],""),"")</f>
        <v/>
      </c>
      <c r="R756" s="43" t="str">
        <f ca="1">IFERROR(IF(AND(Table1[[#This Row],[Quantity]]&lt;&gt;"",Table1[[#This Row],[Currency]]="EUR"),Table1[[#This Row],[Quantity]]*Table1[[#This Row],[Unit Price]],""),"")</f>
        <v/>
      </c>
      <c r="S756" s="43" t="str">
        <f ca="1">IFERROR(IF(AND(Table1[[#This Row],[ACT_Qty]]&lt;&gt;"",Table1[[#This Row],[Currency]]="EUR"),Table1[[#This Row],[ACT_Qty]]*Table1[[#This Row],[Unit Price]],""),"")</f>
        <v/>
      </c>
      <c r="T756" s="271" t="str">
        <f ca="1">IFERROR(IF(AND(($N$3&lt;&gt;""),INDIRECT(Aux!$D$1)),VLOOKUP(Table1[[#This Row],[Product code]],Aux!B:E,4,FALSE),""),"")</f>
        <v/>
      </c>
      <c r="U756" s="148" t="str">
        <f>IFERROR(IF(OR(Table1[[#This Row],[Quantity]]&lt;&gt;"",Table1[[#This Row],[ACT_Qty]]&lt;&gt;""),Table1[[#This Row],[ACT_Qty]]-Table1[[#This Row],[Quantity]],""),"")</f>
        <v/>
      </c>
      <c r="V756" s="46"/>
      <c r="W756" s="46"/>
      <c r="X756" s="46"/>
    </row>
    <row r="757" spans="1:24">
      <c r="A757" s="143" t="str">
        <f t="shared" si="43"/>
        <v>AKH12345</v>
      </c>
      <c r="B757" s="231"/>
      <c r="C757" s="120"/>
      <c r="D757" s="121"/>
      <c r="E757" s="122"/>
      <c r="F757" s="121"/>
      <c r="G757" s="122"/>
      <c r="H757" s="119"/>
      <c r="I757" s="123"/>
      <c r="J757" s="119"/>
      <c r="K757" s="119"/>
      <c r="L757" s="232"/>
      <c r="M757" s="145" t="str">
        <f t="shared" si="42"/>
        <v>OneCo Networks AS</v>
      </c>
      <c r="N75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7" s="268" t="str">
        <f ca="1">IFERROR(IF(
OR(Table1[[#This Row],[Product category]]="Service items",Table1[[#This Row],[Product category]]="Additional services",Table1[[#This Row],[Product category]]="Additional materials"),
"NOK",IF(($N$3&lt;&gt;""),VLOOKUP(Table1[[#This Row],[Product code]],INDIRECT(Aux!$A$1),6,FALSE),"")),"")</f>
        <v/>
      </c>
      <c r="P757" s="41" t="str">
        <f ca="1">IFERROR(IF(AND(Table1[[#This Row],[Quantity]]&lt;&gt;"",Table1[[#This Row],[Currency]]="NOK"),Table1[[#This Row],[Quantity]]*Table1[[#This Row],[Unit Price]],""),"")</f>
        <v/>
      </c>
      <c r="Q757" s="41" t="str">
        <f ca="1">IFERROR(IF(AND(Table1[[#This Row],[ACT_Qty]]&lt;&gt;"",Table1[[#This Row],[Currency]]="NOK"),Table1[[#This Row],[ACT_Qty]]*Table1[[#This Row],[Unit Price]],""),"")</f>
        <v/>
      </c>
      <c r="R757" s="41" t="str">
        <f ca="1">IFERROR(IF(AND(Table1[[#This Row],[Quantity]]&lt;&gt;"",Table1[[#This Row],[Currency]]="EUR"),Table1[[#This Row],[Quantity]]*Table1[[#This Row],[Unit Price]],""),"")</f>
        <v/>
      </c>
      <c r="S757" s="41" t="str">
        <f ca="1">IFERROR(IF(AND(Table1[[#This Row],[ACT_Qty]]&lt;&gt;"",Table1[[#This Row],[Currency]]="EUR"),Table1[[#This Row],[ACT_Qty]]*Table1[[#This Row],[Unit Price]],""),"")</f>
        <v/>
      </c>
      <c r="T757" s="269" t="str">
        <f ca="1">IFERROR(IF(AND(($N$3&lt;&gt;""),INDIRECT(Aux!$D$1)),VLOOKUP(Table1[[#This Row],[Product code]],Aux!B:E,4,FALSE),""),"")</f>
        <v/>
      </c>
      <c r="U757" s="145" t="str">
        <f>IFERROR(IF(OR(Table1[[#This Row],[Quantity]]&lt;&gt;"",Table1[[#This Row],[ACT_Qty]]&lt;&gt;""),Table1[[#This Row],[ACT_Qty]]-Table1[[#This Row],[Quantity]],""),"")</f>
        <v/>
      </c>
      <c r="V757" s="45"/>
      <c r="W757" s="45"/>
      <c r="X757" s="45"/>
    </row>
    <row r="758" spans="1:24">
      <c r="A758" s="233" t="str">
        <f t="shared" si="43"/>
        <v>AKH12345</v>
      </c>
      <c r="B758" s="80"/>
      <c r="C758" s="81"/>
      <c r="D758" s="73"/>
      <c r="E758" s="90"/>
      <c r="F758" s="73"/>
      <c r="G758" s="90"/>
      <c r="H758" s="82"/>
      <c r="I758" s="83"/>
      <c r="J758" s="82"/>
      <c r="K758" s="82"/>
      <c r="L758" s="84"/>
      <c r="M758" s="148" t="str">
        <f t="shared" si="42"/>
        <v>OneCo Networks AS</v>
      </c>
      <c r="N75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8" s="270" t="str">
        <f ca="1">IFERROR(IF(
OR(Table1[[#This Row],[Product category]]="Service items",Table1[[#This Row],[Product category]]="Additional services",Table1[[#This Row],[Product category]]="Additional materials"),
"NOK",IF(($N$3&lt;&gt;""),VLOOKUP(Table1[[#This Row],[Product code]],INDIRECT(Aux!$A$1),6,FALSE),"")),"")</f>
        <v/>
      </c>
      <c r="P758" s="43" t="str">
        <f ca="1">IFERROR(IF(AND(Table1[[#This Row],[Quantity]]&lt;&gt;"",Table1[[#This Row],[Currency]]="NOK"),Table1[[#This Row],[Quantity]]*Table1[[#This Row],[Unit Price]],""),"")</f>
        <v/>
      </c>
      <c r="Q758" s="43" t="str">
        <f ca="1">IFERROR(IF(AND(Table1[[#This Row],[ACT_Qty]]&lt;&gt;"",Table1[[#This Row],[Currency]]="NOK"),Table1[[#This Row],[ACT_Qty]]*Table1[[#This Row],[Unit Price]],""),"")</f>
        <v/>
      </c>
      <c r="R758" s="43" t="str">
        <f ca="1">IFERROR(IF(AND(Table1[[#This Row],[Quantity]]&lt;&gt;"",Table1[[#This Row],[Currency]]="EUR"),Table1[[#This Row],[Quantity]]*Table1[[#This Row],[Unit Price]],""),"")</f>
        <v/>
      </c>
      <c r="S758" s="43" t="str">
        <f ca="1">IFERROR(IF(AND(Table1[[#This Row],[ACT_Qty]]&lt;&gt;"",Table1[[#This Row],[Currency]]="EUR"),Table1[[#This Row],[ACT_Qty]]*Table1[[#This Row],[Unit Price]],""),"")</f>
        <v/>
      </c>
      <c r="T758" s="271" t="str">
        <f ca="1">IFERROR(IF(AND(($N$3&lt;&gt;""),INDIRECT(Aux!$D$1)),VLOOKUP(Table1[[#This Row],[Product code]],Aux!B:E,4,FALSE),""),"")</f>
        <v/>
      </c>
      <c r="U758" s="148" t="str">
        <f>IFERROR(IF(OR(Table1[[#This Row],[Quantity]]&lt;&gt;"",Table1[[#This Row],[ACT_Qty]]&lt;&gt;""),Table1[[#This Row],[ACT_Qty]]-Table1[[#This Row],[Quantity]],""),"")</f>
        <v/>
      </c>
      <c r="V758" s="46"/>
      <c r="W758" s="46"/>
      <c r="X758" s="46"/>
    </row>
    <row r="759" spans="1:24">
      <c r="A759" s="143" t="str">
        <f t="shared" si="43"/>
        <v>AKH12345</v>
      </c>
      <c r="B759" s="231"/>
      <c r="C759" s="120"/>
      <c r="D759" s="121"/>
      <c r="E759" s="122"/>
      <c r="F759" s="121"/>
      <c r="G759" s="122"/>
      <c r="H759" s="119"/>
      <c r="I759" s="123"/>
      <c r="J759" s="119"/>
      <c r="K759" s="119"/>
      <c r="L759" s="232"/>
      <c r="M759" s="145" t="str">
        <f t="shared" si="42"/>
        <v>OneCo Networks AS</v>
      </c>
      <c r="N75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59" s="268" t="str">
        <f ca="1">IFERROR(IF(
OR(Table1[[#This Row],[Product category]]="Service items",Table1[[#This Row],[Product category]]="Additional services",Table1[[#This Row],[Product category]]="Additional materials"),
"NOK",IF(($N$3&lt;&gt;""),VLOOKUP(Table1[[#This Row],[Product code]],INDIRECT(Aux!$A$1),6,FALSE),"")),"")</f>
        <v/>
      </c>
      <c r="P759" s="41" t="str">
        <f ca="1">IFERROR(IF(AND(Table1[[#This Row],[Quantity]]&lt;&gt;"",Table1[[#This Row],[Currency]]="NOK"),Table1[[#This Row],[Quantity]]*Table1[[#This Row],[Unit Price]],""),"")</f>
        <v/>
      </c>
      <c r="Q759" s="41" t="str">
        <f ca="1">IFERROR(IF(AND(Table1[[#This Row],[ACT_Qty]]&lt;&gt;"",Table1[[#This Row],[Currency]]="NOK"),Table1[[#This Row],[ACT_Qty]]*Table1[[#This Row],[Unit Price]],""),"")</f>
        <v/>
      </c>
      <c r="R759" s="41" t="str">
        <f ca="1">IFERROR(IF(AND(Table1[[#This Row],[Quantity]]&lt;&gt;"",Table1[[#This Row],[Currency]]="EUR"),Table1[[#This Row],[Quantity]]*Table1[[#This Row],[Unit Price]],""),"")</f>
        <v/>
      </c>
      <c r="S759" s="41" t="str">
        <f ca="1">IFERROR(IF(AND(Table1[[#This Row],[ACT_Qty]]&lt;&gt;"",Table1[[#This Row],[Currency]]="EUR"),Table1[[#This Row],[ACT_Qty]]*Table1[[#This Row],[Unit Price]],""),"")</f>
        <v/>
      </c>
      <c r="T759" s="269" t="str">
        <f ca="1">IFERROR(IF(AND(($N$3&lt;&gt;""),INDIRECT(Aux!$D$1)),VLOOKUP(Table1[[#This Row],[Product code]],Aux!B:E,4,FALSE),""),"")</f>
        <v/>
      </c>
      <c r="U759" s="145" t="str">
        <f>IFERROR(IF(OR(Table1[[#This Row],[Quantity]]&lt;&gt;"",Table1[[#This Row],[ACT_Qty]]&lt;&gt;""),Table1[[#This Row],[ACT_Qty]]-Table1[[#This Row],[Quantity]],""),"")</f>
        <v/>
      </c>
      <c r="V759" s="45"/>
      <c r="W759" s="45"/>
      <c r="X759" s="45"/>
    </row>
    <row r="760" spans="1:24">
      <c r="A760" s="233" t="str">
        <f t="shared" si="43"/>
        <v>AKH12345</v>
      </c>
      <c r="B760" s="80"/>
      <c r="C760" s="81"/>
      <c r="D760" s="73"/>
      <c r="E760" s="90"/>
      <c r="F760" s="73"/>
      <c r="G760" s="90"/>
      <c r="H760" s="82"/>
      <c r="I760" s="83"/>
      <c r="J760" s="82"/>
      <c r="K760" s="82"/>
      <c r="L760" s="84"/>
      <c r="M760" s="148" t="str">
        <f t="shared" si="42"/>
        <v>OneCo Networks AS</v>
      </c>
      <c r="N76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0" s="270" t="str">
        <f ca="1">IFERROR(IF(
OR(Table1[[#This Row],[Product category]]="Service items",Table1[[#This Row],[Product category]]="Additional services",Table1[[#This Row],[Product category]]="Additional materials"),
"NOK",IF(($N$3&lt;&gt;""),VLOOKUP(Table1[[#This Row],[Product code]],INDIRECT(Aux!$A$1),6,FALSE),"")),"")</f>
        <v/>
      </c>
      <c r="P760" s="43" t="str">
        <f ca="1">IFERROR(IF(AND(Table1[[#This Row],[Quantity]]&lt;&gt;"",Table1[[#This Row],[Currency]]="NOK"),Table1[[#This Row],[Quantity]]*Table1[[#This Row],[Unit Price]],""),"")</f>
        <v/>
      </c>
      <c r="Q760" s="43" t="str">
        <f ca="1">IFERROR(IF(AND(Table1[[#This Row],[ACT_Qty]]&lt;&gt;"",Table1[[#This Row],[Currency]]="NOK"),Table1[[#This Row],[ACT_Qty]]*Table1[[#This Row],[Unit Price]],""),"")</f>
        <v/>
      </c>
      <c r="R760" s="43" t="str">
        <f ca="1">IFERROR(IF(AND(Table1[[#This Row],[Quantity]]&lt;&gt;"",Table1[[#This Row],[Currency]]="EUR"),Table1[[#This Row],[Quantity]]*Table1[[#This Row],[Unit Price]],""),"")</f>
        <v/>
      </c>
      <c r="S760" s="43" t="str">
        <f ca="1">IFERROR(IF(AND(Table1[[#This Row],[ACT_Qty]]&lt;&gt;"",Table1[[#This Row],[Currency]]="EUR"),Table1[[#This Row],[ACT_Qty]]*Table1[[#This Row],[Unit Price]],""),"")</f>
        <v/>
      </c>
      <c r="T760" s="271" t="str">
        <f ca="1">IFERROR(IF(AND(($N$3&lt;&gt;""),INDIRECT(Aux!$D$1)),VLOOKUP(Table1[[#This Row],[Product code]],Aux!B:E,4,FALSE),""),"")</f>
        <v/>
      </c>
      <c r="U760" s="148" t="str">
        <f>IFERROR(IF(OR(Table1[[#This Row],[Quantity]]&lt;&gt;"",Table1[[#This Row],[ACT_Qty]]&lt;&gt;""),Table1[[#This Row],[ACT_Qty]]-Table1[[#This Row],[Quantity]],""),"")</f>
        <v/>
      </c>
      <c r="V760" s="46"/>
      <c r="W760" s="46"/>
      <c r="X760" s="46"/>
    </row>
    <row r="761" spans="1:24">
      <c r="A761" s="143" t="str">
        <f t="shared" si="43"/>
        <v>AKH12345</v>
      </c>
      <c r="B761" s="231"/>
      <c r="C761" s="120"/>
      <c r="D761" s="121"/>
      <c r="E761" s="122"/>
      <c r="F761" s="121"/>
      <c r="G761" s="122"/>
      <c r="H761" s="119"/>
      <c r="I761" s="123"/>
      <c r="J761" s="119"/>
      <c r="K761" s="119"/>
      <c r="L761" s="232"/>
      <c r="M761" s="145" t="str">
        <f t="shared" si="42"/>
        <v>OneCo Networks AS</v>
      </c>
      <c r="N76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1" s="268" t="str">
        <f ca="1">IFERROR(IF(
OR(Table1[[#This Row],[Product category]]="Service items",Table1[[#This Row],[Product category]]="Additional services",Table1[[#This Row],[Product category]]="Additional materials"),
"NOK",IF(($N$3&lt;&gt;""),VLOOKUP(Table1[[#This Row],[Product code]],INDIRECT(Aux!$A$1),6,FALSE),"")),"")</f>
        <v/>
      </c>
      <c r="P761" s="41" t="str">
        <f ca="1">IFERROR(IF(AND(Table1[[#This Row],[Quantity]]&lt;&gt;"",Table1[[#This Row],[Currency]]="NOK"),Table1[[#This Row],[Quantity]]*Table1[[#This Row],[Unit Price]],""),"")</f>
        <v/>
      </c>
      <c r="Q761" s="41" t="str">
        <f ca="1">IFERROR(IF(AND(Table1[[#This Row],[ACT_Qty]]&lt;&gt;"",Table1[[#This Row],[Currency]]="NOK"),Table1[[#This Row],[ACT_Qty]]*Table1[[#This Row],[Unit Price]],""),"")</f>
        <v/>
      </c>
      <c r="R761" s="41" t="str">
        <f ca="1">IFERROR(IF(AND(Table1[[#This Row],[Quantity]]&lt;&gt;"",Table1[[#This Row],[Currency]]="EUR"),Table1[[#This Row],[Quantity]]*Table1[[#This Row],[Unit Price]],""),"")</f>
        <v/>
      </c>
      <c r="S761" s="41" t="str">
        <f ca="1">IFERROR(IF(AND(Table1[[#This Row],[ACT_Qty]]&lt;&gt;"",Table1[[#This Row],[Currency]]="EUR"),Table1[[#This Row],[ACT_Qty]]*Table1[[#This Row],[Unit Price]],""),"")</f>
        <v/>
      </c>
      <c r="T761" s="269" t="str">
        <f ca="1">IFERROR(IF(AND(($N$3&lt;&gt;""),INDIRECT(Aux!$D$1)),VLOOKUP(Table1[[#This Row],[Product code]],Aux!B:E,4,FALSE),""),"")</f>
        <v/>
      </c>
      <c r="U761" s="145" t="str">
        <f>IFERROR(IF(OR(Table1[[#This Row],[Quantity]]&lt;&gt;"",Table1[[#This Row],[ACT_Qty]]&lt;&gt;""),Table1[[#This Row],[ACT_Qty]]-Table1[[#This Row],[Quantity]],""),"")</f>
        <v/>
      </c>
      <c r="V761" s="45"/>
      <c r="W761" s="45"/>
      <c r="X761" s="45"/>
    </row>
    <row r="762" spans="1:24">
      <c r="A762" s="233" t="str">
        <f t="shared" si="43"/>
        <v>AKH12345</v>
      </c>
      <c r="B762" s="80"/>
      <c r="C762" s="81"/>
      <c r="D762" s="73"/>
      <c r="E762" s="90"/>
      <c r="F762" s="73"/>
      <c r="G762" s="90"/>
      <c r="H762" s="82"/>
      <c r="I762" s="83"/>
      <c r="J762" s="82"/>
      <c r="K762" s="82"/>
      <c r="L762" s="84"/>
      <c r="M762" s="148" t="str">
        <f t="shared" si="42"/>
        <v>OneCo Networks AS</v>
      </c>
      <c r="N76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2" s="270" t="str">
        <f ca="1">IFERROR(IF(
OR(Table1[[#This Row],[Product category]]="Service items",Table1[[#This Row],[Product category]]="Additional services",Table1[[#This Row],[Product category]]="Additional materials"),
"NOK",IF(($N$3&lt;&gt;""),VLOOKUP(Table1[[#This Row],[Product code]],INDIRECT(Aux!$A$1),6,FALSE),"")),"")</f>
        <v/>
      </c>
      <c r="P762" s="43" t="str">
        <f ca="1">IFERROR(IF(AND(Table1[[#This Row],[Quantity]]&lt;&gt;"",Table1[[#This Row],[Currency]]="NOK"),Table1[[#This Row],[Quantity]]*Table1[[#This Row],[Unit Price]],""),"")</f>
        <v/>
      </c>
      <c r="Q762" s="43" t="str">
        <f ca="1">IFERROR(IF(AND(Table1[[#This Row],[ACT_Qty]]&lt;&gt;"",Table1[[#This Row],[Currency]]="NOK"),Table1[[#This Row],[ACT_Qty]]*Table1[[#This Row],[Unit Price]],""),"")</f>
        <v/>
      </c>
      <c r="R762" s="43" t="str">
        <f ca="1">IFERROR(IF(AND(Table1[[#This Row],[Quantity]]&lt;&gt;"",Table1[[#This Row],[Currency]]="EUR"),Table1[[#This Row],[Quantity]]*Table1[[#This Row],[Unit Price]],""),"")</f>
        <v/>
      </c>
      <c r="S762" s="43" t="str">
        <f ca="1">IFERROR(IF(AND(Table1[[#This Row],[ACT_Qty]]&lt;&gt;"",Table1[[#This Row],[Currency]]="EUR"),Table1[[#This Row],[ACT_Qty]]*Table1[[#This Row],[Unit Price]],""),"")</f>
        <v/>
      </c>
      <c r="T762" s="271" t="str">
        <f ca="1">IFERROR(IF(AND(($N$3&lt;&gt;""),INDIRECT(Aux!$D$1)),VLOOKUP(Table1[[#This Row],[Product code]],Aux!B:E,4,FALSE),""),"")</f>
        <v/>
      </c>
      <c r="U762" s="148" t="str">
        <f>IFERROR(IF(OR(Table1[[#This Row],[Quantity]]&lt;&gt;"",Table1[[#This Row],[ACT_Qty]]&lt;&gt;""),Table1[[#This Row],[ACT_Qty]]-Table1[[#This Row],[Quantity]],""),"")</f>
        <v/>
      </c>
      <c r="V762" s="46"/>
      <c r="W762" s="46"/>
      <c r="X762" s="46"/>
    </row>
    <row r="763" spans="1:24">
      <c r="A763" s="143" t="str">
        <f t="shared" si="43"/>
        <v>AKH12345</v>
      </c>
      <c r="B763" s="231"/>
      <c r="C763" s="120"/>
      <c r="D763" s="121"/>
      <c r="E763" s="122"/>
      <c r="F763" s="121"/>
      <c r="G763" s="122"/>
      <c r="H763" s="119"/>
      <c r="I763" s="123"/>
      <c r="J763" s="119"/>
      <c r="K763" s="119"/>
      <c r="L763" s="232"/>
      <c r="M763" s="145" t="str">
        <f t="shared" si="42"/>
        <v>OneCo Networks AS</v>
      </c>
      <c r="N76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3" s="268" t="str">
        <f ca="1">IFERROR(IF(
OR(Table1[[#This Row],[Product category]]="Service items",Table1[[#This Row],[Product category]]="Additional services",Table1[[#This Row],[Product category]]="Additional materials"),
"NOK",IF(($N$3&lt;&gt;""),VLOOKUP(Table1[[#This Row],[Product code]],INDIRECT(Aux!$A$1),6,FALSE),"")),"")</f>
        <v/>
      </c>
      <c r="P763" s="41" t="str">
        <f ca="1">IFERROR(IF(AND(Table1[[#This Row],[Quantity]]&lt;&gt;"",Table1[[#This Row],[Currency]]="NOK"),Table1[[#This Row],[Quantity]]*Table1[[#This Row],[Unit Price]],""),"")</f>
        <v/>
      </c>
      <c r="Q763" s="41" t="str">
        <f ca="1">IFERROR(IF(AND(Table1[[#This Row],[ACT_Qty]]&lt;&gt;"",Table1[[#This Row],[Currency]]="NOK"),Table1[[#This Row],[ACT_Qty]]*Table1[[#This Row],[Unit Price]],""),"")</f>
        <v/>
      </c>
      <c r="R763" s="41" t="str">
        <f ca="1">IFERROR(IF(AND(Table1[[#This Row],[Quantity]]&lt;&gt;"",Table1[[#This Row],[Currency]]="EUR"),Table1[[#This Row],[Quantity]]*Table1[[#This Row],[Unit Price]],""),"")</f>
        <v/>
      </c>
      <c r="S763" s="41" t="str">
        <f ca="1">IFERROR(IF(AND(Table1[[#This Row],[ACT_Qty]]&lt;&gt;"",Table1[[#This Row],[Currency]]="EUR"),Table1[[#This Row],[ACT_Qty]]*Table1[[#This Row],[Unit Price]],""),"")</f>
        <v/>
      </c>
      <c r="T763" s="269" t="str">
        <f ca="1">IFERROR(IF(AND(($N$3&lt;&gt;""),INDIRECT(Aux!$D$1)),VLOOKUP(Table1[[#This Row],[Product code]],Aux!B:E,4,FALSE),""),"")</f>
        <v/>
      </c>
      <c r="U763" s="145" t="str">
        <f>IFERROR(IF(OR(Table1[[#This Row],[Quantity]]&lt;&gt;"",Table1[[#This Row],[ACT_Qty]]&lt;&gt;""),Table1[[#This Row],[ACT_Qty]]-Table1[[#This Row],[Quantity]],""),"")</f>
        <v/>
      </c>
      <c r="V763" s="45"/>
      <c r="W763" s="45"/>
      <c r="X763" s="45"/>
    </row>
    <row r="764" spans="1:24">
      <c r="A764" s="233" t="str">
        <f t="shared" si="43"/>
        <v>AKH12345</v>
      </c>
      <c r="B764" s="80"/>
      <c r="C764" s="81"/>
      <c r="D764" s="73"/>
      <c r="E764" s="90"/>
      <c r="F764" s="73"/>
      <c r="G764" s="90"/>
      <c r="H764" s="82"/>
      <c r="I764" s="83"/>
      <c r="J764" s="82"/>
      <c r="K764" s="82"/>
      <c r="L764" s="84"/>
      <c r="M764" s="148" t="str">
        <f t="shared" si="42"/>
        <v>OneCo Networks AS</v>
      </c>
      <c r="N76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4" s="270" t="str">
        <f ca="1">IFERROR(IF(
OR(Table1[[#This Row],[Product category]]="Service items",Table1[[#This Row],[Product category]]="Additional services",Table1[[#This Row],[Product category]]="Additional materials"),
"NOK",IF(($N$3&lt;&gt;""),VLOOKUP(Table1[[#This Row],[Product code]],INDIRECT(Aux!$A$1),6,FALSE),"")),"")</f>
        <v/>
      </c>
      <c r="P764" s="43" t="str">
        <f ca="1">IFERROR(IF(AND(Table1[[#This Row],[Quantity]]&lt;&gt;"",Table1[[#This Row],[Currency]]="NOK"),Table1[[#This Row],[Quantity]]*Table1[[#This Row],[Unit Price]],""),"")</f>
        <v/>
      </c>
      <c r="Q764" s="43" t="str">
        <f ca="1">IFERROR(IF(AND(Table1[[#This Row],[ACT_Qty]]&lt;&gt;"",Table1[[#This Row],[Currency]]="NOK"),Table1[[#This Row],[ACT_Qty]]*Table1[[#This Row],[Unit Price]],""),"")</f>
        <v/>
      </c>
      <c r="R764" s="43" t="str">
        <f ca="1">IFERROR(IF(AND(Table1[[#This Row],[Quantity]]&lt;&gt;"",Table1[[#This Row],[Currency]]="EUR"),Table1[[#This Row],[Quantity]]*Table1[[#This Row],[Unit Price]],""),"")</f>
        <v/>
      </c>
      <c r="S764" s="43" t="str">
        <f ca="1">IFERROR(IF(AND(Table1[[#This Row],[ACT_Qty]]&lt;&gt;"",Table1[[#This Row],[Currency]]="EUR"),Table1[[#This Row],[ACT_Qty]]*Table1[[#This Row],[Unit Price]],""),"")</f>
        <v/>
      </c>
      <c r="T764" s="271" t="str">
        <f ca="1">IFERROR(IF(AND(($N$3&lt;&gt;""),INDIRECT(Aux!$D$1)),VLOOKUP(Table1[[#This Row],[Product code]],Aux!B:E,4,FALSE),""),"")</f>
        <v/>
      </c>
      <c r="U764" s="148" t="str">
        <f>IFERROR(IF(OR(Table1[[#This Row],[Quantity]]&lt;&gt;"",Table1[[#This Row],[ACT_Qty]]&lt;&gt;""),Table1[[#This Row],[ACT_Qty]]-Table1[[#This Row],[Quantity]],""),"")</f>
        <v/>
      </c>
      <c r="V764" s="46"/>
      <c r="W764" s="46"/>
      <c r="X764" s="46"/>
    </row>
    <row r="765" spans="1:24">
      <c r="A765" s="143" t="str">
        <f t="shared" si="43"/>
        <v>AKH12345</v>
      </c>
      <c r="B765" s="231"/>
      <c r="C765" s="120"/>
      <c r="D765" s="121"/>
      <c r="E765" s="122"/>
      <c r="F765" s="121"/>
      <c r="G765" s="122"/>
      <c r="H765" s="119"/>
      <c r="I765" s="123"/>
      <c r="J765" s="119"/>
      <c r="K765" s="119"/>
      <c r="L765" s="232"/>
      <c r="M765" s="145" t="str">
        <f t="shared" si="42"/>
        <v>OneCo Networks AS</v>
      </c>
      <c r="N76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5" s="268" t="str">
        <f ca="1">IFERROR(IF(
OR(Table1[[#This Row],[Product category]]="Service items",Table1[[#This Row],[Product category]]="Additional services",Table1[[#This Row],[Product category]]="Additional materials"),
"NOK",IF(($N$3&lt;&gt;""),VLOOKUP(Table1[[#This Row],[Product code]],INDIRECT(Aux!$A$1),6,FALSE),"")),"")</f>
        <v/>
      </c>
      <c r="P765" s="41" t="str">
        <f ca="1">IFERROR(IF(AND(Table1[[#This Row],[Quantity]]&lt;&gt;"",Table1[[#This Row],[Currency]]="NOK"),Table1[[#This Row],[Quantity]]*Table1[[#This Row],[Unit Price]],""),"")</f>
        <v/>
      </c>
      <c r="Q765" s="41" t="str">
        <f ca="1">IFERROR(IF(AND(Table1[[#This Row],[ACT_Qty]]&lt;&gt;"",Table1[[#This Row],[Currency]]="NOK"),Table1[[#This Row],[ACT_Qty]]*Table1[[#This Row],[Unit Price]],""),"")</f>
        <v/>
      </c>
      <c r="R765" s="41" t="str">
        <f ca="1">IFERROR(IF(AND(Table1[[#This Row],[Quantity]]&lt;&gt;"",Table1[[#This Row],[Currency]]="EUR"),Table1[[#This Row],[Quantity]]*Table1[[#This Row],[Unit Price]],""),"")</f>
        <v/>
      </c>
      <c r="S765" s="41" t="str">
        <f ca="1">IFERROR(IF(AND(Table1[[#This Row],[ACT_Qty]]&lt;&gt;"",Table1[[#This Row],[Currency]]="EUR"),Table1[[#This Row],[ACT_Qty]]*Table1[[#This Row],[Unit Price]],""),"")</f>
        <v/>
      </c>
      <c r="T765" s="269" t="str">
        <f ca="1">IFERROR(IF(AND(($N$3&lt;&gt;""),INDIRECT(Aux!$D$1)),VLOOKUP(Table1[[#This Row],[Product code]],Aux!B:E,4,FALSE),""),"")</f>
        <v/>
      </c>
      <c r="U765" s="145" t="str">
        <f>IFERROR(IF(OR(Table1[[#This Row],[Quantity]]&lt;&gt;"",Table1[[#This Row],[ACT_Qty]]&lt;&gt;""),Table1[[#This Row],[ACT_Qty]]-Table1[[#This Row],[Quantity]],""),"")</f>
        <v/>
      </c>
      <c r="V765" s="45"/>
      <c r="W765" s="45"/>
      <c r="X765" s="45"/>
    </row>
    <row r="766" spans="1:24">
      <c r="A766" s="233" t="str">
        <f t="shared" si="43"/>
        <v>AKH12345</v>
      </c>
      <c r="B766" s="80"/>
      <c r="C766" s="81"/>
      <c r="D766" s="73"/>
      <c r="E766" s="90"/>
      <c r="F766" s="73"/>
      <c r="G766" s="90"/>
      <c r="H766" s="82"/>
      <c r="I766" s="83"/>
      <c r="J766" s="82"/>
      <c r="K766" s="82"/>
      <c r="L766" s="84"/>
      <c r="M766" s="148" t="str">
        <f t="shared" si="42"/>
        <v>OneCo Networks AS</v>
      </c>
      <c r="N76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6" s="270" t="str">
        <f ca="1">IFERROR(IF(
OR(Table1[[#This Row],[Product category]]="Service items",Table1[[#This Row],[Product category]]="Additional services",Table1[[#This Row],[Product category]]="Additional materials"),
"NOK",IF(($N$3&lt;&gt;""),VLOOKUP(Table1[[#This Row],[Product code]],INDIRECT(Aux!$A$1),6,FALSE),"")),"")</f>
        <v/>
      </c>
      <c r="P766" s="43" t="str">
        <f ca="1">IFERROR(IF(AND(Table1[[#This Row],[Quantity]]&lt;&gt;"",Table1[[#This Row],[Currency]]="NOK"),Table1[[#This Row],[Quantity]]*Table1[[#This Row],[Unit Price]],""),"")</f>
        <v/>
      </c>
      <c r="Q766" s="43" t="str">
        <f ca="1">IFERROR(IF(AND(Table1[[#This Row],[ACT_Qty]]&lt;&gt;"",Table1[[#This Row],[Currency]]="NOK"),Table1[[#This Row],[ACT_Qty]]*Table1[[#This Row],[Unit Price]],""),"")</f>
        <v/>
      </c>
      <c r="R766" s="43" t="str">
        <f ca="1">IFERROR(IF(AND(Table1[[#This Row],[Quantity]]&lt;&gt;"",Table1[[#This Row],[Currency]]="EUR"),Table1[[#This Row],[Quantity]]*Table1[[#This Row],[Unit Price]],""),"")</f>
        <v/>
      </c>
      <c r="S766" s="43" t="str">
        <f ca="1">IFERROR(IF(AND(Table1[[#This Row],[ACT_Qty]]&lt;&gt;"",Table1[[#This Row],[Currency]]="EUR"),Table1[[#This Row],[ACT_Qty]]*Table1[[#This Row],[Unit Price]],""),"")</f>
        <v/>
      </c>
      <c r="T766" s="271" t="str">
        <f ca="1">IFERROR(IF(AND(($N$3&lt;&gt;""),INDIRECT(Aux!$D$1)),VLOOKUP(Table1[[#This Row],[Product code]],Aux!B:E,4,FALSE),""),"")</f>
        <v/>
      </c>
      <c r="U766" s="148" t="str">
        <f>IFERROR(IF(OR(Table1[[#This Row],[Quantity]]&lt;&gt;"",Table1[[#This Row],[ACT_Qty]]&lt;&gt;""),Table1[[#This Row],[ACT_Qty]]-Table1[[#This Row],[Quantity]],""),"")</f>
        <v/>
      </c>
      <c r="V766" s="46"/>
      <c r="W766" s="46"/>
      <c r="X766" s="46"/>
    </row>
    <row r="767" spans="1:24">
      <c r="A767" s="143" t="str">
        <f t="shared" si="43"/>
        <v>AKH12345</v>
      </c>
      <c r="B767" s="231"/>
      <c r="C767" s="120"/>
      <c r="D767" s="121"/>
      <c r="E767" s="122"/>
      <c r="F767" s="121"/>
      <c r="G767" s="122"/>
      <c r="H767" s="119"/>
      <c r="I767" s="123"/>
      <c r="J767" s="119"/>
      <c r="K767" s="119"/>
      <c r="L767" s="232"/>
      <c r="M767" s="145" t="str">
        <f t="shared" si="42"/>
        <v>OneCo Networks AS</v>
      </c>
      <c r="N76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7" s="268" t="str">
        <f ca="1">IFERROR(IF(
OR(Table1[[#This Row],[Product category]]="Service items",Table1[[#This Row],[Product category]]="Additional services",Table1[[#This Row],[Product category]]="Additional materials"),
"NOK",IF(($N$3&lt;&gt;""),VLOOKUP(Table1[[#This Row],[Product code]],INDIRECT(Aux!$A$1),6,FALSE),"")),"")</f>
        <v/>
      </c>
      <c r="P767" s="41" t="str">
        <f ca="1">IFERROR(IF(AND(Table1[[#This Row],[Quantity]]&lt;&gt;"",Table1[[#This Row],[Currency]]="NOK"),Table1[[#This Row],[Quantity]]*Table1[[#This Row],[Unit Price]],""),"")</f>
        <v/>
      </c>
      <c r="Q767" s="41" t="str">
        <f ca="1">IFERROR(IF(AND(Table1[[#This Row],[ACT_Qty]]&lt;&gt;"",Table1[[#This Row],[Currency]]="NOK"),Table1[[#This Row],[ACT_Qty]]*Table1[[#This Row],[Unit Price]],""),"")</f>
        <v/>
      </c>
      <c r="R767" s="41" t="str">
        <f ca="1">IFERROR(IF(AND(Table1[[#This Row],[Quantity]]&lt;&gt;"",Table1[[#This Row],[Currency]]="EUR"),Table1[[#This Row],[Quantity]]*Table1[[#This Row],[Unit Price]],""),"")</f>
        <v/>
      </c>
      <c r="S767" s="41" t="str">
        <f ca="1">IFERROR(IF(AND(Table1[[#This Row],[ACT_Qty]]&lt;&gt;"",Table1[[#This Row],[Currency]]="EUR"),Table1[[#This Row],[ACT_Qty]]*Table1[[#This Row],[Unit Price]],""),"")</f>
        <v/>
      </c>
      <c r="T767" s="269" t="str">
        <f ca="1">IFERROR(IF(AND(($N$3&lt;&gt;""),INDIRECT(Aux!$D$1)),VLOOKUP(Table1[[#This Row],[Product code]],Aux!B:E,4,FALSE),""),"")</f>
        <v/>
      </c>
      <c r="U767" s="145" t="str">
        <f>IFERROR(IF(OR(Table1[[#This Row],[Quantity]]&lt;&gt;"",Table1[[#This Row],[ACT_Qty]]&lt;&gt;""),Table1[[#This Row],[ACT_Qty]]-Table1[[#This Row],[Quantity]],""),"")</f>
        <v/>
      </c>
      <c r="V767" s="45"/>
      <c r="W767" s="45"/>
      <c r="X767" s="45"/>
    </row>
    <row r="768" spans="1:24">
      <c r="A768" s="233" t="str">
        <f t="shared" si="43"/>
        <v>AKH12345</v>
      </c>
      <c r="B768" s="80"/>
      <c r="C768" s="81"/>
      <c r="D768" s="73"/>
      <c r="E768" s="90"/>
      <c r="F768" s="73"/>
      <c r="G768" s="90"/>
      <c r="H768" s="82"/>
      <c r="I768" s="83"/>
      <c r="J768" s="82"/>
      <c r="K768" s="82"/>
      <c r="L768" s="84"/>
      <c r="M768" s="148" t="str">
        <f t="shared" si="42"/>
        <v>OneCo Networks AS</v>
      </c>
      <c r="N76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8" s="270" t="str">
        <f ca="1">IFERROR(IF(
OR(Table1[[#This Row],[Product category]]="Service items",Table1[[#This Row],[Product category]]="Additional services",Table1[[#This Row],[Product category]]="Additional materials"),
"NOK",IF(($N$3&lt;&gt;""),VLOOKUP(Table1[[#This Row],[Product code]],INDIRECT(Aux!$A$1),6,FALSE),"")),"")</f>
        <v/>
      </c>
      <c r="P768" s="43" t="str">
        <f ca="1">IFERROR(IF(AND(Table1[[#This Row],[Quantity]]&lt;&gt;"",Table1[[#This Row],[Currency]]="NOK"),Table1[[#This Row],[Quantity]]*Table1[[#This Row],[Unit Price]],""),"")</f>
        <v/>
      </c>
      <c r="Q768" s="43" t="str">
        <f ca="1">IFERROR(IF(AND(Table1[[#This Row],[ACT_Qty]]&lt;&gt;"",Table1[[#This Row],[Currency]]="NOK"),Table1[[#This Row],[ACT_Qty]]*Table1[[#This Row],[Unit Price]],""),"")</f>
        <v/>
      </c>
      <c r="R768" s="43" t="str">
        <f ca="1">IFERROR(IF(AND(Table1[[#This Row],[Quantity]]&lt;&gt;"",Table1[[#This Row],[Currency]]="EUR"),Table1[[#This Row],[Quantity]]*Table1[[#This Row],[Unit Price]],""),"")</f>
        <v/>
      </c>
      <c r="S768" s="43" t="str">
        <f ca="1">IFERROR(IF(AND(Table1[[#This Row],[ACT_Qty]]&lt;&gt;"",Table1[[#This Row],[Currency]]="EUR"),Table1[[#This Row],[ACT_Qty]]*Table1[[#This Row],[Unit Price]],""),"")</f>
        <v/>
      </c>
      <c r="T768" s="271" t="str">
        <f ca="1">IFERROR(IF(AND(($N$3&lt;&gt;""),INDIRECT(Aux!$D$1)),VLOOKUP(Table1[[#This Row],[Product code]],Aux!B:E,4,FALSE),""),"")</f>
        <v/>
      </c>
      <c r="U768" s="148" t="str">
        <f>IFERROR(IF(OR(Table1[[#This Row],[Quantity]]&lt;&gt;"",Table1[[#This Row],[ACT_Qty]]&lt;&gt;""),Table1[[#This Row],[ACT_Qty]]-Table1[[#This Row],[Quantity]],""),"")</f>
        <v/>
      </c>
      <c r="V768" s="46"/>
      <c r="W768" s="46"/>
      <c r="X768" s="46"/>
    </row>
    <row r="769" spans="1:24">
      <c r="A769" s="143" t="str">
        <f t="shared" si="43"/>
        <v>AKH12345</v>
      </c>
      <c r="B769" s="231"/>
      <c r="C769" s="120"/>
      <c r="D769" s="121"/>
      <c r="E769" s="122"/>
      <c r="F769" s="121"/>
      <c r="G769" s="122"/>
      <c r="H769" s="119"/>
      <c r="I769" s="123"/>
      <c r="J769" s="119"/>
      <c r="K769" s="119"/>
      <c r="L769" s="232"/>
      <c r="M769" s="145" t="str">
        <f t="shared" si="42"/>
        <v>OneCo Networks AS</v>
      </c>
      <c r="N76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69" s="268" t="str">
        <f ca="1">IFERROR(IF(
OR(Table1[[#This Row],[Product category]]="Service items",Table1[[#This Row],[Product category]]="Additional services",Table1[[#This Row],[Product category]]="Additional materials"),
"NOK",IF(($N$3&lt;&gt;""),VLOOKUP(Table1[[#This Row],[Product code]],INDIRECT(Aux!$A$1),6,FALSE),"")),"")</f>
        <v/>
      </c>
      <c r="P769" s="41" t="str">
        <f ca="1">IFERROR(IF(AND(Table1[[#This Row],[Quantity]]&lt;&gt;"",Table1[[#This Row],[Currency]]="NOK"),Table1[[#This Row],[Quantity]]*Table1[[#This Row],[Unit Price]],""),"")</f>
        <v/>
      </c>
      <c r="Q769" s="41" t="str">
        <f ca="1">IFERROR(IF(AND(Table1[[#This Row],[ACT_Qty]]&lt;&gt;"",Table1[[#This Row],[Currency]]="NOK"),Table1[[#This Row],[ACT_Qty]]*Table1[[#This Row],[Unit Price]],""),"")</f>
        <v/>
      </c>
      <c r="R769" s="41" t="str">
        <f ca="1">IFERROR(IF(AND(Table1[[#This Row],[Quantity]]&lt;&gt;"",Table1[[#This Row],[Currency]]="EUR"),Table1[[#This Row],[Quantity]]*Table1[[#This Row],[Unit Price]],""),"")</f>
        <v/>
      </c>
      <c r="S769" s="41" t="str">
        <f ca="1">IFERROR(IF(AND(Table1[[#This Row],[ACT_Qty]]&lt;&gt;"",Table1[[#This Row],[Currency]]="EUR"),Table1[[#This Row],[ACT_Qty]]*Table1[[#This Row],[Unit Price]],""),"")</f>
        <v/>
      </c>
      <c r="T769" s="269" t="str">
        <f ca="1">IFERROR(IF(AND(($N$3&lt;&gt;""),INDIRECT(Aux!$D$1)),VLOOKUP(Table1[[#This Row],[Product code]],Aux!B:E,4,FALSE),""),"")</f>
        <v/>
      </c>
      <c r="U769" s="145" t="str">
        <f>IFERROR(IF(OR(Table1[[#This Row],[Quantity]]&lt;&gt;"",Table1[[#This Row],[ACT_Qty]]&lt;&gt;""),Table1[[#This Row],[ACT_Qty]]-Table1[[#This Row],[Quantity]],""),"")</f>
        <v/>
      </c>
      <c r="V769" s="45"/>
      <c r="W769" s="45"/>
      <c r="X769" s="45"/>
    </row>
    <row r="770" spans="1:24">
      <c r="A770" s="233" t="str">
        <f t="shared" si="43"/>
        <v>AKH12345</v>
      </c>
      <c r="B770" s="80"/>
      <c r="C770" s="81"/>
      <c r="D770" s="73"/>
      <c r="E770" s="90"/>
      <c r="F770" s="73"/>
      <c r="G770" s="90"/>
      <c r="H770" s="82"/>
      <c r="I770" s="83"/>
      <c r="J770" s="82"/>
      <c r="K770" s="82"/>
      <c r="L770" s="84"/>
      <c r="M770" s="148" t="str">
        <f t="shared" si="42"/>
        <v>OneCo Networks AS</v>
      </c>
      <c r="N77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0" s="270" t="str">
        <f ca="1">IFERROR(IF(
OR(Table1[[#This Row],[Product category]]="Service items",Table1[[#This Row],[Product category]]="Additional services",Table1[[#This Row],[Product category]]="Additional materials"),
"NOK",IF(($N$3&lt;&gt;""),VLOOKUP(Table1[[#This Row],[Product code]],INDIRECT(Aux!$A$1),6,FALSE),"")),"")</f>
        <v/>
      </c>
      <c r="P770" s="43" t="str">
        <f ca="1">IFERROR(IF(AND(Table1[[#This Row],[Quantity]]&lt;&gt;"",Table1[[#This Row],[Currency]]="NOK"),Table1[[#This Row],[Quantity]]*Table1[[#This Row],[Unit Price]],""),"")</f>
        <v/>
      </c>
      <c r="Q770" s="43" t="str">
        <f ca="1">IFERROR(IF(AND(Table1[[#This Row],[ACT_Qty]]&lt;&gt;"",Table1[[#This Row],[Currency]]="NOK"),Table1[[#This Row],[ACT_Qty]]*Table1[[#This Row],[Unit Price]],""),"")</f>
        <v/>
      </c>
      <c r="R770" s="43" t="str">
        <f ca="1">IFERROR(IF(AND(Table1[[#This Row],[Quantity]]&lt;&gt;"",Table1[[#This Row],[Currency]]="EUR"),Table1[[#This Row],[Quantity]]*Table1[[#This Row],[Unit Price]],""),"")</f>
        <v/>
      </c>
      <c r="S770" s="43" t="str">
        <f ca="1">IFERROR(IF(AND(Table1[[#This Row],[ACT_Qty]]&lt;&gt;"",Table1[[#This Row],[Currency]]="EUR"),Table1[[#This Row],[ACT_Qty]]*Table1[[#This Row],[Unit Price]],""),"")</f>
        <v/>
      </c>
      <c r="T770" s="271" t="str">
        <f ca="1">IFERROR(IF(AND(($N$3&lt;&gt;""),INDIRECT(Aux!$D$1)),VLOOKUP(Table1[[#This Row],[Product code]],Aux!B:E,4,FALSE),""),"")</f>
        <v/>
      </c>
      <c r="U770" s="148" t="str">
        <f>IFERROR(IF(OR(Table1[[#This Row],[Quantity]]&lt;&gt;"",Table1[[#This Row],[ACT_Qty]]&lt;&gt;""),Table1[[#This Row],[ACT_Qty]]-Table1[[#This Row],[Quantity]],""),"")</f>
        <v/>
      </c>
      <c r="V770" s="46"/>
      <c r="W770" s="46"/>
      <c r="X770" s="46"/>
    </row>
    <row r="771" spans="1:24">
      <c r="A771" s="143" t="str">
        <f t="shared" si="43"/>
        <v>AKH12345</v>
      </c>
      <c r="B771" s="231"/>
      <c r="C771" s="120"/>
      <c r="D771" s="121"/>
      <c r="E771" s="122"/>
      <c r="F771" s="121"/>
      <c r="G771" s="122"/>
      <c r="H771" s="119"/>
      <c r="I771" s="123"/>
      <c r="J771" s="119"/>
      <c r="K771" s="119"/>
      <c r="L771" s="232"/>
      <c r="M771" s="145" t="str">
        <f t="shared" si="42"/>
        <v>OneCo Networks AS</v>
      </c>
      <c r="N77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1" s="268" t="str">
        <f ca="1">IFERROR(IF(
OR(Table1[[#This Row],[Product category]]="Service items",Table1[[#This Row],[Product category]]="Additional services",Table1[[#This Row],[Product category]]="Additional materials"),
"NOK",IF(($N$3&lt;&gt;""),VLOOKUP(Table1[[#This Row],[Product code]],INDIRECT(Aux!$A$1),6,FALSE),"")),"")</f>
        <v/>
      </c>
      <c r="P771" s="41" t="str">
        <f ca="1">IFERROR(IF(AND(Table1[[#This Row],[Quantity]]&lt;&gt;"",Table1[[#This Row],[Currency]]="NOK"),Table1[[#This Row],[Quantity]]*Table1[[#This Row],[Unit Price]],""),"")</f>
        <v/>
      </c>
      <c r="Q771" s="41" t="str">
        <f ca="1">IFERROR(IF(AND(Table1[[#This Row],[ACT_Qty]]&lt;&gt;"",Table1[[#This Row],[Currency]]="NOK"),Table1[[#This Row],[ACT_Qty]]*Table1[[#This Row],[Unit Price]],""),"")</f>
        <v/>
      </c>
      <c r="R771" s="41" t="str">
        <f ca="1">IFERROR(IF(AND(Table1[[#This Row],[Quantity]]&lt;&gt;"",Table1[[#This Row],[Currency]]="EUR"),Table1[[#This Row],[Quantity]]*Table1[[#This Row],[Unit Price]],""),"")</f>
        <v/>
      </c>
      <c r="S771" s="41" t="str">
        <f ca="1">IFERROR(IF(AND(Table1[[#This Row],[ACT_Qty]]&lt;&gt;"",Table1[[#This Row],[Currency]]="EUR"),Table1[[#This Row],[ACT_Qty]]*Table1[[#This Row],[Unit Price]],""),"")</f>
        <v/>
      </c>
      <c r="T771" s="269" t="str">
        <f ca="1">IFERROR(IF(AND(($N$3&lt;&gt;""),INDIRECT(Aux!$D$1)),VLOOKUP(Table1[[#This Row],[Product code]],Aux!B:E,4,FALSE),""),"")</f>
        <v/>
      </c>
      <c r="U771" s="145" t="str">
        <f>IFERROR(IF(OR(Table1[[#This Row],[Quantity]]&lt;&gt;"",Table1[[#This Row],[ACT_Qty]]&lt;&gt;""),Table1[[#This Row],[ACT_Qty]]-Table1[[#This Row],[Quantity]],""),"")</f>
        <v/>
      </c>
      <c r="V771" s="45"/>
      <c r="W771" s="45"/>
      <c r="X771" s="45"/>
    </row>
    <row r="772" spans="1:24">
      <c r="A772" s="233" t="str">
        <f t="shared" si="43"/>
        <v>AKH12345</v>
      </c>
      <c r="B772" s="80"/>
      <c r="C772" s="81"/>
      <c r="D772" s="73"/>
      <c r="E772" s="90"/>
      <c r="F772" s="73"/>
      <c r="G772" s="90"/>
      <c r="H772" s="82"/>
      <c r="I772" s="83"/>
      <c r="J772" s="82"/>
      <c r="K772" s="82"/>
      <c r="L772" s="84"/>
      <c r="M772" s="148" t="str">
        <f t="shared" si="42"/>
        <v>OneCo Networks AS</v>
      </c>
      <c r="N77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2" s="270" t="str">
        <f ca="1">IFERROR(IF(
OR(Table1[[#This Row],[Product category]]="Service items",Table1[[#This Row],[Product category]]="Additional services",Table1[[#This Row],[Product category]]="Additional materials"),
"NOK",IF(($N$3&lt;&gt;""),VLOOKUP(Table1[[#This Row],[Product code]],INDIRECT(Aux!$A$1),6,FALSE),"")),"")</f>
        <v/>
      </c>
      <c r="P772" s="43" t="str">
        <f ca="1">IFERROR(IF(AND(Table1[[#This Row],[Quantity]]&lt;&gt;"",Table1[[#This Row],[Currency]]="NOK"),Table1[[#This Row],[Quantity]]*Table1[[#This Row],[Unit Price]],""),"")</f>
        <v/>
      </c>
      <c r="Q772" s="43" t="str">
        <f ca="1">IFERROR(IF(AND(Table1[[#This Row],[ACT_Qty]]&lt;&gt;"",Table1[[#This Row],[Currency]]="NOK"),Table1[[#This Row],[ACT_Qty]]*Table1[[#This Row],[Unit Price]],""),"")</f>
        <v/>
      </c>
      <c r="R772" s="43" t="str">
        <f ca="1">IFERROR(IF(AND(Table1[[#This Row],[Quantity]]&lt;&gt;"",Table1[[#This Row],[Currency]]="EUR"),Table1[[#This Row],[Quantity]]*Table1[[#This Row],[Unit Price]],""),"")</f>
        <v/>
      </c>
      <c r="S772" s="43" t="str">
        <f ca="1">IFERROR(IF(AND(Table1[[#This Row],[ACT_Qty]]&lt;&gt;"",Table1[[#This Row],[Currency]]="EUR"),Table1[[#This Row],[ACT_Qty]]*Table1[[#This Row],[Unit Price]],""),"")</f>
        <v/>
      </c>
      <c r="T772" s="271" t="str">
        <f ca="1">IFERROR(IF(AND(($N$3&lt;&gt;""),INDIRECT(Aux!$D$1)),VLOOKUP(Table1[[#This Row],[Product code]],Aux!B:E,4,FALSE),""),"")</f>
        <v/>
      </c>
      <c r="U772" s="148" t="str">
        <f>IFERROR(IF(OR(Table1[[#This Row],[Quantity]]&lt;&gt;"",Table1[[#This Row],[ACT_Qty]]&lt;&gt;""),Table1[[#This Row],[ACT_Qty]]-Table1[[#This Row],[Quantity]],""),"")</f>
        <v/>
      </c>
      <c r="V772" s="46"/>
      <c r="W772" s="46"/>
      <c r="X772" s="46"/>
    </row>
    <row r="773" spans="1:24">
      <c r="A773" s="143" t="str">
        <f t="shared" si="43"/>
        <v>AKH12345</v>
      </c>
      <c r="B773" s="231"/>
      <c r="C773" s="120"/>
      <c r="D773" s="121"/>
      <c r="E773" s="122"/>
      <c r="F773" s="121"/>
      <c r="G773" s="122"/>
      <c r="H773" s="119"/>
      <c r="I773" s="123"/>
      <c r="J773" s="119"/>
      <c r="K773" s="119"/>
      <c r="L773" s="232"/>
      <c r="M773" s="145" t="str">
        <f t="shared" si="42"/>
        <v>OneCo Networks AS</v>
      </c>
      <c r="N773"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3" s="268" t="str">
        <f ca="1">IFERROR(IF(
OR(Table1[[#This Row],[Product category]]="Service items",Table1[[#This Row],[Product category]]="Additional services",Table1[[#This Row],[Product category]]="Additional materials"),
"NOK",IF(($N$3&lt;&gt;""),VLOOKUP(Table1[[#This Row],[Product code]],INDIRECT(Aux!$A$1),6,FALSE),"")),"")</f>
        <v/>
      </c>
      <c r="P773" s="41" t="str">
        <f ca="1">IFERROR(IF(AND(Table1[[#This Row],[Quantity]]&lt;&gt;"",Table1[[#This Row],[Currency]]="NOK"),Table1[[#This Row],[Quantity]]*Table1[[#This Row],[Unit Price]],""),"")</f>
        <v/>
      </c>
      <c r="Q773" s="41" t="str">
        <f ca="1">IFERROR(IF(AND(Table1[[#This Row],[ACT_Qty]]&lt;&gt;"",Table1[[#This Row],[Currency]]="NOK"),Table1[[#This Row],[ACT_Qty]]*Table1[[#This Row],[Unit Price]],""),"")</f>
        <v/>
      </c>
      <c r="R773" s="41" t="str">
        <f ca="1">IFERROR(IF(AND(Table1[[#This Row],[Quantity]]&lt;&gt;"",Table1[[#This Row],[Currency]]="EUR"),Table1[[#This Row],[Quantity]]*Table1[[#This Row],[Unit Price]],""),"")</f>
        <v/>
      </c>
      <c r="S773" s="41" t="str">
        <f ca="1">IFERROR(IF(AND(Table1[[#This Row],[ACT_Qty]]&lt;&gt;"",Table1[[#This Row],[Currency]]="EUR"),Table1[[#This Row],[ACT_Qty]]*Table1[[#This Row],[Unit Price]],""),"")</f>
        <v/>
      </c>
      <c r="T773" s="269" t="str">
        <f ca="1">IFERROR(IF(AND(($N$3&lt;&gt;""),INDIRECT(Aux!$D$1)),VLOOKUP(Table1[[#This Row],[Product code]],Aux!B:E,4,FALSE),""),"")</f>
        <v/>
      </c>
      <c r="U773" s="145" t="str">
        <f>IFERROR(IF(OR(Table1[[#This Row],[Quantity]]&lt;&gt;"",Table1[[#This Row],[ACT_Qty]]&lt;&gt;""),Table1[[#This Row],[ACT_Qty]]-Table1[[#This Row],[Quantity]],""),"")</f>
        <v/>
      </c>
      <c r="V773" s="45"/>
      <c r="W773" s="45"/>
      <c r="X773" s="45"/>
    </row>
    <row r="774" spans="1:24">
      <c r="A774" s="233" t="str">
        <f t="shared" si="43"/>
        <v>AKH12345</v>
      </c>
      <c r="B774" s="80"/>
      <c r="C774" s="81"/>
      <c r="D774" s="73"/>
      <c r="E774" s="90"/>
      <c r="F774" s="73"/>
      <c r="G774" s="90"/>
      <c r="H774" s="82"/>
      <c r="I774" s="83"/>
      <c r="J774" s="82"/>
      <c r="K774" s="82"/>
      <c r="L774" s="84"/>
      <c r="M774" s="148" t="str">
        <f t="shared" si="42"/>
        <v>OneCo Networks AS</v>
      </c>
      <c r="N774"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4" s="270" t="str">
        <f ca="1">IFERROR(IF(
OR(Table1[[#This Row],[Product category]]="Service items",Table1[[#This Row],[Product category]]="Additional services",Table1[[#This Row],[Product category]]="Additional materials"),
"NOK",IF(($N$3&lt;&gt;""),VLOOKUP(Table1[[#This Row],[Product code]],INDIRECT(Aux!$A$1),6,FALSE),"")),"")</f>
        <v/>
      </c>
      <c r="P774" s="43" t="str">
        <f ca="1">IFERROR(IF(AND(Table1[[#This Row],[Quantity]]&lt;&gt;"",Table1[[#This Row],[Currency]]="NOK"),Table1[[#This Row],[Quantity]]*Table1[[#This Row],[Unit Price]],""),"")</f>
        <v/>
      </c>
      <c r="Q774" s="43" t="str">
        <f ca="1">IFERROR(IF(AND(Table1[[#This Row],[ACT_Qty]]&lt;&gt;"",Table1[[#This Row],[Currency]]="NOK"),Table1[[#This Row],[ACT_Qty]]*Table1[[#This Row],[Unit Price]],""),"")</f>
        <v/>
      </c>
      <c r="R774" s="43" t="str">
        <f ca="1">IFERROR(IF(AND(Table1[[#This Row],[Quantity]]&lt;&gt;"",Table1[[#This Row],[Currency]]="EUR"),Table1[[#This Row],[Quantity]]*Table1[[#This Row],[Unit Price]],""),"")</f>
        <v/>
      </c>
      <c r="S774" s="43" t="str">
        <f ca="1">IFERROR(IF(AND(Table1[[#This Row],[ACT_Qty]]&lt;&gt;"",Table1[[#This Row],[Currency]]="EUR"),Table1[[#This Row],[ACT_Qty]]*Table1[[#This Row],[Unit Price]],""),"")</f>
        <v/>
      </c>
      <c r="T774" s="271" t="str">
        <f ca="1">IFERROR(IF(AND(($N$3&lt;&gt;""),INDIRECT(Aux!$D$1)),VLOOKUP(Table1[[#This Row],[Product code]],Aux!B:E,4,FALSE),""),"")</f>
        <v/>
      </c>
      <c r="U774" s="148" t="str">
        <f>IFERROR(IF(OR(Table1[[#This Row],[Quantity]]&lt;&gt;"",Table1[[#This Row],[ACT_Qty]]&lt;&gt;""),Table1[[#This Row],[ACT_Qty]]-Table1[[#This Row],[Quantity]],""),"")</f>
        <v/>
      </c>
      <c r="V774" s="46"/>
      <c r="W774" s="46"/>
      <c r="X774" s="46"/>
    </row>
    <row r="775" spans="1:24">
      <c r="A775" s="143" t="str">
        <f t="shared" si="43"/>
        <v>AKH12345</v>
      </c>
      <c r="B775" s="231"/>
      <c r="C775" s="120"/>
      <c r="D775" s="121"/>
      <c r="E775" s="122"/>
      <c r="F775" s="121"/>
      <c r="G775" s="122"/>
      <c r="H775" s="119"/>
      <c r="I775" s="123"/>
      <c r="J775" s="119"/>
      <c r="K775" s="119"/>
      <c r="L775" s="232"/>
      <c r="M775" s="145" t="str">
        <f t="shared" si="42"/>
        <v>OneCo Networks AS</v>
      </c>
      <c r="N775"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5" s="268" t="str">
        <f ca="1">IFERROR(IF(
OR(Table1[[#This Row],[Product category]]="Service items",Table1[[#This Row],[Product category]]="Additional services",Table1[[#This Row],[Product category]]="Additional materials"),
"NOK",IF(($N$3&lt;&gt;""),VLOOKUP(Table1[[#This Row],[Product code]],INDIRECT(Aux!$A$1),6,FALSE),"")),"")</f>
        <v/>
      </c>
      <c r="P775" s="41" t="str">
        <f ca="1">IFERROR(IF(AND(Table1[[#This Row],[Quantity]]&lt;&gt;"",Table1[[#This Row],[Currency]]="NOK"),Table1[[#This Row],[Quantity]]*Table1[[#This Row],[Unit Price]],""),"")</f>
        <v/>
      </c>
      <c r="Q775" s="41" t="str">
        <f ca="1">IFERROR(IF(AND(Table1[[#This Row],[ACT_Qty]]&lt;&gt;"",Table1[[#This Row],[Currency]]="NOK"),Table1[[#This Row],[ACT_Qty]]*Table1[[#This Row],[Unit Price]],""),"")</f>
        <v/>
      </c>
      <c r="R775" s="41" t="str">
        <f ca="1">IFERROR(IF(AND(Table1[[#This Row],[Quantity]]&lt;&gt;"",Table1[[#This Row],[Currency]]="EUR"),Table1[[#This Row],[Quantity]]*Table1[[#This Row],[Unit Price]],""),"")</f>
        <v/>
      </c>
      <c r="S775" s="41" t="str">
        <f ca="1">IFERROR(IF(AND(Table1[[#This Row],[ACT_Qty]]&lt;&gt;"",Table1[[#This Row],[Currency]]="EUR"),Table1[[#This Row],[ACT_Qty]]*Table1[[#This Row],[Unit Price]],""),"")</f>
        <v/>
      </c>
      <c r="T775" s="269" t="str">
        <f ca="1">IFERROR(IF(AND(($N$3&lt;&gt;""),INDIRECT(Aux!$D$1)),VLOOKUP(Table1[[#This Row],[Product code]],Aux!B:E,4,FALSE),""),"")</f>
        <v/>
      </c>
      <c r="U775" s="145" t="str">
        <f>IFERROR(IF(OR(Table1[[#This Row],[Quantity]]&lt;&gt;"",Table1[[#This Row],[ACT_Qty]]&lt;&gt;""),Table1[[#This Row],[ACT_Qty]]-Table1[[#This Row],[Quantity]],""),"")</f>
        <v/>
      </c>
      <c r="V775" s="45"/>
      <c r="W775" s="45"/>
      <c r="X775" s="45"/>
    </row>
    <row r="776" spans="1:24">
      <c r="A776" s="233" t="str">
        <f t="shared" si="43"/>
        <v>AKH12345</v>
      </c>
      <c r="B776" s="80"/>
      <c r="C776" s="81"/>
      <c r="D776" s="73"/>
      <c r="E776" s="90"/>
      <c r="F776" s="73"/>
      <c r="G776" s="90"/>
      <c r="H776" s="82"/>
      <c r="I776" s="83"/>
      <c r="J776" s="82"/>
      <c r="K776" s="82"/>
      <c r="L776" s="84"/>
      <c r="M776" s="148" t="str">
        <f t="shared" si="42"/>
        <v>OneCo Networks AS</v>
      </c>
      <c r="N776"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6" s="270" t="str">
        <f ca="1">IFERROR(IF(
OR(Table1[[#This Row],[Product category]]="Service items",Table1[[#This Row],[Product category]]="Additional services",Table1[[#This Row],[Product category]]="Additional materials"),
"NOK",IF(($N$3&lt;&gt;""),VLOOKUP(Table1[[#This Row],[Product code]],INDIRECT(Aux!$A$1),6,FALSE),"")),"")</f>
        <v/>
      </c>
      <c r="P776" s="43" t="str">
        <f ca="1">IFERROR(IF(AND(Table1[[#This Row],[Quantity]]&lt;&gt;"",Table1[[#This Row],[Currency]]="NOK"),Table1[[#This Row],[Quantity]]*Table1[[#This Row],[Unit Price]],""),"")</f>
        <v/>
      </c>
      <c r="Q776" s="43" t="str">
        <f ca="1">IFERROR(IF(AND(Table1[[#This Row],[ACT_Qty]]&lt;&gt;"",Table1[[#This Row],[Currency]]="NOK"),Table1[[#This Row],[ACT_Qty]]*Table1[[#This Row],[Unit Price]],""),"")</f>
        <v/>
      </c>
      <c r="R776" s="43" t="str">
        <f ca="1">IFERROR(IF(AND(Table1[[#This Row],[Quantity]]&lt;&gt;"",Table1[[#This Row],[Currency]]="EUR"),Table1[[#This Row],[Quantity]]*Table1[[#This Row],[Unit Price]],""),"")</f>
        <v/>
      </c>
      <c r="S776" s="43" t="str">
        <f ca="1">IFERROR(IF(AND(Table1[[#This Row],[ACT_Qty]]&lt;&gt;"",Table1[[#This Row],[Currency]]="EUR"),Table1[[#This Row],[ACT_Qty]]*Table1[[#This Row],[Unit Price]],""),"")</f>
        <v/>
      </c>
      <c r="T776" s="271" t="str">
        <f ca="1">IFERROR(IF(AND(($N$3&lt;&gt;""),INDIRECT(Aux!$D$1)),VLOOKUP(Table1[[#This Row],[Product code]],Aux!B:E,4,FALSE),""),"")</f>
        <v/>
      </c>
      <c r="U776" s="148" t="str">
        <f>IFERROR(IF(OR(Table1[[#This Row],[Quantity]]&lt;&gt;"",Table1[[#This Row],[ACT_Qty]]&lt;&gt;""),Table1[[#This Row],[ACT_Qty]]-Table1[[#This Row],[Quantity]],""),"")</f>
        <v/>
      </c>
      <c r="V776" s="46"/>
      <c r="W776" s="46"/>
      <c r="X776" s="46"/>
    </row>
    <row r="777" spans="1:24">
      <c r="A777" s="143" t="str">
        <f t="shared" si="43"/>
        <v>AKH12345</v>
      </c>
      <c r="B777" s="231"/>
      <c r="C777" s="120"/>
      <c r="D777" s="121"/>
      <c r="E777" s="122"/>
      <c r="F777" s="121"/>
      <c r="G777" s="122"/>
      <c r="H777" s="119"/>
      <c r="I777" s="123"/>
      <c r="J777" s="119"/>
      <c r="K777" s="119"/>
      <c r="L777" s="232"/>
      <c r="M777" s="145" t="str">
        <f t="shared" si="42"/>
        <v>OneCo Networks AS</v>
      </c>
      <c r="N777"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7" s="268" t="str">
        <f ca="1">IFERROR(IF(
OR(Table1[[#This Row],[Product category]]="Service items",Table1[[#This Row],[Product category]]="Additional services",Table1[[#This Row],[Product category]]="Additional materials"),
"NOK",IF(($N$3&lt;&gt;""),VLOOKUP(Table1[[#This Row],[Product code]],INDIRECT(Aux!$A$1),6,FALSE),"")),"")</f>
        <v/>
      </c>
      <c r="P777" s="41" t="str">
        <f ca="1">IFERROR(IF(AND(Table1[[#This Row],[Quantity]]&lt;&gt;"",Table1[[#This Row],[Currency]]="NOK"),Table1[[#This Row],[Quantity]]*Table1[[#This Row],[Unit Price]],""),"")</f>
        <v/>
      </c>
      <c r="Q777" s="41" t="str">
        <f ca="1">IFERROR(IF(AND(Table1[[#This Row],[ACT_Qty]]&lt;&gt;"",Table1[[#This Row],[Currency]]="NOK"),Table1[[#This Row],[ACT_Qty]]*Table1[[#This Row],[Unit Price]],""),"")</f>
        <v/>
      </c>
      <c r="R777" s="41" t="str">
        <f ca="1">IFERROR(IF(AND(Table1[[#This Row],[Quantity]]&lt;&gt;"",Table1[[#This Row],[Currency]]="EUR"),Table1[[#This Row],[Quantity]]*Table1[[#This Row],[Unit Price]],""),"")</f>
        <v/>
      </c>
      <c r="S777" s="41" t="str">
        <f ca="1">IFERROR(IF(AND(Table1[[#This Row],[ACT_Qty]]&lt;&gt;"",Table1[[#This Row],[Currency]]="EUR"),Table1[[#This Row],[ACT_Qty]]*Table1[[#This Row],[Unit Price]],""),"")</f>
        <v/>
      </c>
      <c r="T777" s="269" t="str">
        <f ca="1">IFERROR(IF(AND(($N$3&lt;&gt;""),INDIRECT(Aux!$D$1)),VLOOKUP(Table1[[#This Row],[Product code]],Aux!B:E,4,FALSE),""),"")</f>
        <v/>
      </c>
      <c r="U777" s="145" t="str">
        <f>IFERROR(IF(OR(Table1[[#This Row],[Quantity]]&lt;&gt;"",Table1[[#This Row],[ACT_Qty]]&lt;&gt;""),Table1[[#This Row],[ACT_Qty]]-Table1[[#This Row],[Quantity]],""),"")</f>
        <v/>
      </c>
      <c r="V777" s="45"/>
      <c r="W777" s="45"/>
      <c r="X777" s="45"/>
    </row>
    <row r="778" spans="1:24">
      <c r="A778" s="233" t="str">
        <f t="shared" si="43"/>
        <v>AKH12345</v>
      </c>
      <c r="B778" s="80"/>
      <c r="C778" s="81"/>
      <c r="D778" s="73"/>
      <c r="E778" s="90"/>
      <c r="F778" s="73"/>
      <c r="G778" s="90"/>
      <c r="H778" s="82"/>
      <c r="I778" s="83"/>
      <c r="J778" s="82"/>
      <c r="K778" s="82"/>
      <c r="L778" s="84"/>
      <c r="M778" s="148" t="str">
        <f t="shared" si="42"/>
        <v>OneCo Networks AS</v>
      </c>
      <c r="N778"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8" s="270" t="str">
        <f ca="1">IFERROR(IF(
OR(Table1[[#This Row],[Product category]]="Service items",Table1[[#This Row],[Product category]]="Additional services",Table1[[#This Row],[Product category]]="Additional materials"),
"NOK",IF(($N$3&lt;&gt;""),VLOOKUP(Table1[[#This Row],[Product code]],INDIRECT(Aux!$A$1),6,FALSE),"")),"")</f>
        <v/>
      </c>
      <c r="P778" s="43" t="str">
        <f ca="1">IFERROR(IF(AND(Table1[[#This Row],[Quantity]]&lt;&gt;"",Table1[[#This Row],[Currency]]="NOK"),Table1[[#This Row],[Quantity]]*Table1[[#This Row],[Unit Price]],""),"")</f>
        <v/>
      </c>
      <c r="Q778" s="43" t="str">
        <f ca="1">IFERROR(IF(AND(Table1[[#This Row],[ACT_Qty]]&lt;&gt;"",Table1[[#This Row],[Currency]]="NOK"),Table1[[#This Row],[ACT_Qty]]*Table1[[#This Row],[Unit Price]],""),"")</f>
        <v/>
      </c>
      <c r="R778" s="43" t="str">
        <f ca="1">IFERROR(IF(AND(Table1[[#This Row],[Quantity]]&lt;&gt;"",Table1[[#This Row],[Currency]]="EUR"),Table1[[#This Row],[Quantity]]*Table1[[#This Row],[Unit Price]],""),"")</f>
        <v/>
      </c>
      <c r="S778" s="43" t="str">
        <f ca="1">IFERROR(IF(AND(Table1[[#This Row],[ACT_Qty]]&lt;&gt;"",Table1[[#This Row],[Currency]]="EUR"),Table1[[#This Row],[ACT_Qty]]*Table1[[#This Row],[Unit Price]],""),"")</f>
        <v/>
      </c>
      <c r="T778" s="271" t="str">
        <f ca="1">IFERROR(IF(AND(($N$3&lt;&gt;""),INDIRECT(Aux!$D$1)),VLOOKUP(Table1[[#This Row],[Product code]],Aux!B:E,4,FALSE),""),"")</f>
        <v/>
      </c>
      <c r="U778" s="148" t="str">
        <f>IFERROR(IF(OR(Table1[[#This Row],[Quantity]]&lt;&gt;"",Table1[[#This Row],[ACT_Qty]]&lt;&gt;""),Table1[[#This Row],[ACT_Qty]]-Table1[[#This Row],[Quantity]],""),"")</f>
        <v/>
      </c>
      <c r="V778" s="46"/>
      <c r="W778" s="46"/>
      <c r="X778" s="46"/>
    </row>
    <row r="779" spans="1:24">
      <c r="A779" s="143" t="str">
        <f t="shared" si="43"/>
        <v>AKH12345</v>
      </c>
      <c r="B779" s="231"/>
      <c r="C779" s="120"/>
      <c r="D779" s="121"/>
      <c r="E779" s="122"/>
      <c r="F779" s="121"/>
      <c r="G779" s="122"/>
      <c r="H779" s="119"/>
      <c r="I779" s="123"/>
      <c r="J779" s="119"/>
      <c r="K779" s="119"/>
      <c r="L779" s="232"/>
      <c r="M779" s="145" t="str">
        <f t="shared" si="42"/>
        <v>OneCo Networks AS</v>
      </c>
      <c r="N779"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79" s="268" t="str">
        <f ca="1">IFERROR(IF(
OR(Table1[[#This Row],[Product category]]="Service items",Table1[[#This Row],[Product category]]="Additional services",Table1[[#This Row],[Product category]]="Additional materials"),
"NOK",IF(($N$3&lt;&gt;""),VLOOKUP(Table1[[#This Row],[Product code]],INDIRECT(Aux!$A$1),6,FALSE),"")),"")</f>
        <v/>
      </c>
      <c r="P779" s="41" t="str">
        <f ca="1">IFERROR(IF(AND(Table1[[#This Row],[Quantity]]&lt;&gt;"",Table1[[#This Row],[Currency]]="NOK"),Table1[[#This Row],[Quantity]]*Table1[[#This Row],[Unit Price]],""),"")</f>
        <v/>
      </c>
      <c r="Q779" s="41" t="str">
        <f ca="1">IFERROR(IF(AND(Table1[[#This Row],[ACT_Qty]]&lt;&gt;"",Table1[[#This Row],[Currency]]="NOK"),Table1[[#This Row],[ACT_Qty]]*Table1[[#This Row],[Unit Price]],""),"")</f>
        <v/>
      </c>
      <c r="R779" s="41" t="str">
        <f ca="1">IFERROR(IF(AND(Table1[[#This Row],[Quantity]]&lt;&gt;"",Table1[[#This Row],[Currency]]="EUR"),Table1[[#This Row],[Quantity]]*Table1[[#This Row],[Unit Price]],""),"")</f>
        <v/>
      </c>
      <c r="S779" s="41" t="str">
        <f ca="1">IFERROR(IF(AND(Table1[[#This Row],[ACT_Qty]]&lt;&gt;"",Table1[[#This Row],[Currency]]="EUR"),Table1[[#This Row],[ACT_Qty]]*Table1[[#This Row],[Unit Price]],""),"")</f>
        <v/>
      </c>
      <c r="T779" s="269" t="str">
        <f ca="1">IFERROR(IF(AND(($N$3&lt;&gt;""),INDIRECT(Aux!$D$1)),VLOOKUP(Table1[[#This Row],[Product code]],Aux!B:E,4,FALSE),""),"")</f>
        <v/>
      </c>
      <c r="U779" s="145" t="str">
        <f>IFERROR(IF(OR(Table1[[#This Row],[Quantity]]&lt;&gt;"",Table1[[#This Row],[ACT_Qty]]&lt;&gt;""),Table1[[#This Row],[ACT_Qty]]-Table1[[#This Row],[Quantity]],""),"")</f>
        <v/>
      </c>
      <c r="V779" s="45"/>
      <c r="W779" s="45"/>
      <c r="X779" s="45"/>
    </row>
    <row r="780" spans="1:24">
      <c r="A780" s="233" t="str">
        <f t="shared" si="43"/>
        <v>AKH12345</v>
      </c>
      <c r="B780" s="80"/>
      <c r="C780" s="81"/>
      <c r="D780" s="73"/>
      <c r="E780" s="90"/>
      <c r="F780" s="73"/>
      <c r="G780" s="90"/>
      <c r="H780" s="82"/>
      <c r="I780" s="83"/>
      <c r="J780" s="82"/>
      <c r="K780" s="82"/>
      <c r="L780" s="84"/>
      <c r="M780" s="148" t="str">
        <f t="shared" ref="M780:M782" si="44">IF($C$3&lt;&gt;"",$C$3,"")</f>
        <v>OneCo Networks AS</v>
      </c>
      <c r="N780"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80" s="270" t="str">
        <f ca="1">IFERROR(IF(
OR(Table1[[#This Row],[Product category]]="Service items",Table1[[#This Row],[Product category]]="Additional services",Table1[[#This Row],[Product category]]="Additional materials"),
"NOK",IF(($N$3&lt;&gt;""),VLOOKUP(Table1[[#This Row],[Product code]],INDIRECT(Aux!$A$1),6,FALSE),"")),"")</f>
        <v/>
      </c>
      <c r="P780" s="43" t="str">
        <f ca="1">IFERROR(IF(AND(Table1[[#This Row],[Quantity]]&lt;&gt;"",Table1[[#This Row],[Currency]]="NOK"),Table1[[#This Row],[Quantity]]*Table1[[#This Row],[Unit Price]],""),"")</f>
        <v/>
      </c>
      <c r="Q780" s="43" t="str">
        <f ca="1">IFERROR(IF(AND(Table1[[#This Row],[ACT_Qty]]&lt;&gt;"",Table1[[#This Row],[Currency]]="NOK"),Table1[[#This Row],[ACT_Qty]]*Table1[[#This Row],[Unit Price]],""),"")</f>
        <v/>
      </c>
      <c r="R780" s="43" t="str">
        <f ca="1">IFERROR(IF(AND(Table1[[#This Row],[Quantity]]&lt;&gt;"",Table1[[#This Row],[Currency]]="EUR"),Table1[[#This Row],[Quantity]]*Table1[[#This Row],[Unit Price]],""),"")</f>
        <v/>
      </c>
      <c r="S780" s="43" t="str">
        <f ca="1">IFERROR(IF(AND(Table1[[#This Row],[ACT_Qty]]&lt;&gt;"",Table1[[#This Row],[Currency]]="EUR"),Table1[[#This Row],[ACT_Qty]]*Table1[[#This Row],[Unit Price]],""),"")</f>
        <v/>
      </c>
      <c r="T780" s="271" t="str">
        <f ca="1">IFERROR(IF(AND(($N$3&lt;&gt;""),INDIRECT(Aux!$D$1)),VLOOKUP(Table1[[#This Row],[Product code]],Aux!B:E,4,FALSE),""),"")</f>
        <v/>
      </c>
      <c r="U780" s="148" t="str">
        <f>IFERROR(IF(OR(Table1[[#This Row],[Quantity]]&lt;&gt;"",Table1[[#This Row],[ACT_Qty]]&lt;&gt;""),Table1[[#This Row],[ACT_Qty]]-Table1[[#This Row],[Quantity]],""),"")</f>
        <v/>
      </c>
      <c r="V780" s="46"/>
      <c r="W780" s="46"/>
      <c r="X780" s="46"/>
    </row>
    <row r="781" spans="1:24">
      <c r="A781" s="233" t="str">
        <f t="shared" si="43"/>
        <v>AKH12345</v>
      </c>
      <c r="B781" s="231"/>
      <c r="C781" s="120"/>
      <c r="D781" s="121"/>
      <c r="E781" s="122"/>
      <c r="F781" s="121"/>
      <c r="G781" s="122"/>
      <c r="H781" s="119"/>
      <c r="I781" s="123"/>
      <c r="J781" s="119"/>
      <c r="K781" s="119"/>
      <c r="L781" s="232"/>
      <c r="M781" s="145" t="str">
        <f t="shared" si="44"/>
        <v>OneCo Networks AS</v>
      </c>
      <c r="N781" s="40"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81" s="268" t="str">
        <f ca="1">IFERROR(IF(
OR(Table1[[#This Row],[Product category]]="Service items",Table1[[#This Row],[Product category]]="Additional services",Table1[[#This Row],[Product category]]="Additional materials"),
"NOK",IF(($N$3&lt;&gt;""),VLOOKUP(Table1[[#This Row],[Product code]],INDIRECT(Aux!$A$1),6,FALSE),"")),"")</f>
        <v/>
      </c>
      <c r="P781" s="41" t="str">
        <f ca="1">IFERROR(IF(AND(Table1[[#This Row],[Quantity]]&lt;&gt;"",Table1[[#This Row],[Currency]]="NOK"),Table1[[#This Row],[Quantity]]*Table1[[#This Row],[Unit Price]],""),"")</f>
        <v/>
      </c>
      <c r="Q781" s="41" t="str">
        <f ca="1">IFERROR(IF(AND(Table1[[#This Row],[ACT_Qty]]&lt;&gt;"",Table1[[#This Row],[Currency]]="NOK"),Table1[[#This Row],[ACT_Qty]]*Table1[[#This Row],[Unit Price]],""),"")</f>
        <v/>
      </c>
      <c r="R781" s="41" t="str">
        <f ca="1">IFERROR(IF(AND(Table1[[#This Row],[Quantity]]&lt;&gt;"",Table1[[#This Row],[Currency]]="EUR"),Table1[[#This Row],[Quantity]]*Table1[[#This Row],[Unit Price]],""),"")</f>
        <v/>
      </c>
      <c r="S781" s="41" t="str">
        <f ca="1">IFERROR(IF(AND(Table1[[#This Row],[ACT_Qty]]&lt;&gt;"",Table1[[#This Row],[Currency]]="EUR"),Table1[[#This Row],[ACT_Qty]]*Table1[[#This Row],[Unit Price]],""),"")</f>
        <v/>
      </c>
      <c r="T781" s="269" t="str">
        <f ca="1">IFERROR(IF(AND(($N$3&lt;&gt;""),INDIRECT(Aux!$D$1)),VLOOKUP(Table1[[#This Row],[Product code]],Aux!B:E,4,FALSE),""),"")</f>
        <v/>
      </c>
      <c r="U781" s="145" t="str">
        <f>IFERROR(IF(OR(Table1[[#This Row],[Quantity]]&lt;&gt;"",Table1[[#This Row],[ACT_Qty]]&lt;&gt;""),Table1[[#This Row],[ACT_Qty]]-Table1[[#This Row],[Quantity]],""),"")</f>
        <v/>
      </c>
      <c r="V781" s="45"/>
      <c r="W781" s="45"/>
      <c r="X781" s="45"/>
    </row>
    <row r="782" spans="1:24">
      <c r="A782" s="233" t="str">
        <f t="shared" si="43"/>
        <v>AKH12345</v>
      </c>
      <c r="B782" s="80"/>
      <c r="C782" s="81"/>
      <c r="D782" s="73"/>
      <c r="E782" s="90"/>
      <c r="F782" s="73"/>
      <c r="G782" s="90"/>
      <c r="H782" s="82"/>
      <c r="I782" s="83"/>
      <c r="J782" s="82"/>
      <c r="K782" s="82"/>
      <c r="L782" s="84"/>
      <c r="M782" s="148" t="str">
        <f t="shared" si="44"/>
        <v>OneCo Networks AS</v>
      </c>
      <c r="N782" s="42" t="str">
        <f ca="1">IFERROR(
VLOOKUP(Table1[[#This Row],[Product code]],
IF(AND(OR(Table1[[#This Row],[Product category]]="Service items",Table1[[#This Row],[Product code]]="ice_add_service_1NOK",Table1[[#This Row],[Product code]]="ice_add_material_1NOK"),I$1="Y"),
INDIRECT(VLOOKUP($C$3,Aux!B:D,3,FALSE)),
IF(AND(($N$3&lt;&gt;""),OR(Table1[[#This Row],[Source of ordering]]="Lyse Tele",OR(Table1[[#This Row],[Vendor]]="Griptel",Table1[[#This Row],[Vendor]]="Solar"))),INDIRECT(Aux!$A$1))
),4,FALSE),"")</f>
        <v/>
      </c>
      <c r="O782" s="270" t="str">
        <f ca="1">IFERROR(IF(
OR(Table1[[#This Row],[Product category]]="Service items",Table1[[#This Row],[Product category]]="Additional services",Table1[[#This Row],[Product category]]="Additional materials"),
"NOK",IF(($N$3&lt;&gt;""),VLOOKUP(Table1[[#This Row],[Product code]],INDIRECT(Aux!$A$1),6,FALSE),"")),"")</f>
        <v/>
      </c>
      <c r="P782" s="43" t="str">
        <f ca="1">IFERROR(IF(AND(Table1[[#This Row],[Quantity]]&lt;&gt;"",Table1[[#This Row],[Currency]]="NOK"),Table1[[#This Row],[Quantity]]*Table1[[#This Row],[Unit Price]],""),"")</f>
        <v/>
      </c>
      <c r="Q782" s="43" t="str">
        <f ca="1">IFERROR(IF(AND(Table1[[#This Row],[ACT_Qty]]&lt;&gt;"",Table1[[#This Row],[Currency]]="NOK"),Table1[[#This Row],[ACT_Qty]]*Table1[[#This Row],[Unit Price]],""),"")</f>
        <v/>
      </c>
      <c r="R782" s="43" t="str">
        <f ca="1">IFERROR(IF(AND(Table1[[#This Row],[Quantity]]&lt;&gt;"",Table1[[#This Row],[Currency]]="EUR"),Table1[[#This Row],[Quantity]]*Table1[[#This Row],[Unit Price]],""),"")</f>
        <v/>
      </c>
      <c r="S782" s="43" t="str">
        <f ca="1">IFERROR(IF(AND(Table1[[#This Row],[ACT_Qty]]&lt;&gt;"",Table1[[#This Row],[Currency]]="EUR"),Table1[[#This Row],[ACT_Qty]]*Table1[[#This Row],[Unit Price]],""),"")</f>
        <v/>
      </c>
      <c r="T782" s="271" t="str">
        <f ca="1">IFERROR(IF(AND(($N$3&lt;&gt;""),INDIRECT(Aux!$D$1)),VLOOKUP(Table1[[#This Row],[Product code]],Aux!B:E,4,FALSE),""),"")</f>
        <v/>
      </c>
      <c r="U782" s="148" t="str">
        <f>IFERROR(IF(OR(Table1[[#This Row],[Quantity]]&lt;&gt;"",Table1[[#This Row],[ACT_Qty]]&lt;&gt;""),Table1[[#This Row],[ACT_Qty]]-Table1[[#This Row],[Quantity]],""),"")</f>
        <v/>
      </c>
      <c r="V782" s="46"/>
      <c r="W782" s="46"/>
      <c r="X782" s="46"/>
    </row>
  </sheetData>
  <sheetProtection algorithmName="SHA-512" hashValue="te0kIDdgpTqaA2ING1rGVn+Jfhwmq6y6f99fp2T7XtZmtjm/TTOw9OjPEaH+lbbF6+sHGMSVVWGmAx7QvsLYTw==" saltValue="OrExxput29KTt7PZSAgmnQ==" spinCount="100000" sheet="1" formatColumns="0" autoFilter="0"/>
  <phoneticPr fontId="6" type="noConversion"/>
  <conditionalFormatting sqref="N11:T782">
    <cfRule type="expression" dxfId="100" priority="5">
      <formula>($T11="TSSR")</formula>
    </cfRule>
    <cfRule type="expression" dxfId="99" priority="6">
      <formula>($T11="Office")</formula>
    </cfRule>
    <cfRule type="expression" dxfId="98" priority="7">
      <formula>($T11="On site")</formula>
    </cfRule>
  </conditionalFormatting>
  <conditionalFormatting sqref="B1:B1048576">
    <cfRule type="expression" dxfId="97" priority="31">
      <formula>AND(COUNTIF($B:$B,B1)&gt;1,B1&lt;&gt;"ice_add_service_1NOK",B1&lt;&gt;"ice_add_material_1NOK",B1&lt;&gt;"ice_spec_trans_1NOK",B1&lt;&gt;"ice_add_HSE_service_1NOK")</formula>
    </cfRule>
  </conditionalFormatting>
  <dataValidations count="1">
    <dataValidation type="list" allowBlank="1" showInputMessage="1" showErrorMessage="1" sqref="N2" xr:uid="{E735FA60-0C4E-47F9-8765-E0D513AFBF3C}">
      <formula1>ver</formula1>
    </dataValidation>
  </dataValidations>
  <pageMargins left="0.7" right="0.7" top="0.75" bottom="0.75" header="0.3" footer="0.3"/>
  <pageSetup orientation="portrait" r:id="rId1"/>
  <ignoredErrors>
    <ignoredError sqref="M111:M112 M123 M113 P111:T112 P123:T123 P113:T113 V111:V112 V123 V113" numberStoredAsText="1"/>
    <ignoredError sqref="K8" unlockedFormula="1"/>
  </ignoredErrors>
  <drawing r:id="rId2"/>
  <legacyDrawing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Choose" prompt="from drop down list" xr:uid="{39F8B1EF-F4AA-43F1-AB95-27B45899DAE3}">
          <x14:formula1>
            <xm:f>Aux!$J$2:$J$6</xm:f>
          </x14:formula1>
          <xm:sqref>C3</xm:sqref>
        </x14:dataValidation>
        <x14:dataValidation type="list" allowBlank="1" showInputMessage="1" showErrorMessage="1" promptTitle="Choose" prompt="from drop down list" xr:uid="{C2118995-2EA5-4448-8178-C3BA41A16FE7}">
          <x14:formula1>
            <xm:f>Aux!$I$2:$I$5</xm:f>
          </x14:formula1>
          <xm:sqref>C7</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8005A-E8FE-4DFF-BD3C-5350A3E0CC3F}">
  <dimension ref="A1:H462"/>
  <sheetViews>
    <sheetView workbookViewId="0">
      <selection activeCell="A25" sqref="A25"/>
    </sheetView>
  </sheetViews>
  <sheetFormatPr defaultColWidth="9.140625" defaultRowHeight="14.45"/>
  <cols>
    <col min="1" max="1" width="37.85546875" style="66" bestFit="1" customWidth="1"/>
    <col min="2" max="2" width="16.7109375" style="66" customWidth="1"/>
    <col min="3" max="3" width="12.7109375" customWidth="1"/>
    <col min="4" max="4" width="18.5703125" customWidth="1"/>
    <col min="8" max="8" width="82.85546875" customWidth="1"/>
  </cols>
  <sheetData>
    <row r="1" spans="1:8">
      <c r="H1" s="100" t="s">
        <v>1794</v>
      </c>
    </row>
    <row r="4" spans="1:8">
      <c r="A4" s="101" t="s">
        <v>1795</v>
      </c>
      <c r="B4" s="100" t="s">
        <v>1796</v>
      </c>
      <c r="C4" s="100" t="s">
        <v>1797</v>
      </c>
      <c r="D4" s="100" t="s">
        <v>1798</v>
      </c>
    </row>
    <row r="5" spans="1:8">
      <c r="A5" s="257" t="str" cm="1">
        <f t="array" ref="A5">_xlfn._xlws.FILTER(BoQ!B11:B717,(BoQ!D11:D717&gt;0)*(LOWER(BoQ!K11:K717)="lyse tele"), "")</f>
        <v/>
      </c>
      <c r="B5" s="88" t="str">
        <f>IF(A5="","",IFERROR(_xlfn.XLOOKUP(A5,BoQ!B:B,BoQ!D:D),""))</f>
        <v/>
      </c>
      <c r="C5" s="103" t="str">
        <f>IF(B5="", "", 600)</f>
        <v/>
      </c>
      <c r="D5" s="102">
        <v>123456</v>
      </c>
      <c r="H5" t="s">
        <v>1799</v>
      </c>
    </row>
    <row r="6" spans="1:8">
      <c r="A6" s="257"/>
      <c r="B6" s="88" t="str">
        <f>IF(A6="","",IFERROR(_xlfn.XLOOKUP(A6,BoQ!B:B,BoQ!D:D),""))</f>
        <v/>
      </c>
      <c r="C6" s="103" t="str">
        <f t="shared" ref="C6:C69" si="0">IF(B6="", "", 600)</f>
        <v/>
      </c>
      <c r="D6" s="37"/>
    </row>
    <row r="7" spans="1:8">
      <c r="A7" s="257"/>
      <c r="B7" s="88" t="str">
        <f>IF(A7="","",IFERROR(_xlfn.XLOOKUP(A7,BoQ!B:B,BoQ!D:D),""))</f>
        <v/>
      </c>
      <c r="C7" s="103" t="str">
        <f t="shared" si="0"/>
        <v/>
      </c>
      <c r="D7" s="37"/>
    </row>
    <row r="8" spans="1:8">
      <c r="A8" s="257"/>
      <c r="B8" s="88" t="str">
        <f>IF(A8="","",IFERROR(_xlfn.XLOOKUP(A8,BoQ!B:B,BoQ!D:D),""))</f>
        <v/>
      </c>
      <c r="C8" s="103" t="str">
        <f t="shared" si="0"/>
        <v/>
      </c>
      <c r="D8" s="37"/>
    </row>
    <row r="9" spans="1:8">
      <c r="A9" s="257"/>
      <c r="B9" s="88" t="str">
        <f>IF(A9="","",IFERROR(_xlfn.XLOOKUP(A9,BoQ!B:B,BoQ!D:D),""))</f>
        <v/>
      </c>
      <c r="C9" s="103" t="str">
        <f t="shared" si="0"/>
        <v/>
      </c>
      <c r="D9" s="37"/>
    </row>
    <row r="10" spans="1:8">
      <c r="A10" s="257"/>
      <c r="B10" s="88" t="str">
        <f>IF(A10="","",IFERROR(_xlfn.XLOOKUP(A10,BoQ!B:B,BoQ!D:D),""))</f>
        <v/>
      </c>
      <c r="C10" s="103" t="str">
        <f t="shared" si="0"/>
        <v/>
      </c>
      <c r="D10" s="37"/>
    </row>
    <row r="11" spans="1:8">
      <c r="A11" s="257"/>
      <c r="B11" s="88" t="str">
        <f>IF(A11="","",IFERROR(_xlfn.XLOOKUP(A11,BoQ!B:B,BoQ!D:D),""))</f>
        <v/>
      </c>
      <c r="C11" s="103" t="str">
        <f t="shared" si="0"/>
        <v/>
      </c>
      <c r="D11" s="37"/>
    </row>
    <row r="12" spans="1:8">
      <c r="A12" s="257"/>
      <c r="B12" s="88" t="str">
        <f>IF(A12="","",IFERROR(_xlfn.XLOOKUP(A12,BoQ!B:B,BoQ!D:D),""))</f>
        <v/>
      </c>
      <c r="C12" s="103" t="str">
        <f t="shared" si="0"/>
        <v/>
      </c>
      <c r="D12" s="37"/>
    </row>
    <row r="13" spans="1:8">
      <c r="A13" s="257"/>
      <c r="B13" s="88" t="str">
        <f>IF(A13="","",IFERROR(_xlfn.XLOOKUP(A13,BoQ!B:B,BoQ!D:D),""))</f>
        <v/>
      </c>
      <c r="C13" s="103" t="str">
        <f t="shared" si="0"/>
        <v/>
      </c>
      <c r="D13" s="37"/>
    </row>
    <row r="14" spans="1:8">
      <c r="A14" s="257"/>
      <c r="B14" s="88" t="str">
        <f>IF(A14="","",IFERROR(_xlfn.XLOOKUP(A14,BoQ!B:B,BoQ!D:D),""))</f>
        <v/>
      </c>
      <c r="C14" s="103" t="str">
        <f t="shared" si="0"/>
        <v/>
      </c>
      <c r="D14" s="37"/>
    </row>
    <row r="15" spans="1:8">
      <c r="A15" s="257"/>
      <c r="B15" s="88" t="str">
        <f>IF(A15="","",IFERROR(_xlfn.XLOOKUP(A15,BoQ!B:B,BoQ!D:D),""))</f>
        <v/>
      </c>
      <c r="C15" s="103" t="str">
        <f t="shared" si="0"/>
        <v/>
      </c>
      <c r="D15" s="37"/>
    </row>
    <row r="16" spans="1:8">
      <c r="A16" s="257"/>
      <c r="B16" s="88" t="str">
        <f>IF(A16="","",IFERROR(_xlfn.XLOOKUP(A16,BoQ!B:B,BoQ!D:D),""))</f>
        <v/>
      </c>
      <c r="C16" s="103" t="str">
        <f t="shared" si="0"/>
        <v/>
      </c>
      <c r="D16" s="37"/>
    </row>
    <row r="17" spans="1:4">
      <c r="A17" s="257"/>
      <c r="B17" s="88" t="str">
        <f>IF(A17="","",IFERROR(_xlfn.XLOOKUP(A17,BoQ!B:B,BoQ!D:D),""))</f>
        <v/>
      </c>
      <c r="C17" s="103" t="str">
        <f t="shared" si="0"/>
        <v/>
      </c>
      <c r="D17" s="37"/>
    </row>
    <row r="18" spans="1:4">
      <c r="A18" s="257"/>
      <c r="B18" s="88" t="str">
        <f>IF(A18="","",IFERROR(_xlfn.XLOOKUP(A18,BoQ!B:B,BoQ!D:D),""))</f>
        <v/>
      </c>
      <c r="C18" s="103" t="str">
        <f t="shared" si="0"/>
        <v/>
      </c>
      <c r="D18" s="37"/>
    </row>
    <row r="19" spans="1:4">
      <c r="A19" s="257"/>
      <c r="B19" s="88" t="str">
        <f>IF(A19="","",IFERROR(_xlfn.XLOOKUP(A19,BoQ!B:B,BoQ!D:D),""))</f>
        <v/>
      </c>
      <c r="C19" s="103" t="str">
        <f t="shared" si="0"/>
        <v/>
      </c>
      <c r="D19" s="37"/>
    </row>
    <row r="20" spans="1:4">
      <c r="A20" s="257"/>
      <c r="B20" s="88" t="str">
        <f>IF(A20="","",IFERROR(_xlfn.XLOOKUP(A20,BoQ!B:B,BoQ!D:D),""))</f>
        <v/>
      </c>
      <c r="C20" s="103" t="str">
        <f t="shared" si="0"/>
        <v/>
      </c>
      <c r="D20" s="37"/>
    </row>
    <row r="21" spans="1:4">
      <c r="A21" s="257"/>
      <c r="B21" s="88" t="str">
        <f>IF(A21="","",IFERROR(_xlfn.XLOOKUP(A21,BoQ!B:B,BoQ!D:D),""))</f>
        <v/>
      </c>
      <c r="C21" s="103" t="str">
        <f t="shared" si="0"/>
        <v/>
      </c>
      <c r="D21" s="37"/>
    </row>
    <row r="22" spans="1:4">
      <c r="A22" s="257"/>
      <c r="B22" s="88" t="str">
        <f>IF(A22="","",IFERROR(_xlfn.XLOOKUP(A22,BoQ!B:B,BoQ!D:D),""))</f>
        <v/>
      </c>
      <c r="C22" s="103" t="str">
        <f t="shared" si="0"/>
        <v/>
      </c>
      <c r="D22" s="37"/>
    </row>
    <row r="23" spans="1:4">
      <c r="A23" s="257"/>
      <c r="B23" s="88" t="str">
        <f>IF(A23="","",IFERROR(_xlfn.XLOOKUP(A23,BoQ!B:B,BoQ!D:D),""))</f>
        <v/>
      </c>
      <c r="C23" s="103" t="str">
        <f t="shared" si="0"/>
        <v/>
      </c>
      <c r="D23" s="37"/>
    </row>
    <row r="24" spans="1:4">
      <c r="A24" s="257"/>
      <c r="B24" s="88" t="str">
        <f>IF(A24="","",IFERROR(_xlfn.XLOOKUP(A24,BoQ!B:B,BoQ!D:D),""))</f>
        <v/>
      </c>
      <c r="C24" s="103" t="str">
        <f t="shared" si="0"/>
        <v/>
      </c>
      <c r="D24" s="37"/>
    </row>
    <row r="25" spans="1:4">
      <c r="A25" s="257"/>
      <c r="B25" s="88" t="str">
        <f>IF(A25="","",IFERROR(_xlfn.XLOOKUP(A25,BoQ!B:B,BoQ!D:D),""))</f>
        <v/>
      </c>
      <c r="C25" s="103" t="str">
        <f t="shared" si="0"/>
        <v/>
      </c>
      <c r="D25" s="37"/>
    </row>
    <row r="26" spans="1:4">
      <c r="A26" s="257"/>
      <c r="B26" s="88" t="str">
        <f>IF(A26="","",IFERROR(_xlfn.XLOOKUP(A26,BoQ!B:B,BoQ!D:D),""))</f>
        <v/>
      </c>
      <c r="C26" s="103" t="str">
        <f t="shared" si="0"/>
        <v/>
      </c>
      <c r="D26" s="37"/>
    </row>
    <row r="27" spans="1:4">
      <c r="A27" s="257"/>
      <c r="B27" s="88" t="str">
        <f>IF(A27="","",IFERROR(_xlfn.XLOOKUP(A27,BoQ!B:B,BoQ!D:D),""))</f>
        <v/>
      </c>
      <c r="C27" s="103" t="str">
        <f t="shared" si="0"/>
        <v/>
      </c>
      <c r="D27" s="37"/>
    </row>
    <row r="28" spans="1:4">
      <c r="A28" s="257"/>
      <c r="B28" s="88" t="str">
        <f>IF(A28="","",IFERROR(_xlfn.XLOOKUP(A28,BoQ!B:B,BoQ!D:D),""))</f>
        <v/>
      </c>
      <c r="C28" s="103" t="str">
        <f t="shared" si="0"/>
        <v/>
      </c>
      <c r="D28" s="37"/>
    </row>
    <row r="29" spans="1:4">
      <c r="A29" s="257"/>
      <c r="B29" s="88" t="str">
        <f>IF(A29="","",IFERROR(_xlfn.XLOOKUP(A29,BoQ!B:B,BoQ!D:D),""))</f>
        <v/>
      </c>
      <c r="C29" s="103" t="str">
        <f t="shared" si="0"/>
        <v/>
      </c>
      <c r="D29" s="37"/>
    </row>
    <row r="30" spans="1:4">
      <c r="A30" s="257"/>
      <c r="B30" s="88" t="str">
        <f>IF(A30="","",IFERROR(_xlfn.XLOOKUP(A30,BoQ!B:B,BoQ!D:D),""))</f>
        <v/>
      </c>
      <c r="C30" s="103" t="str">
        <f t="shared" si="0"/>
        <v/>
      </c>
      <c r="D30" s="37"/>
    </row>
    <row r="31" spans="1:4">
      <c r="A31" s="257"/>
      <c r="B31" s="88" t="str">
        <f>IF(A31="","",IFERROR(_xlfn.XLOOKUP(A31,BoQ!B:B,BoQ!D:D),""))</f>
        <v/>
      </c>
      <c r="C31" s="103" t="str">
        <f t="shared" si="0"/>
        <v/>
      </c>
      <c r="D31" s="37"/>
    </row>
    <row r="32" spans="1:4">
      <c r="A32" s="257"/>
      <c r="B32" s="88" t="str">
        <f>IF(A32="","",IFERROR(_xlfn.XLOOKUP(A32,BoQ!B:B,BoQ!D:D),""))</f>
        <v/>
      </c>
      <c r="C32" s="103" t="str">
        <f t="shared" si="0"/>
        <v/>
      </c>
      <c r="D32" s="37"/>
    </row>
    <row r="33" spans="1:4">
      <c r="A33" s="257"/>
      <c r="B33" s="88" t="str">
        <f>IF(A33="","",IFERROR(_xlfn.XLOOKUP(A33,BoQ!B:B,BoQ!D:D),""))</f>
        <v/>
      </c>
      <c r="C33" s="103" t="str">
        <f t="shared" si="0"/>
        <v/>
      </c>
      <c r="D33" s="37"/>
    </row>
    <row r="34" spans="1:4">
      <c r="A34" s="257"/>
      <c r="B34" s="88" t="str">
        <f>IF(A34="","",IFERROR(_xlfn.XLOOKUP(A34,BoQ!B:B,BoQ!D:D),""))</f>
        <v/>
      </c>
      <c r="C34" s="103" t="str">
        <f t="shared" si="0"/>
        <v/>
      </c>
      <c r="D34" s="37"/>
    </row>
    <row r="35" spans="1:4">
      <c r="A35" s="257"/>
      <c r="B35" s="88" t="str">
        <f>IF(A35="","",IFERROR(_xlfn.XLOOKUP(A35,BoQ!B:B,BoQ!D:D),""))</f>
        <v/>
      </c>
      <c r="C35" s="103" t="str">
        <f t="shared" si="0"/>
        <v/>
      </c>
      <c r="D35" s="37"/>
    </row>
    <row r="36" spans="1:4">
      <c r="A36" s="257"/>
      <c r="B36" s="88" t="str">
        <f>IF(A36="","",IFERROR(_xlfn.XLOOKUP(A36,BoQ!B:B,BoQ!D:D),""))</f>
        <v/>
      </c>
      <c r="C36" s="103" t="str">
        <f t="shared" si="0"/>
        <v/>
      </c>
      <c r="D36" s="37"/>
    </row>
    <row r="37" spans="1:4">
      <c r="A37" s="257"/>
      <c r="B37" s="88" t="str">
        <f>IF(A37="","",IFERROR(_xlfn.XLOOKUP(A37,BoQ!B:B,BoQ!D:D),""))</f>
        <v/>
      </c>
      <c r="C37" s="103" t="str">
        <f t="shared" si="0"/>
        <v/>
      </c>
      <c r="D37" s="37"/>
    </row>
    <row r="38" spans="1:4">
      <c r="A38" s="257"/>
      <c r="B38" s="88" t="str">
        <f>IF(A38="","",IFERROR(_xlfn.XLOOKUP(A38,BoQ!B:B,BoQ!D:D),""))</f>
        <v/>
      </c>
      <c r="C38" s="103" t="str">
        <f t="shared" si="0"/>
        <v/>
      </c>
      <c r="D38" s="37"/>
    </row>
    <row r="39" spans="1:4">
      <c r="A39" s="257"/>
      <c r="B39" s="88" t="str">
        <f>IF(A39="","",IFERROR(_xlfn.XLOOKUP(A39,BoQ!B:B,BoQ!D:D),""))</f>
        <v/>
      </c>
      <c r="C39" s="103" t="str">
        <f t="shared" si="0"/>
        <v/>
      </c>
      <c r="D39" s="37"/>
    </row>
    <row r="40" spans="1:4">
      <c r="A40" s="257"/>
      <c r="B40" s="88" t="str">
        <f>IF(A40="","",IFERROR(_xlfn.XLOOKUP(A40,BoQ!B:B,BoQ!D:D),""))</f>
        <v/>
      </c>
      <c r="C40" s="103" t="str">
        <f t="shared" si="0"/>
        <v/>
      </c>
      <c r="D40" s="37"/>
    </row>
    <row r="41" spans="1:4">
      <c r="A41" s="257"/>
      <c r="B41" s="88" t="str">
        <f>IF(A41="","",IFERROR(_xlfn.XLOOKUP(A41,BoQ!B:B,BoQ!D:D),""))</f>
        <v/>
      </c>
      <c r="C41" s="103" t="str">
        <f t="shared" si="0"/>
        <v/>
      </c>
      <c r="D41" s="37"/>
    </row>
    <row r="42" spans="1:4">
      <c r="A42" s="257"/>
      <c r="B42" s="88" t="str">
        <f>IF(A42="","",IFERROR(_xlfn.XLOOKUP(A42,BoQ!B:B,BoQ!D:D),""))</f>
        <v/>
      </c>
      <c r="C42" s="103" t="str">
        <f t="shared" si="0"/>
        <v/>
      </c>
      <c r="D42" s="37"/>
    </row>
    <row r="43" spans="1:4">
      <c r="A43" s="257"/>
      <c r="B43" s="88" t="str">
        <f>IF(A43="","",IFERROR(_xlfn.XLOOKUP(A43,BoQ!B:B,BoQ!D:D),""))</f>
        <v/>
      </c>
      <c r="C43" s="103" t="str">
        <f t="shared" si="0"/>
        <v/>
      </c>
      <c r="D43" s="37"/>
    </row>
    <row r="44" spans="1:4">
      <c r="A44" s="257"/>
      <c r="B44" s="88" t="str">
        <f>IF(A44="","",IFERROR(_xlfn.XLOOKUP(A44,BoQ!B:B,BoQ!D:D),""))</f>
        <v/>
      </c>
      <c r="C44" s="103" t="str">
        <f t="shared" si="0"/>
        <v/>
      </c>
      <c r="D44" s="37"/>
    </row>
    <row r="45" spans="1:4">
      <c r="A45" s="257"/>
      <c r="B45" s="88" t="str">
        <f>IF(A45="","",IFERROR(_xlfn.XLOOKUP(A45,BoQ!B:B,BoQ!D:D),""))</f>
        <v/>
      </c>
      <c r="C45" s="103" t="str">
        <f t="shared" si="0"/>
        <v/>
      </c>
      <c r="D45" s="37"/>
    </row>
    <row r="46" spans="1:4">
      <c r="A46" s="257"/>
      <c r="B46" s="88" t="str">
        <f>IF(A46="","",IFERROR(_xlfn.XLOOKUP(A46,BoQ!B:B,BoQ!D:D),""))</f>
        <v/>
      </c>
      <c r="C46" s="103" t="str">
        <f t="shared" si="0"/>
        <v/>
      </c>
      <c r="D46" s="37"/>
    </row>
    <row r="47" spans="1:4">
      <c r="A47" s="257"/>
      <c r="B47" s="88" t="str">
        <f>IF(A47="","",IFERROR(_xlfn.XLOOKUP(A47,BoQ!B:B,BoQ!D:D),""))</f>
        <v/>
      </c>
      <c r="C47" s="103" t="str">
        <f t="shared" si="0"/>
        <v/>
      </c>
      <c r="D47" s="37"/>
    </row>
    <row r="48" spans="1:4">
      <c r="A48" s="257"/>
      <c r="B48" s="88" t="str">
        <f>IF(A48="","",IFERROR(_xlfn.XLOOKUP(A48,BoQ!B:B,BoQ!D:D),""))</f>
        <v/>
      </c>
      <c r="C48" s="103" t="str">
        <f t="shared" si="0"/>
        <v/>
      </c>
      <c r="D48" s="37"/>
    </row>
    <row r="49" spans="1:4">
      <c r="A49" s="257"/>
      <c r="B49" s="88" t="str">
        <f>IF(A49="","",IFERROR(_xlfn.XLOOKUP(A49,BoQ!B:B,BoQ!D:D),""))</f>
        <v/>
      </c>
      <c r="C49" s="103" t="str">
        <f t="shared" si="0"/>
        <v/>
      </c>
      <c r="D49" s="37"/>
    </row>
    <row r="50" spans="1:4">
      <c r="A50" s="257"/>
      <c r="B50" s="88" t="str">
        <f>IF(A50="","",IFERROR(_xlfn.XLOOKUP(A50,BoQ!B:B,BoQ!D:D),""))</f>
        <v/>
      </c>
      <c r="C50" s="103" t="str">
        <f t="shared" si="0"/>
        <v/>
      </c>
      <c r="D50" s="37"/>
    </row>
    <row r="51" spans="1:4">
      <c r="A51" s="257"/>
      <c r="B51" s="88" t="str">
        <f>IF(A51="","",IFERROR(_xlfn.XLOOKUP(A51,BoQ!B:B,BoQ!D:D),""))</f>
        <v/>
      </c>
      <c r="C51" s="103" t="str">
        <f t="shared" si="0"/>
        <v/>
      </c>
      <c r="D51" s="37"/>
    </row>
    <row r="52" spans="1:4">
      <c r="A52" s="257"/>
      <c r="B52" s="88" t="str">
        <f>IF(A52="","",IFERROR(_xlfn.XLOOKUP(A52,BoQ!B:B,BoQ!D:D),""))</f>
        <v/>
      </c>
      <c r="C52" s="103" t="str">
        <f t="shared" si="0"/>
        <v/>
      </c>
      <c r="D52" s="37"/>
    </row>
    <row r="53" spans="1:4">
      <c r="A53" s="257"/>
      <c r="B53" s="88" t="str">
        <f>IF(A53="","",IFERROR(_xlfn.XLOOKUP(A53,BoQ!B:B,BoQ!D:D),""))</f>
        <v/>
      </c>
      <c r="C53" s="103" t="str">
        <f t="shared" si="0"/>
        <v/>
      </c>
      <c r="D53" s="37"/>
    </row>
    <row r="54" spans="1:4">
      <c r="A54" s="257"/>
      <c r="B54" s="88" t="str">
        <f>IF(A54="","",IFERROR(_xlfn.XLOOKUP(A54,BoQ!B:B,BoQ!D:D),""))</f>
        <v/>
      </c>
      <c r="C54" s="103" t="str">
        <f t="shared" si="0"/>
        <v/>
      </c>
      <c r="D54" s="37"/>
    </row>
    <row r="55" spans="1:4">
      <c r="A55" s="257"/>
      <c r="B55" s="88" t="str">
        <f>IF(A55="","",IFERROR(_xlfn.XLOOKUP(A55,BoQ!B:B,BoQ!D:D),""))</f>
        <v/>
      </c>
      <c r="C55" s="103" t="str">
        <f t="shared" si="0"/>
        <v/>
      </c>
      <c r="D55" s="37"/>
    </row>
    <row r="56" spans="1:4">
      <c r="A56" s="257"/>
      <c r="B56" s="88" t="str">
        <f>IF(A56="","",IFERROR(_xlfn.XLOOKUP(A56,BoQ!B:B,BoQ!D:D),""))</f>
        <v/>
      </c>
      <c r="C56" s="103" t="str">
        <f t="shared" si="0"/>
        <v/>
      </c>
      <c r="D56" s="37"/>
    </row>
    <row r="57" spans="1:4">
      <c r="A57" s="257"/>
      <c r="B57" s="88" t="str">
        <f>IF(A57="","",IFERROR(_xlfn.XLOOKUP(A57,BoQ!B:B,BoQ!D:D),""))</f>
        <v/>
      </c>
      <c r="C57" s="103" t="str">
        <f t="shared" si="0"/>
        <v/>
      </c>
      <c r="D57" s="37"/>
    </row>
    <row r="58" spans="1:4">
      <c r="A58" s="257"/>
      <c r="B58" s="88" t="str">
        <f>IF(A58="","",IFERROR(_xlfn.XLOOKUP(A58,BoQ!B:B,BoQ!D:D),""))</f>
        <v/>
      </c>
      <c r="C58" s="103" t="str">
        <f t="shared" si="0"/>
        <v/>
      </c>
      <c r="D58" s="37"/>
    </row>
    <row r="59" spans="1:4">
      <c r="A59" s="257"/>
      <c r="B59" s="88" t="str">
        <f>IF(A59="","",IFERROR(_xlfn.XLOOKUP(A59,BoQ!B:B,BoQ!D:D),""))</f>
        <v/>
      </c>
      <c r="C59" s="103" t="str">
        <f t="shared" si="0"/>
        <v/>
      </c>
      <c r="D59" s="37"/>
    </row>
    <row r="60" spans="1:4">
      <c r="A60" s="257"/>
      <c r="B60" s="88" t="str">
        <f>IF(A60="","",IFERROR(_xlfn.XLOOKUP(A60,BoQ!B:B,BoQ!D:D),""))</f>
        <v/>
      </c>
      <c r="C60" s="103" t="str">
        <f t="shared" si="0"/>
        <v/>
      </c>
      <c r="D60" s="37"/>
    </row>
    <row r="61" spans="1:4">
      <c r="A61" s="257"/>
      <c r="B61" s="88" t="str">
        <f>IF(A61="","",IFERROR(_xlfn.XLOOKUP(A61,BoQ!B:B,BoQ!D:D),""))</f>
        <v/>
      </c>
      <c r="C61" s="103" t="str">
        <f t="shared" si="0"/>
        <v/>
      </c>
      <c r="D61" s="37"/>
    </row>
    <row r="62" spans="1:4">
      <c r="A62" s="257"/>
      <c r="B62" s="88" t="str">
        <f>IF(A62="","",IFERROR(_xlfn.XLOOKUP(A62,BoQ!B:B,BoQ!D:D),""))</f>
        <v/>
      </c>
      <c r="C62" s="103" t="str">
        <f t="shared" si="0"/>
        <v/>
      </c>
      <c r="D62" s="37"/>
    </row>
    <row r="63" spans="1:4">
      <c r="A63" s="257"/>
      <c r="B63" s="88" t="str">
        <f>IF(A63="","",IFERROR(_xlfn.XLOOKUP(A63,BoQ!B:B,BoQ!D:D),""))</f>
        <v/>
      </c>
      <c r="C63" s="103" t="str">
        <f t="shared" si="0"/>
        <v/>
      </c>
      <c r="D63" s="37"/>
    </row>
    <row r="64" spans="1:4">
      <c r="A64" s="257"/>
      <c r="B64" s="88" t="str">
        <f>IF(A64="","",IFERROR(_xlfn.XLOOKUP(A64,BoQ!B:B,BoQ!D:D),""))</f>
        <v/>
      </c>
      <c r="C64" s="103" t="str">
        <f t="shared" si="0"/>
        <v/>
      </c>
      <c r="D64" s="37"/>
    </row>
    <row r="65" spans="1:4">
      <c r="A65" s="257"/>
      <c r="B65" s="88" t="str">
        <f>IF(A65="","",IFERROR(_xlfn.XLOOKUP(A65,BoQ!B:B,BoQ!D:D),""))</f>
        <v/>
      </c>
      <c r="C65" s="103" t="str">
        <f t="shared" si="0"/>
        <v/>
      </c>
      <c r="D65" s="37"/>
    </row>
    <row r="66" spans="1:4">
      <c r="A66" s="257"/>
      <c r="B66" s="88" t="str">
        <f>IF(A66="","",IFERROR(_xlfn.XLOOKUP(A66,BoQ!B:B,BoQ!D:D),""))</f>
        <v/>
      </c>
      <c r="C66" s="103" t="str">
        <f t="shared" si="0"/>
        <v/>
      </c>
      <c r="D66" s="37"/>
    </row>
    <row r="67" spans="1:4">
      <c r="A67" s="257"/>
      <c r="B67" s="88" t="str">
        <f>IF(A67="","",IFERROR(_xlfn.XLOOKUP(A67,BoQ!B:B,BoQ!D:D),""))</f>
        <v/>
      </c>
      <c r="C67" s="103" t="str">
        <f t="shared" si="0"/>
        <v/>
      </c>
      <c r="D67" s="37"/>
    </row>
    <row r="68" spans="1:4">
      <c r="A68" s="257"/>
      <c r="B68" s="88" t="str">
        <f>IF(A68="","",IFERROR(_xlfn.XLOOKUP(A68,BoQ!B:B,BoQ!D:D),""))</f>
        <v/>
      </c>
      <c r="C68" s="103" t="str">
        <f t="shared" si="0"/>
        <v/>
      </c>
      <c r="D68" s="37"/>
    </row>
    <row r="69" spans="1:4">
      <c r="A69" s="257"/>
      <c r="B69" s="88" t="str">
        <f>IF(A69="","",IFERROR(_xlfn.XLOOKUP(A69,BoQ!B:B,BoQ!D:D),""))</f>
        <v/>
      </c>
      <c r="C69" s="103" t="str">
        <f t="shared" si="0"/>
        <v/>
      </c>
      <c r="D69" s="37"/>
    </row>
    <row r="70" spans="1:4">
      <c r="A70" s="257"/>
      <c r="B70" s="88" t="str">
        <f>IF(A70="","",IFERROR(_xlfn.XLOOKUP(A70,BoQ!B:B,BoQ!D:D),""))</f>
        <v/>
      </c>
      <c r="C70" s="103" t="str">
        <f t="shared" ref="C70:C133" si="1">IF(B70="", "", 600)</f>
        <v/>
      </c>
      <c r="D70" s="37"/>
    </row>
    <row r="71" spans="1:4">
      <c r="A71" s="257"/>
      <c r="B71" s="88" t="str">
        <f>IF(A71="","",IFERROR(_xlfn.XLOOKUP(A71,BoQ!B:B,BoQ!D:D),""))</f>
        <v/>
      </c>
      <c r="C71" s="103" t="str">
        <f t="shared" si="1"/>
        <v/>
      </c>
      <c r="D71" s="37"/>
    </row>
    <row r="72" spans="1:4">
      <c r="A72" s="257"/>
      <c r="B72" s="88" t="str">
        <f>IF(A72="","",IFERROR(_xlfn.XLOOKUP(A72,BoQ!B:B,BoQ!D:D),""))</f>
        <v/>
      </c>
      <c r="C72" s="103" t="str">
        <f t="shared" si="1"/>
        <v/>
      </c>
      <c r="D72" s="37"/>
    </row>
    <row r="73" spans="1:4">
      <c r="A73" s="257"/>
      <c r="B73" s="88" t="str">
        <f>IF(A73="","",IFERROR(_xlfn.XLOOKUP(A73,BoQ!B:B,BoQ!D:D),""))</f>
        <v/>
      </c>
      <c r="C73" s="103" t="str">
        <f t="shared" si="1"/>
        <v/>
      </c>
      <c r="D73" s="37"/>
    </row>
    <row r="74" spans="1:4">
      <c r="A74" s="257"/>
      <c r="B74" s="88" t="str">
        <f>IF(A74="","",IFERROR(_xlfn.XLOOKUP(A74,BoQ!B:B,BoQ!D:D),""))</f>
        <v/>
      </c>
      <c r="C74" s="103" t="str">
        <f t="shared" si="1"/>
        <v/>
      </c>
      <c r="D74" s="37"/>
    </row>
    <row r="75" spans="1:4">
      <c r="A75" s="257"/>
      <c r="B75" s="88" t="str">
        <f>IF(A75="","",IFERROR(_xlfn.XLOOKUP(A75,BoQ!B:B,BoQ!D:D),""))</f>
        <v/>
      </c>
      <c r="C75" s="103" t="str">
        <f t="shared" si="1"/>
        <v/>
      </c>
      <c r="D75" s="37"/>
    </row>
    <row r="76" spans="1:4">
      <c r="A76" s="257"/>
      <c r="B76" s="88" t="str">
        <f>IF(A76="","",IFERROR(_xlfn.XLOOKUP(A76,BoQ!B:B,BoQ!D:D),""))</f>
        <v/>
      </c>
      <c r="C76" s="103" t="str">
        <f t="shared" si="1"/>
        <v/>
      </c>
      <c r="D76" s="37"/>
    </row>
    <row r="77" spans="1:4">
      <c r="A77" s="257"/>
      <c r="B77" s="88" t="str">
        <f>IF(A77="","",IFERROR(_xlfn.XLOOKUP(A77,BoQ!B:B,BoQ!D:D),""))</f>
        <v/>
      </c>
      <c r="C77" s="103" t="str">
        <f t="shared" si="1"/>
        <v/>
      </c>
      <c r="D77" s="37"/>
    </row>
    <row r="78" spans="1:4">
      <c r="A78" s="257"/>
      <c r="B78" s="88" t="str">
        <f>IF(A78="","",IFERROR(_xlfn.XLOOKUP(A78,BoQ!B:B,BoQ!D:D),""))</f>
        <v/>
      </c>
      <c r="C78" s="103" t="str">
        <f t="shared" si="1"/>
        <v/>
      </c>
      <c r="D78" s="37"/>
    </row>
    <row r="79" spans="1:4">
      <c r="A79" s="257"/>
      <c r="B79" s="88" t="str">
        <f>IF(A79="","",IFERROR(_xlfn.XLOOKUP(A79,BoQ!B:B,BoQ!D:D),""))</f>
        <v/>
      </c>
      <c r="C79" s="103" t="str">
        <f t="shared" si="1"/>
        <v/>
      </c>
      <c r="D79" s="37"/>
    </row>
    <row r="80" spans="1:4">
      <c r="A80" s="257"/>
      <c r="B80" s="88" t="str">
        <f>IF(A80="","",IFERROR(_xlfn.XLOOKUP(A80,BoQ!B:B,BoQ!D:D),""))</f>
        <v/>
      </c>
      <c r="C80" s="103" t="str">
        <f t="shared" si="1"/>
        <v/>
      </c>
      <c r="D80" s="37"/>
    </row>
    <row r="81" spans="1:4">
      <c r="A81" s="257"/>
      <c r="B81" s="88" t="str">
        <f>IF(A81="","",IFERROR(_xlfn.XLOOKUP(A81,BoQ!B:B,BoQ!D:D),""))</f>
        <v/>
      </c>
      <c r="C81" s="103" t="str">
        <f t="shared" si="1"/>
        <v/>
      </c>
      <c r="D81" s="37"/>
    </row>
    <row r="82" spans="1:4">
      <c r="A82" s="257"/>
      <c r="B82" s="88" t="str">
        <f>IF(A82="","",IFERROR(_xlfn.XLOOKUP(A82,BoQ!B:B,BoQ!D:D),""))</f>
        <v/>
      </c>
      <c r="C82" s="103" t="str">
        <f t="shared" si="1"/>
        <v/>
      </c>
      <c r="D82" s="37"/>
    </row>
    <row r="83" spans="1:4">
      <c r="A83" s="257"/>
      <c r="B83" s="88" t="str">
        <f>IF(A83="","",IFERROR(_xlfn.XLOOKUP(A83,BoQ!B:B,BoQ!D:D),""))</f>
        <v/>
      </c>
      <c r="C83" s="103" t="str">
        <f t="shared" si="1"/>
        <v/>
      </c>
      <c r="D83" s="37"/>
    </row>
    <row r="84" spans="1:4">
      <c r="A84" s="257"/>
      <c r="B84" s="88" t="str">
        <f>IF(A84="","",IFERROR(_xlfn.XLOOKUP(A84,BoQ!B:B,BoQ!D:D),""))</f>
        <v/>
      </c>
      <c r="C84" s="103" t="str">
        <f t="shared" si="1"/>
        <v/>
      </c>
      <c r="D84" s="37"/>
    </row>
    <row r="85" spans="1:4">
      <c r="A85" s="257"/>
      <c r="B85" s="88" t="str">
        <f>IF(A85="","",IFERROR(_xlfn.XLOOKUP(A85,BoQ!B:B,BoQ!D:D),""))</f>
        <v/>
      </c>
      <c r="C85" s="103" t="str">
        <f t="shared" si="1"/>
        <v/>
      </c>
      <c r="D85" s="37"/>
    </row>
    <row r="86" spans="1:4">
      <c r="A86" s="257"/>
      <c r="B86" s="88" t="str">
        <f>IF(A86="","",IFERROR(_xlfn.XLOOKUP(A86,BoQ!B:B,BoQ!D:D),""))</f>
        <v/>
      </c>
      <c r="C86" s="103" t="str">
        <f t="shared" si="1"/>
        <v/>
      </c>
      <c r="D86" s="37"/>
    </row>
    <row r="87" spans="1:4">
      <c r="A87" s="257"/>
      <c r="B87" s="88" t="str">
        <f>IF(A87="","",IFERROR(_xlfn.XLOOKUP(A87,BoQ!B:B,BoQ!D:D),""))</f>
        <v/>
      </c>
      <c r="C87" s="103" t="str">
        <f t="shared" si="1"/>
        <v/>
      </c>
      <c r="D87" s="37"/>
    </row>
    <row r="88" spans="1:4">
      <c r="A88" s="257"/>
      <c r="B88" s="88" t="str">
        <f>IF(A88="","",IFERROR(_xlfn.XLOOKUP(A88,BoQ!B:B,BoQ!D:D),""))</f>
        <v/>
      </c>
      <c r="C88" s="103" t="str">
        <f t="shared" si="1"/>
        <v/>
      </c>
      <c r="D88" s="37"/>
    </row>
    <row r="89" spans="1:4">
      <c r="A89" s="257"/>
      <c r="B89" s="88" t="str">
        <f>IF(A89="","",IFERROR(_xlfn.XLOOKUP(A89,BoQ!B:B,BoQ!D:D),""))</f>
        <v/>
      </c>
      <c r="C89" s="103" t="str">
        <f t="shared" si="1"/>
        <v/>
      </c>
      <c r="D89" s="37"/>
    </row>
    <row r="90" spans="1:4">
      <c r="A90" s="257"/>
      <c r="B90" s="88" t="str">
        <f>IF(A90="","",IFERROR(_xlfn.XLOOKUP(A90,BoQ!B:B,BoQ!D:D),""))</f>
        <v/>
      </c>
      <c r="C90" s="103" t="str">
        <f t="shared" si="1"/>
        <v/>
      </c>
      <c r="D90" s="37"/>
    </row>
    <row r="91" spans="1:4">
      <c r="A91" s="257"/>
      <c r="B91" s="88" t="str">
        <f>IF(A91="","",IFERROR(_xlfn.XLOOKUP(A91,BoQ!B:B,BoQ!D:D),""))</f>
        <v/>
      </c>
      <c r="C91" s="103" t="str">
        <f t="shared" si="1"/>
        <v/>
      </c>
      <c r="D91" s="37"/>
    </row>
    <row r="92" spans="1:4">
      <c r="A92" s="257"/>
      <c r="B92" s="88" t="str">
        <f>IF(A92="","",IFERROR(_xlfn.XLOOKUP(A92,BoQ!B:B,BoQ!D:D),""))</f>
        <v/>
      </c>
      <c r="C92" s="103" t="str">
        <f t="shared" si="1"/>
        <v/>
      </c>
      <c r="D92" s="37"/>
    </row>
    <row r="93" spans="1:4">
      <c r="A93" s="257"/>
      <c r="B93" s="88" t="str">
        <f>IF(A93="","",IFERROR(_xlfn.XLOOKUP(A93,BoQ!B:B,BoQ!D:D),""))</f>
        <v/>
      </c>
      <c r="C93" s="103" t="str">
        <f t="shared" si="1"/>
        <v/>
      </c>
      <c r="D93" s="37"/>
    </row>
    <row r="94" spans="1:4">
      <c r="A94" s="257"/>
      <c r="B94" s="88" t="str">
        <f>IF(A94="","",IFERROR(_xlfn.XLOOKUP(A94,BoQ!B:B,BoQ!D:D),""))</f>
        <v/>
      </c>
      <c r="C94" s="103" t="str">
        <f t="shared" si="1"/>
        <v/>
      </c>
      <c r="D94" s="37"/>
    </row>
    <row r="95" spans="1:4">
      <c r="A95" s="257"/>
      <c r="B95" s="88" t="str">
        <f>IF(A95="","",IFERROR(_xlfn.XLOOKUP(A95,BoQ!B:B,BoQ!D:D),""))</f>
        <v/>
      </c>
      <c r="C95" s="103" t="str">
        <f t="shared" si="1"/>
        <v/>
      </c>
      <c r="D95" s="37"/>
    </row>
    <row r="96" spans="1:4">
      <c r="A96" s="257"/>
      <c r="B96" s="88" t="str">
        <f>IF(A96="","",IFERROR(_xlfn.XLOOKUP(A96,BoQ!B:B,BoQ!D:D),""))</f>
        <v/>
      </c>
      <c r="C96" s="103" t="str">
        <f t="shared" si="1"/>
        <v/>
      </c>
      <c r="D96" s="37"/>
    </row>
    <row r="97" spans="1:4">
      <c r="A97" s="257"/>
      <c r="B97" s="88" t="str">
        <f>IF(A97="","",IFERROR(_xlfn.XLOOKUP(A97,BoQ!B:B,BoQ!D:D),""))</f>
        <v/>
      </c>
      <c r="C97" s="103" t="str">
        <f t="shared" si="1"/>
        <v/>
      </c>
      <c r="D97" s="37"/>
    </row>
    <row r="98" spans="1:4">
      <c r="A98" s="257"/>
      <c r="B98" s="88" t="str">
        <f>IF(A98="","",IFERROR(_xlfn.XLOOKUP(A98,BoQ!B:B,BoQ!D:D),""))</f>
        <v/>
      </c>
      <c r="C98" s="103" t="str">
        <f t="shared" si="1"/>
        <v/>
      </c>
      <c r="D98" s="37"/>
    </row>
    <row r="99" spans="1:4">
      <c r="A99" s="257"/>
      <c r="B99" s="88" t="str">
        <f>IF(A99="","",IFERROR(_xlfn.XLOOKUP(A99,BoQ!B:B,BoQ!D:D),""))</f>
        <v/>
      </c>
      <c r="C99" s="103" t="str">
        <f t="shared" si="1"/>
        <v/>
      </c>
      <c r="D99" s="37"/>
    </row>
    <row r="100" spans="1:4">
      <c r="A100" s="257"/>
      <c r="B100" s="88" t="str">
        <f>IF(A100="","",IFERROR(_xlfn.XLOOKUP(A100,BoQ!B:B,BoQ!D:D),""))</f>
        <v/>
      </c>
      <c r="C100" s="103" t="str">
        <f t="shared" si="1"/>
        <v/>
      </c>
      <c r="D100" s="37"/>
    </row>
    <row r="101" spans="1:4">
      <c r="A101" s="257"/>
      <c r="B101" s="88" t="str">
        <f>IF(A101="","",IFERROR(_xlfn.XLOOKUP(A101,BoQ!B:B,BoQ!D:D),""))</f>
        <v/>
      </c>
      <c r="C101" s="103" t="str">
        <f t="shared" si="1"/>
        <v/>
      </c>
      <c r="D101" s="37"/>
    </row>
    <row r="102" spans="1:4">
      <c r="A102" s="257"/>
      <c r="B102" s="88" t="str">
        <f>IF(A102="","",IFERROR(_xlfn.XLOOKUP(A102,BoQ!B:B,BoQ!D:D),""))</f>
        <v/>
      </c>
      <c r="C102" s="103" t="str">
        <f t="shared" si="1"/>
        <v/>
      </c>
      <c r="D102" s="37"/>
    </row>
    <row r="103" spans="1:4">
      <c r="A103" s="257"/>
      <c r="B103" s="88" t="str">
        <f>IF(A103="","",IFERROR(_xlfn.XLOOKUP(A103,BoQ!B:B,BoQ!D:D),""))</f>
        <v/>
      </c>
      <c r="C103" s="103" t="str">
        <f t="shared" si="1"/>
        <v/>
      </c>
      <c r="D103" s="37"/>
    </row>
    <row r="104" spans="1:4">
      <c r="A104" s="257"/>
      <c r="B104" s="88" t="str">
        <f>IF(A104="","",IFERROR(_xlfn.XLOOKUP(A104,BoQ!B:B,BoQ!D:D),""))</f>
        <v/>
      </c>
      <c r="C104" s="103" t="str">
        <f t="shared" si="1"/>
        <v/>
      </c>
      <c r="D104" s="37"/>
    </row>
    <row r="105" spans="1:4">
      <c r="A105" s="257"/>
      <c r="B105" s="88" t="str">
        <f>IF(A105="","",IFERROR(_xlfn.XLOOKUP(A105,BoQ!B:B,BoQ!D:D),""))</f>
        <v/>
      </c>
      <c r="C105" s="103" t="str">
        <f t="shared" si="1"/>
        <v/>
      </c>
      <c r="D105" s="37"/>
    </row>
    <row r="106" spans="1:4">
      <c r="A106" s="257"/>
      <c r="B106" s="88" t="str">
        <f>IF(A106="","",IFERROR(_xlfn.XLOOKUP(A106,BoQ!B:B,BoQ!D:D),""))</f>
        <v/>
      </c>
      <c r="C106" s="103" t="str">
        <f t="shared" si="1"/>
        <v/>
      </c>
      <c r="D106" s="37"/>
    </row>
    <row r="107" spans="1:4">
      <c r="A107" s="257"/>
      <c r="B107" s="88" t="str">
        <f>IF(A107="","",IFERROR(_xlfn.XLOOKUP(A107,BoQ!B:B,BoQ!D:D),""))</f>
        <v/>
      </c>
      <c r="C107" s="103" t="str">
        <f t="shared" si="1"/>
        <v/>
      </c>
      <c r="D107" s="37"/>
    </row>
    <row r="108" spans="1:4">
      <c r="A108" s="257"/>
      <c r="B108" s="88" t="str">
        <f>IF(A108="","",IFERROR(_xlfn.XLOOKUP(A108,BoQ!B:B,BoQ!D:D),""))</f>
        <v/>
      </c>
      <c r="C108" s="103" t="str">
        <f t="shared" si="1"/>
        <v/>
      </c>
      <c r="D108" s="37"/>
    </row>
    <row r="109" spans="1:4">
      <c r="A109" s="257"/>
      <c r="B109" s="88" t="str">
        <f>IF(A109="","",IFERROR(_xlfn.XLOOKUP(A109,BoQ!B:B,BoQ!D:D),""))</f>
        <v/>
      </c>
      <c r="C109" s="103" t="str">
        <f t="shared" si="1"/>
        <v/>
      </c>
      <c r="D109" s="37"/>
    </row>
    <row r="110" spans="1:4">
      <c r="A110" s="257"/>
      <c r="B110" s="88" t="str">
        <f>IF(A110="","",IFERROR(_xlfn.XLOOKUP(A110,BoQ!B:B,BoQ!D:D),""))</f>
        <v/>
      </c>
      <c r="C110" s="103" t="str">
        <f t="shared" si="1"/>
        <v/>
      </c>
      <c r="D110" s="37"/>
    </row>
    <row r="111" spans="1:4">
      <c r="A111" s="257"/>
      <c r="B111" s="88" t="str">
        <f>IF(A111="","",IFERROR(_xlfn.XLOOKUP(A111,BoQ!B:B,BoQ!D:D),""))</f>
        <v/>
      </c>
      <c r="C111" s="103" t="str">
        <f t="shared" si="1"/>
        <v/>
      </c>
      <c r="D111" s="37"/>
    </row>
    <row r="112" spans="1:4">
      <c r="A112" s="257"/>
      <c r="B112" s="88" t="str">
        <f>IF(A112="","",IFERROR(_xlfn.XLOOKUP(A112,BoQ!B:B,BoQ!D:D),""))</f>
        <v/>
      </c>
      <c r="C112" s="103" t="str">
        <f t="shared" si="1"/>
        <v/>
      </c>
      <c r="D112" s="37"/>
    </row>
    <row r="113" spans="1:4">
      <c r="A113" s="257"/>
      <c r="B113" s="88" t="str">
        <f>IF(A113="","",IFERROR(_xlfn.XLOOKUP(A113,BoQ!B:B,BoQ!D:D),""))</f>
        <v/>
      </c>
      <c r="C113" s="103" t="str">
        <f t="shared" si="1"/>
        <v/>
      </c>
      <c r="D113" s="37"/>
    </row>
    <row r="114" spans="1:4">
      <c r="A114" s="257"/>
      <c r="B114" s="88" t="str">
        <f>IF(A114="","",IFERROR(_xlfn.XLOOKUP(A114,BoQ!B:B,BoQ!D:D),""))</f>
        <v/>
      </c>
      <c r="C114" s="103" t="str">
        <f t="shared" si="1"/>
        <v/>
      </c>
      <c r="D114" s="37"/>
    </row>
    <row r="115" spans="1:4">
      <c r="A115" s="257"/>
      <c r="B115" s="88" t="str">
        <f>IF(A115="","",IFERROR(_xlfn.XLOOKUP(A115,BoQ!B:B,BoQ!D:D),""))</f>
        <v/>
      </c>
      <c r="C115" s="103" t="str">
        <f t="shared" si="1"/>
        <v/>
      </c>
      <c r="D115" s="37"/>
    </row>
    <row r="116" spans="1:4">
      <c r="A116" s="257"/>
      <c r="B116" s="88" t="str">
        <f>IF(A116="","",IFERROR(_xlfn.XLOOKUP(A116,BoQ!B:B,BoQ!D:D),""))</f>
        <v/>
      </c>
      <c r="C116" s="103" t="str">
        <f t="shared" si="1"/>
        <v/>
      </c>
      <c r="D116" s="37"/>
    </row>
    <row r="117" spans="1:4">
      <c r="A117" s="257"/>
      <c r="B117" s="88" t="str">
        <f>IF(A117="","",IFERROR(_xlfn.XLOOKUP(A117,BoQ!B:B,BoQ!D:D),""))</f>
        <v/>
      </c>
      <c r="C117" s="103" t="str">
        <f t="shared" si="1"/>
        <v/>
      </c>
      <c r="D117" s="37"/>
    </row>
    <row r="118" spans="1:4">
      <c r="A118" s="257"/>
      <c r="B118" s="88" t="str">
        <f>IF(A118="","",IFERROR(_xlfn.XLOOKUP(A118,BoQ!B:B,BoQ!D:D),""))</f>
        <v/>
      </c>
      <c r="C118" s="103" t="str">
        <f t="shared" si="1"/>
        <v/>
      </c>
      <c r="D118" s="37"/>
    </row>
    <row r="119" spans="1:4">
      <c r="A119" s="257"/>
      <c r="B119" s="88" t="str">
        <f>IF(A119="","",IFERROR(_xlfn.XLOOKUP(A119,BoQ!B:B,BoQ!D:D),""))</f>
        <v/>
      </c>
      <c r="C119" s="103" t="str">
        <f t="shared" si="1"/>
        <v/>
      </c>
      <c r="D119" s="37"/>
    </row>
    <row r="120" spans="1:4">
      <c r="A120" s="257"/>
      <c r="B120" s="88" t="str">
        <f>IF(A120="","",IFERROR(_xlfn.XLOOKUP(A120,BoQ!B:B,BoQ!D:D),""))</f>
        <v/>
      </c>
      <c r="C120" s="103" t="str">
        <f t="shared" si="1"/>
        <v/>
      </c>
      <c r="D120" s="37"/>
    </row>
    <row r="121" spans="1:4">
      <c r="A121" s="257"/>
      <c r="B121" s="88" t="str">
        <f>IF(A121="","",IFERROR(_xlfn.XLOOKUP(A121,BoQ!B:B,BoQ!D:D),""))</f>
        <v/>
      </c>
      <c r="C121" s="103" t="str">
        <f t="shared" si="1"/>
        <v/>
      </c>
      <c r="D121" s="37"/>
    </row>
    <row r="122" spans="1:4">
      <c r="A122" s="257"/>
      <c r="B122" s="88" t="str">
        <f>IF(A122="","",IFERROR(_xlfn.XLOOKUP(A122,BoQ!B:B,BoQ!D:D),""))</f>
        <v/>
      </c>
      <c r="C122" s="103" t="str">
        <f t="shared" si="1"/>
        <v/>
      </c>
      <c r="D122" s="37"/>
    </row>
    <row r="123" spans="1:4">
      <c r="A123" s="257"/>
      <c r="B123" s="88" t="str">
        <f>IF(A123="","",IFERROR(_xlfn.XLOOKUP(A123,BoQ!B:B,BoQ!D:D),""))</f>
        <v/>
      </c>
      <c r="C123" s="103" t="str">
        <f t="shared" si="1"/>
        <v/>
      </c>
      <c r="D123" s="37"/>
    </row>
    <row r="124" spans="1:4">
      <c r="A124" s="257"/>
      <c r="B124" s="88" t="str">
        <f>IF(A124="","",IFERROR(_xlfn.XLOOKUP(A124,BoQ!B:B,BoQ!D:D),""))</f>
        <v/>
      </c>
      <c r="C124" s="103" t="str">
        <f t="shared" si="1"/>
        <v/>
      </c>
      <c r="D124" s="37"/>
    </row>
    <row r="125" spans="1:4">
      <c r="A125" s="257"/>
      <c r="B125" s="88" t="str">
        <f>IF(A125="","",IFERROR(_xlfn.XLOOKUP(A125,BoQ!B:B,BoQ!D:D),""))</f>
        <v/>
      </c>
      <c r="C125" s="103" t="str">
        <f t="shared" si="1"/>
        <v/>
      </c>
      <c r="D125" s="37"/>
    </row>
    <row r="126" spans="1:4">
      <c r="A126" s="257"/>
      <c r="B126" s="88" t="str">
        <f>IF(A126="","",IFERROR(_xlfn.XLOOKUP(A126,BoQ!B:B,BoQ!D:D),""))</f>
        <v/>
      </c>
      <c r="C126" s="103" t="str">
        <f t="shared" si="1"/>
        <v/>
      </c>
      <c r="D126" s="37"/>
    </row>
    <row r="127" spans="1:4">
      <c r="A127" s="257"/>
      <c r="B127" s="88" t="str">
        <f>IF(A127="","",IFERROR(_xlfn.XLOOKUP(A127,BoQ!B:B,BoQ!D:D),""))</f>
        <v/>
      </c>
      <c r="C127" s="103" t="str">
        <f t="shared" si="1"/>
        <v/>
      </c>
      <c r="D127" s="37"/>
    </row>
    <row r="128" spans="1:4">
      <c r="A128" s="257"/>
      <c r="B128" s="88" t="str">
        <f>IF(A128="","",IFERROR(_xlfn.XLOOKUP(A128,BoQ!B:B,BoQ!D:D),""))</f>
        <v/>
      </c>
      <c r="C128" s="103" t="str">
        <f t="shared" si="1"/>
        <v/>
      </c>
      <c r="D128" s="37"/>
    </row>
    <row r="129" spans="1:4">
      <c r="A129" s="257"/>
      <c r="B129" s="88" t="str">
        <f>IF(A129="","",IFERROR(_xlfn.XLOOKUP(A129,BoQ!B:B,BoQ!D:D),""))</f>
        <v/>
      </c>
      <c r="C129" s="103" t="str">
        <f t="shared" si="1"/>
        <v/>
      </c>
      <c r="D129" s="37"/>
    </row>
    <row r="130" spans="1:4">
      <c r="A130" s="257"/>
      <c r="B130" s="88" t="str">
        <f>IF(A130="","",IFERROR(_xlfn.XLOOKUP(A130,BoQ!B:B,BoQ!D:D),""))</f>
        <v/>
      </c>
      <c r="C130" s="103" t="str">
        <f t="shared" si="1"/>
        <v/>
      </c>
      <c r="D130" s="37"/>
    </row>
    <row r="131" spans="1:4">
      <c r="A131" s="257"/>
      <c r="B131" s="88" t="str">
        <f>IF(A131="","",IFERROR(_xlfn.XLOOKUP(A131,BoQ!B:B,BoQ!D:D),""))</f>
        <v/>
      </c>
      <c r="C131" s="103" t="str">
        <f t="shared" si="1"/>
        <v/>
      </c>
      <c r="D131" s="37"/>
    </row>
    <row r="132" spans="1:4">
      <c r="A132" s="257"/>
      <c r="B132" s="88" t="str">
        <f>IF(A132="","",IFERROR(_xlfn.XLOOKUP(A132,BoQ!B:B,BoQ!D:D),""))</f>
        <v/>
      </c>
      <c r="C132" s="103" t="str">
        <f t="shared" si="1"/>
        <v/>
      </c>
      <c r="D132" s="37"/>
    </row>
    <row r="133" spans="1:4">
      <c r="A133" s="257"/>
      <c r="B133" s="88" t="str">
        <f>IF(A133="","",IFERROR(_xlfn.XLOOKUP(A133,BoQ!B:B,BoQ!D:D),""))</f>
        <v/>
      </c>
      <c r="C133" s="103" t="str">
        <f t="shared" si="1"/>
        <v/>
      </c>
      <c r="D133" s="37"/>
    </row>
    <row r="134" spans="1:4">
      <c r="A134" s="257"/>
      <c r="B134" s="88" t="str">
        <f>IF(A134="","",IFERROR(_xlfn.XLOOKUP(A134,BoQ!B:B,BoQ!D:D),""))</f>
        <v/>
      </c>
      <c r="C134" s="103" t="str">
        <f t="shared" ref="C134:C197" si="2">IF(B134="", "", 600)</f>
        <v/>
      </c>
      <c r="D134" s="37"/>
    </row>
    <row r="135" spans="1:4">
      <c r="A135" s="257"/>
      <c r="B135" s="88" t="str">
        <f>IF(A135="","",IFERROR(_xlfn.XLOOKUP(A135,BoQ!B:B,BoQ!D:D),""))</f>
        <v/>
      </c>
      <c r="C135" s="103" t="str">
        <f t="shared" si="2"/>
        <v/>
      </c>
      <c r="D135" s="37"/>
    </row>
    <row r="136" spans="1:4">
      <c r="A136" s="257"/>
      <c r="B136" s="88" t="str">
        <f>IF(A136="","",IFERROR(_xlfn.XLOOKUP(A136,BoQ!B:B,BoQ!D:D),""))</f>
        <v/>
      </c>
      <c r="C136" s="103" t="str">
        <f t="shared" si="2"/>
        <v/>
      </c>
      <c r="D136" s="37"/>
    </row>
    <row r="137" spans="1:4">
      <c r="A137" s="257"/>
      <c r="B137" s="88" t="str">
        <f>IF(A137="","",IFERROR(_xlfn.XLOOKUP(A137,BoQ!B:B,BoQ!D:D),""))</f>
        <v/>
      </c>
      <c r="C137" s="103" t="str">
        <f t="shared" si="2"/>
        <v/>
      </c>
      <c r="D137" s="37"/>
    </row>
    <row r="138" spans="1:4">
      <c r="A138" s="257"/>
      <c r="B138" s="88" t="str">
        <f>IF(A138="","",IFERROR(_xlfn.XLOOKUP(A138,BoQ!B:B,BoQ!D:D),""))</f>
        <v/>
      </c>
      <c r="C138" s="103" t="str">
        <f t="shared" si="2"/>
        <v/>
      </c>
      <c r="D138" s="37"/>
    </row>
    <row r="139" spans="1:4">
      <c r="A139" s="257"/>
      <c r="B139" s="88" t="str">
        <f>IF(A139="","",IFERROR(_xlfn.XLOOKUP(A139,BoQ!B:B,BoQ!D:D),""))</f>
        <v/>
      </c>
      <c r="C139" s="103" t="str">
        <f t="shared" si="2"/>
        <v/>
      </c>
      <c r="D139" s="37"/>
    </row>
    <row r="140" spans="1:4">
      <c r="A140" s="257"/>
      <c r="B140" s="88" t="str">
        <f>IF(A140="","",IFERROR(_xlfn.XLOOKUP(A140,BoQ!B:B,BoQ!D:D),""))</f>
        <v/>
      </c>
      <c r="C140" s="103" t="str">
        <f t="shared" si="2"/>
        <v/>
      </c>
      <c r="D140" s="37"/>
    </row>
    <row r="141" spans="1:4">
      <c r="A141" s="257"/>
      <c r="B141" s="88" t="str">
        <f>IF(A141="","",IFERROR(_xlfn.XLOOKUP(A141,BoQ!B:B,BoQ!D:D),""))</f>
        <v/>
      </c>
      <c r="C141" s="103" t="str">
        <f t="shared" si="2"/>
        <v/>
      </c>
      <c r="D141" s="37"/>
    </row>
    <row r="142" spans="1:4">
      <c r="A142" s="257"/>
      <c r="B142" s="88" t="str">
        <f>IF(A142="","",IFERROR(_xlfn.XLOOKUP(A142,BoQ!B:B,BoQ!D:D),""))</f>
        <v/>
      </c>
      <c r="C142" s="103" t="str">
        <f t="shared" si="2"/>
        <v/>
      </c>
      <c r="D142" s="37"/>
    </row>
    <row r="143" spans="1:4">
      <c r="A143" s="257"/>
      <c r="B143" s="88" t="str">
        <f>IF(A143="","",IFERROR(_xlfn.XLOOKUP(A143,BoQ!B:B,BoQ!D:D),""))</f>
        <v/>
      </c>
      <c r="C143" s="103" t="str">
        <f t="shared" si="2"/>
        <v/>
      </c>
      <c r="D143" s="37"/>
    </row>
    <row r="144" spans="1:4">
      <c r="A144" s="257"/>
      <c r="B144" s="88" t="str">
        <f>IF(A144="","",IFERROR(_xlfn.XLOOKUP(A144,BoQ!B:B,BoQ!D:D),""))</f>
        <v/>
      </c>
      <c r="C144" s="103" t="str">
        <f t="shared" si="2"/>
        <v/>
      </c>
      <c r="D144" s="37"/>
    </row>
    <row r="145" spans="1:4">
      <c r="A145" s="257"/>
      <c r="B145" s="88" t="str">
        <f>IF(A145="","",IFERROR(_xlfn.XLOOKUP(A145,BoQ!B:B,BoQ!D:D),""))</f>
        <v/>
      </c>
      <c r="C145" s="103" t="str">
        <f t="shared" si="2"/>
        <v/>
      </c>
      <c r="D145" s="37"/>
    </row>
    <row r="146" spans="1:4">
      <c r="A146" s="257"/>
      <c r="B146" s="88" t="str">
        <f>IF(A146="","",IFERROR(_xlfn.XLOOKUP(A146,BoQ!B:B,BoQ!D:D),""))</f>
        <v/>
      </c>
      <c r="C146" s="103" t="str">
        <f t="shared" si="2"/>
        <v/>
      </c>
      <c r="D146" s="37"/>
    </row>
    <row r="147" spans="1:4">
      <c r="A147" s="257"/>
      <c r="B147" s="88" t="str">
        <f>IF(A147="","",IFERROR(_xlfn.XLOOKUP(A147,BoQ!B:B,BoQ!D:D),""))</f>
        <v/>
      </c>
      <c r="C147" s="103" t="str">
        <f t="shared" si="2"/>
        <v/>
      </c>
      <c r="D147" s="37"/>
    </row>
    <row r="148" spans="1:4">
      <c r="A148" s="257"/>
      <c r="B148" s="88" t="str">
        <f>IF(A148="","",IFERROR(_xlfn.XLOOKUP(A148,BoQ!B:B,BoQ!D:D),""))</f>
        <v/>
      </c>
      <c r="C148" s="103" t="str">
        <f t="shared" si="2"/>
        <v/>
      </c>
      <c r="D148" s="37"/>
    </row>
    <row r="149" spans="1:4">
      <c r="A149" s="257"/>
      <c r="B149" s="88" t="str">
        <f>IF(A149="","",IFERROR(_xlfn.XLOOKUP(A149,BoQ!B:B,BoQ!D:D),""))</f>
        <v/>
      </c>
      <c r="C149" s="103" t="str">
        <f t="shared" si="2"/>
        <v/>
      </c>
      <c r="D149" s="37"/>
    </row>
    <row r="150" spans="1:4">
      <c r="A150" s="257"/>
      <c r="B150" s="88" t="str">
        <f>IF(A150="","",IFERROR(_xlfn.XLOOKUP(A150,BoQ!B:B,BoQ!D:D),""))</f>
        <v/>
      </c>
      <c r="C150" s="103" t="str">
        <f t="shared" si="2"/>
        <v/>
      </c>
      <c r="D150" s="37"/>
    </row>
    <row r="151" spans="1:4">
      <c r="A151" s="257"/>
      <c r="B151" s="88" t="str">
        <f>IF(A151="","",IFERROR(_xlfn.XLOOKUP(A151,BoQ!B:B,BoQ!D:D),""))</f>
        <v/>
      </c>
      <c r="C151" s="103" t="str">
        <f t="shared" si="2"/>
        <v/>
      </c>
      <c r="D151" s="37"/>
    </row>
    <row r="152" spans="1:4">
      <c r="A152" s="257"/>
      <c r="B152" s="88" t="str">
        <f>IF(A152="","",IFERROR(_xlfn.XLOOKUP(A152,BoQ!B:B,BoQ!D:D),""))</f>
        <v/>
      </c>
      <c r="C152" s="103" t="str">
        <f t="shared" si="2"/>
        <v/>
      </c>
      <c r="D152" s="37"/>
    </row>
    <row r="153" spans="1:4">
      <c r="A153" s="257"/>
      <c r="B153" s="88" t="str">
        <f>IF(A153="","",IFERROR(_xlfn.XLOOKUP(A153,BoQ!B:B,BoQ!D:D),""))</f>
        <v/>
      </c>
      <c r="C153" s="103" t="str">
        <f t="shared" si="2"/>
        <v/>
      </c>
      <c r="D153" s="37"/>
    </row>
    <row r="154" spans="1:4">
      <c r="A154" s="257"/>
      <c r="B154" s="88" t="str">
        <f>IF(A154="","",IFERROR(_xlfn.XLOOKUP(A154,BoQ!B:B,BoQ!D:D),""))</f>
        <v/>
      </c>
      <c r="C154" s="103" t="str">
        <f t="shared" si="2"/>
        <v/>
      </c>
      <c r="D154" s="37"/>
    </row>
    <row r="155" spans="1:4">
      <c r="A155" s="257"/>
      <c r="B155" s="88" t="str">
        <f>IF(A155="","",IFERROR(_xlfn.XLOOKUP(A155,BoQ!B:B,BoQ!D:D),""))</f>
        <v/>
      </c>
      <c r="C155" s="103" t="str">
        <f t="shared" si="2"/>
        <v/>
      </c>
      <c r="D155" s="37"/>
    </row>
    <row r="156" spans="1:4">
      <c r="A156" s="257"/>
      <c r="B156" s="88" t="str">
        <f>IF(A156="","",IFERROR(_xlfn.XLOOKUP(A156,BoQ!B:B,BoQ!D:D),""))</f>
        <v/>
      </c>
      <c r="C156" s="103" t="str">
        <f t="shared" si="2"/>
        <v/>
      </c>
      <c r="D156" s="37"/>
    </row>
    <row r="157" spans="1:4">
      <c r="A157" s="257"/>
      <c r="B157" s="88" t="str">
        <f>IF(A157="","",IFERROR(_xlfn.XLOOKUP(A157,BoQ!B:B,BoQ!D:D),""))</f>
        <v/>
      </c>
      <c r="C157" s="103" t="str">
        <f t="shared" si="2"/>
        <v/>
      </c>
      <c r="D157" s="37"/>
    </row>
    <row r="158" spans="1:4">
      <c r="A158" s="257"/>
      <c r="B158" s="88" t="str">
        <f>IF(A158="","",IFERROR(_xlfn.XLOOKUP(A158,BoQ!B:B,BoQ!D:D),""))</f>
        <v/>
      </c>
      <c r="C158" s="103" t="str">
        <f t="shared" si="2"/>
        <v/>
      </c>
      <c r="D158" s="37"/>
    </row>
    <row r="159" spans="1:4">
      <c r="A159" s="257"/>
      <c r="B159" s="88" t="str">
        <f>IF(A159="","",IFERROR(_xlfn.XLOOKUP(A159,BoQ!B:B,BoQ!D:D),""))</f>
        <v/>
      </c>
      <c r="C159" s="103" t="str">
        <f t="shared" si="2"/>
        <v/>
      </c>
      <c r="D159" s="37"/>
    </row>
    <row r="160" spans="1:4">
      <c r="A160" s="257"/>
      <c r="B160" s="88" t="str">
        <f>IF(A160="","",IFERROR(_xlfn.XLOOKUP(A160,BoQ!B:B,BoQ!D:D),""))</f>
        <v/>
      </c>
      <c r="C160" s="103" t="str">
        <f t="shared" si="2"/>
        <v/>
      </c>
      <c r="D160" s="37"/>
    </row>
    <row r="161" spans="1:4">
      <c r="A161" s="257"/>
      <c r="B161" s="88" t="str">
        <f>IF(A161="","",IFERROR(_xlfn.XLOOKUP(A161,BoQ!B:B,BoQ!D:D),""))</f>
        <v/>
      </c>
      <c r="C161" s="103" t="str">
        <f t="shared" si="2"/>
        <v/>
      </c>
      <c r="D161" s="37"/>
    </row>
    <row r="162" spans="1:4">
      <c r="A162" s="257"/>
      <c r="B162" s="88" t="str">
        <f>IF(A162="","",IFERROR(_xlfn.XLOOKUP(A162,BoQ!B:B,BoQ!D:D),""))</f>
        <v/>
      </c>
      <c r="C162" s="103" t="str">
        <f t="shared" si="2"/>
        <v/>
      </c>
      <c r="D162" s="37"/>
    </row>
    <row r="163" spans="1:4">
      <c r="A163" s="257"/>
      <c r="B163" s="88" t="str">
        <f>IF(A163="","",IFERROR(_xlfn.XLOOKUP(A163,BoQ!B:B,BoQ!D:D),""))</f>
        <v/>
      </c>
      <c r="C163" s="103" t="str">
        <f t="shared" si="2"/>
        <v/>
      </c>
      <c r="D163" s="37"/>
    </row>
    <row r="164" spans="1:4">
      <c r="A164" s="257"/>
      <c r="B164" s="88" t="str">
        <f>IF(A164="","",IFERROR(_xlfn.XLOOKUP(A164,BoQ!B:B,BoQ!D:D),""))</f>
        <v/>
      </c>
      <c r="C164" s="103" t="str">
        <f t="shared" si="2"/>
        <v/>
      </c>
      <c r="D164" s="37"/>
    </row>
    <row r="165" spans="1:4">
      <c r="A165" s="257"/>
      <c r="B165" s="88" t="str">
        <f>IF(A165="","",IFERROR(_xlfn.XLOOKUP(A165,BoQ!B:B,BoQ!D:D),""))</f>
        <v/>
      </c>
      <c r="C165" s="103" t="str">
        <f t="shared" si="2"/>
        <v/>
      </c>
      <c r="D165" s="37"/>
    </row>
    <row r="166" spans="1:4">
      <c r="A166" s="257"/>
      <c r="B166" s="88" t="str">
        <f>IF(A166="","",IFERROR(_xlfn.XLOOKUP(A166,BoQ!B:B,BoQ!D:D),""))</f>
        <v/>
      </c>
      <c r="C166" s="103" t="str">
        <f t="shared" si="2"/>
        <v/>
      </c>
      <c r="D166" s="37"/>
    </row>
    <row r="167" spans="1:4">
      <c r="A167" s="257"/>
      <c r="B167" s="88" t="str">
        <f>IF(A167="","",IFERROR(_xlfn.XLOOKUP(A167,BoQ!B:B,BoQ!D:D),""))</f>
        <v/>
      </c>
      <c r="C167" s="103" t="str">
        <f t="shared" si="2"/>
        <v/>
      </c>
      <c r="D167" s="37"/>
    </row>
    <row r="168" spans="1:4">
      <c r="A168" s="257"/>
      <c r="B168" s="88" t="str">
        <f>IF(A168="","",IFERROR(_xlfn.XLOOKUP(A168,BoQ!B:B,BoQ!D:D),""))</f>
        <v/>
      </c>
      <c r="C168" s="103" t="str">
        <f t="shared" si="2"/>
        <v/>
      </c>
      <c r="D168" s="37"/>
    </row>
    <row r="169" spans="1:4">
      <c r="A169" s="257"/>
      <c r="B169" s="88" t="str">
        <f>IF(A169="","",IFERROR(_xlfn.XLOOKUP(A169,BoQ!B:B,BoQ!D:D),""))</f>
        <v/>
      </c>
      <c r="C169" s="103" t="str">
        <f t="shared" si="2"/>
        <v/>
      </c>
      <c r="D169" s="37"/>
    </row>
    <row r="170" spans="1:4">
      <c r="A170" s="257"/>
      <c r="B170" s="88" t="str">
        <f>IF(A170="","",IFERROR(_xlfn.XLOOKUP(A170,BoQ!B:B,BoQ!D:D),""))</f>
        <v/>
      </c>
      <c r="C170" s="103" t="str">
        <f t="shared" si="2"/>
        <v/>
      </c>
      <c r="D170" s="37"/>
    </row>
    <row r="171" spans="1:4">
      <c r="A171" s="257"/>
      <c r="B171" s="88" t="str">
        <f>IF(A171="","",IFERROR(_xlfn.XLOOKUP(A171,BoQ!B:B,BoQ!D:D),""))</f>
        <v/>
      </c>
      <c r="C171" s="103" t="str">
        <f t="shared" si="2"/>
        <v/>
      </c>
      <c r="D171" s="37"/>
    </row>
    <row r="172" spans="1:4">
      <c r="A172" s="257"/>
      <c r="B172" s="88" t="str">
        <f>IF(A172="","",IFERROR(_xlfn.XLOOKUP(A172,BoQ!B:B,BoQ!D:D),""))</f>
        <v/>
      </c>
      <c r="C172" s="103" t="str">
        <f t="shared" si="2"/>
        <v/>
      </c>
      <c r="D172" s="37"/>
    </row>
    <row r="173" spans="1:4">
      <c r="A173" s="257"/>
      <c r="B173" s="88" t="str">
        <f>IF(A173="","",IFERROR(_xlfn.XLOOKUP(A173,BoQ!B:B,BoQ!D:D),""))</f>
        <v/>
      </c>
      <c r="C173" s="103" t="str">
        <f t="shared" si="2"/>
        <v/>
      </c>
      <c r="D173" s="37"/>
    </row>
    <row r="174" spans="1:4">
      <c r="A174" s="257"/>
      <c r="B174" s="88" t="str">
        <f>IF(A174="","",IFERROR(_xlfn.XLOOKUP(A174,BoQ!B:B,BoQ!D:D),""))</f>
        <v/>
      </c>
      <c r="C174" s="103" t="str">
        <f t="shared" si="2"/>
        <v/>
      </c>
      <c r="D174" s="37"/>
    </row>
    <row r="175" spans="1:4">
      <c r="A175" s="257"/>
      <c r="B175" s="88" t="str">
        <f>IF(A175="","",IFERROR(_xlfn.XLOOKUP(A175,BoQ!B:B,BoQ!D:D),""))</f>
        <v/>
      </c>
      <c r="C175" s="103" t="str">
        <f t="shared" si="2"/>
        <v/>
      </c>
      <c r="D175" s="37"/>
    </row>
    <row r="176" spans="1:4">
      <c r="A176" s="257"/>
      <c r="B176" s="88" t="str">
        <f>IF(A176="","",IFERROR(_xlfn.XLOOKUP(A176,BoQ!B:B,BoQ!D:D),""))</f>
        <v/>
      </c>
      <c r="C176" s="103" t="str">
        <f t="shared" si="2"/>
        <v/>
      </c>
      <c r="D176" s="37"/>
    </row>
    <row r="177" spans="1:4">
      <c r="A177" s="257"/>
      <c r="B177" s="88" t="str">
        <f>IF(A177="","",IFERROR(_xlfn.XLOOKUP(A177,BoQ!B:B,BoQ!D:D),""))</f>
        <v/>
      </c>
      <c r="C177" s="103" t="str">
        <f t="shared" si="2"/>
        <v/>
      </c>
      <c r="D177" s="37"/>
    </row>
    <row r="178" spans="1:4">
      <c r="A178" s="257"/>
      <c r="B178" s="88" t="str">
        <f>IF(A178="","",IFERROR(_xlfn.XLOOKUP(A178,BoQ!B:B,BoQ!D:D),""))</f>
        <v/>
      </c>
      <c r="C178" s="103" t="str">
        <f t="shared" si="2"/>
        <v/>
      </c>
      <c r="D178" s="37"/>
    </row>
    <row r="179" spans="1:4">
      <c r="A179" s="257"/>
      <c r="B179" s="88" t="str">
        <f>IF(A179="","",IFERROR(_xlfn.XLOOKUP(A179,BoQ!B:B,BoQ!D:D),""))</f>
        <v/>
      </c>
      <c r="C179" s="103" t="str">
        <f t="shared" si="2"/>
        <v/>
      </c>
      <c r="D179" s="37"/>
    </row>
    <row r="180" spans="1:4">
      <c r="A180" s="257"/>
      <c r="B180" s="88" t="str">
        <f>IF(A180="","",IFERROR(_xlfn.XLOOKUP(A180,BoQ!B:B,BoQ!D:D),""))</f>
        <v/>
      </c>
      <c r="C180" s="103" t="str">
        <f t="shared" si="2"/>
        <v/>
      </c>
      <c r="D180" s="37"/>
    </row>
    <row r="181" spans="1:4">
      <c r="A181" s="257"/>
      <c r="B181" s="88" t="str">
        <f>IF(A181="","",IFERROR(_xlfn.XLOOKUP(A181,BoQ!B:B,BoQ!D:D),""))</f>
        <v/>
      </c>
      <c r="C181" s="103" t="str">
        <f t="shared" si="2"/>
        <v/>
      </c>
      <c r="D181" s="37"/>
    </row>
    <row r="182" spans="1:4">
      <c r="A182" s="257"/>
      <c r="B182" s="88" t="str">
        <f>IF(A182="","",IFERROR(_xlfn.XLOOKUP(A182,BoQ!B:B,BoQ!D:D),""))</f>
        <v/>
      </c>
      <c r="C182" s="103" t="str">
        <f t="shared" si="2"/>
        <v/>
      </c>
      <c r="D182" s="37"/>
    </row>
    <row r="183" spans="1:4">
      <c r="A183" s="257"/>
      <c r="B183" s="88" t="str">
        <f>IF(A183="","",IFERROR(_xlfn.XLOOKUP(A183,BoQ!B:B,BoQ!D:D),""))</f>
        <v/>
      </c>
      <c r="C183" s="103" t="str">
        <f t="shared" si="2"/>
        <v/>
      </c>
      <c r="D183" s="37"/>
    </row>
    <row r="184" spans="1:4">
      <c r="A184" s="257"/>
      <c r="B184" s="88" t="str">
        <f>IF(A184="","",IFERROR(_xlfn.XLOOKUP(A184,BoQ!B:B,BoQ!D:D),""))</f>
        <v/>
      </c>
      <c r="C184" s="103" t="str">
        <f t="shared" si="2"/>
        <v/>
      </c>
      <c r="D184" s="37"/>
    </row>
    <row r="185" spans="1:4">
      <c r="A185" s="257"/>
      <c r="B185" s="88" t="str">
        <f>IF(A185="","",IFERROR(_xlfn.XLOOKUP(A185,BoQ!B:B,BoQ!D:D),""))</f>
        <v/>
      </c>
      <c r="C185" s="103" t="str">
        <f t="shared" si="2"/>
        <v/>
      </c>
      <c r="D185" s="37"/>
    </row>
    <row r="186" spans="1:4">
      <c r="A186" s="257"/>
      <c r="B186" s="88" t="str">
        <f>IF(A186="","",IFERROR(_xlfn.XLOOKUP(A186,BoQ!B:B,BoQ!D:D),""))</f>
        <v/>
      </c>
      <c r="C186" s="103" t="str">
        <f t="shared" si="2"/>
        <v/>
      </c>
      <c r="D186" s="37"/>
    </row>
    <row r="187" spans="1:4">
      <c r="A187" s="257"/>
      <c r="B187" s="88" t="str">
        <f>IF(A187="","",IFERROR(_xlfn.XLOOKUP(A187,BoQ!B:B,BoQ!D:D),""))</f>
        <v/>
      </c>
      <c r="C187" s="103" t="str">
        <f t="shared" si="2"/>
        <v/>
      </c>
      <c r="D187" s="37"/>
    </row>
    <row r="188" spans="1:4">
      <c r="A188" s="257"/>
      <c r="B188" s="88" t="str">
        <f>IF(A188="","",IFERROR(_xlfn.XLOOKUP(A188,BoQ!B:B,BoQ!D:D),""))</f>
        <v/>
      </c>
      <c r="C188" s="103" t="str">
        <f t="shared" si="2"/>
        <v/>
      </c>
      <c r="D188" s="37"/>
    </row>
    <row r="189" spans="1:4">
      <c r="A189" s="257"/>
      <c r="B189" s="88" t="str">
        <f>IF(A189="","",IFERROR(_xlfn.XLOOKUP(A189,BoQ!B:B,BoQ!D:D),""))</f>
        <v/>
      </c>
      <c r="C189" s="103" t="str">
        <f t="shared" si="2"/>
        <v/>
      </c>
      <c r="D189" s="37"/>
    </row>
    <row r="190" spans="1:4">
      <c r="A190" s="257"/>
      <c r="B190" s="88" t="str">
        <f>IF(A190="","",IFERROR(_xlfn.XLOOKUP(A190,BoQ!B:B,BoQ!D:D),""))</f>
        <v/>
      </c>
      <c r="C190" s="103" t="str">
        <f t="shared" si="2"/>
        <v/>
      </c>
      <c r="D190" s="37"/>
    </row>
    <row r="191" spans="1:4">
      <c r="A191" s="257"/>
      <c r="B191" s="88" t="str">
        <f>IF(A191="","",IFERROR(_xlfn.XLOOKUP(A191,BoQ!B:B,BoQ!D:D),""))</f>
        <v/>
      </c>
      <c r="C191" s="103" t="str">
        <f t="shared" si="2"/>
        <v/>
      </c>
      <c r="D191" s="37"/>
    </row>
    <row r="192" spans="1:4">
      <c r="A192" s="257"/>
      <c r="B192" s="88" t="str">
        <f>IF(A192="","",IFERROR(_xlfn.XLOOKUP(A192,BoQ!B:B,BoQ!D:D),""))</f>
        <v/>
      </c>
      <c r="C192" s="103" t="str">
        <f t="shared" si="2"/>
        <v/>
      </c>
      <c r="D192" s="37"/>
    </row>
    <row r="193" spans="1:4">
      <c r="A193" s="257"/>
      <c r="B193" s="88" t="str">
        <f>IF(A193="","",IFERROR(_xlfn.XLOOKUP(A193,BoQ!B:B,BoQ!D:D),""))</f>
        <v/>
      </c>
      <c r="C193" s="103" t="str">
        <f t="shared" si="2"/>
        <v/>
      </c>
      <c r="D193" s="37"/>
    </row>
    <row r="194" spans="1:4">
      <c r="A194" s="257"/>
      <c r="B194" s="88" t="str">
        <f>IF(A194="","",IFERROR(_xlfn.XLOOKUP(A194,BoQ!B:B,BoQ!D:D),""))</f>
        <v/>
      </c>
      <c r="C194" s="103" t="str">
        <f t="shared" si="2"/>
        <v/>
      </c>
      <c r="D194" s="37"/>
    </row>
    <row r="195" spans="1:4">
      <c r="A195" s="257"/>
      <c r="B195" s="88" t="str">
        <f>IF(A195="","",IFERROR(_xlfn.XLOOKUP(A195,BoQ!B:B,BoQ!D:D),""))</f>
        <v/>
      </c>
      <c r="C195" s="103" t="str">
        <f t="shared" si="2"/>
        <v/>
      </c>
      <c r="D195" s="37"/>
    </row>
    <row r="196" spans="1:4">
      <c r="A196" s="257"/>
      <c r="B196" s="88" t="str">
        <f>IF(A196="","",IFERROR(_xlfn.XLOOKUP(A196,BoQ!B:B,BoQ!D:D),""))</f>
        <v/>
      </c>
      <c r="C196" s="103" t="str">
        <f t="shared" si="2"/>
        <v/>
      </c>
      <c r="D196" s="37"/>
    </row>
    <row r="197" spans="1:4">
      <c r="A197" s="257"/>
      <c r="B197" s="88" t="str">
        <f>IF(A197="","",IFERROR(_xlfn.XLOOKUP(A197,BoQ!B:B,BoQ!D:D),""))</f>
        <v/>
      </c>
      <c r="C197" s="103" t="str">
        <f t="shared" si="2"/>
        <v/>
      </c>
      <c r="D197" s="37"/>
    </row>
    <row r="198" spans="1:4">
      <c r="A198" s="257"/>
      <c r="B198" s="88" t="str">
        <f>IF(A198="","",IFERROR(_xlfn.XLOOKUP(A198,BoQ!B:B,BoQ!D:D),""))</f>
        <v/>
      </c>
      <c r="C198" s="103" t="str">
        <f t="shared" ref="C198:C261" si="3">IF(B198="", "", 600)</f>
        <v/>
      </c>
      <c r="D198" s="37"/>
    </row>
    <row r="199" spans="1:4">
      <c r="A199" s="257"/>
      <c r="B199" s="88" t="str">
        <f>IF(A199="","",IFERROR(_xlfn.XLOOKUP(A199,BoQ!B:B,BoQ!D:D),""))</f>
        <v/>
      </c>
      <c r="C199" s="103" t="str">
        <f t="shared" si="3"/>
        <v/>
      </c>
      <c r="D199" s="37"/>
    </row>
    <row r="200" spans="1:4">
      <c r="A200" s="257"/>
      <c r="B200" s="88" t="str">
        <f>IF(A200="","",IFERROR(_xlfn.XLOOKUP(A200,BoQ!B:B,BoQ!D:D),""))</f>
        <v/>
      </c>
      <c r="C200" s="103" t="str">
        <f t="shared" si="3"/>
        <v/>
      </c>
      <c r="D200" s="37"/>
    </row>
    <row r="201" spans="1:4">
      <c r="A201" s="257"/>
      <c r="B201" s="88" t="str">
        <f>IF(A201="","",IFERROR(_xlfn.XLOOKUP(A201,BoQ!B:B,BoQ!D:D),""))</f>
        <v/>
      </c>
      <c r="C201" s="103" t="str">
        <f t="shared" si="3"/>
        <v/>
      </c>
      <c r="D201" s="37"/>
    </row>
    <row r="202" spans="1:4">
      <c r="A202" s="257"/>
      <c r="B202" s="88" t="str">
        <f>IF(A202="","",IFERROR(_xlfn.XLOOKUP(A202,BoQ!B:B,BoQ!D:D),""))</f>
        <v/>
      </c>
      <c r="C202" s="103" t="str">
        <f t="shared" si="3"/>
        <v/>
      </c>
      <c r="D202" s="37"/>
    </row>
    <row r="203" spans="1:4">
      <c r="A203" s="257"/>
      <c r="B203" s="88" t="str">
        <f>IF(A203="","",IFERROR(_xlfn.XLOOKUP(A203,BoQ!B:B,BoQ!D:D),""))</f>
        <v/>
      </c>
      <c r="C203" s="103" t="str">
        <f t="shared" si="3"/>
        <v/>
      </c>
      <c r="D203" s="37"/>
    </row>
    <row r="204" spans="1:4">
      <c r="A204" s="257"/>
      <c r="B204" s="88" t="str">
        <f>IF(A204="","",IFERROR(_xlfn.XLOOKUP(A204,BoQ!B:B,BoQ!D:D),""))</f>
        <v/>
      </c>
      <c r="C204" s="103" t="str">
        <f t="shared" si="3"/>
        <v/>
      </c>
      <c r="D204" s="37"/>
    </row>
    <row r="205" spans="1:4">
      <c r="A205" s="257"/>
      <c r="B205" s="88" t="str">
        <f>IF(A205="","",IFERROR(_xlfn.XLOOKUP(A205,BoQ!B:B,BoQ!D:D),""))</f>
        <v/>
      </c>
      <c r="C205" s="103" t="str">
        <f t="shared" si="3"/>
        <v/>
      </c>
      <c r="D205" s="37"/>
    </row>
    <row r="206" spans="1:4">
      <c r="A206" s="257"/>
      <c r="B206" s="88" t="str">
        <f>IF(A206="","",IFERROR(_xlfn.XLOOKUP(A206,BoQ!B:B,BoQ!D:D),""))</f>
        <v/>
      </c>
      <c r="C206" s="103" t="str">
        <f t="shared" si="3"/>
        <v/>
      </c>
      <c r="D206" s="37"/>
    </row>
    <row r="207" spans="1:4">
      <c r="A207" s="257"/>
      <c r="B207" s="88" t="str">
        <f>IF(A207="","",IFERROR(_xlfn.XLOOKUP(A207,BoQ!B:B,BoQ!D:D),""))</f>
        <v/>
      </c>
      <c r="C207" s="103" t="str">
        <f t="shared" si="3"/>
        <v/>
      </c>
      <c r="D207" s="37"/>
    </row>
    <row r="208" spans="1:4">
      <c r="A208" s="257"/>
      <c r="B208" s="88" t="str">
        <f>IF(A208="","",IFERROR(_xlfn.XLOOKUP(A208,BoQ!B:B,BoQ!D:D),""))</f>
        <v/>
      </c>
      <c r="C208" s="103" t="str">
        <f t="shared" si="3"/>
        <v/>
      </c>
      <c r="D208" s="37"/>
    </row>
    <row r="209" spans="1:4">
      <c r="A209" s="257"/>
      <c r="B209" s="88" t="str">
        <f>IF(A209="","",IFERROR(_xlfn.XLOOKUP(A209,BoQ!B:B,BoQ!D:D),""))</f>
        <v/>
      </c>
      <c r="C209" s="103" t="str">
        <f t="shared" si="3"/>
        <v/>
      </c>
      <c r="D209" s="37"/>
    </row>
    <row r="210" spans="1:4">
      <c r="A210" s="257"/>
      <c r="B210" s="88" t="str">
        <f>IF(A210="","",IFERROR(_xlfn.XLOOKUP(A210,BoQ!B:B,BoQ!D:D),""))</f>
        <v/>
      </c>
      <c r="C210" s="103" t="str">
        <f t="shared" si="3"/>
        <v/>
      </c>
      <c r="D210" s="37"/>
    </row>
    <row r="211" spans="1:4">
      <c r="A211" s="257"/>
      <c r="B211" s="88" t="str">
        <f>IF(A211="","",IFERROR(_xlfn.XLOOKUP(A211,BoQ!B:B,BoQ!D:D),""))</f>
        <v/>
      </c>
      <c r="C211" s="103" t="str">
        <f t="shared" si="3"/>
        <v/>
      </c>
      <c r="D211" s="37"/>
    </row>
    <row r="212" spans="1:4">
      <c r="A212" s="257"/>
      <c r="B212" s="88" t="str">
        <f>IF(A212="","",IFERROR(_xlfn.XLOOKUP(A212,BoQ!B:B,BoQ!D:D),""))</f>
        <v/>
      </c>
      <c r="C212" s="103" t="str">
        <f t="shared" si="3"/>
        <v/>
      </c>
      <c r="D212" s="37"/>
    </row>
    <row r="213" spans="1:4">
      <c r="A213" s="257"/>
      <c r="B213" s="88" t="str">
        <f>IF(A213="","",IFERROR(_xlfn.XLOOKUP(A213,BoQ!B:B,BoQ!D:D),""))</f>
        <v/>
      </c>
      <c r="C213" s="103" t="str">
        <f t="shared" si="3"/>
        <v/>
      </c>
      <c r="D213" s="37"/>
    </row>
    <row r="214" spans="1:4">
      <c r="A214" s="257"/>
      <c r="B214" s="88" t="str">
        <f>IF(A214="","",IFERROR(_xlfn.XLOOKUP(A214,BoQ!B:B,BoQ!D:D),""))</f>
        <v/>
      </c>
      <c r="C214" s="103" t="str">
        <f t="shared" si="3"/>
        <v/>
      </c>
      <c r="D214" s="37"/>
    </row>
    <row r="215" spans="1:4">
      <c r="A215" s="257"/>
      <c r="B215" s="88" t="str">
        <f>IF(A215="","",IFERROR(_xlfn.XLOOKUP(A215,BoQ!B:B,BoQ!D:D),""))</f>
        <v/>
      </c>
      <c r="C215" s="103" t="str">
        <f t="shared" si="3"/>
        <v/>
      </c>
      <c r="D215" s="37"/>
    </row>
    <row r="216" spans="1:4">
      <c r="A216" s="257"/>
      <c r="B216" s="88" t="str">
        <f>IF(A216="","",IFERROR(_xlfn.XLOOKUP(A216,BoQ!B:B,BoQ!D:D),""))</f>
        <v/>
      </c>
      <c r="C216" s="103" t="str">
        <f t="shared" si="3"/>
        <v/>
      </c>
      <c r="D216" s="37"/>
    </row>
    <row r="217" spans="1:4">
      <c r="A217" s="257"/>
      <c r="B217" s="88" t="str">
        <f>IF(A217="","",IFERROR(_xlfn.XLOOKUP(A217,BoQ!B:B,BoQ!D:D),""))</f>
        <v/>
      </c>
      <c r="C217" s="103" t="str">
        <f t="shared" si="3"/>
        <v/>
      </c>
      <c r="D217" s="37"/>
    </row>
    <row r="218" spans="1:4">
      <c r="A218" s="257"/>
      <c r="B218" s="88" t="str">
        <f>IF(A218="","",IFERROR(_xlfn.XLOOKUP(A218,BoQ!B:B,BoQ!D:D),""))</f>
        <v/>
      </c>
      <c r="C218" s="103" t="str">
        <f t="shared" si="3"/>
        <v/>
      </c>
      <c r="D218" s="37"/>
    </row>
    <row r="219" spans="1:4">
      <c r="A219" s="257"/>
      <c r="B219" s="88" t="str">
        <f>IF(A219="","",IFERROR(_xlfn.XLOOKUP(A219,BoQ!B:B,BoQ!D:D),""))</f>
        <v/>
      </c>
      <c r="C219" s="103" t="str">
        <f t="shared" si="3"/>
        <v/>
      </c>
      <c r="D219" s="37"/>
    </row>
    <row r="220" spans="1:4">
      <c r="A220" s="257"/>
      <c r="B220" s="88" t="str">
        <f>IF(A220="","",IFERROR(_xlfn.XLOOKUP(A220,BoQ!B:B,BoQ!D:D),""))</f>
        <v/>
      </c>
      <c r="C220" s="103" t="str">
        <f t="shared" si="3"/>
        <v/>
      </c>
      <c r="D220" s="37"/>
    </row>
    <row r="221" spans="1:4">
      <c r="A221" s="257"/>
      <c r="B221" s="88" t="str">
        <f>IF(A221="","",IFERROR(_xlfn.XLOOKUP(A221,BoQ!B:B,BoQ!D:D),""))</f>
        <v/>
      </c>
      <c r="C221" s="103" t="str">
        <f t="shared" si="3"/>
        <v/>
      </c>
      <c r="D221" s="37"/>
    </row>
    <row r="222" spans="1:4">
      <c r="A222" s="257"/>
      <c r="B222" s="88" t="str">
        <f>IF(A222="","",IFERROR(_xlfn.XLOOKUP(A222,BoQ!B:B,BoQ!D:D),""))</f>
        <v/>
      </c>
      <c r="C222" s="103" t="str">
        <f t="shared" si="3"/>
        <v/>
      </c>
      <c r="D222" s="37"/>
    </row>
    <row r="223" spans="1:4">
      <c r="A223" s="257"/>
      <c r="B223" s="88" t="str">
        <f>IF(A223="","",IFERROR(_xlfn.XLOOKUP(A223,BoQ!B:B,BoQ!D:D),""))</f>
        <v/>
      </c>
      <c r="C223" s="103" t="str">
        <f t="shared" si="3"/>
        <v/>
      </c>
      <c r="D223" s="37"/>
    </row>
    <row r="224" spans="1:4">
      <c r="A224" s="257"/>
      <c r="B224" s="88" t="str">
        <f>IF(A224="","",IFERROR(_xlfn.XLOOKUP(A224,BoQ!B:B,BoQ!D:D),""))</f>
        <v/>
      </c>
      <c r="C224" s="103" t="str">
        <f t="shared" si="3"/>
        <v/>
      </c>
      <c r="D224" s="37"/>
    </row>
    <row r="225" spans="1:4">
      <c r="A225" s="257"/>
      <c r="B225" s="88" t="str">
        <f>IF(A225="","",IFERROR(_xlfn.XLOOKUP(A225,BoQ!B:B,BoQ!D:D),""))</f>
        <v/>
      </c>
      <c r="C225" s="103" t="str">
        <f t="shared" si="3"/>
        <v/>
      </c>
      <c r="D225" s="37"/>
    </row>
    <row r="226" spans="1:4">
      <c r="A226" s="257"/>
      <c r="B226" s="88" t="str">
        <f>IF(A226="","",IFERROR(_xlfn.XLOOKUP(A226,BoQ!B:B,BoQ!D:D),""))</f>
        <v/>
      </c>
      <c r="C226" s="103" t="str">
        <f t="shared" si="3"/>
        <v/>
      </c>
      <c r="D226" s="37"/>
    </row>
    <row r="227" spans="1:4">
      <c r="A227" s="257"/>
      <c r="B227" s="88" t="str">
        <f>IF(A227="","",IFERROR(_xlfn.XLOOKUP(A227,BoQ!B:B,BoQ!D:D),""))</f>
        <v/>
      </c>
      <c r="C227" s="103" t="str">
        <f t="shared" si="3"/>
        <v/>
      </c>
      <c r="D227" s="37"/>
    </row>
    <row r="228" spans="1:4">
      <c r="A228" s="257"/>
      <c r="B228" s="88" t="str">
        <f>IF(A228="","",IFERROR(_xlfn.XLOOKUP(A228,BoQ!B:B,BoQ!D:D),""))</f>
        <v/>
      </c>
      <c r="C228" s="103" t="str">
        <f t="shared" si="3"/>
        <v/>
      </c>
      <c r="D228" s="37"/>
    </row>
    <row r="229" spans="1:4">
      <c r="A229" s="257"/>
      <c r="B229" s="88" t="str">
        <f>IF(A229="","",IFERROR(_xlfn.XLOOKUP(A229,BoQ!B:B,BoQ!D:D),""))</f>
        <v/>
      </c>
      <c r="C229" s="103" t="str">
        <f t="shared" si="3"/>
        <v/>
      </c>
      <c r="D229" s="37"/>
    </row>
    <row r="230" spans="1:4">
      <c r="A230" s="257"/>
      <c r="B230" s="88" t="str">
        <f>IF(A230="","",IFERROR(_xlfn.XLOOKUP(A230,BoQ!B:B,BoQ!D:D),""))</f>
        <v/>
      </c>
      <c r="C230" s="103" t="str">
        <f t="shared" si="3"/>
        <v/>
      </c>
      <c r="D230" s="37"/>
    </row>
    <row r="231" spans="1:4">
      <c r="A231" s="257"/>
      <c r="B231" s="88" t="str">
        <f>IF(A231="","",IFERROR(_xlfn.XLOOKUP(A231,BoQ!B:B,BoQ!D:D),""))</f>
        <v/>
      </c>
      <c r="C231" s="103" t="str">
        <f t="shared" si="3"/>
        <v/>
      </c>
      <c r="D231" s="37"/>
    </row>
    <row r="232" spans="1:4">
      <c r="A232" s="257"/>
      <c r="B232" s="88" t="str">
        <f>IF(A232="","",IFERROR(_xlfn.XLOOKUP(A232,BoQ!B:B,BoQ!D:D),""))</f>
        <v/>
      </c>
      <c r="C232" s="103" t="str">
        <f t="shared" si="3"/>
        <v/>
      </c>
      <c r="D232" s="37"/>
    </row>
    <row r="233" spans="1:4">
      <c r="A233" s="257"/>
      <c r="B233" s="88" t="str">
        <f>IF(A233="","",IFERROR(_xlfn.XLOOKUP(A233,BoQ!B:B,BoQ!D:D),""))</f>
        <v/>
      </c>
      <c r="C233" s="103" t="str">
        <f t="shared" si="3"/>
        <v/>
      </c>
      <c r="D233" s="37"/>
    </row>
    <row r="234" spans="1:4">
      <c r="A234" s="257"/>
      <c r="B234" s="88" t="str">
        <f>IF(A234="","",IFERROR(_xlfn.XLOOKUP(A234,BoQ!B:B,BoQ!D:D),""))</f>
        <v/>
      </c>
      <c r="C234" s="103" t="str">
        <f t="shared" si="3"/>
        <v/>
      </c>
      <c r="D234" s="37"/>
    </row>
    <row r="235" spans="1:4">
      <c r="A235" s="257"/>
      <c r="B235" s="88" t="str">
        <f>IF(A235="","",IFERROR(_xlfn.XLOOKUP(A235,BoQ!B:B,BoQ!D:D),""))</f>
        <v/>
      </c>
      <c r="C235" s="103" t="str">
        <f t="shared" si="3"/>
        <v/>
      </c>
      <c r="D235" s="37"/>
    </row>
    <row r="236" spans="1:4">
      <c r="A236" s="257"/>
      <c r="B236" s="88" t="str">
        <f>IF(A236="","",IFERROR(_xlfn.XLOOKUP(A236,BoQ!B:B,BoQ!D:D),""))</f>
        <v/>
      </c>
      <c r="C236" s="103" t="str">
        <f t="shared" si="3"/>
        <v/>
      </c>
      <c r="D236" s="37"/>
    </row>
    <row r="237" spans="1:4">
      <c r="A237" s="257"/>
      <c r="B237" s="88" t="str">
        <f>IF(A237="","",IFERROR(_xlfn.XLOOKUP(A237,BoQ!B:B,BoQ!D:D),""))</f>
        <v/>
      </c>
      <c r="C237" s="103" t="str">
        <f t="shared" si="3"/>
        <v/>
      </c>
      <c r="D237" s="37"/>
    </row>
    <row r="238" spans="1:4">
      <c r="A238" s="257"/>
      <c r="B238" s="88" t="str">
        <f>IF(A238="","",IFERROR(_xlfn.XLOOKUP(A238,BoQ!B:B,BoQ!D:D),""))</f>
        <v/>
      </c>
      <c r="C238" s="103" t="str">
        <f t="shared" si="3"/>
        <v/>
      </c>
      <c r="D238" s="37"/>
    </row>
    <row r="239" spans="1:4">
      <c r="A239" s="257"/>
      <c r="B239" s="88" t="str">
        <f>IF(A239="","",IFERROR(_xlfn.XLOOKUP(A239,BoQ!B:B,BoQ!D:D),""))</f>
        <v/>
      </c>
      <c r="C239" s="103" t="str">
        <f t="shared" si="3"/>
        <v/>
      </c>
      <c r="D239" s="37"/>
    </row>
    <row r="240" spans="1:4">
      <c r="A240" s="257"/>
      <c r="B240" s="88" t="str">
        <f>IF(A240="","",IFERROR(_xlfn.XLOOKUP(A240,BoQ!B:B,BoQ!D:D),""))</f>
        <v/>
      </c>
      <c r="C240" s="103" t="str">
        <f t="shared" si="3"/>
        <v/>
      </c>
      <c r="D240" s="37"/>
    </row>
    <row r="241" spans="1:4">
      <c r="A241" s="257"/>
      <c r="B241" s="88" t="str">
        <f>IF(A241="","",IFERROR(_xlfn.XLOOKUP(A241,BoQ!B:B,BoQ!D:D),""))</f>
        <v/>
      </c>
      <c r="C241" s="103" t="str">
        <f t="shared" si="3"/>
        <v/>
      </c>
      <c r="D241" s="37"/>
    </row>
    <row r="242" spans="1:4">
      <c r="A242" s="257"/>
      <c r="B242" s="88" t="str">
        <f>IF(A242="","",IFERROR(_xlfn.XLOOKUP(A242,BoQ!B:B,BoQ!D:D),""))</f>
        <v/>
      </c>
      <c r="C242" s="103" t="str">
        <f t="shared" si="3"/>
        <v/>
      </c>
      <c r="D242" s="37"/>
    </row>
    <row r="243" spans="1:4">
      <c r="A243" s="257"/>
      <c r="B243" s="88" t="str">
        <f>IF(A243="","",IFERROR(_xlfn.XLOOKUP(A243,BoQ!B:B,BoQ!D:D),""))</f>
        <v/>
      </c>
      <c r="C243" s="103" t="str">
        <f t="shared" si="3"/>
        <v/>
      </c>
      <c r="D243" s="37"/>
    </row>
    <row r="244" spans="1:4">
      <c r="A244" s="257"/>
      <c r="B244" s="88" t="str">
        <f>IF(A244="","",IFERROR(_xlfn.XLOOKUP(A244,BoQ!B:B,BoQ!D:D),""))</f>
        <v/>
      </c>
      <c r="C244" s="103" t="str">
        <f t="shared" si="3"/>
        <v/>
      </c>
      <c r="D244" s="37"/>
    </row>
    <row r="245" spans="1:4">
      <c r="A245" s="257"/>
      <c r="B245" s="88" t="str">
        <f>IF(A245="","",IFERROR(_xlfn.XLOOKUP(A245,BoQ!B:B,BoQ!D:D),""))</f>
        <v/>
      </c>
      <c r="C245" s="103" t="str">
        <f t="shared" si="3"/>
        <v/>
      </c>
      <c r="D245" s="37"/>
    </row>
    <row r="246" spans="1:4">
      <c r="A246" s="257"/>
      <c r="B246" s="88" t="str">
        <f>IF(A246="","",IFERROR(_xlfn.XLOOKUP(A246,BoQ!B:B,BoQ!D:D),""))</f>
        <v/>
      </c>
      <c r="C246" s="103" t="str">
        <f t="shared" si="3"/>
        <v/>
      </c>
      <c r="D246" s="37"/>
    </row>
    <row r="247" spans="1:4">
      <c r="A247" s="257"/>
      <c r="B247" s="88" t="str">
        <f>IF(A247="","",IFERROR(_xlfn.XLOOKUP(A247,BoQ!B:B,BoQ!D:D),""))</f>
        <v/>
      </c>
      <c r="C247" s="103" t="str">
        <f t="shared" si="3"/>
        <v/>
      </c>
      <c r="D247" s="37"/>
    </row>
    <row r="248" spans="1:4">
      <c r="A248" s="257"/>
      <c r="B248" s="88" t="str">
        <f>IF(A248="","",IFERROR(_xlfn.XLOOKUP(A248,BoQ!B:B,BoQ!D:D),""))</f>
        <v/>
      </c>
      <c r="C248" s="103" t="str">
        <f t="shared" si="3"/>
        <v/>
      </c>
      <c r="D248" s="37"/>
    </row>
    <row r="249" spans="1:4">
      <c r="A249" s="257"/>
      <c r="B249" s="88" t="str">
        <f>IF(A249="","",IFERROR(_xlfn.XLOOKUP(A249,BoQ!B:B,BoQ!D:D),""))</f>
        <v/>
      </c>
      <c r="C249" s="103" t="str">
        <f t="shared" si="3"/>
        <v/>
      </c>
      <c r="D249" s="37"/>
    </row>
    <row r="250" spans="1:4">
      <c r="A250" s="257"/>
      <c r="B250" s="88" t="str">
        <f>IF(A250="","",IFERROR(_xlfn.XLOOKUP(A250,BoQ!B:B,BoQ!D:D),""))</f>
        <v/>
      </c>
      <c r="C250" s="103" t="str">
        <f t="shared" si="3"/>
        <v/>
      </c>
      <c r="D250" s="37"/>
    </row>
    <row r="251" spans="1:4">
      <c r="A251" s="257"/>
      <c r="B251" s="88" t="str">
        <f>IF(A251="","",IFERROR(_xlfn.XLOOKUP(A251,BoQ!B:B,BoQ!D:D),""))</f>
        <v/>
      </c>
      <c r="C251" s="103" t="str">
        <f t="shared" si="3"/>
        <v/>
      </c>
      <c r="D251" s="37"/>
    </row>
    <row r="252" spans="1:4">
      <c r="A252" s="257"/>
      <c r="B252" s="88" t="str">
        <f>IF(A252="","",IFERROR(_xlfn.XLOOKUP(A252,BoQ!B:B,BoQ!D:D),""))</f>
        <v/>
      </c>
      <c r="C252" s="103" t="str">
        <f t="shared" si="3"/>
        <v/>
      </c>
      <c r="D252" s="37"/>
    </row>
    <row r="253" spans="1:4">
      <c r="A253" s="257"/>
      <c r="B253" s="88" t="str">
        <f>IF(A253="","",IFERROR(_xlfn.XLOOKUP(A253,BoQ!B:B,BoQ!D:D),""))</f>
        <v/>
      </c>
      <c r="C253" s="103" t="str">
        <f t="shared" si="3"/>
        <v/>
      </c>
      <c r="D253" s="37"/>
    </row>
    <row r="254" spans="1:4">
      <c r="A254" s="257"/>
      <c r="B254" s="88" t="str">
        <f>IF(A254="","",IFERROR(_xlfn.XLOOKUP(A254,BoQ!B:B,BoQ!D:D),""))</f>
        <v/>
      </c>
      <c r="C254" s="103" t="str">
        <f t="shared" si="3"/>
        <v/>
      </c>
      <c r="D254" s="37"/>
    </row>
    <row r="255" spans="1:4">
      <c r="A255" s="257"/>
      <c r="B255" s="88" t="str">
        <f>IF(A255="","",IFERROR(_xlfn.XLOOKUP(A255,BoQ!B:B,BoQ!D:D),""))</f>
        <v/>
      </c>
      <c r="C255" s="103" t="str">
        <f t="shared" si="3"/>
        <v/>
      </c>
      <c r="D255" s="37"/>
    </row>
    <row r="256" spans="1:4">
      <c r="A256" s="257"/>
      <c r="B256" s="88" t="str">
        <f>IF(A256="","",IFERROR(_xlfn.XLOOKUP(A256,BoQ!B:B,BoQ!D:D),""))</f>
        <v/>
      </c>
      <c r="C256" s="103" t="str">
        <f t="shared" si="3"/>
        <v/>
      </c>
      <c r="D256" s="37"/>
    </row>
    <row r="257" spans="1:4">
      <c r="A257" s="257"/>
      <c r="B257" s="88" t="str">
        <f>IF(A257="","",IFERROR(_xlfn.XLOOKUP(A257,BoQ!B:B,BoQ!D:D),""))</f>
        <v/>
      </c>
      <c r="C257" s="103" t="str">
        <f t="shared" si="3"/>
        <v/>
      </c>
      <c r="D257" s="37"/>
    </row>
    <row r="258" spans="1:4">
      <c r="A258" s="257"/>
      <c r="B258" s="88" t="str">
        <f>IF(A258="","",IFERROR(_xlfn.XLOOKUP(A258,BoQ!B:B,BoQ!D:D),""))</f>
        <v/>
      </c>
      <c r="C258" s="103" t="str">
        <f t="shared" si="3"/>
        <v/>
      </c>
      <c r="D258" s="37"/>
    </row>
    <row r="259" spans="1:4">
      <c r="A259" s="257"/>
      <c r="B259" s="88" t="str">
        <f>IF(A259="","",IFERROR(_xlfn.XLOOKUP(A259,BoQ!B:B,BoQ!D:D),""))</f>
        <v/>
      </c>
      <c r="C259" s="103" t="str">
        <f t="shared" si="3"/>
        <v/>
      </c>
      <c r="D259" s="37"/>
    </row>
    <row r="260" spans="1:4">
      <c r="A260" s="257"/>
      <c r="B260" s="88" t="str">
        <f>IF(A260="","",IFERROR(_xlfn.XLOOKUP(A260,BoQ!B:B,BoQ!D:D),""))</f>
        <v/>
      </c>
      <c r="C260" s="103" t="str">
        <f t="shared" si="3"/>
        <v/>
      </c>
      <c r="D260" s="37"/>
    </row>
    <row r="261" spans="1:4">
      <c r="A261" s="257"/>
      <c r="B261" s="88" t="str">
        <f>IF(A261="","",IFERROR(_xlfn.XLOOKUP(A261,BoQ!B:B,BoQ!D:D),""))</f>
        <v/>
      </c>
      <c r="C261" s="103" t="str">
        <f t="shared" si="3"/>
        <v/>
      </c>
      <c r="D261" s="37"/>
    </row>
    <row r="262" spans="1:4">
      <c r="A262" s="257"/>
      <c r="B262" s="88" t="str">
        <f>IF(A262="","",IFERROR(_xlfn.XLOOKUP(A262,BoQ!B:B,BoQ!D:D),""))</f>
        <v/>
      </c>
      <c r="C262" s="103" t="str">
        <f t="shared" ref="C262:C325" si="4">IF(B262="", "", 600)</f>
        <v/>
      </c>
      <c r="D262" s="37"/>
    </row>
    <row r="263" spans="1:4">
      <c r="A263" s="257"/>
      <c r="B263" s="88" t="str">
        <f>IF(A263="","",IFERROR(_xlfn.XLOOKUP(A263,BoQ!B:B,BoQ!D:D),""))</f>
        <v/>
      </c>
      <c r="C263" s="103" t="str">
        <f t="shared" si="4"/>
        <v/>
      </c>
      <c r="D263" s="37"/>
    </row>
    <row r="264" spans="1:4">
      <c r="A264" s="257"/>
      <c r="B264" s="88" t="str">
        <f>IF(A264="","",IFERROR(_xlfn.XLOOKUP(A264,BoQ!B:B,BoQ!D:D),""))</f>
        <v/>
      </c>
      <c r="C264" s="103" t="str">
        <f t="shared" si="4"/>
        <v/>
      </c>
      <c r="D264" s="37"/>
    </row>
    <row r="265" spans="1:4">
      <c r="A265" s="257"/>
      <c r="B265" s="88" t="str">
        <f>IF(A265="","",IFERROR(_xlfn.XLOOKUP(A265,BoQ!B:B,BoQ!D:D),""))</f>
        <v/>
      </c>
      <c r="C265" s="103" t="str">
        <f t="shared" si="4"/>
        <v/>
      </c>
      <c r="D265" s="37"/>
    </row>
    <row r="266" spans="1:4">
      <c r="A266" s="257"/>
      <c r="B266" s="88" t="str">
        <f>IF(A266="","",IFERROR(_xlfn.XLOOKUP(A266,BoQ!B:B,BoQ!D:D),""))</f>
        <v/>
      </c>
      <c r="C266" s="103" t="str">
        <f t="shared" si="4"/>
        <v/>
      </c>
      <c r="D266" s="37"/>
    </row>
    <row r="267" spans="1:4">
      <c r="A267" s="257"/>
      <c r="B267" s="88" t="str">
        <f>IF(A267="","",IFERROR(_xlfn.XLOOKUP(A267,BoQ!B:B,BoQ!D:D),""))</f>
        <v/>
      </c>
      <c r="C267" s="103" t="str">
        <f t="shared" si="4"/>
        <v/>
      </c>
      <c r="D267" s="37"/>
    </row>
    <row r="268" spans="1:4">
      <c r="A268" s="257"/>
      <c r="B268" s="88" t="str">
        <f>IF(A268="","",IFERROR(_xlfn.XLOOKUP(A268,BoQ!B:B,BoQ!D:D),""))</f>
        <v/>
      </c>
      <c r="C268" s="103" t="str">
        <f t="shared" si="4"/>
        <v/>
      </c>
      <c r="D268" s="37"/>
    </row>
    <row r="269" spans="1:4">
      <c r="A269" s="257"/>
      <c r="B269" s="88" t="str">
        <f>IF(A269="","",IFERROR(_xlfn.XLOOKUP(A269,BoQ!B:B,BoQ!D:D),""))</f>
        <v/>
      </c>
      <c r="C269" s="103" t="str">
        <f t="shared" si="4"/>
        <v/>
      </c>
      <c r="D269" s="37"/>
    </row>
    <row r="270" spans="1:4">
      <c r="A270" s="257"/>
      <c r="B270" s="88" t="str">
        <f>IF(A270="","",IFERROR(_xlfn.XLOOKUP(A270,BoQ!B:B,BoQ!D:D),""))</f>
        <v/>
      </c>
      <c r="C270" s="103" t="str">
        <f t="shared" si="4"/>
        <v/>
      </c>
      <c r="D270" s="37"/>
    </row>
    <row r="271" spans="1:4">
      <c r="A271" s="257"/>
      <c r="B271" s="88" t="str">
        <f>IF(A271="","",IFERROR(_xlfn.XLOOKUP(A271,BoQ!B:B,BoQ!D:D),""))</f>
        <v/>
      </c>
      <c r="C271" s="103" t="str">
        <f t="shared" si="4"/>
        <v/>
      </c>
      <c r="D271" s="37"/>
    </row>
    <row r="272" spans="1:4">
      <c r="A272" s="257"/>
      <c r="B272" s="88" t="str">
        <f>IF(A272="","",IFERROR(_xlfn.XLOOKUP(A272,BoQ!B:B,BoQ!D:D),""))</f>
        <v/>
      </c>
      <c r="C272" s="103" t="str">
        <f t="shared" si="4"/>
        <v/>
      </c>
      <c r="D272" s="37"/>
    </row>
    <row r="273" spans="1:4">
      <c r="A273" s="257"/>
      <c r="B273" s="88" t="str">
        <f>IF(A273="","",IFERROR(_xlfn.XLOOKUP(A273,BoQ!B:B,BoQ!D:D),""))</f>
        <v/>
      </c>
      <c r="C273" s="103" t="str">
        <f t="shared" si="4"/>
        <v/>
      </c>
      <c r="D273" s="37"/>
    </row>
    <row r="274" spans="1:4">
      <c r="A274" s="257"/>
      <c r="B274" s="88" t="str">
        <f>IF(A274="","",IFERROR(_xlfn.XLOOKUP(A274,BoQ!B:B,BoQ!D:D),""))</f>
        <v/>
      </c>
      <c r="C274" s="103" t="str">
        <f t="shared" si="4"/>
        <v/>
      </c>
      <c r="D274" s="37"/>
    </row>
    <row r="275" spans="1:4">
      <c r="A275" s="257"/>
      <c r="B275" s="88" t="str">
        <f>IF(A275="","",IFERROR(_xlfn.XLOOKUP(A275,BoQ!B:B,BoQ!D:D),""))</f>
        <v/>
      </c>
      <c r="C275" s="103" t="str">
        <f t="shared" si="4"/>
        <v/>
      </c>
      <c r="D275" s="37"/>
    </row>
    <row r="276" spans="1:4">
      <c r="A276" s="257"/>
      <c r="B276" s="88" t="str">
        <f>IF(A276="","",IFERROR(_xlfn.XLOOKUP(A276,BoQ!B:B,BoQ!D:D),""))</f>
        <v/>
      </c>
      <c r="C276" s="103" t="str">
        <f t="shared" si="4"/>
        <v/>
      </c>
      <c r="D276" s="37"/>
    </row>
    <row r="277" spans="1:4">
      <c r="A277" s="257"/>
      <c r="B277" s="88" t="str">
        <f>IF(A277="","",IFERROR(_xlfn.XLOOKUP(A277,BoQ!B:B,BoQ!D:D),""))</f>
        <v/>
      </c>
      <c r="C277" s="103" t="str">
        <f t="shared" si="4"/>
        <v/>
      </c>
      <c r="D277" s="37"/>
    </row>
    <row r="278" spans="1:4">
      <c r="A278" s="257"/>
      <c r="B278" s="88" t="str">
        <f>IF(A278="","",IFERROR(_xlfn.XLOOKUP(A278,BoQ!B:B,BoQ!D:D),""))</f>
        <v/>
      </c>
      <c r="C278" s="103" t="str">
        <f t="shared" si="4"/>
        <v/>
      </c>
      <c r="D278" s="37"/>
    </row>
    <row r="279" spans="1:4">
      <c r="A279" s="257"/>
      <c r="B279" s="88" t="str">
        <f>IF(A279="","",IFERROR(_xlfn.XLOOKUP(A279,BoQ!B:B,BoQ!D:D),""))</f>
        <v/>
      </c>
      <c r="C279" s="103" t="str">
        <f t="shared" si="4"/>
        <v/>
      </c>
      <c r="D279" s="37"/>
    </row>
    <row r="280" spans="1:4">
      <c r="A280" s="257"/>
      <c r="B280" s="88" t="str">
        <f>IF(A280="","",IFERROR(_xlfn.XLOOKUP(A280,BoQ!B:B,BoQ!D:D),""))</f>
        <v/>
      </c>
      <c r="C280" s="103" t="str">
        <f t="shared" si="4"/>
        <v/>
      </c>
      <c r="D280" s="37"/>
    </row>
    <row r="281" spans="1:4">
      <c r="A281" s="257"/>
      <c r="B281" s="88" t="str">
        <f>IF(A281="","",IFERROR(_xlfn.XLOOKUP(A281,BoQ!B:B,BoQ!D:D),""))</f>
        <v/>
      </c>
      <c r="C281" s="103" t="str">
        <f t="shared" si="4"/>
        <v/>
      </c>
      <c r="D281" s="37"/>
    </row>
    <row r="282" spans="1:4">
      <c r="A282" s="257"/>
      <c r="B282" s="88" t="str">
        <f>IF(A282="","",IFERROR(_xlfn.XLOOKUP(A282,BoQ!B:B,BoQ!D:D),""))</f>
        <v/>
      </c>
      <c r="C282" s="103" t="str">
        <f t="shared" si="4"/>
        <v/>
      </c>
      <c r="D282" s="37"/>
    </row>
    <row r="283" spans="1:4">
      <c r="A283" s="257"/>
      <c r="B283" s="88" t="str">
        <f>IF(A283="","",IFERROR(_xlfn.XLOOKUP(A283,BoQ!B:B,BoQ!D:D),""))</f>
        <v/>
      </c>
      <c r="C283" s="103" t="str">
        <f t="shared" si="4"/>
        <v/>
      </c>
      <c r="D283" s="37"/>
    </row>
    <row r="284" spans="1:4">
      <c r="A284" s="257"/>
      <c r="B284" s="88" t="str">
        <f>IF(A284="","",IFERROR(_xlfn.XLOOKUP(A284,BoQ!B:B,BoQ!D:D),""))</f>
        <v/>
      </c>
      <c r="C284" s="103" t="str">
        <f t="shared" si="4"/>
        <v/>
      </c>
      <c r="D284" s="37"/>
    </row>
    <row r="285" spans="1:4">
      <c r="A285" s="257"/>
      <c r="B285" s="88" t="str">
        <f>IF(A285="","",IFERROR(_xlfn.XLOOKUP(A285,BoQ!B:B,BoQ!D:D),""))</f>
        <v/>
      </c>
      <c r="C285" s="103" t="str">
        <f t="shared" si="4"/>
        <v/>
      </c>
      <c r="D285" s="37"/>
    </row>
    <row r="286" spans="1:4">
      <c r="A286" s="257"/>
      <c r="B286" s="88" t="str">
        <f>IF(A286="","",IFERROR(_xlfn.XLOOKUP(A286,BoQ!B:B,BoQ!D:D),""))</f>
        <v/>
      </c>
      <c r="C286" s="103" t="str">
        <f t="shared" si="4"/>
        <v/>
      </c>
      <c r="D286" s="37"/>
    </row>
    <row r="287" spans="1:4">
      <c r="A287" s="257"/>
      <c r="B287" s="88" t="str">
        <f>IF(A287="","",IFERROR(_xlfn.XLOOKUP(A287,BoQ!B:B,BoQ!D:D),""))</f>
        <v/>
      </c>
      <c r="C287" s="103" t="str">
        <f t="shared" si="4"/>
        <v/>
      </c>
      <c r="D287" s="37"/>
    </row>
    <row r="288" spans="1:4">
      <c r="A288" s="257"/>
      <c r="B288" s="88" t="str">
        <f>IF(A288="","",IFERROR(_xlfn.XLOOKUP(A288,BoQ!B:B,BoQ!D:D),""))</f>
        <v/>
      </c>
      <c r="C288" s="103" t="str">
        <f t="shared" si="4"/>
        <v/>
      </c>
      <c r="D288" s="37"/>
    </row>
    <row r="289" spans="1:4">
      <c r="A289" s="257"/>
      <c r="B289" s="88" t="str">
        <f>IF(A289="","",IFERROR(_xlfn.XLOOKUP(A289,BoQ!B:B,BoQ!D:D),""))</f>
        <v/>
      </c>
      <c r="C289" s="103" t="str">
        <f t="shared" si="4"/>
        <v/>
      </c>
      <c r="D289" s="37"/>
    </row>
    <row r="290" spans="1:4">
      <c r="A290" s="257"/>
      <c r="B290" s="88" t="str">
        <f>IF(A290="","",IFERROR(_xlfn.XLOOKUP(A290,BoQ!B:B,BoQ!D:D),""))</f>
        <v/>
      </c>
      <c r="C290" s="103" t="str">
        <f t="shared" si="4"/>
        <v/>
      </c>
      <c r="D290" s="37"/>
    </row>
    <row r="291" spans="1:4">
      <c r="A291" s="257"/>
      <c r="B291" s="88" t="str">
        <f>IF(A291="","",IFERROR(_xlfn.XLOOKUP(A291,BoQ!B:B,BoQ!D:D),""))</f>
        <v/>
      </c>
      <c r="C291" s="103" t="str">
        <f t="shared" si="4"/>
        <v/>
      </c>
      <c r="D291" s="37"/>
    </row>
    <row r="292" spans="1:4">
      <c r="A292" s="257"/>
      <c r="B292" s="88" t="str">
        <f>IF(A292="","",IFERROR(_xlfn.XLOOKUP(A292,BoQ!B:B,BoQ!D:D),""))</f>
        <v/>
      </c>
      <c r="C292" s="103" t="str">
        <f t="shared" si="4"/>
        <v/>
      </c>
      <c r="D292" s="37"/>
    </row>
    <row r="293" spans="1:4">
      <c r="A293" s="257"/>
      <c r="B293" s="88" t="str">
        <f>IF(A293="","",IFERROR(_xlfn.XLOOKUP(A293,BoQ!B:B,BoQ!D:D),""))</f>
        <v/>
      </c>
      <c r="C293" s="103" t="str">
        <f t="shared" si="4"/>
        <v/>
      </c>
      <c r="D293" s="37"/>
    </row>
    <row r="294" spans="1:4">
      <c r="A294" s="257"/>
      <c r="B294" s="88" t="str">
        <f>IF(A294="","",IFERROR(_xlfn.XLOOKUP(A294,BoQ!B:B,BoQ!D:D),""))</f>
        <v/>
      </c>
      <c r="C294" s="103" t="str">
        <f t="shared" si="4"/>
        <v/>
      </c>
      <c r="D294" s="37"/>
    </row>
    <row r="295" spans="1:4">
      <c r="A295" s="257"/>
      <c r="B295" s="88" t="str">
        <f>IF(A295="","",IFERROR(_xlfn.XLOOKUP(A295,BoQ!B:B,BoQ!D:D),""))</f>
        <v/>
      </c>
      <c r="C295" s="103" t="str">
        <f t="shared" si="4"/>
        <v/>
      </c>
      <c r="D295" s="37"/>
    </row>
    <row r="296" spans="1:4">
      <c r="A296" s="257"/>
      <c r="B296" s="88" t="str">
        <f>IF(A296="","",IFERROR(_xlfn.XLOOKUP(A296,BoQ!B:B,BoQ!D:D),""))</f>
        <v/>
      </c>
      <c r="C296" s="103" t="str">
        <f t="shared" si="4"/>
        <v/>
      </c>
      <c r="D296" s="37"/>
    </row>
    <row r="297" spans="1:4">
      <c r="A297" s="257"/>
      <c r="B297" s="88" t="str">
        <f>IF(A297="","",IFERROR(_xlfn.XLOOKUP(A297,BoQ!B:B,BoQ!D:D),""))</f>
        <v/>
      </c>
      <c r="C297" s="103" t="str">
        <f t="shared" si="4"/>
        <v/>
      </c>
      <c r="D297" s="37"/>
    </row>
    <row r="298" spans="1:4">
      <c r="A298" s="257"/>
      <c r="B298" s="88" t="str">
        <f>IF(A298="","",IFERROR(_xlfn.XLOOKUP(A298,BoQ!B:B,BoQ!D:D),""))</f>
        <v/>
      </c>
      <c r="C298" s="103" t="str">
        <f t="shared" si="4"/>
        <v/>
      </c>
      <c r="D298" s="37"/>
    </row>
    <row r="299" spans="1:4">
      <c r="A299" s="257"/>
      <c r="B299" s="88" t="str">
        <f>IF(A299="","",IFERROR(_xlfn.XLOOKUP(A299,BoQ!B:B,BoQ!D:D),""))</f>
        <v/>
      </c>
      <c r="C299" s="103" t="str">
        <f t="shared" si="4"/>
        <v/>
      </c>
      <c r="D299" s="37"/>
    </row>
    <row r="300" spans="1:4">
      <c r="A300" s="257"/>
      <c r="B300" s="88" t="str">
        <f>IF(A300="","",IFERROR(_xlfn.XLOOKUP(A300,BoQ!B:B,BoQ!D:D),""))</f>
        <v/>
      </c>
      <c r="C300" s="103" t="str">
        <f t="shared" si="4"/>
        <v/>
      </c>
      <c r="D300" s="37"/>
    </row>
    <row r="301" spans="1:4">
      <c r="A301" s="257"/>
      <c r="B301" s="88" t="str">
        <f>IF(A301="","",IFERROR(_xlfn.XLOOKUP(A301,BoQ!B:B,BoQ!D:D),""))</f>
        <v/>
      </c>
      <c r="C301" s="103" t="str">
        <f t="shared" si="4"/>
        <v/>
      </c>
      <c r="D301" s="37"/>
    </row>
    <row r="302" spans="1:4">
      <c r="A302" s="257"/>
      <c r="B302" s="88" t="str">
        <f>IF(A302="","",IFERROR(_xlfn.XLOOKUP(A302,BoQ!B:B,BoQ!D:D),""))</f>
        <v/>
      </c>
      <c r="C302" s="103" t="str">
        <f t="shared" si="4"/>
        <v/>
      </c>
      <c r="D302" s="37"/>
    </row>
    <row r="303" spans="1:4">
      <c r="A303" s="257"/>
      <c r="B303" s="88" t="str">
        <f>IF(A303="","",IFERROR(_xlfn.XLOOKUP(A303,BoQ!B:B,BoQ!D:D),""))</f>
        <v/>
      </c>
      <c r="C303" s="103" t="str">
        <f t="shared" si="4"/>
        <v/>
      </c>
      <c r="D303" s="37"/>
    </row>
    <row r="304" spans="1:4">
      <c r="A304" s="257"/>
      <c r="B304" s="88" t="str">
        <f>IF(A304="","",IFERROR(_xlfn.XLOOKUP(A304,BoQ!B:B,BoQ!D:D),""))</f>
        <v/>
      </c>
      <c r="C304" s="103" t="str">
        <f t="shared" si="4"/>
        <v/>
      </c>
      <c r="D304" s="37"/>
    </row>
    <row r="305" spans="1:4">
      <c r="A305" s="257"/>
      <c r="B305" s="88" t="str">
        <f>IF(A305="","",IFERROR(_xlfn.XLOOKUP(A305,BoQ!B:B,BoQ!D:D),""))</f>
        <v/>
      </c>
      <c r="C305" s="103" t="str">
        <f t="shared" si="4"/>
        <v/>
      </c>
      <c r="D305" s="37"/>
    </row>
    <row r="306" spans="1:4">
      <c r="A306" s="257"/>
      <c r="B306" s="88" t="str">
        <f>IF(A306="","",IFERROR(_xlfn.XLOOKUP(A306,BoQ!B:B,BoQ!D:D),""))</f>
        <v/>
      </c>
      <c r="C306" s="103" t="str">
        <f t="shared" si="4"/>
        <v/>
      </c>
      <c r="D306" s="37"/>
    </row>
    <row r="307" spans="1:4">
      <c r="A307" s="257"/>
      <c r="B307" s="88" t="str">
        <f>IF(A307="","",IFERROR(_xlfn.XLOOKUP(A307,BoQ!B:B,BoQ!D:D),""))</f>
        <v/>
      </c>
      <c r="C307" s="103" t="str">
        <f t="shared" si="4"/>
        <v/>
      </c>
      <c r="D307" s="37"/>
    </row>
    <row r="308" spans="1:4">
      <c r="A308" s="257"/>
      <c r="B308" s="88" t="str">
        <f>IF(A308="","",IFERROR(_xlfn.XLOOKUP(A308,BoQ!B:B,BoQ!D:D),""))</f>
        <v/>
      </c>
      <c r="C308" s="103" t="str">
        <f t="shared" si="4"/>
        <v/>
      </c>
      <c r="D308" s="37"/>
    </row>
    <row r="309" spans="1:4">
      <c r="A309" s="257"/>
      <c r="B309" s="88" t="str">
        <f>IF(A309="","",IFERROR(_xlfn.XLOOKUP(A309,BoQ!B:B,BoQ!D:D),""))</f>
        <v/>
      </c>
      <c r="C309" s="103" t="str">
        <f t="shared" si="4"/>
        <v/>
      </c>
      <c r="D309" s="37"/>
    </row>
    <row r="310" spans="1:4">
      <c r="A310" s="257"/>
      <c r="B310" s="88" t="str">
        <f>IF(A310="","",IFERROR(_xlfn.XLOOKUP(A310,BoQ!B:B,BoQ!D:D),""))</f>
        <v/>
      </c>
      <c r="C310" s="103" t="str">
        <f t="shared" si="4"/>
        <v/>
      </c>
      <c r="D310" s="37"/>
    </row>
    <row r="311" spans="1:4">
      <c r="A311" s="257"/>
      <c r="B311" s="88" t="str">
        <f>IF(A311="","",IFERROR(_xlfn.XLOOKUP(A311,BoQ!B:B,BoQ!D:D),""))</f>
        <v/>
      </c>
      <c r="C311" s="103" t="str">
        <f t="shared" si="4"/>
        <v/>
      </c>
      <c r="D311" s="37"/>
    </row>
    <row r="312" spans="1:4">
      <c r="A312" s="257"/>
      <c r="B312" s="88" t="str">
        <f>IF(A312="","",IFERROR(_xlfn.XLOOKUP(A312,BoQ!B:B,BoQ!D:D),""))</f>
        <v/>
      </c>
      <c r="C312" s="103" t="str">
        <f t="shared" si="4"/>
        <v/>
      </c>
      <c r="D312" s="37"/>
    </row>
    <row r="313" spans="1:4">
      <c r="A313" s="257"/>
      <c r="B313" s="88" t="str">
        <f>IF(A313="","",IFERROR(_xlfn.XLOOKUP(A313,BoQ!B:B,BoQ!D:D),""))</f>
        <v/>
      </c>
      <c r="C313" s="103" t="str">
        <f t="shared" si="4"/>
        <v/>
      </c>
      <c r="D313" s="37"/>
    </row>
    <row r="314" spans="1:4">
      <c r="A314" s="257"/>
      <c r="B314" s="88" t="str">
        <f>IF(A314="","",IFERROR(_xlfn.XLOOKUP(A314,BoQ!B:B,BoQ!D:D),""))</f>
        <v/>
      </c>
      <c r="C314" s="103" t="str">
        <f t="shared" si="4"/>
        <v/>
      </c>
      <c r="D314" s="37"/>
    </row>
    <row r="315" spans="1:4">
      <c r="A315" s="257"/>
      <c r="B315" s="88" t="str">
        <f>IF(A315="","",IFERROR(_xlfn.XLOOKUP(A315,BoQ!B:B,BoQ!D:D),""))</f>
        <v/>
      </c>
      <c r="C315" s="103" t="str">
        <f t="shared" si="4"/>
        <v/>
      </c>
      <c r="D315" s="37"/>
    </row>
    <row r="316" spans="1:4">
      <c r="A316" s="257"/>
      <c r="B316" s="88" t="str">
        <f>IF(A316="","",IFERROR(_xlfn.XLOOKUP(A316,BoQ!B:B,BoQ!D:D),""))</f>
        <v/>
      </c>
      <c r="C316" s="103" t="str">
        <f t="shared" si="4"/>
        <v/>
      </c>
      <c r="D316" s="37"/>
    </row>
    <row r="317" spans="1:4">
      <c r="A317" s="257"/>
      <c r="B317" s="88" t="str">
        <f>IF(A317="","",IFERROR(_xlfn.XLOOKUP(A317,BoQ!B:B,BoQ!D:D),""))</f>
        <v/>
      </c>
      <c r="C317" s="103" t="str">
        <f t="shared" si="4"/>
        <v/>
      </c>
      <c r="D317" s="37"/>
    </row>
    <row r="318" spans="1:4">
      <c r="A318" s="257"/>
      <c r="B318" s="88" t="str">
        <f>IF(A318="","",IFERROR(_xlfn.XLOOKUP(A318,BoQ!B:B,BoQ!D:D),""))</f>
        <v/>
      </c>
      <c r="C318" s="103" t="str">
        <f t="shared" si="4"/>
        <v/>
      </c>
      <c r="D318" s="37"/>
    </row>
    <row r="319" spans="1:4">
      <c r="A319" s="257"/>
      <c r="B319" s="88" t="str">
        <f>IF(A319="","",IFERROR(_xlfn.XLOOKUP(A319,BoQ!B:B,BoQ!D:D),""))</f>
        <v/>
      </c>
      <c r="C319" s="103" t="str">
        <f t="shared" si="4"/>
        <v/>
      </c>
      <c r="D319" s="37"/>
    </row>
    <row r="320" spans="1:4">
      <c r="A320" s="257"/>
      <c r="B320" s="88" t="str">
        <f>IF(A320="","",IFERROR(_xlfn.XLOOKUP(A320,BoQ!B:B,BoQ!D:D),""))</f>
        <v/>
      </c>
      <c r="C320" s="103" t="str">
        <f t="shared" si="4"/>
        <v/>
      </c>
      <c r="D320" s="37"/>
    </row>
    <row r="321" spans="1:4">
      <c r="A321" s="257"/>
      <c r="B321" s="88" t="str">
        <f>IF(A321="","",IFERROR(_xlfn.XLOOKUP(A321,BoQ!B:B,BoQ!D:D),""))</f>
        <v/>
      </c>
      <c r="C321" s="103" t="str">
        <f t="shared" si="4"/>
        <v/>
      </c>
      <c r="D321" s="37"/>
    </row>
    <row r="322" spans="1:4">
      <c r="A322" s="257"/>
      <c r="B322" s="88" t="str">
        <f>IF(A322="","",IFERROR(_xlfn.XLOOKUP(A322,BoQ!B:B,BoQ!D:D),""))</f>
        <v/>
      </c>
      <c r="C322" s="103" t="str">
        <f t="shared" si="4"/>
        <v/>
      </c>
      <c r="D322" s="37"/>
    </row>
    <row r="323" spans="1:4">
      <c r="A323" s="257"/>
      <c r="B323" s="88" t="str">
        <f>IF(A323="","",IFERROR(_xlfn.XLOOKUP(A323,BoQ!B:B,BoQ!D:D),""))</f>
        <v/>
      </c>
      <c r="C323" s="103" t="str">
        <f t="shared" si="4"/>
        <v/>
      </c>
      <c r="D323" s="37"/>
    </row>
    <row r="324" spans="1:4">
      <c r="A324" s="257"/>
      <c r="B324" s="88" t="str">
        <f>IF(A324="","",IFERROR(_xlfn.XLOOKUP(A324,BoQ!B:B,BoQ!D:D),""))</f>
        <v/>
      </c>
      <c r="C324" s="103" t="str">
        <f t="shared" si="4"/>
        <v/>
      </c>
      <c r="D324" s="37"/>
    </row>
    <row r="325" spans="1:4">
      <c r="A325" s="257"/>
      <c r="B325" s="88" t="str">
        <f>IF(A325="","",IFERROR(_xlfn.XLOOKUP(A325,BoQ!B:B,BoQ!D:D),""))</f>
        <v/>
      </c>
      <c r="C325" s="103" t="str">
        <f t="shared" si="4"/>
        <v/>
      </c>
      <c r="D325" s="37"/>
    </row>
    <row r="326" spans="1:4">
      <c r="A326" s="257"/>
      <c r="B326" s="88" t="str">
        <f>IF(A326="","",IFERROR(_xlfn.XLOOKUP(A326,BoQ!B:B,BoQ!D:D),""))</f>
        <v/>
      </c>
      <c r="C326" s="103" t="str">
        <f t="shared" ref="C326:C389" si="5">IF(B326="", "", 600)</f>
        <v/>
      </c>
      <c r="D326" s="37"/>
    </row>
    <row r="327" spans="1:4">
      <c r="A327" s="257"/>
      <c r="B327" s="88" t="str">
        <f>IF(A327="","",IFERROR(_xlfn.XLOOKUP(A327,BoQ!B:B,BoQ!D:D),""))</f>
        <v/>
      </c>
      <c r="C327" s="103" t="str">
        <f t="shared" si="5"/>
        <v/>
      </c>
      <c r="D327" s="37"/>
    </row>
    <row r="328" spans="1:4">
      <c r="A328" s="257"/>
      <c r="B328" s="88" t="str">
        <f>IF(A328="","",IFERROR(_xlfn.XLOOKUP(A328,BoQ!B:B,BoQ!D:D),""))</f>
        <v/>
      </c>
      <c r="C328" s="103" t="str">
        <f t="shared" si="5"/>
        <v/>
      </c>
      <c r="D328" s="37"/>
    </row>
    <row r="329" spans="1:4">
      <c r="A329" s="257"/>
      <c r="B329" s="88" t="str">
        <f>IF(A329="","",IFERROR(_xlfn.XLOOKUP(A329,BoQ!B:B,BoQ!D:D),""))</f>
        <v/>
      </c>
      <c r="C329" s="103" t="str">
        <f t="shared" si="5"/>
        <v/>
      </c>
      <c r="D329" s="37"/>
    </row>
    <row r="330" spans="1:4">
      <c r="A330" s="257"/>
      <c r="B330" s="88" t="str">
        <f>IF(A330="","",IFERROR(_xlfn.XLOOKUP(A330,BoQ!B:B,BoQ!D:D),""))</f>
        <v/>
      </c>
      <c r="C330" s="103" t="str">
        <f t="shared" si="5"/>
        <v/>
      </c>
      <c r="D330" s="37"/>
    </row>
    <row r="331" spans="1:4">
      <c r="A331" s="257"/>
      <c r="B331" s="88" t="str">
        <f>IF(A331="","",IFERROR(_xlfn.XLOOKUP(A331,BoQ!B:B,BoQ!D:D),""))</f>
        <v/>
      </c>
      <c r="C331" s="103" t="str">
        <f t="shared" si="5"/>
        <v/>
      </c>
      <c r="D331" s="37"/>
    </row>
    <row r="332" spans="1:4">
      <c r="A332" s="257"/>
      <c r="B332" s="88" t="str">
        <f>IF(A332="","",IFERROR(_xlfn.XLOOKUP(A332,BoQ!B:B,BoQ!D:D),""))</f>
        <v/>
      </c>
      <c r="C332" s="103" t="str">
        <f t="shared" si="5"/>
        <v/>
      </c>
      <c r="D332" s="37"/>
    </row>
    <row r="333" spans="1:4">
      <c r="A333" s="257"/>
      <c r="B333" s="88" t="str">
        <f>IF(A333="","",IFERROR(_xlfn.XLOOKUP(A333,BoQ!B:B,BoQ!D:D),""))</f>
        <v/>
      </c>
      <c r="C333" s="103" t="str">
        <f t="shared" si="5"/>
        <v/>
      </c>
      <c r="D333" s="37"/>
    </row>
    <row r="334" spans="1:4">
      <c r="A334" s="257"/>
      <c r="B334" s="88" t="str">
        <f>IF(A334="","",IFERROR(_xlfn.XLOOKUP(A334,BoQ!B:B,BoQ!D:D),""))</f>
        <v/>
      </c>
      <c r="C334" s="103" t="str">
        <f t="shared" si="5"/>
        <v/>
      </c>
      <c r="D334" s="37"/>
    </row>
    <row r="335" spans="1:4">
      <c r="A335" s="257"/>
      <c r="B335" s="88" t="str">
        <f>IF(A335="","",IFERROR(_xlfn.XLOOKUP(A335,BoQ!B:B,BoQ!D:D),""))</f>
        <v/>
      </c>
      <c r="C335" s="103" t="str">
        <f t="shared" si="5"/>
        <v/>
      </c>
      <c r="D335" s="37"/>
    </row>
    <row r="336" spans="1:4">
      <c r="A336" s="257"/>
      <c r="B336" s="88" t="str">
        <f>IF(A336="","",IFERROR(_xlfn.XLOOKUP(A336,BoQ!B:B,BoQ!D:D),""))</f>
        <v/>
      </c>
      <c r="C336" s="103" t="str">
        <f t="shared" si="5"/>
        <v/>
      </c>
      <c r="D336" s="37"/>
    </row>
    <row r="337" spans="1:4">
      <c r="A337" s="257"/>
      <c r="B337" s="88" t="str">
        <f>IF(A337="","",IFERROR(_xlfn.XLOOKUP(A337,BoQ!B:B,BoQ!D:D),""))</f>
        <v/>
      </c>
      <c r="C337" s="103" t="str">
        <f t="shared" si="5"/>
        <v/>
      </c>
      <c r="D337" s="37"/>
    </row>
    <row r="338" spans="1:4">
      <c r="A338" s="257"/>
      <c r="B338" s="88" t="str">
        <f>IF(A338="","",IFERROR(_xlfn.XLOOKUP(A338,BoQ!B:B,BoQ!D:D),""))</f>
        <v/>
      </c>
      <c r="C338" s="103" t="str">
        <f t="shared" si="5"/>
        <v/>
      </c>
      <c r="D338" s="37"/>
    </row>
    <row r="339" spans="1:4">
      <c r="A339" s="257"/>
      <c r="B339" s="88" t="str">
        <f>IF(A339="","",IFERROR(_xlfn.XLOOKUP(A339,BoQ!B:B,BoQ!D:D),""))</f>
        <v/>
      </c>
      <c r="C339" s="103" t="str">
        <f t="shared" si="5"/>
        <v/>
      </c>
      <c r="D339" s="37"/>
    </row>
    <row r="340" spans="1:4">
      <c r="A340" s="257"/>
      <c r="B340" s="88" t="str">
        <f>IF(A340="","",IFERROR(_xlfn.XLOOKUP(A340,BoQ!B:B,BoQ!D:D),""))</f>
        <v/>
      </c>
      <c r="C340" s="103" t="str">
        <f t="shared" si="5"/>
        <v/>
      </c>
      <c r="D340" s="37"/>
    </row>
    <row r="341" spans="1:4">
      <c r="A341" s="257"/>
      <c r="B341" s="88" t="str">
        <f>IF(A341="","",IFERROR(_xlfn.XLOOKUP(A341,BoQ!B:B,BoQ!D:D),""))</f>
        <v/>
      </c>
      <c r="C341" s="103" t="str">
        <f t="shared" si="5"/>
        <v/>
      </c>
      <c r="D341" s="37"/>
    </row>
    <row r="342" spans="1:4">
      <c r="A342" s="257"/>
      <c r="B342" s="88" t="str">
        <f>IF(A342="","",IFERROR(_xlfn.XLOOKUP(A342,BoQ!B:B,BoQ!D:D),""))</f>
        <v/>
      </c>
      <c r="C342" s="103" t="str">
        <f t="shared" si="5"/>
        <v/>
      </c>
      <c r="D342" s="37"/>
    </row>
    <row r="343" spans="1:4">
      <c r="A343" s="257"/>
      <c r="B343" s="88" t="str">
        <f>IF(A343="","",IFERROR(_xlfn.XLOOKUP(A343,BoQ!B:B,BoQ!D:D),""))</f>
        <v/>
      </c>
      <c r="C343" s="103" t="str">
        <f t="shared" si="5"/>
        <v/>
      </c>
      <c r="D343" s="37"/>
    </row>
    <row r="344" spans="1:4">
      <c r="A344" s="257"/>
      <c r="B344" s="88" t="str">
        <f>IF(A344="","",IFERROR(_xlfn.XLOOKUP(A344,BoQ!B:B,BoQ!D:D),""))</f>
        <v/>
      </c>
      <c r="C344" s="103" t="str">
        <f t="shared" si="5"/>
        <v/>
      </c>
      <c r="D344" s="37"/>
    </row>
    <row r="345" spans="1:4">
      <c r="A345" s="257"/>
      <c r="B345" s="88" t="str">
        <f>IF(A345="","",IFERROR(_xlfn.XLOOKUP(A345,BoQ!B:B,BoQ!D:D),""))</f>
        <v/>
      </c>
      <c r="C345" s="103" t="str">
        <f t="shared" si="5"/>
        <v/>
      </c>
      <c r="D345" s="37"/>
    </row>
    <row r="346" spans="1:4">
      <c r="A346" s="257"/>
      <c r="B346" s="88" t="str">
        <f>IF(A346="","",IFERROR(_xlfn.XLOOKUP(A346,BoQ!B:B,BoQ!D:D),""))</f>
        <v/>
      </c>
      <c r="C346" s="103" t="str">
        <f t="shared" si="5"/>
        <v/>
      </c>
      <c r="D346" s="37"/>
    </row>
    <row r="347" spans="1:4">
      <c r="A347" s="257"/>
      <c r="B347" s="88" t="str">
        <f>IF(A347="","",IFERROR(_xlfn.XLOOKUP(A347,BoQ!B:B,BoQ!D:D),""))</f>
        <v/>
      </c>
      <c r="C347" s="103" t="str">
        <f t="shared" si="5"/>
        <v/>
      </c>
      <c r="D347" s="37"/>
    </row>
    <row r="348" spans="1:4">
      <c r="A348" s="257"/>
      <c r="B348" s="88" t="str">
        <f>IF(A348="","",IFERROR(_xlfn.XLOOKUP(A348,BoQ!B:B,BoQ!D:D),""))</f>
        <v/>
      </c>
      <c r="C348" s="103" t="str">
        <f t="shared" si="5"/>
        <v/>
      </c>
      <c r="D348" s="37"/>
    </row>
    <row r="349" spans="1:4">
      <c r="A349" s="257"/>
      <c r="B349" s="88" t="str">
        <f>IF(A349="","",IFERROR(_xlfn.XLOOKUP(A349,BoQ!B:B,BoQ!D:D),""))</f>
        <v/>
      </c>
      <c r="C349" s="103" t="str">
        <f t="shared" si="5"/>
        <v/>
      </c>
      <c r="D349" s="37"/>
    </row>
    <row r="350" spans="1:4">
      <c r="A350" s="257"/>
      <c r="B350" s="88" t="str">
        <f>IF(A350="","",IFERROR(_xlfn.XLOOKUP(A350,BoQ!B:B,BoQ!D:D),""))</f>
        <v/>
      </c>
      <c r="C350" s="103" t="str">
        <f t="shared" si="5"/>
        <v/>
      </c>
      <c r="D350" s="37"/>
    </row>
    <row r="351" spans="1:4">
      <c r="A351" s="257"/>
      <c r="B351" s="88" t="str">
        <f>IF(A351="","",IFERROR(_xlfn.XLOOKUP(A351,BoQ!B:B,BoQ!D:D),""))</f>
        <v/>
      </c>
      <c r="C351" s="103" t="str">
        <f t="shared" si="5"/>
        <v/>
      </c>
      <c r="D351" s="37"/>
    </row>
    <row r="352" spans="1:4">
      <c r="A352" s="257"/>
      <c r="B352" s="88" t="str">
        <f>IF(A352="","",IFERROR(_xlfn.XLOOKUP(A352,BoQ!B:B,BoQ!D:D),""))</f>
        <v/>
      </c>
      <c r="C352" s="103" t="str">
        <f t="shared" si="5"/>
        <v/>
      </c>
      <c r="D352" s="37"/>
    </row>
    <row r="353" spans="1:4">
      <c r="A353" s="257"/>
      <c r="B353" s="88" t="str">
        <f>IF(A353="","",IFERROR(_xlfn.XLOOKUP(A353,BoQ!B:B,BoQ!D:D),""))</f>
        <v/>
      </c>
      <c r="C353" s="103" t="str">
        <f t="shared" si="5"/>
        <v/>
      </c>
      <c r="D353" s="37"/>
    </row>
    <row r="354" spans="1:4">
      <c r="A354" s="257"/>
      <c r="B354" s="88" t="str">
        <f>IF(A354="","",IFERROR(_xlfn.XLOOKUP(A354,BoQ!B:B,BoQ!D:D),""))</f>
        <v/>
      </c>
      <c r="C354" s="103" t="str">
        <f t="shared" si="5"/>
        <v/>
      </c>
      <c r="D354" s="37"/>
    </row>
    <row r="355" spans="1:4">
      <c r="A355" s="257"/>
      <c r="B355" s="88" t="str">
        <f>IF(A355="","",IFERROR(_xlfn.XLOOKUP(A355,BoQ!B:B,BoQ!D:D),""))</f>
        <v/>
      </c>
      <c r="C355" s="103" t="str">
        <f t="shared" si="5"/>
        <v/>
      </c>
      <c r="D355" s="37"/>
    </row>
    <row r="356" spans="1:4">
      <c r="A356" s="257"/>
      <c r="B356" s="88" t="str">
        <f>IF(A356="","",IFERROR(_xlfn.XLOOKUP(A356,BoQ!B:B,BoQ!D:D),""))</f>
        <v/>
      </c>
      <c r="C356" s="103" t="str">
        <f t="shared" si="5"/>
        <v/>
      </c>
      <c r="D356" s="37"/>
    </row>
    <row r="357" spans="1:4">
      <c r="A357" s="257"/>
      <c r="B357" s="88" t="str">
        <f>IF(A357="","",IFERROR(_xlfn.XLOOKUP(A357,BoQ!B:B,BoQ!D:D),""))</f>
        <v/>
      </c>
      <c r="C357" s="103" t="str">
        <f t="shared" si="5"/>
        <v/>
      </c>
      <c r="D357" s="37"/>
    </row>
    <row r="358" spans="1:4">
      <c r="A358" s="257"/>
      <c r="B358" s="88" t="str">
        <f>IF(A358="","",IFERROR(_xlfn.XLOOKUP(A358,BoQ!B:B,BoQ!D:D),""))</f>
        <v/>
      </c>
      <c r="C358" s="103" t="str">
        <f t="shared" si="5"/>
        <v/>
      </c>
      <c r="D358" s="37"/>
    </row>
    <row r="359" spans="1:4">
      <c r="A359" s="257"/>
      <c r="B359" s="88" t="str">
        <f>IF(A359="","",IFERROR(_xlfn.XLOOKUP(A359,BoQ!B:B,BoQ!D:D),""))</f>
        <v/>
      </c>
      <c r="C359" s="103" t="str">
        <f t="shared" si="5"/>
        <v/>
      </c>
      <c r="D359" s="37"/>
    </row>
    <row r="360" spans="1:4">
      <c r="A360" s="257"/>
      <c r="B360" s="88" t="str">
        <f>IF(A360="","",IFERROR(_xlfn.XLOOKUP(A360,BoQ!B:B,BoQ!D:D),""))</f>
        <v/>
      </c>
      <c r="C360" s="103" t="str">
        <f t="shared" si="5"/>
        <v/>
      </c>
      <c r="D360" s="37"/>
    </row>
    <row r="361" spans="1:4">
      <c r="A361" s="257"/>
      <c r="B361" s="88" t="str">
        <f>IF(A361="","",IFERROR(_xlfn.XLOOKUP(A361,BoQ!B:B,BoQ!D:D),""))</f>
        <v/>
      </c>
      <c r="C361" s="103" t="str">
        <f t="shared" si="5"/>
        <v/>
      </c>
      <c r="D361" s="37"/>
    </row>
    <row r="362" spans="1:4">
      <c r="A362" s="257"/>
      <c r="B362" s="88" t="str">
        <f>IF(A362="","",IFERROR(_xlfn.XLOOKUP(A362,BoQ!B:B,BoQ!D:D),""))</f>
        <v/>
      </c>
      <c r="C362" s="103" t="str">
        <f t="shared" si="5"/>
        <v/>
      </c>
      <c r="D362" s="37"/>
    </row>
    <row r="363" spans="1:4">
      <c r="A363" s="257"/>
      <c r="B363" s="88" t="str">
        <f>IF(A363="","",IFERROR(_xlfn.XLOOKUP(A363,BoQ!B:B,BoQ!D:D),""))</f>
        <v/>
      </c>
      <c r="C363" s="103" t="str">
        <f t="shared" si="5"/>
        <v/>
      </c>
      <c r="D363" s="37"/>
    </row>
    <row r="364" spans="1:4">
      <c r="A364" s="257"/>
      <c r="B364" s="88" t="str">
        <f>IF(A364="","",IFERROR(_xlfn.XLOOKUP(A364,BoQ!B:B,BoQ!D:D),""))</f>
        <v/>
      </c>
      <c r="C364" s="103" t="str">
        <f t="shared" si="5"/>
        <v/>
      </c>
      <c r="D364" s="37"/>
    </row>
    <row r="365" spans="1:4">
      <c r="A365" s="257"/>
      <c r="B365" s="88" t="str">
        <f>IF(A365="","",IFERROR(_xlfn.XLOOKUP(A365,BoQ!B:B,BoQ!D:D),""))</f>
        <v/>
      </c>
      <c r="C365" s="103" t="str">
        <f t="shared" si="5"/>
        <v/>
      </c>
      <c r="D365" s="37"/>
    </row>
    <row r="366" spans="1:4">
      <c r="A366" s="257"/>
      <c r="B366" s="88" t="str">
        <f>IF(A366="","",IFERROR(_xlfn.XLOOKUP(A366,BoQ!B:B,BoQ!D:D),""))</f>
        <v/>
      </c>
      <c r="C366" s="103" t="str">
        <f t="shared" si="5"/>
        <v/>
      </c>
      <c r="D366" s="37"/>
    </row>
    <row r="367" spans="1:4">
      <c r="A367" s="257"/>
      <c r="B367" s="88" t="str">
        <f>IF(A367="","",IFERROR(_xlfn.XLOOKUP(A367,BoQ!B:B,BoQ!D:D),""))</f>
        <v/>
      </c>
      <c r="C367" s="103" t="str">
        <f t="shared" si="5"/>
        <v/>
      </c>
      <c r="D367" s="37"/>
    </row>
    <row r="368" spans="1:4">
      <c r="A368" s="257"/>
      <c r="B368" s="88" t="str">
        <f>IF(A368="","",IFERROR(_xlfn.XLOOKUP(A368,BoQ!B:B,BoQ!D:D),""))</f>
        <v/>
      </c>
      <c r="C368" s="103" t="str">
        <f t="shared" si="5"/>
        <v/>
      </c>
      <c r="D368" s="37"/>
    </row>
    <row r="369" spans="1:4">
      <c r="A369" s="257"/>
      <c r="B369" s="88" t="str">
        <f>IF(A369="","",IFERROR(_xlfn.XLOOKUP(A369,BoQ!B:B,BoQ!D:D),""))</f>
        <v/>
      </c>
      <c r="C369" s="103" t="str">
        <f t="shared" si="5"/>
        <v/>
      </c>
      <c r="D369" s="37"/>
    </row>
    <row r="370" spans="1:4">
      <c r="A370" s="257"/>
      <c r="B370" s="88" t="str">
        <f>IF(A370="","",IFERROR(_xlfn.XLOOKUP(A370,BoQ!B:B,BoQ!D:D),""))</f>
        <v/>
      </c>
      <c r="C370" s="103" t="str">
        <f t="shared" si="5"/>
        <v/>
      </c>
      <c r="D370" s="37"/>
    </row>
    <row r="371" spans="1:4">
      <c r="A371" s="257"/>
      <c r="B371" s="88" t="str">
        <f>IF(A371="","",IFERROR(_xlfn.XLOOKUP(A371,BoQ!B:B,BoQ!D:D),""))</f>
        <v/>
      </c>
      <c r="C371" s="103" t="str">
        <f t="shared" si="5"/>
        <v/>
      </c>
      <c r="D371" s="37"/>
    </row>
    <row r="372" spans="1:4">
      <c r="A372" s="257"/>
      <c r="B372" s="88" t="str">
        <f>IF(A372="","",IFERROR(_xlfn.XLOOKUP(A372,BoQ!B:B,BoQ!D:D),""))</f>
        <v/>
      </c>
      <c r="C372" s="103" t="str">
        <f t="shared" si="5"/>
        <v/>
      </c>
      <c r="D372" s="37"/>
    </row>
    <row r="373" spans="1:4">
      <c r="A373" s="257"/>
      <c r="B373" s="88" t="str">
        <f>IF(A373="","",IFERROR(_xlfn.XLOOKUP(A373,BoQ!B:B,BoQ!D:D),""))</f>
        <v/>
      </c>
      <c r="C373" s="103" t="str">
        <f t="shared" si="5"/>
        <v/>
      </c>
      <c r="D373" s="37"/>
    </row>
    <row r="374" spans="1:4">
      <c r="A374" s="257"/>
      <c r="B374" s="88" t="str">
        <f>IF(A374="","",IFERROR(_xlfn.XLOOKUP(A374,BoQ!B:B,BoQ!D:D),""))</f>
        <v/>
      </c>
      <c r="C374" s="103" t="str">
        <f t="shared" si="5"/>
        <v/>
      </c>
      <c r="D374" s="37"/>
    </row>
    <row r="375" spans="1:4">
      <c r="A375" s="257"/>
      <c r="B375" s="88" t="str">
        <f>IF(A375="","",IFERROR(_xlfn.XLOOKUP(A375,BoQ!B:B,BoQ!D:D),""))</f>
        <v/>
      </c>
      <c r="C375" s="103" t="str">
        <f t="shared" si="5"/>
        <v/>
      </c>
      <c r="D375" s="37"/>
    </row>
    <row r="376" spans="1:4">
      <c r="A376" s="257"/>
      <c r="B376" s="88" t="str">
        <f>IF(A376="","",IFERROR(_xlfn.XLOOKUP(A376,BoQ!B:B,BoQ!D:D),""))</f>
        <v/>
      </c>
      <c r="C376" s="103" t="str">
        <f t="shared" si="5"/>
        <v/>
      </c>
      <c r="D376" s="37"/>
    </row>
    <row r="377" spans="1:4">
      <c r="A377" s="257"/>
      <c r="B377" s="88" t="str">
        <f>IF(A377="","",IFERROR(_xlfn.XLOOKUP(A377,BoQ!B:B,BoQ!D:D),""))</f>
        <v/>
      </c>
      <c r="C377" s="103" t="str">
        <f t="shared" si="5"/>
        <v/>
      </c>
      <c r="D377" s="37"/>
    </row>
    <row r="378" spans="1:4">
      <c r="A378" s="257"/>
      <c r="B378" s="88" t="str">
        <f>IF(A378="","",IFERROR(_xlfn.XLOOKUP(A378,BoQ!B:B,BoQ!D:D),""))</f>
        <v/>
      </c>
      <c r="C378" s="103" t="str">
        <f t="shared" si="5"/>
        <v/>
      </c>
      <c r="D378" s="37"/>
    </row>
    <row r="379" spans="1:4">
      <c r="A379" s="257"/>
      <c r="B379" s="88" t="str">
        <f>IF(A379="","",IFERROR(_xlfn.XLOOKUP(A379,BoQ!B:B,BoQ!D:D),""))</f>
        <v/>
      </c>
      <c r="C379" s="103" t="str">
        <f t="shared" si="5"/>
        <v/>
      </c>
      <c r="D379" s="37"/>
    </row>
    <row r="380" spans="1:4">
      <c r="A380" s="257"/>
      <c r="B380" s="88" t="str">
        <f>IF(A380="","",IFERROR(_xlfn.XLOOKUP(A380,BoQ!B:B,BoQ!D:D),""))</f>
        <v/>
      </c>
      <c r="C380" s="103" t="str">
        <f t="shared" si="5"/>
        <v/>
      </c>
      <c r="D380" s="37"/>
    </row>
    <row r="381" spans="1:4">
      <c r="A381" s="257"/>
      <c r="B381" s="88" t="str">
        <f>IF(A381="","",IFERROR(_xlfn.XLOOKUP(A381,BoQ!B:B,BoQ!D:D),""))</f>
        <v/>
      </c>
      <c r="C381" s="103" t="str">
        <f t="shared" si="5"/>
        <v/>
      </c>
      <c r="D381" s="37"/>
    </row>
    <row r="382" spans="1:4">
      <c r="A382" s="257"/>
      <c r="B382" s="88" t="str">
        <f>IF(A382="","",IFERROR(_xlfn.XLOOKUP(A382,BoQ!B:B,BoQ!D:D),""))</f>
        <v/>
      </c>
      <c r="C382" s="103" t="str">
        <f t="shared" si="5"/>
        <v/>
      </c>
      <c r="D382" s="37"/>
    </row>
    <row r="383" spans="1:4">
      <c r="A383" s="257"/>
      <c r="B383" s="88" t="str">
        <f>IF(A383="","",IFERROR(_xlfn.XLOOKUP(A383,BoQ!B:B,BoQ!D:D),""))</f>
        <v/>
      </c>
      <c r="C383" s="103" t="str">
        <f t="shared" si="5"/>
        <v/>
      </c>
      <c r="D383" s="37"/>
    </row>
    <row r="384" spans="1:4">
      <c r="A384" s="257"/>
      <c r="B384" s="88" t="str">
        <f>IF(A384="","",IFERROR(_xlfn.XLOOKUP(A384,BoQ!B:B,BoQ!D:D),""))</f>
        <v/>
      </c>
      <c r="C384" s="103" t="str">
        <f t="shared" si="5"/>
        <v/>
      </c>
      <c r="D384" s="37"/>
    </row>
    <row r="385" spans="1:4">
      <c r="A385" s="257"/>
      <c r="B385" s="88" t="str">
        <f>IF(A385="","",IFERROR(_xlfn.XLOOKUP(A385,BoQ!B:B,BoQ!D:D),""))</f>
        <v/>
      </c>
      <c r="C385" s="103" t="str">
        <f t="shared" si="5"/>
        <v/>
      </c>
      <c r="D385" s="37"/>
    </row>
    <row r="386" spans="1:4">
      <c r="A386" s="257"/>
      <c r="B386" s="88" t="str">
        <f>IF(A386="","",IFERROR(_xlfn.XLOOKUP(A386,BoQ!B:B,BoQ!D:D),""))</f>
        <v/>
      </c>
      <c r="C386" s="103" t="str">
        <f t="shared" si="5"/>
        <v/>
      </c>
      <c r="D386" s="37"/>
    </row>
    <row r="387" spans="1:4">
      <c r="A387" s="257"/>
      <c r="B387" s="88" t="str">
        <f>IF(A387="","",IFERROR(_xlfn.XLOOKUP(A387,BoQ!B:B,BoQ!D:D),""))</f>
        <v/>
      </c>
      <c r="C387" s="103" t="str">
        <f t="shared" si="5"/>
        <v/>
      </c>
      <c r="D387" s="37"/>
    </row>
    <row r="388" spans="1:4">
      <c r="A388" s="257"/>
      <c r="B388" s="88" t="str">
        <f>IF(A388="","",IFERROR(_xlfn.XLOOKUP(A388,BoQ!B:B,BoQ!D:D),""))</f>
        <v/>
      </c>
      <c r="C388" s="103" t="str">
        <f t="shared" si="5"/>
        <v/>
      </c>
      <c r="D388" s="37"/>
    </row>
    <row r="389" spans="1:4">
      <c r="A389" s="257"/>
      <c r="B389" s="88" t="str">
        <f>IF(A389="","",IFERROR(_xlfn.XLOOKUP(A389,BoQ!B:B,BoQ!D:D),""))</f>
        <v/>
      </c>
      <c r="C389" s="103" t="str">
        <f t="shared" si="5"/>
        <v/>
      </c>
      <c r="D389" s="37"/>
    </row>
    <row r="390" spans="1:4">
      <c r="A390" s="257"/>
      <c r="B390" s="88" t="str">
        <f>IF(A390="","",IFERROR(_xlfn.XLOOKUP(A390,BoQ!B:B,BoQ!D:D),""))</f>
        <v/>
      </c>
      <c r="C390" s="103" t="str">
        <f t="shared" ref="C390:C453" si="6">IF(B390="", "", 600)</f>
        <v/>
      </c>
      <c r="D390" s="37"/>
    </row>
    <row r="391" spans="1:4">
      <c r="A391" s="257"/>
      <c r="B391" s="88" t="str">
        <f>IF(A391="","",IFERROR(_xlfn.XLOOKUP(A391,BoQ!B:B,BoQ!D:D),""))</f>
        <v/>
      </c>
      <c r="C391" s="103" t="str">
        <f t="shared" si="6"/>
        <v/>
      </c>
      <c r="D391" s="37"/>
    </row>
    <row r="392" spans="1:4">
      <c r="A392" s="257"/>
      <c r="B392" s="88" t="str">
        <f>IF(A392="","",IFERROR(_xlfn.XLOOKUP(A392,BoQ!B:B,BoQ!D:D),""))</f>
        <v/>
      </c>
      <c r="C392" s="103" t="str">
        <f t="shared" si="6"/>
        <v/>
      </c>
      <c r="D392" s="37"/>
    </row>
    <row r="393" spans="1:4">
      <c r="A393" s="257"/>
      <c r="B393" s="88" t="str">
        <f>IF(A393="","",IFERROR(_xlfn.XLOOKUP(A393,BoQ!B:B,BoQ!D:D),""))</f>
        <v/>
      </c>
      <c r="C393" s="103" t="str">
        <f t="shared" si="6"/>
        <v/>
      </c>
      <c r="D393" s="37"/>
    </row>
    <row r="394" spans="1:4">
      <c r="A394" s="257"/>
      <c r="B394" s="88" t="str">
        <f>IF(A394="","",IFERROR(_xlfn.XLOOKUP(A394,BoQ!B:B,BoQ!D:D),""))</f>
        <v/>
      </c>
      <c r="C394" s="103" t="str">
        <f t="shared" si="6"/>
        <v/>
      </c>
      <c r="D394" s="37"/>
    </row>
    <row r="395" spans="1:4">
      <c r="A395" s="257"/>
      <c r="B395" s="88" t="str">
        <f>IF(A395="","",IFERROR(_xlfn.XLOOKUP(A395,BoQ!B:B,BoQ!D:D),""))</f>
        <v/>
      </c>
      <c r="C395" s="103" t="str">
        <f t="shared" si="6"/>
        <v/>
      </c>
      <c r="D395" s="37"/>
    </row>
    <row r="396" spans="1:4">
      <c r="A396" s="257"/>
      <c r="B396" s="88" t="str">
        <f>IF(A396="","",IFERROR(_xlfn.XLOOKUP(A396,BoQ!B:B,BoQ!D:D),""))</f>
        <v/>
      </c>
      <c r="C396" s="103" t="str">
        <f t="shared" si="6"/>
        <v/>
      </c>
      <c r="D396" s="37"/>
    </row>
    <row r="397" spans="1:4">
      <c r="A397" s="257"/>
      <c r="B397" s="88" t="str">
        <f>IF(A397="","",IFERROR(_xlfn.XLOOKUP(A397,BoQ!B:B,BoQ!D:D),""))</f>
        <v/>
      </c>
      <c r="C397" s="103" t="str">
        <f t="shared" si="6"/>
        <v/>
      </c>
      <c r="D397" s="37"/>
    </row>
    <row r="398" spans="1:4">
      <c r="A398" s="257"/>
      <c r="B398" s="88" t="str">
        <f>IF(A398="","",IFERROR(_xlfn.XLOOKUP(A398,BoQ!B:B,BoQ!D:D),""))</f>
        <v/>
      </c>
      <c r="C398" s="103" t="str">
        <f t="shared" si="6"/>
        <v/>
      </c>
      <c r="D398" s="37"/>
    </row>
    <row r="399" spans="1:4">
      <c r="A399" s="257"/>
      <c r="B399" s="88" t="str">
        <f>IF(A399="","",IFERROR(_xlfn.XLOOKUP(A399,BoQ!B:B,BoQ!D:D),""))</f>
        <v/>
      </c>
      <c r="C399" s="103" t="str">
        <f t="shared" si="6"/>
        <v/>
      </c>
      <c r="D399" s="37"/>
    </row>
    <row r="400" spans="1:4">
      <c r="A400" s="257"/>
      <c r="B400" s="88" t="str">
        <f>IF(A400="","",IFERROR(_xlfn.XLOOKUP(A400,BoQ!B:B,BoQ!D:D),""))</f>
        <v/>
      </c>
      <c r="C400" s="103" t="str">
        <f t="shared" si="6"/>
        <v/>
      </c>
      <c r="D400" s="37"/>
    </row>
    <row r="401" spans="1:4">
      <c r="A401" s="257"/>
      <c r="B401" s="88" t="str">
        <f>IF(A401="","",IFERROR(_xlfn.XLOOKUP(A401,BoQ!B:B,BoQ!D:D),""))</f>
        <v/>
      </c>
      <c r="C401" s="103" t="str">
        <f t="shared" si="6"/>
        <v/>
      </c>
      <c r="D401" s="37"/>
    </row>
    <row r="402" spans="1:4">
      <c r="A402" s="257"/>
      <c r="B402" s="88" t="str">
        <f>IF(A402="","",IFERROR(_xlfn.XLOOKUP(A402,BoQ!B:B,BoQ!D:D),""))</f>
        <v/>
      </c>
      <c r="C402" s="103" t="str">
        <f t="shared" si="6"/>
        <v/>
      </c>
      <c r="D402" s="37"/>
    </row>
    <row r="403" spans="1:4">
      <c r="A403" s="257"/>
      <c r="B403" s="88" t="str">
        <f>IF(A403="","",IFERROR(_xlfn.XLOOKUP(A403,BoQ!B:B,BoQ!D:D),""))</f>
        <v/>
      </c>
      <c r="C403" s="103" t="str">
        <f t="shared" si="6"/>
        <v/>
      </c>
      <c r="D403" s="37"/>
    </row>
    <row r="404" spans="1:4">
      <c r="A404" s="257"/>
      <c r="B404" s="88" t="str">
        <f>IF(A404="","",IFERROR(_xlfn.XLOOKUP(A404,BoQ!B:B,BoQ!D:D),""))</f>
        <v/>
      </c>
      <c r="C404" s="103" t="str">
        <f t="shared" si="6"/>
        <v/>
      </c>
      <c r="D404" s="37"/>
    </row>
    <row r="405" spans="1:4">
      <c r="A405" s="257"/>
      <c r="B405" s="88" t="str">
        <f>IF(A405="","",IFERROR(_xlfn.XLOOKUP(A405,BoQ!B:B,BoQ!D:D),""))</f>
        <v/>
      </c>
      <c r="C405" s="103" t="str">
        <f t="shared" si="6"/>
        <v/>
      </c>
      <c r="D405" s="37"/>
    </row>
    <row r="406" spans="1:4">
      <c r="A406" s="257"/>
      <c r="B406" s="88" t="str">
        <f>IF(A406="","",IFERROR(_xlfn.XLOOKUP(A406,BoQ!B:B,BoQ!D:D),""))</f>
        <v/>
      </c>
      <c r="C406" s="103" t="str">
        <f t="shared" si="6"/>
        <v/>
      </c>
      <c r="D406" s="37"/>
    </row>
    <row r="407" spans="1:4">
      <c r="A407" s="257"/>
      <c r="B407" s="88" t="str">
        <f>IF(A407="","",IFERROR(_xlfn.XLOOKUP(A407,BoQ!B:B,BoQ!D:D),""))</f>
        <v/>
      </c>
      <c r="C407" s="103" t="str">
        <f t="shared" si="6"/>
        <v/>
      </c>
      <c r="D407" s="37"/>
    </row>
    <row r="408" spans="1:4">
      <c r="A408" s="257"/>
      <c r="B408" s="88" t="str">
        <f>IF(A408="","",IFERROR(_xlfn.XLOOKUP(A408,BoQ!B:B,BoQ!D:D),""))</f>
        <v/>
      </c>
      <c r="C408" s="103" t="str">
        <f t="shared" si="6"/>
        <v/>
      </c>
      <c r="D408" s="37"/>
    </row>
    <row r="409" spans="1:4">
      <c r="A409" s="257"/>
      <c r="B409" s="88" t="str">
        <f>IF(A409="","",IFERROR(_xlfn.XLOOKUP(A409,BoQ!B:B,BoQ!D:D),""))</f>
        <v/>
      </c>
      <c r="C409" s="103" t="str">
        <f t="shared" si="6"/>
        <v/>
      </c>
      <c r="D409" s="37"/>
    </row>
    <row r="410" spans="1:4">
      <c r="A410" s="257"/>
      <c r="B410" s="88" t="str">
        <f>IF(A410="","",IFERROR(_xlfn.XLOOKUP(A410,BoQ!B:B,BoQ!D:D),""))</f>
        <v/>
      </c>
      <c r="C410" s="103" t="str">
        <f t="shared" si="6"/>
        <v/>
      </c>
      <c r="D410" s="37"/>
    </row>
    <row r="411" spans="1:4">
      <c r="A411" s="257"/>
      <c r="B411" s="88" t="str">
        <f>IF(A411="","",IFERROR(_xlfn.XLOOKUP(A411,BoQ!B:B,BoQ!D:D),""))</f>
        <v/>
      </c>
      <c r="C411" s="103" t="str">
        <f t="shared" si="6"/>
        <v/>
      </c>
      <c r="D411" s="37"/>
    </row>
    <row r="412" spans="1:4">
      <c r="A412" s="257"/>
      <c r="B412" s="88" t="str">
        <f>IF(A412="","",IFERROR(_xlfn.XLOOKUP(A412,BoQ!B:B,BoQ!D:D),""))</f>
        <v/>
      </c>
      <c r="C412" s="103" t="str">
        <f t="shared" si="6"/>
        <v/>
      </c>
      <c r="D412" s="37"/>
    </row>
    <row r="413" spans="1:4">
      <c r="A413" s="257"/>
      <c r="B413" s="88" t="str">
        <f>IF(A413="","",IFERROR(_xlfn.XLOOKUP(A413,BoQ!B:B,BoQ!D:D),""))</f>
        <v/>
      </c>
      <c r="C413" s="103" t="str">
        <f t="shared" si="6"/>
        <v/>
      </c>
      <c r="D413" s="37"/>
    </row>
    <row r="414" spans="1:4">
      <c r="A414" s="257"/>
      <c r="B414" s="88" t="str">
        <f>IF(A414="","",IFERROR(_xlfn.XLOOKUP(A414,BoQ!B:B,BoQ!D:D),""))</f>
        <v/>
      </c>
      <c r="C414" s="103" t="str">
        <f t="shared" si="6"/>
        <v/>
      </c>
      <c r="D414" s="37"/>
    </row>
    <row r="415" spans="1:4">
      <c r="A415" s="257"/>
      <c r="B415" s="88" t="str">
        <f>IF(A415="","",IFERROR(_xlfn.XLOOKUP(A415,BoQ!B:B,BoQ!D:D),""))</f>
        <v/>
      </c>
      <c r="C415" s="103" t="str">
        <f t="shared" si="6"/>
        <v/>
      </c>
      <c r="D415" s="37"/>
    </row>
    <row r="416" spans="1:4">
      <c r="A416" s="257"/>
      <c r="B416" s="88" t="str">
        <f>IF(A416="","",IFERROR(_xlfn.XLOOKUP(A416,BoQ!B:B,BoQ!D:D),""))</f>
        <v/>
      </c>
      <c r="C416" s="103" t="str">
        <f t="shared" si="6"/>
        <v/>
      </c>
      <c r="D416" s="37"/>
    </row>
    <row r="417" spans="1:4">
      <c r="A417" s="257"/>
      <c r="B417" s="88" t="str">
        <f>IF(A417="","",IFERROR(_xlfn.XLOOKUP(A417,BoQ!B:B,BoQ!D:D),""))</f>
        <v/>
      </c>
      <c r="C417" s="103" t="str">
        <f t="shared" si="6"/>
        <v/>
      </c>
      <c r="D417" s="37"/>
    </row>
    <row r="418" spans="1:4">
      <c r="A418" s="257"/>
      <c r="B418" s="88" t="str">
        <f>IF(A418="","",IFERROR(_xlfn.XLOOKUP(A418,BoQ!B:B,BoQ!D:D),""))</f>
        <v/>
      </c>
      <c r="C418" s="103" t="str">
        <f t="shared" si="6"/>
        <v/>
      </c>
      <c r="D418" s="37"/>
    </row>
    <row r="419" spans="1:4">
      <c r="A419" s="257"/>
      <c r="B419" s="88" t="str">
        <f>IF(A419="","",IFERROR(_xlfn.XLOOKUP(A419,BoQ!B:B,BoQ!D:D),""))</f>
        <v/>
      </c>
      <c r="C419" s="103" t="str">
        <f t="shared" si="6"/>
        <v/>
      </c>
      <c r="D419" s="37"/>
    </row>
    <row r="420" spans="1:4">
      <c r="A420" s="257"/>
      <c r="B420" s="88" t="str">
        <f>IF(A420="","",IFERROR(_xlfn.XLOOKUP(A420,BoQ!B:B,BoQ!D:D),""))</f>
        <v/>
      </c>
      <c r="C420" s="103" t="str">
        <f t="shared" si="6"/>
        <v/>
      </c>
      <c r="D420" s="37"/>
    </row>
    <row r="421" spans="1:4">
      <c r="A421" s="257"/>
      <c r="B421" s="88" t="str">
        <f>IF(A421="","",IFERROR(_xlfn.XLOOKUP(A421,BoQ!B:B,BoQ!D:D),""))</f>
        <v/>
      </c>
      <c r="C421" s="103" t="str">
        <f t="shared" si="6"/>
        <v/>
      </c>
      <c r="D421" s="37"/>
    </row>
    <row r="422" spans="1:4">
      <c r="A422" s="257"/>
      <c r="B422" s="88" t="str">
        <f>IF(A422="","",IFERROR(_xlfn.XLOOKUP(A422,BoQ!B:B,BoQ!D:D),""))</f>
        <v/>
      </c>
      <c r="C422" s="103" t="str">
        <f t="shared" si="6"/>
        <v/>
      </c>
      <c r="D422" s="37"/>
    </row>
    <row r="423" spans="1:4">
      <c r="A423" s="257"/>
      <c r="B423" s="88" t="str">
        <f>IF(A423="","",IFERROR(_xlfn.XLOOKUP(A423,BoQ!B:B,BoQ!D:D),""))</f>
        <v/>
      </c>
      <c r="C423" s="103" t="str">
        <f t="shared" si="6"/>
        <v/>
      </c>
      <c r="D423" s="37"/>
    </row>
    <row r="424" spans="1:4">
      <c r="A424" s="257"/>
      <c r="B424" s="88" t="str">
        <f>IF(A424="","",IFERROR(_xlfn.XLOOKUP(A424,BoQ!B:B,BoQ!D:D),""))</f>
        <v/>
      </c>
      <c r="C424" s="103" t="str">
        <f t="shared" si="6"/>
        <v/>
      </c>
      <c r="D424" s="37"/>
    </row>
    <row r="425" spans="1:4">
      <c r="A425" s="257"/>
      <c r="B425" s="88" t="str">
        <f>IF(A425="","",IFERROR(_xlfn.XLOOKUP(A425,BoQ!B:B,BoQ!D:D),""))</f>
        <v/>
      </c>
      <c r="C425" s="103" t="str">
        <f t="shared" si="6"/>
        <v/>
      </c>
      <c r="D425" s="37"/>
    </row>
    <row r="426" spans="1:4">
      <c r="A426" s="257"/>
      <c r="B426" s="88" t="str">
        <f>IF(A426="","",IFERROR(_xlfn.XLOOKUP(A426,BoQ!B:B,BoQ!D:D),""))</f>
        <v/>
      </c>
      <c r="C426" s="103" t="str">
        <f t="shared" si="6"/>
        <v/>
      </c>
      <c r="D426" s="37"/>
    </row>
    <row r="427" spans="1:4">
      <c r="A427" s="257"/>
      <c r="B427" s="88" t="str">
        <f>IF(A427="","",IFERROR(_xlfn.XLOOKUP(A427,BoQ!B:B,BoQ!D:D),""))</f>
        <v/>
      </c>
      <c r="C427" s="103" t="str">
        <f t="shared" si="6"/>
        <v/>
      </c>
      <c r="D427" s="37"/>
    </row>
    <row r="428" spans="1:4">
      <c r="A428" s="257"/>
      <c r="B428" s="88" t="str">
        <f>IF(A428="","",IFERROR(_xlfn.XLOOKUP(A428,BoQ!B:B,BoQ!D:D),""))</f>
        <v/>
      </c>
      <c r="C428" s="103" t="str">
        <f t="shared" si="6"/>
        <v/>
      </c>
      <c r="D428" s="37"/>
    </row>
    <row r="429" spans="1:4">
      <c r="A429" s="257"/>
      <c r="B429" s="88" t="str">
        <f>IF(A429="","",IFERROR(_xlfn.XLOOKUP(A429,BoQ!B:B,BoQ!D:D),""))</f>
        <v/>
      </c>
      <c r="C429" s="103" t="str">
        <f t="shared" si="6"/>
        <v/>
      </c>
      <c r="D429" s="37"/>
    </row>
    <row r="430" spans="1:4">
      <c r="A430" s="257"/>
      <c r="B430" s="88" t="str">
        <f>IF(A430="","",IFERROR(_xlfn.XLOOKUP(A430,BoQ!B:B,BoQ!D:D),""))</f>
        <v/>
      </c>
      <c r="C430" s="103" t="str">
        <f t="shared" si="6"/>
        <v/>
      </c>
      <c r="D430" s="37"/>
    </row>
    <row r="431" spans="1:4">
      <c r="A431" s="257"/>
      <c r="B431" s="88" t="str">
        <f>IF(A431="","",IFERROR(_xlfn.XLOOKUP(A431,BoQ!B:B,BoQ!D:D),""))</f>
        <v/>
      </c>
      <c r="C431" s="103" t="str">
        <f t="shared" si="6"/>
        <v/>
      </c>
      <c r="D431" s="37"/>
    </row>
    <row r="432" spans="1:4">
      <c r="A432" s="257"/>
      <c r="B432" s="88" t="str">
        <f>IF(A432="","",IFERROR(_xlfn.XLOOKUP(A432,BoQ!B:B,BoQ!D:D),""))</f>
        <v/>
      </c>
      <c r="C432" s="103" t="str">
        <f t="shared" si="6"/>
        <v/>
      </c>
      <c r="D432" s="37"/>
    </row>
    <row r="433" spans="1:4">
      <c r="A433" s="257"/>
      <c r="B433" s="88" t="str">
        <f>IF(A433="","",IFERROR(_xlfn.XLOOKUP(A433,BoQ!B:B,BoQ!D:D),""))</f>
        <v/>
      </c>
      <c r="C433" s="103" t="str">
        <f t="shared" si="6"/>
        <v/>
      </c>
      <c r="D433" s="37"/>
    </row>
    <row r="434" spans="1:4">
      <c r="A434" s="257"/>
      <c r="B434" s="88" t="str">
        <f>IF(A434="","",IFERROR(_xlfn.XLOOKUP(A434,BoQ!B:B,BoQ!D:D),""))</f>
        <v/>
      </c>
      <c r="C434" s="103" t="str">
        <f t="shared" si="6"/>
        <v/>
      </c>
      <c r="D434" s="37"/>
    </row>
    <row r="435" spans="1:4">
      <c r="A435" s="257"/>
      <c r="B435" s="88" t="str">
        <f>IF(A435="","",IFERROR(_xlfn.XLOOKUP(A435,BoQ!B:B,BoQ!D:D),""))</f>
        <v/>
      </c>
      <c r="C435" s="103" t="str">
        <f t="shared" si="6"/>
        <v/>
      </c>
      <c r="D435" s="37"/>
    </row>
    <row r="436" spans="1:4">
      <c r="A436" s="257"/>
      <c r="B436" s="88" t="str">
        <f>IF(A436="","",IFERROR(_xlfn.XLOOKUP(A436,BoQ!B:B,BoQ!D:D),""))</f>
        <v/>
      </c>
      <c r="C436" s="103" t="str">
        <f t="shared" si="6"/>
        <v/>
      </c>
      <c r="D436" s="37"/>
    </row>
    <row r="437" spans="1:4">
      <c r="A437" s="257"/>
      <c r="B437" s="88" t="str">
        <f>IF(A437="","",IFERROR(_xlfn.XLOOKUP(A437,BoQ!B:B,BoQ!D:D),""))</f>
        <v/>
      </c>
      <c r="C437" s="103" t="str">
        <f t="shared" si="6"/>
        <v/>
      </c>
      <c r="D437" s="37"/>
    </row>
    <row r="438" spans="1:4">
      <c r="A438" s="257"/>
      <c r="B438" s="88" t="str">
        <f>IF(A438="","",IFERROR(_xlfn.XLOOKUP(A438,BoQ!B:B,BoQ!D:D),""))</f>
        <v/>
      </c>
      <c r="C438" s="103" t="str">
        <f t="shared" si="6"/>
        <v/>
      </c>
      <c r="D438" s="37"/>
    </row>
    <row r="439" spans="1:4">
      <c r="A439" s="257"/>
      <c r="B439" s="88" t="str">
        <f>IF(A439="","",IFERROR(_xlfn.XLOOKUP(A439,BoQ!B:B,BoQ!D:D),""))</f>
        <v/>
      </c>
      <c r="C439" s="103" t="str">
        <f t="shared" si="6"/>
        <v/>
      </c>
      <c r="D439" s="37"/>
    </row>
    <row r="440" spans="1:4">
      <c r="A440" s="257"/>
      <c r="B440" s="88" t="str">
        <f>IF(A440="","",IFERROR(_xlfn.XLOOKUP(A440,BoQ!B:B,BoQ!D:D),""))</f>
        <v/>
      </c>
      <c r="C440" s="103" t="str">
        <f t="shared" si="6"/>
        <v/>
      </c>
      <c r="D440" s="37"/>
    </row>
    <row r="441" spans="1:4">
      <c r="A441" s="257"/>
      <c r="B441" s="88" t="str">
        <f>IF(A441="","",IFERROR(_xlfn.XLOOKUP(A441,BoQ!B:B,BoQ!D:D),""))</f>
        <v/>
      </c>
      <c r="C441" s="103" t="str">
        <f t="shared" si="6"/>
        <v/>
      </c>
      <c r="D441" s="37"/>
    </row>
    <row r="442" spans="1:4">
      <c r="A442" s="257"/>
      <c r="B442" s="88" t="str">
        <f>IF(A442="","",IFERROR(_xlfn.XLOOKUP(A442,BoQ!B:B,BoQ!D:D),""))</f>
        <v/>
      </c>
      <c r="C442" s="103" t="str">
        <f t="shared" si="6"/>
        <v/>
      </c>
      <c r="D442" s="37"/>
    </row>
    <row r="443" spans="1:4">
      <c r="A443" s="257"/>
      <c r="B443" s="88" t="str">
        <f>IF(A443="","",IFERROR(_xlfn.XLOOKUP(A443,BoQ!B:B,BoQ!D:D),""))</f>
        <v/>
      </c>
      <c r="C443" s="103" t="str">
        <f t="shared" si="6"/>
        <v/>
      </c>
      <c r="D443" s="37"/>
    </row>
    <row r="444" spans="1:4">
      <c r="A444" s="257"/>
      <c r="B444" s="88" t="str">
        <f>IF(A444="","",IFERROR(_xlfn.XLOOKUP(A444,BoQ!B:B,BoQ!D:D),""))</f>
        <v/>
      </c>
      <c r="C444" s="103" t="str">
        <f t="shared" si="6"/>
        <v/>
      </c>
      <c r="D444" s="37"/>
    </row>
    <row r="445" spans="1:4">
      <c r="A445" s="257"/>
      <c r="B445" s="88" t="str">
        <f>IF(A445="","",IFERROR(_xlfn.XLOOKUP(A445,BoQ!B:B,BoQ!D:D),""))</f>
        <v/>
      </c>
      <c r="C445" s="103" t="str">
        <f t="shared" si="6"/>
        <v/>
      </c>
      <c r="D445" s="37"/>
    </row>
    <row r="446" spans="1:4">
      <c r="A446" s="257"/>
      <c r="B446" s="88" t="str">
        <f>IF(A446="","",IFERROR(_xlfn.XLOOKUP(A446,BoQ!B:B,BoQ!D:D),""))</f>
        <v/>
      </c>
      <c r="C446" s="103" t="str">
        <f t="shared" si="6"/>
        <v/>
      </c>
      <c r="D446" s="37"/>
    </row>
    <row r="447" spans="1:4">
      <c r="A447" s="257"/>
      <c r="B447" s="88" t="str">
        <f>IF(A447="","",IFERROR(_xlfn.XLOOKUP(A447,BoQ!B:B,BoQ!D:D),""))</f>
        <v/>
      </c>
      <c r="C447" s="103" t="str">
        <f t="shared" si="6"/>
        <v/>
      </c>
      <c r="D447" s="37"/>
    </row>
    <row r="448" spans="1:4">
      <c r="A448" s="257"/>
      <c r="B448" s="88" t="str">
        <f>IF(A448="","",IFERROR(_xlfn.XLOOKUP(A448,BoQ!B:B,BoQ!D:D),""))</f>
        <v/>
      </c>
      <c r="C448" s="103" t="str">
        <f t="shared" si="6"/>
        <v/>
      </c>
      <c r="D448" s="37"/>
    </row>
    <row r="449" spans="1:4">
      <c r="A449" s="257"/>
      <c r="B449" s="88" t="str">
        <f>IF(A449="","",IFERROR(_xlfn.XLOOKUP(A449,BoQ!B:B,BoQ!D:D),""))</f>
        <v/>
      </c>
      <c r="C449" s="103" t="str">
        <f t="shared" si="6"/>
        <v/>
      </c>
      <c r="D449" s="37"/>
    </row>
    <row r="450" spans="1:4">
      <c r="A450" s="257"/>
      <c r="B450" s="88" t="str">
        <f>IF(A450="","",IFERROR(_xlfn.XLOOKUP(A450,BoQ!B:B,BoQ!D:D),""))</f>
        <v/>
      </c>
      <c r="C450" s="103" t="str">
        <f t="shared" si="6"/>
        <v/>
      </c>
      <c r="D450" s="37"/>
    </row>
    <row r="451" spans="1:4">
      <c r="A451" s="257"/>
      <c r="B451" s="88" t="str">
        <f>IF(A451="","",IFERROR(_xlfn.XLOOKUP(A451,BoQ!B:B,BoQ!D:D),""))</f>
        <v/>
      </c>
      <c r="C451" s="103" t="str">
        <f t="shared" si="6"/>
        <v/>
      </c>
      <c r="D451" s="37"/>
    </row>
    <row r="452" spans="1:4">
      <c r="A452" s="257"/>
      <c r="B452" s="88" t="str">
        <f>IF(A452="","",IFERROR(_xlfn.XLOOKUP(A452,BoQ!B:B,BoQ!D:D),""))</f>
        <v/>
      </c>
      <c r="C452" s="103" t="str">
        <f t="shared" si="6"/>
        <v/>
      </c>
      <c r="D452" s="37"/>
    </row>
    <row r="453" spans="1:4">
      <c r="A453" s="257"/>
      <c r="B453" s="88" t="str">
        <f>IF(A453="","",IFERROR(_xlfn.XLOOKUP(A453,BoQ!B:B,BoQ!D:D),""))</f>
        <v/>
      </c>
      <c r="C453" s="103" t="str">
        <f t="shared" si="6"/>
        <v/>
      </c>
      <c r="D453" s="37"/>
    </row>
    <row r="454" spans="1:4">
      <c r="A454" s="257"/>
      <c r="B454" s="88" t="str">
        <f>IF(A454="","",IFERROR(_xlfn.XLOOKUP(A454,BoQ!B:B,BoQ!D:D),""))</f>
        <v/>
      </c>
      <c r="C454" s="103" t="str">
        <f t="shared" ref="C454:C462" si="7">IF(B454="", "", 600)</f>
        <v/>
      </c>
      <c r="D454" s="37"/>
    </row>
    <row r="455" spans="1:4">
      <c r="A455" s="257"/>
      <c r="B455" s="88" t="str">
        <f>IF(A455="","",IFERROR(_xlfn.XLOOKUP(A455,BoQ!B:B,BoQ!D:D),""))</f>
        <v/>
      </c>
      <c r="C455" s="103" t="str">
        <f t="shared" si="7"/>
        <v/>
      </c>
      <c r="D455" s="37"/>
    </row>
    <row r="456" spans="1:4">
      <c r="A456" s="257"/>
      <c r="B456" s="88" t="str">
        <f>IF(A456="","",IFERROR(_xlfn.XLOOKUP(A456,BoQ!B:B,BoQ!D:D),""))</f>
        <v/>
      </c>
      <c r="C456" s="103" t="str">
        <f t="shared" si="7"/>
        <v/>
      </c>
      <c r="D456" s="37"/>
    </row>
    <row r="457" spans="1:4">
      <c r="A457" s="257"/>
      <c r="B457" s="88" t="str">
        <f>IF(A457="","",IFERROR(_xlfn.XLOOKUP(A457,BoQ!B:B,BoQ!D:D),""))</f>
        <v/>
      </c>
      <c r="C457" s="103" t="str">
        <f t="shared" si="7"/>
        <v/>
      </c>
      <c r="D457" s="37"/>
    </row>
    <row r="458" spans="1:4">
      <c r="A458" s="257"/>
      <c r="B458" s="88" t="str">
        <f>IF(A458="","",IFERROR(_xlfn.XLOOKUP(A458,BoQ!B:B,BoQ!D:D),""))</f>
        <v/>
      </c>
      <c r="C458" s="103" t="str">
        <f t="shared" si="7"/>
        <v/>
      </c>
      <c r="D458" s="37"/>
    </row>
    <row r="459" spans="1:4">
      <c r="A459" s="257"/>
      <c r="B459" s="88" t="str">
        <f>IF(A459="","",IFERROR(_xlfn.XLOOKUP(A459,BoQ!B:B,BoQ!D:D),""))</f>
        <v/>
      </c>
      <c r="C459" s="103" t="str">
        <f t="shared" si="7"/>
        <v/>
      </c>
      <c r="D459" s="37"/>
    </row>
    <row r="460" spans="1:4">
      <c r="A460" s="257"/>
      <c r="B460" s="88" t="str">
        <f>IF(A460="","",IFERROR(_xlfn.XLOOKUP(A460,BoQ!B:B,BoQ!D:D),""))</f>
        <v/>
      </c>
      <c r="C460" s="103" t="str">
        <f t="shared" si="7"/>
        <v/>
      </c>
      <c r="D460" s="37"/>
    </row>
    <row r="461" spans="1:4">
      <c r="A461" s="257"/>
      <c r="B461" s="88" t="str">
        <f>IF(A461="","",IFERROR(_xlfn.XLOOKUP(A461,BoQ!B:B,BoQ!D:D),""))</f>
        <v/>
      </c>
      <c r="C461" s="103" t="str">
        <f t="shared" si="7"/>
        <v/>
      </c>
      <c r="D461" s="37"/>
    </row>
    <row r="462" spans="1:4">
      <c r="A462" s="257"/>
      <c r="B462" s="88" t="str">
        <f>IF(A462="","",IFERROR(_xlfn.XLOOKUP(A462,BoQ!B:B,BoQ!D:D),""))</f>
        <v/>
      </c>
      <c r="C462" s="103" t="str">
        <f t="shared" si="7"/>
        <v/>
      </c>
      <c r="D462" s="37"/>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992F6-BDE5-4365-8FE5-DF494798FB1A}">
  <sheetPr codeName="Sheet5"/>
  <dimension ref="A1:W1014"/>
  <sheetViews>
    <sheetView zoomScale="90" zoomScaleNormal="90" workbookViewId="0">
      <pane ySplit="10" topLeftCell="A51" activePane="bottomLeft" state="frozen"/>
      <selection pane="bottomLeft" activeCell="F66" sqref="F66"/>
      <selection activeCell="D31" sqref="D31"/>
    </sheetView>
  </sheetViews>
  <sheetFormatPr defaultColWidth="8.85546875" defaultRowHeight="14.45"/>
  <cols>
    <col min="1" max="1" width="10.7109375" customWidth="1"/>
    <col min="2" max="2" width="25.7109375" customWidth="1"/>
    <col min="3" max="3" width="60.7109375" customWidth="1"/>
    <col min="4" max="4" width="10.7109375" style="149" customWidth="1"/>
    <col min="5" max="5" width="56.140625" style="66" customWidth="1"/>
    <col min="6" max="6" width="10.7109375" style="128" customWidth="1"/>
    <col min="7" max="7" width="15.7109375" style="66" customWidth="1"/>
    <col min="8" max="8" width="44.7109375" style="1" customWidth="1"/>
    <col min="9" max="9" width="17.7109375" style="1" customWidth="1" collapsed="1"/>
    <col min="10" max="10" width="24" style="1" customWidth="1"/>
    <col min="11" max="11" width="10.7109375" style="1" customWidth="1"/>
    <col min="12" max="12" width="11.140625" hidden="1" customWidth="1"/>
    <col min="13" max="13" width="11.85546875" style="1" hidden="1" customWidth="1"/>
    <col min="14" max="14" width="10.7109375" customWidth="1"/>
    <col min="15" max="15" width="7.42578125" customWidth="1"/>
    <col min="16" max="16" width="11.28515625" customWidth="1"/>
    <col min="17" max="19" width="13.28515625" customWidth="1"/>
    <col min="20" max="20" width="11.28515625" style="1" customWidth="1"/>
    <col min="21" max="23" width="8.85546875" style="1"/>
  </cols>
  <sheetData>
    <row r="1" spans="1:23" ht="15" customHeight="1">
      <c r="B1" s="161"/>
      <c r="C1" s="127" t="s">
        <v>0</v>
      </c>
      <c r="D1" s="162"/>
      <c r="E1" s="161"/>
      <c r="F1" s="162"/>
      <c r="G1" s="163"/>
      <c r="H1" s="193" t="s">
        <v>1800</v>
      </c>
      <c r="I1" s="179"/>
      <c r="J1" s="179"/>
      <c r="K1" s="179"/>
      <c r="L1" s="163"/>
      <c r="M1" s="179"/>
      <c r="N1" s="198"/>
      <c r="O1" s="153"/>
      <c r="P1" s="153" t="str">
        <f ca="1">IFERROR(IF(AND((BoQ!$N$3&lt;&gt;""),INDIRECT(Aux!$D$1)),"budget",""),"")</f>
        <v/>
      </c>
      <c r="Q1" s="153" t="str">
        <f ca="1">IFERROR(IF(AND((BoQ!$N$3&lt;&gt;""),INDIRECT(Aux!$D$1)),"actual",""),"")</f>
        <v/>
      </c>
      <c r="R1" s="198"/>
      <c r="S1" s="198"/>
      <c r="T1" s="179"/>
      <c r="U1" s="179"/>
      <c r="V1" s="179"/>
      <c r="W1" s="179"/>
    </row>
    <row r="2" spans="1:23" ht="15" customHeight="1">
      <c r="B2" s="66" t="s">
        <v>1801</v>
      </c>
      <c r="D2" s="128"/>
      <c r="G2"/>
      <c r="N2" s="37"/>
      <c r="O2" s="37"/>
      <c r="P2" s="195">
        <f>COUNTA(BoM_Griptel[Quantity])</f>
        <v>0</v>
      </c>
      <c r="Q2" s="195">
        <f>COUNTA(BoM_Griptel[ACT_Qty])</f>
        <v>0</v>
      </c>
      <c r="R2" s="44" t="str">
        <f ca="1">IFERROR(IF(AND((BoQ!$N$3&lt;&gt;""),INDIRECT(Aux!$D$1)),"Number of chosen products",""),"")</f>
        <v/>
      </c>
      <c r="S2" s="44"/>
      <c r="T2" s="183"/>
    </row>
    <row r="3" spans="1:23" ht="15" customHeight="1">
      <c r="B3" s="131" t="s">
        <v>8</v>
      </c>
      <c r="C3" s="79" t="str">
        <f>BoQ!C3</f>
        <v>OneCo Networks AS</v>
      </c>
      <c r="D3" s="132"/>
      <c r="E3" s="164" t="s">
        <v>1802</v>
      </c>
      <c r="F3" s="165" t="s">
        <v>1802</v>
      </c>
      <c r="G3"/>
      <c r="N3" s="37"/>
      <c r="O3" s="194">
        <f>COUNTIF(BoM_Griptel[Currency],"NOK")</f>
        <v>1004</v>
      </c>
      <c r="P3" s="196">
        <f>$O$3-COUNTIF(BoM_Griptel[Total Price NOK],"")</f>
        <v>0</v>
      </c>
      <c r="Q3" s="196">
        <f>$O$3-COUNTIF(BoM_Griptel[Total ACT Price NOK],"")</f>
        <v>0</v>
      </c>
      <c r="R3" s="44" t="str">
        <f ca="1">IFERROR(IF(AND((BoQ!$N$3&lt;&gt;""),INDIRECT(Aux!$D$1)),"Num. of those products with price",""),"")</f>
        <v/>
      </c>
      <c r="S3" s="44"/>
      <c r="T3" s="183"/>
    </row>
    <row r="4" spans="1:23" ht="15" customHeight="1">
      <c r="B4" s="131" t="s">
        <v>11</v>
      </c>
      <c r="C4" s="79" t="str">
        <f>BoQ!C4</f>
        <v>AKH12345</v>
      </c>
      <c r="D4" s="133"/>
      <c r="G4"/>
      <c r="N4" s="37"/>
      <c r="O4" s="103" t="str">
        <f ca="1">IFERROR(IF(AND((BoQ!$N$3&lt;&gt;""),INDIRECT(Aux!$D$1)),"Coeficient for estimating total price:",""),"")</f>
        <v/>
      </c>
      <c r="P4" s="171" t="str">
        <f>IFERROR($P$2/P3,"")</f>
        <v/>
      </c>
      <c r="Q4" s="171" t="str">
        <f>IFERROR($Q$2/Q3,"")</f>
        <v/>
      </c>
      <c r="R4" s="44"/>
      <c r="S4" s="44"/>
      <c r="T4" s="183"/>
    </row>
    <row r="5" spans="1:23" ht="15" customHeight="1">
      <c r="B5" s="131" t="s">
        <v>14</v>
      </c>
      <c r="C5" s="79" t="str">
        <f>BoQ!C5</f>
        <v>Storgata (example)</v>
      </c>
      <c r="D5" s="132"/>
      <c r="G5"/>
      <c r="N5" s="37"/>
      <c r="O5" s="37"/>
      <c r="P5" s="172"/>
      <c r="Q5" s="37"/>
      <c r="R5" s="44"/>
      <c r="S5" s="44"/>
      <c r="T5" s="183"/>
    </row>
    <row r="6" spans="1:23" ht="15" customHeight="1">
      <c r="B6" s="131" t="s">
        <v>17</v>
      </c>
      <c r="C6" s="79" t="str">
        <f>BoQ!C6</f>
        <v>UMML_ (example)</v>
      </c>
      <c r="D6" s="132"/>
      <c r="E6" s="134" t="s">
        <v>1802</v>
      </c>
      <c r="F6" s="135" t="s">
        <v>1802</v>
      </c>
      <c r="G6"/>
      <c r="N6" s="37"/>
      <c r="O6" s="103" t="str">
        <f ca="1">IFERROR(IF(AND((BoQ!$N$3&lt;&gt;""),INDIRECT(Aux!$D$1)),"Total price for products present in pricing file:",""),"")</f>
        <v/>
      </c>
      <c r="P6" s="173" t="str">
        <f ca="1">IFERROR(IF(AND((BoQ!$N$3&lt;&gt;""),INDIRECT(Aux!$D$1)),SUM(BoM_Griptel[Total Price NOK]),""),"")</f>
        <v/>
      </c>
      <c r="Q6" s="173" t="str">
        <f ca="1">IFERROR(IF(AND((BoQ!$N$3&lt;&gt;""),INDIRECT(Aux!$D$1)),SUM(BoM_Griptel[Total ACT Price NOK]),""),"")</f>
        <v/>
      </c>
      <c r="R6" s="44"/>
      <c r="S6" s="44"/>
      <c r="T6" s="183"/>
    </row>
    <row r="7" spans="1:23" ht="15" customHeight="1">
      <c r="B7" s="131" t="s">
        <v>20</v>
      </c>
      <c r="C7" s="79">
        <f>BoQ!C7</f>
        <v>0</v>
      </c>
      <c r="D7" s="132"/>
      <c r="E7" s="134" t="s">
        <v>1802</v>
      </c>
      <c r="F7" s="135" t="s">
        <v>1802</v>
      </c>
      <c r="G7"/>
      <c r="N7" s="37"/>
      <c r="O7" s="103" t="str">
        <f ca="1">IFERROR(IF(AND((BoQ!$N$3&lt;&gt;""),INDIRECT(Aux!$D$1)),"Estimated total price:",""),"")</f>
        <v/>
      </c>
      <c r="P7" s="173" t="str">
        <f ca="1">IFERROR(P6*P4,"")</f>
        <v/>
      </c>
      <c r="Q7" s="173" t="str">
        <f ca="1">IFERROR(Q6*Q4,"")</f>
        <v/>
      </c>
      <c r="R7" s="44"/>
      <c r="S7" s="44"/>
      <c r="T7" s="183"/>
    </row>
    <row r="8" spans="1:23" ht="15" customHeight="1">
      <c r="B8" s="131" t="s">
        <v>21</v>
      </c>
      <c r="C8" s="104">
        <f>BoQ!C8</f>
        <v>0</v>
      </c>
      <c r="D8" s="136"/>
      <c r="E8" s="134"/>
      <c r="F8" s="135"/>
      <c r="G8"/>
      <c r="M8" s="180"/>
      <c r="N8" s="44"/>
      <c r="O8" s="44"/>
      <c r="P8" s="44"/>
      <c r="Q8" s="44"/>
      <c r="R8" s="44"/>
      <c r="S8" s="44"/>
      <c r="T8" s="183"/>
    </row>
    <row r="9" spans="1:23" ht="15" customHeight="1">
      <c r="B9" s="166"/>
      <c r="C9" s="166"/>
      <c r="D9" s="167"/>
      <c r="E9" s="168"/>
      <c r="F9" s="167"/>
      <c r="G9" s="168"/>
      <c r="H9" s="181"/>
      <c r="I9" s="181"/>
      <c r="J9" s="181"/>
      <c r="K9" s="181"/>
      <c r="L9" s="166"/>
      <c r="M9" s="181"/>
      <c r="N9" s="152"/>
      <c r="O9" s="152"/>
      <c r="P9" s="152"/>
      <c r="Q9" s="153"/>
      <c r="R9" s="153"/>
      <c r="S9" s="153"/>
      <c r="T9" s="179"/>
      <c r="U9" s="179"/>
      <c r="V9" s="179"/>
      <c r="W9" s="179"/>
    </row>
    <row r="10" spans="1:23" ht="30.75" customHeight="1">
      <c r="A10" s="138" t="s">
        <v>23</v>
      </c>
      <c r="B10" s="139" t="s">
        <v>24</v>
      </c>
      <c r="C10" s="140" t="s">
        <v>25</v>
      </c>
      <c r="D10" s="140" t="s">
        <v>26</v>
      </c>
      <c r="E10" s="140" t="s">
        <v>27</v>
      </c>
      <c r="F10" s="140" t="s">
        <v>28</v>
      </c>
      <c r="G10" s="140" t="s">
        <v>29</v>
      </c>
      <c r="H10" s="187" t="s">
        <v>30</v>
      </c>
      <c r="I10" s="187" t="s">
        <v>31</v>
      </c>
      <c r="J10" s="187" t="s">
        <v>32</v>
      </c>
      <c r="K10" s="187" t="s">
        <v>33</v>
      </c>
      <c r="L10" s="141" t="s">
        <v>34</v>
      </c>
      <c r="M10" s="182" t="s">
        <v>35</v>
      </c>
      <c r="N10" s="142" t="s">
        <v>36</v>
      </c>
      <c r="O10" s="142" t="s">
        <v>37</v>
      </c>
      <c r="P10" s="142" t="s">
        <v>38</v>
      </c>
      <c r="Q10" s="142" t="s">
        <v>39</v>
      </c>
      <c r="R10" s="142" t="s">
        <v>40</v>
      </c>
      <c r="S10" s="142" t="s">
        <v>41</v>
      </c>
      <c r="T10" s="184" t="s">
        <v>42</v>
      </c>
      <c r="U10" s="72" t="s">
        <v>44</v>
      </c>
      <c r="V10" s="72" t="s">
        <v>45</v>
      </c>
      <c r="W10" s="72" t="s">
        <v>46</v>
      </c>
    </row>
    <row r="11" spans="1:23" ht="15" customHeight="1">
      <c r="A11" s="143" t="str">
        <f t="shared" ref="A11:A76" si="0">IF($C$4&lt;&gt;"",$C$4,"")</f>
        <v>AKH12345</v>
      </c>
      <c r="B11" s="144" t="s">
        <v>1803</v>
      </c>
      <c r="C11" s="143" t="s">
        <v>1804</v>
      </c>
      <c r="D11" s="105"/>
      <c r="E11" s="106"/>
      <c r="F11" s="105"/>
      <c r="G11" s="106"/>
      <c r="H11" s="175"/>
      <c r="I11" s="176" t="s">
        <v>847</v>
      </c>
      <c r="J11" s="176" t="s">
        <v>1805</v>
      </c>
      <c r="K11" s="176" t="s">
        <v>1235</v>
      </c>
      <c r="L11" s="145" t="s">
        <v>1806</v>
      </c>
      <c r="M11" s="45" t="str">
        <f t="shared" ref="M11:M76" si="1">IF($C$3&lt;&gt;"",$C$3,"")</f>
        <v>OneCo Networks AS</v>
      </c>
      <c r="N11" s="40" t="str">
        <f ca="1">IFERROR(
VLOOKUP(BoM_Griptel[[#This Row],[Product code]],
IF(AND((BoQ!$N$3&lt;&gt;""),OR(BoM_Griptel[[#This Row],[Vendor]]="Griptel",BoM_Griptel[[#This Row],[Vendor]]="Solar")),INDIRECT(Aux!$A$1)),4,FALSE),"")</f>
        <v/>
      </c>
      <c r="O11" s="169" t="s">
        <v>1807</v>
      </c>
      <c r="P11" s="41" t="str">
        <f>IFERROR(IF(AND(BoM_Griptel[[#This Row],[Quantity]]&lt;&gt;"",BoM_Griptel[[#This Row],[Currency]]="NOK"),BoM_Griptel[[#This Row],[Quantity]]*BoM_Griptel[[#This Row],[Unit Price]],""),"")</f>
        <v/>
      </c>
      <c r="Q11" s="41" t="str">
        <f>IFERROR(IF(AND(BoM_Griptel[[#This Row],[ACT_Qty]]&lt;&gt;"",BoM_Griptel[[#This Row],[Currency]]="NOK"),BoM_Griptel[[#This Row],[ACT_Qty]]*BoM_Griptel[[#This Row],[Unit Price]],""),"")</f>
        <v/>
      </c>
      <c r="R11" s="41" t="str">
        <f>IFERROR(IF(AND(BoM_Griptel[[#This Row],[Quantity]]&lt;&gt;"",BoM_Griptel[[#This Row],[Currency]]="EUR"),BoM_Griptel[[#This Row],[Quantity]]*BoM_Griptel[[#This Row],[Unit Price]],""),"")</f>
        <v/>
      </c>
      <c r="S11" s="41" t="str">
        <f>IFERROR(IF(AND(BoM_Griptel[[#This Row],[ACT_Qty]]&lt;&gt;"",BoM_Griptel[[#This Row],[Currency]]="EUR"),BoM_Griptel[[#This Row],[ACT_Qty]]*BoM_Griptel[[#This Row],[Unit Price]],""),"")</f>
        <v/>
      </c>
      <c r="T11" s="185" t="s">
        <v>1802</v>
      </c>
      <c r="U11" s="45"/>
      <c r="V11" s="45"/>
      <c r="W11" s="45"/>
    </row>
    <row r="12" spans="1:23" ht="15" customHeight="1">
      <c r="A12" s="146" t="str">
        <f t="shared" si="0"/>
        <v>AKH12345</v>
      </c>
      <c r="B12" s="147" t="s">
        <v>1808</v>
      </c>
      <c r="C12" s="146" t="s">
        <v>1809</v>
      </c>
      <c r="D12" s="68"/>
      <c r="E12" s="89"/>
      <c r="F12" s="68"/>
      <c r="G12" s="89"/>
      <c r="H12" s="177"/>
      <c r="I12" s="178" t="s">
        <v>847</v>
      </c>
      <c r="J12" s="178" t="s">
        <v>1805</v>
      </c>
      <c r="K12" s="178" t="s">
        <v>1235</v>
      </c>
      <c r="L12" s="148" t="s">
        <v>1806</v>
      </c>
      <c r="M12" s="46" t="str">
        <f t="shared" si="1"/>
        <v>OneCo Networks AS</v>
      </c>
      <c r="N12" s="42" t="str">
        <f ca="1">IFERROR(
VLOOKUP(BoM_Griptel[[#This Row],[Product code]],
IF(AND((BoQ!$N$3&lt;&gt;""),OR(BoM_Griptel[[#This Row],[Vendor]]="Griptel",BoM_Griptel[[#This Row],[Vendor]]="Solar")),INDIRECT(Aux!$A$1)),4,FALSE),"")</f>
        <v/>
      </c>
      <c r="O12" s="170" t="s">
        <v>1807</v>
      </c>
      <c r="P12" s="43" t="str">
        <f>IFERROR(IF(AND(BoM_Griptel[[#This Row],[Quantity]]&lt;&gt;"",BoM_Griptel[[#This Row],[Currency]]="NOK"),BoM_Griptel[[#This Row],[Quantity]]*BoM_Griptel[[#This Row],[Unit Price]],""),"")</f>
        <v/>
      </c>
      <c r="Q12" s="43" t="str">
        <f>IFERROR(IF(AND(BoM_Griptel[[#This Row],[ACT_Qty]]&lt;&gt;"",BoM_Griptel[[#This Row],[Currency]]="NOK"),BoM_Griptel[[#This Row],[ACT_Qty]]*BoM_Griptel[[#This Row],[Unit Price]],""),"")</f>
        <v/>
      </c>
      <c r="R12" s="43" t="str">
        <f>IFERROR(IF(AND(BoM_Griptel[[#This Row],[Quantity]]&lt;&gt;"",BoM_Griptel[[#This Row],[Currency]]="EUR"),BoM_Griptel[[#This Row],[Quantity]]*BoM_Griptel[[#This Row],[Unit Price]],""),"")</f>
        <v/>
      </c>
      <c r="S12" s="43" t="str">
        <f>IFERROR(IF(AND(BoM_Griptel[[#This Row],[ACT_Qty]]&lt;&gt;"",BoM_Griptel[[#This Row],[Currency]]="EUR"),BoM_Griptel[[#This Row],[ACT_Qty]]*BoM_Griptel[[#This Row],[Unit Price]],""),"")</f>
        <v/>
      </c>
      <c r="T12" s="186" t="s">
        <v>1802</v>
      </c>
      <c r="U12" s="46"/>
      <c r="V12" s="46"/>
      <c r="W12" s="46"/>
    </row>
    <row r="13" spans="1:23" ht="15" customHeight="1">
      <c r="A13" s="143" t="str">
        <f t="shared" si="0"/>
        <v>AKH12345</v>
      </c>
      <c r="B13" s="144" t="s">
        <v>1810</v>
      </c>
      <c r="C13" s="143" t="s">
        <v>1811</v>
      </c>
      <c r="D13" s="105"/>
      <c r="E13" s="106"/>
      <c r="F13" s="105"/>
      <c r="G13" s="106"/>
      <c r="H13" s="175"/>
      <c r="I13" s="176" t="s">
        <v>847</v>
      </c>
      <c r="J13" s="176" t="s">
        <v>1805</v>
      </c>
      <c r="K13" s="176" t="s">
        <v>1235</v>
      </c>
      <c r="L13" s="145" t="s">
        <v>1806</v>
      </c>
      <c r="M13" s="45" t="str">
        <f t="shared" si="1"/>
        <v>OneCo Networks AS</v>
      </c>
      <c r="N13" s="40" t="str">
        <f ca="1">IFERROR(
VLOOKUP(BoM_Griptel[[#This Row],[Product code]],
IF(AND((BoQ!$N$3&lt;&gt;""),OR(BoM_Griptel[[#This Row],[Vendor]]="Griptel",BoM_Griptel[[#This Row],[Vendor]]="Solar")),INDIRECT(Aux!$A$1)),4,FALSE),"")</f>
        <v/>
      </c>
      <c r="O13" s="169" t="s">
        <v>1807</v>
      </c>
      <c r="P13" s="41" t="str">
        <f>IFERROR(IF(AND(BoM_Griptel[[#This Row],[Quantity]]&lt;&gt;"",BoM_Griptel[[#This Row],[Currency]]="NOK"),BoM_Griptel[[#This Row],[Quantity]]*BoM_Griptel[[#This Row],[Unit Price]],""),"")</f>
        <v/>
      </c>
      <c r="Q13" s="41" t="str">
        <f>IFERROR(IF(AND(BoM_Griptel[[#This Row],[ACT_Qty]]&lt;&gt;"",BoM_Griptel[[#This Row],[Currency]]="NOK"),BoM_Griptel[[#This Row],[ACT_Qty]]*BoM_Griptel[[#This Row],[Unit Price]],""),"")</f>
        <v/>
      </c>
      <c r="R13" s="41" t="str">
        <f>IFERROR(IF(AND(BoM_Griptel[[#This Row],[Quantity]]&lt;&gt;"",BoM_Griptel[[#This Row],[Currency]]="EUR"),BoM_Griptel[[#This Row],[Quantity]]*BoM_Griptel[[#This Row],[Unit Price]],""),"")</f>
        <v/>
      </c>
      <c r="S13" s="41" t="str">
        <f>IFERROR(IF(AND(BoM_Griptel[[#This Row],[ACT_Qty]]&lt;&gt;"",BoM_Griptel[[#This Row],[Currency]]="EUR"),BoM_Griptel[[#This Row],[ACT_Qty]]*BoM_Griptel[[#This Row],[Unit Price]],""),"")</f>
        <v/>
      </c>
      <c r="T13" s="185" t="s">
        <v>1802</v>
      </c>
      <c r="U13" s="45"/>
      <c r="V13" s="45"/>
      <c r="W13" s="143"/>
    </row>
    <row r="14" spans="1:23" ht="15" customHeight="1">
      <c r="A14" s="146" t="str">
        <f t="shared" si="0"/>
        <v>AKH12345</v>
      </c>
      <c r="B14" s="147" t="s">
        <v>1812</v>
      </c>
      <c r="C14" s="146" t="s">
        <v>1813</v>
      </c>
      <c r="D14" s="68"/>
      <c r="E14" s="89"/>
      <c r="F14" s="68"/>
      <c r="G14" s="89"/>
      <c r="H14" s="177"/>
      <c r="I14" s="178" t="s">
        <v>847</v>
      </c>
      <c r="J14" s="178" t="s">
        <v>1805</v>
      </c>
      <c r="K14" s="178" t="s">
        <v>1235</v>
      </c>
      <c r="L14" s="148" t="s">
        <v>1806</v>
      </c>
      <c r="M14" s="46" t="str">
        <f t="shared" si="1"/>
        <v>OneCo Networks AS</v>
      </c>
      <c r="N14" s="42" t="str">
        <f ca="1">IFERROR(
VLOOKUP(BoM_Griptel[[#This Row],[Product code]],
IF(AND((BoQ!$N$3&lt;&gt;""),OR(BoM_Griptel[[#This Row],[Vendor]]="Griptel",BoM_Griptel[[#This Row],[Vendor]]="Solar")),INDIRECT(Aux!$A$1)),4,FALSE),"")</f>
        <v/>
      </c>
      <c r="O14" s="170" t="s">
        <v>1807</v>
      </c>
      <c r="P14" s="43" t="str">
        <f>IFERROR(IF(AND(BoM_Griptel[[#This Row],[Quantity]]&lt;&gt;"",BoM_Griptel[[#This Row],[Currency]]="NOK"),BoM_Griptel[[#This Row],[Quantity]]*BoM_Griptel[[#This Row],[Unit Price]],""),"")</f>
        <v/>
      </c>
      <c r="Q14" s="43" t="str">
        <f>IFERROR(IF(AND(BoM_Griptel[[#This Row],[ACT_Qty]]&lt;&gt;"",BoM_Griptel[[#This Row],[Currency]]="NOK"),BoM_Griptel[[#This Row],[ACT_Qty]]*BoM_Griptel[[#This Row],[Unit Price]],""),"")</f>
        <v/>
      </c>
      <c r="R14" s="43" t="str">
        <f>IFERROR(IF(AND(BoM_Griptel[[#This Row],[Quantity]]&lt;&gt;"",BoM_Griptel[[#This Row],[Currency]]="EUR"),BoM_Griptel[[#This Row],[Quantity]]*BoM_Griptel[[#This Row],[Unit Price]],""),"")</f>
        <v/>
      </c>
      <c r="S14" s="43" t="str">
        <f>IFERROR(IF(AND(BoM_Griptel[[#This Row],[ACT_Qty]]&lt;&gt;"",BoM_Griptel[[#This Row],[Currency]]="EUR"),BoM_Griptel[[#This Row],[ACT_Qty]]*BoM_Griptel[[#This Row],[Unit Price]],""),"")</f>
        <v/>
      </c>
      <c r="T14" s="186" t="s">
        <v>1802</v>
      </c>
      <c r="U14" s="46"/>
      <c r="V14" s="46"/>
      <c r="W14" s="146"/>
    </row>
    <row r="15" spans="1:23" ht="15" customHeight="1">
      <c r="A15" s="143" t="str">
        <f t="shared" si="0"/>
        <v>AKH12345</v>
      </c>
      <c r="B15" s="144" t="s">
        <v>1814</v>
      </c>
      <c r="C15" s="143" t="s">
        <v>1815</v>
      </c>
      <c r="D15" s="105"/>
      <c r="E15" s="106"/>
      <c r="F15" s="105"/>
      <c r="G15" s="106"/>
      <c r="H15" s="175"/>
      <c r="I15" s="176" t="s">
        <v>847</v>
      </c>
      <c r="J15" s="176" t="s">
        <v>1805</v>
      </c>
      <c r="K15" s="176" t="s">
        <v>1235</v>
      </c>
      <c r="L15" s="145" t="s">
        <v>1806</v>
      </c>
      <c r="M15" s="45" t="str">
        <f t="shared" si="1"/>
        <v>OneCo Networks AS</v>
      </c>
      <c r="N15" s="40" t="str">
        <f ca="1">IFERROR(
VLOOKUP(BoM_Griptel[[#This Row],[Product code]],
IF(AND((BoQ!$N$3&lt;&gt;""),OR(BoM_Griptel[[#This Row],[Vendor]]="Griptel",BoM_Griptel[[#This Row],[Vendor]]="Solar")),INDIRECT(Aux!$A$1)),4,FALSE),"")</f>
        <v/>
      </c>
      <c r="O15" s="169" t="s">
        <v>1807</v>
      </c>
      <c r="P15" s="41" t="str">
        <f>IFERROR(IF(AND(BoM_Griptel[[#This Row],[Quantity]]&lt;&gt;"",BoM_Griptel[[#This Row],[Currency]]="NOK"),BoM_Griptel[[#This Row],[Quantity]]*BoM_Griptel[[#This Row],[Unit Price]],""),"")</f>
        <v/>
      </c>
      <c r="Q15" s="41" t="str">
        <f>IFERROR(IF(AND(BoM_Griptel[[#This Row],[ACT_Qty]]&lt;&gt;"",BoM_Griptel[[#This Row],[Currency]]="NOK"),BoM_Griptel[[#This Row],[ACT_Qty]]*BoM_Griptel[[#This Row],[Unit Price]],""),"")</f>
        <v/>
      </c>
      <c r="R15" s="41" t="str">
        <f>IFERROR(IF(AND(BoM_Griptel[[#This Row],[Quantity]]&lt;&gt;"",BoM_Griptel[[#This Row],[Currency]]="EUR"),BoM_Griptel[[#This Row],[Quantity]]*BoM_Griptel[[#This Row],[Unit Price]],""),"")</f>
        <v/>
      </c>
      <c r="S15" s="41" t="str">
        <f>IFERROR(IF(AND(BoM_Griptel[[#This Row],[ACT_Qty]]&lt;&gt;"",BoM_Griptel[[#This Row],[Currency]]="EUR"),BoM_Griptel[[#This Row],[ACT_Qty]]*BoM_Griptel[[#This Row],[Unit Price]],""),"")</f>
        <v/>
      </c>
      <c r="T15" s="185" t="s">
        <v>1802</v>
      </c>
      <c r="U15" s="45"/>
      <c r="V15" s="45"/>
      <c r="W15" s="143"/>
    </row>
    <row r="16" spans="1:23" ht="15" customHeight="1">
      <c r="A16" s="146" t="str">
        <f t="shared" si="0"/>
        <v>AKH12345</v>
      </c>
      <c r="B16" s="147" t="s">
        <v>1816</v>
      </c>
      <c r="C16" s="146" t="s">
        <v>1817</v>
      </c>
      <c r="D16" s="68"/>
      <c r="E16" s="89"/>
      <c r="F16" s="68"/>
      <c r="G16" s="89"/>
      <c r="H16" s="177"/>
      <c r="I16" s="178" t="s">
        <v>847</v>
      </c>
      <c r="J16" s="178" t="s">
        <v>1805</v>
      </c>
      <c r="K16" s="178" t="s">
        <v>1235</v>
      </c>
      <c r="L16" s="148" t="s">
        <v>1806</v>
      </c>
      <c r="M16" s="46" t="str">
        <f t="shared" si="1"/>
        <v>OneCo Networks AS</v>
      </c>
      <c r="N16" s="42" t="str">
        <f ca="1">IFERROR(
VLOOKUP(BoM_Griptel[[#This Row],[Product code]],
IF(AND((BoQ!$N$3&lt;&gt;""),OR(BoM_Griptel[[#This Row],[Vendor]]="Griptel",BoM_Griptel[[#This Row],[Vendor]]="Solar")),INDIRECT(Aux!$A$1)),4,FALSE),"")</f>
        <v/>
      </c>
      <c r="O16" s="170" t="s">
        <v>1807</v>
      </c>
      <c r="P16" s="43" t="str">
        <f>IFERROR(IF(AND(BoM_Griptel[[#This Row],[Quantity]]&lt;&gt;"",BoM_Griptel[[#This Row],[Currency]]="NOK"),BoM_Griptel[[#This Row],[Quantity]]*BoM_Griptel[[#This Row],[Unit Price]],""),"")</f>
        <v/>
      </c>
      <c r="Q16" s="43" t="str">
        <f>IFERROR(IF(AND(BoM_Griptel[[#This Row],[ACT_Qty]]&lt;&gt;"",BoM_Griptel[[#This Row],[Currency]]="NOK"),BoM_Griptel[[#This Row],[ACT_Qty]]*BoM_Griptel[[#This Row],[Unit Price]],""),"")</f>
        <v/>
      </c>
      <c r="R16" s="43" t="str">
        <f>IFERROR(IF(AND(BoM_Griptel[[#This Row],[Quantity]]&lt;&gt;"",BoM_Griptel[[#This Row],[Currency]]="EUR"),BoM_Griptel[[#This Row],[Quantity]]*BoM_Griptel[[#This Row],[Unit Price]],""),"")</f>
        <v/>
      </c>
      <c r="S16" s="43" t="str">
        <f>IFERROR(IF(AND(BoM_Griptel[[#This Row],[ACT_Qty]]&lt;&gt;"",BoM_Griptel[[#This Row],[Currency]]="EUR"),BoM_Griptel[[#This Row],[ACT_Qty]]*BoM_Griptel[[#This Row],[Unit Price]],""),"")</f>
        <v/>
      </c>
      <c r="T16" s="186" t="s">
        <v>1802</v>
      </c>
      <c r="U16" s="46"/>
      <c r="V16" s="46"/>
      <c r="W16" s="146"/>
    </row>
    <row r="17" spans="1:23" ht="15" customHeight="1">
      <c r="A17" s="143" t="str">
        <f t="shared" si="0"/>
        <v>AKH12345</v>
      </c>
      <c r="B17" s="144" t="s">
        <v>1818</v>
      </c>
      <c r="C17" s="143" t="s">
        <v>1819</v>
      </c>
      <c r="D17" s="105"/>
      <c r="E17" s="106"/>
      <c r="F17" s="105"/>
      <c r="G17" s="106"/>
      <c r="H17" s="175"/>
      <c r="I17" s="176" t="s">
        <v>847</v>
      </c>
      <c r="J17" s="176" t="s">
        <v>1805</v>
      </c>
      <c r="K17" s="176" t="s">
        <v>1235</v>
      </c>
      <c r="L17" s="145" t="s">
        <v>1806</v>
      </c>
      <c r="M17" s="45" t="str">
        <f t="shared" si="1"/>
        <v>OneCo Networks AS</v>
      </c>
      <c r="N17" s="40" t="str">
        <f ca="1">IFERROR(
VLOOKUP(BoM_Griptel[[#This Row],[Product code]],
IF(AND((BoQ!$N$3&lt;&gt;""),OR(BoM_Griptel[[#This Row],[Vendor]]="Griptel",BoM_Griptel[[#This Row],[Vendor]]="Solar")),INDIRECT(Aux!$A$1)),4,FALSE),"")</f>
        <v/>
      </c>
      <c r="O17" s="169" t="s">
        <v>1807</v>
      </c>
      <c r="P17" s="41" t="str">
        <f>IFERROR(IF(AND(BoM_Griptel[[#This Row],[Quantity]]&lt;&gt;"",BoM_Griptel[[#This Row],[Currency]]="NOK"),BoM_Griptel[[#This Row],[Quantity]]*BoM_Griptel[[#This Row],[Unit Price]],""),"")</f>
        <v/>
      </c>
      <c r="Q17" s="41" t="str">
        <f>IFERROR(IF(AND(BoM_Griptel[[#This Row],[ACT_Qty]]&lt;&gt;"",BoM_Griptel[[#This Row],[Currency]]="NOK"),BoM_Griptel[[#This Row],[ACT_Qty]]*BoM_Griptel[[#This Row],[Unit Price]],""),"")</f>
        <v/>
      </c>
      <c r="R17" s="41" t="str">
        <f>IFERROR(IF(AND(BoM_Griptel[[#This Row],[Quantity]]&lt;&gt;"",BoM_Griptel[[#This Row],[Currency]]="EUR"),BoM_Griptel[[#This Row],[Quantity]]*BoM_Griptel[[#This Row],[Unit Price]],""),"")</f>
        <v/>
      </c>
      <c r="S17" s="41" t="str">
        <f>IFERROR(IF(AND(BoM_Griptel[[#This Row],[ACT_Qty]]&lt;&gt;"",BoM_Griptel[[#This Row],[Currency]]="EUR"),BoM_Griptel[[#This Row],[ACT_Qty]]*BoM_Griptel[[#This Row],[Unit Price]],""),"")</f>
        <v/>
      </c>
      <c r="T17" s="185" t="s">
        <v>1802</v>
      </c>
      <c r="U17" s="45"/>
      <c r="V17" s="45"/>
      <c r="W17" s="143"/>
    </row>
    <row r="18" spans="1:23" ht="15" customHeight="1">
      <c r="A18" s="146" t="str">
        <f t="shared" si="0"/>
        <v>AKH12345</v>
      </c>
      <c r="B18" s="147" t="s">
        <v>1820</v>
      </c>
      <c r="C18" s="146" t="s">
        <v>1821</v>
      </c>
      <c r="D18" s="68"/>
      <c r="E18" s="89"/>
      <c r="F18" s="68"/>
      <c r="G18" s="89"/>
      <c r="H18" s="177"/>
      <c r="I18" s="178" t="s">
        <v>847</v>
      </c>
      <c r="J18" s="178" t="s">
        <v>1805</v>
      </c>
      <c r="K18" s="178" t="s">
        <v>1235</v>
      </c>
      <c r="L18" s="148" t="s">
        <v>1806</v>
      </c>
      <c r="M18" s="46" t="str">
        <f t="shared" si="1"/>
        <v>OneCo Networks AS</v>
      </c>
      <c r="N18" s="42" t="str">
        <f ca="1">IFERROR(
VLOOKUP(BoM_Griptel[[#This Row],[Product code]],
IF(AND((BoQ!$N$3&lt;&gt;""),OR(BoM_Griptel[[#This Row],[Vendor]]="Griptel",BoM_Griptel[[#This Row],[Vendor]]="Solar")),INDIRECT(Aux!$A$1)),4,FALSE),"")</f>
        <v/>
      </c>
      <c r="O18" s="170" t="s">
        <v>1807</v>
      </c>
      <c r="P18" s="43" t="str">
        <f>IFERROR(IF(AND(BoM_Griptel[[#This Row],[Quantity]]&lt;&gt;"",BoM_Griptel[[#This Row],[Currency]]="NOK"),BoM_Griptel[[#This Row],[Quantity]]*BoM_Griptel[[#This Row],[Unit Price]],""),"")</f>
        <v/>
      </c>
      <c r="Q18" s="43" t="str">
        <f>IFERROR(IF(AND(BoM_Griptel[[#This Row],[ACT_Qty]]&lt;&gt;"",BoM_Griptel[[#This Row],[Currency]]="NOK"),BoM_Griptel[[#This Row],[ACT_Qty]]*BoM_Griptel[[#This Row],[Unit Price]],""),"")</f>
        <v/>
      </c>
      <c r="R18" s="43" t="str">
        <f>IFERROR(IF(AND(BoM_Griptel[[#This Row],[Quantity]]&lt;&gt;"",BoM_Griptel[[#This Row],[Currency]]="EUR"),BoM_Griptel[[#This Row],[Quantity]]*BoM_Griptel[[#This Row],[Unit Price]],""),"")</f>
        <v/>
      </c>
      <c r="S18" s="43" t="str">
        <f>IFERROR(IF(AND(BoM_Griptel[[#This Row],[ACT_Qty]]&lt;&gt;"",BoM_Griptel[[#This Row],[Currency]]="EUR"),BoM_Griptel[[#This Row],[ACT_Qty]]*BoM_Griptel[[#This Row],[Unit Price]],""),"")</f>
        <v/>
      </c>
      <c r="T18" s="186" t="s">
        <v>1802</v>
      </c>
      <c r="U18" s="46"/>
      <c r="V18" s="46"/>
      <c r="W18" s="146"/>
    </row>
    <row r="19" spans="1:23" ht="15" customHeight="1">
      <c r="A19" s="143" t="str">
        <f t="shared" si="0"/>
        <v>AKH12345</v>
      </c>
      <c r="B19" s="144" t="s">
        <v>1822</v>
      </c>
      <c r="C19" s="143" t="s">
        <v>1823</v>
      </c>
      <c r="D19" s="105"/>
      <c r="E19" s="106"/>
      <c r="F19" s="105"/>
      <c r="G19" s="106"/>
      <c r="H19" s="175"/>
      <c r="I19" s="176" t="s">
        <v>847</v>
      </c>
      <c r="J19" s="176" t="s">
        <v>1805</v>
      </c>
      <c r="K19" s="176" t="s">
        <v>1235</v>
      </c>
      <c r="L19" s="145" t="s">
        <v>1806</v>
      </c>
      <c r="M19" s="45" t="str">
        <f t="shared" si="1"/>
        <v>OneCo Networks AS</v>
      </c>
      <c r="N19" s="40" t="str">
        <f ca="1">IFERROR(
VLOOKUP(BoM_Griptel[[#This Row],[Product code]],
IF(AND((BoQ!$N$3&lt;&gt;""),OR(BoM_Griptel[[#This Row],[Vendor]]="Griptel",BoM_Griptel[[#This Row],[Vendor]]="Solar")),INDIRECT(Aux!$A$1)),4,FALSE),"")</f>
        <v/>
      </c>
      <c r="O19" s="169" t="s">
        <v>1807</v>
      </c>
      <c r="P19" s="41" t="str">
        <f>IFERROR(IF(AND(BoM_Griptel[[#This Row],[Quantity]]&lt;&gt;"",BoM_Griptel[[#This Row],[Currency]]="NOK"),BoM_Griptel[[#This Row],[Quantity]]*BoM_Griptel[[#This Row],[Unit Price]],""),"")</f>
        <v/>
      </c>
      <c r="Q19" s="41" t="str">
        <f>IFERROR(IF(AND(BoM_Griptel[[#This Row],[ACT_Qty]]&lt;&gt;"",BoM_Griptel[[#This Row],[Currency]]="NOK"),BoM_Griptel[[#This Row],[ACT_Qty]]*BoM_Griptel[[#This Row],[Unit Price]],""),"")</f>
        <v/>
      </c>
      <c r="R19" s="41" t="str">
        <f>IFERROR(IF(AND(BoM_Griptel[[#This Row],[Quantity]]&lt;&gt;"",BoM_Griptel[[#This Row],[Currency]]="EUR"),BoM_Griptel[[#This Row],[Quantity]]*BoM_Griptel[[#This Row],[Unit Price]],""),"")</f>
        <v/>
      </c>
      <c r="S19" s="41" t="str">
        <f>IFERROR(IF(AND(BoM_Griptel[[#This Row],[ACT_Qty]]&lt;&gt;"",BoM_Griptel[[#This Row],[Currency]]="EUR"),BoM_Griptel[[#This Row],[ACT_Qty]]*BoM_Griptel[[#This Row],[Unit Price]],""),"")</f>
        <v/>
      </c>
      <c r="T19" s="185" t="s">
        <v>1802</v>
      </c>
      <c r="U19" s="45"/>
      <c r="V19" s="45"/>
      <c r="W19" s="143"/>
    </row>
    <row r="20" spans="1:23" ht="15" customHeight="1">
      <c r="A20" s="146" t="str">
        <f t="shared" si="0"/>
        <v>AKH12345</v>
      </c>
      <c r="B20" s="147" t="s">
        <v>1824</v>
      </c>
      <c r="C20" s="146" t="s">
        <v>1825</v>
      </c>
      <c r="D20" s="68"/>
      <c r="E20" s="89"/>
      <c r="F20" s="68"/>
      <c r="G20" s="89"/>
      <c r="H20" s="177"/>
      <c r="I20" s="178" t="s">
        <v>847</v>
      </c>
      <c r="J20" s="178" t="s">
        <v>1805</v>
      </c>
      <c r="K20" s="178" t="s">
        <v>1235</v>
      </c>
      <c r="L20" s="148" t="s">
        <v>1806</v>
      </c>
      <c r="M20" s="46" t="str">
        <f t="shared" si="1"/>
        <v>OneCo Networks AS</v>
      </c>
      <c r="N20" s="42" t="str">
        <f ca="1">IFERROR(
VLOOKUP(BoM_Griptel[[#This Row],[Product code]],
IF(AND((BoQ!$N$3&lt;&gt;""),OR(BoM_Griptel[[#This Row],[Vendor]]="Griptel",BoM_Griptel[[#This Row],[Vendor]]="Solar")),INDIRECT(Aux!$A$1)),4,FALSE),"")</f>
        <v/>
      </c>
      <c r="O20" s="170" t="s">
        <v>1807</v>
      </c>
      <c r="P20" s="43" t="str">
        <f>IFERROR(IF(AND(BoM_Griptel[[#This Row],[Quantity]]&lt;&gt;"",BoM_Griptel[[#This Row],[Currency]]="NOK"),BoM_Griptel[[#This Row],[Quantity]]*BoM_Griptel[[#This Row],[Unit Price]],""),"")</f>
        <v/>
      </c>
      <c r="Q20" s="43" t="str">
        <f>IFERROR(IF(AND(BoM_Griptel[[#This Row],[ACT_Qty]]&lt;&gt;"",BoM_Griptel[[#This Row],[Currency]]="NOK"),BoM_Griptel[[#This Row],[ACT_Qty]]*BoM_Griptel[[#This Row],[Unit Price]],""),"")</f>
        <v/>
      </c>
      <c r="R20" s="43" t="str">
        <f>IFERROR(IF(AND(BoM_Griptel[[#This Row],[Quantity]]&lt;&gt;"",BoM_Griptel[[#This Row],[Currency]]="EUR"),BoM_Griptel[[#This Row],[Quantity]]*BoM_Griptel[[#This Row],[Unit Price]],""),"")</f>
        <v/>
      </c>
      <c r="S20" s="43" t="str">
        <f>IFERROR(IF(AND(BoM_Griptel[[#This Row],[ACT_Qty]]&lt;&gt;"",BoM_Griptel[[#This Row],[Currency]]="EUR"),BoM_Griptel[[#This Row],[ACT_Qty]]*BoM_Griptel[[#This Row],[Unit Price]],""),"")</f>
        <v/>
      </c>
      <c r="T20" s="186" t="s">
        <v>1802</v>
      </c>
      <c r="U20" s="46"/>
      <c r="V20" s="46"/>
      <c r="W20" s="146"/>
    </row>
    <row r="21" spans="1:23" ht="15" customHeight="1">
      <c r="A21" s="143" t="str">
        <f t="shared" si="0"/>
        <v>AKH12345</v>
      </c>
      <c r="B21" s="144" t="s">
        <v>1826</v>
      </c>
      <c r="C21" s="143" t="s">
        <v>1827</v>
      </c>
      <c r="D21" s="105"/>
      <c r="E21" s="106"/>
      <c r="F21" s="105"/>
      <c r="G21" s="106"/>
      <c r="H21" s="175"/>
      <c r="I21" s="176" t="s">
        <v>847</v>
      </c>
      <c r="J21" s="176" t="s">
        <v>1805</v>
      </c>
      <c r="K21" s="176" t="s">
        <v>1235</v>
      </c>
      <c r="L21" s="145" t="s">
        <v>1806</v>
      </c>
      <c r="M21" s="45" t="str">
        <f t="shared" si="1"/>
        <v>OneCo Networks AS</v>
      </c>
      <c r="N21" s="40" t="str">
        <f ca="1">IFERROR(
VLOOKUP(BoM_Griptel[[#This Row],[Product code]],
IF(AND((BoQ!$N$3&lt;&gt;""),OR(BoM_Griptel[[#This Row],[Vendor]]="Griptel",BoM_Griptel[[#This Row],[Vendor]]="Solar")),INDIRECT(Aux!$A$1)),4,FALSE),"")</f>
        <v/>
      </c>
      <c r="O21" s="169" t="s">
        <v>1807</v>
      </c>
      <c r="P21" s="41" t="str">
        <f>IFERROR(IF(AND(BoM_Griptel[[#This Row],[Quantity]]&lt;&gt;"",BoM_Griptel[[#This Row],[Currency]]="NOK"),BoM_Griptel[[#This Row],[Quantity]]*BoM_Griptel[[#This Row],[Unit Price]],""),"")</f>
        <v/>
      </c>
      <c r="Q21" s="41" t="str">
        <f>IFERROR(IF(AND(BoM_Griptel[[#This Row],[ACT_Qty]]&lt;&gt;"",BoM_Griptel[[#This Row],[Currency]]="NOK"),BoM_Griptel[[#This Row],[ACT_Qty]]*BoM_Griptel[[#This Row],[Unit Price]],""),"")</f>
        <v/>
      </c>
      <c r="R21" s="41" t="str">
        <f>IFERROR(IF(AND(BoM_Griptel[[#This Row],[Quantity]]&lt;&gt;"",BoM_Griptel[[#This Row],[Currency]]="EUR"),BoM_Griptel[[#This Row],[Quantity]]*BoM_Griptel[[#This Row],[Unit Price]],""),"")</f>
        <v/>
      </c>
      <c r="S21" s="41" t="str">
        <f>IFERROR(IF(AND(BoM_Griptel[[#This Row],[ACT_Qty]]&lt;&gt;"",BoM_Griptel[[#This Row],[Currency]]="EUR"),BoM_Griptel[[#This Row],[ACT_Qty]]*BoM_Griptel[[#This Row],[Unit Price]],""),"")</f>
        <v/>
      </c>
      <c r="T21" s="185" t="s">
        <v>1802</v>
      </c>
      <c r="U21" s="45"/>
      <c r="V21" s="45"/>
      <c r="W21" s="143"/>
    </row>
    <row r="22" spans="1:23" ht="15" customHeight="1">
      <c r="A22" s="146" t="str">
        <f t="shared" si="0"/>
        <v>AKH12345</v>
      </c>
      <c r="B22" s="147" t="s">
        <v>1828</v>
      </c>
      <c r="C22" s="146" t="s">
        <v>1829</v>
      </c>
      <c r="D22" s="68"/>
      <c r="E22" s="89"/>
      <c r="F22" s="68"/>
      <c r="G22" s="89"/>
      <c r="H22" s="177"/>
      <c r="I22" s="178" t="s">
        <v>847</v>
      </c>
      <c r="J22" s="178" t="s">
        <v>1805</v>
      </c>
      <c r="K22" s="178" t="s">
        <v>1235</v>
      </c>
      <c r="L22" s="148" t="s">
        <v>1806</v>
      </c>
      <c r="M22" s="46" t="str">
        <f t="shared" si="1"/>
        <v>OneCo Networks AS</v>
      </c>
      <c r="N22" s="42" t="str">
        <f ca="1">IFERROR(
VLOOKUP(BoM_Griptel[[#This Row],[Product code]],
IF(AND((BoQ!$N$3&lt;&gt;""),OR(BoM_Griptel[[#This Row],[Vendor]]="Griptel",BoM_Griptel[[#This Row],[Vendor]]="Solar")),INDIRECT(Aux!$A$1)),4,FALSE),"")</f>
        <v/>
      </c>
      <c r="O22" s="170" t="s">
        <v>1807</v>
      </c>
      <c r="P22" s="43" t="str">
        <f>IFERROR(IF(AND(BoM_Griptel[[#This Row],[Quantity]]&lt;&gt;"",BoM_Griptel[[#This Row],[Currency]]="NOK"),BoM_Griptel[[#This Row],[Quantity]]*BoM_Griptel[[#This Row],[Unit Price]],""),"")</f>
        <v/>
      </c>
      <c r="Q22" s="43" t="str">
        <f>IFERROR(IF(AND(BoM_Griptel[[#This Row],[ACT_Qty]]&lt;&gt;"",BoM_Griptel[[#This Row],[Currency]]="NOK"),BoM_Griptel[[#This Row],[ACT_Qty]]*BoM_Griptel[[#This Row],[Unit Price]],""),"")</f>
        <v/>
      </c>
      <c r="R22" s="43" t="str">
        <f>IFERROR(IF(AND(BoM_Griptel[[#This Row],[Quantity]]&lt;&gt;"",BoM_Griptel[[#This Row],[Currency]]="EUR"),BoM_Griptel[[#This Row],[Quantity]]*BoM_Griptel[[#This Row],[Unit Price]],""),"")</f>
        <v/>
      </c>
      <c r="S22" s="43" t="str">
        <f>IFERROR(IF(AND(BoM_Griptel[[#This Row],[ACT_Qty]]&lt;&gt;"",BoM_Griptel[[#This Row],[Currency]]="EUR"),BoM_Griptel[[#This Row],[ACT_Qty]]*BoM_Griptel[[#This Row],[Unit Price]],""),"")</f>
        <v/>
      </c>
      <c r="T22" s="186" t="s">
        <v>1802</v>
      </c>
      <c r="U22" s="46"/>
      <c r="V22" s="46"/>
      <c r="W22" s="146"/>
    </row>
    <row r="23" spans="1:23" ht="15" customHeight="1">
      <c r="A23" s="143" t="str">
        <f t="shared" si="0"/>
        <v>AKH12345</v>
      </c>
      <c r="B23" s="144" t="s">
        <v>1830</v>
      </c>
      <c r="C23" s="143" t="s">
        <v>1827</v>
      </c>
      <c r="D23" s="105"/>
      <c r="E23" s="106"/>
      <c r="F23" s="105"/>
      <c r="G23" s="106"/>
      <c r="H23" s="175"/>
      <c r="I23" s="176" t="s">
        <v>847</v>
      </c>
      <c r="J23" s="176" t="s">
        <v>1805</v>
      </c>
      <c r="K23" s="176" t="s">
        <v>1235</v>
      </c>
      <c r="L23" s="145" t="s">
        <v>1806</v>
      </c>
      <c r="M23" s="45" t="str">
        <f t="shared" si="1"/>
        <v>OneCo Networks AS</v>
      </c>
      <c r="N23" s="40" t="str">
        <f ca="1">IFERROR(
VLOOKUP(BoM_Griptel[[#This Row],[Product code]],
IF(AND((BoQ!$N$3&lt;&gt;""),OR(BoM_Griptel[[#This Row],[Vendor]]="Griptel",BoM_Griptel[[#This Row],[Vendor]]="Solar")),INDIRECT(Aux!$A$1)),4,FALSE),"")</f>
        <v/>
      </c>
      <c r="O23" s="169" t="s">
        <v>1807</v>
      </c>
      <c r="P23" s="41" t="str">
        <f>IFERROR(IF(AND(BoM_Griptel[[#This Row],[Quantity]]&lt;&gt;"",BoM_Griptel[[#This Row],[Currency]]="NOK"),BoM_Griptel[[#This Row],[Quantity]]*BoM_Griptel[[#This Row],[Unit Price]],""),"")</f>
        <v/>
      </c>
      <c r="Q23" s="41" t="str">
        <f>IFERROR(IF(AND(BoM_Griptel[[#This Row],[ACT_Qty]]&lt;&gt;"",BoM_Griptel[[#This Row],[Currency]]="NOK"),BoM_Griptel[[#This Row],[ACT_Qty]]*BoM_Griptel[[#This Row],[Unit Price]],""),"")</f>
        <v/>
      </c>
      <c r="R23" s="41" t="str">
        <f>IFERROR(IF(AND(BoM_Griptel[[#This Row],[Quantity]]&lt;&gt;"",BoM_Griptel[[#This Row],[Currency]]="EUR"),BoM_Griptel[[#This Row],[Quantity]]*BoM_Griptel[[#This Row],[Unit Price]],""),"")</f>
        <v/>
      </c>
      <c r="S23" s="41" t="str">
        <f>IFERROR(IF(AND(BoM_Griptel[[#This Row],[ACT_Qty]]&lt;&gt;"",BoM_Griptel[[#This Row],[Currency]]="EUR"),BoM_Griptel[[#This Row],[ACT_Qty]]*BoM_Griptel[[#This Row],[Unit Price]],""),"")</f>
        <v/>
      </c>
      <c r="T23" s="185" t="s">
        <v>1802</v>
      </c>
      <c r="U23" s="45"/>
      <c r="V23" s="45"/>
      <c r="W23" s="143"/>
    </row>
    <row r="24" spans="1:23" ht="15" customHeight="1">
      <c r="A24" s="146" t="str">
        <f t="shared" si="0"/>
        <v>AKH12345</v>
      </c>
      <c r="B24" s="147" t="s">
        <v>1831</v>
      </c>
      <c r="C24" s="146" t="s">
        <v>1832</v>
      </c>
      <c r="D24" s="68"/>
      <c r="E24" s="89"/>
      <c r="F24" s="68"/>
      <c r="G24" s="89"/>
      <c r="H24" s="177"/>
      <c r="I24" s="178" t="s">
        <v>847</v>
      </c>
      <c r="J24" s="178" t="s">
        <v>1805</v>
      </c>
      <c r="K24" s="178" t="s">
        <v>1235</v>
      </c>
      <c r="L24" s="148" t="s">
        <v>1806</v>
      </c>
      <c r="M24" s="46" t="str">
        <f t="shared" si="1"/>
        <v>OneCo Networks AS</v>
      </c>
      <c r="N24" s="42" t="str">
        <f ca="1">IFERROR(
VLOOKUP(BoM_Griptel[[#This Row],[Product code]],
IF(AND((BoQ!$N$3&lt;&gt;""),OR(BoM_Griptel[[#This Row],[Vendor]]="Griptel",BoM_Griptel[[#This Row],[Vendor]]="Solar")),INDIRECT(Aux!$A$1)),4,FALSE),"")</f>
        <v/>
      </c>
      <c r="O24" s="170" t="s">
        <v>1807</v>
      </c>
      <c r="P24" s="43" t="str">
        <f>IFERROR(IF(AND(BoM_Griptel[[#This Row],[Quantity]]&lt;&gt;"",BoM_Griptel[[#This Row],[Currency]]="NOK"),BoM_Griptel[[#This Row],[Quantity]]*BoM_Griptel[[#This Row],[Unit Price]],""),"")</f>
        <v/>
      </c>
      <c r="Q24" s="43" t="str">
        <f>IFERROR(IF(AND(BoM_Griptel[[#This Row],[ACT_Qty]]&lt;&gt;"",BoM_Griptel[[#This Row],[Currency]]="NOK"),BoM_Griptel[[#This Row],[ACT_Qty]]*BoM_Griptel[[#This Row],[Unit Price]],""),"")</f>
        <v/>
      </c>
      <c r="R24" s="43" t="str">
        <f>IFERROR(IF(AND(BoM_Griptel[[#This Row],[Quantity]]&lt;&gt;"",BoM_Griptel[[#This Row],[Currency]]="EUR"),BoM_Griptel[[#This Row],[Quantity]]*BoM_Griptel[[#This Row],[Unit Price]],""),"")</f>
        <v/>
      </c>
      <c r="S24" s="43" t="str">
        <f>IFERROR(IF(AND(BoM_Griptel[[#This Row],[ACT_Qty]]&lt;&gt;"",BoM_Griptel[[#This Row],[Currency]]="EUR"),BoM_Griptel[[#This Row],[ACT_Qty]]*BoM_Griptel[[#This Row],[Unit Price]],""),"")</f>
        <v/>
      </c>
      <c r="T24" s="186" t="s">
        <v>1802</v>
      </c>
      <c r="U24" s="46"/>
      <c r="V24" s="46"/>
      <c r="W24" s="146"/>
    </row>
    <row r="25" spans="1:23" ht="15" customHeight="1">
      <c r="A25" s="143" t="str">
        <f t="shared" si="0"/>
        <v>AKH12345</v>
      </c>
      <c r="B25" s="144" t="s">
        <v>1833</v>
      </c>
      <c r="C25" s="143" t="s">
        <v>1834</v>
      </c>
      <c r="D25" s="105"/>
      <c r="E25" s="106"/>
      <c r="F25" s="105"/>
      <c r="G25" s="106"/>
      <c r="H25" s="175"/>
      <c r="I25" s="176" t="s">
        <v>847</v>
      </c>
      <c r="J25" s="176" t="s">
        <v>1805</v>
      </c>
      <c r="K25" s="176" t="s">
        <v>1235</v>
      </c>
      <c r="L25" s="145" t="s">
        <v>1806</v>
      </c>
      <c r="M25" s="45" t="str">
        <f t="shared" si="1"/>
        <v>OneCo Networks AS</v>
      </c>
      <c r="N25" s="40" t="str">
        <f ca="1">IFERROR(
VLOOKUP(BoM_Griptel[[#This Row],[Product code]],
IF(AND((BoQ!$N$3&lt;&gt;""),OR(BoM_Griptel[[#This Row],[Vendor]]="Griptel",BoM_Griptel[[#This Row],[Vendor]]="Solar")),INDIRECT(Aux!$A$1)),4,FALSE),"")</f>
        <v/>
      </c>
      <c r="O25" s="169" t="s">
        <v>1807</v>
      </c>
      <c r="P25" s="41" t="str">
        <f>IFERROR(IF(AND(BoM_Griptel[[#This Row],[Quantity]]&lt;&gt;"",BoM_Griptel[[#This Row],[Currency]]="NOK"),BoM_Griptel[[#This Row],[Quantity]]*BoM_Griptel[[#This Row],[Unit Price]],""),"")</f>
        <v/>
      </c>
      <c r="Q25" s="41" t="str">
        <f>IFERROR(IF(AND(BoM_Griptel[[#This Row],[ACT_Qty]]&lt;&gt;"",BoM_Griptel[[#This Row],[Currency]]="NOK"),BoM_Griptel[[#This Row],[ACT_Qty]]*BoM_Griptel[[#This Row],[Unit Price]],""),"")</f>
        <v/>
      </c>
      <c r="R25" s="41" t="str">
        <f>IFERROR(IF(AND(BoM_Griptel[[#This Row],[Quantity]]&lt;&gt;"",BoM_Griptel[[#This Row],[Currency]]="EUR"),BoM_Griptel[[#This Row],[Quantity]]*BoM_Griptel[[#This Row],[Unit Price]],""),"")</f>
        <v/>
      </c>
      <c r="S25" s="41" t="str">
        <f>IFERROR(IF(AND(BoM_Griptel[[#This Row],[ACT_Qty]]&lt;&gt;"",BoM_Griptel[[#This Row],[Currency]]="EUR"),BoM_Griptel[[#This Row],[ACT_Qty]]*BoM_Griptel[[#This Row],[Unit Price]],""),"")</f>
        <v/>
      </c>
      <c r="T25" s="185" t="s">
        <v>1802</v>
      </c>
      <c r="U25" s="45"/>
      <c r="V25" s="45"/>
      <c r="W25" s="143"/>
    </row>
    <row r="26" spans="1:23" ht="15" customHeight="1">
      <c r="A26" s="146" t="str">
        <f t="shared" si="0"/>
        <v>AKH12345</v>
      </c>
      <c r="B26" s="147" t="s">
        <v>1835</v>
      </c>
      <c r="C26" s="146" t="s">
        <v>1836</v>
      </c>
      <c r="D26" s="68"/>
      <c r="E26" s="89"/>
      <c r="F26" s="68"/>
      <c r="G26" s="89"/>
      <c r="H26" s="177" t="s">
        <v>1082</v>
      </c>
      <c r="I26" s="178" t="s">
        <v>847</v>
      </c>
      <c r="J26" s="178" t="s">
        <v>1837</v>
      </c>
      <c r="K26" s="178" t="s">
        <v>1235</v>
      </c>
      <c r="L26" s="148" t="s">
        <v>1806</v>
      </c>
      <c r="M26" s="46" t="str">
        <f t="shared" si="1"/>
        <v>OneCo Networks AS</v>
      </c>
      <c r="N26" s="42" t="str">
        <f ca="1">IFERROR(
VLOOKUP(BoM_Griptel[[#This Row],[Product code]],
IF(AND((BoQ!$N$3&lt;&gt;""),OR(BoM_Griptel[[#This Row],[Vendor]]="Griptel",BoM_Griptel[[#This Row],[Vendor]]="Solar")),INDIRECT(Aux!$A$1)),4,FALSE),"")</f>
        <v/>
      </c>
      <c r="O26" s="170" t="s">
        <v>1807</v>
      </c>
      <c r="P26" s="43" t="str">
        <f>IFERROR(IF(AND(BoM_Griptel[[#This Row],[Quantity]]&lt;&gt;"",BoM_Griptel[[#This Row],[Currency]]="NOK"),BoM_Griptel[[#This Row],[Quantity]]*BoM_Griptel[[#This Row],[Unit Price]],""),"")</f>
        <v/>
      </c>
      <c r="Q26" s="43" t="str">
        <f>IFERROR(IF(AND(BoM_Griptel[[#This Row],[ACT_Qty]]&lt;&gt;"",BoM_Griptel[[#This Row],[Currency]]="NOK"),BoM_Griptel[[#This Row],[ACT_Qty]]*BoM_Griptel[[#This Row],[Unit Price]],""),"")</f>
        <v/>
      </c>
      <c r="R26" s="43" t="str">
        <f>IFERROR(IF(AND(BoM_Griptel[[#This Row],[Quantity]]&lt;&gt;"",BoM_Griptel[[#This Row],[Currency]]="EUR"),BoM_Griptel[[#This Row],[Quantity]]*BoM_Griptel[[#This Row],[Unit Price]],""),"")</f>
        <v/>
      </c>
      <c r="S26" s="43" t="str">
        <f>IFERROR(IF(AND(BoM_Griptel[[#This Row],[ACT_Qty]]&lt;&gt;"",BoM_Griptel[[#This Row],[Currency]]="EUR"),BoM_Griptel[[#This Row],[ACT_Qty]]*BoM_Griptel[[#This Row],[Unit Price]],""),"")</f>
        <v/>
      </c>
      <c r="T26" s="186" t="s">
        <v>1802</v>
      </c>
      <c r="U26" s="46"/>
      <c r="V26" s="46"/>
      <c r="W26" s="146"/>
    </row>
    <row r="27" spans="1:23" ht="15" customHeight="1">
      <c r="A27" s="143" t="str">
        <f t="shared" si="0"/>
        <v>AKH12345</v>
      </c>
      <c r="B27" s="144" t="s">
        <v>1838</v>
      </c>
      <c r="C27" s="143" t="s">
        <v>1839</v>
      </c>
      <c r="D27" s="105"/>
      <c r="E27" s="106"/>
      <c r="F27" s="105"/>
      <c r="G27" s="106"/>
      <c r="H27" s="175"/>
      <c r="I27" s="176" t="s">
        <v>847</v>
      </c>
      <c r="J27" s="176" t="s">
        <v>1837</v>
      </c>
      <c r="K27" s="176" t="s">
        <v>1235</v>
      </c>
      <c r="L27" s="145" t="s">
        <v>1806</v>
      </c>
      <c r="M27" s="45" t="str">
        <f t="shared" si="1"/>
        <v>OneCo Networks AS</v>
      </c>
      <c r="N27" s="40" t="str">
        <f ca="1">IFERROR(
VLOOKUP(BoM_Griptel[[#This Row],[Product code]],
IF(AND((BoQ!$N$3&lt;&gt;""),OR(BoM_Griptel[[#This Row],[Vendor]]="Griptel",BoM_Griptel[[#This Row],[Vendor]]="Solar")),INDIRECT(Aux!$A$1)),4,FALSE),"")</f>
        <v/>
      </c>
      <c r="O27" s="169" t="s">
        <v>1807</v>
      </c>
      <c r="P27" s="41" t="str">
        <f>IFERROR(IF(AND(BoM_Griptel[[#This Row],[Quantity]]&lt;&gt;"",BoM_Griptel[[#This Row],[Currency]]="NOK"),BoM_Griptel[[#This Row],[Quantity]]*BoM_Griptel[[#This Row],[Unit Price]],""),"")</f>
        <v/>
      </c>
      <c r="Q27" s="41" t="str">
        <f>IFERROR(IF(AND(BoM_Griptel[[#This Row],[ACT_Qty]]&lt;&gt;"",BoM_Griptel[[#This Row],[Currency]]="NOK"),BoM_Griptel[[#This Row],[ACT_Qty]]*BoM_Griptel[[#This Row],[Unit Price]],""),"")</f>
        <v/>
      </c>
      <c r="R27" s="41" t="str">
        <f>IFERROR(IF(AND(BoM_Griptel[[#This Row],[Quantity]]&lt;&gt;"",BoM_Griptel[[#This Row],[Currency]]="EUR"),BoM_Griptel[[#This Row],[Quantity]]*BoM_Griptel[[#This Row],[Unit Price]],""),"")</f>
        <v/>
      </c>
      <c r="S27" s="41" t="str">
        <f>IFERROR(IF(AND(BoM_Griptel[[#This Row],[ACT_Qty]]&lt;&gt;"",BoM_Griptel[[#This Row],[Currency]]="EUR"),BoM_Griptel[[#This Row],[ACT_Qty]]*BoM_Griptel[[#This Row],[Unit Price]],""),"")</f>
        <v/>
      </c>
      <c r="T27" s="185" t="s">
        <v>1802</v>
      </c>
      <c r="U27" s="45"/>
      <c r="V27" s="45"/>
      <c r="W27" s="143"/>
    </row>
    <row r="28" spans="1:23" ht="15" customHeight="1">
      <c r="A28" s="146" t="str">
        <f t="shared" si="0"/>
        <v>AKH12345</v>
      </c>
      <c r="B28" s="147" t="s">
        <v>1840</v>
      </c>
      <c r="C28" s="146" t="s">
        <v>1841</v>
      </c>
      <c r="D28" s="68"/>
      <c r="E28" s="89"/>
      <c r="F28" s="68"/>
      <c r="G28" s="89"/>
      <c r="H28" s="177"/>
      <c r="I28" s="178" t="s">
        <v>847</v>
      </c>
      <c r="J28" s="178" t="s">
        <v>1805</v>
      </c>
      <c r="K28" s="178" t="s">
        <v>1235</v>
      </c>
      <c r="L28" s="148" t="s">
        <v>1806</v>
      </c>
      <c r="M28" s="46" t="str">
        <f t="shared" si="1"/>
        <v>OneCo Networks AS</v>
      </c>
      <c r="N28" s="42" t="str">
        <f ca="1">IFERROR(
VLOOKUP(BoM_Griptel[[#This Row],[Product code]],
IF(AND((BoQ!$N$3&lt;&gt;""),OR(BoM_Griptel[[#This Row],[Vendor]]="Griptel",BoM_Griptel[[#This Row],[Vendor]]="Solar")),INDIRECT(Aux!$A$1)),4,FALSE),"")</f>
        <v/>
      </c>
      <c r="O28" s="170" t="s">
        <v>1807</v>
      </c>
      <c r="P28" s="43" t="str">
        <f>IFERROR(IF(AND(BoM_Griptel[[#This Row],[Quantity]]&lt;&gt;"",BoM_Griptel[[#This Row],[Currency]]="NOK"),BoM_Griptel[[#This Row],[Quantity]]*BoM_Griptel[[#This Row],[Unit Price]],""),"")</f>
        <v/>
      </c>
      <c r="Q28" s="43" t="str">
        <f>IFERROR(IF(AND(BoM_Griptel[[#This Row],[ACT_Qty]]&lt;&gt;"",BoM_Griptel[[#This Row],[Currency]]="NOK"),BoM_Griptel[[#This Row],[ACT_Qty]]*BoM_Griptel[[#This Row],[Unit Price]],""),"")</f>
        <v/>
      </c>
      <c r="R28" s="43" t="str">
        <f>IFERROR(IF(AND(BoM_Griptel[[#This Row],[Quantity]]&lt;&gt;"",BoM_Griptel[[#This Row],[Currency]]="EUR"),BoM_Griptel[[#This Row],[Quantity]]*BoM_Griptel[[#This Row],[Unit Price]],""),"")</f>
        <v/>
      </c>
      <c r="S28" s="43" t="str">
        <f>IFERROR(IF(AND(BoM_Griptel[[#This Row],[ACT_Qty]]&lt;&gt;"",BoM_Griptel[[#This Row],[Currency]]="EUR"),BoM_Griptel[[#This Row],[ACT_Qty]]*BoM_Griptel[[#This Row],[Unit Price]],""),"")</f>
        <v/>
      </c>
      <c r="T28" s="186" t="s">
        <v>1802</v>
      </c>
      <c r="U28" s="46"/>
      <c r="V28" s="46"/>
      <c r="W28" s="146"/>
    </row>
    <row r="29" spans="1:23" ht="15" customHeight="1">
      <c r="A29" s="143" t="str">
        <f t="shared" si="0"/>
        <v>AKH12345</v>
      </c>
      <c r="B29" s="144" t="s">
        <v>1842</v>
      </c>
      <c r="C29" s="143" t="s">
        <v>1843</v>
      </c>
      <c r="D29" s="105"/>
      <c r="E29" s="106"/>
      <c r="F29" s="105"/>
      <c r="G29" s="106"/>
      <c r="H29" s="175"/>
      <c r="I29" s="176" t="s">
        <v>847</v>
      </c>
      <c r="J29" s="176" t="s">
        <v>1844</v>
      </c>
      <c r="K29" s="176" t="s">
        <v>1235</v>
      </c>
      <c r="L29" s="145" t="s">
        <v>1806</v>
      </c>
      <c r="M29" s="45" t="str">
        <f t="shared" si="1"/>
        <v>OneCo Networks AS</v>
      </c>
      <c r="N29" s="40" t="str">
        <f ca="1">IFERROR(
VLOOKUP(BoM_Griptel[[#This Row],[Product code]],
IF(AND((BoQ!$N$3&lt;&gt;""),OR(BoM_Griptel[[#This Row],[Vendor]]="Griptel",BoM_Griptel[[#This Row],[Vendor]]="Solar")),INDIRECT(Aux!$A$1)),4,FALSE),"")</f>
        <v/>
      </c>
      <c r="O29" s="169" t="s">
        <v>1807</v>
      </c>
      <c r="P29" s="41" t="str">
        <f>IFERROR(IF(AND(BoM_Griptel[[#This Row],[Quantity]]&lt;&gt;"",BoM_Griptel[[#This Row],[Currency]]="NOK"),BoM_Griptel[[#This Row],[Quantity]]*BoM_Griptel[[#This Row],[Unit Price]],""),"")</f>
        <v/>
      </c>
      <c r="Q29" s="41" t="str">
        <f>IFERROR(IF(AND(BoM_Griptel[[#This Row],[ACT_Qty]]&lt;&gt;"",BoM_Griptel[[#This Row],[Currency]]="NOK"),BoM_Griptel[[#This Row],[ACT_Qty]]*BoM_Griptel[[#This Row],[Unit Price]],""),"")</f>
        <v/>
      </c>
      <c r="R29" s="41" t="str">
        <f>IFERROR(IF(AND(BoM_Griptel[[#This Row],[Quantity]]&lt;&gt;"",BoM_Griptel[[#This Row],[Currency]]="EUR"),BoM_Griptel[[#This Row],[Quantity]]*BoM_Griptel[[#This Row],[Unit Price]],""),"")</f>
        <v/>
      </c>
      <c r="S29" s="41" t="str">
        <f>IFERROR(IF(AND(BoM_Griptel[[#This Row],[ACT_Qty]]&lt;&gt;"",BoM_Griptel[[#This Row],[Currency]]="EUR"),BoM_Griptel[[#This Row],[ACT_Qty]]*BoM_Griptel[[#This Row],[Unit Price]],""),"")</f>
        <v/>
      </c>
      <c r="T29" s="185" t="s">
        <v>1802</v>
      </c>
      <c r="U29" s="45"/>
      <c r="V29" s="45"/>
      <c r="W29" s="143"/>
    </row>
    <row r="30" spans="1:23" ht="15" customHeight="1">
      <c r="A30" s="146" t="str">
        <f t="shared" si="0"/>
        <v>AKH12345</v>
      </c>
      <c r="B30" s="147" t="s">
        <v>1845</v>
      </c>
      <c r="C30" s="146" t="s">
        <v>1846</v>
      </c>
      <c r="D30" s="68"/>
      <c r="E30" s="89"/>
      <c r="F30" s="68"/>
      <c r="G30" s="89"/>
      <c r="H30" s="177"/>
      <c r="I30" s="178" t="s">
        <v>847</v>
      </c>
      <c r="J30" s="178" t="s">
        <v>1844</v>
      </c>
      <c r="K30" s="178" t="s">
        <v>1235</v>
      </c>
      <c r="L30" s="148" t="s">
        <v>1806</v>
      </c>
      <c r="M30" s="46" t="str">
        <f t="shared" si="1"/>
        <v>OneCo Networks AS</v>
      </c>
      <c r="N30" s="42" t="str">
        <f ca="1">IFERROR(
VLOOKUP(BoM_Griptel[[#This Row],[Product code]],
IF(AND((BoQ!$N$3&lt;&gt;""),OR(BoM_Griptel[[#This Row],[Vendor]]="Griptel",BoM_Griptel[[#This Row],[Vendor]]="Solar")),INDIRECT(Aux!$A$1)),4,FALSE),"")</f>
        <v/>
      </c>
      <c r="O30" s="170" t="s">
        <v>1807</v>
      </c>
      <c r="P30" s="43" t="str">
        <f>IFERROR(IF(AND(BoM_Griptel[[#This Row],[Quantity]]&lt;&gt;"",BoM_Griptel[[#This Row],[Currency]]="NOK"),BoM_Griptel[[#This Row],[Quantity]]*BoM_Griptel[[#This Row],[Unit Price]],""),"")</f>
        <v/>
      </c>
      <c r="Q30" s="43" t="str">
        <f>IFERROR(IF(AND(BoM_Griptel[[#This Row],[ACT_Qty]]&lt;&gt;"",BoM_Griptel[[#This Row],[Currency]]="NOK"),BoM_Griptel[[#This Row],[ACT_Qty]]*BoM_Griptel[[#This Row],[Unit Price]],""),"")</f>
        <v/>
      </c>
      <c r="R30" s="43" t="str">
        <f>IFERROR(IF(AND(BoM_Griptel[[#This Row],[Quantity]]&lt;&gt;"",BoM_Griptel[[#This Row],[Currency]]="EUR"),BoM_Griptel[[#This Row],[Quantity]]*BoM_Griptel[[#This Row],[Unit Price]],""),"")</f>
        <v/>
      </c>
      <c r="S30" s="43" t="str">
        <f>IFERROR(IF(AND(BoM_Griptel[[#This Row],[ACT_Qty]]&lt;&gt;"",BoM_Griptel[[#This Row],[Currency]]="EUR"),BoM_Griptel[[#This Row],[ACT_Qty]]*BoM_Griptel[[#This Row],[Unit Price]],""),"")</f>
        <v/>
      </c>
      <c r="T30" s="186" t="s">
        <v>1802</v>
      </c>
      <c r="U30" s="46"/>
      <c r="V30" s="46"/>
      <c r="W30" s="146"/>
    </row>
    <row r="31" spans="1:23" ht="15" customHeight="1">
      <c r="A31" s="143" t="str">
        <f t="shared" si="0"/>
        <v>AKH12345</v>
      </c>
      <c r="B31" s="144" t="s">
        <v>1847</v>
      </c>
      <c r="C31" s="143" t="s">
        <v>1848</v>
      </c>
      <c r="D31" s="105"/>
      <c r="E31" s="106"/>
      <c r="F31" s="105"/>
      <c r="G31" s="106"/>
      <c r="H31" s="175"/>
      <c r="I31" s="176" t="s">
        <v>847</v>
      </c>
      <c r="J31" s="176" t="s">
        <v>1849</v>
      </c>
      <c r="K31" s="176" t="s">
        <v>1235</v>
      </c>
      <c r="L31" s="145" t="s">
        <v>1806</v>
      </c>
      <c r="M31" s="45" t="str">
        <f t="shared" si="1"/>
        <v>OneCo Networks AS</v>
      </c>
      <c r="N31" s="40" t="str">
        <f ca="1">IFERROR(
VLOOKUP(BoM_Griptel[[#This Row],[Product code]],
IF(AND((BoQ!$N$3&lt;&gt;""),OR(BoM_Griptel[[#This Row],[Vendor]]="Griptel",BoM_Griptel[[#This Row],[Vendor]]="Solar")),INDIRECT(Aux!$A$1)),4,FALSE),"")</f>
        <v/>
      </c>
      <c r="O31" s="169" t="s">
        <v>1807</v>
      </c>
      <c r="P31" s="41" t="str">
        <f>IFERROR(IF(AND(BoM_Griptel[[#This Row],[Quantity]]&lt;&gt;"",BoM_Griptel[[#This Row],[Currency]]="NOK"),BoM_Griptel[[#This Row],[Quantity]]*BoM_Griptel[[#This Row],[Unit Price]],""),"")</f>
        <v/>
      </c>
      <c r="Q31" s="41" t="str">
        <f>IFERROR(IF(AND(BoM_Griptel[[#This Row],[ACT_Qty]]&lt;&gt;"",BoM_Griptel[[#This Row],[Currency]]="NOK"),BoM_Griptel[[#This Row],[ACT_Qty]]*BoM_Griptel[[#This Row],[Unit Price]],""),"")</f>
        <v/>
      </c>
      <c r="R31" s="41" t="str">
        <f>IFERROR(IF(AND(BoM_Griptel[[#This Row],[Quantity]]&lt;&gt;"",BoM_Griptel[[#This Row],[Currency]]="EUR"),BoM_Griptel[[#This Row],[Quantity]]*BoM_Griptel[[#This Row],[Unit Price]],""),"")</f>
        <v/>
      </c>
      <c r="S31" s="41" t="str">
        <f>IFERROR(IF(AND(BoM_Griptel[[#This Row],[ACT_Qty]]&lt;&gt;"",BoM_Griptel[[#This Row],[Currency]]="EUR"),BoM_Griptel[[#This Row],[ACT_Qty]]*BoM_Griptel[[#This Row],[Unit Price]],""),"")</f>
        <v/>
      </c>
      <c r="T31" s="185" t="s">
        <v>1802</v>
      </c>
      <c r="U31" s="45"/>
      <c r="V31" s="45"/>
      <c r="W31" s="143"/>
    </row>
    <row r="32" spans="1:23" ht="15" customHeight="1">
      <c r="A32" s="146" t="str">
        <f t="shared" si="0"/>
        <v>AKH12345</v>
      </c>
      <c r="B32" s="147" t="s">
        <v>1850</v>
      </c>
      <c r="C32" s="146" t="s">
        <v>1851</v>
      </c>
      <c r="D32" s="68"/>
      <c r="E32" s="89"/>
      <c r="F32" s="68"/>
      <c r="G32" s="89"/>
      <c r="H32" s="177"/>
      <c r="I32" s="178" t="s">
        <v>847</v>
      </c>
      <c r="J32" s="178" t="s">
        <v>1852</v>
      </c>
      <c r="K32" s="178" t="s">
        <v>1235</v>
      </c>
      <c r="L32" s="148" t="s">
        <v>1806</v>
      </c>
      <c r="M32" s="46" t="str">
        <f t="shared" si="1"/>
        <v>OneCo Networks AS</v>
      </c>
      <c r="N32" s="42" t="str">
        <f ca="1">IFERROR(
VLOOKUP(BoM_Griptel[[#This Row],[Product code]],
IF(AND((BoQ!$N$3&lt;&gt;""),OR(BoM_Griptel[[#This Row],[Vendor]]="Griptel",BoM_Griptel[[#This Row],[Vendor]]="Solar")),INDIRECT(Aux!$A$1)),4,FALSE),"")</f>
        <v/>
      </c>
      <c r="O32" s="170" t="s">
        <v>1807</v>
      </c>
      <c r="P32" s="43" t="str">
        <f>IFERROR(IF(AND(BoM_Griptel[[#This Row],[Quantity]]&lt;&gt;"",BoM_Griptel[[#This Row],[Currency]]="NOK"),BoM_Griptel[[#This Row],[Quantity]]*BoM_Griptel[[#This Row],[Unit Price]],""),"")</f>
        <v/>
      </c>
      <c r="Q32" s="43" t="str">
        <f>IFERROR(IF(AND(BoM_Griptel[[#This Row],[ACT_Qty]]&lt;&gt;"",BoM_Griptel[[#This Row],[Currency]]="NOK"),BoM_Griptel[[#This Row],[ACT_Qty]]*BoM_Griptel[[#This Row],[Unit Price]],""),"")</f>
        <v/>
      </c>
      <c r="R32" s="43" t="str">
        <f>IFERROR(IF(AND(BoM_Griptel[[#This Row],[Quantity]]&lt;&gt;"",BoM_Griptel[[#This Row],[Currency]]="EUR"),BoM_Griptel[[#This Row],[Quantity]]*BoM_Griptel[[#This Row],[Unit Price]],""),"")</f>
        <v/>
      </c>
      <c r="S32" s="43" t="str">
        <f>IFERROR(IF(AND(BoM_Griptel[[#This Row],[ACT_Qty]]&lt;&gt;"",BoM_Griptel[[#This Row],[Currency]]="EUR"),BoM_Griptel[[#This Row],[ACT_Qty]]*BoM_Griptel[[#This Row],[Unit Price]],""),"")</f>
        <v/>
      </c>
      <c r="T32" s="186" t="s">
        <v>1802</v>
      </c>
      <c r="U32" s="46"/>
      <c r="V32" s="46"/>
      <c r="W32" s="146"/>
    </row>
    <row r="33" spans="1:23" ht="15" customHeight="1">
      <c r="A33" s="143" t="str">
        <f t="shared" si="0"/>
        <v>AKH12345</v>
      </c>
      <c r="B33" s="144" t="s">
        <v>1853</v>
      </c>
      <c r="C33" s="143" t="s">
        <v>1854</v>
      </c>
      <c r="D33" s="105"/>
      <c r="E33" s="106"/>
      <c r="F33" s="105"/>
      <c r="G33" s="106"/>
      <c r="H33" s="175"/>
      <c r="I33" s="176" t="s">
        <v>847</v>
      </c>
      <c r="J33" s="176" t="s">
        <v>1852</v>
      </c>
      <c r="K33" s="176" t="s">
        <v>1235</v>
      </c>
      <c r="L33" s="145" t="s">
        <v>1806</v>
      </c>
      <c r="M33" s="45" t="str">
        <f t="shared" si="1"/>
        <v>OneCo Networks AS</v>
      </c>
      <c r="N33" s="40" t="str">
        <f ca="1">IFERROR(
VLOOKUP(BoM_Griptel[[#This Row],[Product code]],
IF(AND((BoQ!$N$3&lt;&gt;""),OR(BoM_Griptel[[#This Row],[Vendor]]="Griptel",BoM_Griptel[[#This Row],[Vendor]]="Solar")),INDIRECT(Aux!$A$1)),4,FALSE),"")</f>
        <v/>
      </c>
      <c r="O33" s="169" t="s">
        <v>1807</v>
      </c>
      <c r="P33" s="41" t="str">
        <f>IFERROR(IF(AND(BoM_Griptel[[#This Row],[Quantity]]&lt;&gt;"",BoM_Griptel[[#This Row],[Currency]]="NOK"),BoM_Griptel[[#This Row],[Quantity]]*BoM_Griptel[[#This Row],[Unit Price]],""),"")</f>
        <v/>
      </c>
      <c r="Q33" s="41" t="str">
        <f>IFERROR(IF(AND(BoM_Griptel[[#This Row],[ACT_Qty]]&lt;&gt;"",BoM_Griptel[[#This Row],[Currency]]="NOK"),BoM_Griptel[[#This Row],[ACT_Qty]]*BoM_Griptel[[#This Row],[Unit Price]],""),"")</f>
        <v/>
      </c>
      <c r="R33" s="41" t="str">
        <f>IFERROR(IF(AND(BoM_Griptel[[#This Row],[Quantity]]&lt;&gt;"",BoM_Griptel[[#This Row],[Currency]]="EUR"),BoM_Griptel[[#This Row],[Quantity]]*BoM_Griptel[[#This Row],[Unit Price]],""),"")</f>
        <v/>
      </c>
      <c r="S33" s="41" t="str">
        <f>IFERROR(IF(AND(BoM_Griptel[[#This Row],[ACT_Qty]]&lt;&gt;"",BoM_Griptel[[#This Row],[Currency]]="EUR"),BoM_Griptel[[#This Row],[ACT_Qty]]*BoM_Griptel[[#This Row],[Unit Price]],""),"")</f>
        <v/>
      </c>
      <c r="T33" s="185" t="s">
        <v>1802</v>
      </c>
      <c r="U33" s="45"/>
      <c r="V33" s="45"/>
      <c r="W33" s="143"/>
    </row>
    <row r="34" spans="1:23" ht="15" customHeight="1">
      <c r="A34" s="146" t="str">
        <f t="shared" si="0"/>
        <v>AKH12345</v>
      </c>
      <c r="B34" s="147" t="s">
        <v>1855</v>
      </c>
      <c r="C34" s="146" t="s">
        <v>1856</v>
      </c>
      <c r="D34" s="68"/>
      <c r="E34" s="89"/>
      <c r="F34" s="68"/>
      <c r="G34" s="89"/>
      <c r="H34" s="177"/>
      <c r="I34" s="178" t="s">
        <v>847</v>
      </c>
      <c r="J34" s="178" t="s">
        <v>1805</v>
      </c>
      <c r="K34" s="178" t="s">
        <v>1235</v>
      </c>
      <c r="L34" s="148" t="s">
        <v>1806</v>
      </c>
      <c r="M34" s="46" t="str">
        <f t="shared" si="1"/>
        <v>OneCo Networks AS</v>
      </c>
      <c r="N34" s="42" t="str">
        <f ca="1">IFERROR(
VLOOKUP(BoM_Griptel[[#This Row],[Product code]],
IF(AND((BoQ!$N$3&lt;&gt;""),OR(BoM_Griptel[[#This Row],[Vendor]]="Griptel",BoM_Griptel[[#This Row],[Vendor]]="Solar")),INDIRECT(Aux!$A$1)),4,FALSE),"")</f>
        <v/>
      </c>
      <c r="O34" s="170" t="s">
        <v>1807</v>
      </c>
      <c r="P34" s="43" t="str">
        <f>IFERROR(IF(AND(BoM_Griptel[[#This Row],[Quantity]]&lt;&gt;"",BoM_Griptel[[#This Row],[Currency]]="NOK"),BoM_Griptel[[#This Row],[Quantity]]*BoM_Griptel[[#This Row],[Unit Price]],""),"")</f>
        <v/>
      </c>
      <c r="Q34" s="43" t="str">
        <f>IFERROR(IF(AND(BoM_Griptel[[#This Row],[ACT_Qty]]&lt;&gt;"",BoM_Griptel[[#This Row],[Currency]]="NOK"),BoM_Griptel[[#This Row],[ACT_Qty]]*BoM_Griptel[[#This Row],[Unit Price]],""),"")</f>
        <v/>
      </c>
      <c r="R34" s="43" t="str">
        <f>IFERROR(IF(AND(BoM_Griptel[[#This Row],[Quantity]]&lt;&gt;"",BoM_Griptel[[#This Row],[Currency]]="EUR"),BoM_Griptel[[#This Row],[Quantity]]*BoM_Griptel[[#This Row],[Unit Price]],""),"")</f>
        <v/>
      </c>
      <c r="S34" s="43" t="str">
        <f>IFERROR(IF(AND(BoM_Griptel[[#This Row],[ACT_Qty]]&lt;&gt;"",BoM_Griptel[[#This Row],[Currency]]="EUR"),BoM_Griptel[[#This Row],[ACT_Qty]]*BoM_Griptel[[#This Row],[Unit Price]],""),"")</f>
        <v/>
      </c>
      <c r="T34" s="186" t="s">
        <v>1802</v>
      </c>
      <c r="U34" s="46"/>
      <c r="V34" s="46"/>
      <c r="W34" s="146"/>
    </row>
    <row r="35" spans="1:23" ht="15" customHeight="1">
      <c r="A35" s="143" t="str">
        <f t="shared" si="0"/>
        <v>AKH12345</v>
      </c>
      <c r="B35" s="144" t="s">
        <v>1857</v>
      </c>
      <c r="C35" s="143" t="s">
        <v>1858</v>
      </c>
      <c r="D35" s="105"/>
      <c r="E35" s="106"/>
      <c r="F35" s="105"/>
      <c r="G35" s="106"/>
      <c r="H35" s="175"/>
      <c r="I35" s="176" t="s">
        <v>847</v>
      </c>
      <c r="J35" s="176" t="s">
        <v>1859</v>
      </c>
      <c r="K35" s="176" t="s">
        <v>1235</v>
      </c>
      <c r="L35" s="145" t="s">
        <v>1806</v>
      </c>
      <c r="M35" s="45" t="str">
        <f>IF($C$3&lt;&gt;"",$C$3,"")</f>
        <v>OneCo Networks AS</v>
      </c>
      <c r="N35" s="40" t="str">
        <f ca="1">IFERROR(
VLOOKUP(BoM_Griptel[[#This Row],[Product code]],
IF(AND((BoQ!$N$3&lt;&gt;""),OR(BoM_Griptel[[#This Row],[Vendor]]="Griptel",BoM_Griptel[[#This Row],[Vendor]]="Solar")),INDIRECT(Aux!$A$1)),4,FALSE),"")</f>
        <v/>
      </c>
      <c r="O35" s="169" t="s">
        <v>1807</v>
      </c>
      <c r="P35" s="41" t="str">
        <f>IFERROR(IF(AND(BoM_Griptel[[#This Row],[Quantity]]&lt;&gt;"",BoM_Griptel[[#This Row],[Currency]]="NOK"),BoM_Griptel[[#This Row],[Quantity]]*BoM_Griptel[[#This Row],[Unit Price]],""),"")</f>
        <v/>
      </c>
      <c r="Q35" s="41" t="str">
        <f>IFERROR(IF(AND(BoM_Griptel[[#This Row],[ACT_Qty]]&lt;&gt;"",BoM_Griptel[[#This Row],[Currency]]="NOK"),BoM_Griptel[[#This Row],[ACT_Qty]]*BoM_Griptel[[#This Row],[Unit Price]],""),"")</f>
        <v/>
      </c>
      <c r="R35" s="41" t="str">
        <f>IFERROR(IF(AND(BoM_Griptel[[#This Row],[Quantity]]&lt;&gt;"",BoM_Griptel[[#This Row],[Currency]]="EUR"),BoM_Griptel[[#This Row],[Quantity]]*BoM_Griptel[[#This Row],[Unit Price]],""),"")</f>
        <v/>
      </c>
      <c r="S35" s="41" t="str">
        <f>IFERROR(IF(AND(BoM_Griptel[[#This Row],[ACT_Qty]]&lt;&gt;"",BoM_Griptel[[#This Row],[Currency]]="EUR"),BoM_Griptel[[#This Row],[ACT_Qty]]*BoM_Griptel[[#This Row],[Unit Price]],""),"")</f>
        <v/>
      </c>
      <c r="T35" s="185"/>
      <c r="U35" s="45"/>
      <c r="V35" s="45"/>
      <c r="W35" s="143"/>
    </row>
    <row r="36" spans="1:23" ht="15" customHeight="1">
      <c r="A36" s="146" t="str">
        <f t="shared" si="0"/>
        <v>AKH12345</v>
      </c>
      <c r="B36" s="147" t="s">
        <v>1860</v>
      </c>
      <c r="C36" s="146" t="s">
        <v>1861</v>
      </c>
      <c r="D36" s="68"/>
      <c r="E36" s="89"/>
      <c r="F36" s="68"/>
      <c r="G36" s="89"/>
      <c r="H36" s="177"/>
      <c r="I36" s="178" t="s">
        <v>847</v>
      </c>
      <c r="J36" s="178" t="s">
        <v>1862</v>
      </c>
      <c r="K36" s="178" t="s">
        <v>1235</v>
      </c>
      <c r="L36" s="148" t="s">
        <v>1806</v>
      </c>
      <c r="M36" s="46" t="str">
        <f t="shared" si="1"/>
        <v>OneCo Networks AS</v>
      </c>
      <c r="N36" s="42" t="str">
        <f ca="1">IFERROR(
VLOOKUP(BoM_Griptel[[#This Row],[Product code]],
IF(AND((BoQ!$N$3&lt;&gt;""),OR(BoM_Griptel[[#This Row],[Vendor]]="Griptel",BoM_Griptel[[#This Row],[Vendor]]="Solar")),INDIRECT(Aux!$A$1)),4,FALSE),"")</f>
        <v/>
      </c>
      <c r="O36" s="170" t="s">
        <v>1807</v>
      </c>
      <c r="P36" s="43" t="str">
        <f>IFERROR(IF(AND(BoM_Griptel[[#This Row],[Quantity]]&lt;&gt;"",BoM_Griptel[[#This Row],[Currency]]="NOK"),BoM_Griptel[[#This Row],[Quantity]]*BoM_Griptel[[#This Row],[Unit Price]],""),"")</f>
        <v/>
      </c>
      <c r="Q36" s="43" t="str">
        <f>IFERROR(IF(AND(BoM_Griptel[[#This Row],[ACT_Qty]]&lt;&gt;"",BoM_Griptel[[#This Row],[Currency]]="NOK"),BoM_Griptel[[#This Row],[ACT_Qty]]*BoM_Griptel[[#This Row],[Unit Price]],""),"")</f>
        <v/>
      </c>
      <c r="R36" s="43" t="str">
        <f>IFERROR(IF(AND(BoM_Griptel[[#This Row],[Quantity]]&lt;&gt;"",BoM_Griptel[[#This Row],[Currency]]="EUR"),BoM_Griptel[[#This Row],[Quantity]]*BoM_Griptel[[#This Row],[Unit Price]],""),"")</f>
        <v/>
      </c>
      <c r="S36" s="43" t="str">
        <f>IFERROR(IF(AND(BoM_Griptel[[#This Row],[ACT_Qty]]&lt;&gt;"",BoM_Griptel[[#This Row],[Currency]]="EUR"),BoM_Griptel[[#This Row],[ACT_Qty]]*BoM_Griptel[[#This Row],[Unit Price]],""),"")</f>
        <v/>
      </c>
      <c r="T36" s="186" t="s">
        <v>1802</v>
      </c>
      <c r="U36" s="46"/>
      <c r="V36" s="46"/>
      <c r="W36" s="146"/>
    </row>
    <row r="37" spans="1:23" ht="15" customHeight="1">
      <c r="A37" s="143" t="str">
        <f t="shared" si="0"/>
        <v>AKH12345</v>
      </c>
      <c r="B37" s="144" t="s">
        <v>1863</v>
      </c>
      <c r="C37" s="143" t="s">
        <v>1864</v>
      </c>
      <c r="D37" s="105"/>
      <c r="E37" s="106"/>
      <c r="F37" s="105"/>
      <c r="G37" s="106"/>
      <c r="H37" s="175"/>
      <c r="I37" s="176" t="s">
        <v>847</v>
      </c>
      <c r="J37" s="176" t="s">
        <v>1862</v>
      </c>
      <c r="K37" s="176" t="s">
        <v>1235</v>
      </c>
      <c r="L37" s="145" t="s">
        <v>1806</v>
      </c>
      <c r="M37" s="45" t="str">
        <f t="shared" si="1"/>
        <v>OneCo Networks AS</v>
      </c>
      <c r="N37" s="40" t="str">
        <f ca="1">IFERROR(
VLOOKUP(BoM_Griptel[[#This Row],[Product code]],
IF(AND((BoQ!$N$3&lt;&gt;""),OR(BoM_Griptel[[#This Row],[Vendor]]="Griptel",BoM_Griptel[[#This Row],[Vendor]]="Solar")),INDIRECT(Aux!$A$1)),4,FALSE),"")</f>
        <v/>
      </c>
      <c r="O37" s="169" t="s">
        <v>1807</v>
      </c>
      <c r="P37" s="41" t="str">
        <f>IFERROR(IF(AND(BoM_Griptel[[#This Row],[Quantity]]&lt;&gt;"",BoM_Griptel[[#This Row],[Currency]]="NOK"),BoM_Griptel[[#This Row],[Quantity]]*BoM_Griptel[[#This Row],[Unit Price]],""),"")</f>
        <v/>
      </c>
      <c r="Q37" s="41" t="str">
        <f>IFERROR(IF(AND(BoM_Griptel[[#This Row],[ACT_Qty]]&lt;&gt;"",BoM_Griptel[[#This Row],[Currency]]="NOK"),BoM_Griptel[[#This Row],[ACT_Qty]]*BoM_Griptel[[#This Row],[Unit Price]],""),"")</f>
        <v/>
      </c>
      <c r="R37" s="41" t="str">
        <f>IFERROR(IF(AND(BoM_Griptel[[#This Row],[Quantity]]&lt;&gt;"",BoM_Griptel[[#This Row],[Currency]]="EUR"),BoM_Griptel[[#This Row],[Quantity]]*BoM_Griptel[[#This Row],[Unit Price]],""),"")</f>
        <v/>
      </c>
      <c r="S37" s="41" t="str">
        <f>IFERROR(IF(AND(BoM_Griptel[[#This Row],[ACT_Qty]]&lt;&gt;"",BoM_Griptel[[#This Row],[Currency]]="EUR"),BoM_Griptel[[#This Row],[ACT_Qty]]*BoM_Griptel[[#This Row],[Unit Price]],""),"")</f>
        <v/>
      </c>
      <c r="T37" s="185" t="s">
        <v>1802</v>
      </c>
      <c r="U37" s="45"/>
      <c r="V37" s="45"/>
      <c r="W37" s="143"/>
    </row>
    <row r="38" spans="1:23" ht="15" customHeight="1">
      <c r="A38" s="146" t="str">
        <f t="shared" si="0"/>
        <v>AKH12345</v>
      </c>
      <c r="B38" s="147" t="s">
        <v>1865</v>
      </c>
      <c r="C38" s="146" t="s">
        <v>1866</v>
      </c>
      <c r="D38" s="68"/>
      <c r="E38" s="89"/>
      <c r="F38" s="68"/>
      <c r="G38" s="89"/>
      <c r="H38" s="177"/>
      <c r="I38" s="178" t="s">
        <v>847</v>
      </c>
      <c r="J38" s="178" t="s">
        <v>1862</v>
      </c>
      <c r="K38" s="178" t="s">
        <v>1235</v>
      </c>
      <c r="L38" s="148" t="s">
        <v>1806</v>
      </c>
      <c r="M38" s="46" t="str">
        <f t="shared" si="1"/>
        <v>OneCo Networks AS</v>
      </c>
      <c r="N38" s="42" t="str">
        <f ca="1">IFERROR(
VLOOKUP(BoM_Griptel[[#This Row],[Product code]],
IF(AND((BoQ!$N$3&lt;&gt;""),OR(BoM_Griptel[[#This Row],[Vendor]]="Griptel",BoM_Griptel[[#This Row],[Vendor]]="Solar")),INDIRECT(Aux!$A$1)),4,FALSE),"")</f>
        <v/>
      </c>
      <c r="O38" s="170" t="s">
        <v>1807</v>
      </c>
      <c r="P38" s="43" t="str">
        <f>IFERROR(IF(AND(BoM_Griptel[[#This Row],[Quantity]]&lt;&gt;"",BoM_Griptel[[#This Row],[Currency]]="NOK"),BoM_Griptel[[#This Row],[Quantity]]*BoM_Griptel[[#This Row],[Unit Price]],""),"")</f>
        <v/>
      </c>
      <c r="Q38" s="43" t="str">
        <f>IFERROR(IF(AND(BoM_Griptel[[#This Row],[ACT_Qty]]&lt;&gt;"",BoM_Griptel[[#This Row],[Currency]]="NOK"),BoM_Griptel[[#This Row],[ACT_Qty]]*BoM_Griptel[[#This Row],[Unit Price]],""),"")</f>
        <v/>
      </c>
      <c r="R38" s="43" t="str">
        <f>IFERROR(IF(AND(BoM_Griptel[[#This Row],[Quantity]]&lt;&gt;"",BoM_Griptel[[#This Row],[Currency]]="EUR"),BoM_Griptel[[#This Row],[Quantity]]*BoM_Griptel[[#This Row],[Unit Price]],""),"")</f>
        <v/>
      </c>
      <c r="S38" s="43" t="str">
        <f>IFERROR(IF(AND(BoM_Griptel[[#This Row],[ACT_Qty]]&lt;&gt;"",BoM_Griptel[[#This Row],[Currency]]="EUR"),BoM_Griptel[[#This Row],[ACT_Qty]]*BoM_Griptel[[#This Row],[Unit Price]],""),"")</f>
        <v/>
      </c>
      <c r="T38" s="186" t="s">
        <v>1802</v>
      </c>
      <c r="U38" s="46"/>
      <c r="V38" s="46"/>
      <c r="W38" s="146"/>
    </row>
    <row r="39" spans="1:23" ht="15" customHeight="1">
      <c r="A39" s="143" t="str">
        <f t="shared" si="0"/>
        <v>AKH12345</v>
      </c>
      <c r="B39" s="144" t="s">
        <v>1867</v>
      </c>
      <c r="C39" s="143" t="s">
        <v>1868</v>
      </c>
      <c r="D39" s="105"/>
      <c r="E39" s="106"/>
      <c r="F39" s="105"/>
      <c r="G39" s="106"/>
      <c r="H39" s="175"/>
      <c r="I39" s="176" t="s">
        <v>847</v>
      </c>
      <c r="J39" s="176" t="s">
        <v>1862</v>
      </c>
      <c r="K39" s="176" t="s">
        <v>1235</v>
      </c>
      <c r="L39" s="145" t="s">
        <v>1806</v>
      </c>
      <c r="M39" s="45" t="str">
        <f t="shared" si="1"/>
        <v>OneCo Networks AS</v>
      </c>
      <c r="N39" s="40" t="str">
        <f ca="1">IFERROR(
VLOOKUP(BoM_Griptel[[#This Row],[Product code]],
IF(AND((BoQ!$N$3&lt;&gt;""),OR(BoM_Griptel[[#This Row],[Vendor]]="Griptel",BoM_Griptel[[#This Row],[Vendor]]="Solar")),INDIRECT(Aux!$A$1)),4,FALSE),"")</f>
        <v/>
      </c>
      <c r="O39" s="169" t="s">
        <v>1807</v>
      </c>
      <c r="P39" s="41" t="str">
        <f>IFERROR(IF(AND(BoM_Griptel[[#This Row],[Quantity]]&lt;&gt;"",BoM_Griptel[[#This Row],[Currency]]="NOK"),BoM_Griptel[[#This Row],[Quantity]]*BoM_Griptel[[#This Row],[Unit Price]],""),"")</f>
        <v/>
      </c>
      <c r="Q39" s="41" t="str">
        <f>IFERROR(IF(AND(BoM_Griptel[[#This Row],[ACT_Qty]]&lt;&gt;"",BoM_Griptel[[#This Row],[Currency]]="NOK"),BoM_Griptel[[#This Row],[ACT_Qty]]*BoM_Griptel[[#This Row],[Unit Price]],""),"")</f>
        <v/>
      </c>
      <c r="R39" s="41" t="str">
        <f>IFERROR(IF(AND(BoM_Griptel[[#This Row],[Quantity]]&lt;&gt;"",BoM_Griptel[[#This Row],[Currency]]="EUR"),BoM_Griptel[[#This Row],[Quantity]]*BoM_Griptel[[#This Row],[Unit Price]],""),"")</f>
        <v/>
      </c>
      <c r="S39" s="41" t="str">
        <f>IFERROR(IF(AND(BoM_Griptel[[#This Row],[ACT_Qty]]&lt;&gt;"",BoM_Griptel[[#This Row],[Currency]]="EUR"),BoM_Griptel[[#This Row],[ACT_Qty]]*BoM_Griptel[[#This Row],[Unit Price]],""),"")</f>
        <v/>
      </c>
      <c r="T39" s="185" t="s">
        <v>1802</v>
      </c>
      <c r="U39" s="45"/>
      <c r="V39" s="45"/>
      <c r="W39" s="143"/>
    </row>
    <row r="40" spans="1:23" ht="15" customHeight="1">
      <c r="A40" s="146" t="str">
        <f t="shared" si="0"/>
        <v>AKH12345</v>
      </c>
      <c r="B40" s="147" t="s">
        <v>1869</v>
      </c>
      <c r="C40" s="146" t="s">
        <v>1861</v>
      </c>
      <c r="D40" s="68"/>
      <c r="E40" s="89"/>
      <c r="F40" s="68"/>
      <c r="G40" s="89"/>
      <c r="H40" s="177"/>
      <c r="I40" s="178" t="s">
        <v>847</v>
      </c>
      <c r="J40" s="178" t="s">
        <v>1862</v>
      </c>
      <c r="K40" s="178" t="s">
        <v>1235</v>
      </c>
      <c r="L40" s="148" t="s">
        <v>1806</v>
      </c>
      <c r="M40" s="46" t="str">
        <f t="shared" si="1"/>
        <v>OneCo Networks AS</v>
      </c>
      <c r="N40" s="42" t="str">
        <f ca="1">IFERROR(
VLOOKUP(BoM_Griptel[[#This Row],[Product code]],
IF(AND((BoQ!$N$3&lt;&gt;""),OR(BoM_Griptel[[#This Row],[Vendor]]="Griptel",BoM_Griptel[[#This Row],[Vendor]]="Solar")),INDIRECT(Aux!$A$1)),4,FALSE),"")</f>
        <v/>
      </c>
      <c r="O40" s="170" t="s">
        <v>1807</v>
      </c>
      <c r="P40" s="43" t="str">
        <f>IFERROR(IF(AND(BoM_Griptel[[#This Row],[Quantity]]&lt;&gt;"",BoM_Griptel[[#This Row],[Currency]]="NOK"),BoM_Griptel[[#This Row],[Quantity]]*BoM_Griptel[[#This Row],[Unit Price]],""),"")</f>
        <v/>
      </c>
      <c r="Q40" s="43" t="str">
        <f>IFERROR(IF(AND(BoM_Griptel[[#This Row],[ACT_Qty]]&lt;&gt;"",BoM_Griptel[[#This Row],[Currency]]="NOK"),BoM_Griptel[[#This Row],[ACT_Qty]]*BoM_Griptel[[#This Row],[Unit Price]],""),"")</f>
        <v/>
      </c>
      <c r="R40" s="43" t="str">
        <f>IFERROR(IF(AND(BoM_Griptel[[#This Row],[Quantity]]&lt;&gt;"",BoM_Griptel[[#This Row],[Currency]]="EUR"),BoM_Griptel[[#This Row],[Quantity]]*BoM_Griptel[[#This Row],[Unit Price]],""),"")</f>
        <v/>
      </c>
      <c r="S40" s="43" t="str">
        <f>IFERROR(IF(AND(BoM_Griptel[[#This Row],[ACT_Qty]]&lt;&gt;"",BoM_Griptel[[#This Row],[Currency]]="EUR"),BoM_Griptel[[#This Row],[ACT_Qty]]*BoM_Griptel[[#This Row],[Unit Price]],""),"")</f>
        <v/>
      </c>
      <c r="T40" s="186" t="s">
        <v>1802</v>
      </c>
      <c r="U40" s="46"/>
      <c r="V40" s="46"/>
      <c r="W40" s="146"/>
    </row>
    <row r="41" spans="1:23" ht="15" customHeight="1">
      <c r="A41" s="143" t="str">
        <f t="shared" si="0"/>
        <v>AKH12345</v>
      </c>
      <c r="B41" s="144" t="s">
        <v>1870</v>
      </c>
      <c r="C41" s="143" t="s">
        <v>1871</v>
      </c>
      <c r="D41" s="105"/>
      <c r="E41" s="106"/>
      <c r="F41" s="105"/>
      <c r="G41" s="106"/>
      <c r="H41" s="175"/>
      <c r="I41" s="176" t="s">
        <v>847</v>
      </c>
      <c r="J41" s="176" t="s">
        <v>1862</v>
      </c>
      <c r="K41" s="176" t="s">
        <v>1235</v>
      </c>
      <c r="L41" s="145" t="s">
        <v>1806</v>
      </c>
      <c r="M41" s="45" t="str">
        <f t="shared" si="1"/>
        <v>OneCo Networks AS</v>
      </c>
      <c r="N41" s="40" t="str">
        <f ca="1">IFERROR(
VLOOKUP(BoM_Griptel[[#This Row],[Product code]],
IF(AND((BoQ!$N$3&lt;&gt;""),OR(BoM_Griptel[[#This Row],[Vendor]]="Griptel",BoM_Griptel[[#This Row],[Vendor]]="Solar")),INDIRECT(Aux!$A$1)),4,FALSE),"")</f>
        <v/>
      </c>
      <c r="O41" s="169" t="s">
        <v>1807</v>
      </c>
      <c r="P41" s="41" t="str">
        <f>IFERROR(IF(AND(BoM_Griptel[[#This Row],[Quantity]]&lt;&gt;"",BoM_Griptel[[#This Row],[Currency]]="NOK"),BoM_Griptel[[#This Row],[Quantity]]*BoM_Griptel[[#This Row],[Unit Price]],""),"")</f>
        <v/>
      </c>
      <c r="Q41" s="41" t="str">
        <f>IFERROR(IF(AND(BoM_Griptel[[#This Row],[ACT_Qty]]&lt;&gt;"",BoM_Griptel[[#This Row],[Currency]]="NOK"),BoM_Griptel[[#This Row],[ACT_Qty]]*BoM_Griptel[[#This Row],[Unit Price]],""),"")</f>
        <v/>
      </c>
      <c r="R41" s="41" t="str">
        <f>IFERROR(IF(AND(BoM_Griptel[[#This Row],[Quantity]]&lt;&gt;"",BoM_Griptel[[#This Row],[Currency]]="EUR"),BoM_Griptel[[#This Row],[Quantity]]*BoM_Griptel[[#This Row],[Unit Price]],""),"")</f>
        <v/>
      </c>
      <c r="S41" s="41" t="str">
        <f>IFERROR(IF(AND(BoM_Griptel[[#This Row],[ACT_Qty]]&lt;&gt;"",BoM_Griptel[[#This Row],[Currency]]="EUR"),BoM_Griptel[[#This Row],[ACT_Qty]]*BoM_Griptel[[#This Row],[Unit Price]],""),"")</f>
        <v/>
      </c>
      <c r="T41" s="185" t="s">
        <v>1802</v>
      </c>
      <c r="U41" s="45"/>
      <c r="V41" s="45"/>
      <c r="W41" s="143"/>
    </row>
    <row r="42" spans="1:23" ht="15" customHeight="1">
      <c r="A42" s="146" t="str">
        <f t="shared" si="0"/>
        <v>AKH12345</v>
      </c>
      <c r="B42" s="147" t="s">
        <v>1872</v>
      </c>
      <c r="C42" s="146" t="s">
        <v>1873</v>
      </c>
      <c r="D42" s="68"/>
      <c r="E42" s="89"/>
      <c r="F42" s="68"/>
      <c r="G42" s="89"/>
      <c r="H42" s="177"/>
      <c r="I42" s="178" t="s">
        <v>847</v>
      </c>
      <c r="J42" s="178" t="s">
        <v>1862</v>
      </c>
      <c r="K42" s="178" t="s">
        <v>1235</v>
      </c>
      <c r="L42" s="148" t="s">
        <v>1806</v>
      </c>
      <c r="M42" s="46" t="str">
        <f t="shared" si="1"/>
        <v>OneCo Networks AS</v>
      </c>
      <c r="N42" s="42" t="str">
        <f ca="1">IFERROR(
VLOOKUP(BoM_Griptel[[#This Row],[Product code]],
IF(AND((BoQ!$N$3&lt;&gt;""),OR(BoM_Griptel[[#This Row],[Vendor]]="Griptel",BoM_Griptel[[#This Row],[Vendor]]="Solar")),INDIRECT(Aux!$A$1)),4,FALSE),"")</f>
        <v/>
      </c>
      <c r="O42" s="170" t="s">
        <v>1807</v>
      </c>
      <c r="P42" s="43" t="str">
        <f>IFERROR(IF(AND(BoM_Griptel[[#This Row],[Quantity]]&lt;&gt;"",BoM_Griptel[[#This Row],[Currency]]="NOK"),BoM_Griptel[[#This Row],[Quantity]]*BoM_Griptel[[#This Row],[Unit Price]],""),"")</f>
        <v/>
      </c>
      <c r="Q42" s="43" t="str">
        <f>IFERROR(IF(AND(BoM_Griptel[[#This Row],[ACT_Qty]]&lt;&gt;"",BoM_Griptel[[#This Row],[Currency]]="NOK"),BoM_Griptel[[#This Row],[ACT_Qty]]*BoM_Griptel[[#This Row],[Unit Price]],""),"")</f>
        <v/>
      </c>
      <c r="R42" s="43" t="str">
        <f>IFERROR(IF(AND(BoM_Griptel[[#This Row],[Quantity]]&lt;&gt;"",BoM_Griptel[[#This Row],[Currency]]="EUR"),BoM_Griptel[[#This Row],[Quantity]]*BoM_Griptel[[#This Row],[Unit Price]],""),"")</f>
        <v/>
      </c>
      <c r="S42" s="43" t="str">
        <f>IFERROR(IF(AND(BoM_Griptel[[#This Row],[ACT_Qty]]&lt;&gt;"",BoM_Griptel[[#This Row],[Currency]]="EUR"),BoM_Griptel[[#This Row],[ACT_Qty]]*BoM_Griptel[[#This Row],[Unit Price]],""),"")</f>
        <v/>
      </c>
      <c r="T42" s="186" t="s">
        <v>1802</v>
      </c>
      <c r="U42" s="46"/>
      <c r="V42" s="46"/>
      <c r="W42" s="146"/>
    </row>
    <row r="43" spans="1:23" ht="15" customHeight="1">
      <c r="A43" s="143" t="str">
        <f t="shared" si="0"/>
        <v>AKH12345</v>
      </c>
      <c r="B43" s="144" t="s">
        <v>1874</v>
      </c>
      <c r="C43" s="143" t="s">
        <v>1875</v>
      </c>
      <c r="D43" s="105"/>
      <c r="E43" s="106"/>
      <c r="F43" s="105"/>
      <c r="G43" s="106"/>
      <c r="H43" s="175"/>
      <c r="I43" s="176" t="s">
        <v>847</v>
      </c>
      <c r="J43" s="176" t="s">
        <v>1862</v>
      </c>
      <c r="K43" s="176" t="s">
        <v>1235</v>
      </c>
      <c r="L43" s="145" t="s">
        <v>1806</v>
      </c>
      <c r="M43" s="45" t="str">
        <f t="shared" si="1"/>
        <v>OneCo Networks AS</v>
      </c>
      <c r="N43" s="40" t="str">
        <f ca="1">IFERROR(
VLOOKUP(BoM_Griptel[[#This Row],[Product code]],
IF(AND((BoQ!$N$3&lt;&gt;""),OR(BoM_Griptel[[#This Row],[Vendor]]="Griptel",BoM_Griptel[[#This Row],[Vendor]]="Solar")),INDIRECT(Aux!$A$1)),4,FALSE),"")</f>
        <v/>
      </c>
      <c r="O43" s="169" t="s">
        <v>1807</v>
      </c>
      <c r="P43" s="41" t="str">
        <f>IFERROR(IF(AND(BoM_Griptel[[#This Row],[Quantity]]&lt;&gt;"",BoM_Griptel[[#This Row],[Currency]]="NOK"),BoM_Griptel[[#This Row],[Quantity]]*BoM_Griptel[[#This Row],[Unit Price]],""),"")</f>
        <v/>
      </c>
      <c r="Q43" s="41" t="str">
        <f>IFERROR(IF(AND(BoM_Griptel[[#This Row],[ACT_Qty]]&lt;&gt;"",BoM_Griptel[[#This Row],[Currency]]="NOK"),BoM_Griptel[[#This Row],[ACT_Qty]]*BoM_Griptel[[#This Row],[Unit Price]],""),"")</f>
        <v/>
      </c>
      <c r="R43" s="41" t="str">
        <f>IFERROR(IF(AND(BoM_Griptel[[#This Row],[Quantity]]&lt;&gt;"",BoM_Griptel[[#This Row],[Currency]]="EUR"),BoM_Griptel[[#This Row],[Quantity]]*BoM_Griptel[[#This Row],[Unit Price]],""),"")</f>
        <v/>
      </c>
      <c r="S43" s="41" t="str">
        <f>IFERROR(IF(AND(BoM_Griptel[[#This Row],[ACT_Qty]]&lt;&gt;"",BoM_Griptel[[#This Row],[Currency]]="EUR"),BoM_Griptel[[#This Row],[ACT_Qty]]*BoM_Griptel[[#This Row],[Unit Price]],""),"")</f>
        <v/>
      </c>
      <c r="T43" s="185" t="s">
        <v>1802</v>
      </c>
      <c r="U43" s="45"/>
      <c r="V43" s="45"/>
      <c r="W43" s="143"/>
    </row>
    <row r="44" spans="1:23" ht="15" customHeight="1">
      <c r="A44" s="146" t="str">
        <f t="shared" si="0"/>
        <v>AKH12345</v>
      </c>
      <c r="B44" s="147" t="s">
        <v>1876</v>
      </c>
      <c r="C44" s="146" t="s">
        <v>1861</v>
      </c>
      <c r="D44" s="68"/>
      <c r="E44" s="89"/>
      <c r="F44" s="68"/>
      <c r="G44" s="89"/>
      <c r="H44" s="177"/>
      <c r="I44" s="178" t="s">
        <v>847</v>
      </c>
      <c r="J44" s="178" t="s">
        <v>1862</v>
      </c>
      <c r="K44" s="178" t="s">
        <v>1235</v>
      </c>
      <c r="L44" s="148" t="s">
        <v>1806</v>
      </c>
      <c r="M44" s="46" t="str">
        <f t="shared" si="1"/>
        <v>OneCo Networks AS</v>
      </c>
      <c r="N44" s="42" t="str">
        <f ca="1">IFERROR(
VLOOKUP(BoM_Griptel[[#This Row],[Product code]],
IF(AND((BoQ!$N$3&lt;&gt;""),OR(BoM_Griptel[[#This Row],[Vendor]]="Griptel",BoM_Griptel[[#This Row],[Vendor]]="Solar")),INDIRECT(Aux!$A$1)),4,FALSE),"")</f>
        <v/>
      </c>
      <c r="O44" s="170" t="s">
        <v>1807</v>
      </c>
      <c r="P44" s="43" t="str">
        <f>IFERROR(IF(AND(BoM_Griptel[[#This Row],[Quantity]]&lt;&gt;"",BoM_Griptel[[#This Row],[Currency]]="NOK"),BoM_Griptel[[#This Row],[Quantity]]*BoM_Griptel[[#This Row],[Unit Price]],""),"")</f>
        <v/>
      </c>
      <c r="Q44" s="43" t="str">
        <f>IFERROR(IF(AND(BoM_Griptel[[#This Row],[ACT_Qty]]&lt;&gt;"",BoM_Griptel[[#This Row],[Currency]]="NOK"),BoM_Griptel[[#This Row],[ACT_Qty]]*BoM_Griptel[[#This Row],[Unit Price]],""),"")</f>
        <v/>
      </c>
      <c r="R44" s="43" t="str">
        <f>IFERROR(IF(AND(BoM_Griptel[[#This Row],[Quantity]]&lt;&gt;"",BoM_Griptel[[#This Row],[Currency]]="EUR"),BoM_Griptel[[#This Row],[Quantity]]*BoM_Griptel[[#This Row],[Unit Price]],""),"")</f>
        <v/>
      </c>
      <c r="S44" s="43" t="str">
        <f>IFERROR(IF(AND(BoM_Griptel[[#This Row],[ACT_Qty]]&lt;&gt;"",BoM_Griptel[[#This Row],[Currency]]="EUR"),BoM_Griptel[[#This Row],[ACT_Qty]]*BoM_Griptel[[#This Row],[Unit Price]],""),"")</f>
        <v/>
      </c>
      <c r="T44" s="186" t="s">
        <v>1802</v>
      </c>
      <c r="U44" s="46"/>
      <c r="V44" s="46"/>
      <c r="W44" s="146"/>
    </row>
    <row r="45" spans="1:23" ht="15" customHeight="1">
      <c r="A45" s="143" t="str">
        <f t="shared" si="0"/>
        <v>AKH12345</v>
      </c>
      <c r="B45" s="144" t="s">
        <v>1877</v>
      </c>
      <c r="C45" s="143" t="s">
        <v>1871</v>
      </c>
      <c r="D45" s="105"/>
      <c r="E45" s="106"/>
      <c r="F45" s="105"/>
      <c r="G45" s="106"/>
      <c r="H45" s="175"/>
      <c r="I45" s="176" t="s">
        <v>847</v>
      </c>
      <c r="J45" s="176" t="s">
        <v>1862</v>
      </c>
      <c r="K45" s="176" t="s">
        <v>1235</v>
      </c>
      <c r="L45" s="145" t="s">
        <v>1806</v>
      </c>
      <c r="M45" s="45" t="str">
        <f t="shared" si="1"/>
        <v>OneCo Networks AS</v>
      </c>
      <c r="N45" s="40" t="str">
        <f ca="1">IFERROR(
VLOOKUP(BoM_Griptel[[#This Row],[Product code]],
IF(AND((BoQ!$N$3&lt;&gt;""),OR(BoM_Griptel[[#This Row],[Vendor]]="Griptel",BoM_Griptel[[#This Row],[Vendor]]="Solar")),INDIRECT(Aux!$A$1)),4,FALSE),"")</f>
        <v/>
      </c>
      <c r="O45" s="169" t="s">
        <v>1807</v>
      </c>
      <c r="P45" s="41" t="str">
        <f>IFERROR(IF(AND(BoM_Griptel[[#This Row],[Quantity]]&lt;&gt;"",BoM_Griptel[[#This Row],[Currency]]="NOK"),BoM_Griptel[[#This Row],[Quantity]]*BoM_Griptel[[#This Row],[Unit Price]],""),"")</f>
        <v/>
      </c>
      <c r="Q45" s="41" t="str">
        <f>IFERROR(IF(AND(BoM_Griptel[[#This Row],[ACT_Qty]]&lt;&gt;"",BoM_Griptel[[#This Row],[Currency]]="NOK"),BoM_Griptel[[#This Row],[ACT_Qty]]*BoM_Griptel[[#This Row],[Unit Price]],""),"")</f>
        <v/>
      </c>
      <c r="R45" s="41" t="str">
        <f>IFERROR(IF(AND(BoM_Griptel[[#This Row],[Quantity]]&lt;&gt;"",BoM_Griptel[[#This Row],[Currency]]="EUR"),BoM_Griptel[[#This Row],[Quantity]]*BoM_Griptel[[#This Row],[Unit Price]],""),"")</f>
        <v/>
      </c>
      <c r="S45" s="41" t="str">
        <f>IFERROR(IF(AND(BoM_Griptel[[#This Row],[ACT_Qty]]&lt;&gt;"",BoM_Griptel[[#This Row],[Currency]]="EUR"),BoM_Griptel[[#This Row],[ACT_Qty]]*BoM_Griptel[[#This Row],[Unit Price]],""),"")</f>
        <v/>
      </c>
      <c r="T45" s="185" t="s">
        <v>1802</v>
      </c>
      <c r="U45" s="45"/>
      <c r="V45" s="45"/>
      <c r="W45" s="143"/>
    </row>
    <row r="46" spans="1:23" ht="15" customHeight="1">
      <c r="A46" s="146" t="str">
        <f t="shared" si="0"/>
        <v>AKH12345</v>
      </c>
      <c r="B46" s="147" t="s">
        <v>1878</v>
      </c>
      <c r="C46" s="146" t="s">
        <v>1879</v>
      </c>
      <c r="D46" s="68"/>
      <c r="E46" s="89"/>
      <c r="F46" s="68"/>
      <c r="G46" s="89"/>
      <c r="H46" s="177"/>
      <c r="I46" s="178" t="s">
        <v>847</v>
      </c>
      <c r="J46" s="178" t="s">
        <v>1862</v>
      </c>
      <c r="K46" s="178" t="s">
        <v>1235</v>
      </c>
      <c r="L46" s="148" t="s">
        <v>1806</v>
      </c>
      <c r="M46" s="46" t="str">
        <f t="shared" si="1"/>
        <v>OneCo Networks AS</v>
      </c>
      <c r="N46" s="42" t="str">
        <f ca="1">IFERROR(
VLOOKUP(BoM_Griptel[[#This Row],[Product code]],
IF(AND((BoQ!$N$3&lt;&gt;""),OR(BoM_Griptel[[#This Row],[Vendor]]="Griptel",BoM_Griptel[[#This Row],[Vendor]]="Solar")),INDIRECT(Aux!$A$1)),4,FALSE),"")</f>
        <v/>
      </c>
      <c r="O46" s="170" t="s">
        <v>1807</v>
      </c>
      <c r="P46" s="43" t="str">
        <f>IFERROR(IF(AND(BoM_Griptel[[#This Row],[Quantity]]&lt;&gt;"",BoM_Griptel[[#This Row],[Currency]]="NOK"),BoM_Griptel[[#This Row],[Quantity]]*BoM_Griptel[[#This Row],[Unit Price]],""),"")</f>
        <v/>
      </c>
      <c r="Q46" s="43" t="str">
        <f>IFERROR(IF(AND(BoM_Griptel[[#This Row],[ACT_Qty]]&lt;&gt;"",BoM_Griptel[[#This Row],[Currency]]="NOK"),BoM_Griptel[[#This Row],[ACT_Qty]]*BoM_Griptel[[#This Row],[Unit Price]],""),"")</f>
        <v/>
      </c>
      <c r="R46" s="43" t="str">
        <f>IFERROR(IF(AND(BoM_Griptel[[#This Row],[Quantity]]&lt;&gt;"",BoM_Griptel[[#This Row],[Currency]]="EUR"),BoM_Griptel[[#This Row],[Quantity]]*BoM_Griptel[[#This Row],[Unit Price]],""),"")</f>
        <v/>
      </c>
      <c r="S46" s="43" t="str">
        <f>IFERROR(IF(AND(BoM_Griptel[[#This Row],[ACT_Qty]]&lt;&gt;"",BoM_Griptel[[#This Row],[Currency]]="EUR"),BoM_Griptel[[#This Row],[ACT_Qty]]*BoM_Griptel[[#This Row],[Unit Price]],""),"")</f>
        <v/>
      </c>
      <c r="T46" s="186" t="s">
        <v>1802</v>
      </c>
      <c r="U46" s="46"/>
      <c r="V46" s="46"/>
      <c r="W46" s="146"/>
    </row>
    <row r="47" spans="1:23" ht="15" customHeight="1">
      <c r="A47" s="143" t="str">
        <f t="shared" si="0"/>
        <v>AKH12345</v>
      </c>
      <c r="B47" s="144" t="s">
        <v>1880</v>
      </c>
      <c r="C47" s="143" t="s">
        <v>1881</v>
      </c>
      <c r="D47" s="105"/>
      <c r="E47" s="106"/>
      <c r="F47" s="105"/>
      <c r="G47" s="106"/>
      <c r="H47" s="175"/>
      <c r="I47" s="176" t="s">
        <v>847</v>
      </c>
      <c r="J47" s="176" t="s">
        <v>1862</v>
      </c>
      <c r="K47" s="176" t="s">
        <v>1235</v>
      </c>
      <c r="L47" s="145" t="s">
        <v>1806</v>
      </c>
      <c r="M47" s="45" t="str">
        <f t="shared" si="1"/>
        <v>OneCo Networks AS</v>
      </c>
      <c r="N47" s="40" t="str">
        <f ca="1">IFERROR(
VLOOKUP(BoM_Griptel[[#This Row],[Product code]],
IF(AND((BoQ!$N$3&lt;&gt;""),OR(BoM_Griptel[[#This Row],[Vendor]]="Griptel",BoM_Griptel[[#This Row],[Vendor]]="Solar")),INDIRECT(Aux!$A$1)),4,FALSE),"")</f>
        <v/>
      </c>
      <c r="O47" s="169" t="s">
        <v>1807</v>
      </c>
      <c r="P47" s="41" t="str">
        <f>IFERROR(IF(AND(BoM_Griptel[[#This Row],[Quantity]]&lt;&gt;"",BoM_Griptel[[#This Row],[Currency]]="NOK"),BoM_Griptel[[#This Row],[Quantity]]*BoM_Griptel[[#This Row],[Unit Price]],""),"")</f>
        <v/>
      </c>
      <c r="Q47" s="41" t="str">
        <f>IFERROR(IF(AND(BoM_Griptel[[#This Row],[ACT_Qty]]&lt;&gt;"",BoM_Griptel[[#This Row],[Currency]]="NOK"),BoM_Griptel[[#This Row],[ACT_Qty]]*BoM_Griptel[[#This Row],[Unit Price]],""),"")</f>
        <v/>
      </c>
      <c r="R47" s="41" t="str">
        <f>IFERROR(IF(AND(BoM_Griptel[[#This Row],[Quantity]]&lt;&gt;"",BoM_Griptel[[#This Row],[Currency]]="EUR"),BoM_Griptel[[#This Row],[Quantity]]*BoM_Griptel[[#This Row],[Unit Price]],""),"")</f>
        <v/>
      </c>
      <c r="S47" s="41" t="str">
        <f>IFERROR(IF(AND(BoM_Griptel[[#This Row],[ACT_Qty]]&lt;&gt;"",BoM_Griptel[[#This Row],[Currency]]="EUR"),BoM_Griptel[[#This Row],[ACT_Qty]]*BoM_Griptel[[#This Row],[Unit Price]],""),"")</f>
        <v/>
      </c>
      <c r="T47" s="185" t="s">
        <v>1802</v>
      </c>
      <c r="U47" s="45"/>
      <c r="V47" s="45"/>
      <c r="W47" s="143"/>
    </row>
    <row r="48" spans="1:23" ht="15" customHeight="1">
      <c r="A48" s="146" t="str">
        <f t="shared" si="0"/>
        <v>AKH12345</v>
      </c>
      <c r="B48" s="147" t="s">
        <v>1882</v>
      </c>
      <c r="C48" s="146" t="s">
        <v>1883</v>
      </c>
      <c r="D48" s="68"/>
      <c r="E48" s="89"/>
      <c r="F48" s="68"/>
      <c r="G48" s="89"/>
      <c r="H48" s="177"/>
      <c r="I48" s="178" t="s">
        <v>847</v>
      </c>
      <c r="J48" s="178" t="s">
        <v>1884</v>
      </c>
      <c r="K48" s="178" t="s">
        <v>1235</v>
      </c>
      <c r="L48" s="148" t="s">
        <v>1806</v>
      </c>
      <c r="M48" s="46" t="str">
        <f t="shared" si="1"/>
        <v>OneCo Networks AS</v>
      </c>
      <c r="N48" s="42" t="str">
        <f ca="1">IFERROR(
VLOOKUP(BoM_Griptel[[#This Row],[Product code]],
IF(AND((BoQ!$N$3&lt;&gt;""),OR(BoM_Griptel[[#This Row],[Vendor]]="Griptel",BoM_Griptel[[#This Row],[Vendor]]="Solar")),INDIRECT(Aux!$A$1)),4,FALSE),"")</f>
        <v/>
      </c>
      <c r="O48" s="170" t="s">
        <v>1807</v>
      </c>
      <c r="P48" s="43" t="str">
        <f>IFERROR(IF(AND(BoM_Griptel[[#This Row],[Quantity]]&lt;&gt;"",BoM_Griptel[[#This Row],[Currency]]="NOK"),BoM_Griptel[[#This Row],[Quantity]]*BoM_Griptel[[#This Row],[Unit Price]],""),"")</f>
        <v/>
      </c>
      <c r="Q48" s="43" t="str">
        <f>IFERROR(IF(AND(BoM_Griptel[[#This Row],[ACT_Qty]]&lt;&gt;"",BoM_Griptel[[#This Row],[Currency]]="NOK"),BoM_Griptel[[#This Row],[ACT_Qty]]*BoM_Griptel[[#This Row],[Unit Price]],""),"")</f>
        <v/>
      </c>
      <c r="R48" s="43" t="str">
        <f>IFERROR(IF(AND(BoM_Griptel[[#This Row],[Quantity]]&lt;&gt;"",BoM_Griptel[[#This Row],[Currency]]="EUR"),BoM_Griptel[[#This Row],[Quantity]]*BoM_Griptel[[#This Row],[Unit Price]],""),"")</f>
        <v/>
      </c>
      <c r="S48" s="43" t="str">
        <f>IFERROR(IF(AND(BoM_Griptel[[#This Row],[ACT_Qty]]&lt;&gt;"",BoM_Griptel[[#This Row],[Currency]]="EUR"),BoM_Griptel[[#This Row],[ACT_Qty]]*BoM_Griptel[[#This Row],[Unit Price]],""),"")</f>
        <v/>
      </c>
      <c r="T48" s="186" t="s">
        <v>1802</v>
      </c>
      <c r="U48" s="46"/>
      <c r="V48" s="46"/>
      <c r="W48" s="146"/>
    </row>
    <row r="49" spans="1:23" ht="15" customHeight="1">
      <c r="A49" s="143" t="str">
        <f t="shared" si="0"/>
        <v>AKH12345</v>
      </c>
      <c r="B49" s="144" t="s">
        <v>1885</v>
      </c>
      <c r="C49" s="143" t="s">
        <v>1886</v>
      </c>
      <c r="D49" s="105"/>
      <c r="E49" s="106"/>
      <c r="F49" s="105"/>
      <c r="G49" s="106"/>
      <c r="H49" s="175"/>
      <c r="I49" s="176" t="s">
        <v>847</v>
      </c>
      <c r="J49" s="176" t="s">
        <v>1887</v>
      </c>
      <c r="K49" s="176" t="s">
        <v>1235</v>
      </c>
      <c r="L49" s="145" t="s">
        <v>1806</v>
      </c>
      <c r="M49" s="45" t="str">
        <f t="shared" si="1"/>
        <v>OneCo Networks AS</v>
      </c>
      <c r="N49" s="40" t="str">
        <f ca="1">IFERROR(
VLOOKUP(BoM_Griptel[[#This Row],[Product code]],
IF(AND((BoQ!$N$3&lt;&gt;""),OR(BoM_Griptel[[#This Row],[Vendor]]="Griptel",BoM_Griptel[[#This Row],[Vendor]]="Solar")),INDIRECT(Aux!$A$1)),4,FALSE),"")</f>
        <v/>
      </c>
      <c r="O49" s="169" t="s">
        <v>1807</v>
      </c>
      <c r="P49" s="41" t="str">
        <f>IFERROR(IF(AND(BoM_Griptel[[#This Row],[Quantity]]&lt;&gt;"",BoM_Griptel[[#This Row],[Currency]]="NOK"),BoM_Griptel[[#This Row],[Quantity]]*BoM_Griptel[[#This Row],[Unit Price]],""),"")</f>
        <v/>
      </c>
      <c r="Q49" s="41" t="str">
        <f>IFERROR(IF(AND(BoM_Griptel[[#This Row],[ACT_Qty]]&lt;&gt;"",BoM_Griptel[[#This Row],[Currency]]="NOK"),BoM_Griptel[[#This Row],[ACT_Qty]]*BoM_Griptel[[#This Row],[Unit Price]],""),"")</f>
        <v/>
      </c>
      <c r="R49" s="41" t="str">
        <f>IFERROR(IF(AND(BoM_Griptel[[#This Row],[Quantity]]&lt;&gt;"",BoM_Griptel[[#This Row],[Currency]]="EUR"),BoM_Griptel[[#This Row],[Quantity]]*BoM_Griptel[[#This Row],[Unit Price]],""),"")</f>
        <v/>
      </c>
      <c r="S49" s="41" t="str">
        <f>IFERROR(IF(AND(BoM_Griptel[[#This Row],[ACT_Qty]]&lt;&gt;"",BoM_Griptel[[#This Row],[Currency]]="EUR"),BoM_Griptel[[#This Row],[ACT_Qty]]*BoM_Griptel[[#This Row],[Unit Price]],""),"")</f>
        <v/>
      </c>
      <c r="T49" s="185" t="s">
        <v>1802</v>
      </c>
      <c r="U49" s="45"/>
      <c r="V49" s="45"/>
      <c r="W49" s="143"/>
    </row>
    <row r="50" spans="1:23" ht="15" customHeight="1">
      <c r="A50" s="146" t="str">
        <f t="shared" si="0"/>
        <v>AKH12345</v>
      </c>
      <c r="B50" s="147" t="s">
        <v>1888</v>
      </c>
      <c r="C50" s="146" t="s">
        <v>1889</v>
      </c>
      <c r="D50" s="68"/>
      <c r="E50" s="89"/>
      <c r="F50" s="68"/>
      <c r="G50" s="89"/>
      <c r="H50" s="177"/>
      <c r="I50" s="178" t="s">
        <v>847</v>
      </c>
      <c r="J50" s="178" t="s">
        <v>1887</v>
      </c>
      <c r="K50" s="178" t="s">
        <v>1235</v>
      </c>
      <c r="L50" s="148" t="s">
        <v>1806</v>
      </c>
      <c r="M50" s="46" t="str">
        <f t="shared" si="1"/>
        <v>OneCo Networks AS</v>
      </c>
      <c r="N50" s="42" t="str">
        <f ca="1">IFERROR(
VLOOKUP(BoM_Griptel[[#This Row],[Product code]],
IF(AND((BoQ!$N$3&lt;&gt;""),OR(BoM_Griptel[[#This Row],[Vendor]]="Griptel",BoM_Griptel[[#This Row],[Vendor]]="Solar")),INDIRECT(Aux!$A$1)),4,FALSE),"")</f>
        <v/>
      </c>
      <c r="O50" s="170" t="s">
        <v>1807</v>
      </c>
      <c r="P50" s="43" t="str">
        <f>IFERROR(IF(AND(BoM_Griptel[[#This Row],[Quantity]]&lt;&gt;"",BoM_Griptel[[#This Row],[Currency]]="NOK"),BoM_Griptel[[#This Row],[Quantity]]*BoM_Griptel[[#This Row],[Unit Price]],""),"")</f>
        <v/>
      </c>
      <c r="Q50" s="43" t="str">
        <f>IFERROR(IF(AND(BoM_Griptel[[#This Row],[ACT_Qty]]&lt;&gt;"",BoM_Griptel[[#This Row],[Currency]]="NOK"),BoM_Griptel[[#This Row],[ACT_Qty]]*BoM_Griptel[[#This Row],[Unit Price]],""),"")</f>
        <v/>
      </c>
      <c r="R50" s="43" t="str">
        <f>IFERROR(IF(AND(BoM_Griptel[[#This Row],[Quantity]]&lt;&gt;"",BoM_Griptel[[#This Row],[Currency]]="EUR"),BoM_Griptel[[#This Row],[Quantity]]*BoM_Griptel[[#This Row],[Unit Price]],""),"")</f>
        <v/>
      </c>
      <c r="S50" s="43" t="str">
        <f>IFERROR(IF(AND(BoM_Griptel[[#This Row],[ACT_Qty]]&lt;&gt;"",BoM_Griptel[[#This Row],[Currency]]="EUR"),BoM_Griptel[[#This Row],[ACT_Qty]]*BoM_Griptel[[#This Row],[Unit Price]],""),"")</f>
        <v/>
      </c>
      <c r="T50" s="186" t="s">
        <v>1802</v>
      </c>
      <c r="U50" s="46"/>
      <c r="V50" s="46"/>
      <c r="W50" s="146"/>
    </row>
    <row r="51" spans="1:23" ht="15" customHeight="1">
      <c r="A51" s="143" t="str">
        <f t="shared" si="0"/>
        <v>AKH12345</v>
      </c>
      <c r="B51" s="144" t="s">
        <v>1890</v>
      </c>
      <c r="C51" s="143" t="s">
        <v>1891</v>
      </c>
      <c r="D51" s="105"/>
      <c r="E51" s="106"/>
      <c r="F51" s="105"/>
      <c r="G51" s="106"/>
      <c r="H51" s="175"/>
      <c r="I51" s="176" t="s">
        <v>847</v>
      </c>
      <c r="J51" s="176" t="s">
        <v>1887</v>
      </c>
      <c r="K51" s="176" t="s">
        <v>1235</v>
      </c>
      <c r="L51" s="145" t="s">
        <v>1806</v>
      </c>
      <c r="M51" s="45" t="str">
        <f t="shared" si="1"/>
        <v>OneCo Networks AS</v>
      </c>
      <c r="N51" s="40" t="str">
        <f ca="1">IFERROR(
VLOOKUP(BoM_Griptel[[#This Row],[Product code]],
IF(AND((BoQ!$N$3&lt;&gt;""),OR(BoM_Griptel[[#This Row],[Vendor]]="Griptel",BoM_Griptel[[#This Row],[Vendor]]="Solar")),INDIRECT(Aux!$A$1)),4,FALSE),"")</f>
        <v/>
      </c>
      <c r="O51" s="169" t="s">
        <v>1807</v>
      </c>
      <c r="P51" s="41" t="str">
        <f>IFERROR(IF(AND(BoM_Griptel[[#This Row],[Quantity]]&lt;&gt;"",BoM_Griptel[[#This Row],[Currency]]="NOK"),BoM_Griptel[[#This Row],[Quantity]]*BoM_Griptel[[#This Row],[Unit Price]],""),"")</f>
        <v/>
      </c>
      <c r="Q51" s="41" t="str">
        <f>IFERROR(IF(AND(BoM_Griptel[[#This Row],[ACT_Qty]]&lt;&gt;"",BoM_Griptel[[#This Row],[Currency]]="NOK"),BoM_Griptel[[#This Row],[ACT_Qty]]*BoM_Griptel[[#This Row],[Unit Price]],""),"")</f>
        <v/>
      </c>
      <c r="R51" s="41" t="str">
        <f>IFERROR(IF(AND(BoM_Griptel[[#This Row],[Quantity]]&lt;&gt;"",BoM_Griptel[[#This Row],[Currency]]="EUR"),BoM_Griptel[[#This Row],[Quantity]]*BoM_Griptel[[#This Row],[Unit Price]],""),"")</f>
        <v/>
      </c>
      <c r="S51" s="41" t="str">
        <f>IFERROR(IF(AND(BoM_Griptel[[#This Row],[ACT_Qty]]&lt;&gt;"",BoM_Griptel[[#This Row],[Currency]]="EUR"),BoM_Griptel[[#This Row],[ACT_Qty]]*BoM_Griptel[[#This Row],[Unit Price]],""),"")</f>
        <v/>
      </c>
      <c r="T51" s="185" t="s">
        <v>1802</v>
      </c>
      <c r="U51" s="45"/>
      <c r="V51" s="45"/>
      <c r="W51" s="143"/>
    </row>
    <row r="52" spans="1:23" ht="15" customHeight="1">
      <c r="A52" s="146" t="str">
        <f t="shared" si="0"/>
        <v>AKH12345</v>
      </c>
      <c r="B52" s="147" t="s">
        <v>1892</v>
      </c>
      <c r="C52" s="146" t="s">
        <v>1893</v>
      </c>
      <c r="D52" s="68"/>
      <c r="E52" s="89"/>
      <c r="F52" s="68"/>
      <c r="G52" s="89"/>
      <c r="H52" s="177"/>
      <c r="I52" s="178" t="s">
        <v>847</v>
      </c>
      <c r="J52" s="178" t="s">
        <v>1887</v>
      </c>
      <c r="K52" s="178" t="s">
        <v>1235</v>
      </c>
      <c r="L52" s="148" t="s">
        <v>1806</v>
      </c>
      <c r="M52" s="46" t="str">
        <f t="shared" si="1"/>
        <v>OneCo Networks AS</v>
      </c>
      <c r="N52" s="42" t="str">
        <f ca="1">IFERROR(
VLOOKUP(BoM_Griptel[[#This Row],[Product code]],
IF(AND((BoQ!$N$3&lt;&gt;""),OR(BoM_Griptel[[#This Row],[Vendor]]="Griptel",BoM_Griptel[[#This Row],[Vendor]]="Solar")),INDIRECT(Aux!$A$1)),4,FALSE),"")</f>
        <v/>
      </c>
      <c r="O52" s="170" t="s">
        <v>1807</v>
      </c>
      <c r="P52" s="43" t="str">
        <f>IFERROR(IF(AND(BoM_Griptel[[#This Row],[Quantity]]&lt;&gt;"",BoM_Griptel[[#This Row],[Currency]]="NOK"),BoM_Griptel[[#This Row],[Quantity]]*BoM_Griptel[[#This Row],[Unit Price]],""),"")</f>
        <v/>
      </c>
      <c r="Q52" s="43" t="str">
        <f>IFERROR(IF(AND(BoM_Griptel[[#This Row],[ACT_Qty]]&lt;&gt;"",BoM_Griptel[[#This Row],[Currency]]="NOK"),BoM_Griptel[[#This Row],[ACT_Qty]]*BoM_Griptel[[#This Row],[Unit Price]],""),"")</f>
        <v/>
      </c>
      <c r="R52" s="43" t="str">
        <f>IFERROR(IF(AND(BoM_Griptel[[#This Row],[Quantity]]&lt;&gt;"",BoM_Griptel[[#This Row],[Currency]]="EUR"),BoM_Griptel[[#This Row],[Quantity]]*BoM_Griptel[[#This Row],[Unit Price]],""),"")</f>
        <v/>
      </c>
      <c r="S52" s="43" t="str">
        <f>IFERROR(IF(AND(BoM_Griptel[[#This Row],[ACT_Qty]]&lt;&gt;"",BoM_Griptel[[#This Row],[Currency]]="EUR"),BoM_Griptel[[#This Row],[ACT_Qty]]*BoM_Griptel[[#This Row],[Unit Price]],""),"")</f>
        <v/>
      </c>
      <c r="T52" s="186" t="s">
        <v>1802</v>
      </c>
      <c r="U52" s="46"/>
      <c r="V52" s="46"/>
      <c r="W52" s="146"/>
    </row>
    <row r="53" spans="1:23" ht="15" customHeight="1">
      <c r="A53" s="143" t="str">
        <f t="shared" si="0"/>
        <v>AKH12345</v>
      </c>
      <c r="B53" s="144" t="s">
        <v>1894</v>
      </c>
      <c r="C53" s="143" t="s">
        <v>1895</v>
      </c>
      <c r="D53" s="105"/>
      <c r="E53" s="106"/>
      <c r="F53" s="105"/>
      <c r="G53" s="106"/>
      <c r="H53" s="175"/>
      <c r="I53" s="176" t="s">
        <v>847</v>
      </c>
      <c r="J53" s="176" t="s">
        <v>1887</v>
      </c>
      <c r="K53" s="176" t="s">
        <v>1235</v>
      </c>
      <c r="L53" s="145" t="s">
        <v>1806</v>
      </c>
      <c r="M53" s="45" t="str">
        <f t="shared" si="1"/>
        <v>OneCo Networks AS</v>
      </c>
      <c r="N53" s="40" t="str">
        <f ca="1">IFERROR(
VLOOKUP(BoM_Griptel[[#This Row],[Product code]],
IF(AND((BoQ!$N$3&lt;&gt;""),OR(BoM_Griptel[[#This Row],[Vendor]]="Griptel",BoM_Griptel[[#This Row],[Vendor]]="Solar")),INDIRECT(Aux!$A$1)),4,FALSE),"")</f>
        <v/>
      </c>
      <c r="O53" s="169" t="s">
        <v>1807</v>
      </c>
      <c r="P53" s="41" t="str">
        <f>IFERROR(IF(AND(BoM_Griptel[[#This Row],[Quantity]]&lt;&gt;"",BoM_Griptel[[#This Row],[Currency]]="NOK"),BoM_Griptel[[#This Row],[Quantity]]*BoM_Griptel[[#This Row],[Unit Price]],""),"")</f>
        <v/>
      </c>
      <c r="Q53" s="41" t="str">
        <f>IFERROR(IF(AND(BoM_Griptel[[#This Row],[ACT_Qty]]&lt;&gt;"",BoM_Griptel[[#This Row],[Currency]]="NOK"),BoM_Griptel[[#This Row],[ACT_Qty]]*BoM_Griptel[[#This Row],[Unit Price]],""),"")</f>
        <v/>
      </c>
      <c r="R53" s="41" t="str">
        <f>IFERROR(IF(AND(BoM_Griptel[[#This Row],[Quantity]]&lt;&gt;"",BoM_Griptel[[#This Row],[Currency]]="EUR"),BoM_Griptel[[#This Row],[Quantity]]*BoM_Griptel[[#This Row],[Unit Price]],""),"")</f>
        <v/>
      </c>
      <c r="S53" s="41" t="str">
        <f>IFERROR(IF(AND(BoM_Griptel[[#This Row],[ACT_Qty]]&lt;&gt;"",BoM_Griptel[[#This Row],[Currency]]="EUR"),BoM_Griptel[[#This Row],[ACT_Qty]]*BoM_Griptel[[#This Row],[Unit Price]],""),"")</f>
        <v/>
      </c>
      <c r="T53" s="185" t="s">
        <v>1802</v>
      </c>
      <c r="U53" s="45"/>
      <c r="V53" s="45"/>
      <c r="W53" s="143"/>
    </row>
    <row r="54" spans="1:23" ht="15" customHeight="1">
      <c r="A54" s="146" t="str">
        <f t="shared" si="0"/>
        <v>AKH12345</v>
      </c>
      <c r="B54" s="147" t="s">
        <v>1896</v>
      </c>
      <c r="C54" s="146" t="s">
        <v>1897</v>
      </c>
      <c r="D54" s="68"/>
      <c r="E54" s="89"/>
      <c r="F54" s="68"/>
      <c r="G54" s="89"/>
      <c r="H54" s="177"/>
      <c r="I54" s="178" t="s">
        <v>847</v>
      </c>
      <c r="J54" s="178" t="s">
        <v>1898</v>
      </c>
      <c r="K54" s="178" t="s">
        <v>1235</v>
      </c>
      <c r="L54" s="148" t="s">
        <v>1806</v>
      </c>
      <c r="M54" s="46" t="str">
        <f t="shared" si="1"/>
        <v>OneCo Networks AS</v>
      </c>
      <c r="N54" s="42" t="str">
        <f ca="1">IFERROR(
VLOOKUP(BoM_Griptel[[#This Row],[Product code]],
IF(AND((BoQ!$N$3&lt;&gt;""),OR(BoM_Griptel[[#This Row],[Vendor]]="Griptel",BoM_Griptel[[#This Row],[Vendor]]="Solar")),INDIRECT(Aux!$A$1)),4,FALSE),"")</f>
        <v/>
      </c>
      <c r="O54" s="170" t="s">
        <v>1807</v>
      </c>
      <c r="P54" s="43" t="str">
        <f>IFERROR(IF(AND(BoM_Griptel[[#This Row],[Quantity]]&lt;&gt;"",BoM_Griptel[[#This Row],[Currency]]="NOK"),BoM_Griptel[[#This Row],[Quantity]]*BoM_Griptel[[#This Row],[Unit Price]],""),"")</f>
        <v/>
      </c>
      <c r="Q54" s="43" t="str">
        <f>IFERROR(IF(AND(BoM_Griptel[[#This Row],[ACT_Qty]]&lt;&gt;"",BoM_Griptel[[#This Row],[Currency]]="NOK"),BoM_Griptel[[#This Row],[ACT_Qty]]*BoM_Griptel[[#This Row],[Unit Price]],""),"")</f>
        <v/>
      </c>
      <c r="R54" s="43" t="str">
        <f>IFERROR(IF(AND(BoM_Griptel[[#This Row],[Quantity]]&lt;&gt;"",BoM_Griptel[[#This Row],[Currency]]="EUR"),BoM_Griptel[[#This Row],[Quantity]]*BoM_Griptel[[#This Row],[Unit Price]],""),"")</f>
        <v/>
      </c>
      <c r="S54" s="43" t="str">
        <f>IFERROR(IF(AND(BoM_Griptel[[#This Row],[ACT_Qty]]&lt;&gt;"",BoM_Griptel[[#This Row],[Currency]]="EUR"),BoM_Griptel[[#This Row],[ACT_Qty]]*BoM_Griptel[[#This Row],[Unit Price]],""),"")</f>
        <v/>
      </c>
      <c r="T54" s="186" t="s">
        <v>1802</v>
      </c>
      <c r="U54" s="46"/>
      <c r="V54" s="46"/>
      <c r="W54" s="146"/>
    </row>
    <row r="55" spans="1:23" ht="15" customHeight="1">
      <c r="A55" s="143" t="str">
        <f t="shared" si="0"/>
        <v>AKH12345</v>
      </c>
      <c r="B55" s="144" t="s">
        <v>1899</v>
      </c>
      <c r="C55" s="143" t="s">
        <v>1900</v>
      </c>
      <c r="D55" s="105"/>
      <c r="E55" s="106"/>
      <c r="F55" s="105"/>
      <c r="G55" s="106"/>
      <c r="H55" s="175"/>
      <c r="I55" s="176" t="s">
        <v>847</v>
      </c>
      <c r="J55" s="176" t="s">
        <v>1898</v>
      </c>
      <c r="K55" s="176" t="s">
        <v>1235</v>
      </c>
      <c r="L55" s="145" t="s">
        <v>1806</v>
      </c>
      <c r="M55" s="45" t="str">
        <f t="shared" si="1"/>
        <v>OneCo Networks AS</v>
      </c>
      <c r="N55" s="40" t="str">
        <f ca="1">IFERROR(
VLOOKUP(BoM_Griptel[[#This Row],[Product code]],
IF(AND((BoQ!$N$3&lt;&gt;""),OR(BoM_Griptel[[#This Row],[Vendor]]="Griptel",BoM_Griptel[[#This Row],[Vendor]]="Solar")),INDIRECT(Aux!$A$1)),4,FALSE),"")</f>
        <v/>
      </c>
      <c r="O55" s="169" t="s">
        <v>1807</v>
      </c>
      <c r="P55" s="41" t="str">
        <f>IFERROR(IF(AND(BoM_Griptel[[#This Row],[Quantity]]&lt;&gt;"",BoM_Griptel[[#This Row],[Currency]]="NOK"),BoM_Griptel[[#This Row],[Quantity]]*BoM_Griptel[[#This Row],[Unit Price]],""),"")</f>
        <v/>
      </c>
      <c r="Q55" s="41" t="str">
        <f>IFERROR(IF(AND(BoM_Griptel[[#This Row],[ACT_Qty]]&lt;&gt;"",BoM_Griptel[[#This Row],[Currency]]="NOK"),BoM_Griptel[[#This Row],[ACT_Qty]]*BoM_Griptel[[#This Row],[Unit Price]],""),"")</f>
        <v/>
      </c>
      <c r="R55" s="41" t="str">
        <f>IFERROR(IF(AND(BoM_Griptel[[#This Row],[Quantity]]&lt;&gt;"",BoM_Griptel[[#This Row],[Currency]]="EUR"),BoM_Griptel[[#This Row],[Quantity]]*BoM_Griptel[[#This Row],[Unit Price]],""),"")</f>
        <v/>
      </c>
      <c r="S55" s="41" t="str">
        <f>IFERROR(IF(AND(BoM_Griptel[[#This Row],[ACT_Qty]]&lt;&gt;"",BoM_Griptel[[#This Row],[Currency]]="EUR"),BoM_Griptel[[#This Row],[ACT_Qty]]*BoM_Griptel[[#This Row],[Unit Price]],""),"")</f>
        <v/>
      </c>
      <c r="T55" s="185" t="s">
        <v>1802</v>
      </c>
      <c r="U55" s="45"/>
      <c r="V55" s="45"/>
      <c r="W55" s="143"/>
    </row>
    <row r="56" spans="1:23" ht="15" customHeight="1">
      <c r="A56" s="146" t="str">
        <f t="shared" si="0"/>
        <v>AKH12345</v>
      </c>
      <c r="B56" s="147" t="s">
        <v>1901</v>
      </c>
      <c r="C56" s="146" t="s">
        <v>1902</v>
      </c>
      <c r="D56" s="68"/>
      <c r="E56" s="89"/>
      <c r="F56" s="68"/>
      <c r="G56" s="89"/>
      <c r="H56" s="177"/>
      <c r="I56" s="178" t="s">
        <v>847</v>
      </c>
      <c r="J56" s="178" t="s">
        <v>1898</v>
      </c>
      <c r="K56" s="178" t="s">
        <v>1235</v>
      </c>
      <c r="L56" s="148" t="s">
        <v>1806</v>
      </c>
      <c r="M56" s="46" t="str">
        <f t="shared" si="1"/>
        <v>OneCo Networks AS</v>
      </c>
      <c r="N56" s="42" t="str">
        <f ca="1">IFERROR(
VLOOKUP(BoM_Griptel[[#This Row],[Product code]],
IF(AND((BoQ!$N$3&lt;&gt;""),OR(BoM_Griptel[[#This Row],[Vendor]]="Griptel",BoM_Griptel[[#This Row],[Vendor]]="Solar")),INDIRECT(Aux!$A$1)),4,FALSE),"")</f>
        <v/>
      </c>
      <c r="O56" s="170" t="s">
        <v>1807</v>
      </c>
      <c r="P56" s="43" t="str">
        <f>IFERROR(IF(AND(BoM_Griptel[[#This Row],[Quantity]]&lt;&gt;"",BoM_Griptel[[#This Row],[Currency]]="NOK"),BoM_Griptel[[#This Row],[Quantity]]*BoM_Griptel[[#This Row],[Unit Price]],""),"")</f>
        <v/>
      </c>
      <c r="Q56" s="43" t="str">
        <f>IFERROR(IF(AND(BoM_Griptel[[#This Row],[ACT_Qty]]&lt;&gt;"",BoM_Griptel[[#This Row],[Currency]]="NOK"),BoM_Griptel[[#This Row],[ACT_Qty]]*BoM_Griptel[[#This Row],[Unit Price]],""),"")</f>
        <v/>
      </c>
      <c r="R56" s="43" t="str">
        <f>IFERROR(IF(AND(BoM_Griptel[[#This Row],[Quantity]]&lt;&gt;"",BoM_Griptel[[#This Row],[Currency]]="EUR"),BoM_Griptel[[#This Row],[Quantity]]*BoM_Griptel[[#This Row],[Unit Price]],""),"")</f>
        <v/>
      </c>
      <c r="S56" s="43" t="str">
        <f>IFERROR(IF(AND(BoM_Griptel[[#This Row],[ACT_Qty]]&lt;&gt;"",BoM_Griptel[[#This Row],[Currency]]="EUR"),BoM_Griptel[[#This Row],[ACT_Qty]]*BoM_Griptel[[#This Row],[Unit Price]],""),"")</f>
        <v/>
      </c>
      <c r="T56" s="186" t="s">
        <v>1802</v>
      </c>
      <c r="U56" s="46"/>
      <c r="V56" s="46"/>
      <c r="W56" s="146"/>
    </row>
    <row r="57" spans="1:23" ht="15" customHeight="1">
      <c r="A57" s="143" t="str">
        <f t="shared" si="0"/>
        <v>AKH12345</v>
      </c>
      <c r="B57" s="144" t="s">
        <v>1903</v>
      </c>
      <c r="C57" s="143" t="s">
        <v>1904</v>
      </c>
      <c r="D57" s="105"/>
      <c r="E57" s="106"/>
      <c r="F57" s="105"/>
      <c r="G57" s="106"/>
      <c r="H57" s="175"/>
      <c r="I57" s="176" t="s">
        <v>847</v>
      </c>
      <c r="J57" s="176" t="s">
        <v>1905</v>
      </c>
      <c r="K57" s="176" t="s">
        <v>1235</v>
      </c>
      <c r="L57" s="145" t="s">
        <v>1806</v>
      </c>
      <c r="M57" s="45" t="str">
        <f t="shared" si="1"/>
        <v>OneCo Networks AS</v>
      </c>
      <c r="N57" s="40" t="str">
        <f ca="1">IFERROR(
VLOOKUP(BoM_Griptel[[#This Row],[Product code]],
IF(AND((BoQ!$N$3&lt;&gt;""),OR(BoM_Griptel[[#This Row],[Vendor]]="Griptel",BoM_Griptel[[#This Row],[Vendor]]="Solar")),INDIRECT(Aux!$A$1)),4,FALSE),"")</f>
        <v/>
      </c>
      <c r="O57" s="169" t="s">
        <v>1807</v>
      </c>
      <c r="P57" s="41" t="str">
        <f>IFERROR(IF(AND(BoM_Griptel[[#This Row],[Quantity]]&lt;&gt;"",BoM_Griptel[[#This Row],[Currency]]="NOK"),BoM_Griptel[[#This Row],[Quantity]]*BoM_Griptel[[#This Row],[Unit Price]],""),"")</f>
        <v/>
      </c>
      <c r="Q57" s="41" t="str">
        <f>IFERROR(IF(AND(BoM_Griptel[[#This Row],[ACT_Qty]]&lt;&gt;"",BoM_Griptel[[#This Row],[Currency]]="NOK"),BoM_Griptel[[#This Row],[ACT_Qty]]*BoM_Griptel[[#This Row],[Unit Price]],""),"")</f>
        <v/>
      </c>
      <c r="R57" s="41" t="str">
        <f>IFERROR(IF(AND(BoM_Griptel[[#This Row],[Quantity]]&lt;&gt;"",BoM_Griptel[[#This Row],[Currency]]="EUR"),BoM_Griptel[[#This Row],[Quantity]]*BoM_Griptel[[#This Row],[Unit Price]],""),"")</f>
        <v/>
      </c>
      <c r="S57" s="41" t="str">
        <f>IFERROR(IF(AND(BoM_Griptel[[#This Row],[ACT_Qty]]&lt;&gt;"",BoM_Griptel[[#This Row],[Currency]]="EUR"),BoM_Griptel[[#This Row],[ACT_Qty]]*BoM_Griptel[[#This Row],[Unit Price]],""),"")</f>
        <v/>
      </c>
      <c r="T57" s="185" t="s">
        <v>1802</v>
      </c>
      <c r="U57" s="45"/>
      <c r="V57" s="45"/>
      <c r="W57" s="143"/>
    </row>
    <row r="58" spans="1:23" ht="15" customHeight="1">
      <c r="A58" s="146" t="str">
        <f t="shared" si="0"/>
        <v>AKH12345</v>
      </c>
      <c r="B58" s="147" t="s">
        <v>1906</v>
      </c>
      <c r="C58" s="146" t="s">
        <v>1907</v>
      </c>
      <c r="D58" s="68"/>
      <c r="E58" s="89"/>
      <c r="F58" s="68"/>
      <c r="G58" s="89"/>
      <c r="H58" s="177"/>
      <c r="I58" s="178" t="s">
        <v>847</v>
      </c>
      <c r="J58" s="178" t="s">
        <v>1905</v>
      </c>
      <c r="K58" s="178" t="s">
        <v>1235</v>
      </c>
      <c r="L58" s="148" t="s">
        <v>1806</v>
      </c>
      <c r="M58" s="46" t="str">
        <f t="shared" si="1"/>
        <v>OneCo Networks AS</v>
      </c>
      <c r="N58" s="42" t="str">
        <f ca="1">IFERROR(
VLOOKUP(BoM_Griptel[[#This Row],[Product code]],
IF(AND((BoQ!$N$3&lt;&gt;""),OR(BoM_Griptel[[#This Row],[Vendor]]="Griptel",BoM_Griptel[[#This Row],[Vendor]]="Solar")),INDIRECT(Aux!$A$1)),4,FALSE),"")</f>
        <v/>
      </c>
      <c r="O58" s="170" t="s">
        <v>1807</v>
      </c>
      <c r="P58" s="43" t="str">
        <f>IFERROR(IF(AND(BoM_Griptel[[#This Row],[Quantity]]&lt;&gt;"",BoM_Griptel[[#This Row],[Currency]]="NOK"),BoM_Griptel[[#This Row],[Quantity]]*BoM_Griptel[[#This Row],[Unit Price]],""),"")</f>
        <v/>
      </c>
      <c r="Q58" s="43" t="str">
        <f>IFERROR(IF(AND(BoM_Griptel[[#This Row],[ACT_Qty]]&lt;&gt;"",BoM_Griptel[[#This Row],[Currency]]="NOK"),BoM_Griptel[[#This Row],[ACT_Qty]]*BoM_Griptel[[#This Row],[Unit Price]],""),"")</f>
        <v/>
      </c>
      <c r="R58" s="43" t="str">
        <f>IFERROR(IF(AND(BoM_Griptel[[#This Row],[Quantity]]&lt;&gt;"",BoM_Griptel[[#This Row],[Currency]]="EUR"),BoM_Griptel[[#This Row],[Quantity]]*BoM_Griptel[[#This Row],[Unit Price]],""),"")</f>
        <v/>
      </c>
      <c r="S58" s="43" t="str">
        <f>IFERROR(IF(AND(BoM_Griptel[[#This Row],[ACT_Qty]]&lt;&gt;"",BoM_Griptel[[#This Row],[Currency]]="EUR"),BoM_Griptel[[#This Row],[ACT_Qty]]*BoM_Griptel[[#This Row],[Unit Price]],""),"")</f>
        <v/>
      </c>
      <c r="T58" s="186" t="s">
        <v>1802</v>
      </c>
      <c r="U58" s="46"/>
      <c r="V58" s="46"/>
      <c r="W58" s="146"/>
    </row>
    <row r="59" spans="1:23" ht="15" customHeight="1">
      <c r="A59" s="143" t="str">
        <f t="shared" si="0"/>
        <v>AKH12345</v>
      </c>
      <c r="B59" s="144" t="s">
        <v>1908</v>
      </c>
      <c r="C59" s="143" t="s">
        <v>1909</v>
      </c>
      <c r="D59" s="105"/>
      <c r="E59" s="106"/>
      <c r="F59" s="105"/>
      <c r="G59" s="106"/>
      <c r="H59" s="175"/>
      <c r="I59" s="176" t="s">
        <v>847</v>
      </c>
      <c r="J59" s="176" t="s">
        <v>1805</v>
      </c>
      <c r="K59" s="176" t="s">
        <v>1235</v>
      </c>
      <c r="L59" s="145" t="s">
        <v>1806</v>
      </c>
      <c r="M59" s="45" t="str">
        <f>IF($C$3&lt;&gt;"",$C$3,"")</f>
        <v>OneCo Networks AS</v>
      </c>
      <c r="N59" s="40" t="str">
        <f ca="1">IFERROR(
VLOOKUP(BoM_Griptel[[#This Row],[Product code]],
IF(AND((BoQ!$N$3&lt;&gt;""),OR(BoM_Griptel[[#This Row],[Vendor]]="Griptel",BoM_Griptel[[#This Row],[Vendor]]="Solar")),INDIRECT(Aux!$A$1)),4,FALSE),"")</f>
        <v/>
      </c>
      <c r="O59" s="169" t="s">
        <v>1807</v>
      </c>
      <c r="P59" s="41" t="str">
        <f>IFERROR(IF(AND(BoM_Griptel[[#This Row],[Quantity]]&lt;&gt;"",BoM_Griptel[[#This Row],[Currency]]="NOK"),BoM_Griptel[[#This Row],[Quantity]]*BoM_Griptel[[#This Row],[Unit Price]],""),"")</f>
        <v/>
      </c>
      <c r="Q59" s="41" t="str">
        <f>IFERROR(IF(AND(BoM_Griptel[[#This Row],[ACT_Qty]]&lt;&gt;"",BoM_Griptel[[#This Row],[Currency]]="NOK"),BoM_Griptel[[#This Row],[ACT_Qty]]*BoM_Griptel[[#This Row],[Unit Price]],""),"")</f>
        <v/>
      </c>
      <c r="R59" s="41" t="str">
        <f>IFERROR(IF(AND(BoM_Griptel[[#This Row],[Quantity]]&lt;&gt;"",BoM_Griptel[[#This Row],[Currency]]="EUR"),BoM_Griptel[[#This Row],[Quantity]]*BoM_Griptel[[#This Row],[Unit Price]],""),"")</f>
        <v/>
      </c>
      <c r="S59" s="41" t="str">
        <f>IFERROR(IF(AND(BoM_Griptel[[#This Row],[ACT_Qty]]&lt;&gt;"",BoM_Griptel[[#This Row],[Currency]]="EUR"),BoM_Griptel[[#This Row],[ACT_Qty]]*BoM_Griptel[[#This Row],[Unit Price]],""),"")</f>
        <v/>
      </c>
      <c r="T59" s="185" t="s">
        <v>1802</v>
      </c>
      <c r="U59" s="45"/>
      <c r="V59" s="45"/>
      <c r="W59" s="143"/>
    </row>
    <row r="60" spans="1:23" ht="15" customHeight="1">
      <c r="A60" s="146" t="str">
        <f t="shared" si="0"/>
        <v>AKH12345</v>
      </c>
      <c r="B60" s="147" t="s">
        <v>1910</v>
      </c>
      <c r="C60" s="146" t="s">
        <v>1911</v>
      </c>
      <c r="D60" s="68"/>
      <c r="E60" s="89"/>
      <c r="F60" s="68"/>
      <c r="G60" s="89"/>
      <c r="H60" s="177"/>
      <c r="I60" s="178" t="s">
        <v>847</v>
      </c>
      <c r="J60" s="178" t="s">
        <v>1805</v>
      </c>
      <c r="K60" s="178" t="s">
        <v>1235</v>
      </c>
      <c r="L60" s="148" t="s">
        <v>1806</v>
      </c>
      <c r="M60" s="46" t="str">
        <f>IF($C$3&lt;&gt;"",$C$3,"")</f>
        <v>OneCo Networks AS</v>
      </c>
      <c r="N60" s="42" t="str">
        <f ca="1">IFERROR(
VLOOKUP(BoM_Griptel[[#This Row],[Product code]],
IF(AND((BoQ!$N$3&lt;&gt;""),OR(BoM_Griptel[[#This Row],[Vendor]]="Griptel",BoM_Griptel[[#This Row],[Vendor]]="Solar")),INDIRECT(Aux!$A$1)),4,FALSE),"")</f>
        <v/>
      </c>
      <c r="O60" s="170" t="s">
        <v>1807</v>
      </c>
      <c r="P60" s="43" t="str">
        <f>IFERROR(IF(AND(BoM_Griptel[[#This Row],[Quantity]]&lt;&gt;"",BoM_Griptel[[#This Row],[Currency]]="NOK"),BoM_Griptel[[#This Row],[Quantity]]*BoM_Griptel[[#This Row],[Unit Price]],""),"")</f>
        <v/>
      </c>
      <c r="Q60" s="43" t="str">
        <f>IFERROR(IF(AND(BoM_Griptel[[#This Row],[ACT_Qty]]&lt;&gt;"",BoM_Griptel[[#This Row],[Currency]]="NOK"),BoM_Griptel[[#This Row],[ACT_Qty]]*BoM_Griptel[[#This Row],[Unit Price]],""),"")</f>
        <v/>
      </c>
      <c r="R60" s="43" t="str">
        <f>IFERROR(IF(AND(BoM_Griptel[[#This Row],[Quantity]]&lt;&gt;"",BoM_Griptel[[#This Row],[Currency]]="EUR"),BoM_Griptel[[#This Row],[Quantity]]*BoM_Griptel[[#This Row],[Unit Price]],""),"")</f>
        <v/>
      </c>
      <c r="S60" s="43" t="str">
        <f>IFERROR(IF(AND(BoM_Griptel[[#This Row],[ACT_Qty]]&lt;&gt;"",BoM_Griptel[[#This Row],[Currency]]="EUR"),BoM_Griptel[[#This Row],[ACT_Qty]]*BoM_Griptel[[#This Row],[Unit Price]],""),"")</f>
        <v/>
      </c>
      <c r="T60" s="186" t="s">
        <v>1802</v>
      </c>
      <c r="U60" s="46"/>
      <c r="V60" s="46"/>
      <c r="W60" s="146"/>
    </row>
    <row r="61" spans="1:23" ht="15" customHeight="1">
      <c r="A61" s="143" t="str">
        <f t="shared" si="0"/>
        <v>AKH12345</v>
      </c>
      <c r="B61" s="144" t="s">
        <v>1912</v>
      </c>
      <c r="C61" s="143" t="s">
        <v>1913</v>
      </c>
      <c r="D61" s="105"/>
      <c r="E61" s="106"/>
      <c r="F61" s="105"/>
      <c r="G61" s="106"/>
      <c r="H61" s="175"/>
      <c r="I61" s="176" t="s">
        <v>847</v>
      </c>
      <c r="J61" s="176" t="s">
        <v>1805</v>
      </c>
      <c r="K61" s="176" t="s">
        <v>1235</v>
      </c>
      <c r="L61" s="145" t="s">
        <v>1806</v>
      </c>
      <c r="M61" s="45" t="str">
        <f>IF($C$3&lt;&gt;"",$C$3,"")</f>
        <v>OneCo Networks AS</v>
      </c>
      <c r="N61" s="40" t="str">
        <f ca="1">IFERROR(
VLOOKUP(BoM_Griptel[[#This Row],[Product code]],
IF(AND((BoQ!$N$3&lt;&gt;""),OR(BoM_Griptel[[#This Row],[Vendor]]="Griptel",BoM_Griptel[[#This Row],[Vendor]]="Solar")),INDIRECT(Aux!$A$1)),4,FALSE),"")</f>
        <v/>
      </c>
      <c r="O61" s="169" t="s">
        <v>1807</v>
      </c>
      <c r="P61" s="41" t="str">
        <f>IFERROR(IF(AND(BoM_Griptel[[#This Row],[Quantity]]&lt;&gt;"",BoM_Griptel[[#This Row],[Currency]]="NOK"),BoM_Griptel[[#This Row],[Quantity]]*BoM_Griptel[[#This Row],[Unit Price]],""),"")</f>
        <v/>
      </c>
      <c r="Q61" s="41" t="str">
        <f>IFERROR(IF(AND(BoM_Griptel[[#This Row],[ACT_Qty]]&lt;&gt;"",BoM_Griptel[[#This Row],[Currency]]="NOK"),BoM_Griptel[[#This Row],[ACT_Qty]]*BoM_Griptel[[#This Row],[Unit Price]],""),"")</f>
        <v/>
      </c>
      <c r="R61" s="41" t="str">
        <f>IFERROR(IF(AND(BoM_Griptel[[#This Row],[Quantity]]&lt;&gt;"",BoM_Griptel[[#This Row],[Currency]]="EUR"),BoM_Griptel[[#This Row],[Quantity]]*BoM_Griptel[[#This Row],[Unit Price]],""),"")</f>
        <v/>
      </c>
      <c r="S61" s="41" t="str">
        <f>IFERROR(IF(AND(BoM_Griptel[[#This Row],[ACT_Qty]]&lt;&gt;"",BoM_Griptel[[#This Row],[Currency]]="EUR"),BoM_Griptel[[#This Row],[ACT_Qty]]*BoM_Griptel[[#This Row],[Unit Price]],""),"")</f>
        <v/>
      </c>
      <c r="T61" s="185" t="s">
        <v>1802</v>
      </c>
      <c r="U61" s="45"/>
      <c r="V61" s="45"/>
      <c r="W61" s="143"/>
    </row>
    <row r="62" spans="1:23" ht="15" customHeight="1">
      <c r="A62" s="146" t="str">
        <f t="shared" si="0"/>
        <v>AKH12345</v>
      </c>
      <c r="B62" s="147" t="s">
        <v>1914</v>
      </c>
      <c r="C62" s="146" t="s">
        <v>1915</v>
      </c>
      <c r="D62" s="68"/>
      <c r="E62" s="89"/>
      <c r="F62" s="68"/>
      <c r="G62" s="89"/>
      <c r="H62" s="177"/>
      <c r="I62" s="178" t="s">
        <v>847</v>
      </c>
      <c r="J62" s="178" t="s">
        <v>1805</v>
      </c>
      <c r="K62" s="178" t="s">
        <v>1235</v>
      </c>
      <c r="L62" s="148" t="s">
        <v>1806</v>
      </c>
      <c r="M62" s="46" t="str">
        <f>IF($C$3&lt;&gt;"",$C$3,"")</f>
        <v>OneCo Networks AS</v>
      </c>
      <c r="N62" s="42" t="str">
        <f ca="1">IFERROR(
VLOOKUP(BoM_Griptel[[#This Row],[Product code]],
IF(AND((BoQ!$N$3&lt;&gt;""),OR(BoM_Griptel[[#This Row],[Vendor]]="Griptel",BoM_Griptel[[#This Row],[Vendor]]="Solar")),INDIRECT(Aux!$A$1)),4,FALSE),"")</f>
        <v/>
      </c>
      <c r="O62" s="170" t="s">
        <v>1807</v>
      </c>
      <c r="P62" s="43" t="str">
        <f>IFERROR(IF(AND(BoM_Griptel[[#This Row],[Quantity]]&lt;&gt;"",BoM_Griptel[[#This Row],[Currency]]="NOK"),BoM_Griptel[[#This Row],[Quantity]]*BoM_Griptel[[#This Row],[Unit Price]],""),"")</f>
        <v/>
      </c>
      <c r="Q62" s="43" t="str">
        <f>IFERROR(IF(AND(BoM_Griptel[[#This Row],[ACT_Qty]]&lt;&gt;"",BoM_Griptel[[#This Row],[Currency]]="NOK"),BoM_Griptel[[#This Row],[ACT_Qty]]*BoM_Griptel[[#This Row],[Unit Price]],""),"")</f>
        <v/>
      </c>
      <c r="R62" s="43" t="str">
        <f>IFERROR(IF(AND(BoM_Griptel[[#This Row],[Quantity]]&lt;&gt;"",BoM_Griptel[[#This Row],[Currency]]="EUR"),BoM_Griptel[[#This Row],[Quantity]]*BoM_Griptel[[#This Row],[Unit Price]],""),"")</f>
        <v/>
      </c>
      <c r="S62" s="43" t="str">
        <f>IFERROR(IF(AND(BoM_Griptel[[#This Row],[ACT_Qty]]&lt;&gt;"",BoM_Griptel[[#This Row],[Currency]]="EUR"),BoM_Griptel[[#This Row],[ACT_Qty]]*BoM_Griptel[[#This Row],[Unit Price]],""),"")</f>
        <v/>
      </c>
      <c r="T62" s="186" t="s">
        <v>1802</v>
      </c>
      <c r="U62" s="46"/>
      <c r="V62" s="46"/>
      <c r="W62" s="146"/>
    </row>
    <row r="63" spans="1:23" ht="15" customHeight="1">
      <c r="A63" s="143" t="str">
        <f t="shared" si="0"/>
        <v>AKH12345</v>
      </c>
      <c r="B63" s="144" t="s">
        <v>1916</v>
      </c>
      <c r="C63" s="143" t="s">
        <v>1917</v>
      </c>
      <c r="D63" s="105"/>
      <c r="E63" s="106" t="s">
        <v>1918</v>
      </c>
      <c r="F63" s="105"/>
      <c r="G63" s="106"/>
      <c r="H63" s="175"/>
      <c r="I63" s="176" t="s">
        <v>847</v>
      </c>
      <c r="J63" s="176" t="s">
        <v>1805</v>
      </c>
      <c r="K63" s="176" t="s">
        <v>1235</v>
      </c>
      <c r="L63" s="145" t="s">
        <v>1806</v>
      </c>
      <c r="M63" s="45" t="str">
        <f>IF($C$3&lt;&gt;"",$C$3,"")</f>
        <v>OneCo Networks AS</v>
      </c>
      <c r="N63" s="40" t="str">
        <f ca="1">IFERROR(
VLOOKUP(BoM_Griptel[[#This Row],[Product code]],
IF(AND((BoQ!$N$3&lt;&gt;""),OR(BoM_Griptel[[#This Row],[Vendor]]="Griptel",BoM_Griptel[[#This Row],[Vendor]]="Solar")),INDIRECT(Aux!$A$1)),4,FALSE),"")</f>
        <v/>
      </c>
      <c r="O63" s="169" t="s">
        <v>1807</v>
      </c>
      <c r="P63" s="41" t="str">
        <f>IFERROR(IF(AND(BoM_Griptel[[#This Row],[Quantity]]&lt;&gt;"",BoM_Griptel[[#This Row],[Currency]]="NOK"),BoM_Griptel[[#This Row],[Quantity]]*BoM_Griptel[[#This Row],[Unit Price]],""),"")</f>
        <v/>
      </c>
      <c r="Q63" s="41" t="str">
        <f>IFERROR(IF(AND(BoM_Griptel[[#This Row],[ACT_Qty]]&lt;&gt;"",BoM_Griptel[[#This Row],[Currency]]="NOK"),BoM_Griptel[[#This Row],[ACT_Qty]]*BoM_Griptel[[#This Row],[Unit Price]],""),"")</f>
        <v/>
      </c>
      <c r="R63" s="41" t="str">
        <f>IFERROR(IF(AND(BoM_Griptel[[#This Row],[Quantity]]&lt;&gt;"",BoM_Griptel[[#This Row],[Currency]]="EUR"),BoM_Griptel[[#This Row],[Quantity]]*BoM_Griptel[[#This Row],[Unit Price]],""),"")</f>
        <v/>
      </c>
      <c r="S63" s="41" t="str">
        <f>IFERROR(IF(AND(BoM_Griptel[[#This Row],[ACT_Qty]]&lt;&gt;"",BoM_Griptel[[#This Row],[Currency]]="EUR"),BoM_Griptel[[#This Row],[ACT_Qty]]*BoM_Griptel[[#This Row],[Unit Price]],""),"")</f>
        <v/>
      </c>
      <c r="T63" s="185"/>
      <c r="U63" s="45"/>
      <c r="V63" s="45"/>
      <c r="W63" s="143"/>
    </row>
    <row r="64" spans="1:23" ht="15" customHeight="1">
      <c r="A64" s="146" t="str">
        <f t="shared" si="0"/>
        <v>AKH12345</v>
      </c>
      <c r="B64" s="147" t="s">
        <v>1919</v>
      </c>
      <c r="C64" s="146" t="s">
        <v>1920</v>
      </c>
      <c r="D64" s="68"/>
      <c r="E64" s="89"/>
      <c r="F64" s="68"/>
      <c r="G64" s="89"/>
      <c r="H64" s="177"/>
      <c r="I64" s="178" t="s">
        <v>847</v>
      </c>
      <c r="J64" s="178" t="s">
        <v>1921</v>
      </c>
      <c r="K64" s="178" t="s">
        <v>1235</v>
      </c>
      <c r="L64" s="148" t="s">
        <v>1806</v>
      </c>
      <c r="M64" s="46" t="str">
        <f t="shared" si="1"/>
        <v>OneCo Networks AS</v>
      </c>
      <c r="N64" s="42" t="str">
        <f ca="1">IFERROR(
VLOOKUP(BoM_Griptel[[#This Row],[Product code]],
IF(AND((BoQ!$N$3&lt;&gt;""),OR(BoM_Griptel[[#This Row],[Vendor]]="Griptel",BoM_Griptel[[#This Row],[Vendor]]="Solar")),INDIRECT(Aux!$A$1)),4,FALSE),"")</f>
        <v/>
      </c>
      <c r="O64" s="170" t="s">
        <v>1807</v>
      </c>
      <c r="P64" s="43" t="str">
        <f>IFERROR(IF(AND(BoM_Griptel[[#This Row],[Quantity]]&lt;&gt;"",BoM_Griptel[[#This Row],[Currency]]="NOK"),BoM_Griptel[[#This Row],[Quantity]]*BoM_Griptel[[#This Row],[Unit Price]],""),"")</f>
        <v/>
      </c>
      <c r="Q64" s="43" t="str">
        <f>IFERROR(IF(AND(BoM_Griptel[[#This Row],[ACT_Qty]]&lt;&gt;"",BoM_Griptel[[#This Row],[Currency]]="NOK"),BoM_Griptel[[#This Row],[ACT_Qty]]*BoM_Griptel[[#This Row],[Unit Price]],""),"")</f>
        <v/>
      </c>
      <c r="R64" s="43" t="str">
        <f>IFERROR(IF(AND(BoM_Griptel[[#This Row],[Quantity]]&lt;&gt;"",BoM_Griptel[[#This Row],[Currency]]="EUR"),BoM_Griptel[[#This Row],[Quantity]]*BoM_Griptel[[#This Row],[Unit Price]],""),"")</f>
        <v/>
      </c>
      <c r="S64" s="43" t="str">
        <f>IFERROR(IF(AND(BoM_Griptel[[#This Row],[ACT_Qty]]&lt;&gt;"",BoM_Griptel[[#This Row],[Currency]]="EUR"),BoM_Griptel[[#This Row],[ACT_Qty]]*BoM_Griptel[[#This Row],[Unit Price]],""),"")</f>
        <v/>
      </c>
      <c r="T64" s="186" t="s">
        <v>1802</v>
      </c>
      <c r="U64" s="46"/>
      <c r="V64" s="46"/>
      <c r="W64" s="146"/>
    </row>
    <row r="65" spans="1:23" ht="15" customHeight="1">
      <c r="A65" s="143" t="str">
        <f t="shared" si="0"/>
        <v>AKH12345</v>
      </c>
      <c r="B65" s="144" t="s">
        <v>1922</v>
      </c>
      <c r="C65" s="143" t="s">
        <v>1923</v>
      </c>
      <c r="D65" s="105"/>
      <c r="E65" s="106"/>
      <c r="F65" s="105"/>
      <c r="G65" s="106"/>
      <c r="H65" s="175"/>
      <c r="I65" s="176" t="s">
        <v>847</v>
      </c>
      <c r="J65" s="176" t="s">
        <v>1921</v>
      </c>
      <c r="K65" s="176" t="s">
        <v>1235</v>
      </c>
      <c r="L65" s="145" t="s">
        <v>1806</v>
      </c>
      <c r="M65" s="45" t="str">
        <f t="shared" si="1"/>
        <v>OneCo Networks AS</v>
      </c>
      <c r="N65" s="40" t="str">
        <f ca="1">IFERROR(
VLOOKUP(BoM_Griptel[[#This Row],[Product code]],
IF(AND((BoQ!$N$3&lt;&gt;""),OR(BoM_Griptel[[#This Row],[Vendor]]="Griptel",BoM_Griptel[[#This Row],[Vendor]]="Solar")),INDIRECT(Aux!$A$1)),4,FALSE),"")</f>
        <v/>
      </c>
      <c r="O65" s="169" t="s">
        <v>1807</v>
      </c>
      <c r="P65" s="41" t="str">
        <f>IFERROR(IF(AND(BoM_Griptel[[#This Row],[Quantity]]&lt;&gt;"",BoM_Griptel[[#This Row],[Currency]]="NOK"),BoM_Griptel[[#This Row],[Quantity]]*BoM_Griptel[[#This Row],[Unit Price]],""),"")</f>
        <v/>
      </c>
      <c r="Q65" s="41" t="str">
        <f>IFERROR(IF(AND(BoM_Griptel[[#This Row],[ACT_Qty]]&lt;&gt;"",BoM_Griptel[[#This Row],[Currency]]="NOK"),BoM_Griptel[[#This Row],[ACT_Qty]]*BoM_Griptel[[#This Row],[Unit Price]],""),"")</f>
        <v/>
      </c>
      <c r="R65" s="41" t="str">
        <f>IFERROR(IF(AND(BoM_Griptel[[#This Row],[Quantity]]&lt;&gt;"",BoM_Griptel[[#This Row],[Currency]]="EUR"),BoM_Griptel[[#This Row],[Quantity]]*BoM_Griptel[[#This Row],[Unit Price]],""),"")</f>
        <v/>
      </c>
      <c r="S65" s="41" t="str">
        <f>IFERROR(IF(AND(BoM_Griptel[[#This Row],[ACT_Qty]]&lt;&gt;"",BoM_Griptel[[#This Row],[Currency]]="EUR"),BoM_Griptel[[#This Row],[ACT_Qty]]*BoM_Griptel[[#This Row],[Unit Price]],""),"")</f>
        <v/>
      </c>
      <c r="T65" s="185" t="s">
        <v>1802</v>
      </c>
      <c r="U65" s="45"/>
      <c r="V65" s="45"/>
      <c r="W65" s="143"/>
    </row>
    <row r="66" spans="1:23" ht="15" customHeight="1">
      <c r="A66" s="146" t="str">
        <f t="shared" si="0"/>
        <v>AKH12345</v>
      </c>
      <c r="B66" s="147" t="s">
        <v>1924</v>
      </c>
      <c r="C66" s="146" t="s">
        <v>1925</v>
      </c>
      <c r="D66" s="68"/>
      <c r="E66" s="89"/>
      <c r="F66" s="68"/>
      <c r="G66" s="89"/>
      <c r="H66" s="177"/>
      <c r="I66" s="178" t="s">
        <v>847</v>
      </c>
      <c r="J66" s="178" t="s">
        <v>1921</v>
      </c>
      <c r="K66" s="178" t="s">
        <v>1235</v>
      </c>
      <c r="L66" s="148" t="s">
        <v>1806</v>
      </c>
      <c r="M66" s="46" t="str">
        <f t="shared" si="1"/>
        <v>OneCo Networks AS</v>
      </c>
      <c r="N66" s="42" t="str">
        <f ca="1">IFERROR(
VLOOKUP(BoM_Griptel[[#This Row],[Product code]],
IF(AND((BoQ!$N$3&lt;&gt;""),OR(BoM_Griptel[[#This Row],[Vendor]]="Griptel",BoM_Griptel[[#This Row],[Vendor]]="Solar")),INDIRECT(Aux!$A$1)),4,FALSE),"")</f>
        <v/>
      </c>
      <c r="O66" s="170" t="s">
        <v>1807</v>
      </c>
      <c r="P66" s="43" t="str">
        <f>IFERROR(IF(AND(BoM_Griptel[[#This Row],[Quantity]]&lt;&gt;"",BoM_Griptel[[#This Row],[Currency]]="NOK"),BoM_Griptel[[#This Row],[Quantity]]*BoM_Griptel[[#This Row],[Unit Price]],""),"")</f>
        <v/>
      </c>
      <c r="Q66" s="43" t="str">
        <f>IFERROR(IF(AND(BoM_Griptel[[#This Row],[ACT_Qty]]&lt;&gt;"",BoM_Griptel[[#This Row],[Currency]]="NOK"),BoM_Griptel[[#This Row],[ACT_Qty]]*BoM_Griptel[[#This Row],[Unit Price]],""),"")</f>
        <v/>
      </c>
      <c r="R66" s="43" t="str">
        <f>IFERROR(IF(AND(BoM_Griptel[[#This Row],[Quantity]]&lt;&gt;"",BoM_Griptel[[#This Row],[Currency]]="EUR"),BoM_Griptel[[#This Row],[Quantity]]*BoM_Griptel[[#This Row],[Unit Price]],""),"")</f>
        <v/>
      </c>
      <c r="S66" s="43" t="str">
        <f>IFERROR(IF(AND(BoM_Griptel[[#This Row],[ACT_Qty]]&lt;&gt;"",BoM_Griptel[[#This Row],[Currency]]="EUR"),BoM_Griptel[[#This Row],[ACT_Qty]]*BoM_Griptel[[#This Row],[Unit Price]],""),"")</f>
        <v/>
      </c>
      <c r="T66" s="186" t="s">
        <v>1802</v>
      </c>
      <c r="U66" s="46"/>
      <c r="V66" s="46"/>
      <c r="W66" s="146"/>
    </row>
    <row r="67" spans="1:23" ht="15" customHeight="1">
      <c r="A67" s="143" t="str">
        <f t="shared" si="0"/>
        <v>AKH12345</v>
      </c>
      <c r="B67" s="144" t="s">
        <v>1926</v>
      </c>
      <c r="C67" s="143" t="s">
        <v>1927</v>
      </c>
      <c r="D67" s="105"/>
      <c r="E67" s="106"/>
      <c r="F67" s="105"/>
      <c r="G67" s="106"/>
      <c r="H67" s="175"/>
      <c r="I67" s="176" t="s">
        <v>847</v>
      </c>
      <c r="J67" s="176" t="s">
        <v>1921</v>
      </c>
      <c r="K67" s="176" t="s">
        <v>1235</v>
      </c>
      <c r="L67" s="145" t="s">
        <v>1806</v>
      </c>
      <c r="M67" s="45" t="str">
        <f t="shared" si="1"/>
        <v>OneCo Networks AS</v>
      </c>
      <c r="N67" s="40" t="str">
        <f ca="1">IFERROR(
VLOOKUP(BoM_Griptel[[#This Row],[Product code]],
IF(AND((BoQ!$N$3&lt;&gt;""),OR(BoM_Griptel[[#This Row],[Vendor]]="Griptel",BoM_Griptel[[#This Row],[Vendor]]="Solar")),INDIRECT(Aux!$A$1)),4,FALSE),"")</f>
        <v/>
      </c>
      <c r="O67" s="169" t="s">
        <v>1807</v>
      </c>
      <c r="P67" s="41" t="str">
        <f>IFERROR(IF(AND(BoM_Griptel[[#This Row],[Quantity]]&lt;&gt;"",BoM_Griptel[[#This Row],[Currency]]="NOK"),BoM_Griptel[[#This Row],[Quantity]]*BoM_Griptel[[#This Row],[Unit Price]],""),"")</f>
        <v/>
      </c>
      <c r="Q67" s="41" t="str">
        <f>IFERROR(IF(AND(BoM_Griptel[[#This Row],[ACT_Qty]]&lt;&gt;"",BoM_Griptel[[#This Row],[Currency]]="NOK"),BoM_Griptel[[#This Row],[ACT_Qty]]*BoM_Griptel[[#This Row],[Unit Price]],""),"")</f>
        <v/>
      </c>
      <c r="R67" s="41" t="str">
        <f>IFERROR(IF(AND(BoM_Griptel[[#This Row],[Quantity]]&lt;&gt;"",BoM_Griptel[[#This Row],[Currency]]="EUR"),BoM_Griptel[[#This Row],[Quantity]]*BoM_Griptel[[#This Row],[Unit Price]],""),"")</f>
        <v/>
      </c>
      <c r="S67" s="41" t="str">
        <f>IFERROR(IF(AND(BoM_Griptel[[#This Row],[ACT_Qty]]&lt;&gt;"",BoM_Griptel[[#This Row],[Currency]]="EUR"),BoM_Griptel[[#This Row],[ACT_Qty]]*BoM_Griptel[[#This Row],[Unit Price]],""),"")</f>
        <v/>
      </c>
      <c r="T67" s="185" t="s">
        <v>1802</v>
      </c>
      <c r="U67" s="45"/>
      <c r="V67" s="45"/>
      <c r="W67" s="143"/>
    </row>
    <row r="68" spans="1:23" ht="15" customHeight="1">
      <c r="A68" s="146" t="str">
        <f t="shared" si="0"/>
        <v>AKH12345</v>
      </c>
      <c r="B68" s="147" t="s">
        <v>1928</v>
      </c>
      <c r="C68" s="146" t="s">
        <v>1929</v>
      </c>
      <c r="D68" s="68"/>
      <c r="E68" s="89"/>
      <c r="F68" s="68"/>
      <c r="G68" s="89"/>
      <c r="H68" s="177"/>
      <c r="I68" s="178" t="s">
        <v>847</v>
      </c>
      <c r="J68" s="178" t="s">
        <v>1921</v>
      </c>
      <c r="K68" s="178" t="s">
        <v>1235</v>
      </c>
      <c r="L68" s="148" t="s">
        <v>1806</v>
      </c>
      <c r="M68" s="46" t="str">
        <f t="shared" si="1"/>
        <v>OneCo Networks AS</v>
      </c>
      <c r="N68" s="42" t="str">
        <f ca="1">IFERROR(
VLOOKUP(BoM_Griptel[[#This Row],[Product code]],
IF(AND((BoQ!$N$3&lt;&gt;""),OR(BoM_Griptel[[#This Row],[Vendor]]="Griptel",BoM_Griptel[[#This Row],[Vendor]]="Solar")),INDIRECT(Aux!$A$1)),4,FALSE),"")</f>
        <v/>
      </c>
      <c r="O68" s="170" t="s">
        <v>1807</v>
      </c>
      <c r="P68" s="43" t="str">
        <f>IFERROR(IF(AND(BoM_Griptel[[#This Row],[Quantity]]&lt;&gt;"",BoM_Griptel[[#This Row],[Currency]]="NOK"),BoM_Griptel[[#This Row],[Quantity]]*BoM_Griptel[[#This Row],[Unit Price]],""),"")</f>
        <v/>
      </c>
      <c r="Q68" s="43" t="str">
        <f>IFERROR(IF(AND(BoM_Griptel[[#This Row],[ACT_Qty]]&lt;&gt;"",BoM_Griptel[[#This Row],[Currency]]="NOK"),BoM_Griptel[[#This Row],[ACT_Qty]]*BoM_Griptel[[#This Row],[Unit Price]],""),"")</f>
        <v/>
      </c>
      <c r="R68" s="43" t="str">
        <f>IFERROR(IF(AND(BoM_Griptel[[#This Row],[Quantity]]&lt;&gt;"",BoM_Griptel[[#This Row],[Currency]]="EUR"),BoM_Griptel[[#This Row],[Quantity]]*BoM_Griptel[[#This Row],[Unit Price]],""),"")</f>
        <v/>
      </c>
      <c r="S68" s="43" t="str">
        <f>IFERROR(IF(AND(BoM_Griptel[[#This Row],[ACT_Qty]]&lt;&gt;"",BoM_Griptel[[#This Row],[Currency]]="EUR"),BoM_Griptel[[#This Row],[ACT_Qty]]*BoM_Griptel[[#This Row],[Unit Price]],""),"")</f>
        <v/>
      </c>
      <c r="T68" s="186" t="s">
        <v>1802</v>
      </c>
      <c r="U68" s="46"/>
      <c r="V68" s="46"/>
      <c r="W68" s="146"/>
    </row>
    <row r="69" spans="1:23" ht="15" customHeight="1">
      <c r="A69" s="143" t="str">
        <f t="shared" si="0"/>
        <v>AKH12345</v>
      </c>
      <c r="B69" s="144" t="s">
        <v>1930</v>
      </c>
      <c r="C69" s="143" t="s">
        <v>1931</v>
      </c>
      <c r="D69" s="105"/>
      <c r="E69" s="106"/>
      <c r="F69" s="105"/>
      <c r="G69" s="106"/>
      <c r="H69" s="175"/>
      <c r="I69" s="176" t="s">
        <v>847</v>
      </c>
      <c r="J69" s="176" t="s">
        <v>1921</v>
      </c>
      <c r="K69" s="176" t="s">
        <v>1235</v>
      </c>
      <c r="L69" s="145" t="s">
        <v>1806</v>
      </c>
      <c r="M69" s="45" t="str">
        <f t="shared" si="1"/>
        <v>OneCo Networks AS</v>
      </c>
      <c r="N69" s="40" t="str">
        <f ca="1">IFERROR(
VLOOKUP(BoM_Griptel[[#This Row],[Product code]],
IF(AND((BoQ!$N$3&lt;&gt;""),OR(BoM_Griptel[[#This Row],[Vendor]]="Griptel",BoM_Griptel[[#This Row],[Vendor]]="Solar")),INDIRECT(Aux!$A$1)),4,FALSE),"")</f>
        <v/>
      </c>
      <c r="O69" s="169" t="s">
        <v>1807</v>
      </c>
      <c r="P69" s="41" t="str">
        <f>IFERROR(IF(AND(BoM_Griptel[[#This Row],[Quantity]]&lt;&gt;"",BoM_Griptel[[#This Row],[Currency]]="NOK"),BoM_Griptel[[#This Row],[Quantity]]*BoM_Griptel[[#This Row],[Unit Price]],""),"")</f>
        <v/>
      </c>
      <c r="Q69" s="41" t="str">
        <f>IFERROR(IF(AND(BoM_Griptel[[#This Row],[ACT_Qty]]&lt;&gt;"",BoM_Griptel[[#This Row],[Currency]]="NOK"),BoM_Griptel[[#This Row],[ACT_Qty]]*BoM_Griptel[[#This Row],[Unit Price]],""),"")</f>
        <v/>
      </c>
      <c r="R69" s="41" t="str">
        <f>IFERROR(IF(AND(BoM_Griptel[[#This Row],[Quantity]]&lt;&gt;"",BoM_Griptel[[#This Row],[Currency]]="EUR"),BoM_Griptel[[#This Row],[Quantity]]*BoM_Griptel[[#This Row],[Unit Price]],""),"")</f>
        <v/>
      </c>
      <c r="S69" s="41" t="str">
        <f>IFERROR(IF(AND(BoM_Griptel[[#This Row],[ACT_Qty]]&lt;&gt;"",BoM_Griptel[[#This Row],[Currency]]="EUR"),BoM_Griptel[[#This Row],[ACT_Qty]]*BoM_Griptel[[#This Row],[Unit Price]],""),"")</f>
        <v/>
      </c>
      <c r="T69" s="185" t="s">
        <v>1802</v>
      </c>
      <c r="U69" s="45"/>
      <c r="V69" s="45"/>
      <c r="W69" s="143"/>
    </row>
    <row r="70" spans="1:23" ht="15" customHeight="1">
      <c r="A70" s="146" t="str">
        <f t="shared" si="0"/>
        <v>AKH12345</v>
      </c>
      <c r="B70" s="147" t="s">
        <v>1932</v>
      </c>
      <c r="C70" s="146" t="s">
        <v>1933</v>
      </c>
      <c r="D70" s="68"/>
      <c r="E70" s="89"/>
      <c r="F70" s="68"/>
      <c r="G70" s="89"/>
      <c r="H70" s="177"/>
      <c r="I70" s="178" t="s">
        <v>847</v>
      </c>
      <c r="J70" s="178" t="s">
        <v>1921</v>
      </c>
      <c r="K70" s="178" t="s">
        <v>1235</v>
      </c>
      <c r="L70" s="148" t="s">
        <v>1806</v>
      </c>
      <c r="M70" s="46" t="str">
        <f t="shared" si="1"/>
        <v>OneCo Networks AS</v>
      </c>
      <c r="N70" s="42" t="str">
        <f ca="1">IFERROR(
VLOOKUP(BoM_Griptel[[#This Row],[Product code]],
IF(AND((BoQ!$N$3&lt;&gt;""),OR(BoM_Griptel[[#This Row],[Vendor]]="Griptel",BoM_Griptel[[#This Row],[Vendor]]="Solar")),INDIRECT(Aux!$A$1)),4,FALSE),"")</f>
        <v/>
      </c>
      <c r="O70" s="170" t="s">
        <v>1807</v>
      </c>
      <c r="P70" s="43" t="str">
        <f>IFERROR(IF(AND(BoM_Griptel[[#This Row],[Quantity]]&lt;&gt;"",BoM_Griptel[[#This Row],[Currency]]="NOK"),BoM_Griptel[[#This Row],[Quantity]]*BoM_Griptel[[#This Row],[Unit Price]],""),"")</f>
        <v/>
      </c>
      <c r="Q70" s="43" t="str">
        <f>IFERROR(IF(AND(BoM_Griptel[[#This Row],[ACT_Qty]]&lt;&gt;"",BoM_Griptel[[#This Row],[Currency]]="NOK"),BoM_Griptel[[#This Row],[ACT_Qty]]*BoM_Griptel[[#This Row],[Unit Price]],""),"")</f>
        <v/>
      </c>
      <c r="R70" s="43" t="str">
        <f>IFERROR(IF(AND(BoM_Griptel[[#This Row],[Quantity]]&lt;&gt;"",BoM_Griptel[[#This Row],[Currency]]="EUR"),BoM_Griptel[[#This Row],[Quantity]]*BoM_Griptel[[#This Row],[Unit Price]],""),"")</f>
        <v/>
      </c>
      <c r="S70" s="43" t="str">
        <f>IFERROR(IF(AND(BoM_Griptel[[#This Row],[ACT_Qty]]&lt;&gt;"",BoM_Griptel[[#This Row],[Currency]]="EUR"),BoM_Griptel[[#This Row],[ACT_Qty]]*BoM_Griptel[[#This Row],[Unit Price]],""),"")</f>
        <v/>
      </c>
      <c r="T70" s="186" t="s">
        <v>1802</v>
      </c>
      <c r="U70" s="46"/>
      <c r="V70" s="46"/>
      <c r="W70" s="146"/>
    </row>
    <row r="71" spans="1:23" ht="15" customHeight="1">
      <c r="A71" s="143" t="str">
        <f t="shared" si="0"/>
        <v>AKH12345</v>
      </c>
      <c r="B71" s="144" t="s">
        <v>1934</v>
      </c>
      <c r="C71" s="143" t="s">
        <v>1935</v>
      </c>
      <c r="D71" s="105"/>
      <c r="E71" s="106"/>
      <c r="F71" s="105"/>
      <c r="G71" s="106"/>
      <c r="H71" s="175"/>
      <c r="I71" s="176" t="s">
        <v>847</v>
      </c>
      <c r="J71" s="176" t="s">
        <v>1921</v>
      </c>
      <c r="K71" s="176" t="s">
        <v>1235</v>
      </c>
      <c r="L71" s="145" t="s">
        <v>1806</v>
      </c>
      <c r="M71" s="45" t="str">
        <f t="shared" si="1"/>
        <v>OneCo Networks AS</v>
      </c>
      <c r="N71" s="40" t="str">
        <f ca="1">IFERROR(
VLOOKUP(BoM_Griptel[[#This Row],[Product code]],
IF(AND((BoQ!$N$3&lt;&gt;""),OR(BoM_Griptel[[#This Row],[Vendor]]="Griptel",BoM_Griptel[[#This Row],[Vendor]]="Solar")),INDIRECT(Aux!$A$1)),4,FALSE),"")</f>
        <v/>
      </c>
      <c r="O71" s="169" t="s">
        <v>1807</v>
      </c>
      <c r="P71" s="41" t="str">
        <f>IFERROR(IF(AND(BoM_Griptel[[#This Row],[Quantity]]&lt;&gt;"",BoM_Griptel[[#This Row],[Currency]]="NOK"),BoM_Griptel[[#This Row],[Quantity]]*BoM_Griptel[[#This Row],[Unit Price]],""),"")</f>
        <v/>
      </c>
      <c r="Q71" s="41" t="str">
        <f>IFERROR(IF(AND(BoM_Griptel[[#This Row],[ACT_Qty]]&lt;&gt;"",BoM_Griptel[[#This Row],[Currency]]="NOK"),BoM_Griptel[[#This Row],[ACT_Qty]]*BoM_Griptel[[#This Row],[Unit Price]],""),"")</f>
        <v/>
      </c>
      <c r="R71" s="41" t="str">
        <f>IFERROR(IF(AND(BoM_Griptel[[#This Row],[Quantity]]&lt;&gt;"",BoM_Griptel[[#This Row],[Currency]]="EUR"),BoM_Griptel[[#This Row],[Quantity]]*BoM_Griptel[[#This Row],[Unit Price]],""),"")</f>
        <v/>
      </c>
      <c r="S71" s="41" t="str">
        <f>IFERROR(IF(AND(BoM_Griptel[[#This Row],[ACT_Qty]]&lt;&gt;"",BoM_Griptel[[#This Row],[Currency]]="EUR"),BoM_Griptel[[#This Row],[ACT_Qty]]*BoM_Griptel[[#This Row],[Unit Price]],""),"")</f>
        <v/>
      </c>
      <c r="T71" s="185" t="s">
        <v>1802</v>
      </c>
      <c r="U71" s="45"/>
      <c r="V71" s="45"/>
      <c r="W71" s="143"/>
    </row>
    <row r="72" spans="1:23" ht="15" customHeight="1">
      <c r="A72" s="146" t="str">
        <f t="shared" si="0"/>
        <v>AKH12345</v>
      </c>
      <c r="B72" s="147" t="s">
        <v>1936</v>
      </c>
      <c r="C72" s="146" t="s">
        <v>1937</v>
      </c>
      <c r="D72" s="68"/>
      <c r="E72" s="89"/>
      <c r="F72" s="68"/>
      <c r="G72" s="89"/>
      <c r="H72" s="177"/>
      <c r="I72" s="178" t="s">
        <v>847</v>
      </c>
      <c r="J72" s="178" t="s">
        <v>1921</v>
      </c>
      <c r="K72" s="178" t="s">
        <v>1235</v>
      </c>
      <c r="L72" s="148" t="s">
        <v>1806</v>
      </c>
      <c r="M72" s="46" t="str">
        <f t="shared" si="1"/>
        <v>OneCo Networks AS</v>
      </c>
      <c r="N72" s="42" t="str">
        <f ca="1">IFERROR(
VLOOKUP(BoM_Griptel[[#This Row],[Product code]],
IF(AND((BoQ!$N$3&lt;&gt;""),OR(BoM_Griptel[[#This Row],[Vendor]]="Griptel",BoM_Griptel[[#This Row],[Vendor]]="Solar")),INDIRECT(Aux!$A$1)),4,FALSE),"")</f>
        <v/>
      </c>
      <c r="O72" s="170" t="s">
        <v>1807</v>
      </c>
      <c r="P72" s="43" t="str">
        <f>IFERROR(IF(AND(BoM_Griptel[[#This Row],[Quantity]]&lt;&gt;"",BoM_Griptel[[#This Row],[Currency]]="NOK"),BoM_Griptel[[#This Row],[Quantity]]*BoM_Griptel[[#This Row],[Unit Price]],""),"")</f>
        <v/>
      </c>
      <c r="Q72" s="43" t="str">
        <f>IFERROR(IF(AND(BoM_Griptel[[#This Row],[ACT_Qty]]&lt;&gt;"",BoM_Griptel[[#This Row],[Currency]]="NOK"),BoM_Griptel[[#This Row],[ACT_Qty]]*BoM_Griptel[[#This Row],[Unit Price]],""),"")</f>
        <v/>
      </c>
      <c r="R72" s="43" t="str">
        <f>IFERROR(IF(AND(BoM_Griptel[[#This Row],[Quantity]]&lt;&gt;"",BoM_Griptel[[#This Row],[Currency]]="EUR"),BoM_Griptel[[#This Row],[Quantity]]*BoM_Griptel[[#This Row],[Unit Price]],""),"")</f>
        <v/>
      </c>
      <c r="S72" s="43" t="str">
        <f>IFERROR(IF(AND(BoM_Griptel[[#This Row],[ACT_Qty]]&lt;&gt;"",BoM_Griptel[[#This Row],[Currency]]="EUR"),BoM_Griptel[[#This Row],[ACT_Qty]]*BoM_Griptel[[#This Row],[Unit Price]],""),"")</f>
        <v/>
      </c>
      <c r="T72" s="186" t="s">
        <v>1802</v>
      </c>
      <c r="U72" s="46"/>
      <c r="V72" s="46"/>
      <c r="W72" s="146"/>
    </row>
    <row r="73" spans="1:23" ht="15" customHeight="1">
      <c r="A73" s="143" t="str">
        <f t="shared" si="0"/>
        <v>AKH12345</v>
      </c>
      <c r="B73" s="144" t="s">
        <v>1938</v>
      </c>
      <c r="C73" s="143" t="s">
        <v>1939</v>
      </c>
      <c r="D73" s="105"/>
      <c r="E73" s="106"/>
      <c r="F73" s="105"/>
      <c r="G73" s="106"/>
      <c r="H73" s="175"/>
      <c r="I73" s="176" t="s">
        <v>847</v>
      </c>
      <c r="J73" s="176" t="s">
        <v>1921</v>
      </c>
      <c r="K73" s="176" t="s">
        <v>1235</v>
      </c>
      <c r="L73" s="145" t="s">
        <v>1806</v>
      </c>
      <c r="M73" s="45" t="str">
        <f t="shared" si="1"/>
        <v>OneCo Networks AS</v>
      </c>
      <c r="N73" s="40" t="str">
        <f ca="1">IFERROR(
VLOOKUP(BoM_Griptel[[#This Row],[Product code]],
IF(AND((BoQ!$N$3&lt;&gt;""),OR(BoM_Griptel[[#This Row],[Vendor]]="Griptel",BoM_Griptel[[#This Row],[Vendor]]="Solar")),INDIRECT(Aux!$A$1)),4,FALSE),"")</f>
        <v/>
      </c>
      <c r="O73" s="169" t="s">
        <v>1807</v>
      </c>
      <c r="P73" s="41" t="str">
        <f>IFERROR(IF(AND(BoM_Griptel[[#This Row],[Quantity]]&lt;&gt;"",BoM_Griptel[[#This Row],[Currency]]="NOK"),BoM_Griptel[[#This Row],[Quantity]]*BoM_Griptel[[#This Row],[Unit Price]],""),"")</f>
        <v/>
      </c>
      <c r="Q73" s="41" t="str">
        <f>IFERROR(IF(AND(BoM_Griptel[[#This Row],[ACT_Qty]]&lt;&gt;"",BoM_Griptel[[#This Row],[Currency]]="NOK"),BoM_Griptel[[#This Row],[ACT_Qty]]*BoM_Griptel[[#This Row],[Unit Price]],""),"")</f>
        <v/>
      </c>
      <c r="R73" s="41" t="str">
        <f>IFERROR(IF(AND(BoM_Griptel[[#This Row],[Quantity]]&lt;&gt;"",BoM_Griptel[[#This Row],[Currency]]="EUR"),BoM_Griptel[[#This Row],[Quantity]]*BoM_Griptel[[#This Row],[Unit Price]],""),"")</f>
        <v/>
      </c>
      <c r="S73" s="41" t="str">
        <f>IFERROR(IF(AND(BoM_Griptel[[#This Row],[ACT_Qty]]&lt;&gt;"",BoM_Griptel[[#This Row],[Currency]]="EUR"),BoM_Griptel[[#This Row],[ACT_Qty]]*BoM_Griptel[[#This Row],[Unit Price]],""),"")</f>
        <v/>
      </c>
      <c r="T73" s="185" t="s">
        <v>1802</v>
      </c>
      <c r="U73" s="45"/>
      <c r="V73" s="45"/>
      <c r="W73" s="143"/>
    </row>
    <row r="74" spans="1:23" ht="15" customHeight="1">
      <c r="A74" s="146" t="str">
        <f t="shared" si="0"/>
        <v>AKH12345</v>
      </c>
      <c r="B74" s="147" t="s">
        <v>1940</v>
      </c>
      <c r="C74" s="146" t="s">
        <v>1927</v>
      </c>
      <c r="D74" s="68"/>
      <c r="E74" s="89"/>
      <c r="F74" s="68"/>
      <c r="G74" s="89"/>
      <c r="H74" s="177"/>
      <c r="I74" s="178" t="s">
        <v>847</v>
      </c>
      <c r="J74" s="178" t="s">
        <v>1921</v>
      </c>
      <c r="K74" s="178" t="s">
        <v>1235</v>
      </c>
      <c r="L74" s="148" t="s">
        <v>1806</v>
      </c>
      <c r="M74" s="46" t="str">
        <f t="shared" si="1"/>
        <v>OneCo Networks AS</v>
      </c>
      <c r="N74" s="42" t="str">
        <f ca="1">IFERROR(
VLOOKUP(BoM_Griptel[[#This Row],[Product code]],
IF(AND((BoQ!$N$3&lt;&gt;""),OR(BoM_Griptel[[#This Row],[Vendor]]="Griptel",BoM_Griptel[[#This Row],[Vendor]]="Solar")),INDIRECT(Aux!$A$1)),4,FALSE),"")</f>
        <v/>
      </c>
      <c r="O74" s="170" t="s">
        <v>1807</v>
      </c>
      <c r="P74" s="43" t="str">
        <f>IFERROR(IF(AND(BoM_Griptel[[#This Row],[Quantity]]&lt;&gt;"",BoM_Griptel[[#This Row],[Currency]]="NOK"),BoM_Griptel[[#This Row],[Quantity]]*BoM_Griptel[[#This Row],[Unit Price]],""),"")</f>
        <v/>
      </c>
      <c r="Q74" s="43" t="str">
        <f>IFERROR(IF(AND(BoM_Griptel[[#This Row],[ACT_Qty]]&lt;&gt;"",BoM_Griptel[[#This Row],[Currency]]="NOK"),BoM_Griptel[[#This Row],[ACT_Qty]]*BoM_Griptel[[#This Row],[Unit Price]],""),"")</f>
        <v/>
      </c>
      <c r="R74" s="43" t="str">
        <f>IFERROR(IF(AND(BoM_Griptel[[#This Row],[Quantity]]&lt;&gt;"",BoM_Griptel[[#This Row],[Currency]]="EUR"),BoM_Griptel[[#This Row],[Quantity]]*BoM_Griptel[[#This Row],[Unit Price]],""),"")</f>
        <v/>
      </c>
      <c r="S74" s="43" t="str">
        <f>IFERROR(IF(AND(BoM_Griptel[[#This Row],[ACT_Qty]]&lt;&gt;"",BoM_Griptel[[#This Row],[Currency]]="EUR"),BoM_Griptel[[#This Row],[ACT_Qty]]*BoM_Griptel[[#This Row],[Unit Price]],""),"")</f>
        <v/>
      </c>
      <c r="T74" s="186" t="s">
        <v>1802</v>
      </c>
      <c r="U74" s="46"/>
      <c r="V74" s="46"/>
      <c r="W74" s="146"/>
    </row>
    <row r="75" spans="1:23" ht="15" customHeight="1">
      <c r="A75" s="143" t="str">
        <f t="shared" si="0"/>
        <v>AKH12345</v>
      </c>
      <c r="B75" s="144" t="s">
        <v>1941</v>
      </c>
      <c r="C75" s="143" t="s">
        <v>1942</v>
      </c>
      <c r="D75" s="105"/>
      <c r="E75" s="106"/>
      <c r="F75" s="105"/>
      <c r="G75" s="106"/>
      <c r="H75" s="175"/>
      <c r="I75" s="176" t="s">
        <v>847</v>
      </c>
      <c r="J75" s="176" t="s">
        <v>1921</v>
      </c>
      <c r="K75" s="176" t="s">
        <v>1235</v>
      </c>
      <c r="L75" s="145" t="s">
        <v>1806</v>
      </c>
      <c r="M75" s="45" t="str">
        <f t="shared" si="1"/>
        <v>OneCo Networks AS</v>
      </c>
      <c r="N75" s="40" t="str">
        <f ca="1">IFERROR(
VLOOKUP(BoM_Griptel[[#This Row],[Product code]],
IF(AND((BoQ!$N$3&lt;&gt;""),OR(BoM_Griptel[[#This Row],[Vendor]]="Griptel",BoM_Griptel[[#This Row],[Vendor]]="Solar")),INDIRECT(Aux!$A$1)),4,FALSE),"")</f>
        <v/>
      </c>
      <c r="O75" s="169" t="s">
        <v>1807</v>
      </c>
      <c r="P75" s="41" t="str">
        <f>IFERROR(IF(AND(BoM_Griptel[[#This Row],[Quantity]]&lt;&gt;"",BoM_Griptel[[#This Row],[Currency]]="NOK"),BoM_Griptel[[#This Row],[Quantity]]*BoM_Griptel[[#This Row],[Unit Price]],""),"")</f>
        <v/>
      </c>
      <c r="Q75" s="41" t="str">
        <f>IFERROR(IF(AND(BoM_Griptel[[#This Row],[ACT_Qty]]&lt;&gt;"",BoM_Griptel[[#This Row],[Currency]]="NOK"),BoM_Griptel[[#This Row],[ACT_Qty]]*BoM_Griptel[[#This Row],[Unit Price]],""),"")</f>
        <v/>
      </c>
      <c r="R75" s="41" t="str">
        <f>IFERROR(IF(AND(BoM_Griptel[[#This Row],[Quantity]]&lt;&gt;"",BoM_Griptel[[#This Row],[Currency]]="EUR"),BoM_Griptel[[#This Row],[Quantity]]*BoM_Griptel[[#This Row],[Unit Price]],""),"")</f>
        <v/>
      </c>
      <c r="S75" s="41" t="str">
        <f>IFERROR(IF(AND(BoM_Griptel[[#This Row],[ACT_Qty]]&lt;&gt;"",BoM_Griptel[[#This Row],[Currency]]="EUR"),BoM_Griptel[[#This Row],[ACT_Qty]]*BoM_Griptel[[#This Row],[Unit Price]],""),"")</f>
        <v/>
      </c>
      <c r="T75" s="185" t="s">
        <v>1802</v>
      </c>
      <c r="U75" s="45"/>
      <c r="V75" s="45"/>
      <c r="W75" s="143"/>
    </row>
    <row r="76" spans="1:23" ht="15" customHeight="1">
      <c r="A76" s="146" t="str">
        <f t="shared" si="0"/>
        <v>AKH12345</v>
      </c>
      <c r="B76" s="147" t="s">
        <v>1943</v>
      </c>
      <c r="C76" s="146" t="s">
        <v>1944</v>
      </c>
      <c r="D76" s="68"/>
      <c r="E76" s="89"/>
      <c r="F76" s="68"/>
      <c r="G76" s="89"/>
      <c r="H76" s="177"/>
      <c r="I76" s="178" t="s">
        <v>847</v>
      </c>
      <c r="J76" s="178" t="s">
        <v>1921</v>
      </c>
      <c r="K76" s="178" t="s">
        <v>1235</v>
      </c>
      <c r="L76" s="148" t="s">
        <v>1806</v>
      </c>
      <c r="M76" s="46" t="str">
        <f t="shared" si="1"/>
        <v>OneCo Networks AS</v>
      </c>
      <c r="N76" s="42" t="str">
        <f ca="1">IFERROR(
VLOOKUP(BoM_Griptel[[#This Row],[Product code]],
IF(AND((BoQ!$N$3&lt;&gt;""),OR(BoM_Griptel[[#This Row],[Vendor]]="Griptel",BoM_Griptel[[#This Row],[Vendor]]="Solar")),INDIRECT(Aux!$A$1)),4,FALSE),"")</f>
        <v/>
      </c>
      <c r="O76" s="170" t="s">
        <v>1807</v>
      </c>
      <c r="P76" s="43" t="str">
        <f>IFERROR(IF(AND(BoM_Griptel[[#This Row],[Quantity]]&lt;&gt;"",BoM_Griptel[[#This Row],[Currency]]="NOK"),BoM_Griptel[[#This Row],[Quantity]]*BoM_Griptel[[#This Row],[Unit Price]],""),"")</f>
        <v/>
      </c>
      <c r="Q76" s="43" t="str">
        <f>IFERROR(IF(AND(BoM_Griptel[[#This Row],[ACT_Qty]]&lt;&gt;"",BoM_Griptel[[#This Row],[Currency]]="NOK"),BoM_Griptel[[#This Row],[ACT_Qty]]*BoM_Griptel[[#This Row],[Unit Price]],""),"")</f>
        <v/>
      </c>
      <c r="R76" s="43" t="str">
        <f>IFERROR(IF(AND(BoM_Griptel[[#This Row],[Quantity]]&lt;&gt;"",BoM_Griptel[[#This Row],[Currency]]="EUR"),BoM_Griptel[[#This Row],[Quantity]]*BoM_Griptel[[#This Row],[Unit Price]],""),"")</f>
        <v/>
      </c>
      <c r="S76" s="43" t="str">
        <f>IFERROR(IF(AND(BoM_Griptel[[#This Row],[ACT_Qty]]&lt;&gt;"",BoM_Griptel[[#This Row],[Currency]]="EUR"),BoM_Griptel[[#This Row],[ACT_Qty]]*BoM_Griptel[[#This Row],[Unit Price]],""),"")</f>
        <v/>
      </c>
      <c r="T76" s="186" t="s">
        <v>1802</v>
      </c>
      <c r="U76" s="46"/>
      <c r="V76" s="46"/>
      <c r="W76" s="146"/>
    </row>
    <row r="77" spans="1:23" ht="15" customHeight="1">
      <c r="A77" s="143" t="str">
        <f t="shared" ref="A77:A140" si="2">IF($C$4&lt;&gt;"",$C$4,"")</f>
        <v>AKH12345</v>
      </c>
      <c r="B77" s="144" t="s">
        <v>1945</v>
      </c>
      <c r="C77" s="143" t="s">
        <v>1946</v>
      </c>
      <c r="D77" s="105"/>
      <c r="E77" s="106"/>
      <c r="F77" s="105"/>
      <c r="G77" s="106"/>
      <c r="H77" s="175"/>
      <c r="I77" s="176" t="s">
        <v>847</v>
      </c>
      <c r="J77" s="176" t="s">
        <v>1921</v>
      </c>
      <c r="K77" s="176" t="s">
        <v>1235</v>
      </c>
      <c r="L77" s="145" t="s">
        <v>1806</v>
      </c>
      <c r="M77" s="45" t="str">
        <f t="shared" ref="M77:M144" si="3">IF($C$3&lt;&gt;"",$C$3,"")</f>
        <v>OneCo Networks AS</v>
      </c>
      <c r="N77" s="40" t="str">
        <f ca="1">IFERROR(
VLOOKUP(BoM_Griptel[[#This Row],[Product code]],
IF(AND((BoQ!$N$3&lt;&gt;""),OR(BoM_Griptel[[#This Row],[Vendor]]="Griptel",BoM_Griptel[[#This Row],[Vendor]]="Solar")),INDIRECT(Aux!$A$1)),4,FALSE),"")</f>
        <v/>
      </c>
      <c r="O77" s="169" t="s">
        <v>1807</v>
      </c>
      <c r="P77" s="41" t="str">
        <f>IFERROR(IF(AND(BoM_Griptel[[#This Row],[Quantity]]&lt;&gt;"",BoM_Griptel[[#This Row],[Currency]]="NOK"),BoM_Griptel[[#This Row],[Quantity]]*BoM_Griptel[[#This Row],[Unit Price]],""),"")</f>
        <v/>
      </c>
      <c r="Q77" s="41" t="str">
        <f>IFERROR(IF(AND(BoM_Griptel[[#This Row],[ACT_Qty]]&lt;&gt;"",BoM_Griptel[[#This Row],[Currency]]="NOK"),BoM_Griptel[[#This Row],[ACT_Qty]]*BoM_Griptel[[#This Row],[Unit Price]],""),"")</f>
        <v/>
      </c>
      <c r="R77" s="41" t="str">
        <f>IFERROR(IF(AND(BoM_Griptel[[#This Row],[Quantity]]&lt;&gt;"",BoM_Griptel[[#This Row],[Currency]]="EUR"),BoM_Griptel[[#This Row],[Quantity]]*BoM_Griptel[[#This Row],[Unit Price]],""),"")</f>
        <v/>
      </c>
      <c r="S77" s="41" t="str">
        <f>IFERROR(IF(AND(BoM_Griptel[[#This Row],[ACT_Qty]]&lt;&gt;"",BoM_Griptel[[#This Row],[Currency]]="EUR"),BoM_Griptel[[#This Row],[ACT_Qty]]*BoM_Griptel[[#This Row],[Unit Price]],""),"")</f>
        <v/>
      </c>
      <c r="T77" s="185" t="s">
        <v>1802</v>
      </c>
      <c r="U77" s="45"/>
      <c r="V77" s="45"/>
      <c r="W77" s="143"/>
    </row>
    <row r="78" spans="1:23" ht="15" customHeight="1">
      <c r="A78" s="146" t="str">
        <f t="shared" si="2"/>
        <v>AKH12345</v>
      </c>
      <c r="B78" s="147" t="s">
        <v>1947</v>
      </c>
      <c r="C78" s="146" t="s">
        <v>1948</v>
      </c>
      <c r="D78" s="68"/>
      <c r="E78" s="89"/>
      <c r="F78" s="68"/>
      <c r="G78" s="89"/>
      <c r="H78" s="177"/>
      <c r="I78" s="178" t="s">
        <v>847</v>
      </c>
      <c r="J78" s="178" t="s">
        <v>1921</v>
      </c>
      <c r="K78" s="178" t="s">
        <v>1235</v>
      </c>
      <c r="L78" s="148" t="s">
        <v>1806</v>
      </c>
      <c r="M78" s="46" t="str">
        <f t="shared" si="3"/>
        <v>OneCo Networks AS</v>
      </c>
      <c r="N78" s="42" t="str">
        <f ca="1">IFERROR(
VLOOKUP(BoM_Griptel[[#This Row],[Product code]],
IF(AND((BoQ!$N$3&lt;&gt;""),OR(BoM_Griptel[[#This Row],[Vendor]]="Griptel",BoM_Griptel[[#This Row],[Vendor]]="Solar")),INDIRECT(Aux!$A$1)),4,FALSE),"")</f>
        <v/>
      </c>
      <c r="O78" s="170" t="s">
        <v>1807</v>
      </c>
      <c r="P78" s="43" t="str">
        <f>IFERROR(IF(AND(BoM_Griptel[[#This Row],[Quantity]]&lt;&gt;"",BoM_Griptel[[#This Row],[Currency]]="NOK"),BoM_Griptel[[#This Row],[Quantity]]*BoM_Griptel[[#This Row],[Unit Price]],""),"")</f>
        <v/>
      </c>
      <c r="Q78" s="43" t="str">
        <f>IFERROR(IF(AND(BoM_Griptel[[#This Row],[ACT_Qty]]&lt;&gt;"",BoM_Griptel[[#This Row],[Currency]]="NOK"),BoM_Griptel[[#This Row],[ACT_Qty]]*BoM_Griptel[[#This Row],[Unit Price]],""),"")</f>
        <v/>
      </c>
      <c r="R78" s="43" t="str">
        <f>IFERROR(IF(AND(BoM_Griptel[[#This Row],[Quantity]]&lt;&gt;"",BoM_Griptel[[#This Row],[Currency]]="EUR"),BoM_Griptel[[#This Row],[Quantity]]*BoM_Griptel[[#This Row],[Unit Price]],""),"")</f>
        <v/>
      </c>
      <c r="S78" s="43" t="str">
        <f>IFERROR(IF(AND(BoM_Griptel[[#This Row],[ACT_Qty]]&lt;&gt;"",BoM_Griptel[[#This Row],[Currency]]="EUR"),BoM_Griptel[[#This Row],[ACT_Qty]]*BoM_Griptel[[#This Row],[Unit Price]],""),"")</f>
        <v/>
      </c>
      <c r="T78" s="186" t="s">
        <v>1802</v>
      </c>
      <c r="U78" s="46"/>
      <c r="V78" s="46"/>
      <c r="W78" s="146"/>
    </row>
    <row r="79" spans="1:23" ht="15" customHeight="1">
      <c r="A79" s="143" t="str">
        <f t="shared" si="2"/>
        <v>AKH12345</v>
      </c>
      <c r="B79" s="144" t="s">
        <v>1949</v>
      </c>
      <c r="C79" s="143" t="s">
        <v>1950</v>
      </c>
      <c r="D79" s="105"/>
      <c r="E79" s="106"/>
      <c r="F79" s="105"/>
      <c r="G79" s="106"/>
      <c r="H79" s="175"/>
      <c r="I79" s="176" t="s">
        <v>847</v>
      </c>
      <c r="J79" s="176" t="s">
        <v>1921</v>
      </c>
      <c r="K79" s="176" t="s">
        <v>1235</v>
      </c>
      <c r="L79" s="145" t="s">
        <v>1806</v>
      </c>
      <c r="M79" s="45" t="str">
        <f t="shared" si="3"/>
        <v>OneCo Networks AS</v>
      </c>
      <c r="N79" s="40" t="str">
        <f ca="1">IFERROR(
VLOOKUP(BoM_Griptel[[#This Row],[Product code]],
IF(AND((BoQ!$N$3&lt;&gt;""),OR(BoM_Griptel[[#This Row],[Vendor]]="Griptel",BoM_Griptel[[#This Row],[Vendor]]="Solar")),INDIRECT(Aux!$A$1)),4,FALSE),"")</f>
        <v/>
      </c>
      <c r="O79" s="169" t="s">
        <v>1807</v>
      </c>
      <c r="P79" s="41" t="str">
        <f>IFERROR(IF(AND(BoM_Griptel[[#This Row],[Quantity]]&lt;&gt;"",BoM_Griptel[[#This Row],[Currency]]="NOK"),BoM_Griptel[[#This Row],[Quantity]]*BoM_Griptel[[#This Row],[Unit Price]],""),"")</f>
        <v/>
      </c>
      <c r="Q79" s="41" t="str">
        <f>IFERROR(IF(AND(BoM_Griptel[[#This Row],[ACT_Qty]]&lt;&gt;"",BoM_Griptel[[#This Row],[Currency]]="NOK"),BoM_Griptel[[#This Row],[ACT_Qty]]*BoM_Griptel[[#This Row],[Unit Price]],""),"")</f>
        <v/>
      </c>
      <c r="R79" s="41" t="str">
        <f>IFERROR(IF(AND(BoM_Griptel[[#This Row],[Quantity]]&lt;&gt;"",BoM_Griptel[[#This Row],[Currency]]="EUR"),BoM_Griptel[[#This Row],[Quantity]]*BoM_Griptel[[#This Row],[Unit Price]],""),"")</f>
        <v/>
      </c>
      <c r="S79" s="41" t="str">
        <f>IFERROR(IF(AND(BoM_Griptel[[#This Row],[ACT_Qty]]&lt;&gt;"",BoM_Griptel[[#This Row],[Currency]]="EUR"),BoM_Griptel[[#This Row],[ACT_Qty]]*BoM_Griptel[[#This Row],[Unit Price]],""),"")</f>
        <v/>
      </c>
      <c r="T79" s="185" t="s">
        <v>1802</v>
      </c>
      <c r="U79" s="45"/>
      <c r="V79" s="45"/>
      <c r="W79" s="143"/>
    </row>
    <row r="80" spans="1:23" ht="15" customHeight="1">
      <c r="A80" s="146" t="str">
        <f t="shared" si="2"/>
        <v>AKH12345</v>
      </c>
      <c r="B80" s="147" t="s">
        <v>1951</v>
      </c>
      <c r="C80" s="146" t="s">
        <v>1952</v>
      </c>
      <c r="D80" s="68"/>
      <c r="E80" s="89"/>
      <c r="F80" s="68"/>
      <c r="G80" s="89"/>
      <c r="H80" s="177"/>
      <c r="I80" s="178" t="s">
        <v>847</v>
      </c>
      <c r="J80" s="178" t="s">
        <v>1921</v>
      </c>
      <c r="K80" s="178" t="s">
        <v>1235</v>
      </c>
      <c r="L80" s="148" t="s">
        <v>1806</v>
      </c>
      <c r="M80" s="46" t="str">
        <f t="shared" si="3"/>
        <v>OneCo Networks AS</v>
      </c>
      <c r="N80" s="42" t="str">
        <f ca="1">IFERROR(
VLOOKUP(BoM_Griptel[[#This Row],[Product code]],
IF(AND((BoQ!$N$3&lt;&gt;""),OR(BoM_Griptel[[#This Row],[Vendor]]="Griptel",BoM_Griptel[[#This Row],[Vendor]]="Solar")),INDIRECT(Aux!$A$1)),4,FALSE),"")</f>
        <v/>
      </c>
      <c r="O80" s="170" t="s">
        <v>1807</v>
      </c>
      <c r="P80" s="43" t="str">
        <f>IFERROR(IF(AND(BoM_Griptel[[#This Row],[Quantity]]&lt;&gt;"",BoM_Griptel[[#This Row],[Currency]]="NOK"),BoM_Griptel[[#This Row],[Quantity]]*BoM_Griptel[[#This Row],[Unit Price]],""),"")</f>
        <v/>
      </c>
      <c r="Q80" s="43" t="str">
        <f>IFERROR(IF(AND(BoM_Griptel[[#This Row],[ACT_Qty]]&lt;&gt;"",BoM_Griptel[[#This Row],[Currency]]="NOK"),BoM_Griptel[[#This Row],[ACT_Qty]]*BoM_Griptel[[#This Row],[Unit Price]],""),"")</f>
        <v/>
      </c>
      <c r="R80" s="43" t="str">
        <f>IFERROR(IF(AND(BoM_Griptel[[#This Row],[Quantity]]&lt;&gt;"",BoM_Griptel[[#This Row],[Currency]]="EUR"),BoM_Griptel[[#This Row],[Quantity]]*BoM_Griptel[[#This Row],[Unit Price]],""),"")</f>
        <v/>
      </c>
      <c r="S80" s="43" t="str">
        <f>IFERROR(IF(AND(BoM_Griptel[[#This Row],[ACT_Qty]]&lt;&gt;"",BoM_Griptel[[#This Row],[Currency]]="EUR"),BoM_Griptel[[#This Row],[ACT_Qty]]*BoM_Griptel[[#This Row],[Unit Price]],""),"")</f>
        <v/>
      </c>
      <c r="T80" s="186" t="s">
        <v>1802</v>
      </c>
      <c r="U80" s="46"/>
      <c r="V80" s="46"/>
      <c r="W80" s="146"/>
    </row>
    <row r="81" spans="1:23" ht="15" customHeight="1">
      <c r="A81" s="143" t="str">
        <f t="shared" si="2"/>
        <v>AKH12345</v>
      </c>
      <c r="B81" s="144" t="s">
        <v>1953</v>
      </c>
      <c r="C81" s="143" t="s">
        <v>1954</v>
      </c>
      <c r="D81" s="105"/>
      <c r="E81" s="106"/>
      <c r="F81" s="105"/>
      <c r="G81" s="106"/>
      <c r="H81" s="175"/>
      <c r="I81" s="176" t="s">
        <v>847</v>
      </c>
      <c r="J81" s="176" t="s">
        <v>1921</v>
      </c>
      <c r="K81" s="176" t="s">
        <v>1235</v>
      </c>
      <c r="L81" s="145" t="s">
        <v>1806</v>
      </c>
      <c r="M81" s="45" t="str">
        <f t="shared" si="3"/>
        <v>OneCo Networks AS</v>
      </c>
      <c r="N81" s="40" t="str">
        <f ca="1">IFERROR(
VLOOKUP(BoM_Griptel[[#This Row],[Product code]],
IF(AND((BoQ!$N$3&lt;&gt;""),OR(BoM_Griptel[[#This Row],[Vendor]]="Griptel",BoM_Griptel[[#This Row],[Vendor]]="Solar")),INDIRECT(Aux!$A$1)),4,FALSE),"")</f>
        <v/>
      </c>
      <c r="O81" s="169" t="s">
        <v>1807</v>
      </c>
      <c r="P81" s="41" t="str">
        <f>IFERROR(IF(AND(BoM_Griptel[[#This Row],[Quantity]]&lt;&gt;"",BoM_Griptel[[#This Row],[Currency]]="NOK"),BoM_Griptel[[#This Row],[Quantity]]*BoM_Griptel[[#This Row],[Unit Price]],""),"")</f>
        <v/>
      </c>
      <c r="Q81" s="41" t="str">
        <f>IFERROR(IF(AND(BoM_Griptel[[#This Row],[ACT_Qty]]&lt;&gt;"",BoM_Griptel[[#This Row],[Currency]]="NOK"),BoM_Griptel[[#This Row],[ACT_Qty]]*BoM_Griptel[[#This Row],[Unit Price]],""),"")</f>
        <v/>
      </c>
      <c r="R81" s="41" t="str">
        <f>IFERROR(IF(AND(BoM_Griptel[[#This Row],[Quantity]]&lt;&gt;"",BoM_Griptel[[#This Row],[Currency]]="EUR"),BoM_Griptel[[#This Row],[Quantity]]*BoM_Griptel[[#This Row],[Unit Price]],""),"")</f>
        <v/>
      </c>
      <c r="S81" s="41" t="str">
        <f>IFERROR(IF(AND(BoM_Griptel[[#This Row],[ACT_Qty]]&lt;&gt;"",BoM_Griptel[[#This Row],[Currency]]="EUR"),BoM_Griptel[[#This Row],[ACT_Qty]]*BoM_Griptel[[#This Row],[Unit Price]],""),"")</f>
        <v/>
      </c>
      <c r="T81" s="185" t="s">
        <v>1802</v>
      </c>
      <c r="U81" s="45"/>
      <c r="V81" s="45"/>
      <c r="W81" s="143"/>
    </row>
    <row r="82" spans="1:23" ht="15" customHeight="1">
      <c r="A82" s="146" t="str">
        <f t="shared" si="2"/>
        <v>AKH12345</v>
      </c>
      <c r="B82" s="147" t="s">
        <v>1955</v>
      </c>
      <c r="C82" s="146" t="s">
        <v>1956</v>
      </c>
      <c r="D82" s="68"/>
      <c r="E82" s="89"/>
      <c r="F82" s="68"/>
      <c r="G82" s="89"/>
      <c r="H82" s="177"/>
      <c r="I82" s="178" t="s">
        <v>847</v>
      </c>
      <c r="J82" s="178" t="s">
        <v>1921</v>
      </c>
      <c r="K82" s="178" t="s">
        <v>1235</v>
      </c>
      <c r="L82" s="148" t="s">
        <v>1806</v>
      </c>
      <c r="M82" s="46" t="str">
        <f t="shared" si="3"/>
        <v>OneCo Networks AS</v>
      </c>
      <c r="N82" s="42" t="str">
        <f ca="1">IFERROR(
VLOOKUP(BoM_Griptel[[#This Row],[Product code]],
IF(AND((BoQ!$N$3&lt;&gt;""),OR(BoM_Griptel[[#This Row],[Vendor]]="Griptel",BoM_Griptel[[#This Row],[Vendor]]="Solar")),INDIRECT(Aux!$A$1)),4,FALSE),"")</f>
        <v/>
      </c>
      <c r="O82" s="170" t="s">
        <v>1807</v>
      </c>
      <c r="P82" s="43" t="str">
        <f>IFERROR(IF(AND(BoM_Griptel[[#This Row],[Quantity]]&lt;&gt;"",BoM_Griptel[[#This Row],[Currency]]="NOK"),BoM_Griptel[[#This Row],[Quantity]]*BoM_Griptel[[#This Row],[Unit Price]],""),"")</f>
        <v/>
      </c>
      <c r="Q82" s="43" t="str">
        <f>IFERROR(IF(AND(BoM_Griptel[[#This Row],[ACT_Qty]]&lt;&gt;"",BoM_Griptel[[#This Row],[Currency]]="NOK"),BoM_Griptel[[#This Row],[ACT_Qty]]*BoM_Griptel[[#This Row],[Unit Price]],""),"")</f>
        <v/>
      </c>
      <c r="R82" s="43" t="str">
        <f>IFERROR(IF(AND(BoM_Griptel[[#This Row],[Quantity]]&lt;&gt;"",BoM_Griptel[[#This Row],[Currency]]="EUR"),BoM_Griptel[[#This Row],[Quantity]]*BoM_Griptel[[#This Row],[Unit Price]],""),"")</f>
        <v/>
      </c>
      <c r="S82" s="43" t="str">
        <f>IFERROR(IF(AND(BoM_Griptel[[#This Row],[ACT_Qty]]&lt;&gt;"",BoM_Griptel[[#This Row],[Currency]]="EUR"),BoM_Griptel[[#This Row],[ACT_Qty]]*BoM_Griptel[[#This Row],[Unit Price]],""),"")</f>
        <v/>
      </c>
      <c r="T82" s="186" t="s">
        <v>1802</v>
      </c>
      <c r="U82" s="46"/>
      <c r="V82" s="46"/>
      <c r="W82" s="146"/>
    </row>
    <row r="83" spans="1:23" ht="15" customHeight="1">
      <c r="A83" s="143" t="str">
        <f t="shared" si="2"/>
        <v>AKH12345</v>
      </c>
      <c r="B83" s="144" t="s">
        <v>1957</v>
      </c>
      <c r="C83" s="143" t="s">
        <v>1958</v>
      </c>
      <c r="D83" s="105"/>
      <c r="E83" s="106"/>
      <c r="F83" s="105"/>
      <c r="G83" s="106"/>
      <c r="H83" s="175"/>
      <c r="I83" s="176" t="s">
        <v>847</v>
      </c>
      <c r="J83" s="176" t="s">
        <v>1921</v>
      </c>
      <c r="K83" s="176" t="s">
        <v>1235</v>
      </c>
      <c r="L83" s="145" t="s">
        <v>1806</v>
      </c>
      <c r="M83" s="45" t="str">
        <f t="shared" si="3"/>
        <v>OneCo Networks AS</v>
      </c>
      <c r="N83" s="40" t="str">
        <f ca="1">IFERROR(
VLOOKUP(BoM_Griptel[[#This Row],[Product code]],
IF(AND((BoQ!$N$3&lt;&gt;""),OR(BoM_Griptel[[#This Row],[Vendor]]="Griptel",BoM_Griptel[[#This Row],[Vendor]]="Solar")),INDIRECT(Aux!$A$1)),4,FALSE),"")</f>
        <v/>
      </c>
      <c r="O83" s="169" t="s">
        <v>1807</v>
      </c>
      <c r="P83" s="41" t="str">
        <f>IFERROR(IF(AND(BoM_Griptel[[#This Row],[Quantity]]&lt;&gt;"",BoM_Griptel[[#This Row],[Currency]]="NOK"),BoM_Griptel[[#This Row],[Quantity]]*BoM_Griptel[[#This Row],[Unit Price]],""),"")</f>
        <v/>
      </c>
      <c r="Q83" s="41" t="str">
        <f>IFERROR(IF(AND(BoM_Griptel[[#This Row],[ACT_Qty]]&lt;&gt;"",BoM_Griptel[[#This Row],[Currency]]="NOK"),BoM_Griptel[[#This Row],[ACT_Qty]]*BoM_Griptel[[#This Row],[Unit Price]],""),"")</f>
        <v/>
      </c>
      <c r="R83" s="41" t="str">
        <f>IFERROR(IF(AND(BoM_Griptel[[#This Row],[Quantity]]&lt;&gt;"",BoM_Griptel[[#This Row],[Currency]]="EUR"),BoM_Griptel[[#This Row],[Quantity]]*BoM_Griptel[[#This Row],[Unit Price]],""),"")</f>
        <v/>
      </c>
      <c r="S83" s="41" t="str">
        <f>IFERROR(IF(AND(BoM_Griptel[[#This Row],[ACT_Qty]]&lt;&gt;"",BoM_Griptel[[#This Row],[Currency]]="EUR"),BoM_Griptel[[#This Row],[ACT_Qty]]*BoM_Griptel[[#This Row],[Unit Price]],""),"")</f>
        <v/>
      </c>
      <c r="T83" s="185" t="s">
        <v>1802</v>
      </c>
      <c r="U83" s="45"/>
      <c r="V83" s="45"/>
      <c r="W83" s="143"/>
    </row>
    <row r="84" spans="1:23" ht="15" customHeight="1">
      <c r="A84" s="146" t="str">
        <f t="shared" si="2"/>
        <v>AKH12345</v>
      </c>
      <c r="B84" s="147" t="s">
        <v>1959</v>
      </c>
      <c r="C84" s="146" t="s">
        <v>1960</v>
      </c>
      <c r="D84" s="68"/>
      <c r="E84" s="89"/>
      <c r="F84" s="68"/>
      <c r="G84" s="89"/>
      <c r="H84" s="177"/>
      <c r="I84" s="178" t="s">
        <v>847</v>
      </c>
      <c r="J84" s="178" t="s">
        <v>1921</v>
      </c>
      <c r="K84" s="178" t="s">
        <v>1235</v>
      </c>
      <c r="L84" s="148" t="s">
        <v>1806</v>
      </c>
      <c r="M84" s="46" t="str">
        <f t="shared" si="3"/>
        <v>OneCo Networks AS</v>
      </c>
      <c r="N84" s="42" t="str">
        <f ca="1">IFERROR(
VLOOKUP(BoM_Griptel[[#This Row],[Product code]],
IF(AND((BoQ!$N$3&lt;&gt;""),OR(BoM_Griptel[[#This Row],[Vendor]]="Griptel",BoM_Griptel[[#This Row],[Vendor]]="Solar")),INDIRECT(Aux!$A$1)),4,FALSE),"")</f>
        <v/>
      </c>
      <c r="O84" s="170" t="s">
        <v>1807</v>
      </c>
      <c r="P84" s="43" t="str">
        <f>IFERROR(IF(AND(BoM_Griptel[[#This Row],[Quantity]]&lt;&gt;"",BoM_Griptel[[#This Row],[Currency]]="NOK"),BoM_Griptel[[#This Row],[Quantity]]*BoM_Griptel[[#This Row],[Unit Price]],""),"")</f>
        <v/>
      </c>
      <c r="Q84" s="43" t="str">
        <f>IFERROR(IF(AND(BoM_Griptel[[#This Row],[ACT_Qty]]&lt;&gt;"",BoM_Griptel[[#This Row],[Currency]]="NOK"),BoM_Griptel[[#This Row],[ACT_Qty]]*BoM_Griptel[[#This Row],[Unit Price]],""),"")</f>
        <v/>
      </c>
      <c r="R84" s="43" t="str">
        <f>IFERROR(IF(AND(BoM_Griptel[[#This Row],[Quantity]]&lt;&gt;"",BoM_Griptel[[#This Row],[Currency]]="EUR"),BoM_Griptel[[#This Row],[Quantity]]*BoM_Griptel[[#This Row],[Unit Price]],""),"")</f>
        <v/>
      </c>
      <c r="S84" s="43" t="str">
        <f>IFERROR(IF(AND(BoM_Griptel[[#This Row],[ACT_Qty]]&lt;&gt;"",BoM_Griptel[[#This Row],[Currency]]="EUR"),BoM_Griptel[[#This Row],[ACT_Qty]]*BoM_Griptel[[#This Row],[Unit Price]],""),"")</f>
        <v/>
      </c>
      <c r="T84" s="186" t="s">
        <v>1802</v>
      </c>
      <c r="U84" s="46"/>
      <c r="V84" s="46"/>
      <c r="W84" s="146"/>
    </row>
    <row r="85" spans="1:23" ht="15" customHeight="1">
      <c r="A85" s="143" t="str">
        <f t="shared" si="2"/>
        <v>AKH12345</v>
      </c>
      <c r="B85" s="144" t="s">
        <v>1961</v>
      </c>
      <c r="C85" s="143" t="s">
        <v>1962</v>
      </c>
      <c r="D85" s="105"/>
      <c r="E85" s="106"/>
      <c r="F85" s="105"/>
      <c r="G85" s="106"/>
      <c r="H85" s="175"/>
      <c r="I85" s="176" t="s">
        <v>847</v>
      </c>
      <c r="J85" s="176" t="s">
        <v>1921</v>
      </c>
      <c r="K85" s="176" t="s">
        <v>1235</v>
      </c>
      <c r="L85" s="145" t="s">
        <v>1806</v>
      </c>
      <c r="M85" s="45" t="str">
        <f t="shared" si="3"/>
        <v>OneCo Networks AS</v>
      </c>
      <c r="N85" s="40" t="str">
        <f ca="1">IFERROR(
VLOOKUP(BoM_Griptel[[#This Row],[Product code]],
IF(AND((BoQ!$N$3&lt;&gt;""),OR(BoM_Griptel[[#This Row],[Vendor]]="Griptel",BoM_Griptel[[#This Row],[Vendor]]="Solar")),INDIRECT(Aux!$A$1)),4,FALSE),"")</f>
        <v/>
      </c>
      <c r="O85" s="169" t="s">
        <v>1807</v>
      </c>
      <c r="P85" s="41" t="str">
        <f>IFERROR(IF(AND(BoM_Griptel[[#This Row],[Quantity]]&lt;&gt;"",BoM_Griptel[[#This Row],[Currency]]="NOK"),BoM_Griptel[[#This Row],[Quantity]]*BoM_Griptel[[#This Row],[Unit Price]],""),"")</f>
        <v/>
      </c>
      <c r="Q85" s="41" t="str">
        <f>IFERROR(IF(AND(BoM_Griptel[[#This Row],[ACT_Qty]]&lt;&gt;"",BoM_Griptel[[#This Row],[Currency]]="NOK"),BoM_Griptel[[#This Row],[ACT_Qty]]*BoM_Griptel[[#This Row],[Unit Price]],""),"")</f>
        <v/>
      </c>
      <c r="R85" s="41" t="str">
        <f>IFERROR(IF(AND(BoM_Griptel[[#This Row],[Quantity]]&lt;&gt;"",BoM_Griptel[[#This Row],[Currency]]="EUR"),BoM_Griptel[[#This Row],[Quantity]]*BoM_Griptel[[#This Row],[Unit Price]],""),"")</f>
        <v/>
      </c>
      <c r="S85" s="41" t="str">
        <f>IFERROR(IF(AND(BoM_Griptel[[#This Row],[ACT_Qty]]&lt;&gt;"",BoM_Griptel[[#This Row],[Currency]]="EUR"),BoM_Griptel[[#This Row],[ACT_Qty]]*BoM_Griptel[[#This Row],[Unit Price]],""),"")</f>
        <v/>
      </c>
      <c r="T85" s="185" t="s">
        <v>1802</v>
      </c>
      <c r="U85" s="45"/>
      <c r="V85" s="45"/>
      <c r="W85" s="143"/>
    </row>
    <row r="86" spans="1:23" ht="15" customHeight="1">
      <c r="A86" s="146" t="str">
        <f t="shared" si="2"/>
        <v>AKH12345</v>
      </c>
      <c r="B86" s="147" t="s">
        <v>1963</v>
      </c>
      <c r="C86" s="146" t="s">
        <v>1964</v>
      </c>
      <c r="D86" s="68"/>
      <c r="E86" s="89"/>
      <c r="F86" s="68"/>
      <c r="G86" s="89"/>
      <c r="H86" s="177"/>
      <c r="I86" s="178" t="s">
        <v>847</v>
      </c>
      <c r="J86" s="178" t="s">
        <v>1965</v>
      </c>
      <c r="K86" s="178" t="s">
        <v>1235</v>
      </c>
      <c r="L86" s="148" t="s">
        <v>1806</v>
      </c>
      <c r="M86" s="46" t="str">
        <f t="shared" si="3"/>
        <v>OneCo Networks AS</v>
      </c>
      <c r="N86" s="42" t="str">
        <f ca="1">IFERROR(
VLOOKUP(BoM_Griptel[[#This Row],[Product code]],
IF(AND((BoQ!$N$3&lt;&gt;""),OR(BoM_Griptel[[#This Row],[Vendor]]="Griptel",BoM_Griptel[[#This Row],[Vendor]]="Solar")),INDIRECT(Aux!$A$1)),4,FALSE),"")</f>
        <v/>
      </c>
      <c r="O86" s="170" t="s">
        <v>1807</v>
      </c>
      <c r="P86" s="43" t="str">
        <f>IFERROR(IF(AND(BoM_Griptel[[#This Row],[Quantity]]&lt;&gt;"",BoM_Griptel[[#This Row],[Currency]]="NOK"),BoM_Griptel[[#This Row],[Quantity]]*BoM_Griptel[[#This Row],[Unit Price]],""),"")</f>
        <v/>
      </c>
      <c r="Q86" s="43" t="str">
        <f>IFERROR(IF(AND(BoM_Griptel[[#This Row],[ACT_Qty]]&lt;&gt;"",BoM_Griptel[[#This Row],[Currency]]="NOK"),BoM_Griptel[[#This Row],[ACT_Qty]]*BoM_Griptel[[#This Row],[Unit Price]],""),"")</f>
        <v/>
      </c>
      <c r="R86" s="43" t="str">
        <f>IFERROR(IF(AND(BoM_Griptel[[#This Row],[Quantity]]&lt;&gt;"",BoM_Griptel[[#This Row],[Currency]]="EUR"),BoM_Griptel[[#This Row],[Quantity]]*BoM_Griptel[[#This Row],[Unit Price]],""),"")</f>
        <v/>
      </c>
      <c r="S86" s="43" t="str">
        <f>IFERROR(IF(AND(BoM_Griptel[[#This Row],[ACT_Qty]]&lt;&gt;"",BoM_Griptel[[#This Row],[Currency]]="EUR"),BoM_Griptel[[#This Row],[ACT_Qty]]*BoM_Griptel[[#This Row],[Unit Price]],""),"")</f>
        <v/>
      </c>
      <c r="T86" s="186" t="s">
        <v>1802</v>
      </c>
      <c r="U86" s="46"/>
      <c r="V86" s="46"/>
      <c r="W86" s="146"/>
    </row>
    <row r="87" spans="1:23" ht="15" customHeight="1">
      <c r="A87" s="143" t="str">
        <f t="shared" si="2"/>
        <v>AKH12345</v>
      </c>
      <c r="B87" s="144" t="s">
        <v>1966</v>
      </c>
      <c r="C87" s="143" t="s">
        <v>1967</v>
      </c>
      <c r="D87" s="105"/>
      <c r="E87" s="106"/>
      <c r="F87" s="105"/>
      <c r="G87" s="106"/>
      <c r="H87" s="175"/>
      <c r="I87" s="176" t="s">
        <v>847</v>
      </c>
      <c r="J87" s="176" t="s">
        <v>1965</v>
      </c>
      <c r="K87" s="176" t="s">
        <v>1235</v>
      </c>
      <c r="L87" s="145" t="s">
        <v>1806</v>
      </c>
      <c r="M87" s="45" t="str">
        <f t="shared" si="3"/>
        <v>OneCo Networks AS</v>
      </c>
      <c r="N87" s="40" t="str">
        <f ca="1">IFERROR(
VLOOKUP(BoM_Griptel[[#This Row],[Product code]],
IF(AND((BoQ!$N$3&lt;&gt;""),OR(BoM_Griptel[[#This Row],[Vendor]]="Griptel",BoM_Griptel[[#This Row],[Vendor]]="Solar")),INDIRECT(Aux!$A$1)),4,FALSE),"")</f>
        <v/>
      </c>
      <c r="O87" s="169" t="s">
        <v>1807</v>
      </c>
      <c r="P87" s="41" t="str">
        <f>IFERROR(IF(AND(BoM_Griptel[[#This Row],[Quantity]]&lt;&gt;"",BoM_Griptel[[#This Row],[Currency]]="NOK"),BoM_Griptel[[#This Row],[Quantity]]*BoM_Griptel[[#This Row],[Unit Price]],""),"")</f>
        <v/>
      </c>
      <c r="Q87" s="41" t="str">
        <f>IFERROR(IF(AND(BoM_Griptel[[#This Row],[ACT_Qty]]&lt;&gt;"",BoM_Griptel[[#This Row],[Currency]]="NOK"),BoM_Griptel[[#This Row],[ACT_Qty]]*BoM_Griptel[[#This Row],[Unit Price]],""),"")</f>
        <v/>
      </c>
      <c r="R87" s="41" t="str">
        <f>IFERROR(IF(AND(BoM_Griptel[[#This Row],[Quantity]]&lt;&gt;"",BoM_Griptel[[#This Row],[Currency]]="EUR"),BoM_Griptel[[#This Row],[Quantity]]*BoM_Griptel[[#This Row],[Unit Price]],""),"")</f>
        <v/>
      </c>
      <c r="S87" s="41" t="str">
        <f>IFERROR(IF(AND(BoM_Griptel[[#This Row],[ACT_Qty]]&lt;&gt;"",BoM_Griptel[[#This Row],[Currency]]="EUR"),BoM_Griptel[[#This Row],[ACT_Qty]]*BoM_Griptel[[#This Row],[Unit Price]],""),"")</f>
        <v/>
      </c>
      <c r="T87" s="185" t="s">
        <v>1802</v>
      </c>
      <c r="U87" s="45"/>
      <c r="V87" s="45"/>
      <c r="W87" s="143"/>
    </row>
    <row r="88" spans="1:23" ht="15" customHeight="1">
      <c r="A88" s="146" t="str">
        <f t="shared" si="2"/>
        <v>AKH12345</v>
      </c>
      <c r="B88" s="147" t="s">
        <v>1968</v>
      </c>
      <c r="C88" s="146" t="s">
        <v>1969</v>
      </c>
      <c r="D88" s="68"/>
      <c r="E88" s="89"/>
      <c r="F88" s="68"/>
      <c r="G88" s="89"/>
      <c r="H88" s="177"/>
      <c r="I88" s="178" t="s">
        <v>847</v>
      </c>
      <c r="J88" s="178" t="s">
        <v>1862</v>
      </c>
      <c r="K88" s="178" t="s">
        <v>1235</v>
      </c>
      <c r="L88" s="148" t="s">
        <v>1806</v>
      </c>
      <c r="M88" s="46" t="str">
        <f t="shared" si="3"/>
        <v>OneCo Networks AS</v>
      </c>
      <c r="N88" s="42" t="str">
        <f ca="1">IFERROR(
VLOOKUP(BoM_Griptel[[#This Row],[Product code]],
IF(AND((BoQ!$N$3&lt;&gt;""),OR(BoM_Griptel[[#This Row],[Vendor]]="Griptel",BoM_Griptel[[#This Row],[Vendor]]="Solar")),INDIRECT(Aux!$A$1)),4,FALSE),"")</f>
        <v/>
      </c>
      <c r="O88" s="170" t="s">
        <v>1807</v>
      </c>
      <c r="P88" s="43" t="str">
        <f>IFERROR(IF(AND(BoM_Griptel[[#This Row],[Quantity]]&lt;&gt;"",BoM_Griptel[[#This Row],[Currency]]="NOK"),BoM_Griptel[[#This Row],[Quantity]]*BoM_Griptel[[#This Row],[Unit Price]],""),"")</f>
        <v/>
      </c>
      <c r="Q88" s="43" t="str">
        <f>IFERROR(IF(AND(BoM_Griptel[[#This Row],[ACT_Qty]]&lt;&gt;"",BoM_Griptel[[#This Row],[Currency]]="NOK"),BoM_Griptel[[#This Row],[ACT_Qty]]*BoM_Griptel[[#This Row],[Unit Price]],""),"")</f>
        <v/>
      </c>
      <c r="R88" s="43" t="str">
        <f>IFERROR(IF(AND(BoM_Griptel[[#This Row],[Quantity]]&lt;&gt;"",BoM_Griptel[[#This Row],[Currency]]="EUR"),BoM_Griptel[[#This Row],[Quantity]]*BoM_Griptel[[#This Row],[Unit Price]],""),"")</f>
        <v/>
      </c>
      <c r="S88" s="43" t="str">
        <f>IFERROR(IF(AND(BoM_Griptel[[#This Row],[ACT_Qty]]&lt;&gt;"",BoM_Griptel[[#This Row],[Currency]]="EUR"),BoM_Griptel[[#This Row],[ACT_Qty]]*BoM_Griptel[[#This Row],[Unit Price]],""),"")</f>
        <v/>
      </c>
      <c r="T88" s="186" t="s">
        <v>1802</v>
      </c>
      <c r="U88" s="46"/>
      <c r="V88" s="46"/>
      <c r="W88" s="146"/>
    </row>
    <row r="89" spans="1:23" ht="15" customHeight="1">
      <c r="A89" s="143" t="str">
        <f t="shared" si="2"/>
        <v>AKH12345</v>
      </c>
      <c r="B89" s="144" t="s">
        <v>1970</v>
      </c>
      <c r="C89" s="143" t="s">
        <v>1971</v>
      </c>
      <c r="D89" s="105"/>
      <c r="E89" s="106"/>
      <c r="F89" s="105"/>
      <c r="G89" s="106"/>
      <c r="H89" s="175"/>
      <c r="I89" s="176" t="s">
        <v>847</v>
      </c>
      <c r="J89" s="176" t="s">
        <v>1862</v>
      </c>
      <c r="K89" s="176" t="s">
        <v>1235</v>
      </c>
      <c r="L89" s="145" t="s">
        <v>1806</v>
      </c>
      <c r="M89" s="45" t="str">
        <f t="shared" si="3"/>
        <v>OneCo Networks AS</v>
      </c>
      <c r="N89" s="40" t="str">
        <f ca="1">IFERROR(
VLOOKUP(BoM_Griptel[[#This Row],[Product code]],
IF(AND((BoQ!$N$3&lt;&gt;""),OR(BoM_Griptel[[#This Row],[Vendor]]="Griptel",BoM_Griptel[[#This Row],[Vendor]]="Solar")),INDIRECT(Aux!$A$1)),4,FALSE),"")</f>
        <v/>
      </c>
      <c r="O89" s="169" t="s">
        <v>1807</v>
      </c>
      <c r="P89" s="41" t="str">
        <f>IFERROR(IF(AND(BoM_Griptel[[#This Row],[Quantity]]&lt;&gt;"",BoM_Griptel[[#This Row],[Currency]]="NOK"),BoM_Griptel[[#This Row],[Quantity]]*BoM_Griptel[[#This Row],[Unit Price]],""),"")</f>
        <v/>
      </c>
      <c r="Q89" s="41" t="str">
        <f>IFERROR(IF(AND(BoM_Griptel[[#This Row],[ACT_Qty]]&lt;&gt;"",BoM_Griptel[[#This Row],[Currency]]="NOK"),BoM_Griptel[[#This Row],[ACT_Qty]]*BoM_Griptel[[#This Row],[Unit Price]],""),"")</f>
        <v/>
      </c>
      <c r="R89" s="41" t="str">
        <f>IFERROR(IF(AND(BoM_Griptel[[#This Row],[Quantity]]&lt;&gt;"",BoM_Griptel[[#This Row],[Currency]]="EUR"),BoM_Griptel[[#This Row],[Quantity]]*BoM_Griptel[[#This Row],[Unit Price]],""),"")</f>
        <v/>
      </c>
      <c r="S89" s="41" t="str">
        <f>IFERROR(IF(AND(BoM_Griptel[[#This Row],[ACT_Qty]]&lt;&gt;"",BoM_Griptel[[#This Row],[Currency]]="EUR"),BoM_Griptel[[#This Row],[ACT_Qty]]*BoM_Griptel[[#This Row],[Unit Price]],""),"")</f>
        <v/>
      </c>
      <c r="T89" s="185" t="s">
        <v>1802</v>
      </c>
      <c r="U89" s="45"/>
      <c r="V89" s="45"/>
      <c r="W89" s="143"/>
    </row>
    <row r="90" spans="1:23" ht="15" customHeight="1">
      <c r="A90" s="146" t="str">
        <f t="shared" si="2"/>
        <v>AKH12345</v>
      </c>
      <c r="B90" s="147" t="s">
        <v>1972</v>
      </c>
      <c r="C90" s="146" t="s">
        <v>1973</v>
      </c>
      <c r="D90" s="68"/>
      <c r="E90" s="89"/>
      <c r="F90" s="68"/>
      <c r="G90" s="89"/>
      <c r="H90" s="177"/>
      <c r="I90" s="178" t="s">
        <v>847</v>
      </c>
      <c r="J90" s="178" t="s">
        <v>1862</v>
      </c>
      <c r="K90" s="178" t="s">
        <v>1235</v>
      </c>
      <c r="L90" s="148" t="s">
        <v>1806</v>
      </c>
      <c r="M90" s="46" t="str">
        <f t="shared" si="3"/>
        <v>OneCo Networks AS</v>
      </c>
      <c r="N90" s="42" t="str">
        <f ca="1">IFERROR(
VLOOKUP(BoM_Griptel[[#This Row],[Product code]],
IF(AND((BoQ!$N$3&lt;&gt;""),OR(BoM_Griptel[[#This Row],[Vendor]]="Griptel",BoM_Griptel[[#This Row],[Vendor]]="Solar")),INDIRECT(Aux!$A$1)),4,FALSE),"")</f>
        <v/>
      </c>
      <c r="O90" s="170" t="s">
        <v>1807</v>
      </c>
      <c r="P90" s="43" t="str">
        <f>IFERROR(IF(AND(BoM_Griptel[[#This Row],[Quantity]]&lt;&gt;"",BoM_Griptel[[#This Row],[Currency]]="NOK"),BoM_Griptel[[#This Row],[Quantity]]*BoM_Griptel[[#This Row],[Unit Price]],""),"")</f>
        <v/>
      </c>
      <c r="Q90" s="43" t="str">
        <f>IFERROR(IF(AND(BoM_Griptel[[#This Row],[ACT_Qty]]&lt;&gt;"",BoM_Griptel[[#This Row],[Currency]]="NOK"),BoM_Griptel[[#This Row],[ACT_Qty]]*BoM_Griptel[[#This Row],[Unit Price]],""),"")</f>
        <v/>
      </c>
      <c r="R90" s="43" t="str">
        <f>IFERROR(IF(AND(BoM_Griptel[[#This Row],[Quantity]]&lt;&gt;"",BoM_Griptel[[#This Row],[Currency]]="EUR"),BoM_Griptel[[#This Row],[Quantity]]*BoM_Griptel[[#This Row],[Unit Price]],""),"")</f>
        <v/>
      </c>
      <c r="S90" s="43" t="str">
        <f>IFERROR(IF(AND(BoM_Griptel[[#This Row],[ACT_Qty]]&lt;&gt;"",BoM_Griptel[[#This Row],[Currency]]="EUR"),BoM_Griptel[[#This Row],[ACT_Qty]]*BoM_Griptel[[#This Row],[Unit Price]],""),"")</f>
        <v/>
      </c>
      <c r="T90" s="186" t="s">
        <v>1802</v>
      </c>
      <c r="U90" s="46"/>
      <c r="V90" s="46"/>
      <c r="W90" s="146"/>
    </row>
    <row r="91" spans="1:23" ht="15" customHeight="1">
      <c r="A91" s="143" t="str">
        <f t="shared" si="2"/>
        <v>AKH12345</v>
      </c>
      <c r="B91" s="144" t="s">
        <v>1974</v>
      </c>
      <c r="C91" s="143" t="s">
        <v>1975</v>
      </c>
      <c r="D91" s="105"/>
      <c r="E91" s="106"/>
      <c r="F91" s="105"/>
      <c r="G91" s="106"/>
      <c r="H91" s="175"/>
      <c r="I91" s="176" t="s">
        <v>847</v>
      </c>
      <c r="J91" s="176" t="s">
        <v>1921</v>
      </c>
      <c r="K91" s="176" t="s">
        <v>1235</v>
      </c>
      <c r="L91" s="145" t="s">
        <v>1806</v>
      </c>
      <c r="M91" s="45" t="str">
        <f t="shared" si="3"/>
        <v>OneCo Networks AS</v>
      </c>
      <c r="N91" s="40" t="str">
        <f ca="1">IFERROR(
VLOOKUP(BoM_Griptel[[#This Row],[Product code]],
IF(AND((BoQ!$N$3&lt;&gt;""),OR(BoM_Griptel[[#This Row],[Vendor]]="Griptel",BoM_Griptel[[#This Row],[Vendor]]="Solar")),INDIRECT(Aux!$A$1)),4,FALSE),"")</f>
        <v/>
      </c>
      <c r="O91" s="169" t="s">
        <v>1807</v>
      </c>
      <c r="P91" s="41" t="str">
        <f>IFERROR(IF(AND(BoM_Griptel[[#This Row],[Quantity]]&lt;&gt;"",BoM_Griptel[[#This Row],[Currency]]="NOK"),BoM_Griptel[[#This Row],[Quantity]]*BoM_Griptel[[#This Row],[Unit Price]],""),"")</f>
        <v/>
      </c>
      <c r="Q91" s="41" t="str">
        <f>IFERROR(IF(AND(BoM_Griptel[[#This Row],[ACT_Qty]]&lt;&gt;"",BoM_Griptel[[#This Row],[Currency]]="NOK"),BoM_Griptel[[#This Row],[ACT_Qty]]*BoM_Griptel[[#This Row],[Unit Price]],""),"")</f>
        <v/>
      </c>
      <c r="R91" s="41" t="str">
        <f>IFERROR(IF(AND(BoM_Griptel[[#This Row],[Quantity]]&lt;&gt;"",BoM_Griptel[[#This Row],[Currency]]="EUR"),BoM_Griptel[[#This Row],[Quantity]]*BoM_Griptel[[#This Row],[Unit Price]],""),"")</f>
        <v/>
      </c>
      <c r="S91" s="41" t="str">
        <f>IFERROR(IF(AND(BoM_Griptel[[#This Row],[ACT_Qty]]&lt;&gt;"",BoM_Griptel[[#This Row],[Currency]]="EUR"),BoM_Griptel[[#This Row],[ACT_Qty]]*BoM_Griptel[[#This Row],[Unit Price]],""),"")</f>
        <v/>
      </c>
      <c r="T91" s="185" t="s">
        <v>1802</v>
      </c>
      <c r="U91" s="45"/>
      <c r="V91" s="45"/>
      <c r="W91" s="143"/>
    </row>
    <row r="92" spans="1:23" ht="15" customHeight="1">
      <c r="A92" s="146" t="str">
        <f t="shared" si="2"/>
        <v>AKH12345</v>
      </c>
      <c r="B92" s="147" t="s">
        <v>1976</v>
      </c>
      <c r="C92" s="146" t="s">
        <v>1977</v>
      </c>
      <c r="D92" s="68"/>
      <c r="E92" s="89"/>
      <c r="F92" s="68"/>
      <c r="G92" s="89"/>
      <c r="H92" s="177"/>
      <c r="I92" s="178" t="s">
        <v>847</v>
      </c>
      <c r="J92" s="178" t="s">
        <v>1862</v>
      </c>
      <c r="K92" s="178" t="s">
        <v>1235</v>
      </c>
      <c r="L92" s="148" t="s">
        <v>1806</v>
      </c>
      <c r="M92" s="46" t="str">
        <f t="shared" si="3"/>
        <v>OneCo Networks AS</v>
      </c>
      <c r="N92" s="42" t="str">
        <f ca="1">IFERROR(
VLOOKUP(BoM_Griptel[[#This Row],[Product code]],
IF(AND((BoQ!$N$3&lt;&gt;""),OR(BoM_Griptel[[#This Row],[Vendor]]="Griptel",BoM_Griptel[[#This Row],[Vendor]]="Solar")),INDIRECT(Aux!$A$1)),4,FALSE),"")</f>
        <v/>
      </c>
      <c r="O92" s="170" t="s">
        <v>1807</v>
      </c>
      <c r="P92" s="43" t="str">
        <f>IFERROR(IF(AND(BoM_Griptel[[#This Row],[Quantity]]&lt;&gt;"",BoM_Griptel[[#This Row],[Currency]]="NOK"),BoM_Griptel[[#This Row],[Quantity]]*BoM_Griptel[[#This Row],[Unit Price]],""),"")</f>
        <v/>
      </c>
      <c r="Q92" s="43" t="str">
        <f>IFERROR(IF(AND(BoM_Griptel[[#This Row],[ACT_Qty]]&lt;&gt;"",BoM_Griptel[[#This Row],[Currency]]="NOK"),BoM_Griptel[[#This Row],[ACT_Qty]]*BoM_Griptel[[#This Row],[Unit Price]],""),"")</f>
        <v/>
      </c>
      <c r="R92" s="43" t="str">
        <f>IFERROR(IF(AND(BoM_Griptel[[#This Row],[Quantity]]&lt;&gt;"",BoM_Griptel[[#This Row],[Currency]]="EUR"),BoM_Griptel[[#This Row],[Quantity]]*BoM_Griptel[[#This Row],[Unit Price]],""),"")</f>
        <v/>
      </c>
      <c r="S92" s="43" t="str">
        <f>IFERROR(IF(AND(BoM_Griptel[[#This Row],[ACT_Qty]]&lt;&gt;"",BoM_Griptel[[#This Row],[Currency]]="EUR"),BoM_Griptel[[#This Row],[ACT_Qty]]*BoM_Griptel[[#This Row],[Unit Price]],""),"")</f>
        <v/>
      </c>
      <c r="T92" s="186" t="s">
        <v>1802</v>
      </c>
      <c r="U92" s="46"/>
      <c r="V92" s="46"/>
      <c r="W92" s="146"/>
    </row>
    <row r="93" spans="1:23" ht="15" customHeight="1">
      <c r="A93" s="143" t="str">
        <f t="shared" si="2"/>
        <v>AKH12345</v>
      </c>
      <c r="B93" s="144" t="s">
        <v>1978</v>
      </c>
      <c r="C93" s="143" t="s">
        <v>1977</v>
      </c>
      <c r="D93" s="105"/>
      <c r="E93" s="106"/>
      <c r="F93" s="105"/>
      <c r="G93" s="106"/>
      <c r="H93" s="175"/>
      <c r="I93" s="176" t="s">
        <v>847</v>
      </c>
      <c r="J93" s="176" t="s">
        <v>1862</v>
      </c>
      <c r="K93" s="176" t="s">
        <v>1235</v>
      </c>
      <c r="L93" s="145" t="s">
        <v>1806</v>
      </c>
      <c r="M93" s="45" t="str">
        <f t="shared" si="3"/>
        <v>OneCo Networks AS</v>
      </c>
      <c r="N93" s="40" t="str">
        <f ca="1">IFERROR(
VLOOKUP(BoM_Griptel[[#This Row],[Product code]],
IF(AND((BoQ!$N$3&lt;&gt;""),OR(BoM_Griptel[[#This Row],[Vendor]]="Griptel",BoM_Griptel[[#This Row],[Vendor]]="Solar")),INDIRECT(Aux!$A$1)),4,FALSE),"")</f>
        <v/>
      </c>
      <c r="O93" s="169" t="s">
        <v>1807</v>
      </c>
      <c r="P93" s="41" t="str">
        <f>IFERROR(IF(AND(BoM_Griptel[[#This Row],[Quantity]]&lt;&gt;"",BoM_Griptel[[#This Row],[Currency]]="NOK"),BoM_Griptel[[#This Row],[Quantity]]*BoM_Griptel[[#This Row],[Unit Price]],""),"")</f>
        <v/>
      </c>
      <c r="Q93" s="41" t="str">
        <f>IFERROR(IF(AND(BoM_Griptel[[#This Row],[ACT_Qty]]&lt;&gt;"",BoM_Griptel[[#This Row],[Currency]]="NOK"),BoM_Griptel[[#This Row],[ACT_Qty]]*BoM_Griptel[[#This Row],[Unit Price]],""),"")</f>
        <v/>
      </c>
      <c r="R93" s="41" t="str">
        <f>IFERROR(IF(AND(BoM_Griptel[[#This Row],[Quantity]]&lt;&gt;"",BoM_Griptel[[#This Row],[Currency]]="EUR"),BoM_Griptel[[#This Row],[Quantity]]*BoM_Griptel[[#This Row],[Unit Price]],""),"")</f>
        <v/>
      </c>
      <c r="S93" s="41" t="str">
        <f>IFERROR(IF(AND(BoM_Griptel[[#This Row],[ACT_Qty]]&lt;&gt;"",BoM_Griptel[[#This Row],[Currency]]="EUR"),BoM_Griptel[[#This Row],[ACT_Qty]]*BoM_Griptel[[#This Row],[Unit Price]],""),"")</f>
        <v/>
      </c>
      <c r="T93" s="185" t="s">
        <v>1802</v>
      </c>
      <c r="U93" s="45"/>
      <c r="V93" s="45"/>
      <c r="W93" s="143"/>
    </row>
    <row r="94" spans="1:23" ht="15" customHeight="1">
      <c r="A94" s="146" t="str">
        <f t="shared" si="2"/>
        <v>AKH12345</v>
      </c>
      <c r="B94" s="147" t="s">
        <v>1979</v>
      </c>
      <c r="C94" s="146" t="s">
        <v>1980</v>
      </c>
      <c r="D94" s="68"/>
      <c r="E94" s="89"/>
      <c r="F94" s="68"/>
      <c r="G94" s="89"/>
      <c r="H94" s="177"/>
      <c r="I94" s="178" t="s">
        <v>847</v>
      </c>
      <c r="J94" s="178" t="s">
        <v>1862</v>
      </c>
      <c r="K94" s="178" t="s">
        <v>1235</v>
      </c>
      <c r="L94" s="148" t="s">
        <v>1806</v>
      </c>
      <c r="M94" s="46" t="str">
        <f t="shared" si="3"/>
        <v>OneCo Networks AS</v>
      </c>
      <c r="N94" s="42" t="str">
        <f ca="1">IFERROR(
VLOOKUP(BoM_Griptel[[#This Row],[Product code]],
IF(AND((BoQ!$N$3&lt;&gt;""),OR(BoM_Griptel[[#This Row],[Vendor]]="Griptel",BoM_Griptel[[#This Row],[Vendor]]="Solar")),INDIRECT(Aux!$A$1)),4,FALSE),"")</f>
        <v/>
      </c>
      <c r="O94" s="170" t="s">
        <v>1807</v>
      </c>
      <c r="P94" s="43" t="str">
        <f>IFERROR(IF(AND(BoM_Griptel[[#This Row],[Quantity]]&lt;&gt;"",BoM_Griptel[[#This Row],[Currency]]="NOK"),BoM_Griptel[[#This Row],[Quantity]]*BoM_Griptel[[#This Row],[Unit Price]],""),"")</f>
        <v/>
      </c>
      <c r="Q94" s="43" t="str">
        <f>IFERROR(IF(AND(BoM_Griptel[[#This Row],[ACT_Qty]]&lt;&gt;"",BoM_Griptel[[#This Row],[Currency]]="NOK"),BoM_Griptel[[#This Row],[ACT_Qty]]*BoM_Griptel[[#This Row],[Unit Price]],""),"")</f>
        <v/>
      </c>
      <c r="R94" s="43" t="str">
        <f>IFERROR(IF(AND(BoM_Griptel[[#This Row],[Quantity]]&lt;&gt;"",BoM_Griptel[[#This Row],[Currency]]="EUR"),BoM_Griptel[[#This Row],[Quantity]]*BoM_Griptel[[#This Row],[Unit Price]],""),"")</f>
        <v/>
      </c>
      <c r="S94" s="43" t="str">
        <f>IFERROR(IF(AND(BoM_Griptel[[#This Row],[ACT_Qty]]&lt;&gt;"",BoM_Griptel[[#This Row],[Currency]]="EUR"),BoM_Griptel[[#This Row],[ACT_Qty]]*BoM_Griptel[[#This Row],[Unit Price]],""),"")</f>
        <v/>
      </c>
      <c r="T94" s="186" t="s">
        <v>1802</v>
      </c>
      <c r="U94" s="46"/>
      <c r="V94" s="46"/>
      <c r="W94" s="146"/>
    </row>
    <row r="95" spans="1:23" ht="15" customHeight="1">
      <c r="A95" s="143" t="str">
        <f t="shared" si="2"/>
        <v>AKH12345</v>
      </c>
      <c r="B95" s="144" t="s">
        <v>1981</v>
      </c>
      <c r="C95" s="143" t="s">
        <v>1982</v>
      </c>
      <c r="D95" s="105"/>
      <c r="E95" s="106"/>
      <c r="F95" s="105"/>
      <c r="G95" s="106"/>
      <c r="H95" s="175"/>
      <c r="I95" s="176" t="s">
        <v>847</v>
      </c>
      <c r="J95" s="176" t="s">
        <v>1862</v>
      </c>
      <c r="K95" s="176" t="s">
        <v>1235</v>
      </c>
      <c r="L95" s="145" t="s">
        <v>1806</v>
      </c>
      <c r="M95" s="45" t="str">
        <f t="shared" si="3"/>
        <v>OneCo Networks AS</v>
      </c>
      <c r="N95" s="40" t="str">
        <f ca="1">IFERROR(
VLOOKUP(BoM_Griptel[[#This Row],[Product code]],
IF(AND((BoQ!$N$3&lt;&gt;""),OR(BoM_Griptel[[#This Row],[Vendor]]="Griptel",BoM_Griptel[[#This Row],[Vendor]]="Solar")),INDIRECT(Aux!$A$1)),4,FALSE),"")</f>
        <v/>
      </c>
      <c r="O95" s="169" t="s">
        <v>1807</v>
      </c>
      <c r="P95" s="41" t="str">
        <f>IFERROR(IF(AND(BoM_Griptel[[#This Row],[Quantity]]&lt;&gt;"",BoM_Griptel[[#This Row],[Currency]]="NOK"),BoM_Griptel[[#This Row],[Quantity]]*BoM_Griptel[[#This Row],[Unit Price]],""),"")</f>
        <v/>
      </c>
      <c r="Q95" s="41" t="str">
        <f>IFERROR(IF(AND(BoM_Griptel[[#This Row],[ACT_Qty]]&lt;&gt;"",BoM_Griptel[[#This Row],[Currency]]="NOK"),BoM_Griptel[[#This Row],[ACT_Qty]]*BoM_Griptel[[#This Row],[Unit Price]],""),"")</f>
        <v/>
      </c>
      <c r="R95" s="41" t="str">
        <f>IFERROR(IF(AND(BoM_Griptel[[#This Row],[Quantity]]&lt;&gt;"",BoM_Griptel[[#This Row],[Currency]]="EUR"),BoM_Griptel[[#This Row],[Quantity]]*BoM_Griptel[[#This Row],[Unit Price]],""),"")</f>
        <v/>
      </c>
      <c r="S95" s="41" t="str">
        <f>IFERROR(IF(AND(BoM_Griptel[[#This Row],[ACT_Qty]]&lt;&gt;"",BoM_Griptel[[#This Row],[Currency]]="EUR"),BoM_Griptel[[#This Row],[ACT_Qty]]*BoM_Griptel[[#This Row],[Unit Price]],""),"")</f>
        <v/>
      </c>
      <c r="T95" s="185" t="s">
        <v>1802</v>
      </c>
      <c r="U95" s="45"/>
      <c r="V95" s="45"/>
      <c r="W95" s="143"/>
    </row>
    <row r="96" spans="1:23" ht="15" customHeight="1">
      <c r="A96" s="146" t="str">
        <f t="shared" si="2"/>
        <v>AKH12345</v>
      </c>
      <c r="B96" s="147" t="s">
        <v>1983</v>
      </c>
      <c r="C96" s="146" t="s">
        <v>1984</v>
      </c>
      <c r="D96" s="68"/>
      <c r="E96" s="89"/>
      <c r="F96" s="68"/>
      <c r="G96" s="89"/>
      <c r="H96" s="177"/>
      <c r="I96" s="178" t="s">
        <v>847</v>
      </c>
      <c r="J96" s="178" t="s">
        <v>1862</v>
      </c>
      <c r="K96" s="178" t="s">
        <v>1235</v>
      </c>
      <c r="L96" s="148" t="s">
        <v>1806</v>
      </c>
      <c r="M96" s="46" t="str">
        <f t="shared" si="3"/>
        <v>OneCo Networks AS</v>
      </c>
      <c r="N96" s="42" t="str">
        <f ca="1">IFERROR(
VLOOKUP(BoM_Griptel[[#This Row],[Product code]],
IF(AND((BoQ!$N$3&lt;&gt;""),OR(BoM_Griptel[[#This Row],[Vendor]]="Griptel",BoM_Griptel[[#This Row],[Vendor]]="Solar")),INDIRECT(Aux!$A$1)),4,FALSE),"")</f>
        <v/>
      </c>
      <c r="O96" s="170" t="s">
        <v>1807</v>
      </c>
      <c r="P96" s="43" t="str">
        <f>IFERROR(IF(AND(BoM_Griptel[[#This Row],[Quantity]]&lt;&gt;"",BoM_Griptel[[#This Row],[Currency]]="NOK"),BoM_Griptel[[#This Row],[Quantity]]*BoM_Griptel[[#This Row],[Unit Price]],""),"")</f>
        <v/>
      </c>
      <c r="Q96" s="43" t="str">
        <f>IFERROR(IF(AND(BoM_Griptel[[#This Row],[ACT_Qty]]&lt;&gt;"",BoM_Griptel[[#This Row],[Currency]]="NOK"),BoM_Griptel[[#This Row],[ACT_Qty]]*BoM_Griptel[[#This Row],[Unit Price]],""),"")</f>
        <v/>
      </c>
      <c r="R96" s="43" t="str">
        <f>IFERROR(IF(AND(BoM_Griptel[[#This Row],[Quantity]]&lt;&gt;"",BoM_Griptel[[#This Row],[Currency]]="EUR"),BoM_Griptel[[#This Row],[Quantity]]*BoM_Griptel[[#This Row],[Unit Price]],""),"")</f>
        <v/>
      </c>
      <c r="S96" s="43" t="str">
        <f>IFERROR(IF(AND(BoM_Griptel[[#This Row],[ACT_Qty]]&lt;&gt;"",BoM_Griptel[[#This Row],[Currency]]="EUR"),BoM_Griptel[[#This Row],[ACT_Qty]]*BoM_Griptel[[#This Row],[Unit Price]],""),"")</f>
        <v/>
      </c>
      <c r="T96" s="186" t="s">
        <v>1802</v>
      </c>
      <c r="U96" s="46"/>
      <c r="V96" s="46"/>
      <c r="W96" s="146"/>
    </row>
    <row r="97" spans="1:23" ht="15" customHeight="1">
      <c r="A97" s="143" t="str">
        <f t="shared" si="2"/>
        <v>AKH12345</v>
      </c>
      <c r="B97" s="144" t="s">
        <v>1985</v>
      </c>
      <c r="C97" s="143" t="s">
        <v>1971</v>
      </c>
      <c r="D97" s="105"/>
      <c r="E97" s="106"/>
      <c r="F97" s="105"/>
      <c r="G97" s="106"/>
      <c r="H97" s="175"/>
      <c r="I97" s="176" t="s">
        <v>847</v>
      </c>
      <c r="J97" s="176" t="s">
        <v>1862</v>
      </c>
      <c r="K97" s="176" t="s">
        <v>1235</v>
      </c>
      <c r="L97" s="145" t="s">
        <v>1806</v>
      </c>
      <c r="M97" s="45" t="str">
        <f t="shared" si="3"/>
        <v>OneCo Networks AS</v>
      </c>
      <c r="N97" s="40" t="str">
        <f ca="1">IFERROR(
VLOOKUP(BoM_Griptel[[#This Row],[Product code]],
IF(AND((BoQ!$N$3&lt;&gt;""),OR(BoM_Griptel[[#This Row],[Vendor]]="Griptel",BoM_Griptel[[#This Row],[Vendor]]="Solar")),INDIRECT(Aux!$A$1)),4,FALSE),"")</f>
        <v/>
      </c>
      <c r="O97" s="169" t="s">
        <v>1807</v>
      </c>
      <c r="P97" s="41" t="str">
        <f>IFERROR(IF(AND(BoM_Griptel[[#This Row],[Quantity]]&lt;&gt;"",BoM_Griptel[[#This Row],[Currency]]="NOK"),BoM_Griptel[[#This Row],[Quantity]]*BoM_Griptel[[#This Row],[Unit Price]],""),"")</f>
        <v/>
      </c>
      <c r="Q97" s="41" t="str">
        <f>IFERROR(IF(AND(BoM_Griptel[[#This Row],[ACT_Qty]]&lt;&gt;"",BoM_Griptel[[#This Row],[Currency]]="NOK"),BoM_Griptel[[#This Row],[ACT_Qty]]*BoM_Griptel[[#This Row],[Unit Price]],""),"")</f>
        <v/>
      </c>
      <c r="R97" s="41" t="str">
        <f>IFERROR(IF(AND(BoM_Griptel[[#This Row],[Quantity]]&lt;&gt;"",BoM_Griptel[[#This Row],[Currency]]="EUR"),BoM_Griptel[[#This Row],[Quantity]]*BoM_Griptel[[#This Row],[Unit Price]],""),"")</f>
        <v/>
      </c>
      <c r="S97" s="41" t="str">
        <f>IFERROR(IF(AND(BoM_Griptel[[#This Row],[ACT_Qty]]&lt;&gt;"",BoM_Griptel[[#This Row],[Currency]]="EUR"),BoM_Griptel[[#This Row],[ACT_Qty]]*BoM_Griptel[[#This Row],[Unit Price]],""),"")</f>
        <v/>
      </c>
      <c r="T97" s="185" t="s">
        <v>1802</v>
      </c>
      <c r="U97" s="45"/>
      <c r="V97" s="45"/>
      <c r="W97" s="143"/>
    </row>
    <row r="98" spans="1:23" ht="15" customHeight="1">
      <c r="A98" s="146" t="str">
        <f t="shared" si="2"/>
        <v>AKH12345</v>
      </c>
      <c r="B98" s="147" t="s">
        <v>1986</v>
      </c>
      <c r="C98" s="146" t="s">
        <v>1987</v>
      </c>
      <c r="D98" s="68"/>
      <c r="E98" s="89"/>
      <c r="F98" s="68"/>
      <c r="G98" s="89"/>
      <c r="H98" s="177"/>
      <c r="I98" s="178" t="s">
        <v>847</v>
      </c>
      <c r="J98" s="178" t="s">
        <v>1862</v>
      </c>
      <c r="K98" s="178" t="s">
        <v>1235</v>
      </c>
      <c r="L98" s="148" t="s">
        <v>1806</v>
      </c>
      <c r="M98" s="46" t="str">
        <f t="shared" si="3"/>
        <v>OneCo Networks AS</v>
      </c>
      <c r="N98" s="42" t="str">
        <f ca="1">IFERROR(
VLOOKUP(BoM_Griptel[[#This Row],[Product code]],
IF(AND((BoQ!$N$3&lt;&gt;""),OR(BoM_Griptel[[#This Row],[Vendor]]="Griptel",BoM_Griptel[[#This Row],[Vendor]]="Solar")),INDIRECT(Aux!$A$1)),4,FALSE),"")</f>
        <v/>
      </c>
      <c r="O98" s="170" t="s">
        <v>1807</v>
      </c>
      <c r="P98" s="43" t="str">
        <f>IFERROR(IF(AND(BoM_Griptel[[#This Row],[Quantity]]&lt;&gt;"",BoM_Griptel[[#This Row],[Currency]]="NOK"),BoM_Griptel[[#This Row],[Quantity]]*BoM_Griptel[[#This Row],[Unit Price]],""),"")</f>
        <v/>
      </c>
      <c r="Q98" s="43" t="str">
        <f>IFERROR(IF(AND(BoM_Griptel[[#This Row],[ACT_Qty]]&lt;&gt;"",BoM_Griptel[[#This Row],[Currency]]="NOK"),BoM_Griptel[[#This Row],[ACT_Qty]]*BoM_Griptel[[#This Row],[Unit Price]],""),"")</f>
        <v/>
      </c>
      <c r="R98" s="43" t="str">
        <f>IFERROR(IF(AND(BoM_Griptel[[#This Row],[Quantity]]&lt;&gt;"",BoM_Griptel[[#This Row],[Currency]]="EUR"),BoM_Griptel[[#This Row],[Quantity]]*BoM_Griptel[[#This Row],[Unit Price]],""),"")</f>
        <v/>
      </c>
      <c r="S98" s="43" t="str">
        <f>IFERROR(IF(AND(BoM_Griptel[[#This Row],[ACT_Qty]]&lt;&gt;"",BoM_Griptel[[#This Row],[Currency]]="EUR"),BoM_Griptel[[#This Row],[ACT_Qty]]*BoM_Griptel[[#This Row],[Unit Price]],""),"")</f>
        <v/>
      </c>
      <c r="T98" s="186" t="s">
        <v>1802</v>
      </c>
      <c r="U98" s="46"/>
      <c r="V98" s="46"/>
      <c r="W98" s="146"/>
    </row>
    <row r="99" spans="1:23" ht="15" customHeight="1">
      <c r="A99" s="143" t="str">
        <f t="shared" si="2"/>
        <v>AKH12345</v>
      </c>
      <c r="B99" s="144" t="s">
        <v>1988</v>
      </c>
      <c r="C99" s="143" t="s">
        <v>1989</v>
      </c>
      <c r="D99" s="105"/>
      <c r="E99" s="106"/>
      <c r="F99" s="105"/>
      <c r="G99" s="106"/>
      <c r="H99" s="175"/>
      <c r="I99" s="176" t="s">
        <v>847</v>
      </c>
      <c r="J99" s="176" t="s">
        <v>1862</v>
      </c>
      <c r="K99" s="176" t="s">
        <v>1235</v>
      </c>
      <c r="L99" s="145" t="s">
        <v>1806</v>
      </c>
      <c r="M99" s="45" t="str">
        <f t="shared" si="3"/>
        <v>OneCo Networks AS</v>
      </c>
      <c r="N99" s="40" t="str">
        <f ca="1">IFERROR(
VLOOKUP(BoM_Griptel[[#This Row],[Product code]],
IF(AND((BoQ!$N$3&lt;&gt;""),OR(BoM_Griptel[[#This Row],[Vendor]]="Griptel",BoM_Griptel[[#This Row],[Vendor]]="Solar")),INDIRECT(Aux!$A$1)),4,FALSE),"")</f>
        <v/>
      </c>
      <c r="O99" s="169" t="s">
        <v>1807</v>
      </c>
      <c r="P99" s="41" t="str">
        <f>IFERROR(IF(AND(BoM_Griptel[[#This Row],[Quantity]]&lt;&gt;"",BoM_Griptel[[#This Row],[Currency]]="NOK"),BoM_Griptel[[#This Row],[Quantity]]*BoM_Griptel[[#This Row],[Unit Price]],""),"")</f>
        <v/>
      </c>
      <c r="Q99" s="41" t="str">
        <f>IFERROR(IF(AND(BoM_Griptel[[#This Row],[ACT_Qty]]&lt;&gt;"",BoM_Griptel[[#This Row],[Currency]]="NOK"),BoM_Griptel[[#This Row],[ACT_Qty]]*BoM_Griptel[[#This Row],[Unit Price]],""),"")</f>
        <v/>
      </c>
      <c r="R99" s="41" t="str">
        <f>IFERROR(IF(AND(BoM_Griptel[[#This Row],[Quantity]]&lt;&gt;"",BoM_Griptel[[#This Row],[Currency]]="EUR"),BoM_Griptel[[#This Row],[Quantity]]*BoM_Griptel[[#This Row],[Unit Price]],""),"")</f>
        <v/>
      </c>
      <c r="S99" s="41" t="str">
        <f>IFERROR(IF(AND(BoM_Griptel[[#This Row],[ACT_Qty]]&lt;&gt;"",BoM_Griptel[[#This Row],[Currency]]="EUR"),BoM_Griptel[[#This Row],[ACT_Qty]]*BoM_Griptel[[#This Row],[Unit Price]],""),"")</f>
        <v/>
      </c>
      <c r="T99" s="185" t="s">
        <v>1802</v>
      </c>
      <c r="U99" s="45"/>
      <c r="V99" s="45"/>
      <c r="W99" s="143"/>
    </row>
    <row r="100" spans="1:23" ht="15" customHeight="1">
      <c r="A100" s="146" t="str">
        <f t="shared" si="2"/>
        <v>AKH12345</v>
      </c>
      <c r="B100" s="147" t="s">
        <v>1990</v>
      </c>
      <c r="C100" s="146" t="s">
        <v>1991</v>
      </c>
      <c r="D100" s="68"/>
      <c r="E100" s="89"/>
      <c r="F100" s="68"/>
      <c r="G100" s="89"/>
      <c r="H100" s="177"/>
      <c r="I100" s="178" t="s">
        <v>847</v>
      </c>
      <c r="J100" s="178" t="s">
        <v>1862</v>
      </c>
      <c r="K100" s="178" t="s">
        <v>1235</v>
      </c>
      <c r="L100" s="148" t="s">
        <v>1806</v>
      </c>
      <c r="M100" s="46" t="str">
        <f t="shared" si="3"/>
        <v>OneCo Networks AS</v>
      </c>
      <c r="N100" s="42" t="str">
        <f ca="1">IFERROR(
VLOOKUP(BoM_Griptel[[#This Row],[Product code]],
IF(AND((BoQ!$N$3&lt;&gt;""),OR(BoM_Griptel[[#This Row],[Vendor]]="Griptel",BoM_Griptel[[#This Row],[Vendor]]="Solar")),INDIRECT(Aux!$A$1)),4,FALSE),"")</f>
        <v/>
      </c>
      <c r="O100" s="170" t="s">
        <v>1807</v>
      </c>
      <c r="P100" s="43" t="str">
        <f>IFERROR(IF(AND(BoM_Griptel[[#This Row],[Quantity]]&lt;&gt;"",BoM_Griptel[[#This Row],[Currency]]="NOK"),BoM_Griptel[[#This Row],[Quantity]]*BoM_Griptel[[#This Row],[Unit Price]],""),"")</f>
        <v/>
      </c>
      <c r="Q100" s="43" t="str">
        <f>IFERROR(IF(AND(BoM_Griptel[[#This Row],[ACT_Qty]]&lt;&gt;"",BoM_Griptel[[#This Row],[Currency]]="NOK"),BoM_Griptel[[#This Row],[ACT_Qty]]*BoM_Griptel[[#This Row],[Unit Price]],""),"")</f>
        <v/>
      </c>
      <c r="R100" s="43" t="str">
        <f>IFERROR(IF(AND(BoM_Griptel[[#This Row],[Quantity]]&lt;&gt;"",BoM_Griptel[[#This Row],[Currency]]="EUR"),BoM_Griptel[[#This Row],[Quantity]]*BoM_Griptel[[#This Row],[Unit Price]],""),"")</f>
        <v/>
      </c>
      <c r="S100" s="43" t="str">
        <f>IFERROR(IF(AND(BoM_Griptel[[#This Row],[ACT_Qty]]&lt;&gt;"",BoM_Griptel[[#This Row],[Currency]]="EUR"),BoM_Griptel[[#This Row],[ACT_Qty]]*BoM_Griptel[[#This Row],[Unit Price]],""),"")</f>
        <v/>
      </c>
      <c r="T100" s="186" t="s">
        <v>1802</v>
      </c>
      <c r="U100" s="46"/>
      <c r="V100" s="46"/>
      <c r="W100" s="146"/>
    </row>
    <row r="101" spans="1:23" ht="15" customHeight="1">
      <c r="A101" s="143" t="str">
        <f t="shared" si="2"/>
        <v>AKH12345</v>
      </c>
      <c r="B101" s="144" t="s">
        <v>1992</v>
      </c>
      <c r="C101" s="143" t="s">
        <v>1993</v>
      </c>
      <c r="D101" s="105"/>
      <c r="E101" s="106"/>
      <c r="F101" s="105"/>
      <c r="G101" s="106"/>
      <c r="H101" s="175"/>
      <c r="I101" s="176" t="s">
        <v>847</v>
      </c>
      <c r="J101" s="176" t="s">
        <v>1862</v>
      </c>
      <c r="K101" s="176" t="s">
        <v>1235</v>
      </c>
      <c r="L101" s="145" t="s">
        <v>1806</v>
      </c>
      <c r="M101" s="45" t="str">
        <f t="shared" si="3"/>
        <v>OneCo Networks AS</v>
      </c>
      <c r="N101" s="40" t="str">
        <f ca="1">IFERROR(
VLOOKUP(BoM_Griptel[[#This Row],[Product code]],
IF(AND((BoQ!$N$3&lt;&gt;""),OR(BoM_Griptel[[#This Row],[Vendor]]="Griptel",BoM_Griptel[[#This Row],[Vendor]]="Solar")),INDIRECT(Aux!$A$1)),4,FALSE),"")</f>
        <v/>
      </c>
      <c r="O101" s="169" t="s">
        <v>1807</v>
      </c>
      <c r="P101" s="41" t="str">
        <f>IFERROR(IF(AND(BoM_Griptel[[#This Row],[Quantity]]&lt;&gt;"",BoM_Griptel[[#This Row],[Currency]]="NOK"),BoM_Griptel[[#This Row],[Quantity]]*BoM_Griptel[[#This Row],[Unit Price]],""),"")</f>
        <v/>
      </c>
      <c r="Q101" s="41" t="str">
        <f>IFERROR(IF(AND(BoM_Griptel[[#This Row],[ACT_Qty]]&lt;&gt;"",BoM_Griptel[[#This Row],[Currency]]="NOK"),BoM_Griptel[[#This Row],[ACT_Qty]]*BoM_Griptel[[#This Row],[Unit Price]],""),"")</f>
        <v/>
      </c>
      <c r="R101" s="41" t="str">
        <f>IFERROR(IF(AND(BoM_Griptel[[#This Row],[Quantity]]&lt;&gt;"",BoM_Griptel[[#This Row],[Currency]]="EUR"),BoM_Griptel[[#This Row],[Quantity]]*BoM_Griptel[[#This Row],[Unit Price]],""),"")</f>
        <v/>
      </c>
      <c r="S101" s="41" t="str">
        <f>IFERROR(IF(AND(BoM_Griptel[[#This Row],[ACT_Qty]]&lt;&gt;"",BoM_Griptel[[#This Row],[Currency]]="EUR"),BoM_Griptel[[#This Row],[ACT_Qty]]*BoM_Griptel[[#This Row],[Unit Price]],""),"")</f>
        <v/>
      </c>
      <c r="T101" s="185" t="s">
        <v>1802</v>
      </c>
      <c r="U101" s="45"/>
      <c r="V101" s="45"/>
      <c r="W101" s="143"/>
    </row>
    <row r="102" spans="1:23" ht="15" customHeight="1">
      <c r="A102" s="146" t="str">
        <f t="shared" si="2"/>
        <v>AKH12345</v>
      </c>
      <c r="B102" s="147" t="s">
        <v>1994</v>
      </c>
      <c r="C102" s="146" t="s">
        <v>1995</v>
      </c>
      <c r="D102" s="68"/>
      <c r="E102" s="89"/>
      <c r="F102" s="68"/>
      <c r="G102" s="89"/>
      <c r="H102" s="177"/>
      <c r="I102" s="178" t="s">
        <v>847</v>
      </c>
      <c r="J102" s="178" t="s">
        <v>1862</v>
      </c>
      <c r="K102" s="178" t="s">
        <v>1235</v>
      </c>
      <c r="L102" s="148" t="s">
        <v>1806</v>
      </c>
      <c r="M102" s="46" t="str">
        <f t="shared" si="3"/>
        <v>OneCo Networks AS</v>
      </c>
      <c r="N102" s="42" t="str">
        <f ca="1">IFERROR(
VLOOKUP(BoM_Griptel[[#This Row],[Product code]],
IF(AND((BoQ!$N$3&lt;&gt;""),OR(BoM_Griptel[[#This Row],[Vendor]]="Griptel",BoM_Griptel[[#This Row],[Vendor]]="Solar")),INDIRECT(Aux!$A$1)),4,FALSE),"")</f>
        <v/>
      </c>
      <c r="O102" s="170" t="s">
        <v>1807</v>
      </c>
      <c r="P102" s="43" t="str">
        <f>IFERROR(IF(AND(BoM_Griptel[[#This Row],[Quantity]]&lt;&gt;"",BoM_Griptel[[#This Row],[Currency]]="NOK"),BoM_Griptel[[#This Row],[Quantity]]*BoM_Griptel[[#This Row],[Unit Price]],""),"")</f>
        <v/>
      </c>
      <c r="Q102" s="43" t="str">
        <f>IFERROR(IF(AND(BoM_Griptel[[#This Row],[ACT_Qty]]&lt;&gt;"",BoM_Griptel[[#This Row],[Currency]]="NOK"),BoM_Griptel[[#This Row],[ACT_Qty]]*BoM_Griptel[[#This Row],[Unit Price]],""),"")</f>
        <v/>
      </c>
      <c r="R102" s="43" t="str">
        <f>IFERROR(IF(AND(BoM_Griptel[[#This Row],[Quantity]]&lt;&gt;"",BoM_Griptel[[#This Row],[Currency]]="EUR"),BoM_Griptel[[#This Row],[Quantity]]*BoM_Griptel[[#This Row],[Unit Price]],""),"")</f>
        <v/>
      </c>
      <c r="S102" s="43" t="str">
        <f>IFERROR(IF(AND(BoM_Griptel[[#This Row],[ACT_Qty]]&lt;&gt;"",BoM_Griptel[[#This Row],[Currency]]="EUR"),BoM_Griptel[[#This Row],[ACT_Qty]]*BoM_Griptel[[#This Row],[Unit Price]],""),"")</f>
        <v/>
      </c>
      <c r="T102" s="186" t="s">
        <v>1802</v>
      </c>
      <c r="U102" s="46"/>
      <c r="V102" s="46"/>
      <c r="W102" s="146"/>
    </row>
    <row r="103" spans="1:23" ht="15" customHeight="1">
      <c r="A103" s="143" t="str">
        <f t="shared" si="2"/>
        <v>AKH12345</v>
      </c>
      <c r="B103" s="144" t="s">
        <v>1996</v>
      </c>
      <c r="C103" s="143" t="s">
        <v>1997</v>
      </c>
      <c r="D103" s="105"/>
      <c r="E103" s="106"/>
      <c r="F103" s="105"/>
      <c r="G103" s="106"/>
      <c r="H103" s="175"/>
      <c r="I103" s="176" t="s">
        <v>847</v>
      </c>
      <c r="J103" s="176" t="s">
        <v>1862</v>
      </c>
      <c r="K103" s="176" t="s">
        <v>1235</v>
      </c>
      <c r="L103" s="145" t="s">
        <v>1806</v>
      </c>
      <c r="M103" s="45" t="str">
        <f t="shared" si="3"/>
        <v>OneCo Networks AS</v>
      </c>
      <c r="N103" s="40" t="str">
        <f ca="1">IFERROR(
VLOOKUP(BoM_Griptel[[#This Row],[Product code]],
IF(AND((BoQ!$N$3&lt;&gt;""),OR(BoM_Griptel[[#This Row],[Vendor]]="Griptel",BoM_Griptel[[#This Row],[Vendor]]="Solar")),INDIRECT(Aux!$A$1)),4,FALSE),"")</f>
        <v/>
      </c>
      <c r="O103" s="169" t="s">
        <v>1807</v>
      </c>
      <c r="P103" s="41" t="str">
        <f>IFERROR(IF(AND(BoM_Griptel[[#This Row],[Quantity]]&lt;&gt;"",BoM_Griptel[[#This Row],[Currency]]="NOK"),BoM_Griptel[[#This Row],[Quantity]]*BoM_Griptel[[#This Row],[Unit Price]],""),"")</f>
        <v/>
      </c>
      <c r="Q103" s="41" t="str">
        <f>IFERROR(IF(AND(BoM_Griptel[[#This Row],[ACT_Qty]]&lt;&gt;"",BoM_Griptel[[#This Row],[Currency]]="NOK"),BoM_Griptel[[#This Row],[ACT_Qty]]*BoM_Griptel[[#This Row],[Unit Price]],""),"")</f>
        <v/>
      </c>
      <c r="R103" s="41" t="str">
        <f>IFERROR(IF(AND(BoM_Griptel[[#This Row],[Quantity]]&lt;&gt;"",BoM_Griptel[[#This Row],[Currency]]="EUR"),BoM_Griptel[[#This Row],[Quantity]]*BoM_Griptel[[#This Row],[Unit Price]],""),"")</f>
        <v/>
      </c>
      <c r="S103" s="41" t="str">
        <f>IFERROR(IF(AND(BoM_Griptel[[#This Row],[ACT_Qty]]&lt;&gt;"",BoM_Griptel[[#This Row],[Currency]]="EUR"),BoM_Griptel[[#This Row],[ACT_Qty]]*BoM_Griptel[[#This Row],[Unit Price]],""),"")</f>
        <v/>
      </c>
      <c r="T103" s="185" t="s">
        <v>1802</v>
      </c>
      <c r="U103" s="45"/>
      <c r="V103" s="45"/>
      <c r="W103" s="143"/>
    </row>
    <row r="104" spans="1:23" ht="15" customHeight="1">
      <c r="A104" s="146" t="str">
        <f t="shared" si="2"/>
        <v>AKH12345</v>
      </c>
      <c r="B104" s="147" t="s">
        <v>1998</v>
      </c>
      <c r="C104" s="146" t="s">
        <v>1999</v>
      </c>
      <c r="D104" s="68"/>
      <c r="E104" s="89"/>
      <c r="F104" s="68"/>
      <c r="G104" s="89"/>
      <c r="H104" s="177"/>
      <c r="I104" s="178" t="s">
        <v>847</v>
      </c>
      <c r="J104" s="178" t="s">
        <v>1862</v>
      </c>
      <c r="K104" s="178" t="s">
        <v>1235</v>
      </c>
      <c r="L104" s="148" t="s">
        <v>1806</v>
      </c>
      <c r="M104" s="46" t="str">
        <f t="shared" si="3"/>
        <v>OneCo Networks AS</v>
      </c>
      <c r="N104" s="42" t="str">
        <f ca="1">IFERROR(
VLOOKUP(BoM_Griptel[[#This Row],[Product code]],
IF(AND((BoQ!$N$3&lt;&gt;""),OR(BoM_Griptel[[#This Row],[Vendor]]="Griptel",BoM_Griptel[[#This Row],[Vendor]]="Solar")),INDIRECT(Aux!$A$1)),4,FALSE),"")</f>
        <v/>
      </c>
      <c r="O104" s="170" t="s">
        <v>1807</v>
      </c>
      <c r="P104" s="43" t="str">
        <f>IFERROR(IF(AND(BoM_Griptel[[#This Row],[Quantity]]&lt;&gt;"",BoM_Griptel[[#This Row],[Currency]]="NOK"),BoM_Griptel[[#This Row],[Quantity]]*BoM_Griptel[[#This Row],[Unit Price]],""),"")</f>
        <v/>
      </c>
      <c r="Q104" s="43" t="str">
        <f>IFERROR(IF(AND(BoM_Griptel[[#This Row],[ACT_Qty]]&lt;&gt;"",BoM_Griptel[[#This Row],[Currency]]="NOK"),BoM_Griptel[[#This Row],[ACT_Qty]]*BoM_Griptel[[#This Row],[Unit Price]],""),"")</f>
        <v/>
      </c>
      <c r="R104" s="43" t="str">
        <f>IFERROR(IF(AND(BoM_Griptel[[#This Row],[Quantity]]&lt;&gt;"",BoM_Griptel[[#This Row],[Currency]]="EUR"),BoM_Griptel[[#This Row],[Quantity]]*BoM_Griptel[[#This Row],[Unit Price]],""),"")</f>
        <v/>
      </c>
      <c r="S104" s="43" t="str">
        <f>IFERROR(IF(AND(BoM_Griptel[[#This Row],[ACT_Qty]]&lt;&gt;"",BoM_Griptel[[#This Row],[Currency]]="EUR"),BoM_Griptel[[#This Row],[ACT_Qty]]*BoM_Griptel[[#This Row],[Unit Price]],""),"")</f>
        <v/>
      </c>
      <c r="T104" s="186" t="s">
        <v>1802</v>
      </c>
      <c r="U104" s="46"/>
      <c r="V104" s="46"/>
      <c r="W104" s="146"/>
    </row>
    <row r="105" spans="1:23" ht="15" customHeight="1">
      <c r="A105" s="143" t="str">
        <f t="shared" si="2"/>
        <v>AKH12345</v>
      </c>
      <c r="B105" s="144" t="s">
        <v>2000</v>
      </c>
      <c r="C105" s="143" t="s">
        <v>2001</v>
      </c>
      <c r="D105" s="105"/>
      <c r="E105" s="106"/>
      <c r="F105" s="105"/>
      <c r="G105" s="106"/>
      <c r="H105" s="175"/>
      <c r="I105" s="176" t="s">
        <v>847</v>
      </c>
      <c r="J105" s="176" t="s">
        <v>1862</v>
      </c>
      <c r="K105" s="176" t="s">
        <v>1235</v>
      </c>
      <c r="L105" s="145" t="s">
        <v>1806</v>
      </c>
      <c r="M105" s="45" t="str">
        <f t="shared" si="3"/>
        <v>OneCo Networks AS</v>
      </c>
      <c r="N105" s="40" t="str">
        <f ca="1">IFERROR(
VLOOKUP(BoM_Griptel[[#This Row],[Product code]],
IF(AND((BoQ!$N$3&lt;&gt;""),OR(BoM_Griptel[[#This Row],[Vendor]]="Griptel",BoM_Griptel[[#This Row],[Vendor]]="Solar")),INDIRECT(Aux!$A$1)),4,FALSE),"")</f>
        <v/>
      </c>
      <c r="O105" s="169" t="s">
        <v>1807</v>
      </c>
      <c r="P105" s="41" t="str">
        <f>IFERROR(IF(AND(BoM_Griptel[[#This Row],[Quantity]]&lt;&gt;"",BoM_Griptel[[#This Row],[Currency]]="NOK"),BoM_Griptel[[#This Row],[Quantity]]*BoM_Griptel[[#This Row],[Unit Price]],""),"")</f>
        <v/>
      </c>
      <c r="Q105" s="41" t="str">
        <f>IFERROR(IF(AND(BoM_Griptel[[#This Row],[ACT_Qty]]&lt;&gt;"",BoM_Griptel[[#This Row],[Currency]]="NOK"),BoM_Griptel[[#This Row],[ACT_Qty]]*BoM_Griptel[[#This Row],[Unit Price]],""),"")</f>
        <v/>
      </c>
      <c r="R105" s="41" t="str">
        <f>IFERROR(IF(AND(BoM_Griptel[[#This Row],[Quantity]]&lt;&gt;"",BoM_Griptel[[#This Row],[Currency]]="EUR"),BoM_Griptel[[#This Row],[Quantity]]*BoM_Griptel[[#This Row],[Unit Price]],""),"")</f>
        <v/>
      </c>
      <c r="S105" s="41" t="str">
        <f>IFERROR(IF(AND(BoM_Griptel[[#This Row],[ACT_Qty]]&lt;&gt;"",BoM_Griptel[[#This Row],[Currency]]="EUR"),BoM_Griptel[[#This Row],[ACT_Qty]]*BoM_Griptel[[#This Row],[Unit Price]],""),"")</f>
        <v/>
      </c>
      <c r="T105" s="185" t="s">
        <v>1802</v>
      </c>
      <c r="U105" s="45"/>
      <c r="V105" s="45"/>
      <c r="W105" s="143"/>
    </row>
    <row r="106" spans="1:23" ht="15" customHeight="1">
      <c r="A106" s="146" t="str">
        <f t="shared" si="2"/>
        <v>AKH12345</v>
      </c>
      <c r="B106" s="147" t="s">
        <v>2002</v>
      </c>
      <c r="C106" s="146" t="s">
        <v>2003</v>
      </c>
      <c r="D106" s="68"/>
      <c r="E106" s="89"/>
      <c r="F106" s="68"/>
      <c r="G106" s="89"/>
      <c r="H106" s="177"/>
      <c r="I106" s="178" t="s">
        <v>847</v>
      </c>
      <c r="J106" s="178" t="s">
        <v>1921</v>
      </c>
      <c r="K106" s="178" t="s">
        <v>1235</v>
      </c>
      <c r="L106" s="148" t="s">
        <v>1806</v>
      </c>
      <c r="M106" s="46" t="str">
        <f t="shared" si="3"/>
        <v>OneCo Networks AS</v>
      </c>
      <c r="N106" s="42" t="str">
        <f ca="1">IFERROR(
VLOOKUP(BoM_Griptel[[#This Row],[Product code]],
IF(AND((BoQ!$N$3&lt;&gt;""),OR(BoM_Griptel[[#This Row],[Vendor]]="Griptel",BoM_Griptel[[#This Row],[Vendor]]="Solar")),INDIRECT(Aux!$A$1)),4,FALSE),"")</f>
        <v/>
      </c>
      <c r="O106" s="170" t="s">
        <v>1807</v>
      </c>
      <c r="P106" s="43" t="str">
        <f>IFERROR(IF(AND(BoM_Griptel[[#This Row],[Quantity]]&lt;&gt;"",BoM_Griptel[[#This Row],[Currency]]="NOK"),BoM_Griptel[[#This Row],[Quantity]]*BoM_Griptel[[#This Row],[Unit Price]],""),"")</f>
        <v/>
      </c>
      <c r="Q106" s="43" t="str">
        <f>IFERROR(IF(AND(BoM_Griptel[[#This Row],[ACT_Qty]]&lt;&gt;"",BoM_Griptel[[#This Row],[Currency]]="NOK"),BoM_Griptel[[#This Row],[ACT_Qty]]*BoM_Griptel[[#This Row],[Unit Price]],""),"")</f>
        <v/>
      </c>
      <c r="R106" s="43" t="str">
        <f>IFERROR(IF(AND(BoM_Griptel[[#This Row],[Quantity]]&lt;&gt;"",BoM_Griptel[[#This Row],[Currency]]="EUR"),BoM_Griptel[[#This Row],[Quantity]]*BoM_Griptel[[#This Row],[Unit Price]],""),"")</f>
        <v/>
      </c>
      <c r="S106" s="43" t="str">
        <f>IFERROR(IF(AND(BoM_Griptel[[#This Row],[ACT_Qty]]&lt;&gt;"",BoM_Griptel[[#This Row],[Currency]]="EUR"),BoM_Griptel[[#This Row],[ACT_Qty]]*BoM_Griptel[[#This Row],[Unit Price]],""),"")</f>
        <v/>
      </c>
      <c r="T106" s="186" t="s">
        <v>1802</v>
      </c>
      <c r="U106" s="46"/>
      <c r="V106" s="46"/>
      <c r="W106" s="146"/>
    </row>
    <row r="107" spans="1:23" ht="15" customHeight="1">
      <c r="A107" s="143" t="str">
        <f t="shared" si="2"/>
        <v>AKH12345</v>
      </c>
      <c r="B107" s="144" t="s">
        <v>2004</v>
      </c>
      <c r="C107" s="143" t="s">
        <v>2005</v>
      </c>
      <c r="D107" s="105"/>
      <c r="E107" s="106"/>
      <c r="F107" s="105"/>
      <c r="G107" s="106"/>
      <c r="H107" s="175"/>
      <c r="I107" s="176" t="s">
        <v>847</v>
      </c>
      <c r="J107" s="176" t="s">
        <v>1921</v>
      </c>
      <c r="K107" s="176" t="s">
        <v>1235</v>
      </c>
      <c r="L107" s="145" t="s">
        <v>1806</v>
      </c>
      <c r="M107" s="45" t="str">
        <f t="shared" si="3"/>
        <v>OneCo Networks AS</v>
      </c>
      <c r="N107" s="40" t="str">
        <f ca="1">IFERROR(
VLOOKUP(BoM_Griptel[[#This Row],[Product code]],
IF(AND((BoQ!$N$3&lt;&gt;""),OR(BoM_Griptel[[#This Row],[Vendor]]="Griptel",BoM_Griptel[[#This Row],[Vendor]]="Solar")),INDIRECT(Aux!$A$1)),4,FALSE),"")</f>
        <v/>
      </c>
      <c r="O107" s="169" t="s">
        <v>1807</v>
      </c>
      <c r="P107" s="41" t="str">
        <f>IFERROR(IF(AND(BoM_Griptel[[#This Row],[Quantity]]&lt;&gt;"",BoM_Griptel[[#This Row],[Currency]]="NOK"),BoM_Griptel[[#This Row],[Quantity]]*BoM_Griptel[[#This Row],[Unit Price]],""),"")</f>
        <v/>
      </c>
      <c r="Q107" s="41" t="str">
        <f>IFERROR(IF(AND(BoM_Griptel[[#This Row],[ACT_Qty]]&lt;&gt;"",BoM_Griptel[[#This Row],[Currency]]="NOK"),BoM_Griptel[[#This Row],[ACT_Qty]]*BoM_Griptel[[#This Row],[Unit Price]],""),"")</f>
        <v/>
      </c>
      <c r="R107" s="41" t="str">
        <f>IFERROR(IF(AND(BoM_Griptel[[#This Row],[Quantity]]&lt;&gt;"",BoM_Griptel[[#This Row],[Currency]]="EUR"),BoM_Griptel[[#This Row],[Quantity]]*BoM_Griptel[[#This Row],[Unit Price]],""),"")</f>
        <v/>
      </c>
      <c r="S107" s="41" t="str">
        <f>IFERROR(IF(AND(BoM_Griptel[[#This Row],[ACT_Qty]]&lt;&gt;"",BoM_Griptel[[#This Row],[Currency]]="EUR"),BoM_Griptel[[#This Row],[ACT_Qty]]*BoM_Griptel[[#This Row],[Unit Price]],""),"")</f>
        <v/>
      </c>
      <c r="T107" s="185" t="s">
        <v>1802</v>
      </c>
      <c r="U107" s="45"/>
      <c r="V107" s="45"/>
      <c r="W107" s="143"/>
    </row>
    <row r="108" spans="1:23" ht="15" customHeight="1">
      <c r="A108" s="146" t="str">
        <f t="shared" si="2"/>
        <v>AKH12345</v>
      </c>
      <c r="B108" s="147" t="s">
        <v>2006</v>
      </c>
      <c r="C108" s="146" t="s">
        <v>2007</v>
      </c>
      <c r="D108" s="68"/>
      <c r="E108" s="89"/>
      <c r="F108" s="68"/>
      <c r="G108" s="89"/>
      <c r="H108" s="177"/>
      <c r="I108" s="178" t="s">
        <v>847</v>
      </c>
      <c r="J108" s="178" t="s">
        <v>1921</v>
      </c>
      <c r="K108" s="178" t="s">
        <v>1235</v>
      </c>
      <c r="L108" s="148" t="s">
        <v>1806</v>
      </c>
      <c r="M108" s="46" t="str">
        <f t="shared" si="3"/>
        <v>OneCo Networks AS</v>
      </c>
      <c r="N108" s="42" t="str">
        <f ca="1">IFERROR(
VLOOKUP(BoM_Griptel[[#This Row],[Product code]],
IF(AND((BoQ!$N$3&lt;&gt;""),OR(BoM_Griptel[[#This Row],[Vendor]]="Griptel",BoM_Griptel[[#This Row],[Vendor]]="Solar")),INDIRECT(Aux!$A$1)),4,FALSE),"")</f>
        <v/>
      </c>
      <c r="O108" s="170" t="s">
        <v>1807</v>
      </c>
      <c r="P108" s="43" t="str">
        <f>IFERROR(IF(AND(BoM_Griptel[[#This Row],[Quantity]]&lt;&gt;"",BoM_Griptel[[#This Row],[Currency]]="NOK"),BoM_Griptel[[#This Row],[Quantity]]*BoM_Griptel[[#This Row],[Unit Price]],""),"")</f>
        <v/>
      </c>
      <c r="Q108" s="43" t="str">
        <f>IFERROR(IF(AND(BoM_Griptel[[#This Row],[ACT_Qty]]&lt;&gt;"",BoM_Griptel[[#This Row],[Currency]]="NOK"),BoM_Griptel[[#This Row],[ACT_Qty]]*BoM_Griptel[[#This Row],[Unit Price]],""),"")</f>
        <v/>
      </c>
      <c r="R108" s="43" t="str">
        <f>IFERROR(IF(AND(BoM_Griptel[[#This Row],[Quantity]]&lt;&gt;"",BoM_Griptel[[#This Row],[Currency]]="EUR"),BoM_Griptel[[#This Row],[Quantity]]*BoM_Griptel[[#This Row],[Unit Price]],""),"")</f>
        <v/>
      </c>
      <c r="S108" s="43" t="str">
        <f>IFERROR(IF(AND(BoM_Griptel[[#This Row],[ACT_Qty]]&lt;&gt;"",BoM_Griptel[[#This Row],[Currency]]="EUR"),BoM_Griptel[[#This Row],[ACT_Qty]]*BoM_Griptel[[#This Row],[Unit Price]],""),"")</f>
        <v/>
      </c>
      <c r="T108" s="186" t="s">
        <v>1802</v>
      </c>
      <c r="U108" s="46"/>
      <c r="V108" s="46"/>
      <c r="W108" s="146"/>
    </row>
    <row r="109" spans="1:23" ht="15" customHeight="1">
      <c r="A109" s="143" t="str">
        <f t="shared" si="2"/>
        <v>AKH12345</v>
      </c>
      <c r="B109" s="144" t="s">
        <v>2008</v>
      </c>
      <c r="C109" s="143" t="s">
        <v>2009</v>
      </c>
      <c r="D109" s="105"/>
      <c r="E109" s="106"/>
      <c r="F109" s="105"/>
      <c r="G109" s="106"/>
      <c r="H109" s="175"/>
      <c r="I109" s="176" t="s">
        <v>847</v>
      </c>
      <c r="J109" s="176" t="s">
        <v>1921</v>
      </c>
      <c r="K109" s="176" t="s">
        <v>1235</v>
      </c>
      <c r="L109" s="145" t="s">
        <v>1806</v>
      </c>
      <c r="M109" s="45" t="str">
        <f t="shared" si="3"/>
        <v>OneCo Networks AS</v>
      </c>
      <c r="N109" s="40" t="str">
        <f ca="1">IFERROR(
VLOOKUP(BoM_Griptel[[#This Row],[Product code]],
IF(AND((BoQ!$N$3&lt;&gt;""),OR(BoM_Griptel[[#This Row],[Vendor]]="Griptel",BoM_Griptel[[#This Row],[Vendor]]="Solar")),INDIRECT(Aux!$A$1)),4,FALSE),"")</f>
        <v/>
      </c>
      <c r="O109" s="169" t="s">
        <v>1807</v>
      </c>
      <c r="P109" s="41" t="str">
        <f>IFERROR(IF(AND(BoM_Griptel[[#This Row],[Quantity]]&lt;&gt;"",BoM_Griptel[[#This Row],[Currency]]="NOK"),BoM_Griptel[[#This Row],[Quantity]]*BoM_Griptel[[#This Row],[Unit Price]],""),"")</f>
        <v/>
      </c>
      <c r="Q109" s="41" t="str">
        <f>IFERROR(IF(AND(BoM_Griptel[[#This Row],[ACT_Qty]]&lt;&gt;"",BoM_Griptel[[#This Row],[Currency]]="NOK"),BoM_Griptel[[#This Row],[ACT_Qty]]*BoM_Griptel[[#This Row],[Unit Price]],""),"")</f>
        <v/>
      </c>
      <c r="R109" s="41" t="str">
        <f>IFERROR(IF(AND(BoM_Griptel[[#This Row],[Quantity]]&lt;&gt;"",BoM_Griptel[[#This Row],[Currency]]="EUR"),BoM_Griptel[[#This Row],[Quantity]]*BoM_Griptel[[#This Row],[Unit Price]],""),"")</f>
        <v/>
      </c>
      <c r="S109" s="41" t="str">
        <f>IFERROR(IF(AND(BoM_Griptel[[#This Row],[ACT_Qty]]&lt;&gt;"",BoM_Griptel[[#This Row],[Currency]]="EUR"),BoM_Griptel[[#This Row],[ACT_Qty]]*BoM_Griptel[[#This Row],[Unit Price]],""),"")</f>
        <v/>
      </c>
      <c r="T109" s="185" t="s">
        <v>1802</v>
      </c>
      <c r="U109" s="45"/>
      <c r="V109" s="45"/>
      <c r="W109" s="143"/>
    </row>
    <row r="110" spans="1:23" ht="15" customHeight="1">
      <c r="A110" s="146" t="str">
        <f t="shared" si="2"/>
        <v>AKH12345</v>
      </c>
      <c r="B110" s="147" t="s">
        <v>2010</v>
      </c>
      <c r="C110" s="146" t="s">
        <v>2011</v>
      </c>
      <c r="D110" s="68"/>
      <c r="E110" s="89"/>
      <c r="F110" s="68"/>
      <c r="G110" s="89"/>
      <c r="H110" s="177"/>
      <c r="I110" s="178" t="s">
        <v>847</v>
      </c>
      <c r="J110" s="178" t="s">
        <v>1921</v>
      </c>
      <c r="K110" s="178" t="s">
        <v>1235</v>
      </c>
      <c r="L110" s="148" t="s">
        <v>1806</v>
      </c>
      <c r="M110" s="46" t="str">
        <f t="shared" si="3"/>
        <v>OneCo Networks AS</v>
      </c>
      <c r="N110" s="42" t="str">
        <f ca="1">IFERROR(
VLOOKUP(BoM_Griptel[[#This Row],[Product code]],
IF(AND((BoQ!$N$3&lt;&gt;""),OR(BoM_Griptel[[#This Row],[Vendor]]="Griptel",BoM_Griptel[[#This Row],[Vendor]]="Solar")),INDIRECT(Aux!$A$1)),4,FALSE),"")</f>
        <v/>
      </c>
      <c r="O110" s="170" t="s">
        <v>1807</v>
      </c>
      <c r="P110" s="43" t="str">
        <f>IFERROR(IF(AND(BoM_Griptel[[#This Row],[Quantity]]&lt;&gt;"",BoM_Griptel[[#This Row],[Currency]]="NOK"),BoM_Griptel[[#This Row],[Quantity]]*BoM_Griptel[[#This Row],[Unit Price]],""),"")</f>
        <v/>
      </c>
      <c r="Q110" s="43" t="str">
        <f>IFERROR(IF(AND(BoM_Griptel[[#This Row],[ACT_Qty]]&lt;&gt;"",BoM_Griptel[[#This Row],[Currency]]="NOK"),BoM_Griptel[[#This Row],[ACT_Qty]]*BoM_Griptel[[#This Row],[Unit Price]],""),"")</f>
        <v/>
      </c>
      <c r="R110" s="43" t="str">
        <f>IFERROR(IF(AND(BoM_Griptel[[#This Row],[Quantity]]&lt;&gt;"",BoM_Griptel[[#This Row],[Currency]]="EUR"),BoM_Griptel[[#This Row],[Quantity]]*BoM_Griptel[[#This Row],[Unit Price]],""),"")</f>
        <v/>
      </c>
      <c r="S110" s="43" t="str">
        <f>IFERROR(IF(AND(BoM_Griptel[[#This Row],[ACT_Qty]]&lt;&gt;"",BoM_Griptel[[#This Row],[Currency]]="EUR"),BoM_Griptel[[#This Row],[ACT_Qty]]*BoM_Griptel[[#This Row],[Unit Price]],""),"")</f>
        <v/>
      </c>
      <c r="T110" s="186" t="s">
        <v>1802</v>
      </c>
      <c r="U110" s="46"/>
      <c r="V110" s="46"/>
      <c r="W110" s="146"/>
    </row>
    <row r="111" spans="1:23" ht="15" customHeight="1">
      <c r="A111" s="143" t="str">
        <f t="shared" si="2"/>
        <v>AKH12345</v>
      </c>
      <c r="B111" s="144" t="s">
        <v>2012</v>
      </c>
      <c r="C111" s="143" t="s">
        <v>2013</v>
      </c>
      <c r="D111" s="105"/>
      <c r="E111" s="106"/>
      <c r="F111" s="105"/>
      <c r="G111" s="106"/>
      <c r="H111" s="175"/>
      <c r="I111" s="176" t="s">
        <v>847</v>
      </c>
      <c r="J111" s="176" t="s">
        <v>1921</v>
      </c>
      <c r="K111" s="176" t="s">
        <v>1235</v>
      </c>
      <c r="L111" s="145" t="s">
        <v>1806</v>
      </c>
      <c r="M111" s="45" t="str">
        <f t="shared" si="3"/>
        <v>OneCo Networks AS</v>
      </c>
      <c r="N111" s="40" t="str">
        <f ca="1">IFERROR(
VLOOKUP(BoM_Griptel[[#This Row],[Product code]],
IF(AND((BoQ!$N$3&lt;&gt;""),OR(BoM_Griptel[[#This Row],[Vendor]]="Griptel",BoM_Griptel[[#This Row],[Vendor]]="Solar")),INDIRECT(Aux!$A$1)),4,FALSE),"")</f>
        <v/>
      </c>
      <c r="O111" s="169" t="s">
        <v>1807</v>
      </c>
      <c r="P111" s="41" t="str">
        <f>IFERROR(IF(AND(BoM_Griptel[[#This Row],[Quantity]]&lt;&gt;"",BoM_Griptel[[#This Row],[Currency]]="NOK"),BoM_Griptel[[#This Row],[Quantity]]*BoM_Griptel[[#This Row],[Unit Price]],""),"")</f>
        <v/>
      </c>
      <c r="Q111" s="41" t="str">
        <f>IFERROR(IF(AND(BoM_Griptel[[#This Row],[ACT_Qty]]&lt;&gt;"",BoM_Griptel[[#This Row],[Currency]]="NOK"),BoM_Griptel[[#This Row],[ACT_Qty]]*BoM_Griptel[[#This Row],[Unit Price]],""),"")</f>
        <v/>
      </c>
      <c r="R111" s="41" t="str">
        <f>IFERROR(IF(AND(BoM_Griptel[[#This Row],[Quantity]]&lt;&gt;"",BoM_Griptel[[#This Row],[Currency]]="EUR"),BoM_Griptel[[#This Row],[Quantity]]*BoM_Griptel[[#This Row],[Unit Price]],""),"")</f>
        <v/>
      </c>
      <c r="S111" s="41" t="str">
        <f>IFERROR(IF(AND(BoM_Griptel[[#This Row],[ACT_Qty]]&lt;&gt;"",BoM_Griptel[[#This Row],[Currency]]="EUR"),BoM_Griptel[[#This Row],[ACT_Qty]]*BoM_Griptel[[#This Row],[Unit Price]],""),"")</f>
        <v/>
      </c>
      <c r="T111" s="185" t="s">
        <v>1802</v>
      </c>
      <c r="U111" s="45"/>
      <c r="V111" s="45"/>
      <c r="W111" s="143"/>
    </row>
    <row r="112" spans="1:23" ht="15" customHeight="1">
      <c r="A112" s="146" t="str">
        <f t="shared" si="2"/>
        <v>AKH12345</v>
      </c>
      <c r="B112" s="147" t="s">
        <v>2014</v>
      </c>
      <c r="C112" s="146" t="s">
        <v>2015</v>
      </c>
      <c r="D112" s="68"/>
      <c r="E112" s="89"/>
      <c r="F112" s="68"/>
      <c r="G112" s="89"/>
      <c r="H112" s="177"/>
      <c r="I112" s="178" t="s">
        <v>847</v>
      </c>
      <c r="J112" s="178" t="s">
        <v>1921</v>
      </c>
      <c r="K112" s="178" t="s">
        <v>1235</v>
      </c>
      <c r="L112" s="148" t="s">
        <v>1806</v>
      </c>
      <c r="M112" s="46" t="str">
        <f t="shared" si="3"/>
        <v>OneCo Networks AS</v>
      </c>
      <c r="N112" s="42" t="str">
        <f ca="1">IFERROR(
VLOOKUP(BoM_Griptel[[#This Row],[Product code]],
IF(AND((BoQ!$N$3&lt;&gt;""),OR(BoM_Griptel[[#This Row],[Vendor]]="Griptel",BoM_Griptel[[#This Row],[Vendor]]="Solar")),INDIRECT(Aux!$A$1)),4,FALSE),"")</f>
        <v/>
      </c>
      <c r="O112" s="170" t="s">
        <v>1807</v>
      </c>
      <c r="P112" s="43" t="str">
        <f>IFERROR(IF(AND(BoM_Griptel[[#This Row],[Quantity]]&lt;&gt;"",BoM_Griptel[[#This Row],[Currency]]="NOK"),BoM_Griptel[[#This Row],[Quantity]]*BoM_Griptel[[#This Row],[Unit Price]],""),"")</f>
        <v/>
      </c>
      <c r="Q112" s="43" t="str">
        <f>IFERROR(IF(AND(BoM_Griptel[[#This Row],[ACT_Qty]]&lt;&gt;"",BoM_Griptel[[#This Row],[Currency]]="NOK"),BoM_Griptel[[#This Row],[ACT_Qty]]*BoM_Griptel[[#This Row],[Unit Price]],""),"")</f>
        <v/>
      </c>
      <c r="R112" s="43" t="str">
        <f>IFERROR(IF(AND(BoM_Griptel[[#This Row],[Quantity]]&lt;&gt;"",BoM_Griptel[[#This Row],[Currency]]="EUR"),BoM_Griptel[[#This Row],[Quantity]]*BoM_Griptel[[#This Row],[Unit Price]],""),"")</f>
        <v/>
      </c>
      <c r="S112" s="43" t="str">
        <f>IFERROR(IF(AND(BoM_Griptel[[#This Row],[ACT_Qty]]&lt;&gt;"",BoM_Griptel[[#This Row],[Currency]]="EUR"),BoM_Griptel[[#This Row],[ACT_Qty]]*BoM_Griptel[[#This Row],[Unit Price]],""),"")</f>
        <v/>
      </c>
      <c r="T112" s="186" t="s">
        <v>1802</v>
      </c>
      <c r="U112" s="46"/>
      <c r="V112" s="46"/>
      <c r="W112" s="146"/>
    </row>
    <row r="113" spans="1:23" ht="15" customHeight="1">
      <c r="A113" s="143" t="str">
        <f t="shared" si="2"/>
        <v>AKH12345</v>
      </c>
      <c r="B113" s="144" t="s">
        <v>2016</v>
      </c>
      <c r="C113" s="143" t="s">
        <v>2017</v>
      </c>
      <c r="D113" s="105"/>
      <c r="E113" s="106"/>
      <c r="F113" s="105"/>
      <c r="G113" s="106"/>
      <c r="H113" s="175"/>
      <c r="I113" s="176" t="s">
        <v>847</v>
      </c>
      <c r="J113" s="176" t="s">
        <v>1921</v>
      </c>
      <c r="K113" s="176" t="s">
        <v>1235</v>
      </c>
      <c r="L113" s="145" t="s">
        <v>1806</v>
      </c>
      <c r="M113" s="45" t="str">
        <f t="shared" si="3"/>
        <v>OneCo Networks AS</v>
      </c>
      <c r="N113" s="40" t="str">
        <f ca="1">IFERROR(
VLOOKUP(BoM_Griptel[[#This Row],[Product code]],
IF(AND((BoQ!$N$3&lt;&gt;""),OR(BoM_Griptel[[#This Row],[Vendor]]="Griptel",BoM_Griptel[[#This Row],[Vendor]]="Solar")),INDIRECT(Aux!$A$1)),4,FALSE),"")</f>
        <v/>
      </c>
      <c r="O113" s="169" t="s">
        <v>1807</v>
      </c>
      <c r="P113" s="41" t="str">
        <f>IFERROR(IF(AND(BoM_Griptel[[#This Row],[Quantity]]&lt;&gt;"",BoM_Griptel[[#This Row],[Currency]]="NOK"),BoM_Griptel[[#This Row],[Quantity]]*BoM_Griptel[[#This Row],[Unit Price]],""),"")</f>
        <v/>
      </c>
      <c r="Q113" s="41" t="str">
        <f>IFERROR(IF(AND(BoM_Griptel[[#This Row],[ACT_Qty]]&lt;&gt;"",BoM_Griptel[[#This Row],[Currency]]="NOK"),BoM_Griptel[[#This Row],[ACT_Qty]]*BoM_Griptel[[#This Row],[Unit Price]],""),"")</f>
        <v/>
      </c>
      <c r="R113" s="41" t="str">
        <f>IFERROR(IF(AND(BoM_Griptel[[#This Row],[Quantity]]&lt;&gt;"",BoM_Griptel[[#This Row],[Currency]]="EUR"),BoM_Griptel[[#This Row],[Quantity]]*BoM_Griptel[[#This Row],[Unit Price]],""),"")</f>
        <v/>
      </c>
      <c r="S113" s="41" t="str">
        <f>IFERROR(IF(AND(BoM_Griptel[[#This Row],[ACT_Qty]]&lt;&gt;"",BoM_Griptel[[#This Row],[Currency]]="EUR"),BoM_Griptel[[#This Row],[ACT_Qty]]*BoM_Griptel[[#This Row],[Unit Price]],""),"")</f>
        <v/>
      </c>
      <c r="T113" s="185" t="s">
        <v>1802</v>
      </c>
      <c r="U113" s="45"/>
      <c r="V113" s="45"/>
      <c r="W113" s="143"/>
    </row>
    <row r="114" spans="1:23" ht="15" customHeight="1">
      <c r="A114" s="146" t="str">
        <f t="shared" si="2"/>
        <v>AKH12345</v>
      </c>
      <c r="B114" s="147" t="s">
        <v>2018</v>
      </c>
      <c r="C114" s="146" t="s">
        <v>2019</v>
      </c>
      <c r="D114" s="68"/>
      <c r="E114" s="89"/>
      <c r="F114" s="68"/>
      <c r="G114" s="89"/>
      <c r="H114" s="177"/>
      <c r="I114" s="178" t="s">
        <v>847</v>
      </c>
      <c r="J114" s="178" t="s">
        <v>1921</v>
      </c>
      <c r="K114" s="178" t="s">
        <v>1235</v>
      </c>
      <c r="L114" s="148" t="s">
        <v>1806</v>
      </c>
      <c r="M114" s="46" t="str">
        <f t="shared" si="3"/>
        <v>OneCo Networks AS</v>
      </c>
      <c r="N114" s="42" t="str">
        <f ca="1">IFERROR(
VLOOKUP(BoM_Griptel[[#This Row],[Product code]],
IF(AND((BoQ!$N$3&lt;&gt;""),OR(BoM_Griptel[[#This Row],[Vendor]]="Griptel",BoM_Griptel[[#This Row],[Vendor]]="Solar")),INDIRECT(Aux!$A$1)),4,FALSE),"")</f>
        <v/>
      </c>
      <c r="O114" s="170" t="s">
        <v>1807</v>
      </c>
      <c r="P114" s="43" t="str">
        <f>IFERROR(IF(AND(BoM_Griptel[[#This Row],[Quantity]]&lt;&gt;"",BoM_Griptel[[#This Row],[Currency]]="NOK"),BoM_Griptel[[#This Row],[Quantity]]*BoM_Griptel[[#This Row],[Unit Price]],""),"")</f>
        <v/>
      </c>
      <c r="Q114" s="43" t="str">
        <f>IFERROR(IF(AND(BoM_Griptel[[#This Row],[ACT_Qty]]&lt;&gt;"",BoM_Griptel[[#This Row],[Currency]]="NOK"),BoM_Griptel[[#This Row],[ACT_Qty]]*BoM_Griptel[[#This Row],[Unit Price]],""),"")</f>
        <v/>
      </c>
      <c r="R114" s="43" t="str">
        <f>IFERROR(IF(AND(BoM_Griptel[[#This Row],[Quantity]]&lt;&gt;"",BoM_Griptel[[#This Row],[Currency]]="EUR"),BoM_Griptel[[#This Row],[Quantity]]*BoM_Griptel[[#This Row],[Unit Price]],""),"")</f>
        <v/>
      </c>
      <c r="S114" s="43" t="str">
        <f>IFERROR(IF(AND(BoM_Griptel[[#This Row],[ACT_Qty]]&lt;&gt;"",BoM_Griptel[[#This Row],[Currency]]="EUR"),BoM_Griptel[[#This Row],[ACT_Qty]]*BoM_Griptel[[#This Row],[Unit Price]],""),"")</f>
        <v/>
      </c>
      <c r="T114" s="186" t="s">
        <v>1802</v>
      </c>
      <c r="U114" s="46"/>
      <c r="V114" s="46"/>
      <c r="W114" s="146"/>
    </row>
    <row r="115" spans="1:23" ht="15" customHeight="1">
      <c r="A115" s="143" t="str">
        <f t="shared" si="2"/>
        <v>AKH12345</v>
      </c>
      <c r="B115" s="144" t="s">
        <v>2020</v>
      </c>
      <c r="C115" s="143" t="s">
        <v>2021</v>
      </c>
      <c r="D115" s="105"/>
      <c r="E115" s="106"/>
      <c r="F115" s="105"/>
      <c r="G115" s="106"/>
      <c r="H115" s="175"/>
      <c r="I115" s="176" t="s">
        <v>847</v>
      </c>
      <c r="J115" s="176" t="s">
        <v>1921</v>
      </c>
      <c r="K115" s="176" t="s">
        <v>1235</v>
      </c>
      <c r="L115" s="145" t="s">
        <v>1806</v>
      </c>
      <c r="M115" s="45" t="str">
        <f t="shared" si="3"/>
        <v>OneCo Networks AS</v>
      </c>
      <c r="N115" s="40" t="str">
        <f ca="1">IFERROR(
VLOOKUP(BoM_Griptel[[#This Row],[Product code]],
IF(AND((BoQ!$N$3&lt;&gt;""),OR(BoM_Griptel[[#This Row],[Vendor]]="Griptel",BoM_Griptel[[#This Row],[Vendor]]="Solar")),INDIRECT(Aux!$A$1)),4,FALSE),"")</f>
        <v/>
      </c>
      <c r="O115" s="169" t="s">
        <v>1807</v>
      </c>
      <c r="P115" s="41" t="str">
        <f>IFERROR(IF(AND(BoM_Griptel[[#This Row],[Quantity]]&lt;&gt;"",BoM_Griptel[[#This Row],[Currency]]="NOK"),BoM_Griptel[[#This Row],[Quantity]]*BoM_Griptel[[#This Row],[Unit Price]],""),"")</f>
        <v/>
      </c>
      <c r="Q115" s="41" t="str">
        <f>IFERROR(IF(AND(BoM_Griptel[[#This Row],[ACT_Qty]]&lt;&gt;"",BoM_Griptel[[#This Row],[Currency]]="NOK"),BoM_Griptel[[#This Row],[ACT_Qty]]*BoM_Griptel[[#This Row],[Unit Price]],""),"")</f>
        <v/>
      </c>
      <c r="R115" s="41" t="str">
        <f>IFERROR(IF(AND(BoM_Griptel[[#This Row],[Quantity]]&lt;&gt;"",BoM_Griptel[[#This Row],[Currency]]="EUR"),BoM_Griptel[[#This Row],[Quantity]]*BoM_Griptel[[#This Row],[Unit Price]],""),"")</f>
        <v/>
      </c>
      <c r="S115" s="41" t="str">
        <f>IFERROR(IF(AND(BoM_Griptel[[#This Row],[ACT_Qty]]&lt;&gt;"",BoM_Griptel[[#This Row],[Currency]]="EUR"),BoM_Griptel[[#This Row],[ACT_Qty]]*BoM_Griptel[[#This Row],[Unit Price]],""),"")</f>
        <v/>
      </c>
      <c r="T115" s="185" t="s">
        <v>1802</v>
      </c>
      <c r="U115" s="45"/>
      <c r="V115" s="45"/>
      <c r="W115" s="143"/>
    </row>
    <row r="116" spans="1:23" ht="15" customHeight="1">
      <c r="A116" s="146" t="str">
        <f t="shared" si="2"/>
        <v>AKH12345</v>
      </c>
      <c r="B116" s="147" t="s">
        <v>2022</v>
      </c>
      <c r="C116" s="146" t="s">
        <v>2023</v>
      </c>
      <c r="D116" s="68"/>
      <c r="E116" s="89"/>
      <c r="F116" s="68"/>
      <c r="G116" s="89"/>
      <c r="H116" s="177"/>
      <c r="I116" s="178" t="s">
        <v>847</v>
      </c>
      <c r="J116" s="178" t="s">
        <v>1921</v>
      </c>
      <c r="K116" s="178" t="s">
        <v>1235</v>
      </c>
      <c r="L116" s="148" t="s">
        <v>1806</v>
      </c>
      <c r="M116" s="46" t="str">
        <f t="shared" si="3"/>
        <v>OneCo Networks AS</v>
      </c>
      <c r="N116" s="42" t="str">
        <f ca="1">IFERROR(
VLOOKUP(BoM_Griptel[[#This Row],[Product code]],
IF(AND((BoQ!$N$3&lt;&gt;""),OR(BoM_Griptel[[#This Row],[Vendor]]="Griptel",BoM_Griptel[[#This Row],[Vendor]]="Solar")),INDIRECT(Aux!$A$1)),4,FALSE),"")</f>
        <v/>
      </c>
      <c r="O116" s="170" t="s">
        <v>1807</v>
      </c>
      <c r="P116" s="43" t="str">
        <f>IFERROR(IF(AND(BoM_Griptel[[#This Row],[Quantity]]&lt;&gt;"",BoM_Griptel[[#This Row],[Currency]]="NOK"),BoM_Griptel[[#This Row],[Quantity]]*BoM_Griptel[[#This Row],[Unit Price]],""),"")</f>
        <v/>
      </c>
      <c r="Q116" s="43" t="str">
        <f>IFERROR(IF(AND(BoM_Griptel[[#This Row],[ACT_Qty]]&lt;&gt;"",BoM_Griptel[[#This Row],[Currency]]="NOK"),BoM_Griptel[[#This Row],[ACT_Qty]]*BoM_Griptel[[#This Row],[Unit Price]],""),"")</f>
        <v/>
      </c>
      <c r="R116" s="43" t="str">
        <f>IFERROR(IF(AND(BoM_Griptel[[#This Row],[Quantity]]&lt;&gt;"",BoM_Griptel[[#This Row],[Currency]]="EUR"),BoM_Griptel[[#This Row],[Quantity]]*BoM_Griptel[[#This Row],[Unit Price]],""),"")</f>
        <v/>
      </c>
      <c r="S116" s="43" t="str">
        <f>IFERROR(IF(AND(BoM_Griptel[[#This Row],[ACT_Qty]]&lt;&gt;"",BoM_Griptel[[#This Row],[Currency]]="EUR"),BoM_Griptel[[#This Row],[ACT_Qty]]*BoM_Griptel[[#This Row],[Unit Price]],""),"")</f>
        <v/>
      </c>
      <c r="T116" s="186" t="s">
        <v>1802</v>
      </c>
      <c r="U116" s="46"/>
      <c r="V116" s="46"/>
      <c r="W116" s="146"/>
    </row>
    <row r="117" spans="1:23" ht="15" customHeight="1">
      <c r="A117" s="143" t="str">
        <f t="shared" si="2"/>
        <v>AKH12345</v>
      </c>
      <c r="B117" s="144" t="s">
        <v>2024</v>
      </c>
      <c r="C117" s="143" t="s">
        <v>2025</v>
      </c>
      <c r="D117" s="105"/>
      <c r="E117" s="106"/>
      <c r="F117" s="105"/>
      <c r="G117" s="106"/>
      <c r="H117" s="175"/>
      <c r="I117" s="176" t="s">
        <v>847</v>
      </c>
      <c r="J117" s="176" t="s">
        <v>1921</v>
      </c>
      <c r="K117" s="176" t="s">
        <v>1235</v>
      </c>
      <c r="L117" s="145" t="s">
        <v>1806</v>
      </c>
      <c r="M117" s="45" t="str">
        <f t="shared" si="3"/>
        <v>OneCo Networks AS</v>
      </c>
      <c r="N117" s="40" t="str">
        <f ca="1">IFERROR(
VLOOKUP(BoM_Griptel[[#This Row],[Product code]],
IF(AND((BoQ!$N$3&lt;&gt;""),OR(BoM_Griptel[[#This Row],[Vendor]]="Griptel",BoM_Griptel[[#This Row],[Vendor]]="Solar")),INDIRECT(Aux!$A$1)),4,FALSE),"")</f>
        <v/>
      </c>
      <c r="O117" s="169" t="s">
        <v>1807</v>
      </c>
      <c r="P117" s="41" t="str">
        <f>IFERROR(IF(AND(BoM_Griptel[[#This Row],[Quantity]]&lt;&gt;"",BoM_Griptel[[#This Row],[Currency]]="NOK"),BoM_Griptel[[#This Row],[Quantity]]*BoM_Griptel[[#This Row],[Unit Price]],""),"")</f>
        <v/>
      </c>
      <c r="Q117" s="41" t="str">
        <f>IFERROR(IF(AND(BoM_Griptel[[#This Row],[ACT_Qty]]&lt;&gt;"",BoM_Griptel[[#This Row],[Currency]]="NOK"),BoM_Griptel[[#This Row],[ACT_Qty]]*BoM_Griptel[[#This Row],[Unit Price]],""),"")</f>
        <v/>
      </c>
      <c r="R117" s="41" t="str">
        <f>IFERROR(IF(AND(BoM_Griptel[[#This Row],[Quantity]]&lt;&gt;"",BoM_Griptel[[#This Row],[Currency]]="EUR"),BoM_Griptel[[#This Row],[Quantity]]*BoM_Griptel[[#This Row],[Unit Price]],""),"")</f>
        <v/>
      </c>
      <c r="S117" s="41" t="str">
        <f>IFERROR(IF(AND(BoM_Griptel[[#This Row],[ACT_Qty]]&lt;&gt;"",BoM_Griptel[[#This Row],[Currency]]="EUR"),BoM_Griptel[[#This Row],[ACT_Qty]]*BoM_Griptel[[#This Row],[Unit Price]],""),"")</f>
        <v/>
      </c>
      <c r="T117" s="185" t="s">
        <v>1802</v>
      </c>
      <c r="U117" s="45"/>
      <c r="V117" s="45"/>
      <c r="W117" s="143"/>
    </row>
    <row r="118" spans="1:23" ht="15" customHeight="1">
      <c r="A118" s="146" t="str">
        <f t="shared" si="2"/>
        <v>AKH12345</v>
      </c>
      <c r="B118" s="147" t="s">
        <v>2026</v>
      </c>
      <c r="C118" s="146" t="s">
        <v>2027</v>
      </c>
      <c r="D118" s="68"/>
      <c r="E118" s="89"/>
      <c r="F118" s="68"/>
      <c r="G118" s="89"/>
      <c r="H118" s="177"/>
      <c r="I118" s="178" t="s">
        <v>847</v>
      </c>
      <c r="J118" s="178" t="s">
        <v>1921</v>
      </c>
      <c r="K118" s="178" t="s">
        <v>1235</v>
      </c>
      <c r="L118" s="148" t="s">
        <v>1806</v>
      </c>
      <c r="M118" s="46" t="str">
        <f t="shared" si="3"/>
        <v>OneCo Networks AS</v>
      </c>
      <c r="N118" s="42" t="str">
        <f ca="1">IFERROR(
VLOOKUP(BoM_Griptel[[#This Row],[Product code]],
IF(AND((BoQ!$N$3&lt;&gt;""),OR(BoM_Griptel[[#This Row],[Vendor]]="Griptel",BoM_Griptel[[#This Row],[Vendor]]="Solar")),INDIRECT(Aux!$A$1)),4,FALSE),"")</f>
        <v/>
      </c>
      <c r="O118" s="170" t="s">
        <v>1807</v>
      </c>
      <c r="P118" s="43" t="str">
        <f>IFERROR(IF(AND(BoM_Griptel[[#This Row],[Quantity]]&lt;&gt;"",BoM_Griptel[[#This Row],[Currency]]="NOK"),BoM_Griptel[[#This Row],[Quantity]]*BoM_Griptel[[#This Row],[Unit Price]],""),"")</f>
        <v/>
      </c>
      <c r="Q118" s="43" t="str">
        <f>IFERROR(IF(AND(BoM_Griptel[[#This Row],[ACT_Qty]]&lt;&gt;"",BoM_Griptel[[#This Row],[Currency]]="NOK"),BoM_Griptel[[#This Row],[ACT_Qty]]*BoM_Griptel[[#This Row],[Unit Price]],""),"")</f>
        <v/>
      </c>
      <c r="R118" s="43" t="str">
        <f>IFERROR(IF(AND(BoM_Griptel[[#This Row],[Quantity]]&lt;&gt;"",BoM_Griptel[[#This Row],[Currency]]="EUR"),BoM_Griptel[[#This Row],[Quantity]]*BoM_Griptel[[#This Row],[Unit Price]],""),"")</f>
        <v/>
      </c>
      <c r="S118" s="43" t="str">
        <f>IFERROR(IF(AND(BoM_Griptel[[#This Row],[ACT_Qty]]&lt;&gt;"",BoM_Griptel[[#This Row],[Currency]]="EUR"),BoM_Griptel[[#This Row],[ACT_Qty]]*BoM_Griptel[[#This Row],[Unit Price]],""),"")</f>
        <v/>
      </c>
      <c r="T118" s="186" t="s">
        <v>1802</v>
      </c>
      <c r="U118" s="46"/>
      <c r="V118" s="46"/>
      <c r="W118" s="146"/>
    </row>
    <row r="119" spans="1:23" ht="15" customHeight="1">
      <c r="A119" s="143" t="str">
        <f t="shared" si="2"/>
        <v>AKH12345</v>
      </c>
      <c r="B119" s="144" t="s">
        <v>2028</v>
      </c>
      <c r="C119" s="143" t="s">
        <v>2029</v>
      </c>
      <c r="D119" s="105"/>
      <c r="E119" s="106"/>
      <c r="F119" s="105"/>
      <c r="G119" s="106"/>
      <c r="H119" s="175"/>
      <c r="I119" s="176" t="s">
        <v>847</v>
      </c>
      <c r="J119" s="176" t="s">
        <v>1921</v>
      </c>
      <c r="K119" s="176" t="s">
        <v>1235</v>
      </c>
      <c r="L119" s="145" t="s">
        <v>1806</v>
      </c>
      <c r="M119" s="45" t="str">
        <f t="shared" si="3"/>
        <v>OneCo Networks AS</v>
      </c>
      <c r="N119" s="40" t="str">
        <f ca="1">IFERROR(
VLOOKUP(BoM_Griptel[[#This Row],[Product code]],
IF(AND((BoQ!$N$3&lt;&gt;""),OR(BoM_Griptel[[#This Row],[Vendor]]="Griptel",BoM_Griptel[[#This Row],[Vendor]]="Solar")),INDIRECT(Aux!$A$1)),4,FALSE),"")</f>
        <v/>
      </c>
      <c r="O119" s="169" t="s">
        <v>1807</v>
      </c>
      <c r="P119" s="41" t="str">
        <f>IFERROR(IF(AND(BoM_Griptel[[#This Row],[Quantity]]&lt;&gt;"",BoM_Griptel[[#This Row],[Currency]]="NOK"),BoM_Griptel[[#This Row],[Quantity]]*BoM_Griptel[[#This Row],[Unit Price]],""),"")</f>
        <v/>
      </c>
      <c r="Q119" s="41" t="str">
        <f>IFERROR(IF(AND(BoM_Griptel[[#This Row],[ACT_Qty]]&lt;&gt;"",BoM_Griptel[[#This Row],[Currency]]="NOK"),BoM_Griptel[[#This Row],[ACT_Qty]]*BoM_Griptel[[#This Row],[Unit Price]],""),"")</f>
        <v/>
      </c>
      <c r="R119" s="41" t="str">
        <f>IFERROR(IF(AND(BoM_Griptel[[#This Row],[Quantity]]&lt;&gt;"",BoM_Griptel[[#This Row],[Currency]]="EUR"),BoM_Griptel[[#This Row],[Quantity]]*BoM_Griptel[[#This Row],[Unit Price]],""),"")</f>
        <v/>
      </c>
      <c r="S119" s="41" t="str">
        <f>IFERROR(IF(AND(BoM_Griptel[[#This Row],[ACT_Qty]]&lt;&gt;"",BoM_Griptel[[#This Row],[Currency]]="EUR"),BoM_Griptel[[#This Row],[ACT_Qty]]*BoM_Griptel[[#This Row],[Unit Price]],""),"")</f>
        <v/>
      </c>
      <c r="T119" s="185" t="s">
        <v>1802</v>
      </c>
      <c r="U119" s="45"/>
      <c r="V119" s="45"/>
      <c r="W119" s="143"/>
    </row>
    <row r="120" spans="1:23" ht="15" customHeight="1">
      <c r="A120" s="146" t="str">
        <f t="shared" si="2"/>
        <v>AKH12345</v>
      </c>
      <c r="B120" s="147" t="s">
        <v>2030</v>
      </c>
      <c r="C120" s="146" t="s">
        <v>2031</v>
      </c>
      <c r="D120" s="68"/>
      <c r="E120" s="89"/>
      <c r="F120" s="68"/>
      <c r="G120" s="89"/>
      <c r="H120" s="177"/>
      <c r="I120" s="178" t="s">
        <v>847</v>
      </c>
      <c r="J120" s="178" t="s">
        <v>1921</v>
      </c>
      <c r="K120" s="178" t="s">
        <v>1235</v>
      </c>
      <c r="L120" s="148" t="s">
        <v>1806</v>
      </c>
      <c r="M120" s="46" t="str">
        <f t="shared" si="3"/>
        <v>OneCo Networks AS</v>
      </c>
      <c r="N120" s="42" t="str">
        <f ca="1">IFERROR(
VLOOKUP(BoM_Griptel[[#This Row],[Product code]],
IF(AND((BoQ!$N$3&lt;&gt;""),OR(BoM_Griptel[[#This Row],[Vendor]]="Griptel",BoM_Griptel[[#This Row],[Vendor]]="Solar")),INDIRECT(Aux!$A$1)),4,FALSE),"")</f>
        <v/>
      </c>
      <c r="O120" s="170" t="s">
        <v>1807</v>
      </c>
      <c r="P120" s="43" t="str">
        <f>IFERROR(IF(AND(BoM_Griptel[[#This Row],[Quantity]]&lt;&gt;"",BoM_Griptel[[#This Row],[Currency]]="NOK"),BoM_Griptel[[#This Row],[Quantity]]*BoM_Griptel[[#This Row],[Unit Price]],""),"")</f>
        <v/>
      </c>
      <c r="Q120" s="43" t="str">
        <f>IFERROR(IF(AND(BoM_Griptel[[#This Row],[ACT_Qty]]&lt;&gt;"",BoM_Griptel[[#This Row],[Currency]]="NOK"),BoM_Griptel[[#This Row],[ACT_Qty]]*BoM_Griptel[[#This Row],[Unit Price]],""),"")</f>
        <v/>
      </c>
      <c r="R120" s="43" t="str">
        <f>IFERROR(IF(AND(BoM_Griptel[[#This Row],[Quantity]]&lt;&gt;"",BoM_Griptel[[#This Row],[Currency]]="EUR"),BoM_Griptel[[#This Row],[Quantity]]*BoM_Griptel[[#This Row],[Unit Price]],""),"")</f>
        <v/>
      </c>
      <c r="S120" s="43" t="str">
        <f>IFERROR(IF(AND(BoM_Griptel[[#This Row],[ACT_Qty]]&lt;&gt;"",BoM_Griptel[[#This Row],[Currency]]="EUR"),BoM_Griptel[[#This Row],[ACT_Qty]]*BoM_Griptel[[#This Row],[Unit Price]],""),"")</f>
        <v/>
      </c>
      <c r="T120" s="186" t="s">
        <v>1802</v>
      </c>
      <c r="U120" s="46"/>
      <c r="V120" s="46"/>
      <c r="W120" s="146"/>
    </row>
    <row r="121" spans="1:23" ht="15" customHeight="1">
      <c r="A121" s="143" t="str">
        <f t="shared" si="2"/>
        <v>AKH12345</v>
      </c>
      <c r="B121" s="144" t="s">
        <v>2032</v>
      </c>
      <c r="C121" s="143" t="s">
        <v>2033</v>
      </c>
      <c r="D121" s="105"/>
      <c r="E121" s="106"/>
      <c r="F121" s="105"/>
      <c r="G121" s="106"/>
      <c r="H121" s="175"/>
      <c r="I121" s="176" t="s">
        <v>847</v>
      </c>
      <c r="J121" s="176" t="s">
        <v>1921</v>
      </c>
      <c r="K121" s="176" t="s">
        <v>1235</v>
      </c>
      <c r="L121" s="145" t="s">
        <v>1806</v>
      </c>
      <c r="M121" s="45" t="str">
        <f t="shared" si="3"/>
        <v>OneCo Networks AS</v>
      </c>
      <c r="N121" s="40" t="str">
        <f ca="1">IFERROR(
VLOOKUP(BoM_Griptel[[#This Row],[Product code]],
IF(AND((BoQ!$N$3&lt;&gt;""),OR(BoM_Griptel[[#This Row],[Vendor]]="Griptel",BoM_Griptel[[#This Row],[Vendor]]="Solar")),INDIRECT(Aux!$A$1)),4,FALSE),"")</f>
        <v/>
      </c>
      <c r="O121" s="169" t="s">
        <v>1807</v>
      </c>
      <c r="P121" s="41" t="str">
        <f>IFERROR(IF(AND(BoM_Griptel[[#This Row],[Quantity]]&lt;&gt;"",BoM_Griptel[[#This Row],[Currency]]="NOK"),BoM_Griptel[[#This Row],[Quantity]]*BoM_Griptel[[#This Row],[Unit Price]],""),"")</f>
        <v/>
      </c>
      <c r="Q121" s="41" t="str">
        <f>IFERROR(IF(AND(BoM_Griptel[[#This Row],[ACT_Qty]]&lt;&gt;"",BoM_Griptel[[#This Row],[Currency]]="NOK"),BoM_Griptel[[#This Row],[ACT_Qty]]*BoM_Griptel[[#This Row],[Unit Price]],""),"")</f>
        <v/>
      </c>
      <c r="R121" s="41" t="str">
        <f>IFERROR(IF(AND(BoM_Griptel[[#This Row],[Quantity]]&lt;&gt;"",BoM_Griptel[[#This Row],[Currency]]="EUR"),BoM_Griptel[[#This Row],[Quantity]]*BoM_Griptel[[#This Row],[Unit Price]],""),"")</f>
        <v/>
      </c>
      <c r="S121" s="41" t="str">
        <f>IFERROR(IF(AND(BoM_Griptel[[#This Row],[ACT_Qty]]&lt;&gt;"",BoM_Griptel[[#This Row],[Currency]]="EUR"),BoM_Griptel[[#This Row],[ACT_Qty]]*BoM_Griptel[[#This Row],[Unit Price]],""),"")</f>
        <v/>
      </c>
      <c r="T121" s="185" t="s">
        <v>1802</v>
      </c>
      <c r="U121" s="45"/>
      <c r="V121" s="45"/>
      <c r="W121" s="143"/>
    </row>
    <row r="122" spans="1:23" ht="15" customHeight="1">
      <c r="A122" s="146" t="str">
        <f t="shared" si="2"/>
        <v>AKH12345</v>
      </c>
      <c r="B122" s="147" t="s">
        <v>2034</v>
      </c>
      <c r="C122" s="146" t="s">
        <v>2035</v>
      </c>
      <c r="D122" s="68"/>
      <c r="E122" s="89"/>
      <c r="F122" s="68"/>
      <c r="G122" s="89"/>
      <c r="H122" s="177"/>
      <c r="I122" s="178" t="s">
        <v>847</v>
      </c>
      <c r="J122" s="178" t="s">
        <v>1921</v>
      </c>
      <c r="K122" s="178" t="s">
        <v>1235</v>
      </c>
      <c r="L122" s="148" t="s">
        <v>1806</v>
      </c>
      <c r="M122" s="46" t="str">
        <f t="shared" si="3"/>
        <v>OneCo Networks AS</v>
      </c>
      <c r="N122" s="42" t="str">
        <f ca="1">IFERROR(
VLOOKUP(BoM_Griptel[[#This Row],[Product code]],
IF(AND((BoQ!$N$3&lt;&gt;""),OR(BoM_Griptel[[#This Row],[Vendor]]="Griptel",BoM_Griptel[[#This Row],[Vendor]]="Solar")),INDIRECT(Aux!$A$1)),4,FALSE),"")</f>
        <v/>
      </c>
      <c r="O122" s="170" t="s">
        <v>1807</v>
      </c>
      <c r="P122" s="43" t="str">
        <f>IFERROR(IF(AND(BoM_Griptel[[#This Row],[Quantity]]&lt;&gt;"",BoM_Griptel[[#This Row],[Currency]]="NOK"),BoM_Griptel[[#This Row],[Quantity]]*BoM_Griptel[[#This Row],[Unit Price]],""),"")</f>
        <v/>
      </c>
      <c r="Q122" s="43" t="str">
        <f>IFERROR(IF(AND(BoM_Griptel[[#This Row],[ACT_Qty]]&lt;&gt;"",BoM_Griptel[[#This Row],[Currency]]="NOK"),BoM_Griptel[[#This Row],[ACT_Qty]]*BoM_Griptel[[#This Row],[Unit Price]],""),"")</f>
        <v/>
      </c>
      <c r="R122" s="43" t="str">
        <f>IFERROR(IF(AND(BoM_Griptel[[#This Row],[Quantity]]&lt;&gt;"",BoM_Griptel[[#This Row],[Currency]]="EUR"),BoM_Griptel[[#This Row],[Quantity]]*BoM_Griptel[[#This Row],[Unit Price]],""),"")</f>
        <v/>
      </c>
      <c r="S122" s="43" t="str">
        <f>IFERROR(IF(AND(BoM_Griptel[[#This Row],[ACT_Qty]]&lt;&gt;"",BoM_Griptel[[#This Row],[Currency]]="EUR"),BoM_Griptel[[#This Row],[ACT_Qty]]*BoM_Griptel[[#This Row],[Unit Price]],""),"")</f>
        <v/>
      </c>
      <c r="T122" s="186" t="s">
        <v>1802</v>
      </c>
      <c r="U122" s="46"/>
      <c r="V122" s="46"/>
      <c r="W122" s="146"/>
    </row>
    <row r="123" spans="1:23" ht="15" customHeight="1">
      <c r="A123" s="143" t="str">
        <f t="shared" si="2"/>
        <v>AKH12345</v>
      </c>
      <c r="B123" s="144" t="s">
        <v>2036</v>
      </c>
      <c r="C123" s="143" t="s">
        <v>2037</v>
      </c>
      <c r="D123" s="105"/>
      <c r="E123" s="106"/>
      <c r="F123" s="105"/>
      <c r="G123" s="106"/>
      <c r="H123" s="175"/>
      <c r="I123" s="176" t="s">
        <v>847</v>
      </c>
      <c r="J123" s="176" t="s">
        <v>1921</v>
      </c>
      <c r="K123" s="176" t="s">
        <v>1235</v>
      </c>
      <c r="L123" s="145" t="s">
        <v>1806</v>
      </c>
      <c r="M123" s="45" t="str">
        <f t="shared" si="3"/>
        <v>OneCo Networks AS</v>
      </c>
      <c r="N123" s="40" t="str">
        <f ca="1">IFERROR(
VLOOKUP(BoM_Griptel[[#This Row],[Product code]],
IF(AND((BoQ!$N$3&lt;&gt;""),OR(BoM_Griptel[[#This Row],[Vendor]]="Griptel",BoM_Griptel[[#This Row],[Vendor]]="Solar")),INDIRECT(Aux!$A$1)),4,FALSE),"")</f>
        <v/>
      </c>
      <c r="O123" s="169" t="s">
        <v>1807</v>
      </c>
      <c r="P123" s="41" t="str">
        <f>IFERROR(IF(AND(BoM_Griptel[[#This Row],[Quantity]]&lt;&gt;"",BoM_Griptel[[#This Row],[Currency]]="NOK"),BoM_Griptel[[#This Row],[Quantity]]*BoM_Griptel[[#This Row],[Unit Price]],""),"")</f>
        <v/>
      </c>
      <c r="Q123" s="41" t="str">
        <f>IFERROR(IF(AND(BoM_Griptel[[#This Row],[ACT_Qty]]&lt;&gt;"",BoM_Griptel[[#This Row],[Currency]]="NOK"),BoM_Griptel[[#This Row],[ACT_Qty]]*BoM_Griptel[[#This Row],[Unit Price]],""),"")</f>
        <v/>
      </c>
      <c r="R123" s="41" t="str">
        <f>IFERROR(IF(AND(BoM_Griptel[[#This Row],[Quantity]]&lt;&gt;"",BoM_Griptel[[#This Row],[Currency]]="EUR"),BoM_Griptel[[#This Row],[Quantity]]*BoM_Griptel[[#This Row],[Unit Price]],""),"")</f>
        <v/>
      </c>
      <c r="S123" s="41" t="str">
        <f>IFERROR(IF(AND(BoM_Griptel[[#This Row],[ACT_Qty]]&lt;&gt;"",BoM_Griptel[[#This Row],[Currency]]="EUR"),BoM_Griptel[[#This Row],[ACT_Qty]]*BoM_Griptel[[#This Row],[Unit Price]],""),"")</f>
        <v/>
      </c>
      <c r="T123" s="185" t="s">
        <v>1802</v>
      </c>
      <c r="U123" s="45"/>
      <c r="V123" s="45"/>
      <c r="W123" s="143"/>
    </row>
    <row r="124" spans="1:23" ht="15" customHeight="1">
      <c r="A124" s="146" t="str">
        <f t="shared" si="2"/>
        <v>AKH12345</v>
      </c>
      <c r="B124" s="147" t="s">
        <v>2038</v>
      </c>
      <c r="C124" s="146" t="s">
        <v>2039</v>
      </c>
      <c r="D124" s="68"/>
      <c r="E124" s="89"/>
      <c r="F124" s="68"/>
      <c r="G124" s="89"/>
      <c r="H124" s="177"/>
      <c r="I124" s="178" t="s">
        <v>847</v>
      </c>
      <c r="J124" s="178" t="s">
        <v>1921</v>
      </c>
      <c r="K124" s="178" t="s">
        <v>1235</v>
      </c>
      <c r="L124" s="148" t="s">
        <v>1806</v>
      </c>
      <c r="M124" s="46" t="str">
        <f t="shared" si="3"/>
        <v>OneCo Networks AS</v>
      </c>
      <c r="N124" s="42" t="str">
        <f ca="1">IFERROR(
VLOOKUP(BoM_Griptel[[#This Row],[Product code]],
IF(AND((BoQ!$N$3&lt;&gt;""),OR(BoM_Griptel[[#This Row],[Vendor]]="Griptel",BoM_Griptel[[#This Row],[Vendor]]="Solar")),INDIRECT(Aux!$A$1)),4,FALSE),"")</f>
        <v/>
      </c>
      <c r="O124" s="170" t="s">
        <v>1807</v>
      </c>
      <c r="P124" s="43" t="str">
        <f>IFERROR(IF(AND(BoM_Griptel[[#This Row],[Quantity]]&lt;&gt;"",BoM_Griptel[[#This Row],[Currency]]="NOK"),BoM_Griptel[[#This Row],[Quantity]]*BoM_Griptel[[#This Row],[Unit Price]],""),"")</f>
        <v/>
      </c>
      <c r="Q124" s="43" t="str">
        <f>IFERROR(IF(AND(BoM_Griptel[[#This Row],[ACT_Qty]]&lt;&gt;"",BoM_Griptel[[#This Row],[Currency]]="NOK"),BoM_Griptel[[#This Row],[ACT_Qty]]*BoM_Griptel[[#This Row],[Unit Price]],""),"")</f>
        <v/>
      </c>
      <c r="R124" s="43" t="str">
        <f>IFERROR(IF(AND(BoM_Griptel[[#This Row],[Quantity]]&lt;&gt;"",BoM_Griptel[[#This Row],[Currency]]="EUR"),BoM_Griptel[[#This Row],[Quantity]]*BoM_Griptel[[#This Row],[Unit Price]],""),"")</f>
        <v/>
      </c>
      <c r="S124" s="43" t="str">
        <f>IFERROR(IF(AND(BoM_Griptel[[#This Row],[ACT_Qty]]&lt;&gt;"",BoM_Griptel[[#This Row],[Currency]]="EUR"),BoM_Griptel[[#This Row],[ACT_Qty]]*BoM_Griptel[[#This Row],[Unit Price]],""),"")</f>
        <v/>
      </c>
      <c r="T124" s="186" t="s">
        <v>1802</v>
      </c>
      <c r="U124" s="46"/>
      <c r="V124" s="46"/>
      <c r="W124" s="146"/>
    </row>
    <row r="125" spans="1:23" ht="15" customHeight="1">
      <c r="A125" s="143" t="str">
        <f t="shared" si="2"/>
        <v>AKH12345</v>
      </c>
      <c r="B125" s="144" t="s">
        <v>2040</v>
      </c>
      <c r="C125" s="143" t="s">
        <v>2041</v>
      </c>
      <c r="D125" s="105"/>
      <c r="E125" s="106"/>
      <c r="F125" s="105"/>
      <c r="G125" s="106"/>
      <c r="H125" s="175"/>
      <c r="I125" s="176" t="s">
        <v>847</v>
      </c>
      <c r="J125" s="176" t="s">
        <v>1921</v>
      </c>
      <c r="K125" s="176" t="s">
        <v>1235</v>
      </c>
      <c r="L125" s="145" t="s">
        <v>1806</v>
      </c>
      <c r="M125" s="45" t="str">
        <f t="shared" si="3"/>
        <v>OneCo Networks AS</v>
      </c>
      <c r="N125" s="40" t="str">
        <f ca="1">IFERROR(
VLOOKUP(BoM_Griptel[[#This Row],[Product code]],
IF(AND((BoQ!$N$3&lt;&gt;""),OR(BoM_Griptel[[#This Row],[Vendor]]="Griptel",BoM_Griptel[[#This Row],[Vendor]]="Solar")),INDIRECT(Aux!$A$1)),4,FALSE),"")</f>
        <v/>
      </c>
      <c r="O125" s="169" t="s">
        <v>1807</v>
      </c>
      <c r="P125" s="41" t="str">
        <f>IFERROR(IF(AND(BoM_Griptel[[#This Row],[Quantity]]&lt;&gt;"",BoM_Griptel[[#This Row],[Currency]]="NOK"),BoM_Griptel[[#This Row],[Quantity]]*BoM_Griptel[[#This Row],[Unit Price]],""),"")</f>
        <v/>
      </c>
      <c r="Q125" s="41" t="str">
        <f>IFERROR(IF(AND(BoM_Griptel[[#This Row],[ACT_Qty]]&lt;&gt;"",BoM_Griptel[[#This Row],[Currency]]="NOK"),BoM_Griptel[[#This Row],[ACT_Qty]]*BoM_Griptel[[#This Row],[Unit Price]],""),"")</f>
        <v/>
      </c>
      <c r="R125" s="41" t="str">
        <f>IFERROR(IF(AND(BoM_Griptel[[#This Row],[Quantity]]&lt;&gt;"",BoM_Griptel[[#This Row],[Currency]]="EUR"),BoM_Griptel[[#This Row],[Quantity]]*BoM_Griptel[[#This Row],[Unit Price]],""),"")</f>
        <v/>
      </c>
      <c r="S125" s="41" t="str">
        <f>IFERROR(IF(AND(BoM_Griptel[[#This Row],[ACT_Qty]]&lt;&gt;"",BoM_Griptel[[#This Row],[Currency]]="EUR"),BoM_Griptel[[#This Row],[ACT_Qty]]*BoM_Griptel[[#This Row],[Unit Price]],""),"")</f>
        <v/>
      </c>
      <c r="T125" s="185" t="s">
        <v>1802</v>
      </c>
      <c r="U125" s="45"/>
      <c r="V125" s="45"/>
      <c r="W125" s="143"/>
    </row>
    <row r="126" spans="1:23" ht="15" customHeight="1">
      <c r="A126" s="146" t="str">
        <f t="shared" si="2"/>
        <v>AKH12345</v>
      </c>
      <c r="B126" s="147" t="s">
        <v>2042</v>
      </c>
      <c r="C126" s="146" t="s">
        <v>2043</v>
      </c>
      <c r="D126" s="68"/>
      <c r="E126" s="89"/>
      <c r="F126" s="68"/>
      <c r="G126" s="89"/>
      <c r="H126" s="177"/>
      <c r="I126" s="178" t="s">
        <v>847</v>
      </c>
      <c r="J126" s="178" t="s">
        <v>1921</v>
      </c>
      <c r="K126" s="178" t="s">
        <v>1235</v>
      </c>
      <c r="L126" s="148" t="s">
        <v>1806</v>
      </c>
      <c r="M126" s="46" t="str">
        <f t="shared" si="3"/>
        <v>OneCo Networks AS</v>
      </c>
      <c r="N126" s="42" t="str">
        <f ca="1">IFERROR(
VLOOKUP(BoM_Griptel[[#This Row],[Product code]],
IF(AND((BoQ!$N$3&lt;&gt;""),OR(BoM_Griptel[[#This Row],[Vendor]]="Griptel",BoM_Griptel[[#This Row],[Vendor]]="Solar")),INDIRECT(Aux!$A$1)),4,FALSE),"")</f>
        <v/>
      </c>
      <c r="O126" s="170" t="s">
        <v>1807</v>
      </c>
      <c r="P126" s="43" t="str">
        <f>IFERROR(IF(AND(BoM_Griptel[[#This Row],[Quantity]]&lt;&gt;"",BoM_Griptel[[#This Row],[Currency]]="NOK"),BoM_Griptel[[#This Row],[Quantity]]*BoM_Griptel[[#This Row],[Unit Price]],""),"")</f>
        <v/>
      </c>
      <c r="Q126" s="43" t="str">
        <f>IFERROR(IF(AND(BoM_Griptel[[#This Row],[ACT_Qty]]&lt;&gt;"",BoM_Griptel[[#This Row],[Currency]]="NOK"),BoM_Griptel[[#This Row],[ACT_Qty]]*BoM_Griptel[[#This Row],[Unit Price]],""),"")</f>
        <v/>
      </c>
      <c r="R126" s="43" t="str">
        <f>IFERROR(IF(AND(BoM_Griptel[[#This Row],[Quantity]]&lt;&gt;"",BoM_Griptel[[#This Row],[Currency]]="EUR"),BoM_Griptel[[#This Row],[Quantity]]*BoM_Griptel[[#This Row],[Unit Price]],""),"")</f>
        <v/>
      </c>
      <c r="S126" s="43" t="str">
        <f>IFERROR(IF(AND(BoM_Griptel[[#This Row],[ACT_Qty]]&lt;&gt;"",BoM_Griptel[[#This Row],[Currency]]="EUR"),BoM_Griptel[[#This Row],[ACT_Qty]]*BoM_Griptel[[#This Row],[Unit Price]],""),"")</f>
        <v/>
      </c>
      <c r="T126" s="186" t="s">
        <v>1802</v>
      </c>
      <c r="U126" s="46"/>
      <c r="V126" s="46"/>
      <c r="W126" s="146"/>
    </row>
    <row r="127" spans="1:23" ht="15" customHeight="1">
      <c r="A127" s="143" t="str">
        <f t="shared" si="2"/>
        <v>AKH12345</v>
      </c>
      <c r="B127" s="144" t="s">
        <v>2044</v>
      </c>
      <c r="C127" s="143" t="s">
        <v>2045</v>
      </c>
      <c r="D127" s="105"/>
      <c r="E127" s="106"/>
      <c r="F127" s="105"/>
      <c r="G127" s="106"/>
      <c r="H127" s="175"/>
      <c r="I127" s="176" t="s">
        <v>847</v>
      </c>
      <c r="J127" s="176" t="s">
        <v>1921</v>
      </c>
      <c r="K127" s="176" t="s">
        <v>1235</v>
      </c>
      <c r="L127" s="145" t="s">
        <v>1806</v>
      </c>
      <c r="M127" s="45" t="str">
        <f t="shared" si="3"/>
        <v>OneCo Networks AS</v>
      </c>
      <c r="N127" s="40" t="str">
        <f ca="1">IFERROR(
VLOOKUP(BoM_Griptel[[#This Row],[Product code]],
IF(AND((BoQ!$N$3&lt;&gt;""),OR(BoM_Griptel[[#This Row],[Vendor]]="Griptel",BoM_Griptel[[#This Row],[Vendor]]="Solar")),INDIRECT(Aux!$A$1)),4,FALSE),"")</f>
        <v/>
      </c>
      <c r="O127" s="169" t="s">
        <v>1807</v>
      </c>
      <c r="P127" s="41" t="str">
        <f>IFERROR(IF(AND(BoM_Griptel[[#This Row],[Quantity]]&lt;&gt;"",BoM_Griptel[[#This Row],[Currency]]="NOK"),BoM_Griptel[[#This Row],[Quantity]]*BoM_Griptel[[#This Row],[Unit Price]],""),"")</f>
        <v/>
      </c>
      <c r="Q127" s="41" t="str">
        <f>IFERROR(IF(AND(BoM_Griptel[[#This Row],[ACT_Qty]]&lt;&gt;"",BoM_Griptel[[#This Row],[Currency]]="NOK"),BoM_Griptel[[#This Row],[ACT_Qty]]*BoM_Griptel[[#This Row],[Unit Price]],""),"")</f>
        <v/>
      </c>
      <c r="R127" s="41" t="str">
        <f>IFERROR(IF(AND(BoM_Griptel[[#This Row],[Quantity]]&lt;&gt;"",BoM_Griptel[[#This Row],[Currency]]="EUR"),BoM_Griptel[[#This Row],[Quantity]]*BoM_Griptel[[#This Row],[Unit Price]],""),"")</f>
        <v/>
      </c>
      <c r="S127" s="41" t="str">
        <f>IFERROR(IF(AND(BoM_Griptel[[#This Row],[ACT_Qty]]&lt;&gt;"",BoM_Griptel[[#This Row],[Currency]]="EUR"),BoM_Griptel[[#This Row],[ACT_Qty]]*BoM_Griptel[[#This Row],[Unit Price]],""),"")</f>
        <v/>
      </c>
      <c r="T127" s="185" t="s">
        <v>1802</v>
      </c>
      <c r="U127" s="45"/>
      <c r="V127" s="45"/>
      <c r="W127" s="143"/>
    </row>
    <row r="128" spans="1:23" ht="15" customHeight="1">
      <c r="A128" s="146" t="str">
        <f t="shared" si="2"/>
        <v>AKH12345</v>
      </c>
      <c r="B128" s="147" t="s">
        <v>2046</v>
      </c>
      <c r="C128" s="146" t="s">
        <v>2047</v>
      </c>
      <c r="D128" s="68"/>
      <c r="E128" s="89"/>
      <c r="F128" s="68"/>
      <c r="G128" s="89"/>
      <c r="H128" s="177"/>
      <c r="I128" s="178" t="s">
        <v>847</v>
      </c>
      <c r="J128" s="178" t="s">
        <v>1921</v>
      </c>
      <c r="K128" s="178" t="s">
        <v>1235</v>
      </c>
      <c r="L128" s="148" t="s">
        <v>1806</v>
      </c>
      <c r="M128" s="46" t="str">
        <f t="shared" si="3"/>
        <v>OneCo Networks AS</v>
      </c>
      <c r="N128" s="42" t="str">
        <f ca="1">IFERROR(
VLOOKUP(BoM_Griptel[[#This Row],[Product code]],
IF(AND((BoQ!$N$3&lt;&gt;""),OR(BoM_Griptel[[#This Row],[Vendor]]="Griptel",BoM_Griptel[[#This Row],[Vendor]]="Solar")),INDIRECT(Aux!$A$1)),4,FALSE),"")</f>
        <v/>
      </c>
      <c r="O128" s="170" t="s">
        <v>1807</v>
      </c>
      <c r="P128" s="43" t="str">
        <f>IFERROR(IF(AND(BoM_Griptel[[#This Row],[Quantity]]&lt;&gt;"",BoM_Griptel[[#This Row],[Currency]]="NOK"),BoM_Griptel[[#This Row],[Quantity]]*BoM_Griptel[[#This Row],[Unit Price]],""),"")</f>
        <v/>
      </c>
      <c r="Q128" s="43" t="str">
        <f>IFERROR(IF(AND(BoM_Griptel[[#This Row],[ACT_Qty]]&lt;&gt;"",BoM_Griptel[[#This Row],[Currency]]="NOK"),BoM_Griptel[[#This Row],[ACT_Qty]]*BoM_Griptel[[#This Row],[Unit Price]],""),"")</f>
        <v/>
      </c>
      <c r="R128" s="43" t="str">
        <f>IFERROR(IF(AND(BoM_Griptel[[#This Row],[Quantity]]&lt;&gt;"",BoM_Griptel[[#This Row],[Currency]]="EUR"),BoM_Griptel[[#This Row],[Quantity]]*BoM_Griptel[[#This Row],[Unit Price]],""),"")</f>
        <v/>
      </c>
      <c r="S128" s="43" t="str">
        <f>IFERROR(IF(AND(BoM_Griptel[[#This Row],[ACT_Qty]]&lt;&gt;"",BoM_Griptel[[#This Row],[Currency]]="EUR"),BoM_Griptel[[#This Row],[ACT_Qty]]*BoM_Griptel[[#This Row],[Unit Price]],""),"")</f>
        <v/>
      </c>
      <c r="T128" s="186" t="s">
        <v>1802</v>
      </c>
      <c r="U128" s="46"/>
      <c r="V128" s="46"/>
      <c r="W128" s="146"/>
    </row>
    <row r="129" spans="1:23" ht="15" customHeight="1">
      <c r="A129" s="143" t="str">
        <f t="shared" si="2"/>
        <v>AKH12345</v>
      </c>
      <c r="B129" s="144" t="s">
        <v>2048</v>
      </c>
      <c r="C129" s="143" t="s">
        <v>2049</v>
      </c>
      <c r="D129" s="105"/>
      <c r="E129" s="106"/>
      <c r="F129" s="105"/>
      <c r="G129" s="106"/>
      <c r="H129" s="175"/>
      <c r="I129" s="176" t="s">
        <v>847</v>
      </c>
      <c r="J129" s="176" t="s">
        <v>1921</v>
      </c>
      <c r="K129" s="176" t="s">
        <v>1235</v>
      </c>
      <c r="L129" s="145" t="s">
        <v>1806</v>
      </c>
      <c r="M129" s="45" t="str">
        <f t="shared" si="3"/>
        <v>OneCo Networks AS</v>
      </c>
      <c r="N129" s="40" t="str">
        <f ca="1">IFERROR(
VLOOKUP(BoM_Griptel[[#This Row],[Product code]],
IF(AND((BoQ!$N$3&lt;&gt;""),OR(BoM_Griptel[[#This Row],[Vendor]]="Griptel",BoM_Griptel[[#This Row],[Vendor]]="Solar")),INDIRECT(Aux!$A$1)),4,FALSE),"")</f>
        <v/>
      </c>
      <c r="O129" s="169" t="s">
        <v>1807</v>
      </c>
      <c r="P129" s="41" t="str">
        <f>IFERROR(IF(AND(BoM_Griptel[[#This Row],[Quantity]]&lt;&gt;"",BoM_Griptel[[#This Row],[Currency]]="NOK"),BoM_Griptel[[#This Row],[Quantity]]*BoM_Griptel[[#This Row],[Unit Price]],""),"")</f>
        <v/>
      </c>
      <c r="Q129" s="41" t="str">
        <f>IFERROR(IF(AND(BoM_Griptel[[#This Row],[ACT_Qty]]&lt;&gt;"",BoM_Griptel[[#This Row],[Currency]]="NOK"),BoM_Griptel[[#This Row],[ACT_Qty]]*BoM_Griptel[[#This Row],[Unit Price]],""),"")</f>
        <v/>
      </c>
      <c r="R129" s="41" t="str">
        <f>IFERROR(IF(AND(BoM_Griptel[[#This Row],[Quantity]]&lt;&gt;"",BoM_Griptel[[#This Row],[Currency]]="EUR"),BoM_Griptel[[#This Row],[Quantity]]*BoM_Griptel[[#This Row],[Unit Price]],""),"")</f>
        <v/>
      </c>
      <c r="S129" s="41" t="str">
        <f>IFERROR(IF(AND(BoM_Griptel[[#This Row],[ACT_Qty]]&lt;&gt;"",BoM_Griptel[[#This Row],[Currency]]="EUR"),BoM_Griptel[[#This Row],[ACT_Qty]]*BoM_Griptel[[#This Row],[Unit Price]],""),"")</f>
        <v/>
      </c>
      <c r="T129" s="185" t="s">
        <v>1802</v>
      </c>
      <c r="U129" s="45"/>
      <c r="V129" s="45"/>
      <c r="W129" s="143"/>
    </row>
    <row r="130" spans="1:23" ht="15" customHeight="1">
      <c r="A130" s="146" t="str">
        <f t="shared" si="2"/>
        <v>AKH12345</v>
      </c>
      <c r="B130" s="147" t="s">
        <v>2050</v>
      </c>
      <c r="C130" s="146" t="s">
        <v>2051</v>
      </c>
      <c r="D130" s="68"/>
      <c r="E130" s="89"/>
      <c r="F130" s="68"/>
      <c r="G130" s="89"/>
      <c r="H130" s="177"/>
      <c r="I130" s="178" t="s">
        <v>847</v>
      </c>
      <c r="J130" s="178" t="s">
        <v>1921</v>
      </c>
      <c r="K130" s="178" t="s">
        <v>1235</v>
      </c>
      <c r="L130" s="148" t="s">
        <v>1806</v>
      </c>
      <c r="M130" s="46" t="str">
        <f t="shared" si="3"/>
        <v>OneCo Networks AS</v>
      </c>
      <c r="N130" s="42" t="str">
        <f ca="1">IFERROR(
VLOOKUP(BoM_Griptel[[#This Row],[Product code]],
IF(AND((BoQ!$N$3&lt;&gt;""),OR(BoM_Griptel[[#This Row],[Vendor]]="Griptel",BoM_Griptel[[#This Row],[Vendor]]="Solar")),INDIRECT(Aux!$A$1)),4,FALSE),"")</f>
        <v/>
      </c>
      <c r="O130" s="170" t="s">
        <v>1807</v>
      </c>
      <c r="P130" s="43" t="str">
        <f>IFERROR(IF(AND(BoM_Griptel[[#This Row],[Quantity]]&lt;&gt;"",BoM_Griptel[[#This Row],[Currency]]="NOK"),BoM_Griptel[[#This Row],[Quantity]]*BoM_Griptel[[#This Row],[Unit Price]],""),"")</f>
        <v/>
      </c>
      <c r="Q130" s="43" t="str">
        <f>IFERROR(IF(AND(BoM_Griptel[[#This Row],[ACT_Qty]]&lt;&gt;"",BoM_Griptel[[#This Row],[Currency]]="NOK"),BoM_Griptel[[#This Row],[ACT_Qty]]*BoM_Griptel[[#This Row],[Unit Price]],""),"")</f>
        <v/>
      </c>
      <c r="R130" s="43" t="str">
        <f>IFERROR(IF(AND(BoM_Griptel[[#This Row],[Quantity]]&lt;&gt;"",BoM_Griptel[[#This Row],[Currency]]="EUR"),BoM_Griptel[[#This Row],[Quantity]]*BoM_Griptel[[#This Row],[Unit Price]],""),"")</f>
        <v/>
      </c>
      <c r="S130" s="43" t="str">
        <f>IFERROR(IF(AND(BoM_Griptel[[#This Row],[ACT_Qty]]&lt;&gt;"",BoM_Griptel[[#This Row],[Currency]]="EUR"),BoM_Griptel[[#This Row],[ACT_Qty]]*BoM_Griptel[[#This Row],[Unit Price]],""),"")</f>
        <v/>
      </c>
      <c r="T130" s="186" t="s">
        <v>1802</v>
      </c>
      <c r="U130" s="46"/>
      <c r="V130" s="46"/>
      <c r="W130" s="146"/>
    </row>
    <row r="131" spans="1:23" ht="15" customHeight="1">
      <c r="A131" s="143" t="str">
        <f t="shared" si="2"/>
        <v>AKH12345</v>
      </c>
      <c r="B131" s="144" t="s">
        <v>2052</v>
      </c>
      <c r="C131" s="143" t="s">
        <v>2053</v>
      </c>
      <c r="D131" s="105"/>
      <c r="E131" s="106"/>
      <c r="F131" s="105"/>
      <c r="G131" s="106"/>
      <c r="H131" s="175"/>
      <c r="I131" s="176" t="s">
        <v>847</v>
      </c>
      <c r="J131" s="176" t="s">
        <v>1921</v>
      </c>
      <c r="K131" s="176" t="s">
        <v>1235</v>
      </c>
      <c r="L131" s="145" t="s">
        <v>1806</v>
      </c>
      <c r="M131" s="45" t="str">
        <f t="shared" si="3"/>
        <v>OneCo Networks AS</v>
      </c>
      <c r="N131" s="40" t="str">
        <f ca="1">IFERROR(
VLOOKUP(BoM_Griptel[[#This Row],[Product code]],
IF(AND((BoQ!$N$3&lt;&gt;""),OR(BoM_Griptel[[#This Row],[Vendor]]="Griptel",BoM_Griptel[[#This Row],[Vendor]]="Solar")),INDIRECT(Aux!$A$1)),4,FALSE),"")</f>
        <v/>
      </c>
      <c r="O131" s="169" t="s">
        <v>1807</v>
      </c>
      <c r="P131" s="41" t="str">
        <f>IFERROR(IF(AND(BoM_Griptel[[#This Row],[Quantity]]&lt;&gt;"",BoM_Griptel[[#This Row],[Currency]]="NOK"),BoM_Griptel[[#This Row],[Quantity]]*BoM_Griptel[[#This Row],[Unit Price]],""),"")</f>
        <v/>
      </c>
      <c r="Q131" s="41" t="str">
        <f>IFERROR(IF(AND(BoM_Griptel[[#This Row],[ACT_Qty]]&lt;&gt;"",BoM_Griptel[[#This Row],[Currency]]="NOK"),BoM_Griptel[[#This Row],[ACT_Qty]]*BoM_Griptel[[#This Row],[Unit Price]],""),"")</f>
        <v/>
      </c>
      <c r="R131" s="41" t="str">
        <f>IFERROR(IF(AND(BoM_Griptel[[#This Row],[Quantity]]&lt;&gt;"",BoM_Griptel[[#This Row],[Currency]]="EUR"),BoM_Griptel[[#This Row],[Quantity]]*BoM_Griptel[[#This Row],[Unit Price]],""),"")</f>
        <v/>
      </c>
      <c r="S131" s="41" t="str">
        <f>IFERROR(IF(AND(BoM_Griptel[[#This Row],[ACT_Qty]]&lt;&gt;"",BoM_Griptel[[#This Row],[Currency]]="EUR"),BoM_Griptel[[#This Row],[ACT_Qty]]*BoM_Griptel[[#This Row],[Unit Price]],""),"")</f>
        <v/>
      </c>
      <c r="T131" s="185" t="s">
        <v>1802</v>
      </c>
      <c r="U131" s="45"/>
      <c r="V131" s="45"/>
      <c r="W131" s="143"/>
    </row>
    <row r="132" spans="1:23" ht="15" customHeight="1">
      <c r="A132" s="146" t="str">
        <f t="shared" si="2"/>
        <v>AKH12345</v>
      </c>
      <c r="B132" s="147" t="s">
        <v>2054</v>
      </c>
      <c r="C132" s="146" t="s">
        <v>2055</v>
      </c>
      <c r="D132" s="68"/>
      <c r="E132" s="89"/>
      <c r="F132" s="68"/>
      <c r="G132" s="89"/>
      <c r="H132" s="177"/>
      <c r="I132" s="178" t="s">
        <v>847</v>
      </c>
      <c r="J132" s="178" t="s">
        <v>1921</v>
      </c>
      <c r="K132" s="178" t="s">
        <v>1235</v>
      </c>
      <c r="L132" s="148" t="s">
        <v>1806</v>
      </c>
      <c r="M132" s="46" t="str">
        <f t="shared" si="3"/>
        <v>OneCo Networks AS</v>
      </c>
      <c r="N132" s="42" t="str">
        <f ca="1">IFERROR(
VLOOKUP(BoM_Griptel[[#This Row],[Product code]],
IF(AND((BoQ!$N$3&lt;&gt;""),OR(BoM_Griptel[[#This Row],[Vendor]]="Griptel",BoM_Griptel[[#This Row],[Vendor]]="Solar")),INDIRECT(Aux!$A$1)),4,FALSE),"")</f>
        <v/>
      </c>
      <c r="O132" s="170" t="s">
        <v>1807</v>
      </c>
      <c r="P132" s="43" t="str">
        <f>IFERROR(IF(AND(BoM_Griptel[[#This Row],[Quantity]]&lt;&gt;"",BoM_Griptel[[#This Row],[Currency]]="NOK"),BoM_Griptel[[#This Row],[Quantity]]*BoM_Griptel[[#This Row],[Unit Price]],""),"")</f>
        <v/>
      </c>
      <c r="Q132" s="43" t="str">
        <f>IFERROR(IF(AND(BoM_Griptel[[#This Row],[ACT_Qty]]&lt;&gt;"",BoM_Griptel[[#This Row],[Currency]]="NOK"),BoM_Griptel[[#This Row],[ACT_Qty]]*BoM_Griptel[[#This Row],[Unit Price]],""),"")</f>
        <v/>
      </c>
      <c r="R132" s="43" t="str">
        <f>IFERROR(IF(AND(BoM_Griptel[[#This Row],[Quantity]]&lt;&gt;"",BoM_Griptel[[#This Row],[Currency]]="EUR"),BoM_Griptel[[#This Row],[Quantity]]*BoM_Griptel[[#This Row],[Unit Price]],""),"")</f>
        <v/>
      </c>
      <c r="S132" s="43" t="str">
        <f>IFERROR(IF(AND(BoM_Griptel[[#This Row],[ACT_Qty]]&lt;&gt;"",BoM_Griptel[[#This Row],[Currency]]="EUR"),BoM_Griptel[[#This Row],[ACT_Qty]]*BoM_Griptel[[#This Row],[Unit Price]],""),"")</f>
        <v/>
      </c>
      <c r="T132" s="186" t="s">
        <v>1802</v>
      </c>
      <c r="U132" s="46"/>
      <c r="V132" s="46"/>
      <c r="W132" s="146"/>
    </row>
    <row r="133" spans="1:23" ht="15" customHeight="1">
      <c r="A133" s="143" t="str">
        <f t="shared" si="2"/>
        <v>AKH12345</v>
      </c>
      <c r="B133" s="144" t="s">
        <v>2056</v>
      </c>
      <c r="C133" s="143" t="s">
        <v>2057</v>
      </c>
      <c r="D133" s="105"/>
      <c r="E133" s="106"/>
      <c r="F133" s="105"/>
      <c r="G133" s="106"/>
      <c r="H133" s="175"/>
      <c r="I133" s="176" t="s">
        <v>847</v>
      </c>
      <c r="J133" s="176" t="s">
        <v>1921</v>
      </c>
      <c r="K133" s="176" t="s">
        <v>1235</v>
      </c>
      <c r="L133" s="145" t="s">
        <v>1806</v>
      </c>
      <c r="M133" s="45" t="str">
        <f t="shared" si="3"/>
        <v>OneCo Networks AS</v>
      </c>
      <c r="N133" s="40" t="str">
        <f ca="1">IFERROR(
VLOOKUP(BoM_Griptel[[#This Row],[Product code]],
IF(AND((BoQ!$N$3&lt;&gt;""),OR(BoM_Griptel[[#This Row],[Vendor]]="Griptel",BoM_Griptel[[#This Row],[Vendor]]="Solar")),INDIRECT(Aux!$A$1)),4,FALSE),"")</f>
        <v/>
      </c>
      <c r="O133" s="169" t="s">
        <v>1807</v>
      </c>
      <c r="P133" s="41" t="str">
        <f>IFERROR(IF(AND(BoM_Griptel[[#This Row],[Quantity]]&lt;&gt;"",BoM_Griptel[[#This Row],[Currency]]="NOK"),BoM_Griptel[[#This Row],[Quantity]]*BoM_Griptel[[#This Row],[Unit Price]],""),"")</f>
        <v/>
      </c>
      <c r="Q133" s="41" t="str">
        <f>IFERROR(IF(AND(BoM_Griptel[[#This Row],[ACT_Qty]]&lt;&gt;"",BoM_Griptel[[#This Row],[Currency]]="NOK"),BoM_Griptel[[#This Row],[ACT_Qty]]*BoM_Griptel[[#This Row],[Unit Price]],""),"")</f>
        <v/>
      </c>
      <c r="R133" s="41" t="str">
        <f>IFERROR(IF(AND(BoM_Griptel[[#This Row],[Quantity]]&lt;&gt;"",BoM_Griptel[[#This Row],[Currency]]="EUR"),BoM_Griptel[[#This Row],[Quantity]]*BoM_Griptel[[#This Row],[Unit Price]],""),"")</f>
        <v/>
      </c>
      <c r="S133" s="41" t="str">
        <f>IFERROR(IF(AND(BoM_Griptel[[#This Row],[ACT_Qty]]&lt;&gt;"",BoM_Griptel[[#This Row],[Currency]]="EUR"),BoM_Griptel[[#This Row],[ACT_Qty]]*BoM_Griptel[[#This Row],[Unit Price]],""),"")</f>
        <v/>
      </c>
      <c r="T133" s="185" t="s">
        <v>1802</v>
      </c>
      <c r="U133" s="45"/>
      <c r="V133" s="45"/>
      <c r="W133" s="143"/>
    </row>
    <row r="134" spans="1:23" ht="15" customHeight="1">
      <c r="A134" s="146" t="str">
        <f t="shared" si="2"/>
        <v>AKH12345</v>
      </c>
      <c r="B134" s="147" t="s">
        <v>2058</v>
      </c>
      <c r="C134" s="146" t="s">
        <v>2059</v>
      </c>
      <c r="D134" s="68"/>
      <c r="E134" s="89"/>
      <c r="F134" s="68"/>
      <c r="G134" s="89"/>
      <c r="H134" s="177"/>
      <c r="I134" s="178" t="s">
        <v>847</v>
      </c>
      <c r="J134" s="178" t="s">
        <v>1921</v>
      </c>
      <c r="K134" s="178" t="s">
        <v>1235</v>
      </c>
      <c r="L134" s="148" t="s">
        <v>1806</v>
      </c>
      <c r="M134" s="46" t="str">
        <f t="shared" si="3"/>
        <v>OneCo Networks AS</v>
      </c>
      <c r="N134" s="42" t="str">
        <f ca="1">IFERROR(
VLOOKUP(BoM_Griptel[[#This Row],[Product code]],
IF(AND((BoQ!$N$3&lt;&gt;""),OR(BoM_Griptel[[#This Row],[Vendor]]="Griptel",BoM_Griptel[[#This Row],[Vendor]]="Solar")),INDIRECT(Aux!$A$1)),4,FALSE),"")</f>
        <v/>
      </c>
      <c r="O134" s="170" t="s">
        <v>1807</v>
      </c>
      <c r="P134" s="43" t="str">
        <f>IFERROR(IF(AND(BoM_Griptel[[#This Row],[Quantity]]&lt;&gt;"",BoM_Griptel[[#This Row],[Currency]]="NOK"),BoM_Griptel[[#This Row],[Quantity]]*BoM_Griptel[[#This Row],[Unit Price]],""),"")</f>
        <v/>
      </c>
      <c r="Q134" s="43" t="str">
        <f>IFERROR(IF(AND(BoM_Griptel[[#This Row],[ACT_Qty]]&lt;&gt;"",BoM_Griptel[[#This Row],[Currency]]="NOK"),BoM_Griptel[[#This Row],[ACT_Qty]]*BoM_Griptel[[#This Row],[Unit Price]],""),"")</f>
        <v/>
      </c>
      <c r="R134" s="43" t="str">
        <f>IFERROR(IF(AND(BoM_Griptel[[#This Row],[Quantity]]&lt;&gt;"",BoM_Griptel[[#This Row],[Currency]]="EUR"),BoM_Griptel[[#This Row],[Quantity]]*BoM_Griptel[[#This Row],[Unit Price]],""),"")</f>
        <v/>
      </c>
      <c r="S134" s="43" t="str">
        <f>IFERROR(IF(AND(BoM_Griptel[[#This Row],[ACT_Qty]]&lt;&gt;"",BoM_Griptel[[#This Row],[Currency]]="EUR"),BoM_Griptel[[#This Row],[ACT_Qty]]*BoM_Griptel[[#This Row],[Unit Price]],""),"")</f>
        <v/>
      </c>
      <c r="T134" s="186" t="s">
        <v>1802</v>
      </c>
      <c r="U134" s="46"/>
      <c r="V134" s="46"/>
      <c r="W134" s="146"/>
    </row>
    <row r="135" spans="1:23" ht="15" customHeight="1">
      <c r="A135" s="143" t="str">
        <f t="shared" si="2"/>
        <v>AKH12345</v>
      </c>
      <c r="B135" s="144" t="s">
        <v>2060</v>
      </c>
      <c r="C135" s="143" t="s">
        <v>2061</v>
      </c>
      <c r="D135" s="105"/>
      <c r="E135" s="106"/>
      <c r="F135" s="105"/>
      <c r="G135" s="106"/>
      <c r="H135" s="175"/>
      <c r="I135" s="176" t="s">
        <v>847</v>
      </c>
      <c r="J135" s="176" t="s">
        <v>1921</v>
      </c>
      <c r="K135" s="176" t="s">
        <v>1235</v>
      </c>
      <c r="L135" s="145" t="s">
        <v>1806</v>
      </c>
      <c r="M135" s="45" t="str">
        <f t="shared" si="3"/>
        <v>OneCo Networks AS</v>
      </c>
      <c r="N135" s="40" t="str">
        <f ca="1">IFERROR(
VLOOKUP(BoM_Griptel[[#This Row],[Product code]],
IF(AND((BoQ!$N$3&lt;&gt;""),OR(BoM_Griptel[[#This Row],[Vendor]]="Griptel",BoM_Griptel[[#This Row],[Vendor]]="Solar")),INDIRECT(Aux!$A$1)),4,FALSE),"")</f>
        <v/>
      </c>
      <c r="O135" s="169" t="s">
        <v>1807</v>
      </c>
      <c r="P135" s="41" t="str">
        <f>IFERROR(IF(AND(BoM_Griptel[[#This Row],[Quantity]]&lt;&gt;"",BoM_Griptel[[#This Row],[Currency]]="NOK"),BoM_Griptel[[#This Row],[Quantity]]*BoM_Griptel[[#This Row],[Unit Price]],""),"")</f>
        <v/>
      </c>
      <c r="Q135" s="41" t="str">
        <f>IFERROR(IF(AND(BoM_Griptel[[#This Row],[ACT_Qty]]&lt;&gt;"",BoM_Griptel[[#This Row],[Currency]]="NOK"),BoM_Griptel[[#This Row],[ACT_Qty]]*BoM_Griptel[[#This Row],[Unit Price]],""),"")</f>
        <v/>
      </c>
      <c r="R135" s="41" t="str">
        <f>IFERROR(IF(AND(BoM_Griptel[[#This Row],[Quantity]]&lt;&gt;"",BoM_Griptel[[#This Row],[Currency]]="EUR"),BoM_Griptel[[#This Row],[Quantity]]*BoM_Griptel[[#This Row],[Unit Price]],""),"")</f>
        <v/>
      </c>
      <c r="S135" s="41" t="str">
        <f>IFERROR(IF(AND(BoM_Griptel[[#This Row],[ACT_Qty]]&lt;&gt;"",BoM_Griptel[[#This Row],[Currency]]="EUR"),BoM_Griptel[[#This Row],[ACT_Qty]]*BoM_Griptel[[#This Row],[Unit Price]],""),"")</f>
        <v/>
      </c>
      <c r="T135" s="185" t="s">
        <v>1802</v>
      </c>
      <c r="U135" s="45"/>
      <c r="V135" s="45"/>
      <c r="W135" s="143"/>
    </row>
    <row r="136" spans="1:23" ht="15" customHeight="1">
      <c r="A136" s="146" t="str">
        <f t="shared" si="2"/>
        <v>AKH12345</v>
      </c>
      <c r="B136" s="147" t="s">
        <v>2062</v>
      </c>
      <c r="C136" s="146" t="s">
        <v>2063</v>
      </c>
      <c r="D136" s="68"/>
      <c r="E136" s="89"/>
      <c r="F136" s="68"/>
      <c r="G136" s="89"/>
      <c r="H136" s="177"/>
      <c r="I136" s="178" t="s">
        <v>847</v>
      </c>
      <c r="J136" s="178" t="s">
        <v>1921</v>
      </c>
      <c r="K136" s="178" t="s">
        <v>1235</v>
      </c>
      <c r="L136" s="148" t="s">
        <v>1806</v>
      </c>
      <c r="M136" s="46" t="str">
        <f t="shared" si="3"/>
        <v>OneCo Networks AS</v>
      </c>
      <c r="N136" s="42" t="str">
        <f ca="1">IFERROR(
VLOOKUP(BoM_Griptel[[#This Row],[Product code]],
IF(AND((BoQ!$N$3&lt;&gt;""),OR(BoM_Griptel[[#This Row],[Vendor]]="Griptel",BoM_Griptel[[#This Row],[Vendor]]="Solar")),INDIRECT(Aux!$A$1)),4,FALSE),"")</f>
        <v/>
      </c>
      <c r="O136" s="170" t="s">
        <v>1807</v>
      </c>
      <c r="P136" s="43" t="str">
        <f>IFERROR(IF(AND(BoM_Griptel[[#This Row],[Quantity]]&lt;&gt;"",BoM_Griptel[[#This Row],[Currency]]="NOK"),BoM_Griptel[[#This Row],[Quantity]]*BoM_Griptel[[#This Row],[Unit Price]],""),"")</f>
        <v/>
      </c>
      <c r="Q136" s="43" t="str">
        <f>IFERROR(IF(AND(BoM_Griptel[[#This Row],[ACT_Qty]]&lt;&gt;"",BoM_Griptel[[#This Row],[Currency]]="NOK"),BoM_Griptel[[#This Row],[ACT_Qty]]*BoM_Griptel[[#This Row],[Unit Price]],""),"")</f>
        <v/>
      </c>
      <c r="R136" s="43" t="str">
        <f>IFERROR(IF(AND(BoM_Griptel[[#This Row],[Quantity]]&lt;&gt;"",BoM_Griptel[[#This Row],[Currency]]="EUR"),BoM_Griptel[[#This Row],[Quantity]]*BoM_Griptel[[#This Row],[Unit Price]],""),"")</f>
        <v/>
      </c>
      <c r="S136" s="43" t="str">
        <f>IFERROR(IF(AND(BoM_Griptel[[#This Row],[ACT_Qty]]&lt;&gt;"",BoM_Griptel[[#This Row],[Currency]]="EUR"),BoM_Griptel[[#This Row],[ACT_Qty]]*BoM_Griptel[[#This Row],[Unit Price]],""),"")</f>
        <v/>
      </c>
      <c r="T136" s="186" t="s">
        <v>1802</v>
      </c>
      <c r="U136" s="46"/>
      <c r="V136" s="46"/>
      <c r="W136" s="146"/>
    </row>
    <row r="137" spans="1:23" ht="15" customHeight="1">
      <c r="A137" s="143" t="str">
        <f t="shared" si="2"/>
        <v>AKH12345</v>
      </c>
      <c r="B137" s="144" t="s">
        <v>2064</v>
      </c>
      <c r="C137" s="143" t="s">
        <v>2065</v>
      </c>
      <c r="D137" s="105"/>
      <c r="E137" s="106"/>
      <c r="F137" s="105"/>
      <c r="G137" s="106"/>
      <c r="H137" s="175"/>
      <c r="I137" s="176" t="s">
        <v>847</v>
      </c>
      <c r="J137" s="176" t="s">
        <v>1921</v>
      </c>
      <c r="K137" s="176" t="s">
        <v>1235</v>
      </c>
      <c r="L137" s="145" t="s">
        <v>1806</v>
      </c>
      <c r="M137" s="45" t="str">
        <f t="shared" si="3"/>
        <v>OneCo Networks AS</v>
      </c>
      <c r="N137" s="40" t="str">
        <f ca="1">IFERROR(
VLOOKUP(BoM_Griptel[[#This Row],[Product code]],
IF(AND((BoQ!$N$3&lt;&gt;""),OR(BoM_Griptel[[#This Row],[Vendor]]="Griptel",BoM_Griptel[[#This Row],[Vendor]]="Solar")),INDIRECT(Aux!$A$1)),4,FALSE),"")</f>
        <v/>
      </c>
      <c r="O137" s="169" t="s">
        <v>1807</v>
      </c>
      <c r="P137" s="41" t="str">
        <f>IFERROR(IF(AND(BoM_Griptel[[#This Row],[Quantity]]&lt;&gt;"",BoM_Griptel[[#This Row],[Currency]]="NOK"),BoM_Griptel[[#This Row],[Quantity]]*BoM_Griptel[[#This Row],[Unit Price]],""),"")</f>
        <v/>
      </c>
      <c r="Q137" s="41" t="str">
        <f>IFERROR(IF(AND(BoM_Griptel[[#This Row],[ACT_Qty]]&lt;&gt;"",BoM_Griptel[[#This Row],[Currency]]="NOK"),BoM_Griptel[[#This Row],[ACT_Qty]]*BoM_Griptel[[#This Row],[Unit Price]],""),"")</f>
        <v/>
      </c>
      <c r="R137" s="41" t="str">
        <f>IFERROR(IF(AND(BoM_Griptel[[#This Row],[Quantity]]&lt;&gt;"",BoM_Griptel[[#This Row],[Currency]]="EUR"),BoM_Griptel[[#This Row],[Quantity]]*BoM_Griptel[[#This Row],[Unit Price]],""),"")</f>
        <v/>
      </c>
      <c r="S137" s="41" t="str">
        <f>IFERROR(IF(AND(BoM_Griptel[[#This Row],[ACT_Qty]]&lt;&gt;"",BoM_Griptel[[#This Row],[Currency]]="EUR"),BoM_Griptel[[#This Row],[ACT_Qty]]*BoM_Griptel[[#This Row],[Unit Price]],""),"")</f>
        <v/>
      </c>
      <c r="T137" s="185" t="s">
        <v>1802</v>
      </c>
      <c r="U137" s="45"/>
      <c r="V137" s="45"/>
      <c r="W137" s="143"/>
    </row>
    <row r="138" spans="1:23" ht="15" customHeight="1">
      <c r="A138" s="146" t="str">
        <f t="shared" si="2"/>
        <v>AKH12345</v>
      </c>
      <c r="B138" s="147" t="s">
        <v>2066</v>
      </c>
      <c r="C138" s="146" t="s">
        <v>2067</v>
      </c>
      <c r="D138" s="68"/>
      <c r="E138" s="89"/>
      <c r="F138" s="68"/>
      <c r="G138" s="89"/>
      <c r="H138" s="177"/>
      <c r="I138" s="178" t="s">
        <v>847</v>
      </c>
      <c r="J138" s="178" t="s">
        <v>1921</v>
      </c>
      <c r="K138" s="178" t="s">
        <v>1235</v>
      </c>
      <c r="L138" s="148" t="s">
        <v>1806</v>
      </c>
      <c r="M138" s="46" t="str">
        <f t="shared" si="3"/>
        <v>OneCo Networks AS</v>
      </c>
      <c r="N138" s="42" t="str">
        <f ca="1">IFERROR(
VLOOKUP(BoM_Griptel[[#This Row],[Product code]],
IF(AND((BoQ!$N$3&lt;&gt;""),OR(BoM_Griptel[[#This Row],[Vendor]]="Griptel",BoM_Griptel[[#This Row],[Vendor]]="Solar")),INDIRECT(Aux!$A$1)),4,FALSE),"")</f>
        <v/>
      </c>
      <c r="O138" s="170" t="s">
        <v>1807</v>
      </c>
      <c r="P138" s="43" t="str">
        <f>IFERROR(IF(AND(BoM_Griptel[[#This Row],[Quantity]]&lt;&gt;"",BoM_Griptel[[#This Row],[Currency]]="NOK"),BoM_Griptel[[#This Row],[Quantity]]*BoM_Griptel[[#This Row],[Unit Price]],""),"")</f>
        <v/>
      </c>
      <c r="Q138" s="43" t="str">
        <f>IFERROR(IF(AND(BoM_Griptel[[#This Row],[ACT_Qty]]&lt;&gt;"",BoM_Griptel[[#This Row],[Currency]]="NOK"),BoM_Griptel[[#This Row],[ACT_Qty]]*BoM_Griptel[[#This Row],[Unit Price]],""),"")</f>
        <v/>
      </c>
      <c r="R138" s="43" t="str">
        <f>IFERROR(IF(AND(BoM_Griptel[[#This Row],[Quantity]]&lt;&gt;"",BoM_Griptel[[#This Row],[Currency]]="EUR"),BoM_Griptel[[#This Row],[Quantity]]*BoM_Griptel[[#This Row],[Unit Price]],""),"")</f>
        <v/>
      </c>
      <c r="S138" s="43" t="str">
        <f>IFERROR(IF(AND(BoM_Griptel[[#This Row],[ACT_Qty]]&lt;&gt;"",BoM_Griptel[[#This Row],[Currency]]="EUR"),BoM_Griptel[[#This Row],[ACT_Qty]]*BoM_Griptel[[#This Row],[Unit Price]],""),"")</f>
        <v/>
      </c>
      <c r="T138" s="186" t="s">
        <v>1802</v>
      </c>
      <c r="U138" s="46"/>
      <c r="V138" s="46"/>
      <c r="W138" s="146"/>
    </row>
    <row r="139" spans="1:23" ht="15" customHeight="1">
      <c r="A139" s="143" t="str">
        <f t="shared" si="2"/>
        <v>AKH12345</v>
      </c>
      <c r="B139" s="144" t="s">
        <v>2068</v>
      </c>
      <c r="C139" s="143" t="s">
        <v>2069</v>
      </c>
      <c r="D139" s="105"/>
      <c r="E139" s="106"/>
      <c r="F139" s="105"/>
      <c r="G139" s="106"/>
      <c r="H139" s="175"/>
      <c r="I139" s="176" t="s">
        <v>847</v>
      </c>
      <c r="J139" s="176" t="s">
        <v>1921</v>
      </c>
      <c r="K139" s="176" t="s">
        <v>1235</v>
      </c>
      <c r="L139" s="145" t="s">
        <v>1806</v>
      </c>
      <c r="M139" s="45" t="str">
        <f t="shared" si="3"/>
        <v>OneCo Networks AS</v>
      </c>
      <c r="N139" s="40" t="str">
        <f ca="1">IFERROR(
VLOOKUP(BoM_Griptel[[#This Row],[Product code]],
IF(AND((BoQ!$N$3&lt;&gt;""),OR(BoM_Griptel[[#This Row],[Vendor]]="Griptel",BoM_Griptel[[#This Row],[Vendor]]="Solar")),INDIRECT(Aux!$A$1)),4,FALSE),"")</f>
        <v/>
      </c>
      <c r="O139" s="169" t="s">
        <v>1807</v>
      </c>
      <c r="P139" s="41" t="str">
        <f>IFERROR(IF(AND(BoM_Griptel[[#This Row],[Quantity]]&lt;&gt;"",BoM_Griptel[[#This Row],[Currency]]="NOK"),BoM_Griptel[[#This Row],[Quantity]]*BoM_Griptel[[#This Row],[Unit Price]],""),"")</f>
        <v/>
      </c>
      <c r="Q139" s="41" t="str">
        <f>IFERROR(IF(AND(BoM_Griptel[[#This Row],[ACT_Qty]]&lt;&gt;"",BoM_Griptel[[#This Row],[Currency]]="NOK"),BoM_Griptel[[#This Row],[ACT_Qty]]*BoM_Griptel[[#This Row],[Unit Price]],""),"")</f>
        <v/>
      </c>
      <c r="R139" s="41" t="str">
        <f>IFERROR(IF(AND(BoM_Griptel[[#This Row],[Quantity]]&lt;&gt;"",BoM_Griptel[[#This Row],[Currency]]="EUR"),BoM_Griptel[[#This Row],[Quantity]]*BoM_Griptel[[#This Row],[Unit Price]],""),"")</f>
        <v/>
      </c>
      <c r="S139" s="41" t="str">
        <f>IFERROR(IF(AND(BoM_Griptel[[#This Row],[ACT_Qty]]&lt;&gt;"",BoM_Griptel[[#This Row],[Currency]]="EUR"),BoM_Griptel[[#This Row],[ACT_Qty]]*BoM_Griptel[[#This Row],[Unit Price]],""),"")</f>
        <v/>
      </c>
      <c r="T139" s="185" t="s">
        <v>1802</v>
      </c>
      <c r="U139" s="45"/>
      <c r="V139" s="45"/>
      <c r="W139" s="143"/>
    </row>
    <row r="140" spans="1:23" ht="15" customHeight="1">
      <c r="A140" s="146" t="str">
        <f t="shared" si="2"/>
        <v>AKH12345</v>
      </c>
      <c r="B140" s="147" t="s">
        <v>2070</v>
      </c>
      <c r="C140" s="146" t="s">
        <v>2071</v>
      </c>
      <c r="D140" s="68"/>
      <c r="E140" s="89"/>
      <c r="F140" s="68"/>
      <c r="G140" s="89"/>
      <c r="H140" s="177"/>
      <c r="I140" s="178" t="s">
        <v>847</v>
      </c>
      <c r="J140" s="178" t="s">
        <v>1921</v>
      </c>
      <c r="K140" s="178" t="s">
        <v>1235</v>
      </c>
      <c r="L140" s="148" t="s">
        <v>1806</v>
      </c>
      <c r="M140" s="46" t="str">
        <f t="shared" si="3"/>
        <v>OneCo Networks AS</v>
      </c>
      <c r="N140" s="42" t="str">
        <f ca="1">IFERROR(
VLOOKUP(BoM_Griptel[[#This Row],[Product code]],
IF(AND((BoQ!$N$3&lt;&gt;""),OR(BoM_Griptel[[#This Row],[Vendor]]="Griptel",BoM_Griptel[[#This Row],[Vendor]]="Solar")),INDIRECT(Aux!$A$1)),4,FALSE),"")</f>
        <v/>
      </c>
      <c r="O140" s="170" t="s">
        <v>1807</v>
      </c>
      <c r="P140" s="43" t="str">
        <f>IFERROR(IF(AND(BoM_Griptel[[#This Row],[Quantity]]&lt;&gt;"",BoM_Griptel[[#This Row],[Currency]]="NOK"),BoM_Griptel[[#This Row],[Quantity]]*BoM_Griptel[[#This Row],[Unit Price]],""),"")</f>
        <v/>
      </c>
      <c r="Q140" s="43" t="str">
        <f>IFERROR(IF(AND(BoM_Griptel[[#This Row],[ACT_Qty]]&lt;&gt;"",BoM_Griptel[[#This Row],[Currency]]="NOK"),BoM_Griptel[[#This Row],[ACT_Qty]]*BoM_Griptel[[#This Row],[Unit Price]],""),"")</f>
        <v/>
      </c>
      <c r="R140" s="43" t="str">
        <f>IFERROR(IF(AND(BoM_Griptel[[#This Row],[Quantity]]&lt;&gt;"",BoM_Griptel[[#This Row],[Currency]]="EUR"),BoM_Griptel[[#This Row],[Quantity]]*BoM_Griptel[[#This Row],[Unit Price]],""),"")</f>
        <v/>
      </c>
      <c r="S140" s="43" t="str">
        <f>IFERROR(IF(AND(BoM_Griptel[[#This Row],[ACT_Qty]]&lt;&gt;"",BoM_Griptel[[#This Row],[Currency]]="EUR"),BoM_Griptel[[#This Row],[ACT_Qty]]*BoM_Griptel[[#This Row],[Unit Price]],""),"")</f>
        <v/>
      </c>
      <c r="T140" s="186" t="s">
        <v>1802</v>
      </c>
      <c r="U140" s="46"/>
      <c r="V140" s="46"/>
      <c r="W140" s="146"/>
    </row>
    <row r="141" spans="1:23" ht="15" customHeight="1">
      <c r="A141" s="143" t="str">
        <f t="shared" ref="A141:A204" si="4">IF($C$4&lt;&gt;"",$C$4,"")</f>
        <v>AKH12345</v>
      </c>
      <c r="B141" s="144" t="s">
        <v>2072</v>
      </c>
      <c r="C141" s="143" t="s">
        <v>2073</v>
      </c>
      <c r="D141" s="105"/>
      <c r="E141" s="106"/>
      <c r="F141" s="105"/>
      <c r="G141" s="106"/>
      <c r="H141" s="175"/>
      <c r="I141" s="176" t="s">
        <v>847</v>
      </c>
      <c r="J141" s="176" t="s">
        <v>2074</v>
      </c>
      <c r="K141" s="176" t="s">
        <v>1235</v>
      </c>
      <c r="L141" s="145" t="s">
        <v>1806</v>
      </c>
      <c r="M141" s="45" t="str">
        <f t="shared" si="3"/>
        <v>OneCo Networks AS</v>
      </c>
      <c r="N141" s="40" t="str">
        <f ca="1">IFERROR(
VLOOKUP(BoM_Griptel[[#This Row],[Product code]],
IF(AND((BoQ!$N$3&lt;&gt;""),OR(BoM_Griptel[[#This Row],[Vendor]]="Griptel",BoM_Griptel[[#This Row],[Vendor]]="Solar")),INDIRECT(Aux!$A$1)),4,FALSE),"")</f>
        <v/>
      </c>
      <c r="O141" s="169" t="s">
        <v>1807</v>
      </c>
      <c r="P141" s="41" t="str">
        <f>IFERROR(IF(AND(BoM_Griptel[[#This Row],[Quantity]]&lt;&gt;"",BoM_Griptel[[#This Row],[Currency]]="NOK"),BoM_Griptel[[#This Row],[Quantity]]*BoM_Griptel[[#This Row],[Unit Price]],""),"")</f>
        <v/>
      </c>
      <c r="Q141" s="41" t="str">
        <f>IFERROR(IF(AND(BoM_Griptel[[#This Row],[ACT_Qty]]&lt;&gt;"",BoM_Griptel[[#This Row],[Currency]]="NOK"),BoM_Griptel[[#This Row],[ACT_Qty]]*BoM_Griptel[[#This Row],[Unit Price]],""),"")</f>
        <v/>
      </c>
      <c r="R141" s="41" t="str">
        <f>IFERROR(IF(AND(BoM_Griptel[[#This Row],[Quantity]]&lt;&gt;"",BoM_Griptel[[#This Row],[Currency]]="EUR"),BoM_Griptel[[#This Row],[Quantity]]*BoM_Griptel[[#This Row],[Unit Price]],""),"")</f>
        <v/>
      </c>
      <c r="S141" s="41" t="str">
        <f>IFERROR(IF(AND(BoM_Griptel[[#This Row],[ACT_Qty]]&lt;&gt;"",BoM_Griptel[[#This Row],[Currency]]="EUR"),BoM_Griptel[[#This Row],[ACT_Qty]]*BoM_Griptel[[#This Row],[Unit Price]],""),"")</f>
        <v/>
      </c>
      <c r="T141" s="185" t="s">
        <v>1802</v>
      </c>
      <c r="U141" s="45"/>
      <c r="V141" s="45"/>
      <c r="W141" s="143"/>
    </row>
    <row r="142" spans="1:23" ht="15" customHeight="1">
      <c r="A142" s="146" t="str">
        <f t="shared" si="4"/>
        <v>AKH12345</v>
      </c>
      <c r="B142" s="147" t="s">
        <v>2075</v>
      </c>
      <c r="C142" s="146" t="s">
        <v>2076</v>
      </c>
      <c r="D142" s="68"/>
      <c r="E142" s="89"/>
      <c r="F142" s="68"/>
      <c r="G142" s="89"/>
      <c r="H142" s="177"/>
      <c r="I142" s="178" t="s">
        <v>847</v>
      </c>
      <c r="J142" s="178" t="s">
        <v>1805</v>
      </c>
      <c r="K142" s="178" t="s">
        <v>1235</v>
      </c>
      <c r="L142" s="148" t="s">
        <v>1806</v>
      </c>
      <c r="M142" s="46" t="str">
        <f t="shared" si="3"/>
        <v>OneCo Networks AS</v>
      </c>
      <c r="N142" s="42" t="str">
        <f ca="1">IFERROR(
VLOOKUP(BoM_Griptel[[#This Row],[Product code]],
IF(AND((BoQ!$N$3&lt;&gt;""),OR(BoM_Griptel[[#This Row],[Vendor]]="Griptel",BoM_Griptel[[#This Row],[Vendor]]="Solar")),INDIRECT(Aux!$A$1)),4,FALSE),"")</f>
        <v/>
      </c>
      <c r="O142" s="170" t="s">
        <v>1807</v>
      </c>
      <c r="P142" s="43" t="str">
        <f>IFERROR(IF(AND(BoM_Griptel[[#This Row],[Quantity]]&lt;&gt;"",BoM_Griptel[[#This Row],[Currency]]="NOK"),BoM_Griptel[[#This Row],[Quantity]]*BoM_Griptel[[#This Row],[Unit Price]],""),"")</f>
        <v/>
      </c>
      <c r="Q142" s="43" t="str">
        <f>IFERROR(IF(AND(BoM_Griptel[[#This Row],[ACT_Qty]]&lt;&gt;"",BoM_Griptel[[#This Row],[Currency]]="NOK"),BoM_Griptel[[#This Row],[ACT_Qty]]*BoM_Griptel[[#This Row],[Unit Price]],""),"")</f>
        <v/>
      </c>
      <c r="R142" s="43" t="str">
        <f>IFERROR(IF(AND(BoM_Griptel[[#This Row],[Quantity]]&lt;&gt;"",BoM_Griptel[[#This Row],[Currency]]="EUR"),BoM_Griptel[[#This Row],[Quantity]]*BoM_Griptel[[#This Row],[Unit Price]],""),"")</f>
        <v/>
      </c>
      <c r="S142" s="43" t="str">
        <f>IFERROR(IF(AND(BoM_Griptel[[#This Row],[ACT_Qty]]&lt;&gt;"",BoM_Griptel[[#This Row],[Currency]]="EUR"),BoM_Griptel[[#This Row],[ACT_Qty]]*BoM_Griptel[[#This Row],[Unit Price]],""),"")</f>
        <v/>
      </c>
      <c r="T142" s="186" t="s">
        <v>1802</v>
      </c>
      <c r="U142" s="46"/>
      <c r="V142" s="46"/>
      <c r="W142" s="146"/>
    </row>
    <row r="143" spans="1:23" ht="15" customHeight="1">
      <c r="A143" s="143" t="str">
        <f t="shared" si="4"/>
        <v>AKH12345</v>
      </c>
      <c r="B143" s="144" t="s">
        <v>2077</v>
      </c>
      <c r="C143" s="143" t="s">
        <v>2078</v>
      </c>
      <c r="D143" s="105"/>
      <c r="E143" s="106"/>
      <c r="F143" s="105"/>
      <c r="G143" s="106"/>
      <c r="H143" s="175"/>
      <c r="I143" s="176" t="s">
        <v>847</v>
      </c>
      <c r="J143" s="176" t="s">
        <v>1921</v>
      </c>
      <c r="K143" s="176" t="s">
        <v>1235</v>
      </c>
      <c r="L143" s="145" t="s">
        <v>1806</v>
      </c>
      <c r="M143" s="45" t="str">
        <f t="shared" si="3"/>
        <v>OneCo Networks AS</v>
      </c>
      <c r="N143" s="40" t="str">
        <f ca="1">IFERROR(
VLOOKUP(BoM_Griptel[[#This Row],[Product code]],
IF(AND((BoQ!$N$3&lt;&gt;""),OR(BoM_Griptel[[#This Row],[Vendor]]="Griptel",BoM_Griptel[[#This Row],[Vendor]]="Solar")),INDIRECT(Aux!$A$1)),4,FALSE),"")</f>
        <v/>
      </c>
      <c r="O143" s="169" t="s">
        <v>1807</v>
      </c>
      <c r="P143" s="41" t="str">
        <f>IFERROR(IF(AND(BoM_Griptel[[#This Row],[Quantity]]&lt;&gt;"",BoM_Griptel[[#This Row],[Currency]]="NOK"),BoM_Griptel[[#This Row],[Quantity]]*BoM_Griptel[[#This Row],[Unit Price]],""),"")</f>
        <v/>
      </c>
      <c r="Q143" s="41" t="str">
        <f>IFERROR(IF(AND(BoM_Griptel[[#This Row],[ACT_Qty]]&lt;&gt;"",BoM_Griptel[[#This Row],[Currency]]="NOK"),BoM_Griptel[[#This Row],[ACT_Qty]]*BoM_Griptel[[#This Row],[Unit Price]],""),"")</f>
        <v/>
      </c>
      <c r="R143" s="41" t="str">
        <f>IFERROR(IF(AND(BoM_Griptel[[#This Row],[Quantity]]&lt;&gt;"",BoM_Griptel[[#This Row],[Currency]]="EUR"),BoM_Griptel[[#This Row],[Quantity]]*BoM_Griptel[[#This Row],[Unit Price]],""),"")</f>
        <v/>
      </c>
      <c r="S143" s="41" t="str">
        <f>IFERROR(IF(AND(BoM_Griptel[[#This Row],[ACT_Qty]]&lt;&gt;"",BoM_Griptel[[#This Row],[Currency]]="EUR"),BoM_Griptel[[#This Row],[ACT_Qty]]*BoM_Griptel[[#This Row],[Unit Price]],""),"")</f>
        <v/>
      </c>
      <c r="T143" s="185" t="s">
        <v>1802</v>
      </c>
      <c r="U143" s="45"/>
      <c r="V143" s="45"/>
      <c r="W143" s="143"/>
    </row>
    <row r="144" spans="1:23" ht="15" customHeight="1">
      <c r="A144" s="146" t="str">
        <f t="shared" si="4"/>
        <v>AKH12345</v>
      </c>
      <c r="B144" s="147" t="s">
        <v>2079</v>
      </c>
      <c r="C144" s="146" t="s">
        <v>2080</v>
      </c>
      <c r="D144" s="68"/>
      <c r="E144" s="89"/>
      <c r="F144" s="68"/>
      <c r="G144" s="89"/>
      <c r="H144" s="177"/>
      <c r="I144" s="178" t="s">
        <v>847</v>
      </c>
      <c r="J144" s="178" t="s">
        <v>2074</v>
      </c>
      <c r="K144" s="178" t="s">
        <v>1235</v>
      </c>
      <c r="L144" s="148" t="s">
        <v>1806</v>
      </c>
      <c r="M144" s="46" t="str">
        <f t="shared" si="3"/>
        <v>OneCo Networks AS</v>
      </c>
      <c r="N144" s="42" t="str">
        <f ca="1">IFERROR(
VLOOKUP(BoM_Griptel[[#This Row],[Product code]],
IF(AND((BoQ!$N$3&lt;&gt;""),OR(BoM_Griptel[[#This Row],[Vendor]]="Griptel",BoM_Griptel[[#This Row],[Vendor]]="Solar")),INDIRECT(Aux!$A$1)),4,FALSE),"")</f>
        <v/>
      </c>
      <c r="O144" s="170" t="s">
        <v>1807</v>
      </c>
      <c r="P144" s="43" t="str">
        <f>IFERROR(IF(AND(BoM_Griptel[[#This Row],[Quantity]]&lt;&gt;"",BoM_Griptel[[#This Row],[Currency]]="NOK"),BoM_Griptel[[#This Row],[Quantity]]*BoM_Griptel[[#This Row],[Unit Price]],""),"")</f>
        <v/>
      </c>
      <c r="Q144" s="43" t="str">
        <f>IFERROR(IF(AND(BoM_Griptel[[#This Row],[ACT_Qty]]&lt;&gt;"",BoM_Griptel[[#This Row],[Currency]]="NOK"),BoM_Griptel[[#This Row],[ACT_Qty]]*BoM_Griptel[[#This Row],[Unit Price]],""),"")</f>
        <v/>
      </c>
      <c r="R144" s="43" t="str">
        <f>IFERROR(IF(AND(BoM_Griptel[[#This Row],[Quantity]]&lt;&gt;"",BoM_Griptel[[#This Row],[Currency]]="EUR"),BoM_Griptel[[#This Row],[Quantity]]*BoM_Griptel[[#This Row],[Unit Price]],""),"")</f>
        <v/>
      </c>
      <c r="S144" s="43" t="str">
        <f>IFERROR(IF(AND(BoM_Griptel[[#This Row],[ACT_Qty]]&lt;&gt;"",BoM_Griptel[[#This Row],[Currency]]="EUR"),BoM_Griptel[[#This Row],[ACT_Qty]]*BoM_Griptel[[#This Row],[Unit Price]],""),"")</f>
        <v/>
      </c>
      <c r="T144" s="186" t="s">
        <v>1802</v>
      </c>
      <c r="U144" s="46"/>
      <c r="V144" s="46"/>
      <c r="W144" s="146"/>
    </row>
    <row r="145" spans="1:23" ht="15" customHeight="1">
      <c r="A145" s="143" t="str">
        <f t="shared" si="4"/>
        <v>AKH12345</v>
      </c>
      <c r="B145" s="144" t="s">
        <v>2081</v>
      </c>
      <c r="C145" s="143" t="s">
        <v>2082</v>
      </c>
      <c r="D145" s="105"/>
      <c r="E145" s="106"/>
      <c r="F145" s="105"/>
      <c r="G145" s="106"/>
      <c r="H145" s="175"/>
      <c r="I145" s="176" t="s">
        <v>847</v>
      </c>
      <c r="J145" s="176" t="s">
        <v>1805</v>
      </c>
      <c r="K145" s="176" t="s">
        <v>1235</v>
      </c>
      <c r="L145" s="145" t="s">
        <v>1806</v>
      </c>
      <c r="M145" s="45" t="str">
        <f t="shared" ref="M145:M208" si="5">IF($C$3&lt;&gt;"",$C$3,"")</f>
        <v>OneCo Networks AS</v>
      </c>
      <c r="N145" s="40" t="str">
        <f ca="1">IFERROR(
VLOOKUP(BoM_Griptel[[#This Row],[Product code]],
IF(AND((BoQ!$N$3&lt;&gt;""),OR(BoM_Griptel[[#This Row],[Vendor]]="Griptel",BoM_Griptel[[#This Row],[Vendor]]="Solar")),INDIRECT(Aux!$A$1)),4,FALSE),"")</f>
        <v/>
      </c>
      <c r="O145" s="169" t="s">
        <v>1807</v>
      </c>
      <c r="P145" s="41" t="str">
        <f>IFERROR(IF(AND(BoM_Griptel[[#This Row],[Quantity]]&lt;&gt;"",BoM_Griptel[[#This Row],[Currency]]="NOK"),BoM_Griptel[[#This Row],[Quantity]]*BoM_Griptel[[#This Row],[Unit Price]],""),"")</f>
        <v/>
      </c>
      <c r="Q145" s="41" t="str">
        <f>IFERROR(IF(AND(BoM_Griptel[[#This Row],[ACT_Qty]]&lt;&gt;"",BoM_Griptel[[#This Row],[Currency]]="NOK"),BoM_Griptel[[#This Row],[ACT_Qty]]*BoM_Griptel[[#This Row],[Unit Price]],""),"")</f>
        <v/>
      </c>
      <c r="R145" s="41" t="str">
        <f>IFERROR(IF(AND(BoM_Griptel[[#This Row],[Quantity]]&lt;&gt;"",BoM_Griptel[[#This Row],[Currency]]="EUR"),BoM_Griptel[[#This Row],[Quantity]]*BoM_Griptel[[#This Row],[Unit Price]],""),"")</f>
        <v/>
      </c>
      <c r="S145" s="41" t="str">
        <f>IFERROR(IF(AND(BoM_Griptel[[#This Row],[ACT_Qty]]&lt;&gt;"",BoM_Griptel[[#This Row],[Currency]]="EUR"),BoM_Griptel[[#This Row],[ACT_Qty]]*BoM_Griptel[[#This Row],[Unit Price]],""),"")</f>
        <v/>
      </c>
      <c r="T145" s="185" t="s">
        <v>1802</v>
      </c>
      <c r="U145" s="45"/>
      <c r="V145" s="45"/>
      <c r="W145" s="143"/>
    </row>
    <row r="146" spans="1:23" ht="15" customHeight="1">
      <c r="A146" s="146" t="str">
        <f t="shared" si="4"/>
        <v>AKH12345</v>
      </c>
      <c r="B146" s="147" t="s">
        <v>2083</v>
      </c>
      <c r="C146" s="146" t="s">
        <v>2084</v>
      </c>
      <c r="D146" s="68"/>
      <c r="E146" s="89"/>
      <c r="F146" s="68"/>
      <c r="G146" s="89"/>
      <c r="H146" s="177"/>
      <c r="I146" s="178" t="s">
        <v>847</v>
      </c>
      <c r="J146" s="178" t="s">
        <v>1805</v>
      </c>
      <c r="K146" s="178" t="s">
        <v>1235</v>
      </c>
      <c r="L146" s="148" t="s">
        <v>1806</v>
      </c>
      <c r="M146" s="46" t="str">
        <f t="shared" si="5"/>
        <v>OneCo Networks AS</v>
      </c>
      <c r="N146" s="42" t="str">
        <f ca="1">IFERROR(
VLOOKUP(BoM_Griptel[[#This Row],[Product code]],
IF(AND((BoQ!$N$3&lt;&gt;""),OR(BoM_Griptel[[#This Row],[Vendor]]="Griptel",BoM_Griptel[[#This Row],[Vendor]]="Solar")),INDIRECT(Aux!$A$1)),4,FALSE),"")</f>
        <v/>
      </c>
      <c r="O146" s="170" t="s">
        <v>1807</v>
      </c>
      <c r="P146" s="43" t="str">
        <f>IFERROR(IF(AND(BoM_Griptel[[#This Row],[Quantity]]&lt;&gt;"",BoM_Griptel[[#This Row],[Currency]]="NOK"),BoM_Griptel[[#This Row],[Quantity]]*BoM_Griptel[[#This Row],[Unit Price]],""),"")</f>
        <v/>
      </c>
      <c r="Q146" s="43" t="str">
        <f>IFERROR(IF(AND(BoM_Griptel[[#This Row],[ACT_Qty]]&lt;&gt;"",BoM_Griptel[[#This Row],[Currency]]="NOK"),BoM_Griptel[[#This Row],[ACT_Qty]]*BoM_Griptel[[#This Row],[Unit Price]],""),"")</f>
        <v/>
      </c>
      <c r="R146" s="43" t="str">
        <f>IFERROR(IF(AND(BoM_Griptel[[#This Row],[Quantity]]&lt;&gt;"",BoM_Griptel[[#This Row],[Currency]]="EUR"),BoM_Griptel[[#This Row],[Quantity]]*BoM_Griptel[[#This Row],[Unit Price]],""),"")</f>
        <v/>
      </c>
      <c r="S146" s="43" t="str">
        <f>IFERROR(IF(AND(BoM_Griptel[[#This Row],[ACT_Qty]]&lt;&gt;"",BoM_Griptel[[#This Row],[Currency]]="EUR"),BoM_Griptel[[#This Row],[ACT_Qty]]*BoM_Griptel[[#This Row],[Unit Price]],""),"")</f>
        <v/>
      </c>
      <c r="T146" s="186" t="s">
        <v>1802</v>
      </c>
      <c r="U146" s="46"/>
      <c r="V146" s="46"/>
      <c r="W146" s="146"/>
    </row>
    <row r="147" spans="1:23" ht="15" customHeight="1">
      <c r="A147" s="143" t="str">
        <f t="shared" si="4"/>
        <v>AKH12345</v>
      </c>
      <c r="B147" s="144" t="s">
        <v>2085</v>
      </c>
      <c r="C147" s="143" t="s">
        <v>2086</v>
      </c>
      <c r="D147" s="105"/>
      <c r="E147" s="106"/>
      <c r="F147" s="105"/>
      <c r="G147" s="106"/>
      <c r="H147" s="175"/>
      <c r="I147" s="176" t="s">
        <v>847</v>
      </c>
      <c r="J147" s="176" t="s">
        <v>2074</v>
      </c>
      <c r="K147" s="176" t="s">
        <v>1235</v>
      </c>
      <c r="L147" s="145" t="s">
        <v>1806</v>
      </c>
      <c r="M147" s="45" t="str">
        <f t="shared" si="5"/>
        <v>OneCo Networks AS</v>
      </c>
      <c r="N147" s="40" t="str">
        <f ca="1">IFERROR(
VLOOKUP(BoM_Griptel[[#This Row],[Product code]],
IF(AND((BoQ!$N$3&lt;&gt;""),OR(BoM_Griptel[[#This Row],[Vendor]]="Griptel",BoM_Griptel[[#This Row],[Vendor]]="Solar")),INDIRECT(Aux!$A$1)),4,FALSE),"")</f>
        <v/>
      </c>
      <c r="O147" s="169" t="s">
        <v>1807</v>
      </c>
      <c r="P147" s="41" t="str">
        <f>IFERROR(IF(AND(BoM_Griptel[[#This Row],[Quantity]]&lt;&gt;"",BoM_Griptel[[#This Row],[Currency]]="NOK"),BoM_Griptel[[#This Row],[Quantity]]*BoM_Griptel[[#This Row],[Unit Price]],""),"")</f>
        <v/>
      </c>
      <c r="Q147" s="41" t="str">
        <f>IFERROR(IF(AND(BoM_Griptel[[#This Row],[ACT_Qty]]&lt;&gt;"",BoM_Griptel[[#This Row],[Currency]]="NOK"),BoM_Griptel[[#This Row],[ACT_Qty]]*BoM_Griptel[[#This Row],[Unit Price]],""),"")</f>
        <v/>
      </c>
      <c r="R147" s="41" t="str">
        <f>IFERROR(IF(AND(BoM_Griptel[[#This Row],[Quantity]]&lt;&gt;"",BoM_Griptel[[#This Row],[Currency]]="EUR"),BoM_Griptel[[#This Row],[Quantity]]*BoM_Griptel[[#This Row],[Unit Price]],""),"")</f>
        <v/>
      </c>
      <c r="S147" s="41" t="str">
        <f>IFERROR(IF(AND(BoM_Griptel[[#This Row],[ACT_Qty]]&lt;&gt;"",BoM_Griptel[[#This Row],[Currency]]="EUR"),BoM_Griptel[[#This Row],[ACT_Qty]]*BoM_Griptel[[#This Row],[Unit Price]],""),"")</f>
        <v/>
      </c>
      <c r="T147" s="185" t="s">
        <v>1802</v>
      </c>
      <c r="U147" s="45"/>
      <c r="V147" s="45"/>
      <c r="W147" s="143"/>
    </row>
    <row r="148" spans="1:23" ht="15" customHeight="1">
      <c r="A148" s="146" t="str">
        <f t="shared" si="4"/>
        <v>AKH12345</v>
      </c>
      <c r="B148" s="147" t="s">
        <v>2087</v>
      </c>
      <c r="C148" s="146" t="s">
        <v>2088</v>
      </c>
      <c r="D148" s="68"/>
      <c r="E148" s="89"/>
      <c r="F148" s="68"/>
      <c r="G148" s="89"/>
      <c r="H148" s="177"/>
      <c r="I148" s="178" t="s">
        <v>847</v>
      </c>
      <c r="J148" s="178" t="s">
        <v>1805</v>
      </c>
      <c r="K148" s="178" t="s">
        <v>1235</v>
      </c>
      <c r="L148" s="148" t="s">
        <v>1806</v>
      </c>
      <c r="M148" s="46" t="str">
        <f t="shared" si="5"/>
        <v>OneCo Networks AS</v>
      </c>
      <c r="N148" s="42" t="str">
        <f ca="1">IFERROR(
VLOOKUP(BoM_Griptel[[#This Row],[Product code]],
IF(AND((BoQ!$N$3&lt;&gt;""),OR(BoM_Griptel[[#This Row],[Vendor]]="Griptel",BoM_Griptel[[#This Row],[Vendor]]="Solar")),INDIRECT(Aux!$A$1)),4,FALSE),"")</f>
        <v/>
      </c>
      <c r="O148" s="170" t="s">
        <v>1807</v>
      </c>
      <c r="P148" s="43" t="str">
        <f>IFERROR(IF(AND(BoM_Griptel[[#This Row],[Quantity]]&lt;&gt;"",BoM_Griptel[[#This Row],[Currency]]="NOK"),BoM_Griptel[[#This Row],[Quantity]]*BoM_Griptel[[#This Row],[Unit Price]],""),"")</f>
        <v/>
      </c>
      <c r="Q148" s="43" t="str">
        <f>IFERROR(IF(AND(BoM_Griptel[[#This Row],[ACT_Qty]]&lt;&gt;"",BoM_Griptel[[#This Row],[Currency]]="NOK"),BoM_Griptel[[#This Row],[ACT_Qty]]*BoM_Griptel[[#This Row],[Unit Price]],""),"")</f>
        <v/>
      </c>
      <c r="R148" s="43" t="str">
        <f>IFERROR(IF(AND(BoM_Griptel[[#This Row],[Quantity]]&lt;&gt;"",BoM_Griptel[[#This Row],[Currency]]="EUR"),BoM_Griptel[[#This Row],[Quantity]]*BoM_Griptel[[#This Row],[Unit Price]],""),"")</f>
        <v/>
      </c>
      <c r="S148" s="43" t="str">
        <f>IFERROR(IF(AND(BoM_Griptel[[#This Row],[ACT_Qty]]&lt;&gt;"",BoM_Griptel[[#This Row],[Currency]]="EUR"),BoM_Griptel[[#This Row],[ACT_Qty]]*BoM_Griptel[[#This Row],[Unit Price]],""),"")</f>
        <v/>
      </c>
      <c r="T148" s="186" t="s">
        <v>1802</v>
      </c>
      <c r="U148" s="46"/>
      <c r="V148" s="46"/>
      <c r="W148" s="146"/>
    </row>
    <row r="149" spans="1:23" ht="15" customHeight="1">
      <c r="A149" s="143" t="str">
        <f t="shared" si="4"/>
        <v>AKH12345</v>
      </c>
      <c r="B149" s="144" t="s">
        <v>2089</v>
      </c>
      <c r="C149" s="143" t="s">
        <v>2090</v>
      </c>
      <c r="D149" s="105"/>
      <c r="E149" s="106"/>
      <c r="F149" s="105"/>
      <c r="G149" s="106"/>
      <c r="H149" s="175"/>
      <c r="I149" s="176" t="s">
        <v>847</v>
      </c>
      <c r="J149" s="176" t="s">
        <v>1921</v>
      </c>
      <c r="K149" s="176" t="s">
        <v>1235</v>
      </c>
      <c r="L149" s="145" t="s">
        <v>1806</v>
      </c>
      <c r="M149" s="45" t="str">
        <f t="shared" si="5"/>
        <v>OneCo Networks AS</v>
      </c>
      <c r="N149" s="40" t="str">
        <f ca="1">IFERROR(
VLOOKUP(BoM_Griptel[[#This Row],[Product code]],
IF(AND((BoQ!$N$3&lt;&gt;""),OR(BoM_Griptel[[#This Row],[Vendor]]="Griptel",BoM_Griptel[[#This Row],[Vendor]]="Solar")),INDIRECT(Aux!$A$1)),4,FALSE),"")</f>
        <v/>
      </c>
      <c r="O149" s="169" t="s">
        <v>1807</v>
      </c>
      <c r="P149" s="41" t="str">
        <f>IFERROR(IF(AND(BoM_Griptel[[#This Row],[Quantity]]&lt;&gt;"",BoM_Griptel[[#This Row],[Currency]]="NOK"),BoM_Griptel[[#This Row],[Quantity]]*BoM_Griptel[[#This Row],[Unit Price]],""),"")</f>
        <v/>
      </c>
      <c r="Q149" s="41" t="str">
        <f>IFERROR(IF(AND(BoM_Griptel[[#This Row],[ACT_Qty]]&lt;&gt;"",BoM_Griptel[[#This Row],[Currency]]="NOK"),BoM_Griptel[[#This Row],[ACT_Qty]]*BoM_Griptel[[#This Row],[Unit Price]],""),"")</f>
        <v/>
      </c>
      <c r="R149" s="41" t="str">
        <f>IFERROR(IF(AND(BoM_Griptel[[#This Row],[Quantity]]&lt;&gt;"",BoM_Griptel[[#This Row],[Currency]]="EUR"),BoM_Griptel[[#This Row],[Quantity]]*BoM_Griptel[[#This Row],[Unit Price]],""),"")</f>
        <v/>
      </c>
      <c r="S149" s="41" t="str">
        <f>IFERROR(IF(AND(BoM_Griptel[[#This Row],[ACT_Qty]]&lt;&gt;"",BoM_Griptel[[#This Row],[Currency]]="EUR"),BoM_Griptel[[#This Row],[ACT_Qty]]*BoM_Griptel[[#This Row],[Unit Price]],""),"")</f>
        <v/>
      </c>
      <c r="T149" s="185" t="s">
        <v>1802</v>
      </c>
      <c r="U149" s="45"/>
      <c r="V149" s="45"/>
      <c r="W149" s="143"/>
    </row>
    <row r="150" spans="1:23" ht="15" customHeight="1">
      <c r="A150" s="146" t="str">
        <f t="shared" si="4"/>
        <v>AKH12345</v>
      </c>
      <c r="B150" s="147" t="s">
        <v>2091</v>
      </c>
      <c r="C150" s="146" t="s">
        <v>2092</v>
      </c>
      <c r="D150" s="68"/>
      <c r="E150" s="89"/>
      <c r="F150" s="68"/>
      <c r="G150" s="89"/>
      <c r="H150" s="177"/>
      <c r="I150" s="178" t="s">
        <v>847</v>
      </c>
      <c r="J150" s="178" t="s">
        <v>1805</v>
      </c>
      <c r="K150" s="178" t="s">
        <v>1235</v>
      </c>
      <c r="L150" s="148" t="s">
        <v>1806</v>
      </c>
      <c r="M150" s="46" t="str">
        <f t="shared" si="5"/>
        <v>OneCo Networks AS</v>
      </c>
      <c r="N150" s="42" t="str">
        <f ca="1">IFERROR(
VLOOKUP(BoM_Griptel[[#This Row],[Product code]],
IF(AND((BoQ!$N$3&lt;&gt;""),OR(BoM_Griptel[[#This Row],[Vendor]]="Griptel",BoM_Griptel[[#This Row],[Vendor]]="Solar")),INDIRECT(Aux!$A$1)),4,FALSE),"")</f>
        <v/>
      </c>
      <c r="O150" s="170" t="s">
        <v>1807</v>
      </c>
      <c r="P150" s="43" t="str">
        <f>IFERROR(IF(AND(BoM_Griptel[[#This Row],[Quantity]]&lt;&gt;"",BoM_Griptel[[#This Row],[Currency]]="NOK"),BoM_Griptel[[#This Row],[Quantity]]*BoM_Griptel[[#This Row],[Unit Price]],""),"")</f>
        <v/>
      </c>
      <c r="Q150" s="43" t="str">
        <f>IFERROR(IF(AND(BoM_Griptel[[#This Row],[ACT_Qty]]&lt;&gt;"",BoM_Griptel[[#This Row],[Currency]]="NOK"),BoM_Griptel[[#This Row],[ACT_Qty]]*BoM_Griptel[[#This Row],[Unit Price]],""),"")</f>
        <v/>
      </c>
      <c r="R150" s="43" t="str">
        <f>IFERROR(IF(AND(BoM_Griptel[[#This Row],[Quantity]]&lt;&gt;"",BoM_Griptel[[#This Row],[Currency]]="EUR"),BoM_Griptel[[#This Row],[Quantity]]*BoM_Griptel[[#This Row],[Unit Price]],""),"")</f>
        <v/>
      </c>
      <c r="S150" s="43" t="str">
        <f>IFERROR(IF(AND(BoM_Griptel[[#This Row],[ACT_Qty]]&lt;&gt;"",BoM_Griptel[[#This Row],[Currency]]="EUR"),BoM_Griptel[[#This Row],[ACT_Qty]]*BoM_Griptel[[#This Row],[Unit Price]],""),"")</f>
        <v/>
      </c>
      <c r="T150" s="186" t="s">
        <v>1802</v>
      </c>
      <c r="U150" s="46"/>
      <c r="V150" s="46"/>
      <c r="W150" s="146"/>
    </row>
    <row r="151" spans="1:23" ht="15" customHeight="1">
      <c r="A151" s="143" t="str">
        <f t="shared" si="4"/>
        <v>AKH12345</v>
      </c>
      <c r="B151" s="144" t="s">
        <v>2093</v>
      </c>
      <c r="C151" s="143" t="s">
        <v>2094</v>
      </c>
      <c r="D151" s="105"/>
      <c r="E151" s="106"/>
      <c r="F151" s="105"/>
      <c r="G151" s="106"/>
      <c r="H151" s="175"/>
      <c r="I151" s="176" t="s">
        <v>847</v>
      </c>
      <c r="J151" s="176" t="s">
        <v>1805</v>
      </c>
      <c r="K151" s="176" t="s">
        <v>1235</v>
      </c>
      <c r="L151" s="145" t="s">
        <v>1806</v>
      </c>
      <c r="M151" s="45" t="str">
        <f t="shared" si="5"/>
        <v>OneCo Networks AS</v>
      </c>
      <c r="N151" s="40" t="str">
        <f ca="1">IFERROR(
VLOOKUP(BoM_Griptel[[#This Row],[Product code]],
IF(AND((BoQ!$N$3&lt;&gt;""),OR(BoM_Griptel[[#This Row],[Vendor]]="Griptel",BoM_Griptel[[#This Row],[Vendor]]="Solar")),INDIRECT(Aux!$A$1)),4,FALSE),"")</f>
        <v/>
      </c>
      <c r="O151" s="169" t="s">
        <v>1807</v>
      </c>
      <c r="P151" s="41" t="str">
        <f>IFERROR(IF(AND(BoM_Griptel[[#This Row],[Quantity]]&lt;&gt;"",BoM_Griptel[[#This Row],[Currency]]="NOK"),BoM_Griptel[[#This Row],[Quantity]]*BoM_Griptel[[#This Row],[Unit Price]],""),"")</f>
        <v/>
      </c>
      <c r="Q151" s="41" t="str">
        <f>IFERROR(IF(AND(BoM_Griptel[[#This Row],[ACT_Qty]]&lt;&gt;"",BoM_Griptel[[#This Row],[Currency]]="NOK"),BoM_Griptel[[#This Row],[ACT_Qty]]*BoM_Griptel[[#This Row],[Unit Price]],""),"")</f>
        <v/>
      </c>
      <c r="R151" s="41" t="str">
        <f>IFERROR(IF(AND(BoM_Griptel[[#This Row],[Quantity]]&lt;&gt;"",BoM_Griptel[[#This Row],[Currency]]="EUR"),BoM_Griptel[[#This Row],[Quantity]]*BoM_Griptel[[#This Row],[Unit Price]],""),"")</f>
        <v/>
      </c>
      <c r="S151" s="41" t="str">
        <f>IFERROR(IF(AND(BoM_Griptel[[#This Row],[ACT_Qty]]&lt;&gt;"",BoM_Griptel[[#This Row],[Currency]]="EUR"),BoM_Griptel[[#This Row],[ACT_Qty]]*BoM_Griptel[[#This Row],[Unit Price]],""),"")</f>
        <v/>
      </c>
      <c r="T151" s="185" t="s">
        <v>1802</v>
      </c>
      <c r="U151" s="45"/>
      <c r="V151" s="45"/>
      <c r="W151" s="143"/>
    </row>
    <row r="152" spans="1:23" ht="15" customHeight="1">
      <c r="A152" s="146" t="str">
        <f t="shared" si="4"/>
        <v>AKH12345</v>
      </c>
      <c r="B152" s="147" t="s">
        <v>2095</v>
      </c>
      <c r="C152" s="146" t="s">
        <v>2096</v>
      </c>
      <c r="D152" s="68"/>
      <c r="E152" s="89"/>
      <c r="F152" s="68"/>
      <c r="G152" s="89"/>
      <c r="H152" s="177"/>
      <c r="I152" s="178" t="s">
        <v>847</v>
      </c>
      <c r="J152" s="178" t="s">
        <v>1805</v>
      </c>
      <c r="K152" s="178" t="s">
        <v>1235</v>
      </c>
      <c r="L152" s="148" t="s">
        <v>1806</v>
      </c>
      <c r="M152" s="46" t="str">
        <f t="shared" si="5"/>
        <v>OneCo Networks AS</v>
      </c>
      <c r="N152" s="42" t="str">
        <f ca="1">IFERROR(
VLOOKUP(BoM_Griptel[[#This Row],[Product code]],
IF(AND((BoQ!$N$3&lt;&gt;""),OR(BoM_Griptel[[#This Row],[Vendor]]="Griptel",BoM_Griptel[[#This Row],[Vendor]]="Solar")),INDIRECT(Aux!$A$1)),4,FALSE),"")</f>
        <v/>
      </c>
      <c r="O152" s="170" t="s">
        <v>1807</v>
      </c>
      <c r="P152" s="43" t="str">
        <f>IFERROR(IF(AND(BoM_Griptel[[#This Row],[Quantity]]&lt;&gt;"",BoM_Griptel[[#This Row],[Currency]]="NOK"),BoM_Griptel[[#This Row],[Quantity]]*BoM_Griptel[[#This Row],[Unit Price]],""),"")</f>
        <v/>
      </c>
      <c r="Q152" s="43" t="str">
        <f>IFERROR(IF(AND(BoM_Griptel[[#This Row],[ACT_Qty]]&lt;&gt;"",BoM_Griptel[[#This Row],[Currency]]="NOK"),BoM_Griptel[[#This Row],[ACT_Qty]]*BoM_Griptel[[#This Row],[Unit Price]],""),"")</f>
        <v/>
      </c>
      <c r="R152" s="43" t="str">
        <f>IFERROR(IF(AND(BoM_Griptel[[#This Row],[Quantity]]&lt;&gt;"",BoM_Griptel[[#This Row],[Currency]]="EUR"),BoM_Griptel[[#This Row],[Quantity]]*BoM_Griptel[[#This Row],[Unit Price]],""),"")</f>
        <v/>
      </c>
      <c r="S152" s="43" t="str">
        <f>IFERROR(IF(AND(BoM_Griptel[[#This Row],[ACT_Qty]]&lt;&gt;"",BoM_Griptel[[#This Row],[Currency]]="EUR"),BoM_Griptel[[#This Row],[ACT_Qty]]*BoM_Griptel[[#This Row],[Unit Price]],""),"")</f>
        <v/>
      </c>
      <c r="T152" s="186" t="s">
        <v>1802</v>
      </c>
      <c r="U152" s="46"/>
      <c r="V152" s="46"/>
      <c r="W152" s="146"/>
    </row>
    <row r="153" spans="1:23" ht="15" customHeight="1">
      <c r="A153" s="143" t="str">
        <f t="shared" si="4"/>
        <v>AKH12345</v>
      </c>
      <c r="B153" s="144" t="s">
        <v>2097</v>
      </c>
      <c r="C153" s="143" t="s">
        <v>2098</v>
      </c>
      <c r="D153" s="105"/>
      <c r="E153" s="106"/>
      <c r="F153" s="105"/>
      <c r="G153" s="106"/>
      <c r="H153" s="175"/>
      <c r="I153" s="176" t="s">
        <v>847</v>
      </c>
      <c r="J153" s="176" t="s">
        <v>1805</v>
      </c>
      <c r="K153" s="176" t="s">
        <v>1235</v>
      </c>
      <c r="L153" s="145" t="s">
        <v>1806</v>
      </c>
      <c r="M153" s="45" t="str">
        <f t="shared" si="5"/>
        <v>OneCo Networks AS</v>
      </c>
      <c r="N153" s="40" t="str">
        <f ca="1">IFERROR(
VLOOKUP(BoM_Griptel[[#This Row],[Product code]],
IF(AND((BoQ!$N$3&lt;&gt;""),OR(BoM_Griptel[[#This Row],[Vendor]]="Griptel",BoM_Griptel[[#This Row],[Vendor]]="Solar")),INDIRECT(Aux!$A$1)),4,FALSE),"")</f>
        <v/>
      </c>
      <c r="O153" s="169" t="s">
        <v>1807</v>
      </c>
      <c r="P153" s="41" t="str">
        <f>IFERROR(IF(AND(BoM_Griptel[[#This Row],[Quantity]]&lt;&gt;"",BoM_Griptel[[#This Row],[Currency]]="NOK"),BoM_Griptel[[#This Row],[Quantity]]*BoM_Griptel[[#This Row],[Unit Price]],""),"")</f>
        <v/>
      </c>
      <c r="Q153" s="41" t="str">
        <f>IFERROR(IF(AND(BoM_Griptel[[#This Row],[ACT_Qty]]&lt;&gt;"",BoM_Griptel[[#This Row],[Currency]]="NOK"),BoM_Griptel[[#This Row],[ACT_Qty]]*BoM_Griptel[[#This Row],[Unit Price]],""),"")</f>
        <v/>
      </c>
      <c r="R153" s="41" t="str">
        <f>IFERROR(IF(AND(BoM_Griptel[[#This Row],[Quantity]]&lt;&gt;"",BoM_Griptel[[#This Row],[Currency]]="EUR"),BoM_Griptel[[#This Row],[Quantity]]*BoM_Griptel[[#This Row],[Unit Price]],""),"")</f>
        <v/>
      </c>
      <c r="S153" s="41" t="str">
        <f>IFERROR(IF(AND(BoM_Griptel[[#This Row],[ACT_Qty]]&lt;&gt;"",BoM_Griptel[[#This Row],[Currency]]="EUR"),BoM_Griptel[[#This Row],[ACT_Qty]]*BoM_Griptel[[#This Row],[Unit Price]],""),"")</f>
        <v/>
      </c>
      <c r="T153" s="185" t="s">
        <v>1802</v>
      </c>
      <c r="U153" s="45"/>
      <c r="V153" s="45"/>
      <c r="W153" s="143"/>
    </row>
    <row r="154" spans="1:23" ht="15" customHeight="1">
      <c r="A154" s="146" t="str">
        <f t="shared" si="4"/>
        <v>AKH12345</v>
      </c>
      <c r="B154" s="147" t="s">
        <v>2099</v>
      </c>
      <c r="C154" s="146" t="s">
        <v>2100</v>
      </c>
      <c r="D154" s="68"/>
      <c r="E154" s="89"/>
      <c r="F154" s="68"/>
      <c r="G154" s="89"/>
      <c r="H154" s="177"/>
      <c r="I154" s="178" t="s">
        <v>847</v>
      </c>
      <c r="J154" s="178" t="s">
        <v>1805</v>
      </c>
      <c r="K154" s="178" t="s">
        <v>1235</v>
      </c>
      <c r="L154" s="148" t="s">
        <v>1806</v>
      </c>
      <c r="M154" s="46" t="str">
        <f t="shared" si="5"/>
        <v>OneCo Networks AS</v>
      </c>
      <c r="N154" s="42" t="str">
        <f ca="1">IFERROR(
VLOOKUP(BoM_Griptel[[#This Row],[Product code]],
IF(AND((BoQ!$N$3&lt;&gt;""),OR(BoM_Griptel[[#This Row],[Vendor]]="Griptel",BoM_Griptel[[#This Row],[Vendor]]="Solar")),INDIRECT(Aux!$A$1)),4,FALSE),"")</f>
        <v/>
      </c>
      <c r="O154" s="170" t="s">
        <v>1807</v>
      </c>
      <c r="P154" s="43" t="str">
        <f>IFERROR(IF(AND(BoM_Griptel[[#This Row],[Quantity]]&lt;&gt;"",BoM_Griptel[[#This Row],[Currency]]="NOK"),BoM_Griptel[[#This Row],[Quantity]]*BoM_Griptel[[#This Row],[Unit Price]],""),"")</f>
        <v/>
      </c>
      <c r="Q154" s="43" t="str">
        <f>IFERROR(IF(AND(BoM_Griptel[[#This Row],[ACT_Qty]]&lt;&gt;"",BoM_Griptel[[#This Row],[Currency]]="NOK"),BoM_Griptel[[#This Row],[ACT_Qty]]*BoM_Griptel[[#This Row],[Unit Price]],""),"")</f>
        <v/>
      </c>
      <c r="R154" s="43" t="str">
        <f>IFERROR(IF(AND(BoM_Griptel[[#This Row],[Quantity]]&lt;&gt;"",BoM_Griptel[[#This Row],[Currency]]="EUR"),BoM_Griptel[[#This Row],[Quantity]]*BoM_Griptel[[#This Row],[Unit Price]],""),"")</f>
        <v/>
      </c>
      <c r="S154" s="43" t="str">
        <f>IFERROR(IF(AND(BoM_Griptel[[#This Row],[ACT_Qty]]&lt;&gt;"",BoM_Griptel[[#This Row],[Currency]]="EUR"),BoM_Griptel[[#This Row],[ACT_Qty]]*BoM_Griptel[[#This Row],[Unit Price]],""),"")</f>
        <v/>
      </c>
      <c r="T154" s="186" t="s">
        <v>1802</v>
      </c>
      <c r="U154" s="46"/>
      <c r="V154" s="46"/>
      <c r="W154" s="146"/>
    </row>
    <row r="155" spans="1:23" ht="15" customHeight="1">
      <c r="A155" s="143" t="str">
        <f t="shared" si="4"/>
        <v>AKH12345</v>
      </c>
      <c r="B155" s="144" t="s">
        <v>2101</v>
      </c>
      <c r="C155" s="143" t="s">
        <v>2102</v>
      </c>
      <c r="D155" s="105"/>
      <c r="E155" s="106"/>
      <c r="F155" s="105"/>
      <c r="G155" s="106"/>
      <c r="H155" s="175"/>
      <c r="I155" s="176" t="s">
        <v>847</v>
      </c>
      <c r="J155" s="176" t="s">
        <v>2103</v>
      </c>
      <c r="K155" s="176" t="s">
        <v>1235</v>
      </c>
      <c r="L155" s="145" t="s">
        <v>1806</v>
      </c>
      <c r="M155" s="45" t="str">
        <f t="shared" si="5"/>
        <v>OneCo Networks AS</v>
      </c>
      <c r="N155" s="40" t="str">
        <f ca="1">IFERROR(
VLOOKUP(BoM_Griptel[[#This Row],[Product code]],
IF(AND((BoQ!$N$3&lt;&gt;""),OR(BoM_Griptel[[#This Row],[Vendor]]="Griptel",BoM_Griptel[[#This Row],[Vendor]]="Solar")),INDIRECT(Aux!$A$1)),4,FALSE),"")</f>
        <v/>
      </c>
      <c r="O155" s="169" t="s">
        <v>1807</v>
      </c>
      <c r="P155" s="41" t="str">
        <f>IFERROR(IF(AND(BoM_Griptel[[#This Row],[Quantity]]&lt;&gt;"",BoM_Griptel[[#This Row],[Currency]]="NOK"),BoM_Griptel[[#This Row],[Quantity]]*BoM_Griptel[[#This Row],[Unit Price]],""),"")</f>
        <v/>
      </c>
      <c r="Q155" s="41" t="str">
        <f>IFERROR(IF(AND(BoM_Griptel[[#This Row],[ACT_Qty]]&lt;&gt;"",BoM_Griptel[[#This Row],[Currency]]="NOK"),BoM_Griptel[[#This Row],[ACT_Qty]]*BoM_Griptel[[#This Row],[Unit Price]],""),"")</f>
        <v/>
      </c>
      <c r="R155" s="41" t="str">
        <f>IFERROR(IF(AND(BoM_Griptel[[#This Row],[Quantity]]&lt;&gt;"",BoM_Griptel[[#This Row],[Currency]]="EUR"),BoM_Griptel[[#This Row],[Quantity]]*BoM_Griptel[[#This Row],[Unit Price]],""),"")</f>
        <v/>
      </c>
      <c r="S155" s="41" t="str">
        <f>IFERROR(IF(AND(BoM_Griptel[[#This Row],[ACT_Qty]]&lt;&gt;"",BoM_Griptel[[#This Row],[Currency]]="EUR"),BoM_Griptel[[#This Row],[ACT_Qty]]*BoM_Griptel[[#This Row],[Unit Price]],""),"")</f>
        <v/>
      </c>
      <c r="T155" s="185" t="s">
        <v>1802</v>
      </c>
      <c r="U155" s="45"/>
      <c r="V155" s="45"/>
      <c r="W155" s="143"/>
    </row>
    <row r="156" spans="1:23" ht="15" customHeight="1">
      <c r="A156" s="146" t="str">
        <f t="shared" si="4"/>
        <v>AKH12345</v>
      </c>
      <c r="B156" s="147" t="s">
        <v>2104</v>
      </c>
      <c r="C156" s="146" t="s">
        <v>2105</v>
      </c>
      <c r="D156" s="68"/>
      <c r="E156" s="89"/>
      <c r="F156" s="68"/>
      <c r="G156" s="89"/>
      <c r="H156" s="177"/>
      <c r="I156" s="178" t="s">
        <v>847</v>
      </c>
      <c r="J156" s="178" t="s">
        <v>2103</v>
      </c>
      <c r="K156" s="178" t="s">
        <v>1235</v>
      </c>
      <c r="L156" s="148" t="s">
        <v>1806</v>
      </c>
      <c r="M156" s="46" t="str">
        <f t="shared" si="5"/>
        <v>OneCo Networks AS</v>
      </c>
      <c r="N156" s="42" t="str">
        <f ca="1">IFERROR(
VLOOKUP(BoM_Griptel[[#This Row],[Product code]],
IF(AND((BoQ!$N$3&lt;&gt;""),OR(BoM_Griptel[[#This Row],[Vendor]]="Griptel",BoM_Griptel[[#This Row],[Vendor]]="Solar")),INDIRECT(Aux!$A$1)),4,FALSE),"")</f>
        <v/>
      </c>
      <c r="O156" s="170" t="s">
        <v>1807</v>
      </c>
      <c r="P156" s="43" t="str">
        <f>IFERROR(IF(AND(BoM_Griptel[[#This Row],[Quantity]]&lt;&gt;"",BoM_Griptel[[#This Row],[Currency]]="NOK"),BoM_Griptel[[#This Row],[Quantity]]*BoM_Griptel[[#This Row],[Unit Price]],""),"")</f>
        <v/>
      </c>
      <c r="Q156" s="43" t="str">
        <f>IFERROR(IF(AND(BoM_Griptel[[#This Row],[ACT_Qty]]&lt;&gt;"",BoM_Griptel[[#This Row],[Currency]]="NOK"),BoM_Griptel[[#This Row],[ACT_Qty]]*BoM_Griptel[[#This Row],[Unit Price]],""),"")</f>
        <v/>
      </c>
      <c r="R156" s="43" t="str">
        <f>IFERROR(IF(AND(BoM_Griptel[[#This Row],[Quantity]]&lt;&gt;"",BoM_Griptel[[#This Row],[Currency]]="EUR"),BoM_Griptel[[#This Row],[Quantity]]*BoM_Griptel[[#This Row],[Unit Price]],""),"")</f>
        <v/>
      </c>
      <c r="S156" s="43" t="str">
        <f>IFERROR(IF(AND(BoM_Griptel[[#This Row],[ACT_Qty]]&lt;&gt;"",BoM_Griptel[[#This Row],[Currency]]="EUR"),BoM_Griptel[[#This Row],[ACT_Qty]]*BoM_Griptel[[#This Row],[Unit Price]],""),"")</f>
        <v/>
      </c>
      <c r="T156" s="186" t="s">
        <v>1802</v>
      </c>
      <c r="U156" s="46"/>
      <c r="V156" s="46"/>
      <c r="W156" s="146"/>
    </row>
    <row r="157" spans="1:23" ht="15" customHeight="1">
      <c r="A157" s="143" t="str">
        <f t="shared" si="4"/>
        <v>AKH12345</v>
      </c>
      <c r="B157" s="144" t="s">
        <v>2106</v>
      </c>
      <c r="C157" s="143" t="s">
        <v>2107</v>
      </c>
      <c r="D157" s="105"/>
      <c r="E157" s="106"/>
      <c r="F157" s="105"/>
      <c r="G157" s="106"/>
      <c r="H157" s="175"/>
      <c r="I157" s="176" t="s">
        <v>847</v>
      </c>
      <c r="J157" s="176" t="s">
        <v>2103</v>
      </c>
      <c r="K157" s="176" t="s">
        <v>1235</v>
      </c>
      <c r="L157" s="145" t="s">
        <v>1806</v>
      </c>
      <c r="M157" s="45" t="str">
        <f t="shared" si="5"/>
        <v>OneCo Networks AS</v>
      </c>
      <c r="N157" s="40" t="str">
        <f ca="1">IFERROR(
VLOOKUP(BoM_Griptel[[#This Row],[Product code]],
IF(AND((BoQ!$N$3&lt;&gt;""),OR(BoM_Griptel[[#This Row],[Vendor]]="Griptel",BoM_Griptel[[#This Row],[Vendor]]="Solar")),INDIRECT(Aux!$A$1)),4,FALSE),"")</f>
        <v/>
      </c>
      <c r="O157" s="169" t="s">
        <v>1807</v>
      </c>
      <c r="P157" s="41" t="str">
        <f>IFERROR(IF(AND(BoM_Griptel[[#This Row],[Quantity]]&lt;&gt;"",BoM_Griptel[[#This Row],[Currency]]="NOK"),BoM_Griptel[[#This Row],[Quantity]]*BoM_Griptel[[#This Row],[Unit Price]],""),"")</f>
        <v/>
      </c>
      <c r="Q157" s="41" t="str">
        <f>IFERROR(IF(AND(BoM_Griptel[[#This Row],[ACT_Qty]]&lt;&gt;"",BoM_Griptel[[#This Row],[Currency]]="NOK"),BoM_Griptel[[#This Row],[ACT_Qty]]*BoM_Griptel[[#This Row],[Unit Price]],""),"")</f>
        <v/>
      </c>
      <c r="R157" s="41" t="str">
        <f>IFERROR(IF(AND(BoM_Griptel[[#This Row],[Quantity]]&lt;&gt;"",BoM_Griptel[[#This Row],[Currency]]="EUR"),BoM_Griptel[[#This Row],[Quantity]]*BoM_Griptel[[#This Row],[Unit Price]],""),"")</f>
        <v/>
      </c>
      <c r="S157" s="41" t="str">
        <f>IFERROR(IF(AND(BoM_Griptel[[#This Row],[ACT_Qty]]&lt;&gt;"",BoM_Griptel[[#This Row],[Currency]]="EUR"),BoM_Griptel[[#This Row],[ACT_Qty]]*BoM_Griptel[[#This Row],[Unit Price]],""),"")</f>
        <v/>
      </c>
      <c r="T157" s="185" t="s">
        <v>1802</v>
      </c>
      <c r="U157" s="45"/>
      <c r="V157" s="45"/>
      <c r="W157" s="143"/>
    </row>
    <row r="158" spans="1:23" ht="15" customHeight="1">
      <c r="A158" s="146" t="str">
        <f t="shared" si="4"/>
        <v>AKH12345</v>
      </c>
      <c r="B158" s="147" t="s">
        <v>2108</v>
      </c>
      <c r="C158" s="146" t="s">
        <v>2109</v>
      </c>
      <c r="D158" s="68"/>
      <c r="E158" s="89"/>
      <c r="F158" s="68"/>
      <c r="G158" s="89"/>
      <c r="H158" s="177"/>
      <c r="I158" s="178" t="s">
        <v>847</v>
      </c>
      <c r="J158" s="178" t="s">
        <v>2103</v>
      </c>
      <c r="K158" s="178" t="s">
        <v>1235</v>
      </c>
      <c r="L158" s="148" t="s">
        <v>1806</v>
      </c>
      <c r="M158" s="46" t="str">
        <f t="shared" si="5"/>
        <v>OneCo Networks AS</v>
      </c>
      <c r="N158" s="42" t="str">
        <f ca="1">IFERROR(
VLOOKUP(BoM_Griptel[[#This Row],[Product code]],
IF(AND((BoQ!$N$3&lt;&gt;""),OR(BoM_Griptel[[#This Row],[Vendor]]="Griptel",BoM_Griptel[[#This Row],[Vendor]]="Solar")),INDIRECT(Aux!$A$1)),4,FALSE),"")</f>
        <v/>
      </c>
      <c r="O158" s="170" t="s">
        <v>1807</v>
      </c>
      <c r="P158" s="43" t="str">
        <f>IFERROR(IF(AND(BoM_Griptel[[#This Row],[Quantity]]&lt;&gt;"",BoM_Griptel[[#This Row],[Currency]]="NOK"),BoM_Griptel[[#This Row],[Quantity]]*BoM_Griptel[[#This Row],[Unit Price]],""),"")</f>
        <v/>
      </c>
      <c r="Q158" s="43" t="str">
        <f>IFERROR(IF(AND(BoM_Griptel[[#This Row],[ACT_Qty]]&lt;&gt;"",BoM_Griptel[[#This Row],[Currency]]="NOK"),BoM_Griptel[[#This Row],[ACT_Qty]]*BoM_Griptel[[#This Row],[Unit Price]],""),"")</f>
        <v/>
      </c>
      <c r="R158" s="43" t="str">
        <f>IFERROR(IF(AND(BoM_Griptel[[#This Row],[Quantity]]&lt;&gt;"",BoM_Griptel[[#This Row],[Currency]]="EUR"),BoM_Griptel[[#This Row],[Quantity]]*BoM_Griptel[[#This Row],[Unit Price]],""),"")</f>
        <v/>
      </c>
      <c r="S158" s="43" t="str">
        <f>IFERROR(IF(AND(BoM_Griptel[[#This Row],[ACT_Qty]]&lt;&gt;"",BoM_Griptel[[#This Row],[Currency]]="EUR"),BoM_Griptel[[#This Row],[ACT_Qty]]*BoM_Griptel[[#This Row],[Unit Price]],""),"")</f>
        <v/>
      </c>
      <c r="T158" s="186" t="s">
        <v>1802</v>
      </c>
      <c r="U158" s="46"/>
      <c r="V158" s="46"/>
      <c r="W158" s="146"/>
    </row>
    <row r="159" spans="1:23" ht="15" customHeight="1">
      <c r="A159" s="143" t="str">
        <f t="shared" si="4"/>
        <v>AKH12345</v>
      </c>
      <c r="B159" s="144" t="s">
        <v>2110</v>
      </c>
      <c r="C159" s="143" t="s">
        <v>2111</v>
      </c>
      <c r="D159" s="105"/>
      <c r="E159" s="106"/>
      <c r="F159" s="105"/>
      <c r="G159" s="106"/>
      <c r="H159" s="175"/>
      <c r="I159" s="176" t="s">
        <v>847</v>
      </c>
      <c r="J159" s="176" t="s">
        <v>2103</v>
      </c>
      <c r="K159" s="176" t="s">
        <v>1235</v>
      </c>
      <c r="L159" s="145" t="s">
        <v>1806</v>
      </c>
      <c r="M159" s="45" t="str">
        <f t="shared" si="5"/>
        <v>OneCo Networks AS</v>
      </c>
      <c r="N159" s="40" t="str">
        <f ca="1">IFERROR(
VLOOKUP(BoM_Griptel[[#This Row],[Product code]],
IF(AND((BoQ!$N$3&lt;&gt;""),OR(BoM_Griptel[[#This Row],[Vendor]]="Griptel",BoM_Griptel[[#This Row],[Vendor]]="Solar")),INDIRECT(Aux!$A$1)),4,FALSE),"")</f>
        <v/>
      </c>
      <c r="O159" s="169" t="s">
        <v>1807</v>
      </c>
      <c r="P159" s="41" t="str">
        <f>IFERROR(IF(AND(BoM_Griptel[[#This Row],[Quantity]]&lt;&gt;"",BoM_Griptel[[#This Row],[Currency]]="NOK"),BoM_Griptel[[#This Row],[Quantity]]*BoM_Griptel[[#This Row],[Unit Price]],""),"")</f>
        <v/>
      </c>
      <c r="Q159" s="41" t="str">
        <f>IFERROR(IF(AND(BoM_Griptel[[#This Row],[ACT_Qty]]&lt;&gt;"",BoM_Griptel[[#This Row],[Currency]]="NOK"),BoM_Griptel[[#This Row],[ACT_Qty]]*BoM_Griptel[[#This Row],[Unit Price]],""),"")</f>
        <v/>
      </c>
      <c r="R159" s="41" t="str">
        <f>IFERROR(IF(AND(BoM_Griptel[[#This Row],[Quantity]]&lt;&gt;"",BoM_Griptel[[#This Row],[Currency]]="EUR"),BoM_Griptel[[#This Row],[Quantity]]*BoM_Griptel[[#This Row],[Unit Price]],""),"")</f>
        <v/>
      </c>
      <c r="S159" s="41" t="str">
        <f>IFERROR(IF(AND(BoM_Griptel[[#This Row],[ACT_Qty]]&lt;&gt;"",BoM_Griptel[[#This Row],[Currency]]="EUR"),BoM_Griptel[[#This Row],[ACT_Qty]]*BoM_Griptel[[#This Row],[Unit Price]],""),"")</f>
        <v/>
      </c>
      <c r="T159" s="185" t="s">
        <v>1802</v>
      </c>
      <c r="U159" s="45"/>
      <c r="V159" s="45"/>
      <c r="W159" s="143"/>
    </row>
    <row r="160" spans="1:23" ht="15" customHeight="1">
      <c r="A160" s="146" t="str">
        <f t="shared" si="4"/>
        <v>AKH12345</v>
      </c>
      <c r="B160" s="147" t="s">
        <v>2112</v>
      </c>
      <c r="C160" s="146" t="s">
        <v>2113</v>
      </c>
      <c r="D160" s="68"/>
      <c r="E160" s="89"/>
      <c r="F160" s="68"/>
      <c r="G160" s="89"/>
      <c r="H160" s="177"/>
      <c r="I160" s="178" t="s">
        <v>847</v>
      </c>
      <c r="J160" s="178" t="s">
        <v>1921</v>
      </c>
      <c r="K160" s="178" t="s">
        <v>1235</v>
      </c>
      <c r="L160" s="148" t="s">
        <v>1806</v>
      </c>
      <c r="M160" s="46" t="str">
        <f t="shared" si="5"/>
        <v>OneCo Networks AS</v>
      </c>
      <c r="N160" s="42" t="str">
        <f ca="1">IFERROR(
VLOOKUP(BoM_Griptel[[#This Row],[Product code]],
IF(AND((BoQ!$N$3&lt;&gt;""),OR(BoM_Griptel[[#This Row],[Vendor]]="Griptel",BoM_Griptel[[#This Row],[Vendor]]="Solar")),INDIRECT(Aux!$A$1)),4,FALSE),"")</f>
        <v/>
      </c>
      <c r="O160" s="170" t="s">
        <v>1807</v>
      </c>
      <c r="P160" s="43" t="str">
        <f>IFERROR(IF(AND(BoM_Griptel[[#This Row],[Quantity]]&lt;&gt;"",BoM_Griptel[[#This Row],[Currency]]="NOK"),BoM_Griptel[[#This Row],[Quantity]]*BoM_Griptel[[#This Row],[Unit Price]],""),"")</f>
        <v/>
      </c>
      <c r="Q160" s="43" t="str">
        <f>IFERROR(IF(AND(BoM_Griptel[[#This Row],[ACT_Qty]]&lt;&gt;"",BoM_Griptel[[#This Row],[Currency]]="NOK"),BoM_Griptel[[#This Row],[ACT_Qty]]*BoM_Griptel[[#This Row],[Unit Price]],""),"")</f>
        <v/>
      </c>
      <c r="R160" s="43" t="str">
        <f>IFERROR(IF(AND(BoM_Griptel[[#This Row],[Quantity]]&lt;&gt;"",BoM_Griptel[[#This Row],[Currency]]="EUR"),BoM_Griptel[[#This Row],[Quantity]]*BoM_Griptel[[#This Row],[Unit Price]],""),"")</f>
        <v/>
      </c>
      <c r="S160" s="43" t="str">
        <f>IFERROR(IF(AND(BoM_Griptel[[#This Row],[ACT_Qty]]&lt;&gt;"",BoM_Griptel[[#This Row],[Currency]]="EUR"),BoM_Griptel[[#This Row],[ACT_Qty]]*BoM_Griptel[[#This Row],[Unit Price]],""),"")</f>
        <v/>
      </c>
      <c r="T160" s="186" t="s">
        <v>1802</v>
      </c>
      <c r="U160" s="46"/>
      <c r="V160" s="46"/>
      <c r="W160" s="146"/>
    </row>
    <row r="161" spans="1:23" ht="15" customHeight="1">
      <c r="A161" s="143" t="str">
        <f t="shared" si="4"/>
        <v>AKH12345</v>
      </c>
      <c r="B161" s="144" t="s">
        <v>2114</v>
      </c>
      <c r="C161" s="143" t="s">
        <v>2115</v>
      </c>
      <c r="D161" s="105"/>
      <c r="E161" s="106"/>
      <c r="F161" s="105"/>
      <c r="G161" s="106"/>
      <c r="H161" s="175"/>
      <c r="I161" s="176" t="s">
        <v>847</v>
      </c>
      <c r="J161" s="176" t="s">
        <v>2103</v>
      </c>
      <c r="K161" s="176" t="s">
        <v>1235</v>
      </c>
      <c r="L161" s="145" t="s">
        <v>1806</v>
      </c>
      <c r="M161" s="45" t="str">
        <f t="shared" si="5"/>
        <v>OneCo Networks AS</v>
      </c>
      <c r="N161" s="40" t="str">
        <f ca="1">IFERROR(
VLOOKUP(BoM_Griptel[[#This Row],[Product code]],
IF(AND((BoQ!$N$3&lt;&gt;""),OR(BoM_Griptel[[#This Row],[Vendor]]="Griptel",BoM_Griptel[[#This Row],[Vendor]]="Solar")),INDIRECT(Aux!$A$1)),4,FALSE),"")</f>
        <v/>
      </c>
      <c r="O161" s="169" t="s">
        <v>1807</v>
      </c>
      <c r="P161" s="41" t="str">
        <f>IFERROR(IF(AND(BoM_Griptel[[#This Row],[Quantity]]&lt;&gt;"",BoM_Griptel[[#This Row],[Currency]]="NOK"),BoM_Griptel[[#This Row],[Quantity]]*BoM_Griptel[[#This Row],[Unit Price]],""),"")</f>
        <v/>
      </c>
      <c r="Q161" s="41" t="str">
        <f>IFERROR(IF(AND(BoM_Griptel[[#This Row],[ACT_Qty]]&lt;&gt;"",BoM_Griptel[[#This Row],[Currency]]="NOK"),BoM_Griptel[[#This Row],[ACT_Qty]]*BoM_Griptel[[#This Row],[Unit Price]],""),"")</f>
        <v/>
      </c>
      <c r="R161" s="41" t="str">
        <f>IFERROR(IF(AND(BoM_Griptel[[#This Row],[Quantity]]&lt;&gt;"",BoM_Griptel[[#This Row],[Currency]]="EUR"),BoM_Griptel[[#This Row],[Quantity]]*BoM_Griptel[[#This Row],[Unit Price]],""),"")</f>
        <v/>
      </c>
      <c r="S161" s="41" t="str">
        <f>IFERROR(IF(AND(BoM_Griptel[[#This Row],[ACT_Qty]]&lt;&gt;"",BoM_Griptel[[#This Row],[Currency]]="EUR"),BoM_Griptel[[#This Row],[ACT_Qty]]*BoM_Griptel[[#This Row],[Unit Price]],""),"")</f>
        <v/>
      </c>
      <c r="T161" s="185" t="s">
        <v>1802</v>
      </c>
      <c r="U161" s="45"/>
      <c r="V161" s="45"/>
      <c r="W161" s="143"/>
    </row>
    <row r="162" spans="1:23" ht="15" customHeight="1">
      <c r="A162" s="146" t="str">
        <f t="shared" si="4"/>
        <v>AKH12345</v>
      </c>
      <c r="B162" s="147" t="s">
        <v>2116</v>
      </c>
      <c r="C162" s="146" t="s">
        <v>2117</v>
      </c>
      <c r="D162" s="68"/>
      <c r="E162" s="89"/>
      <c r="F162" s="68"/>
      <c r="G162" s="89"/>
      <c r="H162" s="177"/>
      <c r="I162" s="178" t="s">
        <v>847</v>
      </c>
      <c r="J162" s="178" t="s">
        <v>2103</v>
      </c>
      <c r="K162" s="178" t="s">
        <v>1235</v>
      </c>
      <c r="L162" s="148" t="s">
        <v>1806</v>
      </c>
      <c r="M162" s="46" t="str">
        <f t="shared" si="5"/>
        <v>OneCo Networks AS</v>
      </c>
      <c r="N162" s="42" t="str">
        <f ca="1">IFERROR(
VLOOKUP(BoM_Griptel[[#This Row],[Product code]],
IF(AND((BoQ!$N$3&lt;&gt;""),OR(BoM_Griptel[[#This Row],[Vendor]]="Griptel",BoM_Griptel[[#This Row],[Vendor]]="Solar")),INDIRECT(Aux!$A$1)),4,FALSE),"")</f>
        <v/>
      </c>
      <c r="O162" s="170" t="s">
        <v>1807</v>
      </c>
      <c r="P162" s="43" t="str">
        <f>IFERROR(IF(AND(BoM_Griptel[[#This Row],[Quantity]]&lt;&gt;"",BoM_Griptel[[#This Row],[Currency]]="NOK"),BoM_Griptel[[#This Row],[Quantity]]*BoM_Griptel[[#This Row],[Unit Price]],""),"")</f>
        <v/>
      </c>
      <c r="Q162" s="43" t="str">
        <f>IFERROR(IF(AND(BoM_Griptel[[#This Row],[ACT_Qty]]&lt;&gt;"",BoM_Griptel[[#This Row],[Currency]]="NOK"),BoM_Griptel[[#This Row],[ACT_Qty]]*BoM_Griptel[[#This Row],[Unit Price]],""),"")</f>
        <v/>
      </c>
      <c r="R162" s="43" t="str">
        <f>IFERROR(IF(AND(BoM_Griptel[[#This Row],[Quantity]]&lt;&gt;"",BoM_Griptel[[#This Row],[Currency]]="EUR"),BoM_Griptel[[#This Row],[Quantity]]*BoM_Griptel[[#This Row],[Unit Price]],""),"")</f>
        <v/>
      </c>
      <c r="S162" s="43" t="str">
        <f>IFERROR(IF(AND(BoM_Griptel[[#This Row],[ACT_Qty]]&lt;&gt;"",BoM_Griptel[[#This Row],[Currency]]="EUR"),BoM_Griptel[[#This Row],[ACT_Qty]]*BoM_Griptel[[#This Row],[Unit Price]],""),"")</f>
        <v/>
      </c>
      <c r="T162" s="186" t="s">
        <v>1802</v>
      </c>
      <c r="U162" s="46"/>
      <c r="V162" s="46"/>
      <c r="W162" s="146"/>
    </row>
    <row r="163" spans="1:23" ht="15" customHeight="1">
      <c r="A163" s="143" t="str">
        <f t="shared" si="4"/>
        <v>AKH12345</v>
      </c>
      <c r="B163" s="144" t="s">
        <v>2118</v>
      </c>
      <c r="C163" s="143" t="s">
        <v>2119</v>
      </c>
      <c r="D163" s="105"/>
      <c r="E163" s="106"/>
      <c r="F163" s="105"/>
      <c r="G163" s="106"/>
      <c r="H163" s="175"/>
      <c r="I163" s="176" t="s">
        <v>847</v>
      </c>
      <c r="J163" s="176" t="s">
        <v>2103</v>
      </c>
      <c r="K163" s="176" t="s">
        <v>1235</v>
      </c>
      <c r="L163" s="145" t="s">
        <v>1806</v>
      </c>
      <c r="M163" s="45" t="str">
        <f t="shared" si="5"/>
        <v>OneCo Networks AS</v>
      </c>
      <c r="N163" s="40" t="str">
        <f ca="1">IFERROR(
VLOOKUP(BoM_Griptel[[#This Row],[Product code]],
IF(AND((BoQ!$N$3&lt;&gt;""),OR(BoM_Griptel[[#This Row],[Vendor]]="Griptel",BoM_Griptel[[#This Row],[Vendor]]="Solar")),INDIRECT(Aux!$A$1)),4,FALSE),"")</f>
        <v/>
      </c>
      <c r="O163" s="169" t="s">
        <v>1807</v>
      </c>
      <c r="P163" s="41" t="str">
        <f>IFERROR(IF(AND(BoM_Griptel[[#This Row],[Quantity]]&lt;&gt;"",BoM_Griptel[[#This Row],[Currency]]="NOK"),BoM_Griptel[[#This Row],[Quantity]]*BoM_Griptel[[#This Row],[Unit Price]],""),"")</f>
        <v/>
      </c>
      <c r="Q163" s="41" t="str">
        <f>IFERROR(IF(AND(BoM_Griptel[[#This Row],[ACT_Qty]]&lt;&gt;"",BoM_Griptel[[#This Row],[Currency]]="NOK"),BoM_Griptel[[#This Row],[ACT_Qty]]*BoM_Griptel[[#This Row],[Unit Price]],""),"")</f>
        <v/>
      </c>
      <c r="R163" s="41" t="str">
        <f>IFERROR(IF(AND(BoM_Griptel[[#This Row],[Quantity]]&lt;&gt;"",BoM_Griptel[[#This Row],[Currency]]="EUR"),BoM_Griptel[[#This Row],[Quantity]]*BoM_Griptel[[#This Row],[Unit Price]],""),"")</f>
        <v/>
      </c>
      <c r="S163" s="41" t="str">
        <f>IFERROR(IF(AND(BoM_Griptel[[#This Row],[ACT_Qty]]&lt;&gt;"",BoM_Griptel[[#This Row],[Currency]]="EUR"),BoM_Griptel[[#This Row],[ACT_Qty]]*BoM_Griptel[[#This Row],[Unit Price]],""),"")</f>
        <v/>
      </c>
      <c r="T163" s="185" t="s">
        <v>1802</v>
      </c>
      <c r="U163" s="45"/>
      <c r="V163" s="45"/>
      <c r="W163" s="143"/>
    </row>
    <row r="164" spans="1:23" ht="15" customHeight="1">
      <c r="A164" s="146" t="str">
        <f t="shared" si="4"/>
        <v>AKH12345</v>
      </c>
      <c r="B164" s="147" t="s">
        <v>2120</v>
      </c>
      <c r="C164" s="146" t="s">
        <v>2121</v>
      </c>
      <c r="D164" s="68"/>
      <c r="E164" s="89"/>
      <c r="F164" s="68"/>
      <c r="G164" s="89"/>
      <c r="H164" s="177"/>
      <c r="I164" s="178" t="s">
        <v>847</v>
      </c>
      <c r="J164" s="178" t="s">
        <v>2103</v>
      </c>
      <c r="K164" s="178" t="s">
        <v>1235</v>
      </c>
      <c r="L164" s="148" t="s">
        <v>1806</v>
      </c>
      <c r="M164" s="46" t="str">
        <f t="shared" si="5"/>
        <v>OneCo Networks AS</v>
      </c>
      <c r="N164" s="42" t="str">
        <f ca="1">IFERROR(
VLOOKUP(BoM_Griptel[[#This Row],[Product code]],
IF(AND((BoQ!$N$3&lt;&gt;""),OR(BoM_Griptel[[#This Row],[Vendor]]="Griptel",BoM_Griptel[[#This Row],[Vendor]]="Solar")),INDIRECT(Aux!$A$1)),4,FALSE),"")</f>
        <v/>
      </c>
      <c r="O164" s="170" t="s">
        <v>1807</v>
      </c>
      <c r="P164" s="43" t="str">
        <f>IFERROR(IF(AND(BoM_Griptel[[#This Row],[Quantity]]&lt;&gt;"",BoM_Griptel[[#This Row],[Currency]]="NOK"),BoM_Griptel[[#This Row],[Quantity]]*BoM_Griptel[[#This Row],[Unit Price]],""),"")</f>
        <v/>
      </c>
      <c r="Q164" s="43" t="str">
        <f>IFERROR(IF(AND(BoM_Griptel[[#This Row],[ACT_Qty]]&lt;&gt;"",BoM_Griptel[[#This Row],[Currency]]="NOK"),BoM_Griptel[[#This Row],[ACT_Qty]]*BoM_Griptel[[#This Row],[Unit Price]],""),"")</f>
        <v/>
      </c>
      <c r="R164" s="43" t="str">
        <f>IFERROR(IF(AND(BoM_Griptel[[#This Row],[Quantity]]&lt;&gt;"",BoM_Griptel[[#This Row],[Currency]]="EUR"),BoM_Griptel[[#This Row],[Quantity]]*BoM_Griptel[[#This Row],[Unit Price]],""),"")</f>
        <v/>
      </c>
      <c r="S164" s="43" t="str">
        <f>IFERROR(IF(AND(BoM_Griptel[[#This Row],[ACT_Qty]]&lt;&gt;"",BoM_Griptel[[#This Row],[Currency]]="EUR"),BoM_Griptel[[#This Row],[ACT_Qty]]*BoM_Griptel[[#This Row],[Unit Price]],""),"")</f>
        <v/>
      </c>
      <c r="T164" s="186" t="s">
        <v>1802</v>
      </c>
      <c r="U164" s="46"/>
      <c r="V164" s="46"/>
      <c r="W164" s="146"/>
    </row>
    <row r="165" spans="1:23" ht="15" customHeight="1">
      <c r="A165" s="143" t="str">
        <f t="shared" si="4"/>
        <v>AKH12345</v>
      </c>
      <c r="B165" s="144" t="s">
        <v>2122</v>
      </c>
      <c r="C165" s="143" t="s">
        <v>2123</v>
      </c>
      <c r="D165" s="105"/>
      <c r="E165" s="106"/>
      <c r="F165" s="105"/>
      <c r="G165" s="106"/>
      <c r="H165" s="175"/>
      <c r="I165" s="176" t="s">
        <v>847</v>
      </c>
      <c r="J165" s="176" t="s">
        <v>2103</v>
      </c>
      <c r="K165" s="176" t="s">
        <v>1235</v>
      </c>
      <c r="L165" s="145" t="s">
        <v>1806</v>
      </c>
      <c r="M165" s="45" t="str">
        <f t="shared" si="5"/>
        <v>OneCo Networks AS</v>
      </c>
      <c r="N165" s="40" t="str">
        <f ca="1">IFERROR(
VLOOKUP(BoM_Griptel[[#This Row],[Product code]],
IF(AND((BoQ!$N$3&lt;&gt;""),OR(BoM_Griptel[[#This Row],[Vendor]]="Griptel",BoM_Griptel[[#This Row],[Vendor]]="Solar")),INDIRECT(Aux!$A$1)),4,FALSE),"")</f>
        <v/>
      </c>
      <c r="O165" s="169" t="s">
        <v>1807</v>
      </c>
      <c r="P165" s="41" t="str">
        <f>IFERROR(IF(AND(BoM_Griptel[[#This Row],[Quantity]]&lt;&gt;"",BoM_Griptel[[#This Row],[Currency]]="NOK"),BoM_Griptel[[#This Row],[Quantity]]*BoM_Griptel[[#This Row],[Unit Price]],""),"")</f>
        <v/>
      </c>
      <c r="Q165" s="41" t="str">
        <f>IFERROR(IF(AND(BoM_Griptel[[#This Row],[ACT_Qty]]&lt;&gt;"",BoM_Griptel[[#This Row],[Currency]]="NOK"),BoM_Griptel[[#This Row],[ACT_Qty]]*BoM_Griptel[[#This Row],[Unit Price]],""),"")</f>
        <v/>
      </c>
      <c r="R165" s="41" t="str">
        <f>IFERROR(IF(AND(BoM_Griptel[[#This Row],[Quantity]]&lt;&gt;"",BoM_Griptel[[#This Row],[Currency]]="EUR"),BoM_Griptel[[#This Row],[Quantity]]*BoM_Griptel[[#This Row],[Unit Price]],""),"")</f>
        <v/>
      </c>
      <c r="S165" s="41" t="str">
        <f>IFERROR(IF(AND(BoM_Griptel[[#This Row],[ACT_Qty]]&lt;&gt;"",BoM_Griptel[[#This Row],[Currency]]="EUR"),BoM_Griptel[[#This Row],[ACT_Qty]]*BoM_Griptel[[#This Row],[Unit Price]],""),"")</f>
        <v/>
      </c>
      <c r="T165" s="185" t="s">
        <v>1802</v>
      </c>
      <c r="U165" s="45"/>
      <c r="V165" s="45"/>
      <c r="W165" s="143"/>
    </row>
    <row r="166" spans="1:23" ht="15" customHeight="1">
      <c r="A166" s="146" t="str">
        <f t="shared" si="4"/>
        <v>AKH12345</v>
      </c>
      <c r="B166" s="147" t="s">
        <v>2124</v>
      </c>
      <c r="C166" s="146" t="s">
        <v>2125</v>
      </c>
      <c r="D166" s="68"/>
      <c r="E166" s="89"/>
      <c r="F166" s="68"/>
      <c r="G166" s="89"/>
      <c r="H166" s="177"/>
      <c r="I166" s="178" t="s">
        <v>847</v>
      </c>
      <c r="J166" s="178" t="s">
        <v>2103</v>
      </c>
      <c r="K166" s="178" t="s">
        <v>1235</v>
      </c>
      <c r="L166" s="148" t="s">
        <v>1806</v>
      </c>
      <c r="M166" s="46" t="str">
        <f t="shared" si="5"/>
        <v>OneCo Networks AS</v>
      </c>
      <c r="N166" s="42" t="str">
        <f ca="1">IFERROR(
VLOOKUP(BoM_Griptel[[#This Row],[Product code]],
IF(AND((BoQ!$N$3&lt;&gt;""),OR(BoM_Griptel[[#This Row],[Vendor]]="Griptel",BoM_Griptel[[#This Row],[Vendor]]="Solar")),INDIRECT(Aux!$A$1)),4,FALSE),"")</f>
        <v/>
      </c>
      <c r="O166" s="170" t="s">
        <v>1807</v>
      </c>
      <c r="P166" s="43" t="str">
        <f>IFERROR(IF(AND(BoM_Griptel[[#This Row],[Quantity]]&lt;&gt;"",BoM_Griptel[[#This Row],[Currency]]="NOK"),BoM_Griptel[[#This Row],[Quantity]]*BoM_Griptel[[#This Row],[Unit Price]],""),"")</f>
        <v/>
      </c>
      <c r="Q166" s="43" t="str">
        <f>IFERROR(IF(AND(BoM_Griptel[[#This Row],[ACT_Qty]]&lt;&gt;"",BoM_Griptel[[#This Row],[Currency]]="NOK"),BoM_Griptel[[#This Row],[ACT_Qty]]*BoM_Griptel[[#This Row],[Unit Price]],""),"")</f>
        <v/>
      </c>
      <c r="R166" s="43" t="str">
        <f>IFERROR(IF(AND(BoM_Griptel[[#This Row],[Quantity]]&lt;&gt;"",BoM_Griptel[[#This Row],[Currency]]="EUR"),BoM_Griptel[[#This Row],[Quantity]]*BoM_Griptel[[#This Row],[Unit Price]],""),"")</f>
        <v/>
      </c>
      <c r="S166" s="43" t="str">
        <f>IFERROR(IF(AND(BoM_Griptel[[#This Row],[ACT_Qty]]&lt;&gt;"",BoM_Griptel[[#This Row],[Currency]]="EUR"),BoM_Griptel[[#This Row],[ACT_Qty]]*BoM_Griptel[[#This Row],[Unit Price]],""),"")</f>
        <v/>
      </c>
      <c r="T166" s="186" t="s">
        <v>1802</v>
      </c>
      <c r="U166" s="46"/>
      <c r="V166" s="46"/>
      <c r="W166" s="146"/>
    </row>
    <row r="167" spans="1:23" ht="15" customHeight="1">
      <c r="A167" s="143" t="str">
        <f t="shared" si="4"/>
        <v>AKH12345</v>
      </c>
      <c r="B167" s="144" t="s">
        <v>2126</v>
      </c>
      <c r="C167" s="143" t="s">
        <v>2127</v>
      </c>
      <c r="D167" s="105"/>
      <c r="E167" s="106"/>
      <c r="F167" s="105"/>
      <c r="G167" s="106"/>
      <c r="H167" s="175"/>
      <c r="I167" s="176" t="s">
        <v>847</v>
      </c>
      <c r="J167" s="176" t="s">
        <v>2103</v>
      </c>
      <c r="K167" s="176" t="s">
        <v>1235</v>
      </c>
      <c r="L167" s="145" t="s">
        <v>1806</v>
      </c>
      <c r="M167" s="45" t="str">
        <f t="shared" si="5"/>
        <v>OneCo Networks AS</v>
      </c>
      <c r="N167" s="40" t="str">
        <f ca="1">IFERROR(
VLOOKUP(BoM_Griptel[[#This Row],[Product code]],
IF(AND((BoQ!$N$3&lt;&gt;""),OR(BoM_Griptel[[#This Row],[Vendor]]="Griptel",BoM_Griptel[[#This Row],[Vendor]]="Solar")),INDIRECT(Aux!$A$1)),4,FALSE),"")</f>
        <v/>
      </c>
      <c r="O167" s="169" t="s">
        <v>1807</v>
      </c>
      <c r="P167" s="41" t="str">
        <f>IFERROR(IF(AND(BoM_Griptel[[#This Row],[Quantity]]&lt;&gt;"",BoM_Griptel[[#This Row],[Currency]]="NOK"),BoM_Griptel[[#This Row],[Quantity]]*BoM_Griptel[[#This Row],[Unit Price]],""),"")</f>
        <v/>
      </c>
      <c r="Q167" s="41" t="str">
        <f>IFERROR(IF(AND(BoM_Griptel[[#This Row],[ACT_Qty]]&lt;&gt;"",BoM_Griptel[[#This Row],[Currency]]="NOK"),BoM_Griptel[[#This Row],[ACT_Qty]]*BoM_Griptel[[#This Row],[Unit Price]],""),"")</f>
        <v/>
      </c>
      <c r="R167" s="41" t="str">
        <f>IFERROR(IF(AND(BoM_Griptel[[#This Row],[Quantity]]&lt;&gt;"",BoM_Griptel[[#This Row],[Currency]]="EUR"),BoM_Griptel[[#This Row],[Quantity]]*BoM_Griptel[[#This Row],[Unit Price]],""),"")</f>
        <v/>
      </c>
      <c r="S167" s="41" t="str">
        <f>IFERROR(IF(AND(BoM_Griptel[[#This Row],[ACT_Qty]]&lt;&gt;"",BoM_Griptel[[#This Row],[Currency]]="EUR"),BoM_Griptel[[#This Row],[ACT_Qty]]*BoM_Griptel[[#This Row],[Unit Price]],""),"")</f>
        <v/>
      </c>
      <c r="T167" s="185" t="s">
        <v>1802</v>
      </c>
      <c r="U167" s="45"/>
      <c r="V167" s="45"/>
      <c r="W167" s="143"/>
    </row>
    <row r="168" spans="1:23" ht="15" customHeight="1">
      <c r="A168" s="146" t="str">
        <f t="shared" si="4"/>
        <v>AKH12345</v>
      </c>
      <c r="B168" s="147" t="s">
        <v>2128</v>
      </c>
      <c r="C168" s="146" t="s">
        <v>2129</v>
      </c>
      <c r="D168" s="68"/>
      <c r="E168" s="89"/>
      <c r="F168" s="68"/>
      <c r="G168" s="89"/>
      <c r="H168" s="177"/>
      <c r="I168" s="178" t="s">
        <v>847</v>
      </c>
      <c r="J168" s="178" t="s">
        <v>2103</v>
      </c>
      <c r="K168" s="178" t="s">
        <v>1235</v>
      </c>
      <c r="L168" s="148" t="s">
        <v>1806</v>
      </c>
      <c r="M168" s="46" t="str">
        <f t="shared" si="5"/>
        <v>OneCo Networks AS</v>
      </c>
      <c r="N168" s="42" t="str">
        <f ca="1">IFERROR(
VLOOKUP(BoM_Griptel[[#This Row],[Product code]],
IF(AND((BoQ!$N$3&lt;&gt;""),OR(BoM_Griptel[[#This Row],[Vendor]]="Griptel",BoM_Griptel[[#This Row],[Vendor]]="Solar")),INDIRECT(Aux!$A$1)),4,FALSE),"")</f>
        <v/>
      </c>
      <c r="O168" s="170" t="s">
        <v>1807</v>
      </c>
      <c r="P168" s="43" t="str">
        <f>IFERROR(IF(AND(BoM_Griptel[[#This Row],[Quantity]]&lt;&gt;"",BoM_Griptel[[#This Row],[Currency]]="NOK"),BoM_Griptel[[#This Row],[Quantity]]*BoM_Griptel[[#This Row],[Unit Price]],""),"")</f>
        <v/>
      </c>
      <c r="Q168" s="43" t="str">
        <f>IFERROR(IF(AND(BoM_Griptel[[#This Row],[ACT_Qty]]&lt;&gt;"",BoM_Griptel[[#This Row],[Currency]]="NOK"),BoM_Griptel[[#This Row],[ACT_Qty]]*BoM_Griptel[[#This Row],[Unit Price]],""),"")</f>
        <v/>
      </c>
      <c r="R168" s="43" t="str">
        <f>IFERROR(IF(AND(BoM_Griptel[[#This Row],[Quantity]]&lt;&gt;"",BoM_Griptel[[#This Row],[Currency]]="EUR"),BoM_Griptel[[#This Row],[Quantity]]*BoM_Griptel[[#This Row],[Unit Price]],""),"")</f>
        <v/>
      </c>
      <c r="S168" s="43" t="str">
        <f>IFERROR(IF(AND(BoM_Griptel[[#This Row],[ACT_Qty]]&lt;&gt;"",BoM_Griptel[[#This Row],[Currency]]="EUR"),BoM_Griptel[[#This Row],[ACT_Qty]]*BoM_Griptel[[#This Row],[Unit Price]],""),"")</f>
        <v/>
      </c>
      <c r="T168" s="186" t="s">
        <v>1802</v>
      </c>
      <c r="U168" s="46"/>
      <c r="V168" s="46"/>
      <c r="W168" s="146"/>
    </row>
    <row r="169" spans="1:23" ht="15" customHeight="1">
      <c r="A169" s="143" t="str">
        <f t="shared" si="4"/>
        <v>AKH12345</v>
      </c>
      <c r="B169" s="144" t="s">
        <v>2130</v>
      </c>
      <c r="C169" s="143" t="s">
        <v>2131</v>
      </c>
      <c r="D169" s="105"/>
      <c r="E169" s="106"/>
      <c r="F169" s="105"/>
      <c r="G169" s="106"/>
      <c r="H169" s="175"/>
      <c r="I169" s="176" t="s">
        <v>847</v>
      </c>
      <c r="J169" s="176" t="s">
        <v>2103</v>
      </c>
      <c r="K169" s="176" t="s">
        <v>1235</v>
      </c>
      <c r="L169" s="145" t="s">
        <v>1806</v>
      </c>
      <c r="M169" s="45" t="str">
        <f t="shared" si="5"/>
        <v>OneCo Networks AS</v>
      </c>
      <c r="N169" s="40" t="str">
        <f ca="1">IFERROR(
VLOOKUP(BoM_Griptel[[#This Row],[Product code]],
IF(AND((BoQ!$N$3&lt;&gt;""),OR(BoM_Griptel[[#This Row],[Vendor]]="Griptel",BoM_Griptel[[#This Row],[Vendor]]="Solar")),INDIRECT(Aux!$A$1)),4,FALSE),"")</f>
        <v/>
      </c>
      <c r="O169" s="169" t="s">
        <v>1807</v>
      </c>
      <c r="P169" s="41" t="str">
        <f>IFERROR(IF(AND(BoM_Griptel[[#This Row],[Quantity]]&lt;&gt;"",BoM_Griptel[[#This Row],[Currency]]="NOK"),BoM_Griptel[[#This Row],[Quantity]]*BoM_Griptel[[#This Row],[Unit Price]],""),"")</f>
        <v/>
      </c>
      <c r="Q169" s="41" t="str">
        <f>IFERROR(IF(AND(BoM_Griptel[[#This Row],[ACT_Qty]]&lt;&gt;"",BoM_Griptel[[#This Row],[Currency]]="NOK"),BoM_Griptel[[#This Row],[ACT_Qty]]*BoM_Griptel[[#This Row],[Unit Price]],""),"")</f>
        <v/>
      </c>
      <c r="R169" s="41" t="str">
        <f>IFERROR(IF(AND(BoM_Griptel[[#This Row],[Quantity]]&lt;&gt;"",BoM_Griptel[[#This Row],[Currency]]="EUR"),BoM_Griptel[[#This Row],[Quantity]]*BoM_Griptel[[#This Row],[Unit Price]],""),"")</f>
        <v/>
      </c>
      <c r="S169" s="41" t="str">
        <f>IFERROR(IF(AND(BoM_Griptel[[#This Row],[ACT_Qty]]&lt;&gt;"",BoM_Griptel[[#This Row],[Currency]]="EUR"),BoM_Griptel[[#This Row],[ACT_Qty]]*BoM_Griptel[[#This Row],[Unit Price]],""),"")</f>
        <v/>
      </c>
      <c r="T169" s="185" t="s">
        <v>1802</v>
      </c>
      <c r="U169" s="45"/>
      <c r="V169" s="45"/>
      <c r="W169" s="143"/>
    </row>
    <row r="170" spans="1:23" ht="15" customHeight="1">
      <c r="A170" s="146" t="str">
        <f t="shared" si="4"/>
        <v>AKH12345</v>
      </c>
      <c r="B170" s="147" t="s">
        <v>2132</v>
      </c>
      <c r="C170" s="146" t="s">
        <v>2133</v>
      </c>
      <c r="D170" s="68"/>
      <c r="E170" s="89"/>
      <c r="F170" s="68"/>
      <c r="G170" s="89"/>
      <c r="H170" s="177"/>
      <c r="I170" s="178" t="s">
        <v>847</v>
      </c>
      <c r="J170" s="178" t="s">
        <v>2103</v>
      </c>
      <c r="K170" s="178" t="s">
        <v>1235</v>
      </c>
      <c r="L170" s="148" t="s">
        <v>1806</v>
      </c>
      <c r="M170" s="46" t="str">
        <f t="shared" si="5"/>
        <v>OneCo Networks AS</v>
      </c>
      <c r="N170" s="42" t="str">
        <f ca="1">IFERROR(
VLOOKUP(BoM_Griptel[[#This Row],[Product code]],
IF(AND((BoQ!$N$3&lt;&gt;""),OR(BoM_Griptel[[#This Row],[Vendor]]="Griptel",BoM_Griptel[[#This Row],[Vendor]]="Solar")),INDIRECT(Aux!$A$1)),4,FALSE),"")</f>
        <v/>
      </c>
      <c r="O170" s="170" t="s">
        <v>1807</v>
      </c>
      <c r="P170" s="43" t="str">
        <f>IFERROR(IF(AND(BoM_Griptel[[#This Row],[Quantity]]&lt;&gt;"",BoM_Griptel[[#This Row],[Currency]]="NOK"),BoM_Griptel[[#This Row],[Quantity]]*BoM_Griptel[[#This Row],[Unit Price]],""),"")</f>
        <v/>
      </c>
      <c r="Q170" s="43" t="str">
        <f>IFERROR(IF(AND(BoM_Griptel[[#This Row],[ACT_Qty]]&lt;&gt;"",BoM_Griptel[[#This Row],[Currency]]="NOK"),BoM_Griptel[[#This Row],[ACT_Qty]]*BoM_Griptel[[#This Row],[Unit Price]],""),"")</f>
        <v/>
      </c>
      <c r="R170" s="43" t="str">
        <f>IFERROR(IF(AND(BoM_Griptel[[#This Row],[Quantity]]&lt;&gt;"",BoM_Griptel[[#This Row],[Currency]]="EUR"),BoM_Griptel[[#This Row],[Quantity]]*BoM_Griptel[[#This Row],[Unit Price]],""),"")</f>
        <v/>
      </c>
      <c r="S170" s="43" t="str">
        <f>IFERROR(IF(AND(BoM_Griptel[[#This Row],[ACT_Qty]]&lt;&gt;"",BoM_Griptel[[#This Row],[Currency]]="EUR"),BoM_Griptel[[#This Row],[ACT_Qty]]*BoM_Griptel[[#This Row],[Unit Price]],""),"")</f>
        <v/>
      </c>
      <c r="T170" s="186" t="s">
        <v>1802</v>
      </c>
      <c r="U170" s="46"/>
      <c r="V170" s="46"/>
      <c r="W170" s="146"/>
    </row>
    <row r="171" spans="1:23" ht="15" customHeight="1">
      <c r="A171" s="143" t="str">
        <f t="shared" si="4"/>
        <v>AKH12345</v>
      </c>
      <c r="B171" s="144" t="s">
        <v>2134</v>
      </c>
      <c r="C171" s="143" t="s">
        <v>2135</v>
      </c>
      <c r="D171" s="105"/>
      <c r="E171" s="106"/>
      <c r="F171" s="105"/>
      <c r="G171" s="106"/>
      <c r="H171" s="175"/>
      <c r="I171" s="176" t="s">
        <v>847</v>
      </c>
      <c r="J171" s="176" t="s">
        <v>1921</v>
      </c>
      <c r="K171" s="176" t="s">
        <v>1235</v>
      </c>
      <c r="L171" s="145" t="s">
        <v>1806</v>
      </c>
      <c r="M171" s="45" t="str">
        <f t="shared" si="5"/>
        <v>OneCo Networks AS</v>
      </c>
      <c r="N171" s="40" t="str">
        <f ca="1">IFERROR(
VLOOKUP(BoM_Griptel[[#This Row],[Product code]],
IF(AND((BoQ!$N$3&lt;&gt;""),OR(BoM_Griptel[[#This Row],[Vendor]]="Griptel",BoM_Griptel[[#This Row],[Vendor]]="Solar")),INDIRECT(Aux!$A$1)),4,FALSE),"")</f>
        <v/>
      </c>
      <c r="O171" s="169" t="s">
        <v>1807</v>
      </c>
      <c r="P171" s="41" t="str">
        <f>IFERROR(IF(AND(BoM_Griptel[[#This Row],[Quantity]]&lt;&gt;"",BoM_Griptel[[#This Row],[Currency]]="NOK"),BoM_Griptel[[#This Row],[Quantity]]*BoM_Griptel[[#This Row],[Unit Price]],""),"")</f>
        <v/>
      </c>
      <c r="Q171" s="41" t="str">
        <f>IFERROR(IF(AND(BoM_Griptel[[#This Row],[ACT_Qty]]&lt;&gt;"",BoM_Griptel[[#This Row],[Currency]]="NOK"),BoM_Griptel[[#This Row],[ACT_Qty]]*BoM_Griptel[[#This Row],[Unit Price]],""),"")</f>
        <v/>
      </c>
      <c r="R171" s="41" t="str">
        <f>IFERROR(IF(AND(BoM_Griptel[[#This Row],[Quantity]]&lt;&gt;"",BoM_Griptel[[#This Row],[Currency]]="EUR"),BoM_Griptel[[#This Row],[Quantity]]*BoM_Griptel[[#This Row],[Unit Price]],""),"")</f>
        <v/>
      </c>
      <c r="S171" s="41" t="str">
        <f>IFERROR(IF(AND(BoM_Griptel[[#This Row],[ACT_Qty]]&lt;&gt;"",BoM_Griptel[[#This Row],[Currency]]="EUR"),BoM_Griptel[[#This Row],[ACT_Qty]]*BoM_Griptel[[#This Row],[Unit Price]],""),"")</f>
        <v/>
      </c>
      <c r="T171" s="185" t="s">
        <v>1802</v>
      </c>
      <c r="U171" s="45"/>
      <c r="V171" s="45"/>
      <c r="W171" s="143"/>
    </row>
    <row r="172" spans="1:23" ht="15" customHeight="1">
      <c r="A172" s="146" t="str">
        <f t="shared" si="4"/>
        <v>AKH12345</v>
      </c>
      <c r="B172" s="147" t="s">
        <v>2136</v>
      </c>
      <c r="C172" s="146" t="s">
        <v>2137</v>
      </c>
      <c r="D172" s="68"/>
      <c r="E172" s="89"/>
      <c r="F172" s="68"/>
      <c r="G172" s="89"/>
      <c r="H172" s="177"/>
      <c r="I172" s="178" t="s">
        <v>847</v>
      </c>
      <c r="J172" s="178" t="s">
        <v>1921</v>
      </c>
      <c r="K172" s="178" t="s">
        <v>1235</v>
      </c>
      <c r="L172" s="148" t="s">
        <v>1806</v>
      </c>
      <c r="M172" s="46" t="str">
        <f t="shared" si="5"/>
        <v>OneCo Networks AS</v>
      </c>
      <c r="N172" s="42" t="str">
        <f ca="1">IFERROR(
VLOOKUP(BoM_Griptel[[#This Row],[Product code]],
IF(AND((BoQ!$N$3&lt;&gt;""),OR(BoM_Griptel[[#This Row],[Vendor]]="Griptel",BoM_Griptel[[#This Row],[Vendor]]="Solar")),INDIRECT(Aux!$A$1)),4,FALSE),"")</f>
        <v/>
      </c>
      <c r="O172" s="170" t="s">
        <v>1807</v>
      </c>
      <c r="P172" s="43" t="str">
        <f>IFERROR(IF(AND(BoM_Griptel[[#This Row],[Quantity]]&lt;&gt;"",BoM_Griptel[[#This Row],[Currency]]="NOK"),BoM_Griptel[[#This Row],[Quantity]]*BoM_Griptel[[#This Row],[Unit Price]],""),"")</f>
        <v/>
      </c>
      <c r="Q172" s="43" t="str">
        <f>IFERROR(IF(AND(BoM_Griptel[[#This Row],[ACT_Qty]]&lt;&gt;"",BoM_Griptel[[#This Row],[Currency]]="NOK"),BoM_Griptel[[#This Row],[ACT_Qty]]*BoM_Griptel[[#This Row],[Unit Price]],""),"")</f>
        <v/>
      </c>
      <c r="R172" s="43" t="str">
        <f>IFERROR(IF(AND(BoM_Griptel[[#This Row],[Quantity]]&lt;&gt;"",BoM_Griptel[[#This Row],[Currency]]="EUR"),BoM_Griptel[[#This Row],[Quantity]]*BoM_Griptel[[#This Row],[Unit Price]],""),"")</f>
        <v/>
      </c>
      <c r="S172" s="43" t="str">
        <f>IFERROR(IF(AND(BoM_Griptel[[#This Row],[ACT_Qty]]&lt;&gt;"",BoM_Griptel[[#This Row],[Currency]]="EUR"),BoM_Griptel[[#This Row],[ACT_Qty]]*BoM_Griptel[[#This Row],[Unit Price]],""),"")</f>
        <v/>
      </c>
      <c r="T172" s="186" t="s">
        <v>1802</v>
      </c>
      <c r="U172" s="46"/>
      <c r="V172" s="46"/>
      <c r="W172" s="146"/>
    </row>
    <row r="173" spans="1:23" ht="15" customHeight="1">
      <c r="A173" s="143" t="str">
        <f t="shared" si="4"/>
        <v>AKH12345</v>
      </c>
      <c r="B173" s="144" t="s">
        <v>2138</v>
      </c>
      <c r="C173" s="143" t="s">
        <v>2139</v>
      </c>
      <c r="D173" s="105"/>
      <c r="E173" s="106"/>
      <c r="F173" s="105"/>
      <c r="G173" s="106"/>
      <c r="H173" s="175"/>
      <c r="I173" s="176" t="s">
        <v>847</v>
      </c>
      <c r="J173" s="176" t="s">
        <v>1921</v>
      </c>
      <c r="K173" s="176" t="s">
        <v>1235</v>
      </c>
      <c r="L173" s="145" t="s">
        <v>1806</v>
      </c>
      <c r="M173" s="45" t="str">
        <f t="shared" si="5"/>
        <v>OneCo Networks AS</v>
      </c>
      <c r="N173" s="40" t="str">
        <f ca="1">IFERROR(
VLOOKUP(BoM_Griptel[[#This Row],[Product code]],
IF(AND((BoQ!$N$3&lt;&gt;""),OR(BoM_Griptel[[#This Row],[Vendor]]="Griptel",BoM_Griptel[[#This Row],[Vendor]]="Solar")),INDIRECT(Aux!$A$1)),4,FALSE),"")</f>
        <v/>
      </c>
      <c r="O173" s="169" t="s">
        <v>1807</v>
      </c>
      <c r="P173" s="41" t="str">
        <f>IFERROR(IF(AND(BoM_Griptel[[#This Row],[Quantity]]&lt;&gt;"",BoM_Griptel[[#This Row],[Currency]]="NOK"),BoM_Griptel[[#This Row],[Quantity]]*BoM_Griptel[[#This Row],[Unit Price]],""),"")</f>
        <v/>
      </c>
      <c r="Q173" s="41" t="str">
        <f>IFERROR(IF(AND(BoM_Griptel[[#This Row],[ACT_Qty]]&lt;&gt;"",BoM_Griptel[[#This Row],[Currency]]="NOK"),BoM_Griptel[[#This Row],[ACT_Qty]]*BoM_Griptel[[#This Row],[Unit Price]],""),"")</f>
        <v/>
      </c>
      <c r="R173" s="41" t="str">
        <f>IFERROR(IF(AND(BoM_Griptel[[#This Row],[Quantity]]&lt;&gt;"",BoM_Griptel[[#This Row],[Currency]]="EUR"),BoM_Griptel[[#This Row],[Quantity]]*BoM_Griptel[[#This Row],[Unit Price]],""),"")</f>
        <v/>
      </c>
      <c r="S173" s="41" t="str">
        <f>IFERROR(IF(AND(BoM_Griptel[[#This Row],[ACT_Qty]]&lt;&gt;"",BoM_Griptel[[#This Row],[Currency]]="EUR"),BoM_Griptel[[#This Row],[ACT_Qty]]*BoM_Griptel[[#This Row],[Unit Price]],""),"")</f>
        <v/>
      </c>
      <c r="T173" s="185" t="s">
        <v>1802</v>
      </c>
      <c r="U173" s="45"/>
      <c r="V173" s="45"/>
      <c r="W173" s="143"/>
    </row>
    <row r="174" spans="1:23" ht="15" customHeight="1">
      <c r="A174" s="146" t="str">
        <f t="shared" si="4"/>
        <v>AKH12345</v>
      </c>
      <c r="B174" s="147" t="s">
        <v>2140</v>
      </c>
      <c r="C174" s="146" t="s">
        <v>2141</v>
      </c>
      <c r="D174" s="68"/>
      <c r="E174" s="89"/>
      <c r="F174" s="68"/>
      <c r="G174" s="89"/>
      <c r="H174" s="177"/>
      <c r="I174" s="178" t="s">
        <v>847</v>
      </c>
      <c r="J174" s="178" t="s">
        <v>1921</v>
      </c>
      <c r="K174" s="178" t="s">
        <v>1235</v>
      </c>
      <c r="L174" s="148" t="s">
        <v>1806</v>
      </c>
      <c r="M174" s="46" t="str">
        <f t="shared" si="5"/>
        <v>OneCo Networks AS</v>
      </c>
      <c r="N174" s="42" t="str">
        <f ca="1">IFERROR(
VLOOKUP(BoM_Griptel[[#This Row],[Product code]],
IF(AND((BoQ!$N$3&lt;&gt;""),OR(BoM_Griptel[[#This Row],[Vendor]]="Griptel",BoM_Griptel[[#This Row],[Vendor]]="Solar")),INDIRECT(Aux!$A$1)),4,FALSE),"")</f>
        <v/>
      </c>
      <c r="O174" s="170" t="s">
        <v>1807</v>
      </c>
      <c r="P174" s="43" t="str">
        <f>IFERROR(IF(AND(BoM_Griptel[[#This Row],[Quantity]]&lt;&gt;"",BoM_Griptel[[#This Row],[Currency]]="NOK"),BoM_Griptel[[#This Row],[Quantity]]*BoM_Griptel[[#This Row],[Unit Price]],""),"")</f>
        <v/>
      </c>
      <c r="Q174" s="43" t="str">
        <f>IFERROR(IF(AND(BoM_Griptel[[#This Row],[ACT_Qty]]&lt;&gt;"",BoM_Griptel[[#This Row],[Currency]]="NOK"),BoM_Griptel[[#This Row],[ACT_Qty]]*BoM_Griptel[[#This Row],[Unit Price]],""),"")</f>
        <v/>
      </c>
      <c r="R174" s="43" t="str">
        <f>IFERROR(IF(AND(BoM_Griptel[[#This Row],[Quantity]]&lt;&gt;"",BoM_Griptel[[#This Row],[Currency]]="EUR"),BoM_Griptel[[#This Row],[Quantity]]*BoM_Griptel[[#This Row],[Unit Price]],""),"")</f>
        <v/>
      </c>
      <c r="S174" s="43" t="str">
        <f>IFERROR(IF(AND(BoM_Griptel[[#This Row],[ACT_Qty]]&lt;&gt;"",BoM_Griptel[[#This Row],[Currency]]="EUR"),BoM_Griptel[[#This Row],[ACT_Qty]]*BoM_Griptel[[#This Row],[Unit Price]],""),"")</f>
        <v/>
      </c>
      <c r="T174" s="186" t="s">
        <v>1802</v>
      </c>
      <c r="U174" s="46"/>
      <c r="V174" s="46"/>
      <c r="W174" s="146"/>
    </row>
    <row r="175" spans="1:23" ht="15" customHeight="1">
      <c r="A175" s="143" t="str">
        <f t="shared" si="4"/>
        <v>AKH12345</v>
      </c>
      <c r="B175" s="144" t="s">
        <v>2142</v>
      </c>
      <c r="C175" s="143" t="s">
        <v>2143</v>
      </c>
      <c r="D175" s="105"/>
      <c r="E175" s="106"/>
      <c r="F175" s="105"/>
      <c r="G175" s="106"/>
      <c r="H175" s="175"/>
      <c r="I175" s="176" t="s">
        <v>847</v>
      </c>
      <c r="J175" s="176" t="s">
        <v>1921</v>
      </c>
      <c r="K175" s="176" t="s">
        <v>1235</v>
      </c>
      <c r="L175" s="145" t="s">
        <v>1806</v>
      </c>
      <c r="M175" s="45" t="str">
        <f t="shared" si="5"/>
        <v>OneCo Networks AS</v>
      </c>
      <c r="N175" s="40" t="str">
        <f ca="1">IFERROR(
VLOOKUP(BoM_Griptel[[#This Row],[Product code]],
IF(AND((BoQ!$N$3&lt;&gt;""),OR(BoM_Griptel[[#This Row],[Vendor]]="Griptel",BoM_Griptel[[#This Row],[Vendor]]="Solar")),INDIRECT(Aux!$A$1)),4,FALSE),"")</f>
        <v/>
      </c>
      <c r="O175" s="169" t="s">
        <v>1807</v>
      </c>
      <c r="P175" s="41" t="str">
        <f>IFERROR(IF(AND(BoM_Griptel[[#This Row],[Quantity]]&lt;&gt;"",BoM_Griptel[[#This Row],[Currency]]="NOK"),BoM_Griptel[[#This Row],[Quantity]]*BoM_Griptel[[#This Row],[Unit Price]],""),"")</f>
        <v/>
      </c>
      <c r="Q175" s="41" t="str">
        <f>IFERROR(IF(AND(BoM_Griptel[[#This Row],[ACT_Qty]]&lt;&gt;"",BoM_Griptel[[#This Row],[Currency]]="NOK"),BoM_Griptel[[#This Row],[ACT_Qty]]*BoM_Griptel[[#This Row],[Unit Price]],""),"")</f>
        <v/>
      </c>
      <c r="R175" s="41" t="str">
        <f>IFERROR(IF(AND(BoM_Griptel[[#This Row],[Quantity]]&lt;&gt;"",BoM_Griptel[[#This Row],[Currency]]="EUR"),BoM_Griptel[[#This Row],[Quantity]]*BoM_Griptel[[#This Row],[Unit Price]],""),"")</f>
        <v/>
      </c>
      <c r="S175" s="41" t="str">
        <f>IFERROR(IF(AND(BoM_Griptel[[#This Row],[ACT_Qty]]&lt;&gt;"",BoM_Griptel[[#This Row],[Currency]]="EUR"),BoM_Griptel[[#This Row],[ACT_Qty]]*BoM_Griptel[[#This Row],[Unit Price]],""),"")</f>
        <v/>
      </c>
      <c r="T175" s="185" t="s">
        <v>1802</v>
      </c>
      <c r="U175" s="45"/>
      <c r="V175" s="45"/>
      <c r="W175" s="143"/>
    </row>
    <row r="176" spans="1:23" ht="15" customHeight="1">
      <c r="A176" s="146" t="str">
        <f t="shared" si="4"/>
        <v>AKH12345</v>
      </c>
      <c r="B176" s="147" t="s">
        <v>2144</v>
      </c>
      <c r="C176" s="146" t="s">
        <v>2145</v>
      </c>
      <c r="D176" s="68"/>
      <c r="E176" s="89"/>
      <c r="F176" s="68"/>
      <c r="G176" s="89"/>
      <c r="H176" s="177"/>
      <c r="I176" s="178" t="s">
        <v>847</v>
      </c>
      <c r="J176" s="178" t="s">
        <v>1921</v>
      </c>
      <c r="K176" s="178" t="s">
        <v>1235</v>
      </c>
      <c r="L176" s="148" t="s">
        <v>1806</v>
      </c>
      <c r="M176" s="46" t="str">
        <f t="shared" si="5"/>
        <v>OneCo Networks AS</v>
      </c>
      <c r="N176" s="42" t="str">
        <f ca="1">IFERROR(
VLOOKUP(BoM_Griptel[[#This Row],[Product code]],
IF(AND((BoQ!$N$3&lt;&gt;""),OR(BoM_Griptel[[#This Row],[Vendor]]="Griptel",BoM_Griptel[[#This Row],[Vendor]]="Solar")),INDIRECT(Aux!$A$1)),4,FALSE),"")</f>
        <v/>
      </c>
      <c r="O176" s="170" t="s">
        <v>1807</v>
      </c>
      <c r="P176" s="43" t="str">
        <f>IFERROR(IF(AND(BoM_Griptel[[#This Row],[Quantity]]&lt;&gt;"",BoM_Griptel[[#This Row],[Currency]]="NOK"),BoM_Griptel[[#This Row],[Quantity]]*BoM_Griptel[[#This Row],[Unit Price]],""),"")</f>
        <v/>
      </c>
      <c r="Q176" s="43" t="str">
        <f>IFERROR(IF(AND(BoM_Griptel[[#This Row],[ACT_Qty]]&lt;&gt;"",BoM_Griptel[[#This Row],[Currency]]="NOK"),BoM_Griptel[[#This Row],[ACT_Qty]]*BoM_Griptel[[#This Row],[Unit Price]],""),"")</f>
        <v/>
      </c>
      <c r="R176" s="43" t="str">
        <f>IFERROR(IF(AND(BoM_Griptel[[#This Row],[Quantity]]&lt;&gt;"",BoM_Griptel[[#This Row],[Currency]]="EUR"),BoM_Griptel[[#This Row],[Quantity]]*BoM_Griptel[[#This Row],[Unit Price]],""),"")</f>
        <v/>
      </c>
      <c r="S176" s="43" t="str">
        <f>IFERROR(IF(AND(BoM_Griptel[[#This Row],[ACT_Qty]]&lt;&gt;"",BoM_Griptel[[#This Row],[Currency]]="EUR"),BoM_Griptel[[#This Row],[ACT_Qty]]*BoM_Griptel[[#This Row],[Unit Price]],""),"")</f>
        <v/>
      </c>
      <c r="T176" s="186" t="s">
        <v>1802</v>
      </c>
      <c r="U176" s="46"/>
      <c r="V176" s="46"/>
      <c r="W176" s="146"/>
    </row>
    <row r="177" spans="1:23" ht="15" customHeight="1">
      <c r="A177" s="143" t="str">
        <f t="shared" si="4"/>
        <v>AKH12345</v>
      </c>
      <c r="B177" s="144" t="s">
        <v>2146</v>
      </c>
      <c r="C177" s="143" t="s">
        <v>2147</v>
      </c>
      <c r="D177" s="105"/>
      <c r="E177" s="106"/>
      <c r="F177" s="105"/>
      <c r="G177" s="106"/>
      <c r="H177" s="175"/>
      <c r="I177" s="176" t="s">
        <v>847</v>
      </c>
      <c r="J177" s="176" t="s">
        <v>1921</v>
      </c>
      <c r="K177" s="176" t="s">
        <v>1235</v>
      </c>
      <c r="L177" s="145" t="s">
        <v>1806</v>
      </c>
      <c r="M177" s="45" t="str">
        <f t="shared" si="5"/>
        <v>OneCo Networks AS</v>
      </c>
      <c r="N177" s="40" t="str">
        <f ca="1">IFERROR(
VLOOKUP(BoM_Griptel[[#This Row],[Product code]],
IF(AND((BoQ!$N$3&lt;&gt;""),OR(BoM_Griptel[[#This Row],[Vendor]]="Griptel",BoM_Griptel[[#This Row],[Vendor]]="Solar")),INDIRECT(Aux!$A$1)),4,FALSE),"")</f>
        <v/>
      </c>
      <c r="O177" s="169" t="s">
        <v>1807</v>
      </c>
      <c r="P177" s="41" t="str">
        <f>IFERROR(IF(AND(BoM_Griptel[[#This Row],[Quantity]]&lt;&gt;"",BoM_Griptel[[#This Row],[Currency]]="NOK"),BoM_Griptel[[#This Row],[Quantity]]*BoM_Griptel[[#This Row],[Unit Price]],""),"")</f>
        <v/>
      </c>
      <c r="Q177" s="41" t="str">
        <f>IFERROR(IF(AND(BoM_Griptel[[#This Row],[ACT_Qty]]&lt;&gt;"",BoM_Griptel[[#This Row],[Currency]]="NOK"),BoM_Griptel[[#This Row],[ACT_Qty]]*BoM_Griptel[[#This Row],[Unit Price]],""),"")</f>
        <v/>
      </c>
      <c r="R177" s="41" t="str">
        <f>IFERROR(IF(AND(BoM_Griptel[[#This Row],[Quantity]]&lt;&gt;"",BoM_Griptel[[#This Row],[Currency]]="EUR"),BoM_Griptel[[#This Row],[Quantity]]*BoM_Griptel[[#This Row],[Unit Price]],""),"")</f>
        <v/>
      </c>
      <c r="S177" s="41" t="str">
        <f>IFERROR(IF(AND(BoM_Griptel[[#This Row],[ACT_Qty]]&lt;&gt;"",BoM_Griptel[[#This Row],[Currency]]="EUR"),BoM_Griptel[[#This Row],[ACT_Qty]]*BoM_Griptel[[#This Row],[Unit Price]],""),"")</f>
        <v/>
      </c>
      <c r="T177" s="185" t="s">
        <v>1802</v>
      </c>
      <c r="U177" s="45"/>
      <c r="V177" s="45"/>
      <c r="W177" s="143"/>
    </row>
    <row r="178" spans="1:23" ht="15" customHeight="1">
      <c r="A178" s="146" t="str">
        <f t="shared" si="4"/>
        <v>AKH12345</v>
      </c>
      <c r="B178" s="147" t="s">
        <v>2148</v>
      </c>
      <c r="C178" s="146" t="s">
        <v>2149</v>
      </c>
      <c r="D178" s="68"/>
      <c r="E178" s="89"/>
      <c r="F178" s="68"/>
      <c r="G178" s="89"/>
      <c r="H178" s="177"/>
      <c r="I178" s="178" t="s">
        <v>847</v>
      </c>
      <c r="J178" s="178" t="s">
        <v>1921</v>
      </c>
      <c r="K178" s="178" t="s">
        <v>1235</v>
      </c>
      <c r="L178" s="148" t="s">
        <v>1806</v>
      </c>
      <c r="M178" s="46" t="str">
        <f t="shared" si="5"/>
        <v>OneCo Networks AS</v>
      </c>
      <c r="N178" s="42" t="str">
        <f ca="1">IFERROR(
VLOOKUP(BoM_Griptel[[#This Row],[Product code]],
IF(AND((BoQ!$N$3&lt;&gt;""),OR(BoM_Griptel[[#This Row],[Vendor]]="Griptel",BoM_Griptel[[#This Row],[Vendor]]="Solar")),INDIRECT(Aux!$A$1)),4,FALSE),"")</f>
        <v/>
      </c>
      <c r="O178" s="170" t="s">
        <v>1807</v>
      </c>
      <c r="P178" s="43" t="str">
        <f>IFERROR(IF(AND(BoM_Griptel[[#This Row],[Quantity]]&lt;&gt;"",BoM_Griptel[[#This Row],[Currency]]="NOK"),BoM_Griptel[[#This Row],[Quantity]]*BoM_Griptel[[#This Row],[Unit Price]],""),"")</f>
        <v/>
      </c>
      <c r="Q178" s="43" t="str">
        <f>IFERROR(IF(AND(BoM_Griptel[[#This Row],[ACT_Qty]]&lt;&gt;"",BoM_Griptel[[#This Row],[Currency]]="NOK"),BoM_Griptel[[#This Row],[ACT_Qty]]*BoM_Griptel[[#This Row],[Unit Price]],""),"")</f>
        <v/>
      </c>
      <c r="R178" s="43" t="str">
        <f>IFERROR(IF(AND(BoM_Griptel[[#This Row],[Quantity]]&lt;&gt;"",BoM_Griptel[[#This Row],[Currency]]="EUR"),BoM_Griptel[[#This Row],[Quantity]]*BoM_Griptel[[#This Row],[Unit Price]],""),"")</f>
        <v/>
      </c>
      <c r="S178" s="43" t="str">
        <f>IFERROR(IF(AND(BoM_Griptel[[#This Row],[ACT_Qty]]&lt;&gt;"",BoM_Griptel[[#This Row],[Currency]]="EUR"),BoM_Griptel[[#This Row],[ACT_Qty]]*BoM_Griptel[[#This Row],[Unit Price]],""),"")</f>
        <v/>
      </c>
      <c r="T178" s="186" t="s">
        <v>1802</v>
      </c>
      <c r="U178" s="46"/>
      <c r="V178" s="46"/>
      <c r="W178" s="146"/>
    </row>
    <row r="179" spans="1:23" ht="15" customHeight="1">
      <c r="A179" s="143" t="str">
        <f t="shared" si="4"/>
        <v>AKH12345</v>
      </c>
      <c r="B179" s="144" t="s">
        <v>2150</v>
      </c>
      <c r="C179" s="143" t="s">
        <v>2151</v>
      </c>
      <c r="D179" s="105"/>
      <c r="E179" s="106"/>
      <c r="F179" s="105"/>
      <c r="G179" s="106"/>
      <c r="H179" s="175"/>
      <c r="I179" s="176" t="s">
        <v>847</v>
      </c>
      <c r="J179" s="176" t="s">
        <v>1921</v>
      </c>
      <c r="K179" s="176" t="s">
        <v>1235</v>
      </c>
      <c r="L179" s="145" t="s">
        <v>1806</v>
      </c>
      <c r="M179" s="45" t="str">
        <f t="shared" si="5"/>
        <v>OneCo Networks AS</v>
      </c>
      <c r="N179" s="40" t="str">
        <f ca="1">IFERROR(
VLOOKUP(BoM_Griptel[[#This Row],[Product code]],
IF(AND((BoQ!$N$3&lt;&gt;""),OR(BoM_Griptel[[#This Row],[Vendor]]="Griptel",BoM_Griptel[[#This Row],[Vendor]]="Solar")),INDIRECT(Aux!$A$1)),4,FALSE),"")</f>
        <v/>
      </c>
      <c r="O179" s="169" t="s">
        <v>1807</v>
      </c>
      <c r="P179" s="41" t="str">
        <f>IFERROR(IF(AND(BoM_Griptel[[#This Row],[Quantity]]&lt;&gt;"",BoM_Griptel[[#This Row],[Currency]]="NOK"),BoM_Griptel[[#This Row],[Quantity]]*BoM_Griptel[[#This Row],[Unit Price]],""),"")</f>
        <v/>
      </c>
      <c r="Q179" s="41" t="str">
        <f>IFERROR(IF(AND(BoM_Griptel[[#This Row],[ACT_Qty]]&lt;&gt;"",BoM_Griptel[[#This Row],[Currency]]="NOK"),BoM_Griptel[[#This Row],[ACT_Qty]]*BoM_Griptel[[#This Row],[Unit Price]],""),"")</f>
        <v/>
      </c>
      <c r="R179" s="41" t="str">
        <f>IFERROR(IF(AND(BoM_Griptel[[#This Row],[Quantity]]&lt;&gt;"",BoM_Griptel[[#This Row],[Currency]]="EUR"),BoM_Griptel[[#This Row],[Quantity]]*BoM_Griptel[[#This Row],[Unit Price]],""),"")</f>
        <v/>
      </c>
      <c r="S179" s="41" t="str">
        <f>IFERROR(IF(AND(BoM_Griptel[[#This Row],[ACT_Qty]]&lt;&gt;"",BoM_Griptel[[#This Row],[Currency]]="EUR"),BoM_Griptel[[#This Row],[ACT_Qty]]*BoM_Griptel[[#This Row],[Unit Price]],""),"")</f>
        <v/>
      </c>
      <c r="T179" s="185" t="s">
        <v>1802</v>
      </c>
      <c r="U179" s="45"/>
      <c r="V179" s="45"/>
      <c r="W179" s="143"/>
    </row>
    <row r="180" spans="1:23" ht="15" customHeight="1">
      <c r="A180" s="146" t="str">
        <f t="shared" si="4"/>
        <v>AKH12345</v>
      </c>
      <c r="B180" s="147" t="s">
        <v>2152</v>
      </c>
      <c r="C180" s="146" t="s">
        <v>2153</v>
      </c>
      <c r="D180" s="68"/>
      <c r="E180" s="89"/>
      <c r="F180" s="68"/>
      <c r="G180" s="89"/>
      <c r="H180" s="177"/>
      <c r="I180" s="178" t="s">
        <v>847</v>
      </c>
      <c r="J180" s="178" t="s">
        <v>1921</v>
      </c>
      <c r="K180" s="178" t="s">
        <v>1235</v>
      </c>
      <c r="L180" s="148" t="s">
        <v>1806</v>
      </c>
      <c r="M180" s="46" t="str">
        <f t="shared" si="5"/>
        <v>OneCo Networks AS</v>
      </c>
      <c r="N180" s="42" t="str">
        <f ca="1">IFERROR(
VLOOKUP(BoM_Griptel[[#This Row],[Product code]],
IF(AND((BoQ!$N$3&lt;&gt;""),OR(BoM_Griptel[[#This Row],[Vendor]]="Griptel",BoM_Griptel[[#This Row],[Vendor]]="Solar")),INDIRECT(Aux!$A$1)),4,FALSE),"")</f>
        <v/>
      </c>
      <c r="O180" s="170" t="s">
        <v>1807</v>
      </c>
      <c r="P180" s="43" t="str">
        <f>IFERROR(IF(AND(BoM_Griptel[[#This Row],[Quantity]]&lt;&gt;"",BoM_Griptel[[#This Row],[Currency]]="NOK"),BoM_Griptel[[#This Row],[Quantity]]*BoM_Griptel[[#This Row],[Unit Price]],""),"")</f>
        <v/>
      </c>
      <c r="Q180" s="43" t="str">
        <f>IFERROR(IF(AND(BoM_Griptel[[#This Row],[ACT_Qty]]&lt;&gt;"",BoM_Griptel[[#This Row],[Currency]]="NOK"),BoM_Griptel[[#This Row],[ACT_Qty]]*BoM_Griptel[[#This Row],[Unit Price]],""),"")</f>
        <v/>
      </c>
      <c r="R180" s="43" t="str">
        <f>IFERROR(IF(AND(BoM_Griptel[[#This Row],[Quantity]]&lt;&gt;"",BoM_Griptel[[#This Row],[Currency]]="EUR"),BoM_Griptel[[#This Row],[Quantity]]*BoM_Griptel[[#This Row],[Unit Price]],""),"")</f>
        <v/>
      </c>
      <c r="S180" s="43" t="str">
        <f>IFERROR(IF(AND(BoM_Griptel[[#This Row],[ACT_Qty]]&lt;&gt;"",BoM_Griptel[[#This Row],[Currency]]="EUR"),BoM_Griptel[[#This Row],[ACT_Qty]]*BoM_Griptel[[#This Row],[Unit Price]],""),"")</f>
        <v/>
      </c>
      <c r="T180" s="186" t="s">
        <v>1802</v>
      </c>
      <c r="U180" s="46"/>
      <c r="V180" s="46"/>
      <c r="W180" s="146"/>
    </row>
    <row r="181" spans="1:23" ht="15" customHeight="1">
      <c r="A181" s="143" t="str">
        <f t="shared" si="4"/>
        <v>AKH12345</v>
      </c>
      <c r="B181" s="144" t="s">
        <v>2154</v>
      </c>
      <c r="C181" s="143" t="s">
        <v>2155</v>
      </c>
      <c r="D181" s="105"/>
      <c r="E181" s="106"/>
      <c r="F181" s="105"/>
      <c r="G181" s="106"/>
      <c r="H181" s="175"/>
      <c r="I181" s="176" t="s">
        <v>847</v>
      </c>
      <c r="J181" s="176" t="s">
        <v>1921</v>
      </c>
      <c r="K181" s="176" t="s">
        <v>1235</v>
      </c>
      <c r="L181" s="145" t="s">
        <v>1806</v>
      </c>
      <c r="M181" s="45" t="str">
        <f t="shared" si="5"/>
        <v>OneCo Networks AS</v>
      </c>
      <c r="N181" s="40" t="str">
        <f ca="1">IFERROR(
VLOOKUP(BoM_Griptel[[#This Row],[Product code]],
IF(AND((BoQ!$N$3&lt;&gt;""),OR(BoM_Griptel[[#This Row],[Vendor]]="Griptel",BoM_Griptel[[#This Row],[Vendor]]="Solar")),INDIRECT(Aux!$A$1)),4,FALSE),"")</f>
        <v/>
      </c>
      <c r="O181" s="169" t="s">
        <v>1807</v>
      </c>
      <c r="P181" s="41" t="str">
        <f>IFERROR(IF(AND(BoM_Griptel[[#This Row],[Quantity]]&lt;&gt;"",BoM_Griptel[[#This Row],[Currency]]="NOK"),BoM_Griptel[[#This Row],[Quantity]]*BoM_Griptel[[#This Row],[Unit Price]],""),"")</f>
        <v/>
      </c>
      <c r="Q181" s="41" t="str">
        <f>IFERROR(IF(AND(BoM_Griptel[[#This Row],[ACT_Qty]]&lt;&gt;"",BoM_Griptel[[#This Row],[Currency]]="NOK"),BoM_Griptel[[#This Row],[ACT_Qty]]*BoM_Griptel[[#This Row],[Unit Price]],""),"")</f>
        <v/>
      </c>
      <c r="R181" s="41" t="str">
        <f>IFERROR(IF(AND(BoM_Griptel[[#This Row],[Quantity]]&lt;&gt;"",BoM_Griptel[[#This Row],[Currency]]="EUR"),BoM_Griptel[[#This Row],[Quantity]]*BoM_Griptel[[#This Row],[Unit Price]],""),"")</f>
        <v/>
      </c>
      <c r="S181" s="41" t="str">
        <f>IFERROR(IF(AND(BoM_Griptel[[#This Row],[ACT_Qty]]&lt;&gt;"",BoM_Griptel[[#This Row],[Currency]]="EUR"),BoM_Griptel[[#This Row],[ACT_Qty]]*BoM_Griptel[[#This Row],[Unit Price]],""),"")</f>
        <v/>
      </c>
      <c r="T181" s="185" t="s">
        <v>1802</v>
      </c>
      <c r="U181" s="45"/>
      <c r="V181" s="45"/>
      <c r="W181" s="143"/>
    </row>
    <row r="182" spans="1:23" ht="15" customHeight="1">
      <c r="A182" s="146" t="str">
        <f t="shared" si="4"/>
        <v>AKH12345</v>
      </c>
      <c r="B182" s="147" t="s">
        <v>2156</v>
      </c>
      <c r="C182" s="146" t="s">
        <v>2157</v>
      </c>
      <c r="D182" s="68"/>
      <c r="E182" s="89"/>
      <c r="F182" s="68"/>
      <c r="G182" s="89"/>
      <c r="H182" s="177"/>
      <c r="I182" s="178" t="s">
        <v>847</v>
      </c>
      <c r="J182" s="178" t="s">
        <v>1921</v>
      </c>
      <c r="K182" s="178" t="s">
        <v>1235</v>
      </c>
      <c r="L182" s="148" t="s">
        <v>1806</v>
      </c>
      <c r="M182" s="46" t="str">
        <f t="shared" si="5"/>
        <v>OneCo Networks AS</v>
      </c>
      <c r="N182" s="42" t="str">
        <f ca="1">IFERROR(
VLOOKUP(BoM_Griptel[[#This Row],[Product code]],
IF(AND((BoQ!$N$3&lt;&gt;""),OR(BoM_Griptel[[#This Row],[Vendor]]="Griptel",BoM_Griptel[[#This Row],[Vendor]]="Solar")),INDIRECT(Aux!$A$1)),4,FALSE),"")</f>
        <v/>
      </c>
      <c r="O182" s="170" t="s">
        <v>1807</v>
      </c>
      <c r="P182" s="43" t="str">
        <f>IFERROR(IF(AND(BoM_Griptel[[#This Row],[Quantity]]&lt;&gt;"",BoM_Griptel[[#This Row],[Currency]]="NOK"),BoM_Griptel[[#This Row],[Quantity]]*BoM_Griptel[[#This Row],[Unit Price]],""),"")</f>
        <v/>
      </c>
      <c r="Q182" s="43" t="str">
        <f>IFERROR(IF(AND(BoM_Griptel[[#This Row],[ACT_Qty]]&lt;&gt;"",BoM_Griptel[[#This Row],[Currency]]="NOK"),BoM_Griptel[[#This Row],[ACT_Qty]]*BoM_Griptel[[#This Row],[Unit Price]],""),"")</f>
        <v/>
      </c>
      <c r="R182" s="43" t="str">
        <f>IFERROR(IF(AND(BoM_Griptel[[#This Row],[Quantity]]&lt;&gt;"",BoM_Griptel[[#This Row],[Currency]]="EUR"),BoM_Griptel[[#This Row],[Quantity]]*BoM_Griptel[[#This Row],[Unit Price]],""),"")</f>
        <v/>
      </c>
      <c r="S182" s="43" t="str">
        <f>IFERROR(IF(AND(BoM_Griptel[[#This Row],[ACT_Qty]]&lt;&gt;"",BoM_Griptel[[#This Row],[Currency]]="EUR"),BoM_Griptel[[#This Row],[ACT_Qty]]*BoM_Griptel[[#This Row],[Unit Price]],""),"")</f>
        <v/>
      </c>
      <c r="T182" s="186" t="s">
        <v>1802</v>
      </c>
      <c r="U182" s="46"/>
      <c r="V182" s="46"/>
      <c r="W182" s="146"/>
    </row>
    <row r="183" spans="1:23" ht="15" customHeight="1">
      <c r="A183" s="143" t="str">
        <f t="shared" si="4"/>
        <v>AKH12345</v>
      </c>
      <c r="B183" s="144" t="s">
        <v>2158</v>
      </c>
      <c r="C183" s="143" t="s">
        <v>2159</v>
      </c>
      <c r="D183" s="105"/>
      <c r="E183" s="106"/>
      <c r="F183" s="105"/>
      <c r="G183" s="106"/>
      <c r="H183" s="175"/>
      <c r="I183" s="176" t="s">
        <v>847</v>
      </c>
      <c r="J183" s="176" t="s">
        <v>1862</v>
      </c>
      <c r="K183" s="176" t="s">
        <v>1235</v>
      </c>
      <c r="L183" s="145" t="s">
        <v>1806</v>
      </c>
      <c r="M183" s="45" t="str">
        <f t="shared" si="5"/>
        <v>OneCo Networks AS</v>
      </c>
      <c r="N183" s="40" t="str">
        <f ca="1">IFERROR(
VLOOKUP(BoM_Griptel[[#This Row],[Product code]],
IF(AND((BoQ!$N$3&lt;&gt;""),OR(BoM_Griptel[[#This Row],[Vendor]]="Griptel",BoM_Griptel[[#This Row],[Vendor]]="Solar")),INDIRECT(Aux!$A$1)),4,FALSE),"")</f>
        <v/>
      </c>
      <c r="O183" s="169" t="s">
        <v>1807</v>
      </c>
      <c r="P183" s="41" t="str">
        <f>IFERROR(IF(AND(BoM_Griptel[[#This Row],[Quantity]]&lt;&gt;"",BoM_Griptel[[#This Row],[Currency]]="NOK"),BoM_Griptel[[#This Row],[Quantity]]*BoM_Griptel[[#This Row],[Unit Price]],""),"")</f>
        <v/>
      </c>
      <c r="Q183" s="41" t="str">
        <f>IFERROR(IF(AND(BoM_Griptel[[#This Row],[ACT_Qty]]&lt;&gt;"",BoM_Griptel[[#This Row],[Currency]]="NOK"),BoM_Griptel[[#This Row],[ACT_Qty]]*BoM_Griptel[[#This Row],[Unit Price]],""),"")</f>
        <v/>
      </c>
      <c r="R183" s="41" t="str">
        <f>IFERROR(IF(AND(BoM_Griptel[[#This Row],[Quantity]]&lt;&gt;"",BoM_Griptel[[#This Row],[Currency]]="EUR"),BoM_Griptel[[#This Row],[Quantity]]*BoM_Griptel[[#This Row],[Unit Price]],""),"")</f>
        <v/>
      </c>
      <c r="S183" s="41" t="str">
        <f>IFERROR(IF(AND(BoM_Griptel[[#This Row],[ACT_Qty]]&lt;&gt;"",BoM_Griptel[[#This Row],[Currency]]="EUR"),BoM_Griptel[[#This Row],[ACT_Qty]]*BoM_Griptel[[#This Row],[Unit Price]],""),"")</f>
        <v/>
      </c>
      <c r="T183" s="185" t="s">
        <v>1802</v>
      </c>
      <c r="U183" s="45"/>
      <c r="V183" s="45"/>
      <c r="W183" s="143"/>
    </row>
    <row r="184" spans="1:23" ht="15" customHeight="1">
      <c r="A184" s="146" t="str">
        <f t="shared" si="4"/>
        <v>AKH12345</v>
      </c>
      <c r="B184" s="147" t="s">
        <v>2160</v>
      </c>
      <c r="C184" s="146" t="s">
        <v>2161</v>
      </c>
      <c r="D184" s="68"/>
      <c r="E184" s="89"/>
      <c r="F184" s="68"/>
      <c r="G184" s="89"/>
      <c r="H184" s="177"/>
      <c r="I184" s="178" t="s">
        <v>847</v>
      </c>
      <c r="J184" s="178" t="s">
        <v>1862</v>
      </c>
      <c r="K184" s="178" t="s">
        <v>1235</v>
      </c>
      <c r="L184" s="148" t="s">
        <v>1806</v>
      </c>
      <c r="M184" s="46" t="str">
        <f t="shared" si="5"/>
        <v>OneCo Networks AS</v>
      </c>
      <c r="N184" s="42" t="str">
        <f ca="1">IFERROR(
VLOOKUP(BoM_Griptel[[#This Row],[Product code]],
IF(AND((BoQ!$N$3&lt;&gt;""),OR(BoM_Griptel[[#This Row],[Vendor]]="Griptel",BoM_Griptel[[#This Row],[Vendor]]="Solar")),INDIRECT(Aux!$A$1)),4,FALSE),"")</f>
        <v/>
      </c>
      <c r="O184" s="170" t="s">
        <v>1807</v>
      </c>
      <c r="P184" s="43" t="str">
        <f>IFERROR(IF(AND(BoM_Griptel[[#This Row],[Quantity]]&lt;&gt;"",BoM_Griptel[[#This Row],[Currency]]="NOK"),BoM_Griptel[[#This Row],[Quantity]]*BoM_Griptel[[#This Row],[Unit Price]],""),"")</f>
        <v/>
      </c>
      <c r="Q184" s="43" t="str">
        <f>IFERROR(IF(AND(BoM_Griptel[[#This Row],[ACT_Qty]]&lt;&gt;"",BoM_Griptel[[#This Row],[Currency]]="NOK"),BoM_Griptel[[#This Row],[ACT_Qty]]*BoM_Griptel[[#This Row],[Unit Price]],""),"")</f>
        <v/>
      </c>
      <c r="R184" s="43" t="str">
        <f>IFERROR(IF(AND(BoM_Griptel[[#This Row],[Quantity]]&lt;&gt;"",BoM_Griptel[[#This Row],[Currency]]="EUR"),BoM_Griptel[[#This Row],[Quantity]]*BoM_Griptel[[#This Row],[Unit Price]],""),"")</f>
        <v/>
      </c>
      <c r="S184" s="43" t="str">
        <f>IFERROR(IF(AND(BoM_Griptel[[#This Row],[ACT_Qty]]&lt;&gt;"",BoM_Griptel[[#This Row],[Currency]]="EUR"),BoM_Griptel[[#This Row],[ACT_Qty]]*BoM_Griptel[[#This Row],[Unit Price]],""),"")</f>
        <v/>
      </c>
      <c r="T184" s="186" t="s">
        <v>1802</v>
      </c>
      <c r="U184" s="46"/>
      <c r="V184" s="46"/>
      <c r="W184" s="146"/>
    </row>
    <row r="185" spans="1:23" ht="15" customHeight="1">
      <c r="A185" s="143" t="str">
        <f t="shared" si="4"/>
        <v>AKH12345</v>
      </c>
      <c r="B185" s="144" t="s">
        <v>2162</v>
      </c>
      <c r="C185" s="143" t="s">
        <v>2163</v>
      </c>
      <c r="D185" s="105"/>
      <c r="E185" s="106"/>
      <c r="F185" s="105"/>
      <c r="G185" s="106"/>
      <c r="H185" s="175"/>
      <c r="I185" s="176" t="s">
        <v>847</v>
      </c>
      <c r="J185" s="176" t="s">
        <v>1921</v>
      </c>
      <c r="K185" s="176" t="s">
        <v>1235</v>
      </c>
      <c r="L185" s="145" t="s">
        <v>1806</v>
      </c>
      <c r="M185" s="45" t="str">
        <f t="shared" si="5"/>
        <v>OneCo Networks AS</v>
      </c>
      <c r="N185" s="40" t="str">
        <f ca="1">IFERROR(
VLOOKUP(BoM_Griptel[[#This Row],[Product code]],
IF(AND((BoQ!$N$3&lt;&gt;""),OR(BoM_Griptel[[#This Row],[Vendor]]="Griptel",BoM_Griptel[[#This Row],[Vendor]]="Solar")),INDIRECT(Aux!$A$1)),4,FALSE),"")</f>
        <v/>
      </c>
      <c r="O185" s="169" t="s">
        <v>1807</v>
      </c>
      <c r="P185" s="41" t="str">
        <f>IFERROR(IF(AND(BoM_Griptel[[#This Row],[Quantity]]&lt;&gt;"",BoM_Griptel[[#This Row],[Currency]]="NOK"),BoM_Griptel[[#This Row],[Quantity]]*BoM_Griptel[[#This Row],[Unit Price]],""),"")</f>
        <v/>
      </c>
      <c r="Q185" s="41" t="str">
        <f>IFERROR(IF(AND(BoM_Griptel[[#This Row],[ACT_Qty]]&lt;&gt;"",BoM_Griptel[[#This Row],[Currency]]="NOK"),BoM_Griptel[[#This Row],[ACT_Qty]]*BoM_Griptel[[#This Row],[Unit Price]],""),"")</f>
        <v/>
      </c>
      <c r="R185" s="41" t="str">
        <f>IFERROR(IF(AND(BoM_Griptel[[#This Row],[Quantity]]&lt;&gt;"",BoM_Griptel[[#This Row],[Currency]]="EUR"),BoM_Griptel[[#This Row],[Quantity]]*BoM_Griptel[[#This Row],[Unit Price]],""),"")</f>
        <v/>
      </c>
      <c r="S185" s="41" t="str">
        <f>IFERROR(IF(AND(BoM_Griptel[[#This Row],[ACT_Qty]]&lt;&gt;"",BoM_Griptel[[#This Row],[Currency]]="EUR"),BoM_Griptel[[#This Row],[ACT_Qty]]*BoM_Griptel[[#This Row],[Unit Price]],""),"")</f>
        <v/>
      </c>
      <c r="T185" s="185" t="s">
        <v>1802</v>
      </c>
      <c r="U185" s="45"/>
      <c r="V185" s="45"/>
      <c r="W185" s="143"/>
    </row>
    <row r="186" spans="1:23" ht="15" customHeight="1">
      <c r="A186" s="146" t="str">
        <f t="shared" si="4"/>
        <v>AKH12345</v>
      </c>
      <c r="B186" s="147" t="s">
        <v>2164</v>
      </c>
      <c r="C186" s="146" t="s">
        <v>2165</v>
      </c>
      <c r="D186" s="68"/>
      <c r="E186" s="89"/>
      <c r="F186" s="68"/>
      <c r="G186" s="89"/>
      <c r="H186" s="177"/>
      <c r="I186" s="178" t="s">
        <v>847</v>
      </c>
      <c r="J186" s="178" t="s">
        <v>1921</v>
      </c>
      <c r="K186" s="178" t="s">
        <v>1235</v>
      </c>
      <c r="L186" s="148" t="s">
        <v>1806</v>
      </c>
      <c r="M186" s="46" t="str">
        <f t="shared" si="5"/>
        <v>OneCo Networks AS</v>
      </c>
      <c r="N186" s="42" t="str">
        <f ca="1">IFERROR(
VLOOKUP(BoM_Griptel[[#This Row],[Product code]],
IF(AND((BoQ!$N$3&lt;&gt;""),OR(BoM_Griptel[[#This Row],[Vendor]]="Griptel",BoM_Griptel[[#This Row],[Vendor]]="Solar")),INDIRECT(Aux!$A$1)),4,FALSE),"")</f>
        <v/>
      </c>
      <c r="O186" s="170" t="s">
        <v>1807</v>
      </c>
      <c r="P186" s="43" t="str">
        <f>IFERROR(IF(AND(BoM_Griptel[[#This Row],[Quantity]]&lt;&gt;"",BoM_Griptel[[#This Row],[Currency]]="NOK"),BoM_Griptel[[#This Row],[Quantity]]*BoM_Griptel[[#This Row],[Unit Price]],""),"")</f>
        <v/>
      </c>
      <c r="Q186" s="43" t="str">
        <f>IFERROR(IF(AND(BoM_Griptel[[#This Row],[ACT_Qty]]&lt;&gt;"",BoM_Griptel[[#This Row],[Currency]]="NOK"),BoM_Griptel[[#This Row],[ACT_Qty]]*BoM_Griptel[[#This Row],[Unit Price]],""),"")</f>
        <v/>
      </c>
      <c r="R186" s="43" t="str">
        <f>IFERROR(IF(AND(BoM_Griptel[[#This Row],[Quantity]]&lt;&gt;"",BoM_Griptel[[#This Row],[Currency]]="EUR"),BoM_Griptel[[#This Row],[Quantity]]*BoM_Griptel[[#This Row],[Unit Price]],""),"")</f>
        <v/>
      </c>
      <c r="S186" s="43" t="str">
        <f>IFERROR(IF(AND(BoM_Griptel[[#This Row],[ACT_Qty]]&lt;&gt;"",BoM_Griptel[[#This Row],[Currency]]="EUR"),BoM_Griptel[[#This Row],[ACT_Qty]]*BoM_Griptel[[#This Row],[Unit Price]],""),"")</f>
        <v/>
      </c>
      <c r="T186" s="186" t="s">
        <v>1802</v>
      </c>
      <c r="U186" s="46"/>
      <c r="V186" s="46"/>
      <c r="W186" s="146"/>
    </row>
    <row r="187" spans="1:23" ht="15" customHeight="1">
      <c r="A187" s="143" t="str">
        <f t="shared" si="4"/>
        <v>AKH12345</v>
      </c>
      <c r="B187" s="144" t="s">
        <v>2166</v>
      </c>
      <c r="C187" s="143" t="s">
        <v>2167</v>
      </c>
      <c r="D187" s="105"/>
      <c r="E187" s="106"/>
      <c r="F187" s="105"/>
      <c r="G187" s="106"/>
      <c r="H187" s="175"/>
      <c r="I187" s="176" t="s">
        <v>847</v>
      </c>
      <c r="J187" s="176" t="s">
        <v>1921</v>
      </c>
      <c r="K187" s="176" t="s">
        <v>1235</v>
      </c>
      <c r="L187" s="145" t="s">
        <v>1806</v>
      </c>
      <c r="M187" s="45" t="str">
        <f t="shared" si="5"/>
        <v>OneCo Networks AS</v>
      </c>
      <c r="N187" s="40" t="str">
        <f ca="1">IFERROR(
VLOOKUP(BoM_Griptel[[#This Row],[Product code]],
IF(AND((BoQ!$N$3&lt;&gt;""),OR(BoM_Griptel[[#This Row],[Vendor]]="Griptel",BoM_Griptel[[#This Row],[Vendor]]="Solar")),INDIRECT(Aux!$A$1)),4,FALSE),"")</f>
        <v/>
      </c>
      <c r="O187" s="169" t="s">
        <v>1807</v>
      </c>
      <c r="P187" s="41" t="str">
        <f>IFERROR(IF(AND(BoM_Griptel[[#This Row],[Quantity]]&lt;&gt;"",BoM_Griptel[[#This Row],[Currency]]="NOK"),BoM_Griptel[[#This Row],[Quantity]]*BoM_Griptel[[#This Row],[Unit Price]],""),"")</f>
        <v/>
      </c>
      <c r="Q187" s="41" t="str">
        <f>IFERROR(IF(AND(BoM_Griptel[[#This Row],[ACT_Qty]]&lt;&gt;"",BoM_Griptel[[#This Row],[Currency]]="NOK"),BoM_Griptel[[#This Row],[ACT_Qty]]*BoM_Griptel[[#This Row],[Unit Price]],""),"")</f>
        <v/>
      </c>
      <c r="R187" s="41" t="str">
        <f>IFERROR(IF(AND(BoM_Griptel[[#This Row],[Quantity]]&lt;&gt;"",BoM_Griptel[[#This Row],[Currency]]="EUR"),BoM_Griptel[[#This Row],[Quantity]]*BoM_Griptel[[#This Row],[Unit Price]],""),"")</f>
        <v/>
      </c>
      <c r="S187" s="41" t="str">
        <f>IFERROR(IF(AND(BoM_Griptel[[#This Row],[ACT_Qty]]&lt;&gt;"",BoM_Griptel[[#This Row],[Currency]]="EUR"),BoM_Griptel[[#This Row],[ACT_Qty]]*BoM_Griptel[[#This Row],[Unit Price]],""),"")</f>
        <v/>
      </c>
      <c r="T187" s="185" t="s">
        <v>1802</v>
      </c>
      <c r="U187" s="45"/>
      <c r="V187" s="45"/>
      <c r="W187" s="143"/>
    </row>
    <row r="188" spans="1:23" ht="15" customHeight="1">
      <c r="A188" s="146" t="str">
        <f t="shared" si="4"/>
        <v>AKH12345</v>
      </c>
      <c r="B188" s="147" t="s">
        <v>2168</v>
      </c>
      <c r="C188" s="146" t="s">
        <v>2169</v>
      </c>
      <c r="D188" s="68"/>
      <c r="E188" s="89"/>
      <c r="F188" s="68"/>
      <c r="G188" s="89"/>
      <c r="H188" s="177"/>
      <c r="I188" s="178" t="s">
        <v>847</v>
      </c>
      <c r="J188" s="178" t="s">
        <v>1921</v>
      </c>
      <c r="K188" s="178" t="s">
        <v>1235</v>
      </c>
      <c r="L188" s="148" t="s">
        <v>1806</v>
      </c>
      <c r="M188" s="46" t="str">
        <f t="shared" si="5"/>
        <v>OneCo Networks AS</v>
      </c>
      <c r="N188" s="42" t="str">
        <f ca="1">IFERROR(
VLOOKUP(BoM_Griptel[[#This Row],[Product code]],
IF(AND((BoQ!$N$3&lt;&gt;""),OR(BoM_Griptel[[#This Row],[Vendor]]="Griptel",BoM_Griptel[[#This Row],[Vendor]]="Solar")),INDIRECT(Aux!$A$1)),4,FALSE),"")</f>
        <v/>
      </c>
      <c r="O188" s="170" t="s">
        <v>1807</v>
      </c>
      <c r="P188" s="43" t="str">
        <f>IFERROR(IF(AND(BoM_Griptel[[#This Row],[Quantity]]&lt;&gt;"",BoM_Griptel[[#This Row],[Currency]]="NOK"),BoM_Griptel[[#This Row],[Quantity]]*BoM_Griptel[[#This Row],[Unit Price]],""),"")</f>
        <v/>
      </c>
      <c r="Q188" s="43" t="str">
        <f>IFERROR(IF(AND(BoM_Griptel[[#This Row],[ACT_Qty]]&lt;&gt;"",BoM_Griptel[[#This Row],[Currency]]="NOK"),BoM_Griptel[[#This Row],[ACT_Qty]]*BoM_Griptel[[#This Row],[Unit Price]],""),"")</f>
        <v/>
      </c>
      <c r="R188" s="43" t="str">
        <f>IFERROR(IF(AND(BoM_Griptel[[#This Row],[Quantity]]&lt;&gt;"",BoM_Griptel[[#This Row],[Currency]]="EUR"),BoM_Griptel[[#This Row],[Quantity]]*BoM_Griptel[[#This Row],[Unit Price]],""),"")</f>
        <v/>
      </c>
      <c r="S188" s="43" t="str">
        <f>IFERROR(IF(AND(BoM_Griptel[[#This Row],[ACT_Qty]]&lt;&gt;"",BoM_Griptel[[#This Row],[Currency]]="EUR"),BoM_Griptel[[#This Row],[ACT_Qty]]*BoM_Griptel[[#This Row],[Unit Price]],""),"")</f>
        <v/>
      </c>
      <c r="T188" s="186" t="s">
        <v>1802</v>
      </c>
      <c r="U188" s="46"/>
      <c r="V188" s="46"/>
      <c r="W188" s="146"/>
    </row>
    <row r="189" spans="1:23" ht="15" customHeight="1">
      <c r="A189" s="143" t="str">
        <f t="shared" si="4"/>
        <v>AKH12345</v>
      </c>
      <c r="B189" s="144" t="s">
        <v>2170</v>
      </c>
      <c r="C189" s="143" t="s">
        <v>2171</v>
      </c>
      <c r="D189" s="105"/>
      <c r="E189" s="106"/>
      <c r="F189" s="105"/>
      <c r="G189" s="106"/>
      <c r="H189" s="175"/>
      <c r="I189" s="176" t="s">
        <v>847</v>
      </c>
      <c r="J189" s="176" t="s">
        <v>1921</v>
      </c>
      <c r="K189" s="176" t="s">
        <v>1235</v>
      </c>
      <c r="L189" s="145" t="s">
        <v>1806</v>
      </c>
      <c r="M189" s="45" t="str">
        <f t="shared" si="5"/>
        <v>OneCo Networks AS</v>
      </c>
      <c r="N189" s="40" t="str">
        <f ca="1">IFERROR(
VLOOKUP(BoM_Griptel[[#This Row],[Product code]],
IF(AND((BoQ!$N$3&lt;&gt;""),OR(BoM_Griptel[[#This Row],[Vendor]]="Griptel",BoM_Griptel[[#This Row],[Vendor]]="Solar")),INDIRECT(Aux!$A$1)),4,FALSE),"")</f>
        <v/>
      </c>
      <c r="O189" s="169" t="s">
        <v>1807</v>
      </c>
      <c r="P189" s="41" t="str">
        <f>IFERROR(IF(AND(BoM_Griptel[[#This Row],[Quantity]]&lt;&gt;"",BoM_Griptel[[#This Row],[Currency]]="NOK"),BoM_Griptel[[#This Row],[Quantity]]*BoM_Griptel[[#This Row],[Unit Price]],""),"")</f>
        <v/>
      </c>
      <c r="Q189" s="41" t="str">
        <f>IFERROR(IF(AND(BoM_Griptel[[#This Row],[ACT_Qty]]&lt;&gt;"",BoM_Griptel[[#This Row],[Currency]]="NOK"),BoM_Griptel[[#This Row],[ACT_Qty]]*BoM_Griptel[[#This Row],[Unit Price]],""),"")</f>
        <v/>
      </c>
      <c r="R189" s="41" t="str">
        <f>IFERROR(IF(AND(BoM_Griptel[[#This Row],[Quantity]]&lt;&gt;"",BoM_Griptel[[#This Row],[Currency]]="EUR"),BoM_Griptel[[#This Row],[Quantity]]*BoM_Griptel[[#This Row],[Unit Price]],""),"")</f>
        <v/>
      </c>
      <c r="S189" s="41" t="str">
        <f>IFERROR(IF(AND(BoM_Griptel[[#This Row],[ACT_Qty]]&lt;&gt;"",BoM_Griptel[[#This Row],[Currency]]="EUR"),BoM_Griptel[[#This Row],[ACT_Qty]]*BoM_Griptel[[#This Row],[Unit Price]],""),"")</f>
        <v/>
      </c>
      <c r="T189" s="185" t="s">
        <v>1802</v>
      </c>
      <c r="U189" s="45"/>
      <c r="V189" s="45"/>
      <c r="W189" s="143"/>
    </row>
    <row r="190" spans="1:23" ht="15" customHeight="1">
      <c r="A190" s="146" t="str">
        <f t="shared" si="4"/>
        <v>AKH12345</v>
      </c>
      <c r="B190" s="147" t="s">
        <v>2172</v>
      </c>
      <c r="C190" s="146" t="s">
        <v>2173</v>
      </c>
      <c r="D190" s="68"/>
      <c r="E190" s="89"/>
      <c r="F190" s="68"/>
      <c r="G190" s="89"/>
      <c r="H190" s="177"/>
      <c r="I190" s="178" t="s">
        <v>847</v>
      </c>
      <c r="J190" s="178" t="s">
        <v>1921</v>
      </c>
      <c r="K190" s="178" t="s">
        <v>1235</v>
      </c>
      <c r="L190" s="148" t="s">
        <v>1806</v>
      </c>
      <c r="M190" s="46" t="str">
        <f t="shared" si="5"/>
        <v>OneCo Networks AS</v>
      </c>
      <c r="N190" s="42" t="str">
        <f ca="1">IFERROR(
VLOOKUP(BoM_Griptel[[#This Row],[Product code]],
IF(AND((BoQ!$N$3&lt;&gt;""),OR(BoM_Griptel[[#This Row],[Vendor]]="Griptel",BoM_Griptel[[#This Row],[Vendor]]="Solar")),INDIRECT(Aux!$A$1)),4,FALSE),"")</f>
        <v/>
      </c>
      <c r="O190" s="170" t="s">
        <v>1807</v>
      </c>
      <c r="P190" s="43" t="str">
        <f>IFERROR(IF(AND(BoM_Griptel[[#This Row],[Quantity]]&lt;&gt;"",BoM_Griptel[[#This Row],[Currency]]="NOK"),BoM_Griptel[[#This Row],[Quantity]]*BoM_Griptel[[#This Row],[Unit Price]],""),"")</f>
        <v/>
      </c>
      <c r="Q190" s="43" t="str">
        <f>IFERROR(IF(AND(BoM_Griptel[[#This Row],[ACT_Qty]]&lt;&gt;"",BoM_Griptel[[#This Row],[Currency]]="NOK"),BoM_Griptel[[#This Row],[ACT_Qty]]*BoM_Griptel[[#This Row],[Unit Price]],""),"")</f>
        <v/>
      </c>
      <c r="R190" s="43" t="str">
        <f>IFERROR(IF(AND(BoM_Griptel[[#This Row],[Quantity]]&lt;&gt;"",BoM_Griptel[[#This Row],[Currency]]="EUR"),BoM_Griptel[[#This Row],[Quantity]]*BoM_Griptel[[#This Row],[Unit Price]],""),"")</f>
        <v/>
      </c>
      <c r="S190" s="43" t="str">
        <f>IFERROR(IF(AND(BoM_Griptel[[#This Row],[ACT_Qty]]&lt;&gt;"",BoM_Griptel[[#This Row],[Currency]]="EUR"),BoM_Griptel[[#This Row],[ACT_Qty]]*BoM_Griptel[[#This Row],[Unit Price]],""),"")</f>
        <v/>
      </c>
      <c r="T190" s="186" t="s">
        <v>1802</v>
      </c>
      <c r="U190" s="46"/>
      <c r="V190" s="46"/>
      <c r="W190" s="146"/>
    </row>
    <row r="191" spans="1:23" ht="15" customHeight="1">
      <c r="A191" s="143" t="str">
        <f t="shared" si="4"/>
        <v>AKH12345</v>
      </c>
      <c r="B191" s="144" t="s">
        <v>2174</v>
      </c>
      <c r="C191" s="143" t="s">
        <v>2175</v>
      </c>
      <c r="D191" s="105"/>
      <c r="E191" s="106"/>
      <c r="F191" s="105"/>
      <c r="G191" s="106"/>
      <c r="H191" s="175"/>
      <c r="I191" s="176" t="s">
        <v>847</v>
      </c>
      <c r="J191" s="176" t="s">
        <v>1921</v>
      </c>
      <c r="K191" s="176" t="s">
        <v>1235</v>
      </c>
      <c r="L191" s="145" t="s">
        <v>1806</v>
      </c>
      <c r="M191" s="45" t="str">
        <f t="shared" si="5"/>
        <v>OneCo Networks AS</v>
      </c>
      <c r="N191" s="40" t="str">
        <f ca="1">IFERROR(
VLOOKUP(BoM_Griptel[[#This Row],[Product code]],
IF(AND((BoQ!$N$3&lt;&gt;""),OR(BoM_Griptel[[#This Row],[Vendor]]="Griptel",BoM_Griptel[[#This Row],[Vendor]]="Solar")),INDIRECT(Aux!$A$1)),4,FALSE),"")</f>
        <v/>
      </c>
      <c r="O191" s="169" t="s">
        <v>1807</v>
      </c>
      <c r="P191" s="41" t="str">
        <f>IFERROR(IF(AND(BoM_Griptel[[#This Row],[Quantity]]&lt;&gt;"",BoM_Griptel[[#This Row],[Currency]]="NOK"),BoM_Griptel[[#This Row],[Quantity]]*BoM_Griptel[[#This Row],[Unit Price]],""),"")</f>
        <v/>
      </c>
      <c r="Q191" s="41" t="str">
        <f>IFERROR(IF(AND(BoM_Griptel[[#This Row],[ACT_Qty]]&lt;&gt;"",BoM_Griptel[[#This Row],[Currency]]="NOK"),BoM_Griptel[[#This Row],[ACT_Qty]]*BoM_Griptel[[#This Row],[Unit Price]],""),"")</f>
        <v/>
      </c>
      <c r="R191" s="41" t="str">
        <f>IFERROR(IF(AND(BoM_Griptel[[#This Row],[Quantity]]&lt;&gt;"",BoM_Griptel[[#This Row],[Currency]]="EUR"),BoM_Griptel[[#This Row],[Quantity]]*BoM_Griptel[[#This Row],[Unit Price]],""),"")</f>
        <v/>
      </c>
      <c r="S191" s="41" t="str">
        <f>IFERROR(IF(AND(BoM_Griptel[[#This Row],[ACT_Qty]]&lt;&gt;"",BoM_Griptel[[#This Row],[Currency]]="EUR"),BoM_Griptel[[#This Row],[ACT_Qty]]*BoM_Griptel[[#This Row],[Unit Price]],""),"")</f>
        <v/>
      </c>
      <c r="T191" s="185" t="s">
        <v>1802</v>
      </c>
      <c r="U191" s="45"/>
      <c r="V191" s="45"/>
      <c r="W191" s="143"/>
    </row>
    <row r="192" spans="1:23" ht="15" customHeight="1">
      <c r="A192" s="146" t="str">
        <f t="shared" si="4"/>
        <v>AKH12345</v>
      </c>
      <c r="B192" s="147" t="s">
        <v>2176</v>
      </c>
      <c r="C192" s="146" t="s">
        <v>2177</v>
      </c>
      <c r="D192" s="68"/>
      <c r="E192" s="89"/>
      <c r="F192" s="68"/>
      <c r="G192" s="89"/>
      <c r="H192" s="177"/>
      <c r="I192" s="178" t="s">
        <v>847</v>
      </c>
      <c r="J192" s="178" t="s">
        <v>1921</v>
      </c>
      <c r="K192" s="178" t="s">
        <v>1235</v>
      </c>
      <c r="L192" s="148" t="s">
        <v>1806</v>
      </c>
      <c r="M192" s="46" t="str">
        <f t="shared" si="5"/>
        <v>OneCo Networks AS</v>
      </c>
      <c r="N192" s="42" t="str">
        <f ca="1">IFERROR(
VLOOKUP(BoM_Griptel[[#This Row],[Product code]],
IF(AND((BoQ!$N$3&lt;&gt;""),OR(BoM_Griptel[[#This Row],[Vendor]]="Griptel",BoM_Griptel[[#This Row],[Vendor]]="Solar")),INDIRECT(Aux!$A$1)),4,FALSE),"")</f>
        <v/>
      </c>
      <c r="O192" s="170" t="s">
        <v>1807</v>
      </c>
      <c r="P192" s="43" t="str">
        <f>IFERROR(IF(AND(BoM_Griptel[[#This Row],[Quantity]]&lt;&gt;"",BoM_Griptel[[#This Row],[Currency]]="NOK"),BoM_Griptel[[#This Row],[Quantity]]*BoM_Griptel[[#This Row],[Unit Price]],""),"")</f>
        <v/>
      </c>
      <c r="Q192" s="43" t="str">
        <f>IFERROR(IF(AND(BoM_Griptel[[#This Row],[ACT_Qty]]&lt;&gt;"",BoM_Griptel[[#This Row],[Currency]]="NOK"),BoM_Griptel[[#This Row],[ACT_Qty]]*BoM_Griptel[[#This Row],[Unit Price]],""),"")</f>
        <v/>
      </c>
      <c r="R192" s="43" t="str">
        <f>IFERROR(IF(AND(BoM_Griptel[[#This Row],[Quantity]]&lt;&gt;"",BoM_Griptel[[#This Row],[Currency]]="EUR"),BoM_Griptel[[#This Row],[Quantity]]*BoM_Griptel[[#This Row],[Unit Price]],""),"")</f>
        <v/>
      </c>
      <c r="S192" s="43" t="str">
        <f>IFERROR(IF(AND(BoM_Griptel[[#This Row],[ACT_Qty]]&lt;&gt;"",BoM_Griptel[[#This Row],[Currency]]="EUR"),BoM_Griptel[[#This Row],[ACT_Qty]]*BoM_Griptel[[#This Row],[Unit Price]],""),"")</f>
        <v/>
      </c>
      <c r="T192" s="186" t="s">
        <v>1802</v>
      </c>
      <c r="U192" s="46"/>
      <c r="V192" s="46"/>
      <c r="W192" s="146"/>
    </row>
    <row r="193" spans="1:23" ht="15" customHeight="1">
      <c r="A193" s="143" t="str">
        <f t="shared" si="4"/>
        <v>AKH12345</v>
      </c>
      <c r="B193" s="144" t="s">
        <v>2178</v>
      </c>
      <c r="C193" s="143" t="s">
        <v>2179</v>
      </c>
      <c r="D193" s="105"/>
      <c r="E193" s="106"/>
      <c r="F193" s="105"/>
      <c r="G193" s="106"/>
      <c r="H193" s="175"/>
      <c r="I193" s="176" t="s">
        <v>847</v>
      </c>
      <c r="J193" s="176" t="s">
        <v>2103</v>
      </c>
      <c r="K193" s="176" t="s">
        <v>1235</v>
      </c>
      <c r="L193" s="145" t="s">
        <v>1806</v>
      </c>
      <c r="M193" s="45" t="str">
        <f t="shared" si="5"/>
        <v>OneCo Networks AS</v>
      </c>
      <c r="N193" s="40" t="str">
        <f ca="1">IFERROR(
VLOOKUP(BoM_Griptel[[#This Row],[Product code]],
IF(AND((BoQ!$N$3&lt;&gt;""),OR(BoM_Griptel[[#This Row],[Vendor]]="Griptel",BoM_Griptel[[#This Row],[Vendor]]="Solar")),INDIRECT(Aux!$A$1)),4,FALSE),"")</f>
        <v/>
      </c>
      <c r="O193" s="169" t="s">
        <v>1807</v>
      </c>
      <c r="P193" s="41" t="str">
        <f>IFERROR(IF(AND(BoM_Griptel[[#This Row],[Quantity]]&lt;&gt;"",BoM_Griptel[[#This Row],[Currency]]="NOK"),BoM_Griptel[[#This Row],[Quantity]]*BoM_Griptel[[#This Row],[Unit Price]],""),"")</f>
        <v/>
      </c>
      <c r="Q193" s="41" t="str">
        <f>IFERROR(IF(AND(BoM_Griptel[[#This Row],[ACT_Qty]]&lt;&gt;"",BoM_Griptel[[#This Row],[Currency]]="NOK"),BoM_Griptel[[#This Row],[ACT_Qty]]*BoM_Griptel[[#This Row],[Unit Price]],""),"")</f>
        <v/>
      </c>
      <c r="R193" s="41" t="str">
        <f>IFERROR(IF(AND(BoM_Griptel[[#This Row],[Quantity]]&lt;&gt;"",BoM_Griptel[[#This Row],[Currency]]="EUR"),BoM_Griptel[[#This Row],[Quantity]]*BoM_Griptel[[#This Row],[Unit Price]],""),"")</f>
        <v/>
      </c>
      <c r="S193" s="41" t="str">
        <f>IFERROR(IF(AND(BoM_Griptel[[#This Row],[ACT_Qty]]&lt;&gt;"",BoM_Griptel[[#This Row],[Currency]]="EUR"),BoM_Griptel[[#This Row],[ACT_Qty]]*BoM_Griptel[[#This Row],[Unit Price]],""),"")</f>
        <v/>
      </c>
      <c r="T193" s="185" t="s">
        <v>1802</v>
      </c>
      <c r="U193" s="45"/>
      <c r="V193" s="45"/>
      <c r="W193" s="143"/>
    </row>
    <row r="194" spans="1:23" ht="15" customHeight="1">
      <c r="A194" s="146" t="str">
        <f t="shared" si="4"/>
        <v>AKH12345</v>
      </c>
      <c r="B194" s="147" t="s">
        <v>2180</v>
      </c>
      <c r="C194" s="146" t="s">
        <v>2181</v>
      </c>
      <c r="D194" s="68"/>
      <c r="E194" s="89"/>
      <c r="F194" s="68"/>
      <c r="G194" s="89"/>
      <c r="H194" s="177"/>
      <c r="I194" s="178" t="s">
        <v>847</v>
      </c>
      <c r="J194" s="178" t="s">
        <v>835</v>
      </c>
      <c r="K194" s="178" t="s">
        <v>1235</v>
      </c>
      <c r="L194" s="148" t="s">
        <v>1806</v>
      </c>
      <c r="M194" s="46" t="str">
        <f t="shared" si="5"/>
        <v>OneCo Networks AS</v>
      </c>
      <c r="N194" s="42" t="str">
        <f ca="1">IFERROR(
VLOOKUP(BoM_Griptel[[#This Row],[Product code]],
IF(AND((BoQ!$N$3&lt;&gt;""),OR(BoM_Griptel[[#This Row],[Vendor]]="Griptel",BoM_Griptel[[#This Row],[Vendor]]="Solar")),INDIRECT(Aux!$A$1)),4,FALSE),"")</f>
        <v/>
      </c>
      <c r="O194" s="170" t="s">
        <v>1807</v>
      </c>
      <c r="P194" s="43" t="str">
        <f>IFERROR(IF(AND(BoM_Griptel[[#This Row],[Quantity]]&lt;&gt;"",BoM_Griptel[[#This Row],[Currency]]="NOK"),BoM_Griptel[[#This Row],[Quantity]]*BoM_Griptel[[#This Row],[Unit Price]],""),"")</f>
        <v/>
      </c>
      <c r="Q194" s="43" t="str">
        <f>IFERROR(IF(AND(BoM_Griptel[[#This Row],[ACT_Qty]]&lt;&gt;"",BoM_Griptel[[#This Row],[Currency]]="NOK"),BoM_Griptel[[#This Row],[ACT_Qty]]*BoM_Griptel[[#This Row],[Unit Price]],""),"")</f>
        <v/>
      </c>
      <c r="R194" s="43" t="str">
        <f>IFERROR(IF(AND(BoM_Griptel[[#This Row],[Quantity]]&lt;&gt;"",BoM_Griptel[[#This Row],[Currency]]="EUR"),BoM_Griptel[[#This Row],[Quantity]]*BoM_Griptel[[#This Row],[Unit Price]],""),"")</f>
        <v/>
      </c>
      <c r="S194" s="43" t="str">
        <f>IFERROR(IF(AND(BoM_Griptel[[#This Row],[ACT_Qty]]&lt;&gt;"",BoM_Griptel[[#This Row],[Currency]]="EUR"),BoM_Griptel[[#This Row],[ACT_Qty]]*BoM_Griptel[[#This Row],[Unit Price]],""),"")</f>
        <v/>
      </c>
      <c r="T194" s="186" t="s">
        <v>1802</v>
      </c>
      <c r="U194" s="46"/>
      <c r="V194" s="46"/>
      <c r="W194" s="146"/>
    </row>
    <row r="195" spans="1:23" ht="15" customHeight="1">
      <c r="A195" s="143" t="str">
        <f t="shared" si="4"/>
        <v>AKH12345</v>
      </c>
      <c r="B195" s="144" t="s">
        <v>2182</v>
      </c>
      <c r="C195" s="143" t="s">
        <v>2183</v>
      </c>
      <c r="D195" s="105"/>
      <c r="E195" s="106"/>
      <c r="F195" s="105"/>
      <c r="G195" s="106"/>
      <c r="H195" s="175"/>
      <c r="I195" s="176" t="s">
        <v>847</v>
      </c>
      <c r="J195" s="176" t="s">
        <v>835</v>
      </c>
      <c r="K195" s="176" t="s">
        <v>1235</v>
      </c>
      <c r="L195" s="145" t="s">
        <v>1806</v>
      </c>
      <c r="M195" s="45" t="str">
        <f t="shared" si="5"/>
        <v>OneCo Networks AS</v>
      </c>
      <c r="N195" s="40" t="str">
        <f ca="1">IFERROR(
VLOOKUP(BoM_Griptel[[#This Row],[Product code]],
IF(AND((BoQ!$N$3&lt;&gt;""),OR(BoM_Griptel[[#This Row],[Vendor]]="Griptel",BoM_Griptel[[#This Row],[Vendor]]="Solar")),INDIRECT(Aux!$A$1)),4,FALSE),"")</f>
        <v/>
      </c>
      <c r="O195" s="169" t="s">
        <v>1807</v>
      </c>
      <c r="P195" s="41" t="str">
        <f>IFERROR(IF(AND(BoM_Griptel[[#This Row],[Quantity]]&lt;&gt;"",BoM_Griptel[[#This Row],[Currency]]="NOK"),BoM_Griptel[[#This Row],[Quantity]]*BoM_Griptel[[#This Row],[Unit Price]],""),"")</f>
        <v/>
      </c>
      <c r="Q195" s="41" t="str">
        <f>IFERROR(IF(AND(BoM_Griptel[[#This Row],[ACT_Qty]]&lt;&gt;"",BoM_Griptel[[#This Row],[Currency]]="NOK"),BoM_Griptel[[#This Row],[ACT_Qty]]*BoM_Griptel[[#This Row],[Unit Price]],""),"")</f>
        <v/>
      </c>
      <c r="R195" s="41" t="str">
        <f>IFERROR(IF(AND(BoM_Griptel[[#This Row],[Quantity]]&lt;&gt;"",BoM_Griptel[[#This Row],[Currency]]="EUR"),BoM_Griptel[[#This Row],[Quantity]]*BoM_Griptel[[#This Row],[Unit Price]],""),"")</f>
        <v/>
      </c>
      <c r="S195" s="41" t="str">
        <f>IFERROR(IF(AND(BoM_Griptel[[#This Row],[ACT_Qty]]&lt;&gt;"",BoM_Griptel[[#This Row],[Currency]]="EUR"),BoM_Griptel[[#This Row],[ACT_Qty]]*BoM_Griptel[[#This Row],[Unit Price]],""),"")</f>
        <v/>
      </c>
      <c r="T195" s="185" t="s">
        <v>1802</v>
      </c>
      <c r="U195" s="45"/>
      <c r="V195" s="45"/>
      <c r="W195" s="143"/>
    </row>
    <row r="196" spans="1:23" ht="15" customHeight="1">
      <c r="A196" s="146" t="str">
        <f t="shared" si="4"/>
        <v>AKH12345</v>
      </c>
      <c r="B196" s="147" t="s">
        <v>2184</v>
      </c>
      <c r="C196" s="146" t="s">
        <v>2185</v>
      </c>
      <c r="D196" s="68"/>
      <c r="E196" s="89"/>
      <c r="F196" s="68"/>
      <c r="G196" s="89"/>
      <c r="H196" s="177"/>
      <c r="I196" s="178" t="s">
        <v>847</v>
      </c>
      <c r="J196" s="178" t="s">
        <v>835</v>
      </c>
      <c r="K196" s="178" t="s">
        <v>1235</v>
      </c>
      <c r="L196" s="148" t="s">
        <v>1806</v>
      </c>
      <c r="M196" s="46" t="str">
        <f t="shared" si="5"/>
        <v>OneCo Networks AS</v>
      </c>
      <c r="N196" s="42" t="str">
        <f ca="1">IFERROR(
VLOOKUP(BoM_Griptel[[#This Row],[Product code]],
IF(AND((BoQ!$N$3&lt;&gt;""),OR(BoM_Griptel[[#This Row],[Vendor]]="Griptel",BoM_Griptel[[#This Row],[Vendor]]="Solar")),INDIRECT(Aux!$A$1)),4,FALSE),"")</f>
        <v/>
      </c>
      <c r="O196" s="170" t="s">
        <v>1807</v>
      </c>
      <c r="P196" s="43" t="str">
        <f>IFERROR(IF(AND(BoM_Griptel[[#This Row],[Quantity]]&lt;&gt;"",BoM_Griptel[[#This Row],[Currency]]="NOK"),BoM_Griptel[[#This Row],[Quantity]]*BoM_Griptel[[#This Row],[Unit Price]],""),"")</f>
        <v/>
      </c>
      <c r="Q196" s="43" t="str">
        <f>IFERROR(IF(AND(BoM_Griptel[[#This Row],[ACT_Qty]]&lt;&gt;"",BoM_Griptel[[#This Row],[Currency]]="NOK"),BoM_Griptel[[#This Row],[ACT_Qty]]*BoM_Griptel[[#This Row],[Unit Price]],""),"")</f>
        <v/>
      </c>
      <c r="R196" s="43" t="str">
        <f>IFERROR(IF(AND(BoM_Griptel[[#This Row],[Quantity]]&lt;&gt;"",BoM_Griptel[[#This Row],[Currency]]="EUR"),BoM_Griptel[[#This Row],[Quantity]]*BoM_Griptel[[#This Row],[Unit Price]],""),"")</f>
        <v/>
      </c>
      <c r="S196" s="43" t="str">
        <f>IFERROR(IF(AND(BoM_Griptel[[#This Row],[ACT_Qty]]&lt;&gt;"",BoM_Griptel[[#This Row],[Currency]]="EUR"),BoM_Griptel[[#This Row],[ACT_Qty]]*BoM_Griptel[[#This Row],[Unit Price]],""),"")</f>
        <v/>
      </c>
      <c r="T196" s="186" t="s">
        <v>1802</v>
      </c>
      <c r="U196" s="46"/>
      <c r="V196" s="46"/>
      <c r="W196" s="146"/>
    </row>
    <row r="197" spans="1:23" ht="15" customHeight="1">
      <c r="A197" s="143" t="str">
        <f t="shared" si="4"/>
        <v>AKH12345</v>
      </c>
      <c r="B197" s="144" t="s">
        <v>2186</v>
      </c>
      <c r="C197" s="143" t="s">
        <v>2187</v>
      </c>
      <c r="D197" s="105"/>
      <c r="E197" s="106"/>
      <c r="F197" s="105"/>
      <c r="G197" s="106"/>
      <c r="H197" s="175"/>
      <c r="I197" s="176" t="s">
        <v>847</v>
      </c>
      <c r="J197" s="176" t="s">
        <v>835</v>
      </c>
      <c r="K197" s="176" t="s">
        <v>1235</v>
      </c>
      <c r="L197" s="145" t="s">
        <v>1806</v>
      </c>
      <c r="M197" s="45" t="str">
        <f t="shared" si="5"/>
        <v>OneCo Networks AS</v>
      </c>
      <c r="N197" s="40" t="str">
        <f ca="1">IFERROR(
VLOOKUP(BoM_Griptel[[#This Row],[Product code]],
IF(AND((BoQ!$N$3&lt;&gt;""),OR(BoM_Griptel[[#This Row],[Vendor]]="Griptel",BoM_Griptel[[#This Row],[Vendor]]="Solar")),INDIRECT(Aux!$A$1)),4,FALSE),"")</f>
        <v/>
      </c>
      <c r="O197" s="169" t="s">
        <v>1807</v>
      </c>
      <c r="P197" s="41" t="str">
        <f>IFERROR(IF(AND(BoM_Griptel[[#This Row],[Quantity]]&lt;&gt;"",BoM_Griptel[[#This Row],[Currency]]="NOK"),BoM_Griptel[[#This Row],[Quantity]]*BoM_Griptel[[#This Row],[Unit Price]],""),"")</f>
        <v/>
      </c>
      <c r="Q197" s="41" t="str">
        <f>IFERROR(IF(AND(BoM_Griptel[[#This Row],[ACT_Qty]]&lt;&gt;"",BoM_Griptel[[#This Row],[Currency]]="NOK"),BoM_Griptel[[#This Row],[ACT_Qty]]*BoM_Griptel[[#This Row],[Unit Price]],""),"")</f>
        <v/>
      </c>
      <c r="R197" s="41" t="str">
        <f>IFERROR(IF(AND(BoM_Griptel[[#This Row],[Quantity]]&lt;&gt;"",BoM_Griptel[[#This Row],[Currency]]="EUR"),BoM_Griptel[[#This Row],[Quantity]]*BoM_Griptel[[#This Row],[Unit Price]],""),"")</f>
        <v/>
      </c>
      <c r="S197" s="41" t="str">
        <f>IFERROR(IF(AND(BoM_Griptel[[#This Row],[ACT_Qty]]&lt;&gt;"",BoM_Griptel[[#This Row],[Currency]]="EUR"),BoM_Griptel[[#This Row],[ACT_Qty]]*BoM_Griptel[[#This Row],[Unit Price]],""),"")</f>
        <v/>
      </c>
      <c r="T197" s="185" t="s">
        <v>1802</v>
      </c>
      <c r="U197" s="45"/>
      <c r="V197" s="45"/>
      <c r="W197" s="143"/>
    </row>
    <row r="198" spans="1:23" ht="15" customHeight="1">
      <c r="A198" s="146" t="str">
        <f t="shared" si="4"/>
        <v>AKH12345</v>
      </c>
      <c r="B198" s="147" t="s">
        <v>2188</v>
      </c>
      <c r="C198" s="146" t="s">
        <v>2189</v>
      </c>
      <c r="D198" s="68"/>
      <c r="E198" s="89"/>
      <c r="F198" s="68"/>
      <c r="G198" s="89"/>
      <c r="H198" s="177"/>
      <c r="I198" s="178" t="s">
        <v>847</v>
      </c>
      <c r="J198" s="178" t="s">
        <v>835</v>
      </c>
      <c r="K198" s="178" t="s">
        <v>1235</v>
      </c>
      <c r="L198" s="148" t="s">
        <v>1806</v>
      </c>
      <c r="M198" s="46" t="str">
        <f t="shared" si="5"/>
        <v>OneCo Networks AS</v>
      </c>
      <c r="N198" s="42" t="str">
        <f ca="1">IFERROR(
VLOOKUP(BoM_Griptel[[#This Row],[Product code]],
IF(AND((BoQ!$N$3&lt;&gt;""),OR(BoM_Griptel[[#This Row],[Vendor]]="Griptel",BoM_Griptel[[#This Row],[Vendor]]="Solar")),INDIRECT(Aux!$A$1)),4,FALSE),"")</f>
        <v/>
      </c>
      <c r="O198" s="170" t="s">
        <v>1807</v>
      </c>
      <c r="P198" s="43" t="str">
        <f>IFERROR(IF(AND(BoM_Griptel[[#This Row],[Quantity]]&lt;&gt;"",BoM_Griptel[[#This Row],[Currency]]="NOK"),BoM_Griptel[[#This Row],[Quantity]]*BoM_Griptel[[#This Row],[Unit Price]],""),"")</f>
        <v/>
      </c>
      <c r="Q198" s="43" t="str">
        <f>IFERROR(IF(AND(BoM_Griptel[[#This Row],[ACT_Qty]]&lt;&gt;"",BoM_Griptel[[#This Row],[Currency]]="NOK"),BoM_Griptel[[#This Row],[ACT_Qty]]*BoM_Griptel[[#This Row],[Unit Price]],""),"")</f>
        <v/>
      </c>
      <c r="R198" s="43" t="str">
        <f>IFERROR(IF(AND(BoM_Griptel[[#This Row],[Quantity]]&lt;&gt;"",BoM_Griptel[[#This Row],[Currency]]="EUR"),BoM_Griptel[[#This Row],[Quantity]]*BoM_Griptel[[#This Row],[Unit Price]],""),"")</f>
        <v/>
      </c>
      <c r="S198" s="43" t="str">
        <f>IFERROR(IF(AND(BoM_Griptel[[#This Row],[ACT_Qty]]&lt;&gt;"",BoM_Griptel[[#This Row],[Currency]]="EUR"),BoM_Griptel[[#This Row],[ACT_Qty]]*BoM_Griptel[[#This Row],[Unit Price]],""),"")</f>
        <v/>
      </c>
      <c r="T198" s="186" t="s">
        <v>1802</v>
      </c>
      <c r="U198" s="46"/>
      <c r="V198" s="46"/>
      <c r="W198" s="146"/>
    </row>
    <row r="199" spans="1:23" ht="15" customHeight="1">
      <c r="A199" s="143" t="str">
        <f t="shared" si="4"/>
        <v>AKH12345</v>
      </c>
      <c r="B199" s="144" t="s">
        <v>2190</v>
      </c>
      <c r="C199" s="143" t="s">
        <v>2191</v>
      </c>
      <c r="D199" s="105"/>
      <c r="E199" s="106"/>
      <c r="F199" s="105"/>
      <c r="G199" s="106"/>
      <c r="H199" s="175"/>
      <c r="I199" s="176" t="s">
        <v>847</v>
      </c>
      <c r="J199" s="176" t="s">
        <v>835</v>
      </c>
      <c r="K199" s="176" t="s">
        <v>1235</v>
      </c>
      <c r="L199" s="145" t="s">
        <v>1806</v>
      </c>
      <c r="M199" s="45" t="str">
        <f t="shared" si="5"/>
        <v>OneCo Networks AS</v>
      </c>
      <c r="N199" s="40" t="str">
        <f ca="1">IFERROR(
VLOOKUP(BoM_Griptel[[#This Row],[Product code]],
IF(AND((BoQ!$N$3&lt;&gt;""),OR(BoM_Griptel[[#This Row],[Vendor]]="Griptel",BoM_Griptel[[#This Row],[Vendor]]="Solar")),INDIRECT(Aux!$A$1)),4,FALSE),"")</f>
        <v/>
      </c>
      <c r="O199" s="169" t="s">
        <v>1807</v>
      </c>
      <c r="P199" s="41" t="str">
        <f>IFERROR(IF(AND(BoM_Griptel[[#This Row],[Quantity]]&lt;&gt;"",BoM_Griptel[[#This Row],[Currency]]="NOK"),BoM_Griptel[[#This Row],[Quantity]]*BoM_Griptel[[#This Row],[Unit Price]],""),"")</f>
        <v/>
      </c>
      <c r="Q199" s="41" t="str">
        <f>IFERROR(IF(AND(BoM_Griptel[[#This Row],[ACT_Qty]]&lt;&gt;"",BoM_Griptel[[#This Row],[Currency]]="NOK"),BoM_Griptel[[#This Row],[ACT_Qty]]*BoM_Griptel[[#This Row],[Unit Price]],""),"")</f>
        <v/>
      </c>
      <c r="R199" s="41" t="str">
        <f>IFERROR(IF(AND(BoM_Griptel[[#This Row],[Quantity]]&lt;&gt;"",BoM_Griptel[[#This Row],[Currency]]="EUR"),BoM_Griptel[[#This Row],[Quantity]]*BoM_Griptel[[#This Row],[Unit Price]],""),"")</f>
        <v/>
      </c>
      <c r="S199" s="41" t="str">
        <f>IFERROR(IF(AND(BoM_Griptel[[#This Row],[ACT_Qty]]&lt;&gt;"",BoM_Griptel[[#This Row],[Currency]]="EUR"),BoM_Griptel[[#This Row],[ACT_Qty]]*BoM_Griptel[[#This Row],[Unit Price]],""),"")</f>
        <v/>
      </c>
      <c r="T199" s="185" t="s">
        <v>1802</v>
      </c>
      <c r="U199" s="45"/>
      <c r="V199" s="45"/>
      <c r="W199" s="143"/>
    </row>
    <row r="200" spans="1:23" ht="15" customHeight="1">
      <c r="A200" s="146" t="str">
        <f t="shared" si="4"/>
        <v>AKH12345</v>
      </c>
      <c r="B200" s="147" t="s">
        <v>2192</v>
      </c>
      <c r="C200" s="146" t="s">
        <v>2193</v>
      </c>
      <c r="D200" s="68"/>
      <c r="E200" s="89"/>
      <c r="F200" s="68"/>
      <c r="G200" s="89"/>
      <c r="H200" s="177"/>
      <c r="I200" s="178" t="s">
        <v>847</v>
      </c>
      <c r="J200" s="178" t="s">
        <v>835</v>
      </c>
      <c r="K200" s="178" t="s">
        <v>1235</v>
      </c>
      <c r="L200" s="148" t="s">
        <v>1806</v>
      </c>
      <c r="M200" s="46" t="str">
        <f t="shared" si="5"/>
        <v>OneCo Networks AS</v>
      </c>
      <c r="N200" s="42" t="str">
        <f ca="1">IFERROR(
VLOOKUP(BoM_Griptel[[#This Row],[Product code]],
IF(AND((BoQ!$N$3&lt;&gt;""),OR(BoM_Griptel[[#This Row],[Vendor]]="Griptel",BoM_Griptel[[#This Row],[Vendor]]="Solar")),INDIRECT(Aux!$A$1)),4,FALSE),"")</f>
        <v/>
      </c>
      <c r="O200" s="170" t="s">
        <v>1807</v>
      </c>
      <c r="P200" s="43" t="str">
        <f>IFERROR(IF(AND(BoM_Griptel[[#This Row],[Quantity]]&lt;&gt;"",BoM_Griptel[[#This Row],[Currency]]="NOK"),BoM_Griptel[[#This Row],[Quantity]]*BoM_Griptel[[#This Row],[Unit Price]],""),"")</f>
        <v/>
      </c>
      <c r="Q200" s="43" t="str">
        <f>IFERROR(IF(AND(BoM_Griptel[[#This Row],[ACT_Qty]]&lt;&gt;"",BoM_Griptel[[#This Row],[Currency]]="NOK"),BoM_Griptel[[#This Row],[ACT_Qty]]*BoM_Griptel[[#This Row],[Unit Price]],""),"")</f>
        <v/>
      </c>
      <c r="R200" s="43" t="str">
        <f>IFERROR(IF(AND(BoM_Griptel[[#This Row],[Quantity]]&lt;&gt;"",BoM_Griptel[[#This Row],[Currency]]="EUR"),BoM_Griptel[[#This Row],[Quantity]]*BoM_Griptel[[#This Row],[Unit Price]],""),"")</f>
        <v/>
      </c>
      <c r="S200" s="43" t="str">
        <f>IFERROR(IF(AND(BoM_Griptel[[#This Row],[ACT_Qty]]&lt;&gt;"",BoM_Griptel[[#This Row],[Currency]]="EUR"),BoM_Griptel[[#This Row],[ACT_Qty]]*BoM_Griptel[[#This Row],[Unit Price]],""),"")</f>
        <v/>
      </c>
      <c r="T200" s="186" t="s">
        <v>1802</v>
      </c>
      <c r="U200" s="46"/>
      <c r="V200" s="46"/>
      <c r="W200" s="146"/>
    </row>
    <row r="201" spans="1:23" ht="15" customHeight="1">
      <c r="A201" s="143" t="str">
        <f t="shared" si="4"/>
        <v>AKH12345</v>
      </c>
      <c r="B201" s="144" t="s">
        <v>2194</v>
      </c>
      <c r="C201" s="143" t="s">
        <v>2195</v>
      </c>
      <c r="D201" s="105"/>
      <c r="E201" s="106"/>
      <c r="F201" s="105"/>
      <c r="G201" s="106"/>
      <c r="H201" s="175"/>
      <c r="I201" s="176" t="s">
        <v>847</v>
      </c>
      <c r="J201" s="176" t="s">
        <v>835</v>
      </c>
      <c r="K201" s="176" t="s">
        <v>1235</v>
      </c>
      <c r="L201" s="145" t="s">
        <v>1806</v>
      </c>
      <c r="M201" s="45" t="str">
        <f t="shared" si="5"/>
        <v>OneCo Networks AS</v>
      </c>
      <c r="N201" s="40" t="str">
        <f ca="1">IFERROR(
VLOOKUP(BoM_Griptel[[#This Row],[Product code]],
IF(AND((BoQ!$N$3&lt;&gt;""),OR(BoM_Griptel[[#This Row],[Vendor]]="Griptel",BoM_Griptel[[#This Row],[Vendor]]="Solar")),INDIRECT(Aux!$A$1)),4,FALSE),"")</f>
        <v/>
      </c>
      <c r="O201" s="169" t="s">
        <v>1807</v>
      </c>
      <c r="P201" s="41" t="str">
        <f>IFERROR(IF(AND(BoM_Griptel[[#This Row],[Quantity]]&lt;&gt;"",BoM_Griptel[[#This Row],[Currency]]="NOK"),BoM_Griptel[[#This Row],[Quantity]]*BoM_Griptel[[#This Row],[Unit Price]],""),"")</f>
        <v/>
      </c>
      <c r="Q201" s="41" t="str">
        <f>IFERROR(IF(AND(BoM_Griptel[[#This Row],[ACT_Qty]]&lt;&gt;"",BoM_Griptel[[#This Row],[Currency]]="NOK"),BoM_Griptel[[#This Row],[ACT_Qty]]*BoM_Griptel[[#This Row],[Unit Price]],""),"")</f>
        <v/>
      </c>
      <c r="R201" s="41" t="str">
        <f>IFERROR(IF(AND(BoM_Griptel[[#This Row],[Quantity]]&lt;&gt;"",BoM_Griptel[[#This Row],[Currency]]="EUR"),BoM_Griptel[[#This Row],[Quantity]]*BoM_Griptel[[#This Row],[Unit Price]],""),"")</f>
        <v/>
      </c>
      <c r="S201" s="41" t="str">
        <f>IFERROR(IF(AND(BoM_Griptel[[#This Row],[ACT_Qty]]&lt;&gt;"",BoM_Griptel[[#This Row],[Currency]]="EUR"),BoM_Griptel[[#This Row],[ACT_Qty]]*BoM_Griptel[[#This Row],[Unit Price]],""),"")</f>
        <v/>
      </c>
      <c r="T201" s="185" t="s">
        <v>1802</v>
      </c>
      <c r="U201" s="45"/>
      <c r="V201" s="45"/>
      <c r="W201" s="143"/>
    </row>
    <row r="202" spans="1:23" ht="15" customHeight="1">
      <c r="A202" s="146" t="str">
        <f t="shared" si="4"/>
        <v>AKH12345</v>
      </c>
      <c r="B202" s="147" t="s">
        <v>2196</v>
      </c>
      <c r="C202" s="146" t="s">
        <v>2197</v>
      </c>
      <c r="D202" s="68"/>
      <c r="E202" s="89"/>
      <c r="F202" s="68"/>
      <c r="G202" s="89"/>
      <c r="H202" s="177"/>
      <c r="I202" s="178" t="s">
        <v>847</v>
      </c>
      <c r="J202" s="178" t="s">
        <v>835</v>
      </c>
      <c r="K202" s="178" t="s">
        <v>1235</v>
      </c>
      <c r="L202" s="148" t="s">
        <v>1806</v>
      </c>
      <c r="M202" s="46" t="str">
        <f t="shared" si="5"/>
        <v>OneCo Networks AS</v>
      </c>
      <c r="N202" s="42" t="str">
        <f ca="1">IFERROR(
VLOOKUP(BoM_Griptel[[#This Row],[Product code]],
IF(AND((BoQ!$N$3&lt;&gt;""),OR(BoM_Griptel[[#This Row],[Vendor]]="Griptel",BoM_Griptel[[#This Row],[Vendor]]="Solar")),INDIRECT(Aux!$A$1)),4,FALSE),"")</f>
        <v/>
      </c>
      <c r="O202" s="170" t="s">
        <v>1807</v>
      </c>
      <c r="P202" s="43" t="str">
        <f>IFERROR(IF(AND(BoM_Griptel[[#This Row],[Quantity]]&lt;&gt;"",BoM_Griptel[[#This Row],[Currency]]="NOK"),BoM_Griptel[[#This Row],[Quantity]]*BoM_Griptel[[#This Row],[Unit Price]],""),"")</f>
        <v/>
      </c>
      <c r="Q202" s="43" t="str">
        <f>IFERROR(IF(AND(BoM_Griptel[[#This Row],[ACT_Qty]]&lt;&gt;"",BoM_Griptel[[#This Row],[Currency]]="NOK"),BoM_Griptel[[#This Row],[ACT_Qty]]*BoM_Griptel[[#This Row],[Unit Price]],""),"")</f>
        <v/>
      </c>
      <c r="R202" s="43" t="str">
        <f>IFERROR(IF(AND(BoM_Griptel[[#This Row],[Quantity]]&lt;&gt;"",BoM_Griptel[[#This Row],[Currency]]="EUR"),BoM_Griptel[[#This Row],[Quantity]]*BoM_Griptel[[#This Row],[Unit Price]],""),"")</f>
        <v/>
      </c>
      <c r="S202" s="43" t="str">
        <f>IFERROR(IF(AND(BoM_Griptel[[#This Row],[ACT_Qty]]&lt;&gt;"",BoM_Griptel[[#This Row],[Currency]]="EUR"),BoM_Griptel[[#This Row],[ACT_Qty]]*BoM_Griptel[[#This Row],[Unit Price]],""),"")</f>
        <v/>
      </c>
      <c r="T202" s="186" t="s">
        <v>1802</v>
      </c>
      <c r="U202" s="46"/>
      <c r="V202" s="46"/>
      <c r="W202" s="146"/>
    </row>
    <row r="203" spans="1:23" ht="15" customHeight="1">
      <c r="A203" s="143" t="str">
        <f t="shared" si="4"/>
        <v>AKH12345</v>
      </c>
      <c r="B203" s="144" t="s">
        <v>2198</v>
      </c>
      <c r="C203" s="143" t="s">
        <v>2199</v>
      </c>
      <c r="D203" s="105"/>
      <c r="E203" s="106"/>
      <c r="F203" s="105"/>
      <c r="G203" s="106"/>
      <c r="H203" s="175"/>
      <c r="I203" s="176" t="s">
        <v>847</v>
      </c>
      <c r="J203" s="176" t="s">
        <v>2103</v>
      </c>
      <c r="K203" s="176" t="s">
        <v>1235</v>
      </c>
      <c r="L203" s="145" t="s">
        <v>1806</v>
      </c>
      <c r="M203" s="45" t="str">
        <f t="shared" si="5"/>
        <v>OneCo Networks AS</v>
      </c>
      <c r="N203" s="40" t="str">
        <f ca="1">IFERROR(
VLOOKUP(BoM_Griptel[[#This Row],[Product code]],
IF(AND((BoQ!$N$3&lt;&gt;""),OR(BoM_Griptel[[#This Row],[Vendor]]="Griptel",BoM_Griptel[[#This Row],[Vendor]]="Solar")),INDIRECT(Aux!$A$1)),4,FALSE),"")</f>
        <v/>
      </c>
      <c r="O203" s="169" t="s">
        <v>1807</v>
      </c>
      <c r="P203" s="41" t="str">
        <f>IFERROR(IF(AND(BoM_Griptel[[#This Row],[Quantity]]&lt;&gt;"",BoM_Griptel[[#This Row],[Currency]]="NOK"),BoM_Griptel[[#This Row],[Quantity]]*BoM_Griptel[[#This Row],[Unit Price]],""),"")</f>
        <v/>
      </c>
      <c r="Q203" s="41" t="str">
        <f>IFERROR(IF(AND(BoM_Griptel[[#This Row],[ACT_Qty]]&lt;&gt;"",BoM_Griptel[[#This Row],[Currency]]="NOK"),BoM_Griptel[[#This Row],[ACT_Qty]]*BoM_Griptel[[#This Row],[Unit Price]],""),"")</f>
        <v/>
      </c>
      <c r="R203" s="41" t="str">
        <f>IFERROR(IF(AND(BoM_Griptel[[#This Row],[Quantity]]&lt;&gt;"",BoM_Griptel[[#This Row],[Currency]]="EUR"),BoM_Griptel[[#This Row],[Quantity]]*BoM_Griptel[[#This Row],[Unit Price]],""),"")</f>
        <v/>
      </c>
      <c r="S203" s="41" t="str">
        <f>IFERROR(IF(AND(BoM_Griptel[[#This Row],[ACT_Qty]]&lt;&gt;"",BoM_Griptel[[#This Row],[Currency]]="EUR"),BoM_Griptel[[#This Row],[ACT_Qty]]*BoM_Griptel[[#This Row],[Unit Price]],""),"")</f>
        <v/>
      </c>
      <c r="T203" s="185" t="s">
        <v>1802</v>
      </c>
      <c r="U203" s="45"/>
      <c r="V203" s="45"/>
      <c r="W203" s="143"/>
    </row>
    <row r="204" spans="1:23" ht="15" customHeight="1">
      <c r="A204" s="146" t="str">
        <f t="shared" si="4"/>
        <v>AKH12345</v>
      </c>
      <c r="B204" s="147" t="s">
        <v>2200</v>
      </c>
      <c r="C204" s="146" t="s">
        <v>2201</v>
      </c>
      <c r="D204" s="68"/>
      <c r="E204" s="89"/>
      <c r="F204" s="68"/>
      <c r="G204" s="89"/>
      <c r="H204" s="177"/>
      <c r="I204" s="178" t="s">
        <v>847</v>
      </c>
      <c r="J204" s="178" t="s">
        <v>835</v>
      </c>
      <c r="K204" s="178" t="s">
        <v>1235</v>
      </c>
      <c r="L204" s="148" t="s">
        <v>1806</v>
      </c>
      <c r="M204" s="46" t="str">
        <f t="shared" si="5"/>
        <v>OneCo Networks AS</v>
      </c>
      <c r="N204" s="42" t="str">
        <f ca="1">IFERROR(
VLOOKUP(BoM_Griptel[[#This Row],[Product code]],
IF(AND((BoQ!$N$3&lt;&gt;""),OR(BoM_Griptel[[#This Row],[Vendor]]="Griptel",BoM_Griptel[[#This Row],[Vendor]]="Solar")),INDIRECT(Aux!$A$1)),4,FALSE),"")</f>
        <v/>
      </c>
      <c r="O204" s="170" t="s">
        <v>1807</v>
      </c>
      <c r="P204" s="43" t="str">
        <f>IFERROR(IF(AND(BoM_Griptel[[#This Row],[Quantity]]&lt;&gt;"",BoM_Griptel[[#This Row],[Currency]]="NOK"),BoM_Griptel[[#This Row],[Quantity]]*BoM_Griptel[[#This Row],[Unit Price]],""),"")</f>
        <v/>
      </c>
      <c r="Q204" s="43" t="str">
        <f>IFERROR(IF(AND(BoM_Griptel[[#This Row],[ACT_Qty]]&lt;&gt;"",BoM_Griptel[[#This Row],[Currency]]="NOK"),BoM_Griptel[[#This Row],[ACT_Qty]]*BoM_Griptel[[#This Row],[Unit Price]],""),"")</f>
        <v/>
      </c>
      <c r="R204" s="43" t="str">
        <f>IFERROR(IF(AND(BoM_Griptel[[#This Row],[Quantity]]&lt;&gt;"",BoM_Griptel[[#This Row],[Currency]]="EUR"),BoM_Griptel[[#This Row],[Quantity]]*BoM_Griptel[[#This Row],[Unit Price]],""),"")</f>
        <v/>
      </c>
      <c r="S204" s="43" t="str">
        <f>IFERROR(IF(AND(BoM_Griptel[[#This Row],[ACT_Qty]]&lt;&gt;"",BoM_Griptel[[#This Row],[Currency]]="EUR"),BoM_Griptel[[#This Row],[ACT_Qty]]*BoM_Griptel[[#This Row],[Unit Price]],""),"")</f>
        <v/>
      </c>
      <c r="T204" s="186" t="s">
        <v>1802</v>
      </c>
      <c r="U204" s="46"/>
      <c r="V204" s="46"/>
      <c r="W204" s="146"/>
    </row>
    <row r="205" spans="1:23" ht="15" customHeight="1">
      <c r="A205" s="143" t="str">
        <f t="shared" ref="A205:A268" si="6">IF($C$4&lt;&gt;"",$C$4,"")</f>
        <v>AKH12345</v>
      </c>
      <c r="B205" s="144" t="s">
        <v>2202</v>
      </c>
      <c r="C205" s="143" t="s">
        <v>2203</v>
      </c>
      <c r="D205" s="105"/>
      <c r="E205" s="106"/>
      <c r="F205" s="105"/>
      <c r="G205" s="106"/>
      <c r="H205" s="175"/>
      <c r="I205" s="176" t="s">
        <v>847</v>
      </c>
      <c r="J205" s="176" t="s">
        <v>835</v>
      </c>
      <c r="K205" s="176" t="s">
        <v>1235</v>
      </c>
      <c r="L205" s="145" t="s">
        <v>1806</v>
      </c>
      <c r="M205" s="45" t="str">
        <f t="shared" si="5"/>
        <v>OneCo Networks AS</v>
      </c>
      <c r="N205" s="40" t="str">
        <f ca="1">IFERROR(
VLOOKUP(BoM_Griptel[[#This Row],[Product code]],
IF(AND((BoQ!$N$3&lt;&gt;""),OR(BoM_Griptel[[#This Row],[Vendor]]="Griptel",BoM_Griptel[[#This Row],[Vendor]]="Solar")),INDIRECT(Aux!$A$1)),4,FALSE),"")</f>
        <v/>
      </c>
      <c r="O205" s="169" t="s">
        <v>1807</v>
      </c>
      <c r="P205" s="41" t="str">
        <f>IFERROR(IF(AND(BoM_Griptel[[#This Row],[Quantity]]&lt;&gt;"",BoM_Griptel[[#This Row],[Currency]]="NOK"),BoM_Griptel[[#This Row],[Quantity]]*BoM_Griptel[[#This Row],[Unit Price]],""),"")</f>
        <v/>
      </c>
      <c r="Q205" s="41" t="str">
        <f>IFERROR(IF(AND(BoM_Griptel[[#This Row],[ACT_Qty]]&lt;&gt;"",BoM_Griptel[[#This Row],[Currency]]="NOK"),BoM_Griptel[[#This Row],[ACT_Qty]]*BoM_Griptel[[#This Row],[Unit Price]],""),"")</f>
        <v/>
      </c>
      <c r="R205" s="41" t="str">
        <f>IFERROR(IF(AND(BoM_Griptel[[#This Row],[Quantity]]&lt;&gt;"",BoM_Griptel[[#This Row],[Currency]]="EUR"),BoM_Griptel[[#This Row],[Quantity]]*BoM_Griptel[[#This Row],[Unit Price]],""),"")</f>
        <v/>
      </c>
      <c r="S205" s="41" t="str">
        <f>IFERROR(IF(AND(BoM_Griptel[[#This Row],[ACT_Qty]]&lt;&gt;"",BoM_Griptel[[#This Row],[Currency]]="EUR"),BoM_Griptel[[#This Row],[ACT_Qty]]*BoM_Griptel[[#This Row],[Unit Price]],""),"")</f>
        <v/>
      </c>
      <c r="T205" s="185" t="s">
        <v>1802</v>
      </c>
      <c r="U205" s="45"/>
      <c r="V205" s="45"/>
      <c r="W205" s="143"/>
    </row>
    <row r="206" spans="1:23" ht="15" customHeight="1">
      <c r="A206" s="146" t="str">
        <f t="shared" si="6"/>
        <v>AKH12345</v>
      </c>
      <c r="B206" s="147" t="s">
        <v>2204</v>
      </c>
      <c r="C206" s="146" t="s">
        <v>2205</v>
      </c>
      <c r="D206" s="68"/>
      <c r="E206" s="89"/>
      <c r="F206" s="68"/>
      <c r="G206" s="89"/>
      <c r="H206" s="177"/>
      <c r="I206" s="178" t="s">
        <v>847</v>
      </c>
      <c r="J206" s="178" t="s">
        <v>2206</v>
      </c>
      <c r="K206" s="178" t="s">
        <v>1235</v>
      </c>
      <c r="L206" s="148" t="s">
        <v>1806</v>
      </c>
      <c r="M206" s="46" t="str">
        <f t="shared" si="5"/>
        <v>OneCo Networks AS</v>
      </c>
      <c r="N206" s="42" t="str">
        <f ca="1">IFERROR(
VLOOKUP(BoM_Griptel[[#This Row],[Product code]],
IF(AND((BoQ!$N$3&lt;&gt;""),OR(BoM_Griptel[[#This Row],[Vendor]]="Griptel",BoM_Griptel[[#This Row],[Vendor]]="Solar")),INDIRECT(Aux!$A$1)),4,FALSE),"")</f>
        <v/>
      </c>
      <c r="O206" s="170" t="s">
        <v>1807</v>
      </c>
      <c r="P206" s="43" t="str">
        <f>IFERROR(IF(AND(BoM_Griptel[[#This Row],[Quantity]]&lt;&gt;"",BoM_Griptel[[#This Row],[Currency]]="NOK"),BoM_Griptel[[#This Row],[Quantity]]*BoM_Griptel[[#This Row],[Unit Price]],""),"")</f>
        <v/>
      </c>
      <c r="Q206" s="43" t="str">
        <f>IFERROR(IF(AND(BoM_Griptel[[#This Row],[ACT_Qty]]&lt;&gt;"",BoM_Griptel[[#This Row],[Currency]]="NOK"),BoM_Griptel[[#This Row],[ACT_Qty]]*BoM_Griptel[[#This Row],[Unit Price]],""),"")</f>
        <v/>
      </c>
      <c r="R206" s="43" t="str">
        <f>IFERROR(IF(AND(BoM_Griptel[[#This Row],[Quantity]]&lt;&gt;"",BoM_Griptel[[#This Row],[Currency]]="EUR"),BoM_Griptel[[#This Row],[Quantity]]*BoM_Griptel[[#This Row],[Unit Price]],""),"")</f>
        <v/>
      </c>
      <c r="S206" s="43" t="str">
        <f>IFERROR(IF(AND(BoM_Griptel[[#This Row],[ACT_Qty]]&lt;&gt;"",BoM_Griptel[[#This Row],[Currency]]="EUR"),BoM_Griptel[[#This Row],[ACT_Qty]]*BoM_Griptel[[#This Row],[Unit Price]],""),"")</f>
        <v/>
      </c>
      <c r="T206" s="186" t="s">
        <v>1802</v>
      </c>
      <c r="U206" s="46"/>
      <c r="V206" s="46"/>
      <c r="W206" s="146"/>
    </row>
    <row r="207" spans="1:23" ht="15" customHeight="1">
      <c r="A207" s="143" t="str">
        <f t="shared" si="6"/>
        <v>AKH12345</v>
      </c>
      <c r="B207" s="144" t="s">
        <v>2207</v>
      </c>
      <c r="C207" s="143" t="s">
        <v>2208</v>
      </c>
      <c r="D207" s="105"/>
      <c r="E207" s="106"/>
      <c r="F207" s="105"/>
      <c r="G207" s="106"/>
      <c r="H207" s="175"/>
      <c r="I207" s="176" t="s">
        <v>847</v>
      </c>
      <c r="J207" s="176" t="s">
        <v>2206</v>
      </c>
      <c r="K207" s="176" t="s">
        <v>1235</v>
      </c>
      <c r="L207" s="145" t="s">
        <v>1806</v>
      </c>
      <c r="M207" s="45" t="str">
        <f t="shared" si="5"/>
        <v>OneCo Networks AS</v>
      </c>
      <c r="N207" s="40" t="str">
        <f ca="1">IFERROR(
VLOOKUP(BoM_Griptel[[#This Row],[Product code]],
IF(AND((BoQ!$N$3&lt;&gt;""),OR(BoM_Griptel[[#This Row],[Vendor]]="Griptel",BoM_Griptel[[#This Row],[Vendor]]="Solar")),INDIRECT(Aux!$A$1)),4,FALSE),"")</f>
        <v/>
      </c>
      <c r="O207" s="169" t="s">
        <v>1807</v>
      </c>
      <c r="P207" s="41" t="str">
        <f>IFERROR(IF(AND(BoM_Griptel[[#This Row],[Quantity]]&lt;&gt;"",BoM_Griptel[[#This Row],[Currency]]="NOK"),BoM_Griptel[[#This Row],[Quantity]]*BoM_Griptel[[#This Row],[Unit Price]],""),"")</f>
        <v/>
      </c>
      <c r="Q207" s="41" t="str">
        <f>IFERROR(IF(AND(BoM_Griptel[[#This Row],[ACT_Qty]]&lt;&gt;"",BoM_Griptel[[#This Row],[Currency]]="NOK"),BoM_Griptel[[#This Row],[ACT_Qty]]*BoM_Griptel[[#This Row],[Unit Price]],""),"")</f>
        <v/>
      </c>
      <c r="R207" s="41" t="str">
        <f>IFERROR(IF(AND(BoM_Griptel[[#This Row],[Quantity]]&lt;&gt;"",BoM_Griptel[[#This Row],[Currency]]="EUR"),BoM_Griptel[[#This Row],[Quantity]]*BoM_Griptel[[#This Row],[Unit Price]],""),"")</f>
        <v/>
      </c>
      <c r="S207" s="41" t="str">
        <f>IFERROR(IF(AND(BoM_Griptel[[#This Row],[ACT_Qty]]&lt;&gt;"",BoM_Griptel[[#This Row],[Currency]]="EUR"),BoM_Griptel[[#This Row],[ACT_Qty]]*BoM_Griptel[[#This Row],[Unit Price]],""),"")</f>
        <v/>
      </c>
      <c r="T207" s="185" t="s">
        <v>1802</v>
      </c>
      <c r="U207" s="45"/>
      <c r="V207" s="45"/>
      <c r="W207" s="143"/>
    </row>
    <row r="208" spans="1:23" ht="15" customHeight="1">
      <c r="A208" s="146" t="str">
        <f t="shared" si="6"/>
        <v>AKH12345</v>
      </c>
      <c r="B208" s="147" t="s">
        <v>2209</v>
      </c>
      <c r="C208" s="146" t="s">
        <v>2210</v>
      </c>
      <c r="D208" s="68"/>
      <c r="E208" s="89"/>
      <c r="F208" s="68"/>
      <c r="G208" s="89"/>
      <c r="H208" s="177"/>
      <c r="I208" s="178" t="s">
        <v>847</v>
      </c>
      <c r="J208" s="178" t="s">
        <v>2206</v>
      </c>
      <c r="K208" s="178" t="s">
        <v>1235</v>
      </c>
      <c r="L208" s="148" t="s">
        <v>1806</v>
      </c>
      <c r="M208" s="46" t="str">
        <f t="shared" si="5"/>
        <v>OneCo Networks AS</v>
      </c>
      <c r="N208" s="42" t="str">
        <f ca="1">IFERROR(
VLOOKUP(BoM_Griptel[[#This Row],[Product code]],
IF(AND((BoQ!$N$3&lt;&gt;""),OR(BoM_Griptel[[#This Row],[Vendor]]="Griptel",BoM_Griptel[[#This Row],[Vendor]]="Solar")),INDIRECT(Aux!$A$1)),4,FALSE),"")</f>
        <v/>
      </c>
      <c r="O208" s="170" t="s">
        <v>1807</v>
      </c>
      <c r="P208" s="43" t="str">
        <f>IFERROR(IF(AND(BoM_Griptel[[#This Row],[Quantity]]&lt;&gt;"",BoM_Griptel[[#This Row],[Currency]]="NOK"),BoM_Griptel[[#This Row],[Quantity]]*BoM_Griptel[[#This Row],[Unit Price]],""),"")</f>
        <v/>
      </c>
      <c r="Q208" s="43" t="str">
        <f>IFERROR(IF(AND(BoM_Griptel[[#This Row],[ACT_Qty]]&lt;&gt;"",BoM_Griptel[[#This Row],[Currency]]="NOK"),BoM_Griptel[[#This Row],[ACT_Qty]]*BoM_Griptel[[#This Row],[Unit Price]],""),"")</f>
        <v/>
      </c>
      <c r="R208" s="43" t="str">
        <f>IFERROR(IF(AND(BoM_Griptel[[#This Row],[Quantity]]&lt;&gt;"",BoM_Griptel[[#This Row],[Currency]]="EUR"),BoM_Griptel[[#This Row],[Quantity]]*BoM_Griptel[[#This Row],[Unit Price]],""),"")</f>
        <v/>
      </c>
      <c r="S208" s="43" t="str">
        <f>IFERROR(IF(AND(BoM_Griptel[[#This Row],[ACT_Qty]]&lt;&gt;"",BoM_Griptel[[#This Row],[Currency]]="EUR"),BoM_Griptel[[#This Row],[ACT_Qty]]*BoM_Griptel[[#This Row],[Unit Price]],""),"")</f>
        <v/>
      </c>
      <c r="T208" s="186" t="s">
        <v>1802</v>
      </c>
      <c r="U208" s="46"/>
      <c r="V208" s="46"/>
      <c r="W208" s="146"/>
    </row>
    <row r="209" spans="1:23" ht="15" customHeight="1">
      <c r="A209" s="143" t="str">
        <f t="shared" si="6"/>
        <v>AKH12345</v>
      </c>
      <c r="B209" s="144" t="s">
        <v>2211</v>
      </c>
      <c r="C209" s="143" t="s">
        <v>2212</v>
      </c>
      <c r="D209" s="105"/>
      <c r="E209" s="106"/>
      <c r="F209" s="105"/>
      <c r="G209" s="106"/>
      <c r="H209" s="175"/>
      <c r="I209" s="176" t="s">
        <v>847</v>
      </c>
      <c r="J209" s="176" t="s">
        <v>2206</v>
      </c>
      <c r="K209" s="176" t="s">
        <v>1235</v>
      </c>
      <c r="L209" s="145" t="s">
        <v>1806</v>
      </c>
      <c r="M209" s="45" t="str">
        <f t="shared" ref="M209:M273" si="7">IF($C$3&lt;&gt;"",$C$3,"")</f>
        <v>OneCo Networks AS</v>
      </c>
      <c r="N209" s="40" t="str">
        <f ca="1">IFERROR(
VLOOKUP(BoM_Griptel[[#This Row],[Product code]],
IF(AND((BoQ!$N$3&lt;&gt;""),OR(BoM_Griptel[[#This Row],[Vendor]]="Griptel",BoM_Griptel[[#This Row],[Vendor]]="Solar")),INDIRECT(Aux!$A$1)),4,FALSE),"")</f>
        <v/>
      </c>
      <c r="O209" s="169" t="s">
        <v>1807</v>
      </c>
      <c r="P209" s="41" t="str">
        <f>IFERROR(IF(AND(BoM_Griptel[[#This Row],[Quantity]]&lt;&gt;"",BoM_Griptel[[#This Row],[Currency]]="NOK"),BoM_Griptel[[#This Row],[Quantity]]*BoM_Griptel[[#This Row],[Unit Price]],""),"")</f>
        <v/>
      </c>
      <c r="Q209" s="41" t="str">
        <f>IFERROR(IF(AND(BoM_Griptel[[#This Row],[ACT_Qty]]&lt;&gt;"",BoM_Griptel[[#This Row],[Currency]]="NOK"),BoM_Griptel[[#This Row],[ACT_Qty]]*BoM_Griptel[[#This Row],[Unit Price]],""),"")</f>
        <v/>
      </c>
      <c r="R209" s="41" t="str">
        <f>IFERROR(IF(AND(BoM_Griptel[[#This Row],[Quantity]]&lt;&gt;"",BoM_Griptel[[#This Row],[Currency]]="EUR"),BoM_Griptel[[#This Row],[Quantity]]*BoM_Griptel[[#This Row],[Unit Price]],""),"")</f>
        <v/>
      </c>
      <c r="S209" s="41" t="str">
        <f>IFERROR(IF(AND(BoM_Griptel[[#This Row],[ACT_Qty]]&lt;&gt;"",BoM_Griptel[[#This Row],[Currency]]="EUR"),BoM_Griptel[[#This Row],[ACT_Qty]]*BoM_Griptel[[#This Row],[Unit Price]],""),"")</f>
        <v/>
      </c>
      <c r="T209" s="185" t="s">
        <v>1802</v>
      </c>
      <c r="U209" s="45"/>
      <c r="V209" s="45"/>
      <c r="W209" s="143"/>
    </row>
    <row r="210" spans="1:23" ht="15" customHeight="1">
      <c r="A210" s="146" t="str">
        <f t="shared" si="6"/>
        <v>AKH12345</v>
      </c>
      <c r="B210" s="147" t="s">
        <v>2213</v>
      </c>
      <c r="C210" s="146" t="s">
        <v>2214</v>
      </c>
      <c r="D210" s="68"/>
      <c r="E210" s="89"/>
      <c r="F210" s="68"/>
      <c r="G210" s="89"/>
      <c r="H210" s="177"/>
      <c r="I210" s="178" t="s">
        <v>847</v>
      </c>
      <c r="J210" s="178" t="s">
        <v>2206</v>
      </c>
      <c r="K210" s="178" t="s">
        <v>1235</v>
      </c>
      <c r="L210" s="148" t="s">
        <v>1806</v>
      </c>
      <c r="M210" s="46" t="str">
        <f t="shared" si="7"/>
        <v>OneCo Networks AS</v>
      </c>
      <c r="N210" s="42" t="str">
        <f ca="1">IFERROR(
VLOOKUP(BoM_Griptel[[#This Row],[Product code]],
IF(AND((BoQ!$N$3&lt;&gt;""),OR(BoM_Griptel[[#This Row],[Vendor]]="Griptel",BoM_Griptel[[#This Row],[Vendor]]="Solar")),INDIRECT(Aux!$A$1)),4,FALSE),"")</f>
        <v/>
      </c>
      <c r="O210" s="170" t="s">
        <v>1807</v>
      </c>
      <c r="P210" s="43" t="str">
        <f>IFERROR(IF(AND(BoM_Griptel[[#This Row],[Quantity]]&lt;&gt;"",BoM_Griptel[[#This Row],[Currency]]="NOK"),BoM_Griptel[[#This Row],[Quantity]]*BoM_Griptel[[#This Row],[Unit Price]],""),"")</f>
        <v/>
      </c>
      <c r="Q210" s="43" t="str">
        <f>IFERROR(IF(AND(BoM_Griptel[[#This Row],[ACT_Qty]]&lt;&gt;"",BoM_Griptel[[#This Row],[Currency]]="NOK"),BoM_Griptel[[#This Row],[ACT_Qty]]*BoM_Griptel[[#This Row],[Unit Price]],""),"")</f>
        <v/>
      </c>
      <c r="R210" s="43" t="str">
        <f>IFERROR(IF(AND(BoM_Griptel[[#This Row],[Quantity]]&lt;&gt;"",BoM_Griptel[[#This Row],[Currency]]="EUR"),BoM_Griptel[[#This Row],[Quantity]]*BoM_Griptel[[#This Row],[Unit Price]],""),"")</f>
        <v/>
      </c>
      <c r="S210" s="43" t="str">
        <f>IFERROR(IF(AND(BoM_Griptel[[#This Row],[ACT_Qty]]&lt;&gt;"",BoM_Griptel[[#This Row],[Currency]]="EUR"),BoM_Griptel[[#This Row],[ACT_Qty]]*BoM_Griptel[[#This Row],[Unit Price]],""),"")</f>
        <v/>
      </c>
      <c r="T210" s="186" t="s">
        <v>1802</v>
      </c>
      <c r="U210" s="46"/>
      <c r="V210" s="46"/>
      <c r="W210" s="146"/>
    </row>
    <row r="211" spans="1:23" ht="15" customHeight="1">
      <c r="A211" s="143" t="str">
        <f t="shared" si="6"/>
        <v>AKH12345</v>
      </c>
      <c r="B211" s="144" t="s">
        <v>2215</v>
      </c>
      <c r="C211" s="143" t="s">
        <v>2216</v>
      </c>
      <c r="D211" s="105"/>
      <c r="E211" s="106"/>
      <c r="F211" s="105"/>
      <c r="G211" s="106"/>
      <c r="H211" s="175"/>
      <c r="I211" s="176" t="s">
        <v>847</v>
      </c>
      <c r="J211" s="176" t="s">
        <v>2206</v>
      </c>
      <c r="K211" s="176" t="s">
        <v>1235</v>
      </c>
      <c r="L211" s="145" t="s">
        <v>1806</v>
      </c>
      <c r="M211" s="45" t="str">
        <f t="shared" si="7"/>
        <v>OneCo Networks AS</v>
      </c>
      <c r="N211" s="40" t="str">
        <f ca="1">IFERROR(
VLOOKUP(BoM_Griptel[[#This Row],[Product code]],
IF(AND((BoQ!$N$3&lt;&gt;""),OR(BoM_Griptel[[#This Row],[Vendor]]="Griptel",BoM_Griptel[[#This Row],[Vendor]]="Solar")),INDIRECT(Aux!$A$1)),4,FALSE),"")</f>
        <v/>
      </c>
      <c r="O211" s="169" t="s">
        <v>1807</v>
      </c>
      <c r="P211" s="41" t="str">
        <f>IFERROR(IF(AND(BoM_Griptel[[#This Row],[Quantity]]&lt;&gt;"",BoM_Griptel[[#This Row],[Currency]]="NOK"),BoM_Griptel[[#This Row],[Quantity]]*BoM_Griptel[[#This Row],[Unit Price]],""),"")</f>
        <v/>
      </c>
      <c r="Q211" s="41" t="str">
        <f>IFERROR(IF(AND(BoM_Griptel[[#This Row],[ACT_Qty]]&lt;&gt;"",BoM_Griptel[[#This Row],[Currency]]="NOK"),BoM_Griptel[[#This Row],[ACT_Qty]]*BoM_Griptel[[#This Row],[Unit Price]],""),"")</f>
        <v/>
      </c>
      <c r="R211" s="41" t="str">
        <f>IFERROR(IF(AND(BoM_Griptel[[#This Row],[Quantity]]&lt;&gt;"",BoM_Griptel[[#This Row],[Currency]]="EUR"),BoM_Griptel[[#This Row],[Quantity]]*BoM_Griptel[[#This Row],[Unit Price]],""),"")</f>
        <v/>
      </c>
      <c r="S211" s="41" t="str">
        <f>IFERROR(IF(AND(BoM_Griptel[[#This Row],[ACT_Qty]]&lt;&gt;"",BoM_Griptel[[#This Row],[Currency]]="EUR"),BoM_Griptel[[#This Row],[ACT_Qty]]*BoM_Griptel[[#This Row],[Unit Price]],""),"")</f>
        <v/>
      </c>
      <c r="T211" s="185" t="s">
        <v>1802</v>
      </c>
      <c r="U211" s="45"/>
      <c r="V211" s="45"/>
      <c r="W211" s="143"/>
    </row>
    <row r="212" spans="1:23" ht="15" customHeight="1">
      <c r="A212" s="146" t="str">
        <f t="shared" si="6"/>
        <v>AKH12345</v>
      </c>
      <c r="B212" s="147" t="s">
        <v>2217</v>
      </c>
      <c r="C212" s="146" t="s">
        <v>2218</v>
      </c>
      <c r="D212" s="68"/>
      <c r="E212" s="89"/>
      <c r="F212" s="68"/>
      <c r="G212" s="89"/>
      <c r="H212" s="177"/>
      <c r="I212" s="178" t="s">
        <v>847</v>
      </c>
      <c r="J212" s="178" t="s">
        <v>2206</v>
      </c>
      <c r="K212" s="178" t="s">
        <v>1235</v>
      </c>
      <c r="L212" s="148" t="s">
        <v>1806</v>
      </c>
      <c r="M212" s="46" t="str">
        <f t="shared" si="7"/>
        <v>OneCo Networks AS</v>
      </c>
      <c r="N212" s="42" t="str">
        <f ca="1">IFERROR(
VLOOKUP(BoM_Griptel[[#This Row],[Product code]],
IF(AND((BoQ!$N$3&lt;&gt;""),OR(BoM_Griptel[[#This Row],[Vendor]]="Griptel",BoM_Griptel[[#This Row],[Vendor]]="Solar")),INDIRECT(Aux!$A$1)),4,FALSE),"")</f>
        <v/>
      </c>
      <c r="O212" s="170" t="s">
        <v>1807</v>
      </c>
      <c r="P212" s="43" t="str">
        <f>IFERROR(IF(AND(BoM_Griptel[[#This Row],[Quantity]]&lt;&gt;"",BoM_Griptel[[#This Row],[Currency]]="NOK"),BoM_Griptel[[#This Row],[Quantity]]*BoM_Griptel[[#This Row],[Unit Price]],""),"")</f>
        <v/>
      </c>
      <c r="Q212" s="43" t="str">
        <f>IFERROR(IF(AND(BoM_Griptel[[#This Row],[ACT_Qty]]&lt;&gt;"",BoM_Griptel[[#This Row],[Currency]]="NOK"),BoM_Griptel[[#This Row],[ACT_Qty]]*BoM_Griptel[[#This Row],[Unit Price]],""),"")</f>
        <v/>
      </c>
      <c r="R212" s="43" t="str">
        <f>IFERROR(IF(AND(BoM_Griptel[[#This Row],[Quantity]]&lt;&gt;"",BoM_Griptel[[#This Row],[Currency]]="EUR"),BoM_Griptel[[#This Row],[Quantity]]*BoM_Griptel[[#This Row],[Unit Price]],""),"")</f>
        <v/>
      </c>
      <c r="S212" s="43" t="str">
        <f>IFERROR(IF(AND(BoM_Griptel[[#This Row],[ACT_Qty]]&lt;&gt;"",BoM_Griptel[[#This Row],[Currency]]="EUR"),BoM_Griptel[[#This Row],[ACT_Qty]]*BoM_Griptel[[#This Row],[Unit Price]],""),"")</f>
        <v/>
      </c>
      <c r="T212" s="186" t="s">
        <v>1802</v>
      </c>
      <c r="U212" s="46"/>
      <c r="V212" s="46"/>
      <c r="W212" s="146"/>
    </row>
    <row r="213" spans="1:23" ht="15" customHeight="1">
      <c r="A213" s="143" t="str">
        <f t="shared" si="6"/>
        <v>AKH12345</v>
      </c>
      <c r="B213" s="144" t="s">
        <v>2219</v>
      </c>
      <c r="C213" s="143" t="s">
        <v>2220</v>
      </c>
      <c r="D213" s="105"/>
      <c r="E213" s="106"/>
      <c r="F213" s="105"/>
      <c r="G213" s="106"/>
      <c r="H213" s="175"/>
      <c r="I213" s="176" t="s">
        <v>847</v>
      </c>
      <c r="J213" s="176" t="s">
        <v>2221</v>
      </c>
      <c r="K213" s="176" t="s">
        <v>1235</v>
      </c>
      <c r="L213" s="145" t="s">
        <v>1806</v>
      </c>
      <c r="M213" s="45" t="str">
        <f t="shared" si="7"/>
        <v>OneCo Networks AS</v>
      </c>
      <c r="N213" s="40" t="str">
        <f ca="1">IFERROR(
VLOOKUP(BoM_Griptel[[#This Row],[Product code]],
IF(AND((BoQ!$N$3&lt;&gt;""),OR(BoM_Griptel[[#This Row],[Vendor]]="Griptel",BoM_Griptel[[#This Row],[Vendor]]="Solar")),INDIRECT(Aux!$A$1)),4,FALSE),"")</f>
        <v/>
      </c>
      <c r="O213" s="169" t="s">
        <v>1807</v>
      </c>
      <c r="P213" s="41" t="str">
        <f>IFERROR(IF(AND(BoM_Griptel[[#This Row],[Quantity]]&lt;&gt;"",BoM_Griptel[[#This Row],[Currency]]="NOK"),BoM_Griptel[[#This Row],[Quantity]]*BoM_Griptel[[#This Row],[Unit Price]],""),"")</f>
        <v/>
      </c>
      <c r="Q213" s="41" t="str">
        <f>IFERROR(IF(AND(BoM_Griptel[[#This Row],[ACT_Qty]]&lt;&gt;"",BoM_Griptel[[#This Row],[Currency]]="NOK"),BoM_Griptel[[#This Row],[ACT_Qty]]*BoM_Griptel[[#This Row],[Unit Price]],""),"")</f>
        <v/>
      </c>
      <c r="R213" s="41" t="str">
        <f>IFERROR(IF(AND(BoM_Griptel[[#This Row],[Quantity]]&lt;&gt;"",BoM_Griptel[[#This Row],[Currency]]="EUR"),BoM_Griptel[[#This Row],[Quantity]]*BoM_Griptel[[#This Row],[Unit Price]],""),"")</f>
        <v/>
      </c>
      <c r="S213" s="41" t="str">
        <f>IFERROR(IF(AND(BoM_Griptel[[#This Row],[ACT_Qty]]&lt;&gt;"",BoM_Griptel[[#This Row],[Currency]]="EUR"),BoM_Griptel[[#This Row],[ACT_Qty]]*BoM_Griptel[[#This Row],[Unit Price]],""),"")</f>
        <v/>
      </c>
      <c r="T213" s="185" t="s">
        <v>1802</v>
      </c>
      <c r="U213" s="45"/>
      <c r="V213" s="45"/>
      <c r="W213" s="143"/>
    </row>
    <row r="214" spans="1:23" ht="15" customHeight="1">
      <c r="A214" s="146" t="str">
        <f t="shared" si="6"/>
        <v>AKH12345</v>
      </c>
      <c r="B214" s="147" t="s">
        <v>2222</v>
      </c>
      <c r="C214" s="146" t="s">
        <v>2223</v>
      </c>
      <c r="D214" s="68"/>
      <c r="E214" s="89"/>
      <c r="F214" s="68"/>
      <c r="G214" s="89"/>
      <c r="H214" s="177"/>
      <c r="I214" s="178" t="s">
        <v>847</v>
      </c>
      <c r="J214" s="178" t="s">
        <v>2206</v>
      </c>
      <c r="K214" s="178" t="s">
        <v>1235</v>
      </c>
      <c r="L214" s="148" t="s">
        <v>1806</v>
      </c>
      <c r="M214" s="46" t="str">
        <f t="shared" si="7"/>
        <v>OneCo Networks AS</v>
      </c>
      <c r="N214" s="42" t="str">
        <f ca="1">IFERROR(
VLOOKUP(BoM_Griptel[[#This Row],[Product code]],
IF(AND((BoQ!$N$3&lt;&gt;""),OR(BoM_Griptel[[#This Row],[Vendor]]="Griptel",BoM_Griptel[[#This Row],[Vendor]]="Solar")),INDIRECT(Aux!$A$1)),4,FALSE),"")</f>
        <v/>
      </c>
      <c r="O214" s="170" t="s">
        <v>1807</v>
      </c>
      <c r="P214" s="43" t="str">
        <f>IFERROR(IF(AND(BoM_Griptel[[#This Row],[Quantity]]&lt;&gt;"",BoM_Griptel[[#This Row],[Currency]]="NOK"),BoM_Griptel[[#This Row],[Quantity]]*BoM_Griptel[[#This Row],[Unit Price]],""),"")</f>
        <v/>
      </c>
      <c r="Q214" s="43" t="str">
        <f>IFERROR(IF(AND(BoM_Griptel[[#This Row],[ACT_Qty]]&lt;&gt;"",BoM_Griptel[[#This Row],[Currency]]="NOK"),BoM_Griptel[[#This Row],[ACT_Qty]]*BoM_Griptel[[#This Row],[Unit Price]],""),"")</f>
        <v/>
      </c>
      <c r="R214" s="43" t="str">
        <f>IFERROR(IF(AND(BoM_Griptel[[#This Row],[Quantity]]&lt;&gt;"",BoM_Griptel[[#This Row],[Currency]]="EUR"),BoM_Griptel[[#This Row],[Quantity]]*BoM_Griptel[[#This Row],[Unit Price]],""),"")</f>
        <v/>
      </c>
      <c r="S214" s="43" t="str">
        <f>IFERROR(IF(AND(BoM_Griptel[[#This Row],[ACT_Qty]]&lt;&gt;"",BoM_Griptel[[#This Row],[Currency]]="EUR"),BoM_Griptel[[#This Row],[ACT_Qty]]*BoM_Griptel[[#This Row],[Unit Price]],""),"")</f>
        <v/>
      </c>
      <c r="T214" s="186" t="s">
        <v>1802</v>
      </c>
      <c r="U214" s="46"/>
      <c r="V214" s="46"/>
      <c r="W214" s="146"/>
    </row>
    <row r="215" spans="1:23" ht="15" customHeight="1">
      <c r="A215" s="143" t="str">
        <f t="shared" si="6"/>
        <v>AKH12345</v>
      </c>
      <c r="B215" s="144" t="s">
        <v>2224</v>
      </c>
      <c r="C215" s="143" t="s">
        <v>2225</v>
      </c>
      <c r="D215" s="105"/>
      <c r="E215" s="106"/>
      <c r="F215" s="105"/>
      <c r="G215" s="106"/>
      <c r="H215" s="175"/>
      <c r="I215" s="176" t="s">
        <v>847</v>
      </c>
      <c r="J215" s="176" t="s">
        <v>2206</v>
      </c>
      <c r="K215" s="176" t="s">
        <v>1235</v>
      </c>
      <c r="L215" s="145" t="s">
        <v>1806</v>
      </c>
      <c r="M215" s="45" t="str">
        <f t="shared" si="7"/>
        <v>OneCo Networks AS</v>
      </c>
      <c r="N215" s="40" t="str">
        <f ca="1">IFERROR(
VLOOKUP(BoM_Griptel[[#This Row],[Product code]],
IF(AND((BoQ!$N$3&lt;&gt;""),OR(BoM_Griptel[[#This Row],[Vendor]]="Griptel",BoM_Griptel[[#This Row],[Vendor]]="Solar")),INDIRECT(Aux!$A$1)),4,FALSE),"")</f>
        <v/>
      </c>
      <c r="O215" s="169" t="s">
        <v>1807</v>
      </c>
      <c r="P215" s="41" t="str">
        <f>IFERROR(IF(AND(BoM_Griptel[[#This Row],[Quantity]]&lt;&gt;"",BoM_Griptel[[#This Row],[Currency]]="NOK"),BoM_Griptel[[#This Row],[Quantity]]*BoM_Griptel[[#This Row],[Unit Price]],""),"")</f>
        <v/>
      </c>
      <c r="Q215" s="41" t="str">
        <f>IFERROR(IF(AND(BoM_Griptel[[#This Row],[ACT_Qty]]&lt;&gt;"",BoM_Griptel[[#This Row],[Currency]]="NOK"),BoM_Griptel[[#This Row],[ACT_Qty]]*BoM_Griptel[[#This Row],[Unit Price]],""),"")</f>
        <v/>
      </c>
      <c r="R215" s="41" t="str">
        <f>IFERROR(IF(AND(BoM_Griptel[[#This Row],[Quantity]]&lt;&gt;"",BoM_Griptel[[#This Row],[Currency]]="EUR"),BoM_Griptel[[#This Row],[Quantity]]*BoM_Griptel[[#This Row],[Unit Price]],""),"")</f>
        <v/>
      </c>
      <c r="S215" s="41" t="str">
        <f>IFERROR(IF(AND(BoM_Griptel[[#This Row],[ACT_Qty]]&lt;&gt;"",BoM_Griptel[[#This Row],[Currency]]="EUR"),BoM_Griptel[[#This Row],[ACT_Qty]]*BoM_Griptel[[#This Row],[Unit Price]],""),"")</f>
        <v/>
      </c>
      <c r="T215" s="185" t="s">
        <v>1802</v>
      </c>
      <c r="U215" s="45"/>
      <c r="V215" s="45"/>
      <c r="W215" s="143"/>
    </row>
    <row r="216" spans="1:23" ht="15" customHeight="1">
      <c r="A216" s="146" t="str">
        <f t="shared" si="6"/>
        <v>AKH12345</v>
      </c>
      <c r="B216" s="147" t="s">
        <v>2226</v>
      </c>
      <c r="C216" s="146" t="s">
        <v>2227</v>
      </c>
      <c r="D216" s="68"/>
      <c r="E216" s="89"/>
      <c r="F216" s="68"/>
      <c r="G216" s="89"/>
      <c r="H216" s="177"/>
      <c r="I216" s="178" t="s">
        <v>847</v>
      </c>
      <c r="J216" s="178" t="s">
        <v>2206</v>
      </c>
      <c r="K216" s="178" t="s">
        <v>1235</v>
      </c>
      <c r="L216" s="148" t="s">
        <v>1806</v>
      </c>
      <c r="M216" s="46" t="str">
        <f t="shared" si="7"/>
        <v>OneCo Networks AS</v>
      </c>
      <c r="N216" s="42" t="str">
        <f ca="1">IFERROR(
VLOOKUP(BoM_Griptel[[#This Row],[Product code]],
IF(AND((BoQ!$N$3&lt;&gt;""),OR(BoM_Griptel[[#This Row],[Vendor]]="Griptel",BoM_Griptel[[#This Row],[Vendor]]="Solar")),INDIRECT(Aux!$A$1)),4,FALSE),"")</f>
        <v/>
      </c>
      <c r="O216" s="170" t="s">
        <v>1807</v>
      </c>
      <c r="P216" s="43" t="str">
        <f>IFERROR(IF(AND(BoM_Griptel[[#This Row],[Quantity]]&lt;&gt;"",BoM_Griptel[[#This Row],[Currency]]="NOK"),BoM_Griptel[[#This Row],[Quantity]]*BoM_Griptel[[#This Row],[Unit Price]],""),"")</f>
        <v/>
      </c>
      <c r="Q216" s="43" t="str">
        <f>IFERROR(IF(AND(BoM_Griptel[[#This Row],[ACT_Qty]]&lt;&gt;"",BoM_Griptel[[#This Row],[Currency]]="NOK"),BoM_Griptel[[#This Row],[ACT_Qty]]*BoM_Griptel[[#This Row],[Unit Price]],""),"")</f>
        <v/>
      </c>
      <c r="R216" s="43" t="str">
        <f>IFERROR(IF(AND(BoM_Griptel[[#This Row],[Quantity]]&lt;&gt;"",BoM_Griptel[[#This Row],[Currency]]="EUR"),BoM_Griptel[[#This Row],[Quantity]]*BoM_Griptel[[#This Row],[Unit Price]],""),"")</f>
        <v/>
      </c>
      <c r="S216" s="43" t="str">
        <f>IFERROR(IF(AND(BoM_Griptel[[#This Row],[ACT_Qty]]&lt;&gt;"",BoM_Griptel[[#This Row],[Currency]]="EUR"),BoM_Griptel[[#This Row],[ACT_Qty]]*BoM_Griptel[[#This Row],[Unit Price]],""),"")</f>
        <v/>
      </c>
      <c r="T216" s="186" t="s">
        <v>1802</v>
      </c>
      <c r="U216" s="46"/>
      <c r="V216" s="46"/>
      <c r="W216" s="146"/>
    </row>
    <row r="217" spans="1:23" ht="15" customHeight="1">
      <c r="A217" s="143" t="str">
        <f t="shared" si="6"/>
        <v>AKH12345</v>
      </c>
      <c r="B217" s="144" t="s">
        <v>2228</v>
      </c>
      <c r="C217" s="143" t="s">
        <v>2229</v>
      </c>
      <c r="D217" s="105"/>
      <c r="E217" s="106"/>
      <c r="F217" s="105"/>
      <c r="G217" s="106"/>
      <c r="H217" s="175"/>
      <c r="I217" s="176" t="s">
        <v>847</v>
      </c>
      <c r="J217" s="176" t="s">
        <v>2206</v>
      </c>
      <c r="K217" s="176" t="s">
        <v>1235</v>
      </c>
      <c r="L217" s="145" t="s">
        <v>1806</v>
      </c>
      <c r="M217" s="45" t="str">
        <f t="shared" si="7"/>
        <v>OneCo Networks AS</v>
      </c>
      <c r="N217" s="40" t="str">
        <f ca="1">IFERROR(
VLOOKUP(BoM_Griptel[[#This Row],[Product code]],
IF(AND((BoQ!$N$3&lt;&gt;""),OR(BoM_Griptel[[#This Row],[Vendor]]="Griptel",BoM_Griptel[[#This Row],[Vendor]]="Solar")),INDIRECT(Aux!$A$1)),4,FALSE),"")</f>
        <v/>
      </c>
      <c r="O217" s="169" t="s">
        <v>1807</v>
      </c>
      <c r="P217" s="41" t="str">
        <f>IFERROR(IF(AND(BoM_Griptel[[#This Row],[Quantity]]&lt;&gt;"",BoM_Griptel[[#This Row],[Currency]]="NOK"),BoM_Griptel[[#This Row],[Quantity]]*BoM_Griptel[[#This Row],[Unit Price]],""),"")</f>
        <v/>
      </c>
      <c r="Q217" s="41" t="str">
        <f>IFERROR(IF(AND(BoM_Griptel[[#This Row],[ACT_Qty]]&lt;&gt;"",BoM_Griptel[[#This Row],[Currency]]="NOK"),BoM_Griptel[[#This Row],[ACT_Qty]]*BoM_Griptel[[#This Row],[Unit Price]],""),"")</f>
        <v/>
      </c>
      <c r="R217" s="41" t="str">
        <f>IFERROR(IF(AND(BoM_Griptel[[#This Row],[Quantity]]&lt;&gt;"",BoM_Griptel[[#This Row],[Currency]]="EUR"),BoM_Griptel[[#This Row],[Quantity]]*BoM_Griptel[[#This Row],[Unit Price]],""),"")</f>
        <v/>
      </c>
      <c r="S217" s="41" t="str">
        <f>IFERROR(IF(AND(BoM_Griptel[[#This Row],[ACT_Qty]]&lt;&gt;"",BoM_Griptel[[#This Row],[Currency]]="EUR"),BoM_Griptel[[#This Row],[ACT_Qty]]*BoM_Griptel[[#This Row],[Unit Price]],""),"")</f>
        <v/>
      </c>
      <c r="T217" s="185" t="s">
        <v>1802</v>
      </c>
      <c r="U217" s="45"/>
      <c r="V217" s="45"/>
      <c r="W217" s="143"/>
    </row>
    <row r="218" spans="1:23">
      <c r="A218" s="146" t="str">
        <f t="shared" si="6"/>
        <v>AKH12345</v>
      </c>
      <c r="B218" s="147" t="s">
        <v>2230</v>
      </c>
      <c r="C218" s="146" t="s">
        <v>2231</v>
      </c>
      <c r="D218" s="68"/>
      <c r="E218" s="89"/>
      <c r="F218" s="68"/>
      <c r="G218" s="89"/>
      <c r="H218" s="177" t="s">
        <v>2232</v>
      </c>
      <c r="I218" s="178" t="s">
        <v>847</v>
      </c>
      <c r="J218" s="178" t="s">
        <v>2206</v>
      </c>
      <c r="K218" s="178" t="s">
        <v>1235</v>
      </c>
      <c r="L218" s="148" t="s">
        <v>1806</v>
      </c>
      <c r="M218" s="46" t="str">
        <f t="shared" si="7"/>
        <v>OneCo Networks AS</v>
      </c>
      <c r="N218" s="42" t="str">
        <f ca="1">IFERROR(
VLOOKUP(BoM_Griptel[[#This Row],[Product code]],
IF(AND((BoQ!$N$3&lt;&gt;""),OR(BoM_Griptel[[#This Row],[Vendor]]="Griptel",BoM_Griptel[[#This Row],[Vendor]]="Solar")),INDIRECT(Aux!$A$1)),4,FALSE),"")</f>
        <v/>
      </c>
      <c r="O218" s="170" t="s">
        <v>1807</v>
      </c>
      <c r="P218" s="43" t="str">
        <f>IFERROR(IF(AND(BoM_Griptel[[#This Row],[Quantity]]&lt;&gt;"",BoM_Griptel[[#This Row],[Currency]]="NOK"),BoM_Griptel[[#This Row],[Quantity]]*BoM_Griptel[[#This Row],[Unit Price]],""),"")</f>
        <v/>
      </c>
      <c r="Q218" s="43" t="str">
        <f>IFERROR(IF(AND(BoM_Griptel[[#This Row],[ACT_Qty]]&lt;&gt;"",BoM_Griptel[[#This Row],[Currency]]="NOK"),BoM_Griptel[[#This Row],[ACT_Qty]]*BoM_Griptel[[#This Row],[Unit Price]],""),"")</f>
        <v/>
      </c>
      <c r="R218" s="43" t="str">
        <f>IFERROR(IF(AND(BoM_Griptel[[#This Row],[Quantity]]&lt;&gt;"",BoM_Griptel[[#This Row],[Currency]]="EUR"),BoM_Griptel[[#This Row],[Quantity]]*BoM_Griptel[[#This Row],[Unit Price]],""),"")</f>
        <v/>
      </c>
      <c r="S218" s="43" t="str">
        <f>IFERROR(IF(AND(BoM_Griptel[[#This Row],[ACT_Qty]]&lt;&gt;"",BoM_Griptel[[#This Row],[Currency]]="EUR"),BoM_Griptel[[#This Row],[ACT_Qty]]*BoM_Griptel[[#This Row],[Unit Price]],""),"")</f>
        <v/>
      </c>
      <c r="T218" s="186" t="s">
        <v>1802</v>
      </c>
      <c r="U218" s="46"/>
      <c r="V218" s="46"/>
      <c r="W218" s="146"/>
    </row>
    <row r="219" spans="1:23" ht="15" customHeight="1">
      <c r="A219" s="143" t="str">
        <f t="shared" si="6"/>
        <v>AKH12345</v>
      </c>
      <c r="B219" s="144" t="s">
        <v>2233</v>
      </c>
      <c r="C219" s="143" t="s">
        <v>2234</v>
      </c>
      <c r="D219" s="105"/>
      <c r="E219" s="106"/>
      <c r="F219" s="105"/>
      <c r="G219" s="106"/>
      <c r="H219" s="175"/>
      <c r="I219" s="176" t="s">
        <v>847</v>
      </c>
      <c r="J219" s="176" t="s">
        <v>2221</v>
      </c>
      <c r="K219" s="176" t="s">
        <v>1235</v>
      </c>
      <c r="L219" s="145" t="s">
        <v>1806</v>
      </c>
      <c r="M219" s="45" t="str">
        <f t="shared" si="7"/>
        <v>OneCo Networks AS</v>
      </c>
      <c r="N219" s="40" t="str">
        <f ca="1">IFERROR(
VLOOKUP(BoM_Griptel[[#This Row],[Product code]],
IF(AND((BoQ!$N$3&lt;&gt;""),OR(BoM_Griptel[[#This Row],[Vendor]]="Griptel",BoM_Griptel[[#This Row],[Vendor]]="Solar")),INDIRECT(Aux!$A$1)),4,FALSE),"")</f>
        <v/>
      </c>
      <c r="O219" s="169" t="s">
        <v>1807</v>
      </c>
      <c r="P219" s="41" t="str">
        <f>IFERROR(IF(AND(BoM_Griptel[[#This Row],[Quantity]]&lt;&gt;"",BoM_Griptel[[#This Row],[Currency]]="NOK"),BoM_Griptel[[#This Row],[Quantity]]*BoM_Griptel[[#This Row],[Unit Price]],""),"")</f>
        <v/>
      </c>
      <c r="Q219" s="41" t="str">
        <f>IFERROR(IF(AND(BoM_Griptel[[#This Row],[ACT_Qty]]&lt;&gt;"",BoM_Griptel[[#This Row],[Currency]]="NOK"),BoM_Griptel[[#This Row],[ACT_Qty]]*BoM_Griptel[[#This Row],[Unit Price]],""),"")</f>
        <v/>
      </c>
      <c r="R219" s="41" t="str">
        <f>IFERROR(IF(AND(BoM_Griptel[[#This Row],[Quantity]]&lt;&gt;"",BoM_Griptel[[#This Row],[Currency]]="EUR"),BoM_Griptel[[#This Row],[Quantity]]*BoM_Griptel[[#This Row],[Unit Price]],""),"")</f>
        <v/>
      </c>
      <c r="S219" s="41" t="str">
        <f>IFERROR(IF(AND(BoM_Griptel[[#This Row],[ACT_Qty]]&lt;&gt;"",BoM_Griptel[[#This Row],[Currency]]="EUR"),BoM_Griptel[[#This Row],[ACT_Qty]]*BoM_Griptel[[#This Row],[Unit Price]],""),"")</f>
        <v/>
      </c>
      <c r="T219" s="185" t="s">
        <v>1802</v>
      </c>
      <c r="U219" s="45"/>
      <c r="V219" s="45"/>
      <c r="W219" s="143"/>
    </row>
    <row r="220" spans="1:23" ht="15" customHeight="1">
      <c r="A220" s="146" t="str">
        <f t="shared" si="6"/>
        <v>AKH12345</v>
      </c>
      <c r="B220" s="147" t="s">
        <v>2235</v>
      </c>
      <c r="C220" s="146" t="s">
        <v>2236</v>
      </c>
      <c r="D220" s="68"/>
      <c r="E220" s="89"/>
      <c r="F220" s="68"/>
      <c r="G220" s="89"/>
      <c r="H220" s="177"/>
      <c r="I220" s="178" t="s">
        <v>847</v>
      </c>
      <c r="J220" s="178" t="s">
        <v>1921</v>
      </c>
      <c r="K220" s="178" t="s">
        <v>1235</v>
      </c>
      <c r="L220" s="148" t="s">
        <v>1806</v>
      </c>
      <c r="M220" s="46" t="str">
        <f t="shared" si="7"/>
        <v>OneCo Networks AS</v>
      </c>
      <c r="N220" s="42" t="str">
        <f ca="1">IFERROR(
VLOOKUP(BoM_Griptel[[#This Row],[Product code]],
IF(AND((BoQ!$N$3&lt;&gt;""),OR(BoM_Griptel[[#This Row],[Vendor]]="Griptel",BoM_Griptel[[#This Row],[Vendor]]="Solar")),INDIRECT(Aux!$A$1)),4,FALSE),"")</f>
        <v/>
      </c>
      <c r="O220" s="170" t="s">
        <v>1807</v>
      </c>
      <c r="P220" s="43" t="str">
        <f>IFERROR(IF(AND(BoM_Griptel[[#This Row],[Quantity]]&lt;&gt;"",BoM_Griptel[[#This Row],[Currency]]="NOK"),BoM_Griptel[[#This Row],[Quantity]]*BoM_Griptel[[#This Row],[Unit Price]],""),"")</f>
        <v/>
      </c>
      <c r="Q220" s="43" t="str">
        <f>IFERROR(IF(AND(BoM_Griptel[[#This Row],[ACT_Qty]]&lt;&gt;"",BoM_Griptel[[#This Row],[Currency]]="NOK"),BoM_Griptel[[#This Row],[ACT_Qty]]*BoM_Griptel[[#This Row],[Unit Price]],""),"")</f>
        <v/>
      </c>
      <c r="R220" s="43" t="str">
        <f>IFERROR(IF(AND(BoM_Griptel[[#This Row],[Quantity]]&lt;&gt;"",BoM_Griptel[[#This Row],[Currency]]="EUR"),BoM_Griptel[[#This Row],[Quantity]]*BoM_Griptel[[#This Row],[Unit Price]],""),"")</f>
        <v/>
      </c>
      <c r="S220" s="43" t="str">
        <f>IFERROR(IF(AND(BoM_Griptel[[#This Row],[ACT_Qty]]&lt;&gt;"",BoM_Griptel[[#This Row],[Currency]]="EUR"),BoM_Griptel[[#This Row],[ACT_Qty]]*BoM_Griptel[[#This Row],[Unit Price]],""),"")</f>
        <v/>
      </c>
      <c r="T220" s="186" t="s">
        <v>1802</v>
      </c>
      <c r="U220" s="46"/>
      <c r="V220" s="46"/>
      <c r="W220" s="146"/>
    </row>
    <row r="221" spans="1:23" ht="15" customHeight="1">
      <c r="A221" s="143" t="str">
        <f t="shared" si="6"/>
        <v>AKH12345</v>
      </c>
      <c r="B221" s="144" t="s">
        <v>2237</v>
      </c>
      <c r="C221" s="143" t="s">
        <v>2238</v>
      </c>
      <c r="D221" s="105"/>
      <c r="E221" s="106"/>
      <c r="F221" s="105"/>
      <c r="G221" s="106"/>
      <c r="H221" s="175"/>
      <c r="I221" s="176" t="s">
        <v>847</v>
      </c>
      <c r="J221" s="176" t="s">
        <v>1965</v>
      </c>
      <c r="K221" s="176" t="s">
        <v>1235</v>
      </c>
      <c r="L221" s="145" t="s">
        <v>1806</v>
      </c>
      <c r="M221" s="45" t="str">
        <f t="shared" si="7"/>
        <v>OneCo Networks AS</v>
      </c>
      <c r="N221" s="40" t="str">
        <f ca="1">IFERROR(
VLOOKUP(BoM_Griptel[[#This Row],[Product code]],
IF(AND((BoQ!$N$3&lt;&gt;""),OR(BoM_Griptel[[#This Row],[Vendor]]="Griptel",BoM_Griptel[[#This Row],[Vendor]]="Solar")),INDIRECT(Aux!$A$1)),4,FALSE),"")</f>
        <v/>
      </c>
      <c r="O221" s="169" t="s">
        <v>1807</v>
      </c>
      <c r="P221" s="41" t="str">
        <f>IFERROR(IF(AND(BoM_Griptel[[#This Row],[Quantity]]&lt;&gt;"",BoM_Griptel[[#This Row],[Currency]]="NOK"),BoM_Griptel[[#This Row],[Quantity]]*BoM_Griptel[[#This Row],[Unit Price]],""),"")</f>
        <v/>
      </c>
      <c r="Q221" s="41" t="str">
        <f>IFERROR(IF(AND(BoM_Griptel[[#This Row],[ACT_Qty]]&lt;&gt;"",BoM_Griptel[[#This Row],[Currency]]="NOK"),BoM_Griptel[[#This Row],[ACT_Qty]]*BoM_Griptel[[#This Row],[Unit Price]],""),"")</f>
        <v/>
      </c>
      <c r="R221" s="41" t="str">
        <f>IFERROR(IF(AND(BoM_Griptel[[#This Row],[Quantity]]&lt;&gt;"",BoM_Griptel[[#This Row],[Currency]]="EUR"),BoM_Griptel[[#This Row],[Quantity]]*BoM_Griptel[[#This Row],[Unit Price]],""),"")</f>
        <v/>
      </c>
      <c r="S221" s="41" t="str">
        <f>IFERROR(IF(AND(BoM_Griptel[[#This Row],[ACT_Qty]]&lt;&gt;"",BoM_Griptel[[#This Row],[Currency]]="EUR"),BoM_Griptel[[#This Row],[ACT_Qty]]*BoM_Griptel[[#This Row],[Unit Price]],""),"")</f>
        <v/>
      </c>
      <c r="T221" s="185" t="s">
        <v>1802</v>
      </c>
      <c r="U221" s="45"/>
      <c r="V221" s="45"/>
      <c r="W221" s="143"/>
    </row>
    <row r="222" spans="1:23" ht="15" customHeight="1">
      <c r="A222" s="146" t="str">
        <f t="shared" si="6"/>
        <v>AKH12345</v>
      </c>
      <c r="B222" s="147" t="s">
        <v>2239</v>
      </c>
      <c r="C222" s="146" t="s">
        <v>2240</v>
      </c>
      <c r="D222" s="68"/>
      <c r="E222" s="89"/>
      <c r="F222" s="68"/>
      <c r="G222" s="89"/>
      <c r="H222" s="177"/>
      <c r="I222" s="178" t="s">
        <v>847</v>
      </c>
      <c r="J222" s="178" t="s">
        <v>1965</v>
      </c>
      <c r="K222" s="178" t="s">
        <v>1235</v>
      </c>
      <c r="L222" s="148" t="s">
        <v>1806</v>
      </c>
      <c r="M222" s="46" t="str">
        <f t="shared" si="7"/>
        <v>OneCo Networks AS</v>
      </c>
      <c r="N222" s="42" t="str">
        <f ca="1">IFERROR(
VLOOKUP(BoM_Griptel[[#This Row],[Product code]],
IF(AND((BoQ!$N$3&lt;&gt;""),OR(BoM_Griptel[[#This Row],[Vendor]]="Griptel",BoM_Griptel[[#This Row],[Vendor]]="Solar")),INDIRECT(Aux!$A$1)),4,FALSE),"")</f>
        <v/>
      </c>
      <c r="O222" s="170" t="s">
        <v>1807</v>
      </c>
      <c r="P222" s="43" t="str">
        <f>IFERROR(IF(AND(BoM_Griptel[[#This Row],[Quantity]]&lt;&gt;"",BoM_Griptel[[#This Row],[Currency]]="NOK"),BoM_Griptel[[#This Row],[Quantity]]*BoM_Griptel[[#This Row],[Unit Price]],""),"")</f>
        <v/>
      </c>
      <c r="Q222" s="43" t="str">
        <f>IFERROR(IF(AND(BoM_Griptel[[#This Row],[ACT_Qty]]&lt;&gt;"",BoM_Griptel[[#This Row],[Currency]]="NOK"),BoM_Griptel[[#This Row],[ACT_Qty]]*BoM_Griptel[[#This Row],[Unit Price]],""),"")</f>
        <v/>
      </c>
      <c r="R222" s="43" t="str">
        <f>IFERROR(IF(AND(BoM_Griptel[[#This Row],[Quantity]]&lt;&gt;"",BoM_Griptel[[#This Row],[Currency]]="EUR"),BoM_Griptel[[#This Row],[Quantity]]*BoM_Griptel[[#This Row],[Unit Price]],""),"")</f>
        <v/>
      </c>
      <c r="S222" s="43" t="str">
        <f>IFERROR(IF(AND(BoM_Griptel[[#This Row],[ACT_Qty]]&lt;&gt;"",BoM_Griptel[[#This Row],[Currency]]="EUR"),BoM_Griptel[[#This Row],[ACT_Qty]]*BoM_Griptel[[#This Row],[Unit Price]],""),"")</f>
        <v/>
      </c>
      <c r="T222" s="186" t="s">
        <v>1802</v>
      </c>
      <c r="U222" s="46"/>
      <c r="V222" s="46"/>
      <c r="W222" s="146"/>
    </row>
    <row r="223" spans="1:23" ht="15" customHeight="1">
      <c r="A223" s="143" t="str">
        <f t="shared" si="6"/>
        <v>AKH12345</v>
      </c>
      <c r="B223" s="144" t="s">
        <v>2241</v>
      </c>
      <c r="C223" s="143" t="s">
        <v>2242</v>
      </c>
      <c r="D223" s="105"/>
      <c r="E223" s="106"/>
      <c r="F223" s="105"/>
      <c r="G223" s="106"/>
      <c r="H223" s="175"/>
      <c r="I223" s="176" t="s">
        <v>847</v>
      </c>
      <c r="J223" s="176" t="s">
        <v>1965</v>
      </c>
      <c r="K223" s="176" t="s">
        <v>1235</v>
      </c>
      <c r="L223" s="145" t="s">
        <v>1806</v>
      </c>
      <c r="M223" s="45" t="str">
        <f t="shared" si="7"/>
        <v>OneCo Networks AS</v>
      </c>
      <c r="N223" s="40" t="str">
        <f ca="1">IFERROR(
VLOOKUP(BoM_Griptel[[#This Row],[Product code]],
IF(AND((BoQ!$N$3&lt;&gt;""),OR(BoM_Griptel[[#This Row],[Vendor]]="Griptel",BoM_Griptel[[#This Row],[Vendor]]="Solar")),INDIRECT(Aux!$A$1)),4,FALSE),"")</f>
        <v/>
      </c>
      <c r="O223" s="169" t="s">
        <v>1807</v>
      </c>
      <c r="P223" s="41" t="str">
        <f>IFERROR(IF(AND(BoM_Griptel[[#This Row],[Quantity]]&lt;&gt;"",BoM_Griptel[[#This Row],[Currency]]="NOK"),BoM_Griptel[[#This Row],[Quantity]]*BoM_Griptel[[#This Row],[Unit Price]],""),"")</f>
        <v/>
      </c>
      <c r="Q223" s="41" t="str">
        <f>IFERROR(IF(AND(BoM_Griptel[[#This Row],[ACT_Qty]]&lt;&gt;"",BoM_Griptel[[#This Row],[Currency]]="NOK"),BoM_Griptel[[#This Row],[ACT_Qty]]*BoM_Griptel[[#This Row],[Unit Price]],""),"")</f>
        <v/>
      </c>
      <c r="R223" s="41" t="str">
        <f>IFERROR(IF(AND(BoM_Griptel[[#This Row],[Quantity]]&lt;&gt;"",BoM_Griptel[[#This Row],[Currency]]="EUR"),BoM_Griptel[[#This Row],[Quantity]]*BoM_Griptel[[#This Row],[Unit Price]],""),"")</f>
        <v/>
      </c>
      <c r="S223" s="41" t="str">
        <f>IFERROR(IF(AND(BoM_Griptel[[#This Row],[ACT_Qty]]&lt;&gt;"",BoM_Griptel[[#This Row],[Currency]]="EUR"),BoM_Griptel[[#This Row],[ACT_Qty]]*BoM_Griptel[[#This Row],[Unit Price]],""),"")</f>
        <v/>
      </c>
      <c r="T223" s="185" t="s">
        <v>1802</v>
      </c>
      <c r="U223" s="45"/>
      <c r="V223" s="45"/>
      <c r="W223" s="143"/>
    </row>
    <row r="224" spans="1:23" ht="15" customHeight="1">
      <c r="A224" s="146" t="str">
        <f t="shared" si="6"/>
        <v>AKH12345</v>
      </c>
      <c r="B224" s="147" t="s">
        <v>2243</v>
      </c>
      <c r="C224" s="146" t="s">
        <v>2244</v>
      </c>
      <c r="D224" s="68"/>
      <c r="E224" s="89"/>
      <c r="F224" s="68"/>
      <c r="G224" s="89"/>
      <c r="H224" s="177"/>
      <c r="I224" s="178" t="s">
        <v>847</v>
      </c>
      <c r="J224" s="178" t="s">
        <v>1965</v>
      </c>
      <c r="K224" s="178" t="s">
        <v>1235</v>
      </c>
      <c r="L224" s="148" t="s">
        <v>1806</v>
      </c>
      <c r="M224" s="46" t="str">
        <f t="shared" si="7"/>
        <v>OneCo Networks AS</v>
      </c>
      <c r="N224" s="42" t="str">
        <f ca="1">IFERROR(
VLOOKUP(BoM_Griptel[[#This Row],[Product code]],
IF(AND((BoQ!$N$3&lt;&gt;""),OR(BoM_Griptel[[#This Row],[Vendor]]="Griptel",BoM_Griptel[[#This Row],[Vendor]]="Solar")),INDIRECT(Aux!$A$1)),4,FALSE),"")</f>
        <v/>
      </c>
      <c r="O224" s="170" t="s">
        <v>1807</v>
      </c>
      <c r="P224" s="43" t="str">
        <f>IFERROR(IF(AND(BoM_Griptel[[#This Row],[Quantity]]&lt;&gt;"",BoM_Griptel[[#This Row],[Currency]]="NOK"),BoM_Griptel[[#This Row],[Quantity]]*BoM_Griptel[[#This Row],[Unit Price]],""),"")</f>
        <v/>
      </c>
      <c r="Q224" s="43" t="str">
        <f>IFERROR(IF(AND(BoM_Griptel[[#This Row],[ACT_Qty]]&lt;&gt;"",BoM_Griptel[[#This Row],[Currency]]="NOK"),BoM_Griptel[[#This Row],[ACT_Qty]]*BoM_Griptel[[#This Row],[Unit Price]],""),"")</f>
        <v/>
      </c>
      <c r="R224" s="43" t="str">
        <f>IFERROR(IF(AND(BoM_Griptel[[#This Row],[Quantity]]&lt;&gt;"",BoM_Griptel[[#This Row],[Currency]]="EUR"),BoM_Griptel[[#This Row],[Quantity]]*BoM_Griptel[[#This Row],[Unit Price]],""),"")</f>
        <v/>
      </c>
      <c r="S224" s="43" t="str">
        <f>IFERROR(IF(AND(BoM_Griptel[[#This Row],[ACT_Qty]]&lt;&gt;"",BoM_Griptel[[#This Row],[Currency]]="EUR"),BoM_Griptel[[#This Row],[ACT_Qty]]*BoM_Griptel[[#This Row],[Unit Price]],""),"")</f>
        <v/>
      </c>
      <c r="T224" s="186" t="s">
        <v>1802</v>
      </c>
      <c r="U224" s="46"/>
      <c r="V224" s="46"/>
      <c r="W224" s="146"/>
    </row>
    <row r="225" spans="1:23" ht="15" customHeight="1">
      <c r="A225" s="143" t="str">
        <f t="shared" si="6"/>
        <v>AKH12345</v>
      </c>
      <c r="B225" s="144" t="s">
        <v>2245</v>
      </c>
      <c r="C225" s="143" t="s">
        <v>2246</v>
      </c>
      <c r="D225" s="105"/>
      <c r="E225" s="106"/>
      <c r="F225" s="105"/>
      <c r="G225" s="106"/>
      <c r="H225" s="175"/>
      <c r="I225" s="176" t="s">
        <v>847</v>
      </c>
      <c r="J225" s="176" t="s">
        <v>1965</v>
      </c>
      <c r="K225" s="176" t="s">
        <v>1235</v>
      </c>
      <c r="L225" s="145" t="s">
        <v>1806</v>
      </c>
      <c r="M225" s="45" t="str">
        <f t="shared" si="7"/>
        <v>OneCo Networks AS</v>
      </c>
      <c r="N225" s="40" t="str">
        <f ca="1">IFERROR(
VLOOKUP(BoM_Griptel[[#This Row],[Product code]],
IF(AND((BoQ!$N$3&lt;&gt;""),OR(BoM_Griptel[[#This Row],[Vendor]]="Griptel",BoM_Griptel[[#This Row],[Vendor]]="Solar")),INDIRECT(Aux!$A$1)),4,FALSE),"")</f>
        <v/>
      </c>
      <c r="O225" s="169" t="s">
        <v>1807</v>
      </c>
      <c r="P225" s="41" t="str">
        <f>IFERROR(IF(AND(BoM_Griptel[[#This Row],[Quantity]]&lt;&gt;"",BoM_Griptel[[#This Row],[Currency]]="NOK"),BoM_Griptel[[#This Row],[Quantity]]*BoM_Griptel[[#This Row],[Unit Price]],""),"")</f>
        <v/>
      </c>
      <c r="Q225" s="41" t="str">
        <f>IFERROR(IF(AND(BoM_Griptel[[#This Row],[ACT_Qty]]&lt;&gt;"",BoM_Griptel[[#This Row],[Currency]]="NOK"),BoM_Griptel[[#This Row],[ACT_Qty]]*BoM_Griptel[[#This Row],[Unit Price]],""),"")</f>
        <v/>
      </c>
      <c r="R225" s="41" t="str">
        <f>IFERROR(IF(AND(BoM_Griptel[[#This Row],[Quantity]]&lt;&gt;"",BoM_Griptel[[#This Row],[Currency]]="EUR"),BoM_Griptel[[#This Row],[Quantity]]*BoM_Griptel[[#This Row],[Unit Price]],""),"")</f>
        <v/>
      </c>
      <c r="S225" s="41" t="str">
        <f>IFERROR(IF(AND(BoM_Griptel[[#This Row],[ACT_Qty]]&lt;&gt;"",BoM_Griptel[[#This Row],[Currency]]="EUR"),BoM_Griptel[[#This Row],[ACT_Qty]]*BoM_Griptel[[#This Row],[Unit Price]],""),"")</f>
        <v/>
      </c>
      <c r="T225" s="185" t="s">
        <v>1802</v>
      </c>
      <c r="U225" s="45"/>
      <c r="V225" s="45"/>
      <c r="W225" s="143"/>
    </row>
    <row r="226" spans="1:23" ht="15" customHeight="1">
      <c r="A226" s="146" t="str">
        <f t="shared" si="6"/>
        <v>AKH12345</v>
      </c>
      <c r="B226" s="147" t="s">
        <v>2247</v>
      </c>
      <c r="C226" s="146" t="s">
        <v>2248</v>
      </c>
      <c r="D226" s="68"/>
      <c r="E226" s="89"/>
      <c r="F226" s="68"/>
      <c r="G226" s="89"/>
      <c r="H226" s="177"/>
      <c r="I226" s="178" t="s">
        <v>847</v>
      </c>
      <c r="J226" s="178" t="s">
        <v>1965</v>
      </c>
      <c r="K226" s="178" t="s">
        <v>1235</v>
      </c>
      <c r="L226" s="148" t="s">
        <v>1806</v>
      </c>
      <c r="M226" s="46" t="str">
        <f t="shared" si="7"/>
        <v>OneCo Networks AS</v>
      </c>
      <c r="N226" s="42" t="str">
        <f ca="1">IFERROR(
VLOOKUP(BoM_Griptel[[#This Row],[Product code]],
IF(AND((BoQ!$N$3&lt;&gt;""),OR(BoM_Griptel[[#This Row],[Vendor]]="Griptel",BoM_Griptel[[#This Row],[Vendor]]="Solar")),INDIRECT(Aux!$A$1)),4,FALSE),"")</f>
        <v/>
      </c>
      <c r="O226" s="170" t="s">
        <v>1807</v>
      </c>
      <c r="P226" s="43" t="str">
        <f>IFERROR(IF(AND(BoM_Griptel[[#This Row],[Quantity]]&lt;&gt;"",BoM_Griptel[[#This Row],[Currency]]="NOK"),BoM_Griptel[[#This Row],[Quantity]]*BoM_Griptel[[#This Row],[Unit Price]],""),"")</f>
        <v/>
      </c>
      <c r="Q226" s="43" t="str">
        <f>IFERROR(IF(AND(BoM_Griptel[[#This Row],[ACT_Qty]]&lt;&gt;"",BoM_Griptel[[#This Row],[Currency]]="NOK"),BoM_Griptel[[#This Row],[ACT_Qty]]*BoM_Griptel[[#This Row],[Unit Price]],""),"")</f>
        <v/>
      </c>
      <c r="R226" s="43" t="str">
        <f>IFERROR(IF(AND(BoM_Griptel[[#This Row],[Quantity]]&lt;&gt;"",BoM_Griptel[[#This Row],[Currency]]="EUR"),BoM_Griptel[[#This Row],[Quantity]]*BoM_Griptel[[#This Row],[Unit Price]],""),"")</f>
        <v/>
      </c>
      <c r="S226" s="43" t="str">
        <f>IFERROR(IF(AND(BoM_Griptel[[#This Row],[ACT_Qty]]&lt;&gt;"",BoM_Griptel[[#This Row],[Currency]]="EUR"),BoM_Griptel[[#This Row],[ACT_Qty]]*BoM_Griptel[[#This Row],[Unit Price]],""),"")</f>
        <v/>
      </c>
      <c r="T226" s="186" t="s">
        <v>1802</v>
      </c>
      <c r="U226" s="46"/>
      <c r="V226" s="46"/>
      <c r="W226" s="146"/>
    </row>
    <row r="227" spans="1:23" ht="15" customHeight="1">
      <c r="A227" s="143" t="str">
        <f t="shared" si="6"/>
        <v>AKH12345</v>
      </c>
      <c r="B227" s="144" t="s">
        <v>2249</v>
      </c>
      <c r="C227" s="143" t="s">
        <v>2250</v>
      </c>
      <c r="D227" s="105"/>
      <c r="E227" s="106"/>
      <c r="F227" s="105"/>
      <c r="G227" s="106"/>
      <c r="H227" s="175"/>
      <c r="I227" s="176" t="s">
        <v>847</v>
      </c>
      <c r="J227" s="176" t="s">
        <v>2251</v>
      </c>
      <c r="K227" s="176" t="s">
        <v>1235</v>
      </c>
      <c r="L227" s="145" t="s">
        <v>1806</v>
      </c>
      <c r="M227" s="45" t="str">
        <f t="shared" si="7"/>
        <v>OneCo Networks AS</v>
      </c>
      <c r="N227" s="40" t="str">
        <f ca="1">IFERROR(
VLOOKUP(BoM_Griptel[[#This Row],[Product code]],
IF(AND((BoQ!$N$3&lt;&gt;""),OR(BoM_Griptel[[#This Row],[Vendor]]="Griptel",BoM_Griptel[[#This Row],[Vendor]]="Solar")),INDIRECT(Aux!$A$1)),4,FALSE),"")</f>
        <v/>
      </c>
      <c r="O227" s="169" t="s">
        <v>1807</v>
      </c>
      <c r="P227" s="41" t="str">
        <f>IFERROR(IF(AND(BoM_Griptel[[#This Row],[Quantity]]&lt;&gt;"",BoM_Griptel[[#This Row],[Currency]]="NOK"),BoM_Griptel[[#This Row],[Quantity]]*BoM_Griptel[[#This Row],[Unit Price]],""),"")</f>
        <v/>
      </c>
      <c r="Q227" s="41" t="str">
        <f>IFERROR(IF(AND(BoM_Griptel[[#This Row],[ACT_Qty]]&lt;&gt;"",BoM_Griptel[[#This Row],[Currency]]="NOK"),BoM_Griptel[[#This Row],[ACT_Qty]]*BoM_Griptel[[#This Row],[Unit Price]],""),"")</f>
        <v/>
      </c>
      <c r="R227" s="41" t="str">
        <f>IFERROR(IF(AND(BoM_Griptel[[#This Row],[Quantity]]&lt;&gt;"",BoM_Griptel[[#This Row],[Currency]]="EUR"),BoM_Griptel[[#This Row],[Quantity]]*BoM_Griptel[[#This Row],[Unit Price]],""),"")</f>
        <v/>
      </c>
      <c r="S227" s="41" t="str">
        <f>IFERROR(IF(AND(BoM_Griptel[[#This Row],[ACT_Qty]]&lt;&gt;"",BoM_Griptel[[#This Row],[Currency]]="EUR"),BoM_Griptel[[#This Row],[ACT_Qty]]*BoM_Griptel[[#This Row],[Unit Price]],""),"")</f>
        <v/>
      </c>
      <c r="T227" s="185" t="s">
        <v>1802</v>
      </c>
      <c r="U227" s="45"/>
      <c r="V227" s="45"/>
      <c r="W227" s="143"/>
    </row>
    <row r="228" spans="1:23" ht="15" customHeight="1">
      <c r="A228" s="146" t="str">
        <f t="shared" si="6"/>
        <v>AKH12345</v>
      </c>
      <c r="B228" s="147" t="s">
        <v>2252</v>
      </c>
      <c r="C228" s="146" t="s">
        <v>2253</v>
      </c>
      <c r="D228" s="68"/>
      <c r="E228" s="89"/>
      <c r="F228" s="68"/>
      <c r="G228" s="89"/>
      <c r="H228" s="177"/>
      <c r="I228" s="178" t="s">
        <v>847</v>
      </c>
      <c r="J228" s="178" t="s">
        <v>2251</v>
      </c>
      <c r="K228" s="178" t="s">
        <v>1235</v>
      </c>
      <c r="L228" s="148" t="s">
        <v>1806</v>
      </c>
      <c r="M228" s="46" t="str">
        <f t="shared" si="7"/>
        <v>OneCo Networks AS</v>
      </c>
      <c r="N228" s="42" t="str">
        <f ca="1">IFERROR(
VLOOKUP(BoM_Griptel[[#This Row],[Product code]],
IF(AND((BoQ!$N$3&lt;&gt;""),OR(BoM_Griptel[[#This Row],[Vendor]]="Griptel",BoM_Griptel[[#This Row],[Vendor]]="Solar")),INDIRECT(Aux!$A$1)),4,FALSE),"")</f>
        <v/>
      </c>
      <c r="O228" s="170" t="s">
        <v>1807</v>
      </c>
      <c r="P228" s="43" t="str">
        <f>IFERROR(IF(AND(BoM_Griptel[[#This Row],[Quantity]]&lt;&gt;"",BoM_Griptel[[#This Row],[Currency]]="NOK"),BoM_Griptel[[#This Row],[Quantity]]*BoM_Griptel[[#This Row],[Unit Price]],""),"")</f>
        <v/>
      </c>
      <c r="Q228" s="43" t="str">
        <f>IFERROR(IF(AND(BoM_Griptel[[#This Row],[ACT_Qty]]&lt;&gt;"",BoM_Griptel[[#This Row],[Currency]]="NOK"),BoM_Griptel[[#This Row],[ACT_Qty]]*BoM_Griptel[[#This Row],[Unit Price]],""),"")</f>
        <v/>
      </c>
      <c r="R228" s="43" t="str">
        <f>IFERROR(IF(AND(BoM_Griptel[[#This Row],[Quantity]]&lt;&gt;"",BoM_Griptel[[#This Row],[Currency]]="EUR"),BoM_Griptel[[#This Row],[Quantity]]*BoM_Griptel[[#This Row],[Unit Price]],""),"")</f>
        <v/>
      </c>
      <c r="S228" s="43" t="str">
        <f>IFERROR(IF(AND(BoM_Griptel[[#This Row],[ACT_Qty]]&lt;&gt;"",BoM_Griptel[[#This Row],[Currency]]="EUR"),BoM_Griptel[[#This Row],[ACT_Qty]]*BoM_Griptel[[#This Row],[Unit Price]],""),"")</f>
        <v/>
      </c>
      <c r="T228" s="186" t="s">
        <v>1802</v>
      </c>
      <c r="U228" s="46"/>
      <c r="V228" s="46"/>
      <c r="W228" s="146"/>
    </row>
    <row r="229" spans="1:23" ht="15" customHeight="1">
      <c r="A229" s="143" t="str">
        <f t="shared" si="6"/>
        <v>AKH12345</v>
      </c>
      <c r="B229" s="144" t="s">
        <v>2254</v>
      </c>
      <c r="C229" s="143" t="s">
        <v>2255</v>
      </c>
      <c r="D229" s="105"/>
      <c r="E229" s="106"/>
      <c r="F229" s="105"/>
      <c r="G229" s="106"/>
      <c r="H229" s="175"/>
      <c r="I229" s="176" t="s">
        <v>847</v>
      </c>
      <c r="J229" s="176" t="s">
        <v>2251</v>
      </c>
      <c r="K229" s="176" t="s">
        <v>1235</v>
      </c>
      <c r="L229" s="145" t="s">
        <v>1806</v>
      </c>
      <c r="M229" s="45" t="str">
        <f t="shared" si="7"/>
        <v>OneCo Networks AS</v>
      </c>
      <c r="N229" s="40" t="str">
        <f ca="1">IFERROR(
VLOOKUP(BoM_Griptel[[#This Row],[Product code]],
IF(AND((BoQ!$N$3&lt;&gt;""),OR(BoM_Griptel[[#This Row],[Vendor]]="Griptel",BoM_Griptel[[#This Row],[Vendor]]="Solar")),INDIRECT(Aux!$A$1)),4,FALSE),"")</f>
        <v/>
      </c>
      <c r="O229" s="169" t="s">
        <v>1807</v>
      </c>
      <c r="P229" s="41" t="str">
        <f>IFERROR(IF(AND(BoM_Griptel[[#This Row],[Quantity]]&lt;&gt;"",BoM_Griptel[[#This Row],[Currency]]="NOK"),BoM_Griptel[[#This Row],[Quantity]]*BoM_Griptel[[#This Row],[Unit Price]],""),"")</f>
        <v/>
      </c>
      <c r="Q229" s="41" t="str">
        <f>IFERROR(IF(AND(BoM_Griptel[[#This Row],[ACT_Qty]]&lt;&gt;"",BoM_Griptel[[#This Row],[Currency]]="NOK"),BoM_Griptel[[#This Row],[ACT_Qty]]*BoM_Griptel[[#This Row],[Unit Price]],""),"")</f>
        <v/>
      </c>
      <c r="R229" s="41" t="str">
        <f>IFERROR(IF(AND(BoM_Griptel[[#This Row],[Quantity]]&lt;&gt;"",BoM_Griptel[[#This Row],[Currency]]="EUR"),BoM_Griptel[[#This Row],[Quantity]]*BoM_Griptel[[#This Row],[Unit Price]],""),"")</f>
        <v/>
      </c>
      <c r="S229" s="41" t="str">
        <f>IFERROR(IF(AND(BoM_Griptel[[#This Row],[ACT_Qty]]&lt;&gt;"",BoM_Griptel[[#This Row],[Currency]]="EUR"),BoM_Griptel[[#This Row],[ACT_Qty]]*BoM_Griptel[[#This Row],[Unit Price]],""),"")</f>
        <v/>
      </c>
      <c r="T229" s="185" t="s">
        <v>1802</v>
      </c>
      <c r="U229" s="45"/>
      <c r="V229" s="45"/>
      <c r="W229" s="143"/>
    </row>
    <row r="230" spans="1:23" ht="15" customHeight="1">
      <c r="A230" s="146" t="str">
        <f t="shared" si="6"/>
        <v>AKH12345</v>
      </c>
      <c r="B230" s="147" t="s">
        <v>2256</v>
      </c>
      <c r="C230" s="146" t="s">
        <v>2257</v>
      </c>
      <c r="D230" s="68"/>
      <c r="E230" s="89"/>
      <c r="F230" s="68"/>
      <c r="G230" s="89"/>
      <c r="H230" s="177"/>
      <c r="I230" s="178" t="s">
        <v>847</v>
      </c>
      <c r="J230" s="178" t="s">
        <v>2251</v>
      </c>
      <c r="K230" s="178" t="s">
        <v>1235</v>
      </c>
      <c r="L230" s="148" t="s">
        <v>1806</v>
      </c>
      <c r="M230" s="46" t="str">
        <f t="shared" si="7"/>
        <v>OneCo Networks AS</v>
      </c>
      <c r="N230" s="42" t="str">
        <f ca="1">IFERROR(
VLOOKUP(BoM_Griptel[[#This Row],[Product code]],
IF(AND((BoQ!$N$3&lt;&gt;""),OR(BoM_Griptel[[#This Row],[Vendor]]="Griptel",BoM_Griptel[[#This Row],[Vendor]]="Solar")),INDIRECT(Aux!$A$1)),4,FALSE),"")</f>
        <v/>
      </c>
      <c r="O230" s="170" t="s">
        <v>1807</v>
      </c>
      <c r="P230" s="43" t="str">
        <f>IFERROR(IF(AND(BoM_Griptel[[#This Row],[Quantity]]&lt;&gt;"",BoM_Griptel[[#This Row],[Currency]]="NOK"),BoM_Griptel[[#This Row],[Quantity]]*BoM_Griptel[[#This Row],[Unit Price]],""),"")</f>
        <v/>
      </c>
      <c r="Q230" s="43" t="str">
        <f>IFERROR(IF(AND(BoM_Griptel[[#This Row],[ACT_Qty]]&lt;&gt;"",BoM_Griptel[[#This Row],[Currency]]="NOK"),BoM_Griptel[[#This Row],[ACT_Qty]]*BoM_Griptel[[#This Row],[Unit Price]],""),"")</f>
        <v/>
      </c>
      <c r="R230" s="43" t="str">
        <f>IFERROR(IF(AND(BoM_Griptel[[#This Row],[Quantity]]&lt;&gt;"",BoM_Griptel[[#This Row],[Currency]]="EUR"),BoM_Griptel[[#This Row],[Quantity]]*BoM_Griptel[[#This Row],[Unit Price]],""),"")</f>
        <v/>
      </c>
      <c r="S230" s="43" t="str">
        <f>IFERROR(IF(AND(BoM_Griptel[[#This Row],[ACT_Qty]]&lt;&gt;"",BoM_Griptel[[#This Row],[Currency]]="EUR"),BoM_Griptel[[#This Row],[ACT_Qty]]*BoM_Griptel[[#This Row],[Unit Price]],""),"")</f>
        <v/>
      </c>
      <c r="T230" s="186" t="s">
        <v>1802</v>
      </c>
      <c r="U230" s="46"/>
      <c r="V230" s="46"/>
      <c r="W230" s="146"/>
    </row>
    <row r="231" spans="1:23" ht="15" customHeight="1">
      <c r="A231" s="143" t="str">
        <f t="shared" si="6"/>
        <v>AKH12345</v>
      </c>
      <c r="B231" s="144" t="s">
        <v>2258</v>
      </c>
      <c r="C231" s="143" t="s">
        <v>2259</v>
      </c>
      <c r="D231" s="105"/>
      <c r="E231" s="106"/>
      <c r="F231" s="105"/>
      <c r="G231" s="106"/>
      <c r="H231" s="175"/>
      <c r="I231" s="176" t="s">
        <v>847</v>
      </c>
      <c r="J231" s="176" t="s">
        <v>2251</v>
      </c>
      <c r="K231" s="176" t="s">
        <v>1235</v>
      </c>
      <c r="L231" s="145" t="s">
        <v>1806</v>
      </c>
      <c r="M231" s="45" t="str">
        <f t="shared" si="7"/>
        <v>OneCo Networks AS</v>
      </c>
      <c r="N231" s="40" t="str">
        <f ca="1">IFERROR(
VLOOKUP(BoM_Griptel[[#This Row],[Product code]],
IF(AND((BoQ!$N$3&lt;&gt;""),OR(BoM_Griptel[[#This Row],[Vendor]]="Griptel",BoM_Griptel[[#This Row],[Vendor]]="Solar")),INDIRECT(Aux!$A$1)),4,FALSE),"")</f>
        <v/>
      </c>
      <c r="O231" s="169" t="s">
        <v>1807</v>
      </c>
      <c r="P231" s="41" t="str">
        <f>IFERROR(IF(AND(BoM_Griptel[[#This Row],[Quantity]]&lt;&gt;"",BoM_Griptel[[#This Row],[Currency]]="NOK"),BoM_Griptel[[#This Row],[Quantity]]*BoM_Griptel[[#This Row],[Unit Price]],""),"")</f>
        <v/>
      </c>
      <c r="Q231" s="41" t="str">
        <f>IFERROR(IF(AND(BoM_Griptel[[#This Row],[ACT_Qty]]&lt;&gt;"",BoM_Griptel[[#This Row],[Currency]]="NOK"),BoM_Griptel[[#This Row],[ACT_Qty]]*BoM_Griptel[[#This Row],[Unit Price]],""),"")</f>
        <v/>
      </c>
      <c r="R231" s="41" t="str">
        <f>IFERROR(IF(AND(BoM_Griptel[[#This Row],[Quantity]]&lt;&gt;"",BoM_Griptel[[#This Row],[Currency]]="EUR"),BoM_Griptel[[#This Row],[Quantity]]*BoM_Griptel[[#This Row],[Unit Price]],""),"")</f>
        <v/>
      </c>
      <c r="S231" s="41" t="str">
        <f>IFERROR(IF(AND(BoM_Griptel[[#This Row],[ACT_Qty]]&lt;&gt;"",BoM_Griptel[[#This Row],[Currency]]="EUR"),BoM_Griptel[[#This Row],[ACT_Qty]]*BoM_Griptel[[#This Row],[Unit Price]],""),"")</f>
        <v/>
      </c>
      <c r="T231" s="185" t="s">
        <v>1802</v>
      </c>
      <c r="U231" s="45"/>
      <c r="V231" s="45"/>
      <c r="W231" s="143"/>
    </row>
    <row r="232" spans="1:23" ht="15" customHeight="1">
      <c r="A232" s="146" t="str">
        <f t="shared" si="6"/>
        <v>AKH12345</v>
      </c>
      <c r="B232" s="147" t="s">
        <v>2260</v>
      </c>
      <c r="C232" s="146" t="s">
        <v>2261</v>
      </c>
      <c r="D232" s="68"/>
      <c r="E232" s="89"/>
      <c r="F232" s="68"/>
      <c r="G232" s="89"/>
      <c r="H232" s="177"/>
      <c r="I232" s="178" t="s">
        <v>847</v>
      </c>
      <c r="J232" s="178" t="s">
        <v>2251</v>
      </c>
      <c r="K232" s="178" t="s">
        <v>1235</v>
      </c>
      <c r="L232" s="148" t="s">
        <v>1806</v>
      </c>
      <c r="M232" s="46" t="str">
        <f t="shared" si="7"/>
        <v>OneCo Networks AS</v>
      </c>
      <c r="N232" s="42" t="str">
        <f ca="1">IFERROR(
VLOOKUP(BoM_Griptel[[#This Row],[Product code]],
IF(AND((BoQ!$N$3&lt;&gt;""),OR(BoM_Griptel[[#This Row],[Vendor]]="Griptel",BoM_Griptel[[#This Row],[Vendor]]="Solar")),INDIRECT(Aux!$A$1)),4,FALSE),"")</f>
        <v/>
      </c>
      <c r="O232" s="170" t="s">
        <v>1807</v>
      </c>
      <c r="P232" s="43" t="str">
        <f>IFERROR(IF(AND(BoM_Griptel[[#This Row],[Quantity]]&lt;&gt;"",BoM_Griptel[[#This Row],[Currency]]="NOK"),BoM_Griptel[[#This Row],[Quantity]]*BoM_Griptel[[#This Row],[Unit Price]],""),"")</f>
        <v/>
      </c>
      <c r="Q232" s="43" t="str">
        <f>IFERROR(IF(AND(BoM_Griptel[[#This Row],[ACT_Qty]]&lt;&gt;"",BoM_Griptel[[#This Row],[Currency]]="NOK"),BoM_Griptel[[#This Row],[ACT_Qty]]*BoM_Griptel[[#This Row],[Unit Price]],""),"")</f>
        <v/>
      </c>
      <c r="R232" s="43" t="str">
        <f>IFERROR(IF(AND(BoM_Griptel[[#This Row],[Quantity]]&lt;&gt;"",BoM_Griptel[[#This Row],[Currency]]="EUR"),BoM_Griptel[[#This Row],[Quantity]]*BoM_Griptel[[#This Row],[Unit Price]],""),"")</f>
        <v/>
      </c>
      <c r="S232" s="43" t="str">
        <f>IFERROR(IF(AND(BoM_Griptel[[#This Row],[ACT_Qty]]&lt;&gt;"",BoM_Griptel[[#This Row],[Currency]]="EUR"),BoM_Griptel[[#This Row],[ACT_Qty]]*BoM_Griptel[[#This Row],[Unit Price]],""),"")</f>
        <v/>
      </c>
      <c r="T232" s="186" t="s">
        <v>1802</v>
      </c>
      <c r="U232" s="46"/>
      <c r="V232" s="46"/>
      <c r="W232" s="146"/>
    </row>
    <row r="233" spans="1:23" ht="15" customHeight="1">
      <c r="A233" s="143" t="str">
        <f t="shared" si="6"/>
        <v>AKH12345</v>
      </c>
      <c r="B233" s="144" t="s">
        <v>2262</v>
      </c>
      <c r="C233" s="143" t="s">
        <v>2263</v>
      </c>
      <c r="D233" s="105"/>
      <c r="E233" s="106"/>
      <c r="F233" s="105"/>
      <c r="G233" s="106"/>
      <c r="H233" s="175"/>
      <c r="I233" s="176" t="s">
        <v>847</v>
      </c>
      <c r="J233" s="176" t="s">
        <v>2251</v>
      </c>
      <c r="K233" s="176" t="s">
        <v>1235</v>
      </c>
      <c r="L233" s="145" t="s">
        <v>1806</v>
      </c>
      <c r="M233" s="45" t="str">
        <f t="shared" si="7"/>
        <v>OneCo Networks AS</v>
      </c>
      <c r="N233" s="40" t="str">
        <f ca="1">IFERROR(
VLOOKUP(BoM_Griptel[[#This Row],[Product code]],
IF(AND((BoQ!$N$3&lt;&gt;""),OR(BoM_Griptel[[#This Row],[Vendor]]="Griptel",BoM_Griptel[[#This Row],[Vendor]]="Solar")),INDIRECT(Aux!$A$1)),4,FALSE),"")</f>
        <v/>
      </c>
      <c r="O233" s="169" t="s">
        <v>1807</v>
      </c>
      <c r="P233" s="41" t="str">
        <f>IFERROR(IF(AND(BoM_Griptel[[#This Row],[Quantity]]&lt;&gt;"",BoM_Griptel[[#This Row],[Currency]]="NOK"),BoM_Griptel[[#This Row],[Quantity]]*BoM_Griptel[[#This Row],[Unit Price]],""),"")</f>
        <v/>
      </c>
      <c r="Q233" s="41" t="str">
        <f>IFERROR(IF(AND(BoM_Griptel[[#This Row],[ACT_Qty]]&lt;&gt;"",BoM_Griptel[[#This Row],[Currency]]="NOK"),BoM_Griptel[[#This Row],[ACT_Qty]]*BoM_Griptel[[#This Row],[Unit Price]],""),"")</f>
        <v/>
      </c>
      <c r="R233" s="41" t="str">
        <f>IFERROR(IF(AND(BoM_Griptel[[#This Row],[Quantity]]&lt;&gt;"",BoM_Griptel[[#This Row],[Currency]]="EUR"),BoM_Griptel[[#This Row],[Quantity]]*BoM_Griptel[[#This Row],[Unit Price]],""),"")</f>
        <v/>
      </c>
      <c r="S233" s="41" t="str">
        <f>IFERROR(IF(AND(BoM_Griptel[[#This Row],[ACT_Qty]]&lt;&gt;"",BoM_Griptel[[#This Row],[Currency]]="EUR"),BoM_Griptel[[#This Row],[ACT_Qty]]*BoM_Griptel[[#This Row],[Unit Price]],""),"")</f>
        <v/>
      </c>
      <c r="T233" s="185" t="s">
        <v>1802</v>
      </c>
      <c r="U233" s="45"/>
      <c r="V233" s="45"/>
      <c r="W233" s="143"/>
    </row>
    <row r="234" spans="1:23" ht="15" customHeight="1">
      <c r="A234" s="146" t="str">
        <f t="shared" si="6"/>
        <v>AKH12345</v>
      </c>
      <c r="B234" s="147" t="s">
        <v>2264</v>
      </c>
      <c r="C234" s="146" t="s">
        <v>2265</v>
      </c>
      <c r="D234" s="68"/>
      <c r="E234" s="89"/>
      <c r="F234" s="68"/>
      <c r="G234" s="89"/>
      <c r="H234" s="177"/>
      <c r="I234" s="178" t="s">
        <v>847</v>
      </c>
      <c r="J234" s="178" t="s">
        <v>2251</v>
      </c>
      <c r="K234" s="178" t="s">
        <v>1235</v>
      </c>
      <c r="L234" s="148" t="s">
        <v>1806</v>
      </c>
      <c r="M234" s="46" t="str">
        <f t="shared" si="7"/>
        <v>OneCo Networks AS</v>
      </c>
      <c r="N234" s="42" t="str">
        <f ca="1">IFERROR(
VLOOKUP(BoM_Griptel[[#This Row],[Product code]],
IF(AND((BoQ!$N$3&lt;&gt;""),OR(BoM_Griptel[[#This Row],[Vendor]]="Griptel",BoM_Griptel[[#This Row],[Vendor]]="Solar")),INDIRECT(Aux!$A$1)),4,FALSE),"")</f>
        <v/>
      </c>
      <c r="O234" s="170" t="s">
        <v>1807</v>
      </c>
      <c r="P234" s="43" t="str">
        <f>IFERROR(IF(AND(BoM_Griptel[[#This Row],[Quantity]]&lt;&gt;"",BoM_Griptel[[#This Row],[Currency]]="NOK"),BoM_Griptel[[#This Row],[Quantity]]*BoM_Griptel[[#This Row],[Unit Price]],""),"")</f>
        <v/>
      </c>
      <c r="Q234" s="43" t="str">
        <f>IFERROR(IF(AND(BoM_Griptel[[#This Row],[ACT_Qty]]&lt;&gt;"",BoM_Griptel[[#This Row],[Currency]]="NOK"),BoM_Griptel[[#This Row],[ACT_Qty]]*BoM_Griptel[[#This Row],[Unit Price]],""),"")</f>
        <v/>
      </c>
      <c r="R234" s="43" t="str">
        <f>IFERROR(IF(AND(BoM_Griptel[[#This Row],[Quantity]]&lt;&gt;"",BoM_Griptel[[#This Row],[Currency]]="EUR"),BoM_Griptel[[#This Row],[Quantity]]*BoM_Griptel[[#This Row],[Unit Price]],""),"")</f>
        <v/>
      </c>
      <c r="S234" s="43" t="str">
        <f>IFERROR(IF(AND(BoM_Griptel[[#This Row],[ACT_Qty]]&lt;&gt;"",BoM_Griptel[[#This Row],[Currency]]="EUR"),BoM_Griptel[[#This Row],[ACT_Qty]]*BoM_Griptel[[#This Row],[Unit Price]],""),"")</f>
        <v/>
      </c>
      <c r="T234" s="186" t="s">
        <v>1802</v>
      </c>
      <c r="U234" s="46"/>
      <c r="V234" s="46"/>
      <c r="W234" s="146"/>
    </row>
    <row r="235" spans="1:23" ht="15" customHeight="1">
      <c r="A235" s="143" t="str">
        <f t="shared" si="6"/>
        <v>AKH12345</v>
      </c>
      <c r="B235" s="144" t="s">
        <v>2266</v>
      </c>
      <c r="C235" s="143" t="s">
        <v>2267</v>
      </c>
      <c r="D235" s="105"/>
      <c r="E235" s="106"/>
      <c r="F235" s="105"/>
      <c r="G235" s="106"/>
      <c r="H235" s="175"/>
      <c r="I235" s="176" t="s">
        <v>847</v>
      </c>
      <c r="J235" s="176" t="s">
        <v>2251</v>
      </c>
      <c r="K235" s="176" t="s">
        <v>1235</v>
      </c>
      <c r="L235" s="145" t="s">
        <v>1806</v>
      </c>
      <c r="M235" s="45" t="str">
        <f t="shared" si="7"/>
        <v>OneCo Networks AS</v>
      </c>
      <c r="N235" s="40" t="str">
        <f ca="1">IFERROR(
VLOOKUP(BoM_Griptel[[#This Row],[Product code]],
IF(AND((BoQ!$N$3&lt;&gt;""),OR(BoM_Griptel[[#This Row],[Vendor]]="Griptel",BoM_Griptel[[#This Row],[Vendor]]="Solar")),INDIRECT(Aux!$A$1)),4,FALSE),"")</f>
        <v/>
      </c>
      <c r="O235" s="169" t="s">
        <v>1807</v>
      </c>
      <c r="P235" s="41" t="str">
        <f>IFERROR(IF(AND(BoM_Griptel[[#This Row],[Quantity]]&lt;&gt;"",BoM_Griptel[[#This Row],[Currency]]="NOK"),BoM_Griptel[[#This Row],[Quantity]]*BoM_Griptel[[#This Row],[Unit Price]],""),"")</f>
        <v/>
      </c>
      <c r="Q235" s="41" t="str">
        <f>IFERROR(IF(AND(BoM_Griptel[[#This Row],[ACT_Qty]]&lt;&gt;"",BoM_Griptel[[#This Row],[Currency]]="NOK"),BoM_Griptel[[#This Row],[ACT_Qty]]*BoM_Griptel[[#This Row],[Unit Price]],""),"")</f>
        <v/>
      </c>
      <c r="R235" s="41" t="str">
        <f>IFERROR(IF(AND(BoM_Griptel[[#This Row],[Quantity]]&lt;&gt;"",BoM_Griptel[[#This Row],[Currency]]="EUR"),BoM_Griptel[[#This Row],[Quantity]]*BoM_Griptel[[#This Row],[Unit Price]],""),"")</f>
        <v/>
      </c>
      <c r="S235" s="41" t="str">
        <f>IFERROR(IF(AND(BoM_Griptel[[#This Row],[ACT_Qty]]&lt;&gt;"",BoM_Griptel[[#This Row],[Currency]]="EUR"),BoM_Griptel[[#This Row],[ACT_Qty]]*BoM_Griptel[[#This Row],[Unit Price]],""),"")</f>
        <v/>
      </c>
      <c r="T235" s="185" t="s">
        <v>1802</v>
      </c>
      <c r="U235" s="45"/>
      <c r="V235" s="45"/>
      <c r="W235" s="143"/>
    </row>
    <row r="236" spans="1:23" ht="15" customHeight="1">
      <c r="A236" s="146" t="str">
        <f t="shared" si="6"/>
        <v>AKH12345</v>
      </c>
      <c r="B236" s="147" t="s">
        <v>2268</v>
      </c>
      <c r="C236" s="146" t="s">
        <v>2269</v>
      </c>
      <c r="D236" s="68"/>
      <c r="E236" s="89"/>
      <c r="F236" s="68"/>
      <c r="G236" s="89"/>
      <c r="H236" s="177"/>
      <c r="I236" s="178" t="s">
        <v>847</v>
      </c>
      <c r="J236" s="178" t="s">
        <v>2251</v>
      </c>
      <c r="K236" s="178" t="s">
        <v>1235</v>
      </c>
      <c r="L236" s="148" t="s">
        <v>1806</v>
      </c>
      <c r="M236" s="46" t="str">
        <f t="shared" si="7"/>
        <v>OneCo Networks AS</v>
      </c>
      <c r="N236" s="42" t="str">
        <f ca="1">IFERROR(
VLOOKUP(BoM_Griptel[[#This Row],[Product code]],
IF(AND((BoQ!$N$3&lt;&gt;""),OR(BoM_Griptel[[#This Row],[Vendor]]="Griptel",BoM_Griptel[[#This Row],[Vendor]]="Solar")),INDIRECT(Aux!$A$1)),4,FALSE),"")</f>
        <v/>
      </c>
      <c r="O236" s="170" t="s">
        <v>1807</v>
      </c>
      <c r="P236" s="43" t="str">
        <f>IFERROR(IF(AND(BoM_Griptel[[#This Row],[Quantity]]&lt;&gt;"",BoM_Griptel[[#This Row],[Currency]]="NOK"),BoM_Griptel[[#This Row],[Quantity]]*BoM_Griptel[[#This Row],[Unit Price]],""),"")</f>
        <v/>
      </c>
      <c r="Q236" s="43" t="str">
        <f>IFERROR(IF(AND(BoM_Griptel[[#This Row],[ACT_Qty]]&lt;&gt;"",BoM_Griptel[[#This Row],[Currency]]="NOK"),BoM_Griptel[[#This Row],[ACT_Qty]]*BoM_Griptel[[#This Row],[Unit Price]],""),"")</f>
        <v/>
      </c>
      <c r="R236" s="43" t="str">
        <f>IFERROR(IF(AND(BoM_Griptel[[#This Row],[Quantity]]&lt;&gt;"",BoM_Griptel[[#This Row],[Currency]]="EUR"),BoM_Griptel[[#This Row],[Quantity]]*BoM_Griptel[[#This Row],[Unit Price]],""),"")</f>
        <v/>
      </c>
      <c r="S236" s="43" t="str">
        <f>IFERROR(IF(AND(BoM_Griptel[[#This Row],[ACT_Qty]]&lt;&gt;"",BoM_Griptel[[#This Row],[Currency]]="EUR"),BoM_Griptel[[#This Row],[ACT_Qty]]*BoM_Griptel[[#This Row],[Unit Price]],""),"")</f>
        <v/>
      </c>
      <c r="T236" s="186" t="s">
        <v>1802</v>
      </c>
      <c r="U236" s="46"/>
      <c r="V236" s="46"/>
      <c r="W236" s="146"/>
    </row>
    <row r="237" spans="1:23" ht="15" customHeight="1">
      <c r="A237" s="143" t="str">
        <f t="shared" si="6"/>
        <v>AKH12345</v>
      </c>
      <c r="B237" s="144" t="s">
        <v>2270</v>
      </c>
      <c r="C237" s="143" t="s">
        <v>2271</v>
      </c>
      <c r="D237" s="105"/>
      <c r="E237" s="106"/>
      <c r="F237" s="105"/>
      <c r="G237" s="106"/>
      <c r="H237" s="175"/>
      <c r="I237" s="176" t="s">
        <v>847</v>
      </c>
      <c r="J237" s="176" t="s">
        <v>2251</v>
      </c>
      <c r="K237" s="176" t="s">
        <v>1235</v>
      </c>
      <c r="L237" s="145" t="s">
        <v>1806</v>
      </c>
      <c r="M237" s="45" t="str">
        <f t="shared" si="7"/>
        <v>OneCo Networks AS</v>
      </c>
      <c r="N237" s="40" t="str">
        <f ca="1">IFERROR(
VLOOKUP(BoM_Griptel[[#This Row],[Product code]],
IF(AND((BoQ!$N$3&lt;&gt;""),OR(BoM_Griptel[[#This Row],[Vendor]]="Griptel",BoM_Griptel[[#This Row],[Vendor]]="Solar")),INDIRECT(Aux!$A$1)),4,FALSE),"")</f>
        <v/>
      </c>
      <c r="O237" s="169" t="s">
        <v>1807</v>
      </c>
      <c r="P237" s="41" t="str">
        <f>IFERROR(IF(AND(BoM_Griptel[[#This Row],[Quantity]]&lt;&gt;"",BoM_Griptel[[#This Row],[Currency]]="NOK"),BoM_Griptel[[#This Row],[Quantity]]*BoM_Griptel[[#This Row],[Unit Price]],""),"")</f>
        <v/>
      </c>
      <c r="Q237" s="41" t="str">
        <f>IFERROR(IF(AND(BoM_Griptel[[#This Row],[ACT_Qty]]&lt;&gt;"",BoM_Griptel[[#This Row],[Currency]]="NOK"),BoM_Griptel[[#This Row],[ACT_Qty]]*BoM_Griptel[[#This Row],[Unit Price]],""),"")</f>
        <v/>
      </c>
      <c r="R237" s="41" t="str">
        <f>IFERROR(IF(AND(BoM_Griptel[[#This Row],[Quantity]]&lt;&gt;"",BoM_Griptel[[#This Row],[Currency]]="EUR"),BoM_Griptel[[#This Row],[Quantity]]*BoM_Griptel[[#This Row],[Unit Price]],""),"")</f>
        <v/>
      </c>
      <c r="S237" s="41" t="str">
        <f>IFERROR(IF(AND(BoM_Griptel[[#This Row],[ACT_Qty]]&lt;&gt;"",BoM_Griptel[[#This Row],[Currency]]="EUR"),BoM_Griptel[[#This Row],[ACT_Qty]]*BoM_Griptel[[#This Row],[Unit Price]],""),"")</f>
        <v/>
      </c>
      <c r="T237" s="185" t="s">
        <v>1802</v>
      </c>
      <c r="U237" s="45"/>
      <c r="V237" s="45"/>
      <c r="W237" s="143"/>
    </row>
    <row r="238" spans="1:23" ht="15" customHeight="1">
      <c r="A238" s="146" t="str">
        <f t="shared" si="6"/>
        <v>AKH12345</v>
      </c>
      <c r="B238" s="147" t="s">
        <v>2272</v>
      </c>
      <c r="C238" s="146" t="s">
        <v>2273</v>
      </c>
      <c r="D238" s="68"/>
      <c r="E238" s="89"/>
      <c r="F238" s="68"/>
      <c r="G238" s="89"/>
      <c r="H238" s="177"/>
      <c r="I238" s="178" t="s">
        <v>847</v>
      </c>
      <c r="J238" s="178" t="s">
        <v>2251</v>
      </c>
      <c r="K238" s="178" t="s">
        <v>1235</v>
      </c>
      <c r="L238" s="148" t="s">
        <v>1806</v>
      </c>
      <c r="M238" s="46" t="str">
        <f t="shared" si="7"/>
        <v>OneCo Networks AS</v>
      </c>
      <c r="N238" s="42" t="str">
        <f ca="1">IFERROR(
VLOOKUP(BoM_Griptel[[#This Row],[Product code]],
IF(AND((BoQ!$N$3&lt;&gt;""),OR(BoM_Griptel[[#This Row],[Vendor]]="Griptel",BoM_Griptel[[#This Row],[Vendor]]="Solar")),INDIRECT(Aux!$A$1)),4,FALSE),"")</f>
        <v/>
      </c>
      <c r="O238" s="170" t="s">
        <v>1807</v>
      </c>
      <c r="P238" s="43" t="str">
        <f>IFERROR(IF(AND(BoM_Griptel[[#This Row],[Quantity]]&lt;&gt;"",BoM_Griptel[[#This Row],[Currency]]="NOK"),BoM_Griptel[[#This Row],[Quantity]]*BoM_Griptel[[#This Row],[Unit Price]],""),"")</f>
        <v/>
      </c>
      <c r="Q238" s="43" t="str">
        <f>IFERROR(IF(AND(BoM_Griptel[[#This Row],[ACT_Qty]]&lt;&gt;"",BoM_Griptel[[#This Row],[Currency]]="NOK"),BoM_Griptel[[#This Row],[ACT_Qty]]*BoM_Griptel[[#This Row],[Unit Price]],""),"")</f>
        <v/>
      </c>
      <c r="R238" s="43" t="str">
        <f>IFERROR(IF(AND(BoM_Griptel[[#This Row],[Quantity]]&lt;&gt;"",BoM_Griptel[[#This Row],[Currency]]="EUR"),BoM_Griptel[[#This Row],[Quantity]]*BoM_Griptel[[#This Row],[Unit Price]],""),"")</f>
        <v/>
      </c>
      <c r="S238" s="43" t="str">
        <f>IFERROR(IF(AND(BoM_Griptel[[#This Row],[ACT_Qty]]&lt;&gt;"",BoM_Griptel[[#This Row],[Currency]]="EUR"),BoM_Griptel[[#This Row],[ACT_Qty]]*BoM_Griptel[[#This Row],[Unit Price]],""),"")</f>
        <v/>
      </c>
      <c r="T238" s="186" t="s">
        <v>1802</v>
      </c>
      <c r="U238" s="46"/>
      <c r="V238" s="46"/>
      <c r="W238" s="146"/>
    </row>
    <row r="239" spans="1:23" ht="15" customHeight="1">
      <c r="A239" s="143" t="str">
        <f t="shared" si="6"/>
        <v>AKH12345</v>
      </c>
      <c r="B239" s="144" t="s">
        <v>2274</v>
      </c>
      <c r="C239" s="143" t="s">
        <v>2275</v>
      </c>
      <c r="D239" s="105"/>
      <c r="E239" s="106"/>
      <c r="F239" s="105"/>
      <c r="G239" s="106"/>
      <c r="H239" s="175"/>
      <c r="I239" s="176" t="s">
        <v>847</v>
      </c>
      <c r="J239" s="176" t="s">
        <v>2251</v>
      </c>
      <c r="K239" s="176" t="s">
        <v>1235</v>
      </c>
      <c r="L239" s="145" t="s">
        <v>1806</v>
      </c>
      <c r="M239" s="45" t="str">
        <f t="shared" si="7"/>
        <v>OneCo Networks AS</v>
      </c>
      <c r="N239" s="40" t="str">
        <f ca="1">IFERROR(
VLOOKUP(BoM_Griptel[[#This Row],[Product code]],
IF(AND((BoQ!$N$3&lt;&gt;""),OR(BoM_Griptel[[#This Row],[Vendor]]="Griptel",BoM_Griptel[[#This Row],[Vendor]]="Solar")),INDIRECT(Aux!$A$1)),4,FALSE),"")</f>
        <v/>
      </c>
      <c r="O239" s="169" t="s">
        <v>1807</v>
      </c>
      <c r="P239" s="41" t="str">
        <f>IFERROR(IF(AND(BoM_Griptel[[#This Row],[Quantity]]&lt;&gt;"",BoM_Griptel[[#This Row],[Currency]]="NOK"),BoM_Griptel[[#This Row],[Quantity]]*BoM_Griptel[[#This Row],[Unit Price]],""),"")</f>
        <v/>
      </c>
      <c r="Q239" s="41" t="str">
        <f>IFERROR(IF(AND(BoM_Griptel[[#This Row],[ACT_Qty]]&lt;&gt;"",BoM_Griptel[[#This Row],[Currency]]="NOK"),BoM_Griptel[[#This Row],[ACT_Qty]]*BoM_Griptel[[#This Row],[Unit Price]],""),"")</f>
        <v/>
      </c>
      <c r="R239" s="41" t="str">
        <f>IFERROR(IF(AND(BoM_Griptel[[#This Row],[Quantity]]&lt;&gt;"",BoM_Griptel[[#This Row],[Currency]]="EUR"),BoM_Griptel[[#This Row],[Quantity]]*BoM_Griptel[[#This Row],[Unit Price]],""),"")</f>
        <v/>
      </c>
      <c r="S239" s="41" t="str">
        <f>IFERROR(IF(AND(BoM_Griptel[[#This Row],[ACT_Qty]]&lt;&gt;"",BoM_Griptel[[#This Row],[Currency]]="EUR"),BoM_Griptel[[#This Row],[ACT_Qty]]*BoM_Griptel[[#This Row],[Unit Price]],""),"")</f>
        <v/>
      </c>
      <c r="T239" s="185" t="s">
        <v>1802</v>
      </c>
      <c r="U239" s="45"/>
      <c r="V239" s="45"/>
      <c r="W239" s="143"/>
    </row>
    <row r="240" spans="1:23" ht="15" customHeight="1">
      <c r="A240" s="146" t="str">
        <f t="shared" si="6"/>
        <v>AKH12345</v>
      </c>
      <c r="B240" s="147" t="s">
        <v>2276</v>
      </c>
      <c r="C240" s="146" t="s">
        <v>2277</v>
      </c>
      <c r="D240" s="68"/>
      <c r="E240" s="89"/>
      <c r="F240" s="68"/>
      <c r="G240" s="89"/>
      <c r="H240" s="177"/>
      <c r="I240" s="178" t="s">
        <v>847</v>
      </c>
      <c r="J240" s="178" t="s">
        <v>2251</v>
      </c>
      <c r="K240" s="178" t="s">
        <v>1235</v>
      </c>
      <c r="L240" s="148" t="s">
        <v>1806</v>
      </c>
      <c r="M240" s="46" t="str">
        <f t="shared" si="7"/>
        <v>OneCo Networks AS</v>
      </c>
      <c r="N240" s="42" t="str">
        <f ca="1">IFERROR(
VLOOKUP(BoM_Griptel[[#This Row],[Product code]],
IF(AND((BoQ!$N$3&lt;&gt;""),OR(BoM_Griptel[[#This Row],[Vendor]]="Griptel",BoM_Griptel[[#This Row],[Vendor]]="Solar")),INDIRECT(Aux!$A$1)),4,FALSE),"")</f>
        <v/>
      </c>
      <c r="O240" s="170" t="s">
        <v>1807</v>
      </c>
      <c r="P240" s="43" t="str">
        <f>IFERROR(IF(AND(BoM_Griptel[[#This Row],[Quantity]]&lt;&gt;"",BoM_Griptel[[#This Row],[Currency]]="NOK"),BoM_Griptel[[#This Row],[Quantity]]*BoM_Griptel[[#This Row],[Unit Price]],""),"")</f>
        <v/>
      </c>
      <c r="Q240" s="43" t="str">
        <f>IFERROR(IF(AND(BoM_Griptel[[#This Row],[ACT_Qty]]&lt;&gt;"",BoM_Griptel[[#This Row],[Currency]]="NOK"),BoM_Griptel[[#This Row],[ACT_Qty]]*BoM_Griptel[[#This Row],[Unit Price]],""),"")</f>
        <v/>
      </c>
      <c r="R240" s="43" t="str">
        <f>IFERROR(IF(AND(BoM_Griptel[[#This Row],[Quantity]]&lt;&gt;"",BoM_Griptel[[#This Row],[Currency]]="EUR"),BoM_Griptel[[#This Row],[Quantity]]*BoM_Griptel[[#This Row],[Unit Price]],""),"")</f>
        <v/>
      </c>
      <c r="S240" s="43" t="str">
        <f>IFERROR(IF(AND(BoM_Griptel[[#This Row],[ACT_Qty]]&lt;&gt;"",BoM_Griptel[[#This Row],[Currency]]="EUR"),BoM_Griptel[[#This Row],[ACT_Qty]]*BoM_Griptel[[#This Row],[Unit Price]],""),"")</f>
        <v/>
      </c>
      <c r="T240" s="186" t="s">
        <v>1802</v>
      </c>
      <c r="U240" s="46"/>
      <c r="V240" s="46"/>
      <c r="W240" s="146"/>
    </row>
    <row r="241" spans="1:23" ht="15" customHeight="1">
      <c r="A241" s="143" t="str">
        <f t="shared" si="6"/>
        <v>AKH12345</v>
      </c>
      <c r="B241" s="144" t="s">
        <v>2278</v>
      </c>
      <c r="C241" s="143" t="s">
        <v>2279</v>
      </c>
      <c r="D241" s="105"/>
      <c r="E241" s="106"/>
      <c r="F241" s="105"/>
      <c r="G241" s="106"/>
      <c r="H241" s="175"/>
      <c r="I241" s="176" t="s">
        <v>847</v>
      </c>
      <c r="J241" s="176" t="s">
        <v>2251</v>
      </c>
      <c r="K241" s="176" t="s">
        <v>1235</v>
      </c>
      <c r="L241" s="145" t="s">
        <v>1806</v>
      </c>
      <c r="M241" s="45" t="str">
        <f t="shared" si="7"/>
        <v>OneCo Networks AS</v>
      </c>
      <c r="N241" s="40" t="str">
        <f ca="1">IFERROR(
VLOOKUP(BoM_Griptel[[#This Row],[Product code]],
IF(AND((BoQ!$N$3&lt;&gt;""),OR(BoM_Griptel[[#This Row],[Vendor]]="Griptel",BoM_Griptel[[#This Row],[Vendor]]="Solar")),INDIRECT(Aux!$A$1)),4,FALSE),"")</f>
        <v/>
      </c>
      <c r="O241" s="169" t="s">
        <v>1807</v>
      </c>
      <c r="P241" s="41" t="str">
        <f>IFERROR(IF(AND(BoM_Griptel[[#This Row],[Quantity]]&lt;&gt;"",BoM_Griptel[[#This Row],[Currency]]="NOK"),BoM_Griptel[[#This Row],[Quantity]]*BoM_Griptel[[#This Row],[Unit Price]],""),"")</f>
        <v/>
      </c>
      <c r="Q241" s="41" t="str">
        <f>IFERROR(IF(AND(BoM_Griptel[[#This Row],[ACT_Qty]]&lt;&gt;"",BoM_Griptel[[#This Row],[Currency]]="NOK"),BoM_Griptel[[#This Row],[ACT_Qty]]*BoM_Griptel[[#This Row],[Unit Price]],""),"")</f>
        <v/>
      </c>
      <c r="R241" s="41" t="str">
        <f>IFERROR(IF(AND(BoM_Griptel[[#This Row],[Quantity]]&lt;&gt;"",BoM_Griptel[[#This Row],[Currency]]="EUR"),BoM_Griptel[[#This Row],[Quantity]]*BoM_Griptel[[#This Row],[Unit Price]],""),"")</f>
        <v/>
      </c>
      <c r="S241" s="41" t="str">
        <f>IFERROR(IF(AND(BoM_Griptel[[#This Row],[ACT_Qty]]&lt;&gt;"",BoM_Griptel[[#This Row],[Currency]]="EUR"),BoM_Griptel[[#This Row],[ACT_Qty]]*BoM_Griptel[[#This Row],[Unit Price]],""),"")</f>
        <v/>
      </c>
      <c r="T241" s="185" t="s">
        <v>1802</v>
      </c>
      <c r="U241" s="45"/>
      <c r="V241" s="45"/>
      <c r="W241" s="143"/>
    </row>
    <row r="242" spans="1:23" ht="15" customHeight="1">
      <c r="A242" s="146" t="str">
        <f t="shared" si="6"/>
        <v>AKH12345</v>
      </c>
      <c r="B242" s="147" t="s">
        <v>2280</v>
      </c>
      <c r="C242" s="146" t="s">
        <v>2281</v>
      </c>
      <c r="D242" s="68"/>
      <c r="E242" s="89"/>
      <c r="F242" s="68"/>
      <c r="G242" s="89"/>
      <c r="H242" s="177"/>
      <c r="I242" s="178" t="s">
        <v>847</v>
      </c>
      <c r="J242" s="178" t="s">
        <v>2251</v>
      </c>
      <c r="K242" s="178" t="s">
        <v>1235</v>
      </c>
      <c r="L242" s="148" t="s">
        <v>1806</v>
      </c>
      <c r="M242" s="46" t="str">
        <f t="shared" si="7"/>
        <v>OneCo Networks AS</v>
      </c>
      <c r="N242" s="42" t="str">
        <f ca="1">IFERROR(
VLOOKUP(BoM_Griptel[[#This Row],[Product code]],
IF(AND((BoQ!$N$3&lt;&gt;""),OR(BoM_Griptel[[#This Row],[Vendor]]="Griptel",BoM_Griptel[[#This Row],[Vendor]]="Solar")),INDIRECT(Aux!$A$1)),4,FALSE),"")</f>
        <v/>
      </c>
      <c r="O242" s="170" t="s">
        <v>1807</v>
      </c>
      <c r="P242" s="43" t="str">
        <f>IFERROR(IF(AND(BoM_Griptel[[#This Row],[Quantity]]&lt;&gt;"",BoM_Griptel[[#This Row],[Currency]]="NOK"),BoM_Griptel[[#This Row],[Quantity]]*BoM_Griptel[[#This Row],[Unit Price]],""),"")</f>
        <v/>
      </c>
      <c r="Q242" s="43" t="str">
        <f>IFERROR(IF(AND(BoM_Griptel[[#This Row],[ACT_Qty]]&lt;&gt;"",BoM_Griptel[[#This Row],[Currency]]="NOK"),BoM_Griptel[[#This Row],[ACT_Qty]]*BoM_Griptel[[#This Row],[Unit Price]],""),"")</f>
        <v/>
      </c>
      <c r="R242" s="43" t="str">
        <f>IFERROR(IF(AND(BoM_Griptel[[#This Row],[Quantity]]&lt;&gt;"",BoM_Griptel[[#This Row],[Currency]]="EUR"),BoM_Griptel[[#This Row],[Quantity]]*BoM_Griptel[[#This Row],[Unit Price]],""),"")</f>
        <v/>
      </c>
      <c r="S242" s="43" t="str">
        <f>IFERROR(IF(AND(BoM_Griptel[[#This Row],[ACT_Qty]]&lt;&gt;"",BoM_Griptel[[#This Row],[Currency]]="EUR"),BoM_Griptel[[#This Row],[ACT_Qty]]*BoM_Griptel[[#This Row],[Unit Price]],""),"")</f>
        <v/>
      </c>
      <c r="T242" s="186" t="s">
        <v>1802</v>
      </c>
      <c r="U242" s="46"/>
      <c r="V242" s="46"/>
      <c r="W242" s="146"/>
    </row>
    <row r="243" spans="1:23" ht="15" customHeight="1">
      <c r="A243" s="143" t="str">
        <f t="shared" si="6"/>
        <v>AKH12345</v>
      </c>
      <c r="B243" s="144" t="s">
        <v>2282</v>
      </c>
      <c r="C243" s="143" t="s">
        <v>2283</v>
      </c>
      <c r="D243" s="105"/>
      <c r="E243" s="106"/>
      <c r="F243" s="105"/>
      <c r="G243" s="106"/>
      <c r="H243" s="175"/>
      <c r="I243" s="176" t="s">
        <v>847</v>
      </c>
      <c r="J243" s="176" t="s">
        <v>2251</v>
      </c>
      <c r="K243" s="176" t="s">
        <v>1235</v>
      </c>
      <c r="L243" s="145" t="s">
        <v>1806</v>
      </c>
      <c r="M243" s="45" t="str">
        <f t="shared" si="7"/>
        <v>OneCo Networks AS</v>
      </c>
      <c r="N243" s="40" t="str">
        <f ca="1">IFERROR(
VLOOKUP(BoM_Griptel[[#This Row],[Product code]],
IF(AND((BoQ!$N$3&lt;&gt;""),OR(BoM_Griptel[[#This Row],[Vendor]]="Griptel",BoM_Griptel[[#This Row],[Vendor]]="Solar")),INDIRECT(Aux!$A$1)),4,FALSE),"")</f>
        <v/>
      </c>
      <c r="O243" s="169" t="s">
        <v>1807</v>
      </c>
      <c r="P243" s="41" t="str">
        <f>IFERROR(IF(AND(BoM_Griptel[[#This Row],[Quantity]]&lt;&gt;"",BoM_Griptel[[#This Row],[Currency]]="NOK"),BoM_Griptel[[#This Row],[Quantity]]*BoM_Griptel[[#This Row],[Unit Price]],""),"")</f>
        <v/>
      </c>
      <c r="Q243" s="41" t="str">
        <f>IFERROR(IF(AND(BoM_Griptel[[#This Row],[ACT_Qty]]&lt;&gt;"",BoM_Griptel[[#This Row],[Currency]]="NOK"),BoM_Griptel[[#This Row],[ACT_Qty]]*BoM_Griptel[[#This Row],[Unit Price]],""),"")</f>
        <v/>
      </c>
      <c r="R243" s="41" t="str">
        <f>IFERROR(IF(AND(BoM_Griptel[[#This Row],[Quantity]]&lt;&gt;"",BoM_Griptel[[#This Row],[Currency]]="EUR"),BoM_Griptel[[#This Row],[Quantity]]*BoM_Griptel[[#This Row],[Unit Price]],""),"")</f>
        <v/>
      </c>
      <c r="S243" s="41" t="str">
        <f>IFERROR(IF(AND(BoM_Griptel[[#This Row],[ACT_Qty]]&lt;&gt;"",BoM_Griptel[[#This Row],[Currency]]="EUR"),BoM_Griptel[[#This Row],[ACT_Qty]]*BoM_Griptel[[#This Row],[Unit Price]],""),"")</f>
        <v/>
      </c>
      <c r="T243" s="185" t="s">
        <v>1802</v>
      </c>
      <c r="U243" s="45"/>
      <c r="V243" s="45"/>
      <c r="W243" s="143"/>
    </row>
    <row r="244" spans="1:23" ht="15" customHeight="1">
      <c r="A244" s="146" t="str">
        <f t="shared" si="6"/>
        <v>AKH12345</v>
      </c>
      <c r="B244" s="147" t="s">
        <v>2284</v>
      </c>
      <c r="C244" s="146" t="s">
        <v>2285</v>
      </c>
      <c r="D244" s="68"/>
      <c r="E244" s="89"/>
      <c r="F244" s="68"/>
      <c r="G244" s="89"/>
      <c r="H244" s="177"/>
      <c r="I244" s="178" t="s">
        <v>847</v>
      </c>
      <c r="J244" s="178" t="s">
        <v>2251</v>
      </c>
      <c r="K244" s="178" t="s">
        <v>1235</v>
      </c>
      <c r="L244" s="148" t="s">
        <v>1806</v>
      </c>
      <c r="M244" s="46" t="str">
        <f t="shared" si="7"/>
        <v>OneCo Networks AS</v>
      </c>
      <c r="N244" s="42" t="str">
        <f ca="1">IFERROR(
VLOOKUP(BoM_Griptel[[#This Row],[Product code]],
IF(AND((BoQ!$N$3&lt;&gt;""),OR(BoM_Griptel[[#This Row],[Vendor]]="Griptel",BoM_Griptel[[#This Row],[Vendor]]="Solar")),INDIRECT(Aux!$A$1)),4,FALSE),"")</f>
        <v/>
      </c>
      <c r="O244" s="170" t="s">
        <v>1807</v>
      </c>
      <c r="P244" s="43" t="str">
        <f>IFERROR(IF(AND(BoM_Griptel[[#This Row],[Quantity]]&lt;&gt;"",BoM_Griptel[[#This Row],[Currency]]="NOK"),BoM_Griptel[[#This Row],[Quantity]]*BoM_Griptel[[#This Row],[Unit Price]],""),"")</f>
        <v/>
      </c>
      <c r="Q244" s="43" t="str">
        <f>IFERROR(IF(AND(BoM_Griptel[[#This Row],[ACT_Qty]]&lt;&gt;"",BoM_Griptel[[#This Row],[Currency]]="NOK"),BoM_Griptel[[#This Row],[ACT_Qty]]*BoM_Griptel[[#This Row],[Unit Price]],""),"")</f>
        <v/>
      </c>
      <c r="R244" s="43" t="str">
        <f>IFERROR(IF(AND(BoM_Griptel[[#This Row],[Quantity]]&lt;&gt;"",BoM_Griptel[[#This Row],[Currency]]="EUR"),BoM_Griptel[[#This Row],[Quantity]]*BoM_Griptel[[#This Row],[Unit Price]],""),"")</f>
        <v/>
      </c>
      <c r="S244" s="43" t="str">
        <f>IFERROR(IF(AND(BoM_Griptel[[#This Row],[ACT_Qty]]&lt;&gt;"",BoM_Griptel[[#This Row],[Currency]]="EUR"),BoM_Griptel[[#This Row],[ACT_Qty]]*BoM_Griptel[[#This Row],[Unit Price]],""),"")</f>
        <v/>
      </c>
      <c r="T244" s="186" t="s">
        <v>1802</v>
      </c>
      <c r="U244" s="46"/>
      <c r="V244" s="46"/>
      <c r="W244" s="146"/>
    </row>
    <row r="245" spans="1:23" ht="15" customHeight="1">
      <c r="A245" s="143" t="str">
        <f t="shared" si="6"/>
        <v>AKH12345</v>
      </c>
      <c r="B245" s="144" t="s">
        <v>2286</v>
      </c>
      <c r="C245" s="143" t="s">
        <v>2287</v>
      </c>
      <c r="D245" s="105"/>
      <c r="E245" s="106"/>
      <c r="F245" s="105"/>
      <c r="G245" s="106"/>
      <c r="H245" s="175"/>
      <c r="I245" s="176" t="s">
        <v>847</v>
      </c>
      <c r="J245" s="176" t="s">
        <v>2251</v>
      </c>
      <c r="K245" s="176" t="s">
        <v>1235</v>
      </c>
      <c r="L245" s="145" t="s">
        <v>1806</v>
      </c>
      <c r="M245" s="45" t="str">
        <f t="shared" si="7"/>
        <v>OneCo Networks AS</v>
      </c>
      <c r="N245" s="40" t="str">
        <f ca="1">IFERROR(
VLOOKUP(BoM_Griptel[[#This Row],[Product code]],
IF(AND((BoQ!$N$3&lt;&gt;""),OR(BoM_Griptel[[#This Row],[Vendor]]="Griptel",BoM_Griptel[[#This Row],[Vendor]]="Solar")),INDIRECT(Aux!$A$1)),4,FALSE),"")</f>
        <v/>
      </c>
      <c r="O245" s="169" t="s">
        <v>1807</v>
      </c>
      <c r="P245" s="41" t="str">
        <f>IFERROR(IF(AND(BoM_Griptel[[#This Row],[Quantity]]&lt;&gt;"",BoM_Griptel[[#This Row],[Currency]]="NOK"),BoM_Griptel[[#This Row],[Quantity]]*BoM_Griptel[[#This Row],[Unit Price]],""),"")</f>
        <v/>
      </c>
      <c r="Q245" s="41" t="str">
        <f>IFERROR(IF(AND(BoM_Griptel[[#This Row],[ACT_Qty]]&lt;&gt;"",BoM_Griptel[[#This Row],[Currency]]="NOK"),BoM_Griptel[[#This Row],[ACT_Qty]]*BoM_Griptel[[#This Row],[Unit Price]],""),"")</f>
        <v/>
      </c>
      <c r="R245" s="41" t="str">
        <f>IFERROR(IF(AND(BoM_Griptel[[#This Row],[Quantity]]&lt;&gt;"",BoM_Griptel[[#This Row],[Currency]]="EUR"),BoM_Griptel[[#This Row],[Quantity]]*BoM_Griptel[[#This Row],[Unit Price]],""),"")</f>
        <v/>
      </c>
      <c r="S245" s="41" t="str">
        <f>IFERROR(IF(AND(BoM_Griptel[[#This Row],[ACT_Qty]]&lt;&gt;"",BoM_Griptel[[#This Row],[Currency]]="EUR"),BoM_Griptel[[#This Row],[ACT_Qty]]*BoM_Griptel[[#This Row],[Unit Price]],""),"")</f>
        <v/>
      </c>
      <c r="T245" s="185" t="s">
        <v>1802</v>
      </c>
      <c r="U245" s="45"/>
      <c r="V245" s="45"/>
      <c r="W245" s="143"/>
    </row>
    <row r="246" spans="1:23" ht="15" customHeight="1">
      <c r="A246" s="146" t="str">
        <f t="shared" si="6"/>
        <v>AKH12345</v>
      </c>
      <c r="B246" s="147" t="s">
        <v>2288</v>
      </c>
      <c r="C246" s="146" t="s">
        <v>2289</v>
      </c>
      <c r="D246" s="68"/>
      <c r="E246" s="89"/>
      <c r="F246" s="68"/>
      <c r="G246" s="89"/>
      <c r="H246" s="177"/>
      <c r="I246" s="178" t="s">
        <v>847</v>
      </c>
      <c r="J246" s="178" t="s">
        <v>2251</v>
      </c>
      <c r="K246" s="178" t="s">
        <v>1235</v>
      </c>
      <c r="L246" s="148" t="s">
        <v>1806</v>
      </c>
      <c r="M246" s="46" t="str">
        <f t="shared" si="7"/>
        <v>OneCo Networks AS</v>
      </c>
      <c r="N246" s="42" t="str">
        <f ca="1">IFERROR(
VLOOKUP(BoM_Griptel[[#This Row],[Product code]],
IF(AND((BoQ!$N$3&lt;&gt;""),OR(BoM_Griptel[[#This Row],[Vendor]]="Griptel",BoM_Griptel[[#This Row],[Vendor]]="Solar")),INDIRECT(Aux!$A$1)),4,FALSE),"")</f>
        <v/>
      </c>
      <c r="O246" s="170" t="s">
        <v>1807</v>
      </c>
      <c r="P246" s="43" t="str">
        <f>IFERROR(IF(AND(BoM_Griptel[[#This Row],[Quantity]]&lt;&gt;"",BoM_Griptel[[#This Row],[Currency]]="NOK"),BoM_Griptel[[#This Row],[Quantity]]*BoM_Griptel[[#This Row],[Unit Price]],""),"")</f>
        <v/>
      </c>
      <c r="Q246" s="43" t="str">
        <f>IFERROR(IF(AND(BoM_Griptel[[#This Row],[ACT_Qty]]&lt;&gt;"",BoM_Griptel[[#This Row],[Currency]]="NOK"),BoM_Griptel[[#This Row],[ACT_Qty]]*BoM_Griptel[[#This Row],[Unit Price]],""),"")</f>
        <v/>
      </c>
      <c r="R246" s="43" t="str">
        <f>IFERROR(IF(AND(BoM_Griptel[[#This Row],[Quantity]]&lt;&gt;"",BoM_Griptel[[#This Row],[Currency]]="EUR"),BoM_Griptel[[#This Row],[Quantity]]*BoM_Griptel[[#This Row],[Unit Price]],""),"")</f>
        <v/>
      </c>
      <c r="S246" s="43" t="str">
        <f>IFERROR(IF(AND(BoM_Griptel[[#This Row],[ACT_Qty]]&lt;&gt;"",BoM_Griptel[[#This Row],[Currency]]="EUR"),BoM_Griptel[[#This Row],[ACT_Qty]]*BoM_Griptel[[#This Row],[Unit Price]],""),"")</f>
        <v/>
      </c>
      <c r="T246" s="186" t="s">
        <v>1802</v>
      </c>
      <c r="U246" s="46"/>
      <c r="V246" s="46"/>
      <c r="W246" s="146"/>
    </row>
    <row r="247" spans="1:23" ht="15" customHeight="1">
      <c r="A247" s="143" t="str">
        <f t="shared" si="6"/>
        <v>AKH12345</v>
      </c>
      <c r="B247" s="144" t="s">
        <v>2290</v>
      </c>
      <c r="C247" s="143" t="s">
        <v>2291</v>
      </c>
      <c r="D247" s="105"/>
      <c r="E247" s="106"/>
      <c r="F247" s="105"/>
      <c r="G247" s="106"/>
      <c r="H247" s="175"/>
      <c r="I247" s="176" t="s">
        <v>847</v>
      </c>
      <c r="J247" s="176" t="s">
        <v>2251</v>
      </c>
      <c r="K247" s="176" t="s">
        <v>1235</v>
      </c>
      <c r="L247" s="145" t="s">
        <v>1806</v>
      </c>
      <c r="M247" s="45" t="str">
        <f t="shared" si="7"/>
        <v>OneCo Networks AS</v>
      </c>
      <c r="N247" s="40" t="str">
        <f ca="1">IFERROR(
VLOOKUP(BoM_Griptel[[#This Row],[Product code]],
IF(AND((BoQ!$N$3&lt;&gt;""),OR(BoM_Griptel[[#This Row],[Vendor]]="Griptel",BoM_Griptel[[#This Row],[Vendor]]="Solar")),INDIRECT(Aux!$A$1)),4,FALSE),"")</f>
        <v/>
      </c>
      <c r="O247" s="169" t="s">
        <v>1807</v>
      </c>
      <c r="P247" s="41" t="str">
        <f>IFERROR(IF(AND(BoM_Griptel[[#This Row],[Quantity]]&lt;&gt;"",BoM_Griptel[[#This Row],[Currency]]="NOK"),BoM_Griptel[[#This Row],[Quantity]]*BoM_Griptel[[#This Row],[Unit Price]],""),"")</f>
        <v/>
      </c>
      <c r="Q247" s="41" t="str">
        <f>IFERROR(IF(AND(BoM_Griptel[[#This Row],[ACT_Qty]]&lt;&gt;"",BoM_Griptel[[#This Row],[Currency]]="NOK"),BoM_Griptel[[#This Row],[ACT_Qty]]*BoM_Griptel[[#This Row],[Unit Price]],""),"")</f>
        <v/>
      </c>
      <c r="R247" s="41" t="str">
        <f>IFERROR(IF(AND(BoM_Griptel[[#This Row],[Quantity]]&lt;&gt;"",BoM_Griptel[[#This Row],[Currency]]="EUR"),BoM_Griptel[[#This Row],[Quantity]]*BoM_Griptel[[#This Row],[Unit Price]],""),"")</f>
        <v/>
      </c>
      <c r="S247" s="41" t="str">
        <f>IFERROR(IF(AND(BoM_Griptel[[#This Row],[ACT_Qty]]&lt;&gt;"",BoM_Griptel[[#This Row],[Currency]]="EUR"),BoM_Griptel[[#This Row],[ACT_Qty]]*BoM_Griptel[[#This Row],[Unit Price]],""),"")</f>
        <v/>
      </c>
      <c r="T247" s="185" t="s">
        <v>1802</v>
      </c>
      <c r="U247" s="45"/>
      <c r="V247" s="45"/>
      <c r="W247" s="143"/>
    </row>
    <row r="248" spans="1:23" ht="15" customHeight="1">
      <c r="A248" s="146" t="str">
        <f t="shared" si="6"/>
        <v>AKH12345</v>
      </c>
      <c r="B248" s="147" t="s">
        <v>2292</v>
      </c>
      <c r="C248" s="146" t="s">
        <v>2293</v>
      </c>
      <c r="D248" s="68"/>
      <c r="E248" s="89"/>
      <c r="F248" s="68"/>
      <c r="G248" s="89"/>
      <c r="H248" s="177"/>
      <c r="I248" s="178" t="s">
        <v>847</v>
      </c>
      <c r="J248" s="178" t="s">
        <v>2251</v>
      </c>
      <c r="K248" s="178" t="s">
        <v>1235</v>
      </c>
      <c r="L248" s="148" t="s">
        <v>1806</v>
      </c>
      <c r="M248" s="46" t="str">
        <f t="shared" si="7"/>
        <v>OneCo Networks AS</v>
      </c>
      <c r="N248" s="42" t="str">
        <f ca="1">IFERROR(
VLOOKUP(BoM_Griptel[[#This Row],[Product code]],
IF(AND((BoQ!$N$3&lt;&gt;""),OR(BoM_Griptel[[#This Row],[Vendor]]="Griptel",BoM_Griptel[[#This Row],[Vendor]]="Solar")),INDIRECT(Aux!$A$1)),4,FALSE),"")</f>
        <v/>
      </c>
      <c r="O248" s="170" t="s">
        <v>1807</v>
      </c>
      <c r="P248" s="43" t="str">
        <f>IFERROR(IF(AND(BoM_Griptel[[#This Row],[Quantity]]&lt;&gt;"",BoM_Griptel[[#This Row],[Currency]]="NOK"),BoM_Griptel[[#This Row],[Quantity]]*BoM_Griptel[[#This Row],[Unit Price]],""),"")</f>
        <v/>
      </c>
      <c r="Q248" s="43" t="str">
        <f>IFERROR(IF(AND(BoM_Griptel[[#This Row],[ACT_Qty]]&lt;&gt;"",BoM_Griptel[[#This Row],[Currency]]="NOK"),BoM_Griptel[[#This Row],[ACT_Qty]]*BoM_Griptel[[#This Row],[Unit Price]],""),"")</f>
        <v/>
      </c>
      <c r="R248" s="43" t="str">
        <f>IFERROR(IF(AND(BoM_Griptel[[#This Row],[Quantity]]&lt;&gt;"",BoM_Griptel[[#This Row],[Currency]]="EUR"),BoM_Griptel[[#This Row],[Quantity]]*BoM_Griptel[[#This Row],[Unit Price]],""),"")</f>
        <v/>
      </c>
      <c r="S248" s="43" t="str">
        <f>IFERROR(IF(AND(BoM_Griptel[[#This Row],[ACT_Qty]]&lt;&gt;"",BoM_Griptel[[#This Row],[Currency]]="EUR"),BoM_Griptel[[#This Row],[ACT_Qty]]*BoM_Griptel[[#This Row],[Unit Price]],""),"")</f>
        <v/>
      </c>
      <c r="T248" s="186" t="s">
        <v>1802</v>
      </c>
      <c r="U248" s="46"/>
      <c r="V248" s="46"/>
      <c r="W248" s="146"/>
    </row>
    <row r="249" spans="1:23" ht="15" customHeight="1">
      <c r="A249" s="143" t="str">
        <f t="shared" si="6"/>
        <v>AKH12345</v>
      </c>
      <c r="B249" s="144" t="s">
        <v>2294</v>
      </c>
      <c r="C249" s="143" t="s">
        <v>2295</v>
      </c>
      <c r="D249" s="105"/>
      <c r="E249" s="106"/>
      <c r="F249" s="105"/>
      <c r="G249" s="106"/>
      <c r="H249" s="175"/>
      <c r="I249" s="176" t="s">
        <v>847</v>
      </c>
      <c r="J249" s="176" t="s">
        <v>2251</v>
      </c>
      <c r="K249" s="176" t="s">
        <v>1235</v>
      </c>
      <c r="L249" s="145" t="s">
        <v>1806</v>
      </c>
      <c r="M249" s="45" t="str">
        <f t="shared" si="7"/>
        <v>OneCo Networks AS</v>
      </c>
      <c r="N249" s="40" t="str">
        <f ca="1">IFERROR(
VLOOKUP(BoM_Griptel[[#This Row],[Product code]],
IF(AND((BoQ!$N$3&lt;&gt;""),OR(BoM_Griptel[[#This Row],[Vendor]]="Griptel",BoM_Griptel[[#This Row],[Vendor]]="Solar")),INDIRECT(Aux!$A$1)),4,FALSE),"")</f>
        <v/>
      </c>
      <c r="O249" s="169" t="s">
        <v>1807</v>
      </c>
      <c r="P249" s="41" t="str">
        <f>IFERROR(IF(AND(BoM_Griptel[[#This Row],[Quantity]]&lt;&gt;"",BoM_Griptel[[#This Row],[Currency]]="NOK"),BoM_Griptel[[#This Row],[Quantity]]*BoM_Griptel[[#This Row],[Unit Price]],""),"")</f>
        <v/>
      </c>
      <c r="Q249" s="41" t="str">
        <f>IFERROR(IF(AND(BoM_Griptel[[#This Row],[ACT_Qty]]&lt;&gt;"",BoM_Griptel[[#This Row],[Currency]]="NOK"),BoM_Griptel[[#This Row],[ACT_Qty]]*BoM_Griptel[[#This Row],[Unit Price]],""),"")</f>
        <v/>
      </c>
      <c r="R249" s="41" t="str">
        <f>IFERROR(IF(AND(BoM_Griptel[[#This Row],[Quantity]]&lt;&gt;"",BoM_Griptel[[#This Row],[Currency]]="EUR"),BoM_Griptel[[#This Row],[Quantity]]*BoM_Griptel[[#This Row],[Unit Price]],""),"")</f>
        <v/>
      </c>
      <c r="S249" s="41" t="str">
        <f>IFERROR(IF(AND(BoM_Griptel[[#This Row],[ACT_Qty]]&lt;&gt;"",BoM_Griptel[[#This Row],[Currency]]="EUR"),BoM_Griptel[[#This Row],[ACT_Qty]]*BoM_Griptel[[#This Row],[Unit Price]],""),"")</f>
        <v/>
      </c>
      <c r="T249" s="185" t="s">
        <v>1802</v>
      </c>
      <c r="U249" s="45"/>
      <c r="V249" s="45"/>
      <c r="W249" s="143"/>
    </row>
    <row r="250" spans="1:23" ht="15" customHeight="1">
      <c r="A250" s="146" t="str">
        <f t="shared" si="6"/>
        <v>AKH12345</v>
      </c>
      <c r="B250" s="147" t="s">
        <v>2296</v>
      </c>
      <c r="C250" s="146" t="s">
        <v>2297</v>
      </c>
      <c r="D250" s="68"/>
      <c r="E250" s="89"/>
      <c r="F250" s="68"/>
      <c r="G250" s="89"/>
      <c r="H250" s="177"/>
      <c r="I250" s="178" t="s">
        <v>847</v>
      </c>
      <c r="J250" s="178" t="s">
        <v>2251</v>
      </c>
      <c r="K250" s="178" t="s">
        <v>1235</v>
      </c>
      <c r="L250" s="148" t="s">
        <v>1806</v>
      </c>
      <c r="M250" s="46" t="str">
        <f t="shared" si="7"/>
        <v>OneCo Networks AS</v>
      </c>
      <c r="N250" s="42" t="str">
        <f ca="1">IFERROR(
VLOOKUP(BoM_Griptel[[#This Row],[Product code]],
IF(AND((BoQ!$N$3&lt;&gt;""),OR(BoM_Griptel[[#This Row],[Vendor]]="Griptel",BoM_Griptel[[#This Row],[Vendor]]="Solar")),INDIRECT(Aux!$A$1)),4,FALSE),"")</f>
        <v/>
      </c>
      <c r="O250" s="170" t="s">
        <v>1807</v>
      </c>
      <c r="P250" s="43" t="str">
        <f>IFERROR(IF(AND(BoM_Griptel[[#This Row],[Quantity]]&lt;&gt;"",BoM_Griptel[[#This Row],[Currency]]="NOK"),BoM_Griptel[[#This Row],[Quantity]]*BoM_Griptel[[#This Row],[Unit Price]],""),"")</f>
        <v/>
      </c>
      <c r="Q250" s="43" t="str">
        <f>IFERROR(IF(AND(BoM_Griptel[[#This Row],[ACT_Qty]]&lt;&gt;"",BoM_Griptel[[#This Row],[Currency]]="NOK"),BoM_Griptel[[#This Row],[ACT_Qty]]*BoM_Griptel[[#This Row],[Unit Price]],""),"")</f>
        <v/>
      </c>
      <c r="R250" s="43" t="str">
        <f>IFERROR(IF(AND(BoM_Griptel[[#This Row],[Quantity]]&lt;&gt;"",BoM_Griptel[[#This Row],[Currency]]="EUR"),BoM_Griptel[[#This Row],[Quantity]]*BoM_Griptel[[#This Row],[Unit Price]],""),"")</f>
        <v/>
      </c>
      <c r="S250" s="43" t="str">
        <f>IFERROR(IF(AND(BoM_Griptel[[#This Row],[ACT_Qty]]&lt;&gt;"",BoM_Griptel[[#This Row],[Currency]]="EUR"),BoM_Griptel[[#This Row],[ACT_Qty]]*BoM_Griptel[[#This Row],[Unit Price]],""),"")</f>
        <v/>
      </c>
      <c r="T250" s="186" t="s">
        <v>1802</v>
      </c>
      <c r="U250" s="46"/>
      <c r="V250" s="46"/>
      <c r="W250" s="146"/>
    </row>
    <row r="251" spans="1:23" ht="15" customHeight="1">
      <c r="A251" s="143" t="str">
        <f t="shared" si="6"/>
        <v>AKH12345</v>
      </c>
      <c r="B251" s="144" t="s">
        <v>2298</v>
      </c>
      <c r="C251" s="143" t="s">
        <v>2299</v>
      </c>
      <c r="D251" s="105"/>
      <c r="E251" s="106"/>
      <c r="F251" s="105"/>
      <c r="G251" s="106"/>
      <c r="H251" s="175"/>
      <c r="I251" s="176" t="s">
        <v>847</v>
      </c>
      <c r="J251" s="176" t="s">
        <v>2251</v>
      </c>
      <c r="K251" s="176" t="s">
        <v>1235</v>
      </c>
      <c r="L251" s="145" t="s">
        <v>1806</v>
      </c>
      <c r="M251" s="45" t="str">
        <f t="shared" si="7"/>
        <v>OneCo Networks AS</v>
      </c>
      <c r="N251" s="40" t="str">
        <f ca="1">IFERROR(
VLOOKUP(BoM_Griptel[[#This Row],[Product code]],
IF(AND((BoQ!$N$3&lt;&gt;""),OR(BoM_Griptel[[#This Row],[Vendor]]="Griptel",BoM_Griptel[[#This Row],[Vendor]]="Solar")),INDIRECT(Aux!$A$1)),4,FALSE),"")</f>
        <v/>
      </c>
      <c r="O251" s="169" t="s">
        <v>1807</v>
      </c>
      <c r="P251" s="41" t="str">
        <f>IFERROR(IF(AND(BoM_Griptel[[#This Row],[Quantity]]&lt;&gt;"",BoM_Griptel[[#This Row],[Currency]]="NOK"),BoM_Griptel[[#This Row],[Quantity]]*BoM_Griptel[[#This Row],[Unit Price]],""),"")</f>
        <v/>
      </c>
      <c r="Q251" s="41" t="str">
        <f>IFERROR(IF(AND(BoM_Griptel[[#This Row],[ACT_Qty]]&lt;&gt;"",BoM_Griptel[[#This Row],[Currency]]="NOK"),BoM_Griptel[[#This Row],[ACT_Qty]]*BoM_Griptel[[#This Row],[Unit Price]],""),"")</f>
        <v/>
      </c>
      <c r="R251" s="41" t="str">
        <f>IFERROR(IF(AND(BoM_Griptel[[#This Row],[Quantity]]&lt;&gt;"",BoM_Griptel[[#This Row],[Currency]]="EUR"),BoM_Griptel[[#This Row],[Quantity]]*BoM_Griptel[[#This Row],[Unit Price]],""),"")</f>
        <v/>
      </c>
      <c r="S251" s="41" t="str">
        <f>IFERROR(IF(AND(BoM_Griptel[[#This Row],[ACT_Qty]]&lt;&gt;"",BoM_Griptel[[#This Row],[Currency]]="EUR"),BoM_Griptel[[#This Row],[ACT_Qty]]*BoM_Griptel[[#This Row],[Unit Price]],""),"")</f>
        <v/>
      </c>
      <c r="T251" s="185" t="s">
        <v>1802</v>
      </c>
      <c r="U251" s="45"/>
      <c r="V251" s="45"/>
      <c r="W251" s="143"/>
    </row>
    <row r="252" spans="1:23" ht="15" customHeight="1">
      <c r="A252" s="146" t="str">
        <f t="shared" si="6"/>
        <v>AKH12345</v>
      </c>
      <c r="B252" s="147" t="s">
        <v>2300</v>
      </c>
      <c r="C252" s="146" t="s">
        <v>2301</v>
      </c>
      <c r="D252" s="68"/>
      <c r="E252" s="89"/>
      <c r="F252" s="68"/>
      <c r="G252" s="89"/>
      <c r="H252" s="177"/>
      <c r="I252" s="178" t="s">
        <v>847</v>
      </c>
      <c r="J252" s="178" t="s">
        <v>2302</v>
      </c>
      <c r="K252" s="178" t="s">
        <v>1235</v>
      </c>
      <c r="L252" s="148" t="s">
        <v>1806</v>
      </c>
      <c r="M252" s="46" t="str">
        <f t="shared" si="7"/>
        <v>OneCo Networks AS</v>
      </c>
      <c r="N252" s="42" t="str">
        <f ca="1">IFERROR(
VLOOKUP(BoM_Griptel[[#This Row],[Product code]],
IF(AND((BoQ!$N$3&lt;&gt;""),OR(BoM_Griptel[[#This Row],[Vendor]]="Griptel",BoM_Griptel[[#This Row],[Vendor]]="Solar")),INDIRECT(Aux!$A$1)),4,FALSE),"")</f>
        <v/>
      </c>
      <c r="O252" s="170" t="s">
        <v>1807</v>
      </c>
      <c r="P252" s="43" t="str">
        <f>IFERROR(IF(AND(BoM_Griptel[[#This Row],[Quantity]]&lt;&gt;"",BoM_Griptel[[#This Row],[Currency]]="NOK"),BoM_Griptel[[#This Row],[Quantity]]*BoM_Griptel[[#This Row],[Unit Price]],""),"")</f>
        <v/>
      </c>
      <c r="Q252" s="43" t="str">
        <f>IFERROR(IF(AND(BoM_Griptel[[#This Row],[ACT_Qty]]&lt;&gt;"",BoM_Griptel[[#This Row],[Currency]]="NOK"),BoM_Griptel[[#This Row],[ACT_Qty]]*BoM_Griptel[[#This Row],[Unit Price]],""),"")</f>
        <v/>
      </c>
      <c r="R252" s="43" t="str">
        <f>IFERROR(IF(AND(BoM_Griptel[[#This Row],[Quantity]]&lt;&gt;"",BoM_Griptel[[#This Row],[Currency]]="EUR"),BoM_Griptel[[#This Row],[Quantity]]*BoM_Griptel[[#This Row],[Unit Price]],""),"")</f>
        <v/>
      </c>
      <c r="S252" s="43" t="str">
        <f>IFERROR(IF(AND(BoM_Griptel[[#This Row],[ACT_Qty]]&lt;&gt;"",BoM_Griptel[[#This Row],[Currency]]="EUR"),BoM_Griptel[[#This Row],[ACT_Qty]]*BoM_Griptel[[#This Row],[Unit Price]],""),"")</f>
        <v/>
      </c>
      <c r="T252" s="186" t="s">
        <v>1802</v>
      </c>
      <c r="U252" s="46"/>
      <c r="V252" s="46"/>
      <c r="W252" s="146"/>
    </row>
    <row r="253" spans="1:23" ht="15" customHeight="1">
      <c r="A253" s="143" t="str">
        <f t="shared" si="6"/>
        <v>AKH12345</v>
      </c>
      <c r="B253" s="144" t="s">
        <v>2303</v>
      </c>
      <c r="C253" s="143" t="s">
        <v>2304</v>
      </c>
      <c r="D253" s="105"/>
      <c r="E253" s="106"/>
      <c r="F253" s="105"/>
      <c r="G253" s="106"/>
      <c r="H253" s="175"/>
      <c r="I253" s="176" t="s">
        <v>847</v>
      </c>
      <c r="J253" s="176" t="s">
        <v>2302</v>
      </c>
      <c r="K253" s="176" t="s">
        <v>1235</v>
      </c>
      <c r="L253" s="145" t="s">
        <v>1806</v>
      </c>
      <c r="M253" s="45" t="str">
        <f t="shared" si="7"/>
        <v>OneCo Networks AS</v>
      </c>
      <c r="N253" s="40" t="str">
        <f ca="1">IFERROR(
VLOOKUP(BoM_Griptel[[#This Row],[Product code]],
IF(AND((BoQ!$N$3&lt;&gt;""),OR(BoM_Griptel[[#This Row],[Vendor]]="Griptel",BoM_Griptel[[#This Row],[Vendor]]="Solar")),INDIRECT(Aux!$A$1)),4,FALSE),"")</f>
        <v/>
      </c>
      <c r="O253" s="169" t="s">
        <v>1807</v>
      </c>
      <c r="P253" s="41" t="str">
        <f>IFERROR(IF(AND(BoM_Griptel[[#This Row],[Quantity]]&lt;&gt;"",BoM_Griptel[[#This Row],[Currency]]="NOK"),BoM_Griptel[[#This Row],[Quantity]]*BoM_Griptel[[#This Row],[Unit Price]],""),"")</f>
        <v/>
      </c>
      <c r="Q253" s="41" t="str">
        <f>IFERROR(IF(AND(BoM_Griptel[[#This Row],[ACT_Qty]]&lt;&gt;"",BoM_Griptel[[#This Row],[Currency]]="NOK"),BoM_Griptel[[#This Row],[ACT_Qty]]*BoM_Griptel[[#This Row],[Unit Price]],""),"")</f>
        <v/>
      </c>
      <c r="R253" s="41" t="str">
        <f>IFERROR(IF(AND(BoM_Griptel[[#This Row],[Quantity]]&lt;&gt;"",BoM_Griptel[[#This Row],[Currency]]="EUR"),BoM_Griptel[[#This Row],[Quantity]]*BoM_Griptel[[#This Row],[Unit Price]],""),"")</f>
        <v/>
      </c>
      <c r="S253" s="41" t="str">
        <f>IFERROR(IF(AND(BoM_Griptel[[#This Row],[ACT_Qty]]&lt;&gt;"",BoM_Griptel[[#This Row],[Currency]]="EUR"),BoM_Griptel[[#This Row],[ACT_Qty]]*BoM_Griptel[[#This Row],[Unit Price]],""),"")</f>
        <v/>
      </c>
      <c r="T253" s="185" t="s">
        <v>1802</v>
      </c>
      <c r="U253" s="45"/>
      <c r="V253" s="45"/>
      <c r="W253" s="143"/>
    </row>
    <row r="254" spans="1:23" ht="15" customHeight="1">
      <c r="A254" s="146" t="str">
        <f t="shared" si="6"/>
        <v>AKH12345</v>
      </c>
      <c r="B254" s="147" t="s">
        <v>2305</v>
      </c>
      <c r="C254" s="146" t="s">
        <v>2306</v>
      </c>
      <c r="D254" s="68"/>
      <c r="E254" s="89"/>
      <c r="F254" s="68"/>
      <c r="G254" s="89"/>
      <c r="H254" s="177"/>
      <c r="I254" s="178" t="s">
        <v>847</v>
      </c>
      <c r="J254" s="178" t="s">
        <v>2302</v>
      </c>
      <c r="K254" s="178" t="s">
        <v>1235</v>
      </c>
      <c r="L254" s="148" t="s">
        <v>1806</v>
      </c>
      <c r="M254" s="46" t="str">
        <f t="shared" si="7"/>
        <v>OneCo Networks AS</v>
      </c>
      <c r="N254" s="42" t="str">
        <f ca="1">IFERROR(
VLOOKUP(BoM_Griptel[[#This Row],[Product code]],
IF(AND((BoQ!$N$3&lt;&gt;""),OR(BoM_Griptel[[#This Row],[Vendor]]="Griptel",BoM_Griptel[[#This Row],[Vendor]]="Solar")),INDIRECT(Aux!$A$1)),4,FALSE),"")</f>
        <v/>
      </c>
      <c r="O254" s="170" t="s">
        <v>1807</v>
      </c>
      <c r="P254" s="43" t="str">
        <f>IFERROR(IF(AND(BoM_Griptel[[#This Row],[Quantity]]&lt;&gt;"",BoM_Griptel[[#This Row],[Currency]]="NOK"),BoM_Griptel[[#This Row],[Quantity]]*BoM_Griptel[[#This Row],[Unit Price]],""),"")</f>
        <v/>
      </c>
      <c r="Q254" s="43" t="str">
        <f>IFERROR(IF(AND(BoM_Griptel[[#This Row],[ACT_Qty]]&lt;&gt;"",BoM_Griptel[[#This Row],[Currency]]="NOK"),BoM_Griptel[[#This Row],[ACT_Qty]]*BoM_Griptel[[#This Row],[Unit Price]],""),"")</f>
        <v/>
      </c>
      <c r="R254" s="43" t="str">
        <f>IFERROR(IF(AND(BoM_Griptel[[#This Row],[Quantity]]&lt;&gt;"",BoM_Griptel[[#This Row],[Currency]]="EUR"),BoM_Griptel[[#This Row],[Quantity]]*BoM_Griptel[[#This Row],[Unit Price]],""),"")</f>
        <v/>
      </c>
      <c r="S254" s="43" t="str">
        <f>IFERROR(IF(AND(BoM_Griptel[[#This Row],[ACT_Qty]]&lt;&gt;"",BoM_Griptel[[#This Row],[Currency]]="EUR"),BoM_Griptel[[#This Row],[ACT_Qty]]*BoM_Griptel[[#This Row],[Unit Price]],""),"")</f>
        <v/>
      </c>
      <c r="T254" s="186" t="s">
        <v>1802</v>
      </c>
      <c r="U254" s="46"/>
      <c r="V254" s="46"/>
      <c r="W254" s="146"/>
    </row>
    <row r="255" spans="1:23" ht="15" customHeight="1">
      <c r="A255" s="143" t="str">
        <f t="shared" si="6"/>
        <v>AKH12345</v>
      </c>
      <c r="B255" s="144" t="s">
        <v>2307</v>
      </c>
      <c r="C255" s="143" t="s">
        <v>2308</v>
      </c>
      <c r="D255" s="105"/>
      <c r="E255" s="106"/>
      <c r="F255" s="105"/>
      <c r="G255" s="106"/>
      <c r="H255" s="175"/>
      <c r="I255" s="176" t="s">
        <v>847</v>
      </c>
      <c r="J255" s="176" t="s">
        <v>2302</v>
      </c>
      <c r="K255" s="176" t="s">
        <v>1235</v>
      </c>
      <c r="L255" s="145" t="s">
        <v>1806</v>
      </c>
      <c r="M255" s="45" t="str">
        <f t="shared" si="7"/>
        <v>OneCo Networks AS</v>
      </c>
      <c r="N255" s="40" t="str">
        <f ca="1">IFERROR(
VLOOKUP(BoM_Griptel[[#This Row],[Product code]],
IF(AND((BoQ!$N$3&lt;&gt;""),OR(BoM_Griptel[[#This Row],[Vendor]]="Griptel",BoM_Griptel[[#This Row],[Vendor]]="Solar")),INDIRECT(Aux!$A$1)),4,FALSE),"")</f>
        <v/>
      </c>
      <c r="O255" s="169" t="s">
        <v>1807</v>
      </c>
      <c r="P255" s="41" t="str">
        <f>IFERROR(IF(AND(BoM_Griptel[[#This Row],[Quantity]]&lt;&gt;"",BoM_Griptel[[#This Row],[Currency]]="NOK"),BoM_Griptel[[#This Row],[Quantity]]*BoM_Griptel[[#This Row],[Unit Price]],""),"")</f>
        <v/>
      </c>
      <c r="Q255" s="41" t="str">
        <f>IFERROR(IF(AND(BoM_Griptel[[#This Row],[ACT_Qty]]&lt;&gt;"",BoM_Griptel[[#This Row],[Currency]]="NOK"),BoM_Griptel[[#This Row],[ACT_Qty]]*BoM_Griptel[[#This Row],[Unit Price]],""),"")</f>
        <v/>
      </c>
      <c r="R255" s="41" t="str">
        <f>IFERROR(IF(AND(BoM_Griptel[[#This Row],[Quantity]]&lt;&gt;"",BoM_Griptel[[#This Row],[Currency]]="EUR"),BoM_Griptel[[#This Row],[Quantity]]*BoM_Griptel[[#This Row],[Unit Price]],""),"")</f>
        <v/>
      </c>
      <c r="S255" s="41" t="str">
        <f>IFERROR(IF(AND(BoM_Griptel[[#This Row],[ACT_Qty]]&lt;&gt;"",BoM_Griptel[[#This Row],[Currency]]="EUR"),BoM_Griptel[[#This Row],[ACT_Qty]]*BoM_Griptel[[#This Row],[Unit Price]],""),"")</f>
        <v/>
      </c>
      <c r="T255" s="185" t="s">
        <v>1802</v>
      </c>
      <c r="U255" s="45"/>
      <c r="V255" s="45"/>
      <c r="W255" s="143"/>
    </row>
    <row r="256" spans="1:23" ht="15" customHeight="1">
      <c r="A256" s="146" t="str">
        <f t="shared" si="6"/>
        <v>AKH12345</v>
      </c>
      <c r="B256" s="147" t="s">
        <v>2309</v>
      </c>
      <c r="C256" s="146" t="s">
        <v>2310</v>
      </c>
      <c r="D256" s="68"/>
      <c r="E256" s="89"/>
      <c r="F256" s="68"/>
      <c r="G256" s="89"/>
      <c r="H256" s="177"/>
      <c r="I256" s="178" t="s">
        <v>847</v>
      </c>
      <c r="J256" s="178" t="s">
        <v>2103</v>
      </c>
      <c r="K256" s="178" t="s">
        <v>1235</v>
      </c>
      <c r="L256" s="148" t="s">
        <v>1806</v>
      </c>
      <c r="M256" s="46" t="str">
        <f t="shared" si="7"/>
        <v>OneCo Networks AS</v>
      </c>
      <c r="N256" s="42" t="str">
        <f ca="1">IFERROR(
VLOOKUP(BoM_Griptel[[#This Row],[Product code]],
IF(AND((BoQ!$N$3&lt;&gt;""),OR(BoM_Griptel[[#This Row],[Vendor]]="Griptel",BoM_Griptel[[#This Row],[Vendor]]="Solar")),INDIRECT(Aux!$A$1)),4,FALSE),"")</f>
        <v/>
      </c>
      <c r="O256" s="170" t="s">
        <v>1807</v>
      </c>
      <c r="P256" s="43" t="str">
        <f>IFERROR(IF(AND(BoM_Griptel[[#This Row],[Quantity]]&lt;&gt;"",BoM_Griptel[[#This Row],[Currency]]="NOK"),BoM_Griptel[[#This Row],[Quantity]]*BoM_Griptel[[#This Row],[Unit Price]],""),"")</f>
        <v/>
      </c>
      <c r="Q256" s="43" t="str">
        <f>IFERROR(IF(AND(BoM_Griptel[[#This Row],[ACT_Qty]]&lt;&gt;"",BoM_Griptel[[#This Row],[Currency]]="NOK"),BoM_Griptel[[#This Row],[ACT_Qty]]*BoM_Griptel[[#This Row],[Unit Price]],""),"")</f>
        <v/>
      </c>
      <c r="R256" s="43" t="str">
        <f>IFERROR(IF(AND(BoM_Griptel[[#This Row],[Quantity]]&lt;&gt;"",BoM_Griptel[[#This Row],[Currency]]="EUR"),BoM_Griptel[[#This Row],[Quantity]]*BoM_Griptel[[#This Row],[Unit Price]],""),"")</f>
        <v/>
      </c>
      <c r="S256" s="43" t="str">
        <f>IFERROR(IF(AND(BoM_Griptel[[#This Row],[ACT_Qty]]&lt;&gt;"",BoM_Griptel[[#This Row],[Currency]]="EUR"),BoM_Griptel[[#This Row],[ACT_Qty]]*BoM_Griptel[[#This Row],[Unit Price]],""),"")</f>
        <v/>
      </c>
      <c r="T256" s="186" t="s">
        <v>1802</v>
      </c>
      <c r="U256" s="46"/>
      <c r="V256" s="46"/>
      <c r="W256" s="146"/>
    </row>
    <row r="257" spans="1:23" ht="15" customHeight="1">
      <c r="A257" s="143" t="str">
        <f t="shared" si="6"/>
        <v>AKH12345</v>
      </c>
      <c r="B257" s="144" t="s">
        <v>2311</v>
      </c>
      <c r="C257" s="143" t="s">
        <v>2312</v>
      </c>
      <c r="D257" s="105"/>
      <c r="E257" s="106"/>
      <c r="F257" s="105"/>
      <c r="G257" s="106"/>
      <c r="H257" s="175"/>
      <c r="I257" s="176" t="s">
        <v>847</v>
      </c>
      <c r="J257" s="176" t="s">
        <v>2251</v>
      </c>
      <c r="K257" s="176" t="s">
        <v>1235</v>
      </c>
      <c r="L257" s="145" t="s">
        <v>1806</v>
      </c>
      <c r="M257" s="45" t="str">
        <f t="shared" si="7"/>
        <v>OneCo Networks AS</v>
      </c>
      <c r="N257" s="40" t="str">
        <f ca="1">IFERROR(
VLOOKUP(BoM_Griptel[[#This Row],[Product code]],
IF(AND((BoQ!$N$3&lt;&gt;""),OR(BoM_Griptel[[#This Row],[Vendor]]="Griptel",BoM_Griptel[[#This Row],[Vendor]]="Solar")),INDIRECT(Aux!$A$1)),4,FALSE),"")</f>
        <v/>
      </c>
      <c r="O257" s="169" t="s">
        <v>1807</v>
      </c>
      <c r="P257" s="41" t="str">
        <f>IFERROR(IF(AND(BoM_Griptel[[#This Row],[Quantity]]&lt;&gt;"",BoM_Griptel[[#This Row],[Currency]]="NOK"),BoM_Griptel[[#This Row],[Quantity]]*BoM_Griptel[[#This Row],[Unit Price]],""),"")</f>
        <v/>
      </c>
      <c r="Q257" s="41" t="str">
        <f>IFERROR(IF(AND(BoM_Griptel[[#This Row],[ACT_Qty]]&lt;&gt;"",BoM_Griptel[[#This Row],[Currency]]="NOK"),BoM_Griptel[[#This Row],[ACT_Qty]]*BoM_Griptel[[#This Row],[Unit Price]],""),"")</f>
        <v/>
      </c>
      <c r="R257" s="41" t="str">
        <f>IFERROR(IF(AND(BoM_Griptel[[#This Row],[Quantity]]&lt;&gt;"",BoM_Griptel[[#This Row],[Currency]]="EUR"),BoM_Griptel[[#This Row],[Quantity]]*BoM_Griptel[[#This Row],[Unit Price]],""),"")</f>
        <v/>
      </c>
      <c r="S257" s="41" t="str">
        <f>IFERROR(IF(AND(BoM_Griptel[[#This Row],[ACT_Qty]]&lt;&gt;"",BoM_Griptel[[#This Row],[Currency]]="EUR"),BoM_Griptel[[#This Row],[ACT_Qty]]*BoM_Griptel[[#This Row],[Unit Price]],""),"")</f>
        <v/>
      </c>
      <c r="T257" s="185" t="s">
        <v>1802</v>
      </c>
      <c r="U257" s="45"/>
      <c r="V257" s="45"/>
      <c r="W257" s="143"/>
    </row>
    <row r="258" spans="1:23" ht="15" customHeight="1">
      <c r="A258" s="146" t="str">
        <f t="shared" si="6"/>
        <v>AKH12345</v>
      </c>
      <c r="B258" s="147" t="s">
        <v>2313</v>
      </c>
      <c r="C258" s="146" t="s">
        <v>2314</v>
      </c>
      <c r="D258" s="68"/>
      <c r="E258" s="89"/>
      <c r="F258" s="68"/>
      <c r="G258" s="89"/>
      <c r="H258" s="177"/>
      <c r="I258" s="178" t="s">
        <v>847</v>
      </c>
      <c r="J258" s="178" t="s">
        <v>2251</v>
      </c>
      <c r="K258" s="178" t="s">
        <v>1235</v>
      </c>
      <c r="L258" s="148" t="s">
        <v>1806</v>
      </c>
      <c r="M258" s="46" t="str">
        <f t="shared" si="7"/>
        <v>OneCo Networks AS</v>
      </c>
      <c r="N258" s="42" t="str">
        <f ca="1">IFERROR(
VLOOKUP(BoM_Griptel[[#This Row],[Product code]],
IF(AND((BoQ!$N$3&lt;&gt;""),OR(BoM_Griptel[[#This Row],[Vendor]]="Griptel",BoM_Griptel[[#This Row],[Vendor]]="Solar")),INDIRECT(Aux!$A$1)),4,FALSE),"")</f>
        <v/>
      </c>
      <c r="O258" s="170" t="s">
        <v>1807</v>
      </c>
      <c r="P258" s="43" t="str">
        <f>IFERROR(IF(AND(BoM_Griptel[[#This Row],[Quantity]]&lt;&gt;"",BoM_Griptel[[#This Row],[Currency]]="NOK"),BoM_Griptel[[#This Row],[Quantity]]*BoM_Griptel[[#This Row],[Unit Price]],""),"")</f>
        <v/>
      </c>
      <c r="Q258" s="43" t="str">
        <f>IFERROR(IF(AND(BoM_Griptel[[#This Row],[ACT_Qty]]&lt;&gt;"",BoM_Griptel[[#This Row],[Currency]]="NOK"),BoM_Griptel[[#This Row],[ACT_Qty]]*BoM_Griptel[[#This Row],[Unit Price]],""),"")</f>
        <v/>
      </c>
      <c r="R258" s="43" t="str">
        <f>IFERROR(IF(AND(BoM_Griptel[[#This Row],[Quantity]]&lt;&gt;"",BoM_Griptel[[#This Row],[Currency]]="EUR"),BoM_Griptel[[#This Row],[Quantity]]*BoM_Griptel[[#This Row],[Unit Price]],""),"")</f>
        <v/>
      </c>
      <c r="S258" s="43" t="str">
        <f>IFERROR(IF(AND(BoM_Griptel[[#This Row],[ACT_Qty]]&lt;&gt;"",BoM_Griptel[[#This Row],[Currency]]="EUR"),BoM_Griptel[[#This Row],[ACT_Qty]]*BoM_Griptel[[#This Row],[Unit Price]],""),"")</f>
        <v/>
      </c>
      <c r="T258" s="186" t="s">
        <v>1802</v>
      </c>
      <c r="U258" s="46"/>
      <c r="V258" s="46"/>
      <c r="W258" s="146"/>
    </row>
    <row r="259" spans="1:23" ht="15" customHeight="1">
      <c r="A259" s="143" t="str">
        <f t="shared" si="6"/>
        <v>AKH12345</v>
      </c>
      <c r="B259" s="144" t="s">
        <v>2315</v>
      </c>
      <c r="C259" s="143" t="s">
        <v>2316</v>
      </c>
      <c r="D259" s="105"/>
      <c r="E259" s="106"/>
      <c r="F259" s="105"/>
      <c r="G259" s="106"/>
      <c r="H259" s="175"/>
      <c r="I259" s="176" t="s">
        <v>847</v>
      </c>
      <c r="J259" s="176" t="s">
        <v>2251</v>
      </c>
      <c r="K259" s="176" t="s">
        <v>1235</v>
      </c>
      <c r="L259" s="145" t="s">
        <v>1806</v>
      </c>
      <c r="M259" s="45" t="str">
        <f t="shared" si="7"/>
        <v>OneCo Networks AS</v>
      </c>
      <c r="N259" s="40" t="str">
        <f ca="1">IFERROR(
VLOOKUP(BoM_Griptel[[#This Row],[Product code]],
IF(AND((BoQ!$N$3&lt;&gt;""),OR(BoM_Griptel[[#This Row],[Vendor]]="Griptel",BoM_Griptel[[#This Row],[Vendor]]="Solar")),INDIRECT(Aux!$A$1)),4,FALSE),"")</f>
        <v/>
      </c>
      <c r="O259" s="169" t="s">
        <v>1807</v>
      </c>
      <c r="P259" s="41" t="str">
        <f>IFERROR(IF(AND(BoM_Griptel[[#This Row],[Quantity]]&lt;&gt;"",BoM_Griptel[[#This Row],[Currency]]="NOK"),BoM_Griptel[[#This Row],[Quantity]]*BoM_Griptel[[#This Row],[Unit Price]],""),"")</f>
        <v/>
      </c>
      <c r="Q259" s="41" t="str">
        <f>IFERROR(IF(AND(BoM_Griptel[[#This Row],[ACT_Qty]]&lt;&gt;"",BoM_Griptel[[#This Row],[Currency]]="NOK"),BoM_Griptel[[#This Row],[ACT_Qty]]*BoM_Griptel[[#This Row],[Unit Price]],""),"")</f>
        <v/>
      </c>
      <c r="R259" s="41" t="str">
        <f>IFERROR(IF(AND(BoM_Griptel[[#This Row],[Quantity]]&lt;&gt;"",BoM_Griptel[[#This Row],[Currency]]="EUR"),BoM_Griptel[[#This Row],[Quantity]]*BoM_Griptel[[#This Row],[Unit Price]],""),"")</f>
        <v/>
      </c>
      <c r="S259" s="41" t="str">
        <f>IFERROR(IF(AND(BoM_Griptel[[#This Row],[ACT_Qty]]&lt;&gt;"",BoM_Griptel[[#This Row],[Currency]]="EUR"),BoM_Griptel[[#This Row],[ACT_Qty]]*BoM_Griptel[[#This Row],[Unit Price]],""),"")</f>
        <v/>
      </c>
      <c r="T259" s="185" t="s">
        <v>1802</v>
      </c>
      <c r="U259" s="45"/>
      <c r="V259" s="45"/>
      <c r="W259" s="143"/>
    </row>
    <row r="260" spans="1:23" ht="15" customHeight="1">
      <c r="A260" s="146" t="str">
        <f t="shared" si="6"/>
        <v>AKH12345</v>
      </c>
      <c r="B260" s="147" t="s">
        <v>2317</v>
      </c>
      <c r="C260" s="146" t="s">
        <v>2318</v>
      </c>
      <c r="D260" s="68"/>
      <c r="E260" s="89"/>
      <c r="F260" s="68"/>
      <c r="G260" s="89"/>
      <c r="H260" s="177"/>
      <c r="I260" s="178" t="s">
        <v>847</v>
      </c>
      <c r="J260" s="178" t="s">
        <v>2251</v>
      </c>
      <c r="K260" s="178" t="s">
        <v>1235</v>
      </c>
      <c r="L260" s="148" t="s">
        <v>1806</v>
      </c>
      <c r="M260" s="46" t="str">
        <f t="shared" si="7"/>
        <v>OneCo Networks AS</v>
      </c>
      <c r="N260" s="42" t="str">
        <f ca="1">IFERROR(
VLOOKUP(BoM_Griptel[[#This Row],[Product code]],
IF(AND((BoQ!$N$3&lt;&gt;""),OR(BoM_Griptel[[#This Row],[Vendor]]="Griptel",BoM_Griptel[[#This Row],[Vendor]]="Solar")),INDIRECT(Aux!$A$1)),4,FALSE),"")</f>
        <v/>
      </c>
      <c r="O260" s="170" t="s">
        <v>1807</v>
      </c>
      <c r="P260" s="43" t="str">
        <f>IFERROR(IF(AND(BoM_Griptel[[#This Row],[Quantity]]&lt;&gt;"",BoM_Griptel[[#This Row],[Currency]]="NOK"),BoM_Griptel[[#This Row],[Quantity]]*BoM_Griptel[[#This Row],[Unit Price]],""),"")</f>
        <v/>
      </c>
      <c r="Q260" s="43" t="str">
        <f>IFERROR(IF(AND(BoM_Griptel[[#This Row],[ACT_Qty]]&lt;&gt;"",BoM_Griptel[[#This Row],[Currency]]="NOK"),BoM_Griptel[[#This Row],[ACT_Qty]]*BoM_Griptel[[#This Row],[Unit Price]],""),"")</f>
        <v/>
      </c>
      <c r="R260" s="43" t="str">
        <f>IFERROR(IF(AND(BoM_Griptel[[#This Row],[Quantity]]&lt;&gt;"",BoM_Griptel[[#This Row],[Currency]]="EUR"),BoM_Griptel[[#This Row],[Quantity]]*BoM_Griptel[[#This Row],[Unit Price]],""),"")</f>
        <v/>
      </c>
      <c r="S260" s="43" t="str">
        <f>IFERROR(IF(AND(BoM_Griptel[[#This Row],[ACT_Qty]]&lt;&gt;"",BoM_Griptel[[#This Row],[Currency]]="EUR"),BoM_Griptel[[#This Row],[ACT_Qty]]*BoM_Griptel[[#This Row],[Unit Price]],""),"")</f>
        <v/>
      </c>
      <c r="T260" s="186" t="s">
        <v>1802</v>
      </c>
      <c r="U260" s="46"/>
      <c r="V260" s="46"/>
      <c r="W260" s="146"/>
    </row>
    <row r="261" spans="1:23" ht="15" customHeight="1">
      <c r="A261" s="143" t="str">
        <f t="shared" si="6"/>
        <v>AKH12345</v>
      </c>
      <c r="B261" s="144" t="s">
        <v>2319</v>
      </c>
      <c r="C261" s="143" t="s">
        <v>2320</v>
      </c>
      <c r="D261" s="105"/>
      <c r="E261" s="106"/>
      <c r="F261" s="105"/>
      <c r="G261" s="106"/>
      <c r="H261" s="175"/>
      <c r="I261" s="176" t="s">
        <v>847</v>
      </c>
      <c r="J261" s="176" t="s">
        <v>2103</v>
      </c>
      <c r="K261" s="176" t="s">
        <v>1235</v>
      </c>
      <c r="L261" s="145" t="s">
        <v>1806</v>
      </c>
      <c r="M261" s="45" t="str">
        <f t="shared" si="7"/>
        <v>OneCo Networks AS</v>
      </c>
      <c r="N261" s="40" t="str">
        <f ca="1">IFERROR(
VLOOKUP(BoM_Griptel[[#This Row],[Product code]],
IF(AND((BoQ!$N$3&lt;&gt;""),OR(BoM_Griptel[[#This Row],[Vendor]]="Griptel",BoM_Griptel[[#This Row],[Vendor]]="Solar")),INDIRECT(Aux!$A$1)),4,FALSE),"")</f>
        <v/>
      </c>
      <c r="O261" s="169" t="s">
        <v>1807</v>
      </c>
      <c r="P261" s="41" t="str">
        <f>IFERROR(IF(AND(BoM_Griptel[[#This Row],[Quantity]]&lt;&gt;"",BoM_Griptel[[#This Row],[Currency]]="NOK"),BoM_Griptel[[#This Row],[Quantity]]*BoM_Griptel[[#This Row],[Unit Price]],""),"")</f>
        <v/>
      </c>
      <c r="Q261" s="41" t="str">
        <f>IFERROR(IF(AND(BoM_Griptel[[#This Row],[ACT_Qty]]&lt;&gt;"",BoM_Griptel[[#This Row],[Currency]]="NOK"),BoM_Griptel[[#This Row],[ACT_Qty]]*BoM_Griptel[[#This Row],[Unit Price]],""),"")</f>
        <v/>
      </c>
      <c r="R261" s="41" t="str">
        <f>IFERROR(IF(AND(BoM_Griptel[[#This Row],[Quantity]]&lt;&gt;"",BoM_Griptel[[#This Row],[Currency]]="EUR"),BoM_Griptel[[#This Row],[Quantity]]*BoM_Griptel[[#This Row],[Unit Price]],""),"")</f>
        <v/>
      </c>
      <c r="S261" s="41" t="str">
        <f>IFERROR(IF(AND(BoM_Griptel[[#This Row],[ACT_Qty]]&lt;&gt;"",BoM_Griptel[[#This Row],[Currency]]="EUR"),BoM_Griptel[[#This Row],[ACT_Qty]]*BoM_Griptel[[#This Row],[Unit Price]],""),"")</f>
        <v/>
      </c>
      <c r="T261" s="185" t="s">
        <v>1802</v>
      </c>
      <c r="U261" s="45"/>
      <c r="V261" s="45"/>
      <c r="W261" s="143"/>
    </row>
    <row r="262" spans="1:23" ht="15" customHeight="1">
      <c r="A262" s="146" t="str">
        <f t="shared" si="6"/>
        <v>AKH12345</v>
      </c>
      <c r="B262" s="147" t="s">
        <v>2321</v>
      </c>
      <c r="C262" s="146" t="s">
        <v>2322</v>
      </c>
      <c r="D262" s="68"/>
      <c r="E262" s="89"/>
      <c r="F262" s="68"/>
      <c r="G262" s="89"/>
      <c r="H262" s="177"/>
      <c r="I262" s="178" t="s">
        <v>847</v>
      </c>
      <c r="J262" s="178" t="s">
        <v>2251</v>
      </c>
      <c r="K262" s="178" t="s">
        <v>1235</v>
      </c>
      <c r="L262" s="148" t="s">
        <v>1806</v>
      </c>
      <c r="M262" s="46" t="str">
        <f t="shared" si="7"/>
        <v>OneCo Networks AS</v>
      </c>
      <c r="N262" s="42" t="str">
        <f ca="1">IFERROR(
VLOOKUP(BoM_Griptel[[#This Row],[Product code]],
IF(AND((BoQ!$N$3&lt;&gt;""),OR(BoM_Griptel[[#This Row],[Vendor]]="Griptel",BoM_Griptel[[#This Row],[Vendor]]="Solar")),INDIRECT(Aux!$A$1)),4,FALSE),"")</f>
        <v/>
      </c>
      <c r="O262" s="170" t="s">
        <v>1807</v>
      </c>
      <c r="P262" s="43" t="str">
        <f>IFERROR(IF(AND(BoM_Griptel[[#This Row],[Quantity]]&lt;&gt;"",BoM_Griptel[[#This Row],[Currency]]="NOK"),BoM_Griptel[[#This Row],[Quantity]]*BoM_Griptel[[#This Row],[Unit Price]],""),"")</f>
        <v/>
      </c>
      <c r="Q262" s="43" t="str">
        <f>IFERROR(IF(AND(BoM_Griptel[[#This Row],[ACT_Qty]]&lt;&gt;"",BoM_Griptel[[#This Row],[Currency]]="NOK"),BoM_Griptel[[#This Row],[ACT_Qty]]*BoM_Griptel[[#This Row],[Unit Price]],""),"")</f>
        <v/>
      </c>
      <c r="R262" s="43" t="str">
        <f>IFERROR(IF(AND(BoM_Griptel[[#This Row],[Quantity]]&lt;&gt;"",BoM_Griptel[[#This Row],[Currency]]="EUR"),BoM_Griptel[[#This Row],[Quantity]]*BoM_Griptel[[#This Row],[Unit Price]],""),"")</f>
        <v/>
      </c>
      <c r="S262" s="43" t="str">
        <f>IFERROR(IF(AND(BoM_Griptel[[#This Row],[ACT_Qty]]&lt;&gt;"",BoM_Griptel[[#This Row],[Currency]]="EUR"),BoM_Griptel[[#This Row],[ACT_Qty]]*BoM_Griptel[[#This Row],[Unit Price]],""),"")</f>
        <v/>
      </c>
      <c r="T262" s="186" t="s">
        <v>1802</v>
      </c>
      <c r="U262" s="46"/>
      <c r="V262" s="46"/>
      <c r="W262" s="146"/>
    </row>
    <row r="263" spans="1:23" ht="15" customHeight="1">
      <c r="A263" s="143" t="str">
        <f t="shared" si="6"/>
        <v>AKH12345</v>
      </c>
      <c r="B263" s="144" t="s">
        <v>2323</v>
      </c>
      <c r="C263" s="143" t="s">
        <v>2324</v>
      </c>
      <c r="D263" s="105"/>
      <c r="E263" s="106"/>
      <c r="F263" s="105"/>
      <c r="G263" s="106"/>
      <c r="H263" s="175"/>
      <c r="I263" s="176" t="s">
        <v>847</v>
      </c>
      <c r="J263" s="176" t="s">
        <v>2251</v>
      </c>
      <c r="K263" s="176" t="s">
        <v>1235</v>
      </c>
      <c r="L263" s="145" t="s">
        <v>1806</v>
      </c>
      <c r="M263" s="45" t="str">
        <f t="shared" si="7"/>
        <v>OneCo Networks AS</v>
      </c>
      <c r="N263" s="40" t="str">
        <f ca="1">IFERROR(
VLOOKUP(BoM_Griptel[[#This Row],[Product code]],
IF(AND((BoQ!$N$3&lt;&gt;""),OR(BoM_Griptel[[#This Row],[Vendor]]="Griptel",BoM_Griptel[[#This Row],[Vendor]]="Solar")),INDIRECT(Aux!$A$1)),4,FALSE),"")</f>
        <v/>
      </c>
      <c r="O263" s="169" t="s">
        <v>1807</v>
      </c>
      <c r="P263" s="41" t="str">
        <f>IFERROR(IF(AND(BoM_Griptel[[#This Row],[Quantity]]&lt;&gt;"",BoM_Griptel[[#This Row],[Currency]]="NOK"),BoM_Griptel[[#This Row],[Quantity]]*BoM_Griptel[[#This Row],[Unit Price]],""),"")</f>
        <v/>
      </c>
      <c r="Q263" s="41" t="str">
        <f>IFERROR(IF(AND(BoM_Griptel[[#This Row],[ACT_Qty]]&lt;&gt;"",BoM_Griptel[[#This Row],[Currency]]="NOK"),BoM_Griptel[[#This Row],[ACT_Qty]]*BoM_Griptel[[#This Row],[Unit Price]],""),"")</f>
        <v/>
      </c>
      <c r="R263" s="41" t="str">
        <f>IFERROR(IF(AND(BoM_Griptel[[#This Row],[Quantity]]&lt;&gt;"",BoM_Griptel[[#This Row],[Currency]]="EUR"),BoM_Griptel[[#This Row],[Quantity]]*BoM_Griptel[[#This Row],[Unit Price]],""),"")</f>
        <v/>
      </c>
      <c r="S263" s="41" t="str">
        <f>IFERROR(IF(AND(BoM_Griptel[[#This Row],[ACT_Qty]]&lt;&gt;"",BoM_Griptel[[#This Row],[Currency]]="EUR"),BoM_Griptel[[#This Row],[ACT_Qty]]*BoM_Griptel[[#This Row],[Unit Price]],""),"")</f>
        <v/>
      </c>
      <c r="T263" s="185" t="s">
        <v>1802</v>
      </c>
      <c r="U263" s="45"/>
      <c r="V263" s="45"/>
      <c r="W263" s="143"/>
    </row>
    <row r="264" spans="1:23" ht="15" customHeight="1">
      <c r="A264" s="146" t="str">
        <f t="shared" si="6"/>
        <v>AKH12345</v>
      </c>
      <c r="B264" s="147" t="s">
        <v>2325</v>
      </c>
      <c r="C264" s="146" t="s">
        <v>2326</v>
      </c>
      <c r="D264" s="68"/>
      <c r="E264" s="89"/>
      <c r="F264" s="68"/>
      <c r="G264" s="89"/>
      <c r="H264" s="177"/>
      <c r="I264" s="178" t="s">
        <v>847</v>
      </c>
      <c r="J264" s="178" t="s">
        <v>2251</v>
      </c>
      <c r="K264" s="178" t="s">
        <v>1235</v>
      </c>
      <c r="L264" s="148" t="s">
        <v>1806</v>
      </c>
      <c r="M264" s="46" t="str">
        <f t="shared" si="7"/>
        <v>OneCo Networks AS</v>
      </c>
      <c r="N264" s="42" t="str">
        <f ca="1">IFERROR(
VLOOKUP(BoM_Griptel[[#This Row],[Product code]],
IF(AND((BoQ!$N$3&lt;&gt;""),OR(BoM_Griptel[[#This Row],[Vendor]]="Griptel",BoM_Griptel[[#This Row],[Vendor]]="Solar")),INDIRECT(Aux!$A$1)),4,FALSE),"")</f>
        <v/>
      </c>
      <c r="O264" s="170" t="s">
        <v>1807</v>
      </c>
      <c r="P264" s="43" t="str">
        <f>IFERROR(IF(AND(BoM_Griptel[[#This Row],[Quantity]]&lt;&gt;"",BoM_Griptel[[#This Row],[Currency]]="NOK"),BoM_Griptel[[#This Row],[Quantity]]*BoM_Griptel[[#This Row],[Unit Price]],""),"")</f>
        <v/>
      </c>
      <c r="Q264" s="43" t="str">
        <f>IFERROR(IF(AND(BoM_Griptel[[#This Row],[ACT_Qty]]&lt;&gt;"",BoM_Griptel[[#This Row],[Currency]]="NOK"),BoM_Griptel[[#This Row],[ACT_Qty]]*BoM_Griptel[[#This Row],[Unit Price]],""),"")</f>
        <v/>
      </c>
      <c r="R264" s="43" t="str">
        <f>IFERROR(IF(AND(BoM_Griptel[[#This Row],[Quantity]]&lt;&gt;"",BoM_Griptel[[#This Row],[Currency]]="EUR"),BoM_Griptel[[#This Row],[Quantity]]*BoM_Griptel[[#This Row],[Unit Price]],""),"")</f>
        <v/>
      </c>
      <c r="S264" s="43" t="str">
        <f>IFERROR(IF(AND(BoM_Griptel[[#This Row],[ACT_Qty]]&lt;&gt;"",BoM_Griptel[[#This Row],[Currency]]="EUR"),BoM_Griptel[[#This Row],[ACT_Qty]]*BoM_Griptel[[#This Row],[Unit Price]],""),"")</f>
        <v/>
      </c>
      <c r="T264" s="186" t="s">
        <v>1802</v>
      </c>
      <c r="U264" s="46"/>
      <c r="V264" s="46"/>
      <c r="W264" s="146"/>
    </row>
    <row r="265" spans="1:23" ht="15" customHeight="1">
      <c r="A265" s="143" t="str">
        <f t="shared" si="6"/>
        <v>AKH12345</v>
      </c>
      <c r="B265" s="144" t="s">
        <v>2327</v>
      </c>
      <c r="C265" s="143" t="s">
        <v>2328</v>
      </c>
      <c r="D265" s="105"/>
      <c r="E265" s="106"/>
      <c r="F265" s="105"/>
      <c r="G265" s="106"/>
      <c r="H265" s="175"/>
      <c r="I265" s="176" t="s">
        <v>847</v>
      </c>
      <c r="J265" s="176" t="s">
        <v>2251</v>
      </c>
      <c r="K265" s="176" t="s">
        <v>1235</v>
      </c>
      <c r="L265" s="145" t="s">
        <v>1806</v>
      </c>
      <c r="M265" s="45" t="str">
        <f t="shared" si="7"/>
        <v>OneCo Networks AS</v>
      </c>
      <c r="N265" s="40" t="str">
        <f ca="1">IFERROR(
VLOOKUP(BoM_Griptel[[#This Row],[Product code]],
IF(AND((BoQ!$N$3&lt;&gt;""),OR(BoM_Griptel[[#This Row],[Vendor]]="Griptel",BoM_Griptel[[#This Row],[Vendor]]="Solar")),INDIRECT(Aux!$A$1)),4,FALSE),"")</f>
        <v/>
      </c>
      <c r="O265" s="169" t="s">
        <v>1807</v>
      </c>
      <c r="P265" s="41" t="str">
        <f>IFERROR(IF(AND(BoM_Griptel[[#This Row],[Quantity]]&lt;&gt;"",BoM_Griptel[[#This Row],[Currency]]="NOK"),BoM_Griptel[[#This Row],[Quantity]]*BoM_Griptel[[#This Row],[Unit Price]],""),"")</f>
        <v/>
      </c>
      <c r="Q265" s="41" t="str">
        <f>IFERROR(IF(AND(BoM_Griptel[[#This Row],[ACT_Qty]]&lt;&gt;"",BoM_Griptel[[#This Row],[Currency]]="NOK"),BoM_Griptel[[#This Row],[ACT_Qty]]*BoM_Griptel[[#This Row],[Unit Price]],""),"")</f>
        <v/>
      </c>
      <c r="R265" s="41" t="str">
        <f>IFERROR(IF(AND(BoM_Griptel[[#This Row],[Quantity]]&lt;&gt;"",BoM_Griptel[[#This Row],[Currency]]="EUR"),BoM_Griptel[[#This Row],[Quantity]]*BoM_Griptel[[#This Row],[Unit Price]],""),"")</f>
        <v/>
      </c>
      <c r="S265" s="41" t="str">
        <f>IFERROR(IF(AND(BoM_Griptel[[#This Row],[ACT_Qty]]&lt;&gt;"",BoM_Griptel[[#This Row],[Currency]]="EUR"),BoM_Griptel[[#This Row],[ACT_Qty]]*BoM_Griptel[[#This Row],[Unit Price]],""),"")</f>
        <v/>
      </c>
      <c r="T265" s="185" t="s">
        <v>1802</v>
      </c>
      <c r="U265" s="45"/>
      <c r="V265" s="45"/>
      <c r="W265" s="143"/>
    </row>
    <row r="266" spans="1:23" ht="15" customHeight="1">
      <c r="A266" s="146" t="str">
        <f t="shared" si="6"/>
        <v>AKH12345</v>
      </c>
      <c r="B266" s="147" t="s">
        <v>2329</v>
      </c>
      <c r="C266" s="146" t="s">
        <v>2330</v>
      </c>
      <c r="D266" s="68"/>
      <c r="E266" s="89"/>
      <c r="F266" s="68"/>
      <c r="G266" s="89"/>
      <c r="H266" s="177"/>
      <c r="I266" s="178" t="s">
        <v>847</v>
      </c>
      <c r="J266" s="178" t="s">
        <v>2251</v>
      </c>
      <c r="K266" s="178" t="s">
        <v>1235</v>
      </c>
      <c r="L266" s="148" t="s">
        <v>1806</v>
      </c>
      <c r="M266" s="46" t="str">
        <f t="shared" si="7"/>
        <v>OneCo Networks AS</v>
      </c>
      <c r="N266" s="42" t="str">
        <f ca="1">IFERROR(
VLOOKUP(BoM_Griptel[[#This Row],[Product code]],
IF(AND((BoQ!$N$3&lt;&gt;""),OR(BoM_Griptel[[#This Row],[Vendor]]="Griptel",BoM_Griptel[[#This Row],[Vendor]]="Solar")),INDIRECT(Aux!$A$1)),4,FALSE),"")</f>
        <v/>
      </c>
      <c r="O266" s="170" t="s">
        <v>1807</v>
      </c>
      <c r="P266" s="43" t="str">
        <f>IFERROR(IF(AND(BoM_Griptel[[#This Row],[Quantity]]&lt;&gt;"",BoM_Griptel[[#This Row],[Currency]]="NOK"),BoM_Griptel[[#This Row],[Quantity]]*BoM_Griptel[[#This Row],[Unit Price]],""),"")</f>
        <v/>
      </c>
      <c r="Q266" s="43" t="str">
        <f>IFERROR(IF(AND(BoM_Griptel[[#This Row],[ACT_Qty]]&lt;&gt;"",BoM_Griptel[[#This Row],[Currency]]="NOK"),BoM_Griptel[[#This Row],[ACT_Qty]]*BoM_Griptel[[#This Row],[Unit Price]],""),"")</f>
        <v/>
      </c>
      <c r="R266" s="43" t="str">
        <f>IFERROR(IF(AND(BoM_Griptel[[#This Row],[Quantity]]&lt;&gt;"",BoM_Griptel[[#This Row],[Currency]]="EUR"),BoM_Griptel[[#This Row],[Quantity]]*BoM_Griptel[[#This Row],[Unit Price]],""),"")</f>
        <v/>
      </c>
      <c r="S266" s="43" t="str">
        <f>IFERROR(IF(AND(BoM_Griptel[[#This Row],[ACT_Qty]]&lt;&gt;"",BoM_Griptel[[#This Row],[Currency]]="EUR"),BoM_Griptel[[#This Row],[ACT_Qty]]*BoM_Griptel[[#This Row],[Unit Price]],""),"")</f>
        <v/>
      </c>
      <c r="T266" s="186" t="s">
        <v>1802</v>
      </c>
      <c r="U266" s="46"/>
      <c r="V266" s="46"/>
      <c r="W266" s="146"/>
    </row>
    <row r="267" spans="1:23" ht="15" customHeight="1">
      <c r="A267" s="143" t="str">
        <f t="shared" si="6"/>
        <v>AKH12345</v>
      </c>
      <c r="B267" s="144" t="s">
        <v>2331</v>
      </c>
      <c r="C267" s="143" t="s">
        <v>2332</v>
      </c>
      <c r="D267" s="105"/>
      <c r="E267" s="106"/>
      <c r="F267" s="105"/>
      <c r="G267" s="106"/>
      <c r="H267" s="175"/>
      <c r="I267" s="176" t="s">
        <v>847</v>
      </c>
      <c r="J267" s="176" t="s">
        <v>2103</v>
      </c>
      <c r="K267" s="176" t="s">
        <v>1235</v>
      </c>
      <c r="L267" s="145" t="s">
        <v>1806</v>
      </c>
      <c r="M267" s="45" t="str">
        <f t="shared" si="7"/>
        <v>OneCo Networks AS</v>
      </c>
      <c r="N267" s="40" t="str">
        <f ca="1">IFERROR(
VLOOKUP(BoM_Griptel[[#This Row],[Product code]],
IF(AND((BoQ!$N$3&lt;&gt;""),OR(BoM_Griptel[[#This Row],[Vendor]]="Griptel",BoM_Griptel[[#This Row],[Vendor]]="Solar")),INDIRECT(Aux!$A$1)),4,FALSE),"")</f>
        <v/>
      </c>
      <c r="O267" s="169" t="s">
        <v>1807</v>
      </c>
      <c r="P267" s="41" t="str">
        <f>IFERROR(IF(AND(BoM_Griptel[[#This Row],[Quantity]]&lt;&gt;"",BoM_Griptel[[#This Row],[Currency]]="NOK"),BoM_Griptel[[#This Row],[Quantity]]*BoM_Griptel[[#This Row],[Unit Price]],""),"")</f>
        <v/>
      </c>
      <c r="Q267" s="41" t="str">
        <f>IFERROR(IF(AND(BoM_Griptel[[#This Row],[ACT_Qty]]&lt;&gt;"",BoM_Griptel[[#This Row],[Currency]]="NOK"),BoM_Griptel[[#This Row],[ACT_Qty]]*BoM_Griptel[[#This Row],[Unit Price]],""),"")</f>
        <v/>
      </c>
      <c r="R267" s="41" t="str">
        <f>IFERROR(IF(AND(BoM_Griptel[[#This Row],[Quantity]]&lt;&gt;"",BoM_Griptel[[#This Row],[Currency]]="EUR"),BoM_Griptel[[#This Row],[Quantity]]*BoM_Griptel[[#This Row],[Unit Price]],""),"")</f>
        <v/>
      </c>
      <c r="S267" s="41" t="str">
        <f>IFERROR(IF(AND(BoM_Griptel[[#This Row],[ACT_Qty]]&lt;&gt;"",BoM_Griptel[[#This Row],[Currency]]="EUR"),BoM_Griptel[[#This Row],[ACT_Qty]]*BoM_Griptel[[#This Row],[Unit Price]],""),"")</f>
        <v/>
      </c>
      <c r="T267" s="185" t="s">
        <v>1802</v>
      </c>
      <c r="U267" s="45"/>
      <c r="V267" s="45"/>
      <c r="W267" s="143"/>
    </row>
    <row r="268" spans="1:23" ht="15" customHeight="1">
      <c r="A268" s="146" t="str">
        <f t="shared" si="6"/>
        <v>AKH12345</v>
      </c>
      <c r="B268" s="147" t="s">
        <v>2333</v>
      </c>
      <c r="C268" s="146" t="s">
        <v>2334</v>
      </c>
      <c r="D268" s="68"/>
      <c r="E268" s="89"/>
      <c r="F268" s="68"/>
      <c r="G268" s="89"/>
      <c r="H268" s="177"/>
      <c r="I268" s="178" t="s">
        <v>847</v>
      </c>
      <c r="J268" s="178" t="s">
        <v>2103</v>
      </c>
      <c r="K268" s="178" t="s">
        <v>1235</v>
      </c>
      <c r="L268" s="148" t="s">
        <v>1806</v>
      </c>
      <c r="M268" s="46" t="str">
        <f t="shared" si="7"/>
        <v>OneCo Networks AS</v>
      </c>
      <c r="N268" s="42" t="str">
        <f ca="1">IFERROR(
VLOOKUP(BoM_Griptel[[#This Row],[Product code]],
IF(AND((BoQ!$N$3&lt;&gt;""),OR(BoM_Griptel[[#This Row],[Vendor]]="Griptel",BoM_Griptel[[#This Row],[Vendor]]="Solar")),INDIRECT(Aux!$A$1)),4,FALSE),"")</f>
        <v/>
      </c>
      <c r="O268" s="170" t="s">
        <v>1807</v>
      </c>
      <c r="P268" s="43" t="str">
        <f>IFERROR(IF(AND(BoM_Griptel[[#This Row],[Quantity]]&lt;&gt;"",BoM_Griptel[[#This Row],[Currency]]="NOK"),BoM_Griptel[[#This Row],[Quantity]]*BoM_Griptel[[#This Row],[Unit Price]],""),"")</f>
        <v/>
      </c>
      <c r="Q268" s="43" t="str">
        <f>IFERROR(IF(AND(BoM_Griptel[[#This Row],[ACT_Qty]]&lt;&gt;"",BoM_Griptel[[#This Row],[Currency]]="NOK"),BoM_Griptel[[#This Row],[ACT_Qty]]*BoM_Griptel[[#This Row],[Unit Price]],""),"")</f>
        <v/>
      </c>
      <c r="R268" s="43" t="str">
        <f>IFERROR(IF(AND(BoM_Griptel[[#This Row],[Quantity]]&lt;&gt;"",BoM_Griptel[[#This Row],[Currency]]="EUR"),BoM_Griptel[[#This Row],[Quantity]]*BoM_Griptel[[#This Row],[Unit Price]],""),"")</f>
        <v/>
      </c>
      <c r="S268" s="43" t="str">
        <f>IFERROR(IF(AND(BoM_Griptel[[#This Row],[ACT_Qty]]&lt;&gt;"",BoM_Griptel[[#This Row],[Currency]]="EUR"),BoM_Griptel[[#This Row],[ACT_Qty]]*BoM_Griptel[[#This Row],[Unit Price]],""),"")</f>
        <v/>
      </c>
      <c r="T268" s="186" t="s">
        <v>1802</v>
      </c>
      <c r="U268" s="46"/>
      <c r="V268" s="46"/>
      <c r="W268" s="146"/>
    </row>
    <row r="269" spans="1:23" ht="15" customHeight="1">
      <c r="A269" s="143" t="str">
        <f t="shared" ref="A269:A332" si="8">IF($C$4&lt;&gt;"",$C$4,"")</f>
        <v>AKH12345</v>
      </c>
      <c r="B269" s="144" t="s">
        <v>2335</v>
      </c>
      <c r="C269" s="143" t="s">
        <v>2336</v>
      </c>
      <c r="D269" s="105"/>
      <c r="E269" s="106"/>
      <c r="F269" s="105"/>
      <c r="G269" s="106"/>
      <c r="H269" s="175"/>
      <c r="I269" s="176" t="s">
        <v>847</v>
      </c>
      <c r="J269" s="176" t="s">
        <v>1921</v>
      </c>
      <c r="K269" s="176" t="s">
        <v>1235</v>
      </c>
      <c r="L269" s="145" t="s">
        <v>1806</v>
      </c>
      <c r="M269" s="45" t="str">
        <f t="shared" si="7"/>
        <v>OneCo Networks AS</v>
      </c>
      <c r="N269" s="40" t="str">
        <f ca="1">IFERROR(
VLOOKUP(BoM_Griptel[[#This Row],[Product code]],
IF(AND((BoQ!$N$3&lt;&gt;""),OR(BoM_Griptel[[#This Row],[Vendor]]="Griptel",BoM_Griptel[[#This Row],[Vendor]]="Solar")),INDIRECT(Aux!$A$1)),4,FALSE),"")</f>
        <v/>
      </c>
      <c r="O269" s="169" t="s">
        <v>1807</v>
      </c>
      <c r="P269" s="41" t="str">
        <f>IFERROR(IF(AND(BoM_Griptel[[#This Row],[Quantity]]&lt;&gt;"",BoM_Griptel[[#This Row],[Currency]]="NOK"),BoM_Griptel[[#This Row],[Quantity]]*BoM_Griptel[[#This Row],[Unit Price]],""),"")</f>
        <v/>
      </c>
      <c r="Q269" s="41" t="str">
        <f>IFERROR(IF(AND(BoM_Griptel[[#This Row],[ACT_Qty]]&lt;&gt;"",BoM_Griptel[[#This Row],[Currency]]="NOK"),BoM_Griptel[[#This Row],[ACT_Qty]]*BoM_Griptel[[#This Row],[Unit Price]],""),"")</f>
        <v/>
      </c>
      <c r="R269" s="41" t="str">
        <f>IFERROR(IF(AND(BoM_Griptel[[#This Row],[Quantity]]&lt;&gt;"",BoM_Griptel[[#This Row],[Currency]]="EUR"),BoM_Griptel[[#This Row],[Quantity]]*BoM_Griptel[[#This Row],[Unit Price]],""),"")</f>
        <v/>
      </c>
      <c r="S269" s="41" t="str">
        <f>IFERROR(IF(AND(BoM_Griptel[[#This Row],[ACT_Qty]]&lt;&gt;"",BoM_Griptel[[#This Row],[Currency]]="EUR"),BoM_Griptel[[#This Row],[ACT_Qty]]*BoM_Griptel[[#This Row],[Unit Price]],""),"")</f>
        <v/>
      </c>
      <c r="T269" s="185" t="s">
        <v>1802</v>
      </c>
      <c r="U269" s="45"/>
      <c r="V269" s="45"/>
      <c r="W269" s="143"/>
    </row>
    <row r="270" spans="1:23" ht="15" customHeight="1">
      <c r="A270" s="146" t="str">
        <f t="shared" si="8"/>
        <v>AKH12345</v>
      </c>
      <c r="B270" s="147" t="s">
        <v>2337</v>
      </c>
      <c r="C270" s="146" t="s">
        <v>2338</v>
      </c>
      <c r="D270" s="68"/>
      <c r="E270" s="89"/>
      <c r="F270" s="68"/>
      <c r="G270" s="89"/>
      <c r="H270" s="177"/>
      <c r="I270" s="178" t="s">
        <v>847</v>
      </c>
      <c r="J270" s="178" t="s">
        <v>2103</v>
      </c>
      <c r="K270" s="178" t="s">
        <v>1235</v>
      </c>
      <c r="L270" s="148" t="s">
        <v>1806</v>
      </c>
      <c r="M270" s="46" t="str">
        <f t="shared" si="7"/>
        <v>OneCo Networks AS</v>
      </c>
      <c r="N270" s="42" t="str">
        <f ca="1">IFERROR(
VLOOKUP(BoM_Griptel[[#This Row],[Product code]],
IF(AND((BoQ!$N$3&lt;&gt;""),OR(BoM_Griptel[[#This Row],[Vendor]]="Griptel",BoM_Griptel[[#This Row],[Vendor]]="Solar")),INDIRECT(Aux!$A$1)),4,FALSE),"")</f>
        <v/>
      </c>
      <c r="O270" s="170" t="s">
        <v>1807</v>
      </c>
      <c r="P270" s="43" t="str">
        <f>IFERROR(IF(AND(BoM_Griptel[[#This Row],[Quantity]]&lt;&gt;"",BoM_Griptel[[#This Row],[Currency]]="NOK"),BoM_Griptel[[#This Row],[Quantity]]*BoM_Griptel[[#This Row],[Unit Price]],""),"")</f>
        <v/>
      </c>
      <c r="Q270" s="43" t="str">
        <f>IFERROR(IF(AND(BoM_Griptel[[#This Row],[ACT_Qty]]&lt;&gt;"",BoM_Griptel[[#This Row],[Currency]]="NOK"),BoM_Griptel[[#This Row],[ACT_Qty]]*BoM_Griptel[[#This Row],[Unit Price]],""),"")</f>
        <v/>
      </c>
      <c r="R270" s="43" t="str">
        <f>IFERROR(IF(AND(BoM_Griptel[[#This Row],[Quantity]]&lt;&gt;"",BoM_Griptel[[#This Row],[Currency]]="EUR"),BoM_Griptel[[#This Row],[Quantity]]*BoM_Griptel[[#This Row],[Unit Price]],""),"")</f>
        <v/>
      </c>
      <c r="S270" s="43" t="str">
        <f>IFERROR(IF(AND(BoM_Griptel[[#This Row],[ACT_Qty]]&lt;&gt;"",BoM_Griptel[[#This Row],[Currency]]="EUR"),BoM_Griptel[[#This Row],[ACT_Qty]]*BoM_Griptel[[#This Row],[Unit Price]],""),"")</f>
        <v/>
      </c>
      <c r="T270" s="186" t="s">
        <v>1802</v>
      </c>
      <c r="U270" s="46"/>
      <c r="V270" s="46"/>
      <c r="W270" s="146"/>
    </row>
    <row r="271" spans="1:23" ht="15" customHeight="1">
      <c r="A271" s="143" t="str">
        <f t="shared" si="8"/>
        <v>AKH12345</v>
      </c>
      <c r="B271" s="144" t="s">
        <v>2339</v>
      </c>
      <c r="C271" s="143" t="s">
        <v>2340</v>
      </c>
      <c r="D271" s="105"/>
      <c r="E271" s="106"/>
      <c r="F271" s="105"/>
      <c r="G271" s="106"/>
      <c r="H271" s="175"/>
      <c r="I271" s="176" t="s">
        <v>847</v>
      </c>
      <c r="J271" s="176" t="s">
        <v>2103</v>
      </c>
      <c r="K271" s="176" t="s">
        <v>1235</v>
      </c>
      <c r="L271" s="145" t="s">
        <v>1806</v>
      </c>
      <c r="M271" s="45" t="str">
        <f t="shared" si="7"/>
        <v>OneCo Networks AS</v>
      </c>
      <c r="N271" s="40" t="str">
        <f ca="1">IFERROR(
VLOOKUP(BoM_Griptel[[#This Row],[Product code]],
IF(AND((BoQ!$N$3&lt;&gt;""),OR(BoM_Griptel[[#This Row],[Vendor]]="Griptel",BoM_Griptel[[#This Row],[Vendor]]="Solar")),INDIRECT(Aux!$A$1)),4,FALSE),"")</f>
        <v/>
      </c>
      <c r="O271" s="169" t="s">
        <v>1807</v>
      </c>
      <c r="P271" s="41" t="str">
        <f>IFERROR(IF(AND(BoM_Griptel[[#This Row],[Quantity]]&lt;&gt;"",BoM_Griptel[[#This Row],[Currency]]="NOK"),BoM_Griptel[[#This Row],[Quantity]]*BoM_Griptel[[#This Row],[Unit Price]],""),"")</f>
        <v/>
      </c>
      <c r="Q271" s="41" t="str">
        <f>IFERROR(IF(AND(BoM_Griptel[[#This Row],[ACT_Qty]]&lt;&gt;"",BoM_Griptel[[#This Row],[Currency]]="NOK"),BoM_Griptel[[#This Row],[ACT_Qty]]*BoM_Griptel[[#This Row],[Unit Price]],""),"")</f>
        <v/>
      </c>
      <c r="R271" s="41" t="str">
        <f>IFERROR(IF(AND(BoM_Griptel[[#This Row],[Quantity]]&lt;&gt;"",BoM_Griptel[[#This Row],[Currency]]="EUR"),BoM_Griptel[[#This Row],[Quantity]]*BoM_Griptel[[#This Row],[Unit Price]],""),"")</f>
        <v/>
      </c>
      <c r="S271" s="41" t="str">
        <f>IFERROR(IF(AND(BoM_Griptel[[#This Row],[ACT_Qty]]&lt;&gt;"",BoM_Griptel[[#This Row],[Currency]]="EUR"),BoM_Griptel[[#This Row],[ACT_Qty]]*BoM_Griptel[[#This Row],[Unit Price]],""),"")</f>
        <v/>
      </c>
      <c r="T271" s="185" t="s">
        <v>1802</v>
      </c>
      <c r="U271" s="45"/>
      <c r="V271" s="45"/>
      <c r="W271" s="143"/>
    </row>
    <row r="272" spans="1:23" ht="15" customHeight="1">
      <c r="A272" s="146" t="str">
        <f t="shared" si="8"/>
        <v>AKH12345</v>
      </c>
      <c r="B272" s="147" t="s">
        <v>2341</v>
      </c>
      <c r="C272" s="146" t="s">
        <v>2342</v>
      </c>
      <c r="D272" s="68"/>
      <c r="E272" s="89"/>
      <c r="F272" s="68"/>
      <c r="G272" s="89"/>
      <c r="H272" s="177"/>
      <c r="I272" s="178" t="s">
        <v>847</v>
      </c>
      <c r="J272" s="178" t="s">
        <v>2103</v>
      </c>
      <c r="K272" s="178" t="s">
        <v>1235</v>
      </c>
      <c r="L272" s="148" t="s">
        <v>1806</v>
      </c>
      <c r="M272" s="46" t="str">
        <f t="shared" si="7"/>
        <v>OneCo Networks AS</v>
      </c>
      <c r="N272" s="42" t="str">
        <f ca="1">IFERROR(
VLOOKUP(BoM_Griptel[[#This Row],[Product code]],
IF(AND((BoQ!$N$3&lt;&gt;""),OR(BoM_Griptel[[#This Row],[Vendor]]="Griptel",BoM_Griptel[[#This Row],[Vendor]]="Solar")),INDIRECT(Aux!$A$1)),4,FALSE),"")</f>
        <v/>
      </c>
      <c r="O272" s="170" t="s">
        <v>1807</v>
      </c>
      <c r="P272" s="43" t="str">
        <f>IFERROR(IF(AND(BoM_Griptel[[#This Row],[Quantity]]&lt;&gt;"",BoM_Griptel[[#This Row],[Currency]]="NOK"),BoM_Griptel[[#This Row],[Quantity]]*BoM_Griptel[[#This Row],[Unit Price]],""),"")</f>
        <v/>
      </c>
      <c r="Q272" s="43" t="str">
        <f>IFERROR(IF(AND(BoM_Griptel[[#This Row],[ACT_Qty]]&lt;&gt;"",BoM_Griptel[[#This Row],[Currency]]="NOK"),BoM_Griptel[[#This Row],[ACT_Qty]]*BoM_Griptel[[#This Row],[Unit Price]],""),"")</f>
        <v/>
      </c>
      <c r="R272" s="43" t="str">
        <f>IFERROR(IF(AND(BoM_Griptel[[#This Row],[Quantity]]&lt;&gt;"",BoM_Griptel[[#This Row],[Currency]]="EUR"),BoM_Griptel[[#This Row],[Quantity]]*BoM_Griptel[[#This Row],[Unit Price]],""),"")</f>
        <v/>
      </c>
      <c r="S272" s="43" t="str">
        <f>IFERROR(IF(AND(BoM_Griptel[[#This Row],[ACT_Qty]]&lt;&gt;"",BoM_Griptel[[#This Row],[Currency]]="EUR"),BoM_Griptel[[#This Row],[ACT_Qty]]*BoM_Griptel[[#This Row],[Unit Price]],""),"")</f>
        <v/>
      </c>
      <c r="T272" s="186" t="s">
        <v>1802</v>
      </c>
      <c r="U272" s="46"/>
      <c r="V272" s="46"/>
      <c r="W272" s="146"/>
    </row>
    <row r="273" spans="1:23" ht="15" customHeight="1">
      <c r="A273" s="143" t="str">
        <f t="shared" si="8"/>
        <v>AKH12345</v>
      </c>
      <c r="B273" s="144" t="s">
        <v>2343</v>
      </c>
      <c r="C273" s="143" t="s">
        <v>2344</v>
      </c>
      <c r="D273" s="105"/>
      <c r="E273" s="106"/>
      <c r="F273" s="105"/>
      <c r="G273" s="106"/>
      <c r="H273" s="175"/>
      <c r="I273" s="176" t="s">
        <v>847</v>
      </c>
      <c r="J273" s="176" t="s">
        <v>2103</v>
      </c>
      <c r="K273" s="176" t="s">
        <v>1235</v>
      </c>
      <c r="L273" s="145" t="s">
        <v>1806</v>
      </c>
      <c r="M273" s="45" t="str">
        <f t="shared" si="7"/>
        <v>OneCo Networks AS</v>
      </c>
      <c r="N273" s="40" t="str">
        <f ca="1">IFERROR(
VLOOKUP(BoM_Griptel[[#This Row],[Product code]],
IF(AND((BoQ!$N$3&lt;&gt;""),OR(BoM_Griptel[[#This Row],[Vendor]]="Griptel",BoM_Griptel[[#This Row],[Vendor]]="Solar")),INDIRECT(Aux!$A$1)),4,FALSE),"")</f>
        <v/>
      </c>
      <c r="O273" s="169" t="s">
        <v>1807</v>
      </c>
      <c r="P273" s="41" t="str">
        <f>IFERROR(IF(AND(BoM_Griptel[[#This Row],[Quantity]]&lt;&gt;"",BoM_Griptel[[#This Row],[Currency]]="NOK"),BoM_Griptel[[#This Row],[Quantity]]*BoM_Griptel[[#This Row],[Unit Price]],""),"")</f>
        <v/>
      </c>
      <c r="Q273" s="41" t="str">
        <f>IFERROR(IF(AND(BoM_Griptel[[#This Row],[ACT_Qty]]&lt;&gt;"",BoM_Griptel[[#This Row],[Currency]]="NOK"),BoM_Griptel[[#This Row],[ACT_Qty]]*BoM_Griptel[[#This Row],[Unit Price]],""),"")</f>
        <v/>
      </c>
      <c r="R273" s="41" t="str">
        <f>IFERROR(IF(AND(BoM_Griptel[[#This Row],[Quantity]]&lt;&gt;"",BoM_Griptel[[#This Row],[Currency]]="EUR"),BoM_Griptel[[#This Row],[Quantity]]*BoM_Griptel[[#This Row],[Unit Price]],""),"")</f>
        <v/>
      </c>
      <c r="S273" s="41" t="str">
        <f>IFERROR(IF(AND(BoM_Griptel[[#This Row],[ACT_Qty]]&lt;&gt;"",BoM_Griptel[[#This Row],[Currency]]="EUR"),BoM_Griptel[[#This Row],[ACT_Qty]]*BoM_Griptel[[#This Row],[Unit Price]],""),"")</f>
        <v/>
      </c>
      <c r="T273" s="185" t="s">
        <v>1802</v>
      </c>
      <c r="U273" s="45"/>
      <c r="V273" s="45"/>
      <c r="W273" s="143"/>
    </row>
    <row r="274" spans="1:23" ht="15" customHeight="1">
      <c r="A274" s="146" t="str">
        <f t="shared" si="8"/>
        <v>AKH12345</v>
      </c>
      <c r="B274" s="147" t="s">
        <v>2345</v>
      </c>
      <c r="C274" s="146" t="s">
        <v>2346</v>
      </c>
      <c r="D274" s="68"/>
      <c r="E274" s="89"/>
      <c r="F274" s="68"/>
      <c r="G274" s="89"/>
      <c r="H274" s="177"/>
      <c r="I274" s="178" t="s">
        <v>847</v>
      </c>
      <c r="J274" s="178" t="s">
        <v>2103</v>
      </c>
      <c r="K274" s="178" t="s">
        <v>1235</v>
      </c>
      <c r="L274" s="148" t="s">
        <v>1806</v>
      </c>
      <c r="M274" s="46" t="str">
        <f t="shared" ref="M274:M337" si="9">IF($C$3&lt;&gt;"",$C$3,"")</f>
        <v>OneCo Networks AS</v>
      </c>
      <c r="N274" s="42" t="str">
        <f ca="1">IFERROR(
VLOOKUP(BoM_Griptel[[#This Row],[Product code]],
IF(AND((BoQ!$N$3&lt;&gt;""),OR(BoM_Griptel[[#This Row],[Vendor]]="Griptel",BoM_Griptel[[#This Row],[Vendor]]="Solar")),INDIRECT(Aux!$A$1)),4,FALSE),"")</f>
        <v/>
      </c>
      <c r="O274" s="170" t="s">
        <v>1807</v>
      </c>
      <c r="P274" s="43" t="str">
        <f>IFERROR(IF(AND(BoM_Griptel[[#This Row],[Quantity]]&lt;&gt;"",BoM_Griptel[[#This Row],[Currency]]="NOK"),BoM_Griptel[[#This Row],[Quantity]]*BoM_Griptel[[#This Row],[Unit Price]],""),"")</f>
        <v/>
      </c>
      <c r="Q274" s="43" t="str">
        <f>IFERROR(IF(AND(BoM_Griptel[[#This Row],[ACT_Qty]]&lt;&gt;"",BoM_Griptel[[#This Row],[Currency]]="NOK"),BoM_Griptel[[#This Row],[ACT_Qty]]*BoM_Griptel[[#This Row],[Unit Price]],""),"")</f>
        <v/>
      </c>
      <c r="R274" s="43" t="str">
        <f>IFERROR(IF(AND(BoM_Griptel[[#This Row],[Quantity]]&lt;&gt;"",BoM_Griptel[[#This Row],[Currency]]="EUR"),BoM_Griptel[[#This Row],[Quantity]]*BoM_Griptel[[#This Row],[Unit Price]],""),"")</f>
        <v/>
      </c>
      <c r="S274" s="43" t="str">
        <f>IFERROR(IF(AND(BoM_Griptel[[#This Row],[ACT_Qty]]&lt;&gt;"",BoM_Griptel[[#This Row],[Currency]]="EUR"),BoM_Griptel[[#This Row],[ACT_Qty]]*BoM_Griptel[[#This Row],[Unit Price]],""),"")</f>
        <v/>
      </c>
      <c r="T274" s="186" t="s">
        <v>1802</v>
      </c>
      <c r="U274" s="46"/>
      <c r="V274" s="46"/>
      <c r="W274" s="146"/>
    </row>
    <row r="275" spans="1:23" ht="15" customHeight="1">
      <c r="A275" s="143" t="str">
        <f t="shared" si="8"/>
        <v>AKH12345</v>
      </c>
      <c r="B275" s="144" t="s">
        <v>2347</v>
      </c>
      <c r="C275" s="143" t="s">
        <v>2348</v>
      </c>
      <c r="D275" s="105"/>
      <c r="E275" s="106"/>
      <c r="F275" s="105"/>
      <c r="G275" s="106"/>
      <c r="H275" s="175"/>
      <c r="I275" s="176" t="s">
        <v>847</v>
      </c>
      <c r="J275" s="176" t="s">
        <v>2103</v>
      </c>
      <c r="K275" s="176" t="s">
        <v>1235</v>
      </c>
      <c r="L275" s="145" t="s">
        <v>1806</v>
      </c>
      <c r="M275" s="45" t="str">
        <f t="shared" si="9"/>
        <v>OneCo Networks AS</v>
      </c>
      <c r="N275" s="40" t="str">
        <f ca="1">IFERROR(
VLOOKUP(BoM_Griptel[[#This Row],[Product code]],
IF(AND((BoQ!$N$3&lt;&gt;""),OR(BoM_Griptel[[#This Row],[Vendor]]="Griptel",BoM_Griptel[[#This Row],[Vendor]]="Solar")),INDIRECT(Aux!$A$1)),4,FALSE),"")</f>
        <v/>
      </c>
      <c r="O275" s="169" t="s">
        <v>1807</v>
      </c>
      <c r="P275" s="41" t="str">
        <f>IFERROR(IF(AND(BoM_Griptel[[#This Row],[Quantity]]&lt;&gt;"",BoM_Griptel[[#This Row],[Currency]]="NOK"),BoM_Griptel[[#This Row],[Quantity]]*BoM_Griptel[[#This Row],[Unit Price]],""),"")</f>
        <v/>
      </c>
      <c r="Q275" s="41" t="str">
        <f>IFERROR(IF(AND(BoM_Griptel[[#This Row],[ACT_Qty]]&lt;&gt;"",BoM_Griptel[[#This Row],[Currency]]="NOK"),BoM_Griptel[[#This Row],[ACT_Qty]]*BoM_Griptel[[#This Row],[Unit Price]],""),"")</f>
        <v/>
      </c>
      <c r="R275" s="41" t="str">
        <f>IFERROR(IF(AND(BoM_Griptel[[#This Row],[Quantity]]&lt;&gt;"",BoM_Griptel[[#This Row],[Currency]]="EUR"),BoM_Griptel[[#This Row],[Quantity]]*BoM_Griptel[[#This Row],[Unit Price]],""),"")</f>
        <v/>
      </c>
      <c r="S275" s="41" t="str">
        <f>IFERROR(IF(AND(BoM_Griptel[[#This Row],[ACT_Qty]]&lt;&gt;"",BoM_Griptel[[#This Row],[Currency]]="EUR"),BoM_Griptel[[#This Row],[ACT_Qty]]*BoM_Griptel[[#This Row],[Unit Price]],""),"")</f>
        <v/>
      </c>
      <c r="T275" s="185" t="s">
        <v>1802</v>
      </c>
      <c r="U275" s="45"/>
      <c r="V275" s="45"/>
      <c r="W275" s="143"/>
    </row>
    <row r="276" spans="1:23" ht="15" customHeight="1">
      <c r="A276" s="146" t="str">
        <f t="shared" si="8"/>
        <v>AKH12345</v>
      </c>
      <c r="B276" s="147" t="s">
        <v>2349</v>
      </c>
      <c r="C276" s="146" t="s">
        <v>2350</v>
      </c>
      <c r="D276" s="68"/>
      <c r="E276" s="89"/>
      <c r="F276" s="68"/>
      <c r="G276" s="89"/>
      <c r="H276" s="177"/>
      <c r="I276" s="178" t="s">
        <v>847</v>
      </c>
      <c r="J276" s="178" t="s">
        <v>2103</v>
      </c>
      <c r="K276" s="178" t="s">
        <v>1235</v>
      </c>
      <c r="L276" s="148" t="s">
        <v>1806</v>
      </c>
      <c r="M276" s="46" t="str">
        <f t="shared" si="9"/>
        <v>OneCo Networks AS</v>
      </c>
      <c r="N276" s="42" t="str">
        <f ca="1">IFERROR(
VLOOKUP(BoM_Griptel[[#This Row],[Product code]],
IF(AND((BoQ!$N$3&lt;&gt;""),OR(BoM_Griptel[[#This Row],[Vendor]]="Griptel",BoM_Griptel[[#This Row],[Vendor]]="Solar")),INDIRECT(Aux!$A$1)),4,FALSE),"")</f>
        <v/>
      </c>
      <c r="O276" s="170" t="s">
        <v>1807</v>
      </c>
      <c r="P276" s="43" t="str">
        <f>IFERROR(IF(AND(BoM_Griptel[[#This Row],[Quantity]]&lt;&gt;"",BoM_Griptel[[#This Row],[Currency]]="NOK"),BoM_Griptel[[#This Row],[Quantity]]*BoM_Griptel[[#This Row],[Unit Price]],""),"")</f>
        <v/>
      </c>
      <c r="Q276" s="43" t="str">
        <f>IFERROR(IF(AND(BoM_Griptel[[#This Row],[ACT_Qty]]&lt;&gt;"",BoM_Griptel[[#This Row],[Currency]]="NOK"),BoM_Griptel[[#This Row],[ACT_Qty]]*BoM_Griptel[[#This Row],[Unit Price]],""),"")</f>
        <v/>
      </c>
      <c r="R276" s="43" t="str">
        <f>IFERROR(IF(AND(BoM_Griptel[[#This Row],[Quantity]]&lt;&gt;"",BoM_Griptel[[#This Row],[Currency]]="EUR"),BoM_Griptel[[#This Row],[Quantity]]*BoM_Griptel[[#This Row],[Unit Price]],""),"")</f>
        <v/>
      </c>
      <c r="S276" s="43" t="str">
        <f>IFERROR(IF(AND(BoM_Griptel[[#This Row],[ACT_Qty]]&lt;&gt;"",BoM_Griptel[[#This Row],[Currency]]="EUR"),BoM_Griptel[[#This Row],[ACT_Qty]]*BoM_Griptel[[#This Row],[Unit Price]],""),"")</f>
        <v/>
      </c>
      <c r="T276" s="186" t="s">
        <v>1802</v>
      </c>
      <c r="U276" s="46"/>
      <c r="V276" s="46"/>
      <c r="W276" s="146"/>
    </row>
    <row r="277" spans="1:23" ht="15" customHeight="1">
      <c r="A277" s="143" t="str">
        <f t="shared" si="8"/>
        <v>AKH12345</v>
      </c>
      <c r="B277" s="144" t="s">
        <v>2351</v>
      </c>
      <c r="C277" s="143" t="s">
        <v>2352</v>
      </c>
      <c r="D277" s="105"/>
      <c r="E277" s="106"/>
      <c r="F277" s="105"/>
      <c r="G277" s="106"/>
      <c r="H277" s="175"/>
      <c r="I277" s="176" t="s">
        <v>847</v>
      </c>
      <c r="J277" s="176" t="s">
        <v>2103</v>
      </c>
      <c r="K277" s="176" t="s">
        <v>1235</v>
      </c>
      <c r="L277" s="145" t="s">
        <v>1806</v>
      </c>
      <c r="M277" s="45" t="str">
        <f t="shared" si="9"/>
        <v>OneCo Networks AS</v>
      </c>
      <c r="N277" s="40" t="str">
        <f ca="1">IFERROR(
VLOOKUP(BoM_Griptel[[#This Row],[Product code]],
IF(AND((BoQ!$N$3&lt;&gt;""),OR(BoM_Griptel[[#This Row],[Vendor]]="Griptel",BoM_Griptel[[#This Row],[Vendor]]="Solar")),INDIRECT(Aux!$A$1)),4,FALSE),"")</f>
        <v/>
      </c>
      <c r="O277" s="169" t="s">
        <v>1807</v>
      </c>
      <c r="P277" s="41" t="str">
        <f>IFERROR(IF(AND(BoM_Griptel[[#This Row],[Quantity]]&lt;&gt;"",BoM_Griptel[[#This Row],[Currency]]="NOK"),BoM_Griptel[[#This Row],[Quantity]]*BoM_Griptel[[#This Row],[Unit Price]],""),"")</f>
        <v/>
      </c>
      <c r="Q277" s="41" t="str">
        <f>IFERROR(IF(AND(BoM_Griptel[[#This Row],[ACT_Qty]]&lt;&gt;"",BoM_Griptel[[#This Row],[Currency]]="NOK"),BoM_Griptel[[#This Row],[ACT_Qty]]*BoM_Griptel[[#This Row],[Unit Price]],""),"")</f>
        <v/>
      </c>
      <c r="R277" s="41" t="str">
        <f>IFERROR(IF(AND(BoM_Griptel[[#This Row],[Quantity]]&lt;&gt;"",BoM_Griptel[[#This Row],[Currency]]="EUR"),BoM_Griptel[[#This Row],[Quantity]]*BoM_Griptel[[#This Row],[Unit Price]],""),"")</f>
        <v/>
      </c>
      <c r="S277" s="41" t="str">
        <f>IFERROR(IF(AND(BoM_Griptel[[#This Row],[ACT_Qty]]&lt;&gt;"",BoM_Griptel[[#This Row],[Currency]]="EUR"),BoM_Griptel[[#This Row],[ACT_Qty]]*BoM_Griptel[[#This Row],[Unit Price]],""),"")</f>
        <v/>
      </c>
      <c r="T277" s="185" t="s">
        <v>1802</v>
      </c>
      <c r="U277" s="45"/>
      <c r="V277" s="45"/>
      <c r="W277" s="143"/>
    </row>
    <row r="278" spans="1:23" ht="15" customHeight="1">
      <c r="A278" s="146" t="str">
        <f t="shared" si="8"/>
        <v>AKH12345</v>
      </c>
      <c r="B278" s="147" t="s">
        <v>2353</v>
      </c>
      <c r="C278" s="146" t="s">
        <v>2350</v>
      </c>
      <c r="D278" s="68"/>
      <c r="E278" s="89"/>
      <c r="F278" s="68"/>
      <c r="G278" s="89"/>
      <c r="H278" s="177"/>
      <c r="I278" s="178" t="s">
        <v>847</v>
      </c>
      <c r="J278" s="178" t="s">
        <v>2103</v>
      </c>
      <c r="K278" s="178" t="s">
        <v>1235</v>
      </c>
      <c r="L278" s="148" t="s">
        <v>1806</v>
      </c>
      <c r="M278" s="46" t="str">
        <f t="shared" si="9"/>
        <v>OneCo Networks AS</v>
      </c>
      <c r="N278" s="42" t="str">
        <f ca="1">IFERROR(
VLOOKUP(BoM_Griptel[[#This Row],[Product code]],
IF(AND((BoQ!$N$3&lt;&gt;""),OR(BoM_Griptel[[#This Row],[Vendor]]="Griptel",BoM_Griptel[[#This Row],[Vendor]]="Solar")),INDIRECT(Aux!$A$1)),4,FALSE),"")</f>
        <v/>
      </c>
      <c r="O278" s="170" t="s">
        <v>1807</v>
      </c>
      <c r="P278" s="43" t="str">
        <f>IFERROR(IF(AND(BoM_Griptel[[#This Row],[Quantity]]&lt;&gt;"",BoM_Griptel[[#This Row],[Currency]]="NOK"),BoM_Griptel[[#This Row],[Quantity]]*BoM_Griptel[[#This Row],[Unit Price]],""),"")</f>
        <v/>
      </c>
      <c r="Q278" s="43" t="str">
        <f>IFERROR(IF(AND(BoM_Griptel[[#This Row],[ACT_Qty]]&lt;&gt;"",BoM_Griptel[[#This Row],[Currency]]="NOK"),BoM_Griptel[[#This Row],[ACT_Qty]]*BoM_Griptel[[#This Row],[Unit Price]],""),"")</f>
        <v/>
      </c>
      <c r="R278" s="43" t="str">
        <f>IFERROR(IF(AND(BoM_Griptel[[#This Row],[Quantity]]&lt;&gt;"",BoM_Griptel[[#This Row],[Currency]]="EUR"),BoM_Griptel[[#This Row],[Quantity]]*BoM_Griptel[[#This Row],[Unit Price]],""),"")</f>
        <v/>
      </c>
      <c r="S278" s="43" t="str">
        <f>IFERROR(IF(AND(BoM_Griptel[[#This Row],[ACT_Qty]]&lt;&gt;"",BoM_Griptel[[#This Row],[Currency]]="EUR"),BoM_Griptel[[#This Row],[ACT_Qty]]*BoM_Griptel[[#This Row],[Unit Price]],""),"")</f>
        <v/>
      </c>
      <c r="T278" s="186" t="s">
        <v>1802</v>
      </c>
      <c r="U278" s="46"/>
      <c r="V278" s="46"/>
      <c r="W278" s="146"/>
    </row>
    <row r="279" spans="1:23" ht="15" customHeight="1">
      <c r="A279" s="143" t="str">
        <f t="shared" si="8"/>
        <v>AKH12345</v>
      </c>
      <c r="B279" s="144" t="s">
        <v>2354</v>
      </c>
      <c r="C279" s="143" t="s">
        <v>2355</v>
      </c>
      <c r="D279" s="105"/>
      <c r="E279" s="106"/>
      <c r="F279" s="105"/>
      <c r="G279" s="106"/>
      <c r="H279" s="175"/>
      <c r="I279" s="176" t="s">
        <v>847</v>
      </c>
      <c r="J279" s="176" t="s">
        <v>2103</v>
      </c>
      <c r="K279" s="176" t="s">
        <v>1235</v>
      </c>
      <c r="L279" s="145" t="s">
        <v>1806</v>
      </c>
      <c r="M279" s="45" t="str">
        <f t="shared" si="9"/>
        <v>OneCo Networks AS</v>
      </c>
      <c r="N279" s="40" t="str">
        <f ca="1">IFERROR(
VLOOKUP(BoM_Griptel[[#This Row],[Product code]],
IF(AND((BoQ!$N$3&lt;&gt;""),OR(BoM_Griptel[[#This Row],[Vendor]]="Griptel",BoM_Griptel[[#This Row],[Vendor]]="Solar")),INDIRECT(Aux!$A$1)),4,FALSE),"")</f>
        <v/>
      </c>
      <c r="O279" s="169" t="s">
        <v>1807</v>
      </c>
      <c r="P279" s="41" t="str">
        <f>IFERROR(IF(AND(BoM_Griptel[[#This Row],[Quantity]]&lt;&gt;"",BoM_Griptel[[#This Row],[Currency]]="NOK"),BoM_Griptel[[#This Row],[Quantity]]*BoM_Griptel[[#This Row],[Unit Price]],""),"")</f>
        <v/>
      </c>
      <c r="Q279" s="41" t="str">
        <f>IFERROR(IF(AND(BoM_Griptel[[#This Row],[ACT_Qty]]&lt;&gt;"",BoM_Griptel[[#This Row],[Currency]]="NOK"),BoM_Griptel[[#This Row],[ACT_Qty]]*BoM_Griptel[[#This Row],[Unit Price]],""),"")</f>
        <v/>
      </c>
      <c r="R279" s="41" t="str">
        <f>IFERROR(IF(AND(BoM_Griptel[[#This Row],[Quantity]]&lt;&gt;"",BoM_Griptel[[#This Row],[Currency]]="EUR"),BoM_Griptel[[#This Row],[Quantity]]*BoM_Griptel[[#This Row],[Unit Price]],""),"")</f>
        <v/>
      </c>
      <c r="S279" s="41" t="str">
        <f>IFERROR(IF(AND(BoM_Griptel[[#This Row],[ACT_Qty]]&lt;&gt;"",BoM_Griptel[[#This Row],[Currency]]="EUR"),BoM_Griptel[[#This Row],[ACT_Qty]]*BoM_Griptel[[#This Row],[Unit Price]],""),"")</f>
        <v/>
      </c>
      <c r="T279" s="185" t="s">
        <v>1802</v>
      </c>
      <c r="U279" s="45"/>
      <c r="V279" s="45"/>
      <c r="W279" s="143"/>
    </row>
    <row r="280" spans="1:23" ht="15" customHeight="1">
      <c r="A280" s="146" t="str">
        <f t="shared" si="8"/>
        <v>AKH12345</v>
      </c>
      <c r="B280" s="147" t="s">
        <v>2356</v>
      </c>
      <c r="C280" s="146" t="s">
        <v>2357</v>
      </c>
      <c r="D280" s="68"/>
      <c r="E280" s="89"/>
      <c r="F280" s="68"/>
      <c r="G280" s="89"/>
      <c r="H280" s="177"/>
      <c r="I280" s="178" t="s">
        <v>847</v>
      </c>
      <c r="J280" s="178" t="s">
        <v>2103</v>
      </c>
      <c r="K280" s="178" t="s">
        <v>1235</v>
      </c>
      <c r="L280" s="148" t="s">
        <v>1806</v>
      </c>
      <c r="M280" s="46" t="str">
        <f t="shared" si="9"/>
        <v>OneCo Networks AS</v>
      </c>
      <c r="N280" s="42" t="str">
        <f ca="1">IFERROR(
VLOOKUP(BoM_Griptel[[#This Row],[Product code]],
IF(AND((BoQ!$N$3&lt;&gt;""),OR(BoM_Griptel[[#This Row],[Vendor]]="Griptel",BoM_Griptel[[#This Row],[Vendor]]="Solar")),INDIRECT(Aux!$A$1)),4,FALSE),"")</f>
        <v/>
      </c>
      <c r="O280" s="170" t="s">
        <v>1807</v>
      </c>
      <c r="P280" s="43" t="str">
        <f>IFERROR(IF(AND(BoM_Griptel[[#This Row],[Quantity]]&lt;&gt;"",BoM_Griptel[[#This Row],[Currency]]="NOK"),BoM_Griptel[[#This Row],[Quantity]]*BoM_Griptel[[#This Row],[Unit Price]],""),"")</f>
        <v/>
      </c>
      <c r="Q280" s="43" t="str">
        <f>IFERROR(IF(AND(BoM_Griptel[[#This Row],[ACT_Qty]]&lt;&gt;"",BoM_Griptel[[#This Row],[Currency]]="NOK"),BoM_Griptel[[#This Row],[ACT_Qty]]*BoM_Griptel[[#This Row],[Unit Price]],""),"")</f>
        <v/>
      </c>
      <c r="R280" s="43" t="str">
        <f>IFERROR(IF(AND(BoM_Griptel[[#This Row],[Quantity]]&lt;&gt;"",BoM_Griptel[[#This Row],[Currency]]="EUR"),BoM_Griptel[[#This Row],[Quantity]]*BoM_Griptel[[#This Row],[Unit Price]],""),"")</f>
        <v/>
      </c>
      <c r="S280" s="43" t="str">
        <f>IFERROR(IF(AND(BoM_Griptel[[#This Row],[ACT_Qty]]&lt;&gt;"",BoM_Griptel[[#This Row],[Currency]]="EUR"),BoM_Griptel[[#This Row],[ACT_Qty]]*BoM_Griptel[[#This Row],[Unit Price]],""),"")</f>
        <v/>
      </c>
      <c r="T280" s="186" t="s">
        <v>1802</v>
      </c>
      <c r="U280" s="46"/>
      <c r="V280" s="46"/>
      <c r="W280" s="146"/>
    </row>
    <row r="281" spans="1:23" ht="15" customHeight="1">
      <c r="A281" s="143" t="str">
        <f t="shared" si="8"/>
        <v>AKH12345</v>
      </c>
      <c r="B281" s="144" t="s">
        <v>2358</v>
      </c>
      <c r="C281" s="143" t="s">
        <v>2359</v>
      </c>
      <c r="D281" s="105"/>
      <c r="E281" s="106"/>
      <c r="F281" s="105"/>
      <c r="G281" s="106"/>
      <c r="H281" s="175"/>
      <c r="I281" s="176" t="s">
        <v>847</v>
      </c>
      <c r="J281" s="176" t="s">
        <v>2103</v>
      </c>
      <c r="K281" s="176" t="s">
        <v>1235</v>
      </c>
      <c r="L281" s="145" t="s">
        <v>1806</v>
      </c>
      <c r="M281" s="45" t="str">
        <f t="shared" si="9"/>
        <v>OneCo Networks AS</v>
      </c>
      <c r="N281" s="40" t="str">
        <f ca="1">IFERROR(
VLOOKUP(BoM_Griptel[[#This Row],[Product code]],
IF(AND((BoQ!$N$3&lt;&gt;""),OR(BoM_Griptel[[#This Row],[Vendor]]="Griptel",BoM_Griptel[[#This Row],[Vendor]]="Solar")),INDIRECT(Aux!$A$1)),4,FALSE),"")</f>
        <v/>
      </c>
      <c r="O281" s="169" t="s">
        <v>1807</v>
      </c>
      <c r="P281" s="41" t="str">
        <f>IFERROR(IF(AND(BoM_Griptel[[#This Row],[Quantity]]&lt;&gt;"",BoM_Griptel[[#This Row],[Currency]]="NOK"),BoM_Griptel[[#This Row],[Quantity]]*BoM_Griptel[[#This Row],[Unit Price]],""),"")</f>
        <v/>
      </c>
      <c r="Q281" s="41" t="str">
        <f>IFERROR(IF(AND(BoM_Griptel[[#This Row],[ACT_Qty]]&lt;&gt;"",BoM_Griptel[[#This Row],[Currency]]="NOK"),BoM_Griptel[[#This Row],[ACT_Qty]]*BoM_Griptel[[#This Row],[Unit Price]],""),"")</f>
        <v/>
      </c>
      <c r="R281" s="41" t="str">
        <f>IFERROR(IF(AND(BoM_Griptel[[#This Row],[Quantity]]&lt;&gt;"",BoM_Griptel[[#This Row],[Currency]]="EUR"),BoM_Griptel[[#This Row],[Quantity]]*BoM_Griptel[[#This Row],[Unit Price]],""),"")</f>
        <v/>
      </c>
      <c r="S281" s="41" t="str">
        <f>IFERROR(IF(AND(BoM_Griptel[[#This Row],[ACT_Qty]]&lt;&gt;"",BoM_Griptel[[#This Row],[Currency]]="EUR"),BoM_Griptel[[#This Row],[ACT_Qty]]*BoM_Griptel[[#This Row],[Unit Price]],""),"")</f>
        <v/>
      </c>
      <c r="T281" s="185" t="s">
        <v>1802</v>
      </c>
      <c r="U281" s="45"/>
      <c r="V281" s="45"/>
      <c r="W281" s="143"/>
    </row>
    <row r="282" spans="1:23" ht="15" customHeight="1">
      <c r="A282" s="146" t="str">
        <f t="shared" si="8"/>
        <v>AKH12345</v>
      </c>
      <c r="B282" s="147" t="s">
        <v>2360</v>
      </c>
      <c r="C282" s="146" t="s">
        <v>2361</v>
      </c>
      <c r="D282" s="68"/>
      <c r="E282" s="89"/>
      <c r="F282" s="68"/>
      <c r="G282" s="89"/>
      <c r="H282" s="177"/>
      <c r="I282" s="178" t="s">
        <v>847</v>
      </c>
      <c r="J282" s="178" t="s">
        <v>2103</v>
      </c>
      <c r="K282" s="178" t="s">
        <v>1235</v>
      </c>
      <c r="L282" s="148" t="s">
        <v>1806</v>
      </c>
      <c r="M282" s="46" t="str">
        <f t="shared" si="9"/>
        <v>OneCo Networks AS</v>
      </c>
      <c r="N282" s="42" t="str">
        <f ca="1">IFERROR(
VLOOKUP(BoM_Griptel[[#This Row],[Product code]],
IF(AND((BoQ!$N$3&lt;&gt;""),OR(BoM_Griptel[[#This Row],[Vendor]]="Griptel",BoM_Griptel[[#This Row],[Vendor]]="Solar")),INDIRECT(Aux!$A$1)),4,FALSE),"")</f>
        <v/>
      </c>
      <c r="O282" s="170" t="s">
        <v>1807</v>
      </c>
      <c r="P282" s="43" t="str">
        <f>IFERROR(IF(AND(BoM_Griptel[[#This Row],[Quantity]]&lt;&gt;"",BoM_Griptel[[#This Row],[Currency]]="NOK"),BoM_Griptel[[#This Row],[Quantity]]*BoM_Griptel[[#This Row],[Unit Price]],""),"")</f>
        <v/>
      </c>
      <c r="Q282" s="43" t="str">
        <f>IFERROR(IF(AND(BoM_Griptel[[#This Row],[ACT_Qty]]&lt;&gt;"",BoM_Griptel[[#This Row],[Currency]]="NOK"),BoM_Griptel[[#This Row],[ACT_Qty]]*BoM_Griptel[[#This Row],[Unit Price]],""),"")</f>
        <v/>
      </c>
      <c r="R282" s="43" t="str">
        <f>IFERROR(IF(AND(BoM_Griptel[[#This Row],[Quantity]]&lt;&gt;"",BoM_Griptel[[#This Row],[Currency]]="EUR"),BoM_Griptel[[#This Row],[Quantity]]*BoM_Griptel[[#This Row],[Unit Price]],""),"")</f>
        <v/>
      </c>
      <c r="S282" s="43" t="str">
        <f>IFERROR(IF(AND(BoM_Griptel[[#This Row],[ACT_Qty]]&lt;&gt;"",BoM_Griptel[[#This Row],[Currency]]="EUR"),BoM_Griptel[[#This Row],[ACT_Qty]]*BoM_Griptel[[#This Row],[Unit Price]],""),"")</f>
        <v/>
      </c>
      <c r="T282" s="186" t="s">
        <v>1802</v>
      </c>
      <c r="U282" s="46"/>
      <c r="V282" s="46"/>
      <c r="W282" s="146"/>
    </row>
    <row r="283" spans="1:23" ht="15" customHeight="1">
      <c r="A283" s="143" t="str">
        <f t="shared" si="8"/>
        <v>AKH12345</v>
      </c>
      <c r="B283" s="144" t="s">
        <v>2362</v>
      </c>
      <c r="C283" s="143" t="s">
        <v>2363</v>
      </c>
      <c r="D283" s="105"/>
      <c r="E283" s="106"/>
      <c r="F283" s="105"/>
      <c r="G283" s="106"/>
      <c r="H283" s="175"/>
      <c r="I283" s="176" t="s">
        <v>847</v>
      </c>
      <c r="J283" s="176" t="s">
        <v>2103</v>
      </c>
      <c r="K283" s="176" t="s">
        <v>1235</v>
      </c>
      <c r="L283" s="145" t="s">
        <v>1806</v>
      </c>
      <c r="M283" s="45" t="str">
        <f t="shared" si="9"/>
        <v>OneCo Networks AS</v>
      </c>
      <c r="N283" s="40" t="str">
        <f ca="1">IFERROR(
VLOOKUP(BoM_Griptel[[#This Row],[Product code]],
IF(AND((BoQ!$N$3&lt;&gt;""),OR(BoM_Griptel[[#This Row],[Vendor]]="Griptel",BoM_Griptel[[#This Row],[Vendor]]="Solar")),INDIRECT(Aux!$A$1)),4,FALSE),"")</f>
        <v/>
      </c>
      <c r="O283" s="169" t="s">
        <v>1807</v>
      </c>
      <c r="P283" s="41" t="str">
        <f>IFERROR(IF(AND(BoM_Griptel[[#This Row],[Quantity]]&lt;&gt;"",BoM_Griptel[[#This Row],[Currency]]="NOK"),BoM_Griptel[[#This Row],[Quantity]]*BoM_Griptel[[#This Row],[Unit Price]],""),"")</f>
        <v/>
      </c>
      <c r="Q283" s="41" t="str">
        <f>IFERROR(IF(AND(BoM_Griptel[[#This Row],[ACT_Qty]]&lt;&gt;"",BoM_Griptel[[#This Row],[Currency]]="NOK"),BoM_Griptel[[#This Row],[ACT_Qty]]*BoM_Griptel[[#This Row],[Unit Price]],""),"")</f>
        <v/>
      </c>
      <c r="R283" s="41" t="str">
        <f>IFERROR(IF(AND(BoM_Griptel[[#This Row],[Quantity]]&lt;&gt;"",BoM_Griptel[[#This Row],[Currency]]="EUR"),BoM_Griptel[[#This Row],[Quantity]]*BoM_Griptel[[#This Row],[Unit Price]],""),"")</f>
        <v/>
      </c>
      <c r="S283" s="41" t="str">
        <f>IFERROR(IF(AND(BoM_Griptel[[#This Row],[ACT_Qty]]&lt;&gt;"",BoM_Griptel[[#This Row],[Currency]]="EUR"),BoM_Griptel[[#This Row],[ACT_Qty]]*BoM_Griptel[[#This Row],[Unit Price]],""),"")</f>
        <v/>
      </c>
      <c r="T283" s="185" t="s">
        <v>1802</v>
      </c>
      <c r="U283" s="45"/>
      <c r="V283" s="45"/>
      <c r="W283" s="143"/>
    </row>
    <row r="284" spans="1:23" ht="15" customHeight="1">
      <c r="A284" s="146" t="str">
        <f t="shared" si="8"/>
        <v>AKH12345</v>
      </c>
      <c r="B284" s="147" t="s">
        <v>2364</v>
      </c>
      <c r="C284" s="146" t="s">
        <v>2365</v>
      </c>
      <c r="D284" s="68"/>
      <c r="E284" s="89"/>
      <c r="F284" s="68"/>
      <c r="G284" s="89"/>
      <c r="H284" s="177"/>
      <c r="I284" s="178" t="s">
        <v>847</v>
      </c>
      <c r="J284" s="178" t="s">
        <v>2103</v>
      </c>
      <c r="K284" s="178" t="s">
        <v>1235</v>
      </c>
      <c r="L284" s="148" t="s">
        <v>1806</v>
      </c>
      <c r="M284" s="46" t="str">
        <f t="shared" si="9"/>
        <v>OneCo Networks AS</v>
      </c>
      <c r="N284" s="42" t="str">
        <f ca="1">IFERROR(
VLOOKUP(BoM_Griptel[[#This Row],[Product code]],
IF(AND((BoQ!$N$3&lt;&gt;""),OR(BoM_Griptel[[#This Row],[Vendor]]="Griptel",BoM_Griptel[[#This Row],[Vendor]]="Solar")),INDIRECT(Aux!$A$1)),4,FALSE),"")</f>
        <v/>
      </c>
      <c r="O284" s="170" t="s">
        <v>1807</v>
      </c>
      <c r="P284" s="43" t="str">
        <f>IFERROR(IF(AND(BoM_Griptel[[#This Row],[Quantity]]&lt;&gt;"",BoM_Griptel[[#This Row],[Currency]]="NOK"),BoM_Griptel[[#This Row],[Quantity]]*BoM_Griptel[[#This Row],[Unit Price]],""),"")</f>
        <v/>
      </c>
      <c r="Q284" s="43" t="str">
        <f>IFERROR(IF(AND(BoM_Griptel[[#This Row],[ACT_Qty]]&lt;&gt;"",BoM_Griptel[[#This Row],[Currency]]="NOK"),BoM_Griptel[[#This Row],[ACT_Qty]]*BoM_Griptel[[#This Row],[Unit Price]],""),"")</f>
        <v/>
      </c>
      <c r="R284" s="43" t="str">
        <f>IFERROR(IF(AND(BoM_Griptel[[#This Row],[Quantity]]&lt;&gt;"",BoM_Griptel[[#This Row],[Currency]]="EUR"),BoM_Griptel[[#This Row],[Quantity]]*BoM_Griptel[[#This Row],[Unit Price]],""),"")</f>
        <v/>
      </c>
      <c r="S284" s="43" t="str">
        <f>IFERROR(IF(AND(BoM_Griptel[[#This Row],[ACT_Qty]]&lt;&gt;"",BoM_Griptel[[#This Row],[Currency]]="EUR"),BoM_Griptel[[#This Row],[ACT_Qty]]*BoM_Griptel[[#This Row],[Unit Price]],""),"")</f>
        <v/>
      </c>
      <c r="T284" s="186" t="s">
        <v>1802</v>
      </c>
      <c r="U284" s="46"/>
      <c r="V284" s="46"/>
      <c r="W284" s="146"/>
    </row>
    <row r="285" spans="1:23" ht="15" customHeight="1">
      <c r="A285" s="143" t="str">
        <f t="shared" si="8"/>
        <v>AKH12345</v>
      </c>
      <c r="B285" s="144" t="s">
        <v>2366</v>
      </c>
      <c r="C285" s="143" t="s">
        <v>2367</v>
      </c>
      <c r="D285" s="105"/>
      <c r="E285" s="106"/>
      <c r="F285" s="105"/>
      <c r="G285" s="106"/>
      <c r="H285" s="175"/>
      <c r="I285" s="176" t="s">
        <v>847</v>
      </c>
      <c r="J285" s="176" t="s">
        <v>2103</v>
      </c>
      <c r="K285" s="176" t="s">
        <v>1235</v>
      </c>
      <c r="L285" s="145" t="s">
        <v>1806</v>
      </c>
      <c r="M285" s="45" t="str">
        <f t="shared" si="9"/>
        <v>OneCo Networks AS</v>
      </c>
      <c r="N285" s="40" t="str">
        <f ca="1">IFERROR(
VLOOKUP(BoM_Griptel[[#This Row],[Product code]],
IF(AND((BoQ!$N$3&lt;&gt;""),OR(BoM_Griptel[[#This Row],[Vendor]]="Griptel",BoM_Griptel[[#This Row],[Vendor]]="Solar")),INDIRECT(Aux!$A$1)),4,FALSE),"")</f>
        <v/>
      </c>
      <c r="O285" s="169" t="s">
        <v>1807</v>
      </c>
      <c r="P285" s="41" t="str">
        <f>IFERROR(IF(AND(BoM_Griptel[[#This Row],[Quantity]]&lt;&gt;"",BoM_Griptel[[#This Row],[Currency]]="NOK"),BoM_Griptel[[#This Row],[Quantity]]*BoM_Griptel[[#This Row],[Unit Price]],""),"")</f>
        <v/>
      </c>
      <c r="Q285" s="41" t="str">
        <f>IFERROR(IF(AND(BoM_Griptel[[#This Row],[ACT_Qty]]&lt;&gt;"",BoM_Griptel[[#This Row],[Currency]]="NOK"),BoM_Griptel[[#This Row],[ACT_Qty]]*BoM_Griptel[[#This Row],[Unit Price]],""),"")</f>
        <v/>
      </c>
      <c r="R285" s="41" t="str">
        <f>IFERROR(IF(AND(BoM_Griptel[[#This Row],[Quantity]]&lt;&gt;"",BoM_Griptel[[#This Row],[Currency]]="EUR"),BoM_Griptel[[#This Row],[Quantity]]*BoM_Griptel[[#This Row],[Unit Price]],""),"")</f>
        <v/>
      </c>
      <c r="S285" s="41" t="str">
        <f>IFERROR(IF(AND(BoM_Griptel[[#This Row],[ACT_Qty]]&lt;&gt;"",BoM_Griptel[[#This Row],[Currency]]="EUR"),BoM_Griptel[[#This Row],[ACT_Qty]]*BoM_Griptel[[#This Row],[Unit Price]],""),"")</f>
        <v/>
      </c>
      <c r="T285" s="185" t="s">
        <v>1802</v>
      </c>
      <c r="U285" s="45"/>
      <c r="V285" s="45"/>
      <c r="W285" s="143"/>
    </row>
    <row r="286" spans="1:23" ht="15" customHeight="1">
      <c r="A286" s="146" t="str">
        <f t="shared" si="8"/>
        <v>AKH12345</v>
      </c>
      <c r="B286" s="147" t="s">
        <v>2368</v>
      </c>
      <c r="C286" s="146" t="s">
        <v>2369</v>
      </c>
      <c r="D286" s="68"/>
      <c r="E286" s="89"/>
      <c r="F286" s="68"/>
      <c r="G286" s="89"/>
      <c r="H286" s="177"/>
      <c r="I286" s="178" t="s">
        <v>847</v>
      </c>
      <c r="J286" s="178" t="s">
        <v>1921</v>
      </c>
      <c r="K286" s="178" t="s">
        <v>1235</v>
      </c>
      <c r="L286" s="148" t="s">
        <v>1806</v>
      </c>
      <c r="M286" s="46" t="str">
        <f t="shared" si="9"/>
        <v>OneCo Networks AS</v>
      </c>
      <c r="N286" s="42" t="str">
        <f ca="1">IFERROR(
VLOOKUP(BoM_Griptel[[#This Row],[Product code]],
IF(AND((BoQ!$N$3&lt;&gt;""),OR(BoM_Griptel[[#This Row],[Vendor]]="Griptel",BoM_Griptel[[#This Row],[Vendor]]="Solar")),INDIRECT(Aux!$A$1)),4,FALSE),"")</f>
        <v/>
      </c>
      <c r="O286" s="170" t="s">
        <v>1807</v>
      </c>
      <c r="P286" s="43" t="str">
        <f>IFERROR(IF(AND(BoM_Griptel[[#This Row],[Quantity]]&lt;&gt;"",BoM_Griptel[[#This Row],[Currency]]="NOK"),BoM_Griptel[[#This Row],[Quantity]]*BoM_Griptel[[#This Row],[Unit Price]],""),"")</f>
        <v/>
      </c>
      <c r="Q286" s="43" t="str">
        <f>IFERROR(IF(AND(BoM_Griptel[[#This Row],[ACT_Qty]]&lt;&gt;"",BoM_Griptel[[#This Row],[Currency]]="NOK"),BoM_Griptel[[#This Row],[ACT_Qty]]*BoM_Griptel[[#This Row],[Unit Price]],""),"")</f>
        <v/>
      </c>
      <c r="R286" s="43" t="str">
        <f>IFERROR(IF(AND(BoM_Griptel[[#This Row],[Quantity]]&lt;&gt;"",BoM_Griptel[[#This Row],[Currency]]="EUR"),BoM_Griptel[[#This Row],[Quantity]]*BoM_Griptel[[#This Row],[Unit Price]],""),"")</f>
        <v/>
      </c>
      <c r="S286" s="43" t="str">
        <f>IFERROR(IF(AND(BoM_Griptel[[#This Row],[ACT_Qty]]&lt;&gt;"",BoM_Griptel[[#This Row],[Currency]]="EUR"),BoM_Griptel[[#This Row],[ACT_Qty]]*BoM_Griptel[[#This Row],[Unit Price]],""),"")</f>
        <v/>
      </c>
      <c r="T286" s="186" t="s">
        <v>1802</v>
      </c>
      <c r="U286" s="46"/>
      <c r="V286" s="46"/>
      <c r="W286" s="146"/>
    </row>
    <row r="287" spans="1:23" ht="15" customHeight="1">
      <c r="A287" s="143" t="str">
        <f t="shared" si="8"/>
        <v>AKH12345</v>
      </c>
      <c r="B287" s="144" t="s">
        <v>2370</v>
      </c>
      <c r="C287" s="143" t="s">
        <v>2371</v>
      </c>
      <c r="D287" s="105"/>
      <c r="E287" s="106"/>
      <c r="F287" s="105"/>
      <c r="G287" s="106"/>
      <c r="H287" s="175"/>
      <c r="I287" s="176" t="s">
        <v>847</v>
      </c>
      <c r="J287" s="176" t="s">
        <v>2103</v>
      </c>
      <c r="K287" s="176" t="s">
        <v>1235</v>
      </c>
      <c r="L287" s="145" t="s">
        <v>1806</v>
      </c>
      <c r="M287" s="45" t="str">
        <f t="shared" si="9"/>
        <v>OneCo Networks AS</v>
      </c>
      <c r="N287" s="40" t="str">
        <f ca="1">IFERROR(
VLOOKUP(BoM_Griptel[[#This Row],[Product code]],
IF(AND((BoQ!$N$3&lt;&gt;""),OR(BoM_Griptel[[#This Row],[Vendor]]="Griptel",BoM_Griptel[[#This Row],[Vendor]]="Solar")),INDIRECT(Aux!$A$1)),4,FALSE),"")</f>
        <v/>
      </c>
      <c r="O287" s="169" t="s">
        <v>1807</v>
      </c>
      <c r="P287" s="41" t="str">
        <f>IFERROR(IF(AND(BoM_Griptel[[#This Row],[Quantity]]&lt;&gt;"",BoM_Griptel[[#This Row],[Currency]]="NOK"),BoM_Griptel[[#This Row],[Quantity]]*BoM_Griptel[[#This Row],[Unit Price]],""),"")</f>
        <v/>
      </c>
      <c r="Q287" s="41" t="str">
        <f>IFERROR(IF(AND(BoM_Griptel[[#This Row],[ACT_Qty]]&lt;&gt;"",BoM_Griptel[[#This Row],[Currency]]="NOK"),BoM_Griptel[[#This Row],[ACT_Qty]]*BoM_Griptel[[#This Row],[Unit Price]],""),"")</f>
        <v/>
      </c>
      <c r="R287" s="41" t="str">
        <f>IFERROR(IF(AND(BoM_Griptel[[#This Row],[Quantity]]&lt;&gt;"",BoM_Griptel[[#This Row],[Currency]]="EUR"),BoM_Griptel[[#This Row],[Quantity]]*BoM_Griptel[[#This Row],[Unit Price]],""),"")</f>
        <v/>
      </c>
      <c r="S287" s="41" t="str">
        <f>IFERROR(IF(AND(BoM_Griptel[[#This Row],[ACT_Qty]]&lt;&gt;"",BoM_Griptel[[#This Row],[Currency]]="EUR"),BoM_Griptel[[#This Row],[ACT_Qty]]*BoM_Griptel[[#This Row],[Unit Price]],""),"")</f>
        <v/>
      </c>
      <c r="T287" s="185" t="s">
        <v>1802</v>
      </c>
      <c r="U287" s="45"/>
      <c r="V287" s="45"/>
      <c r="W287" s="143"/>
    </row>
    <row r="288" spans="1:23" ht="15" customHeight="1">
      <c r="A288" s="146" t="str">
        <f t="shared" si="8"/>
        <v>AKH12345</v>
      </c>
      <c r="B288" s="147" t="s">
        <v>2372</v>
      </c>
      <c r="C288" s="146" t="s">
        <v>2373</v>
      </c>
      <c r="D288" s="68"/>
      <c r="E288" s="89"/>
      <c r="F288" s="68"/>
      <c r="G288" s="89"/>
      <c r="H288" s="177"/>
      <c r="I288" s="178" t="s">
        <v>847</v>
      </c>
      <c r="J288" s="178" t="s">
        <v>2103</v>
      </c>
      <c r="K288" s="178" t="s">
        <v>1235</v>
      </c>
      <c r="L288" s="148" t="s">
        <v>1806</v>
      </c>
      <c r="M288" s="46" t="str">
        <f t="shared" si="9"/>
        <v>OneCo Networks AS</v>
      </c>
      <c r="N288" s="42" t="str">
        <f ca="1">IFERROR(
VLOOKUP(BoM_Griptel[[#This Row],[Product code]],
IF(AND((BoQ!$N$3&lt;&gt;""),OR(BoM_Griptel[[#This Row],[Vendor]]="Griptel",BoM_Griptel[[#This Row],[Vendor]]="Solar")),INDIRECT(Aux!$A$1)),4,FALSE),"")</f>
        <v/>
      </c>
      <c r="O288" s="170" t="s">
        <v>1807</v>
      </c>
      <c r="P288" s="43" t="str">
        <f>IFERROR(IF(AND(BoM_Griptel[[#This Row],[Quantity]]&lt;&gt;"",BoM_Griptel[[#This Row],[Currency]]="NOK"),BoM_Griptel[[#This Row],[Quantity]]*BoM_Griptel[[#This Row],[Unit Price]],""),"")</f>
        <v/>
      </c>
      <c r="Q288" s="43" t="str">
        <f>IFERROR(IF(AND(BoM_Griptel[[#This Row],[ACT_Qty]]&lt;&gt;"",BoM_Griptel[[#This Row],[Currency]]="NOK"),BoM_Griptel[[#This Row],[ACT_Qty]]*BoM_Griptel[[#This Row],[Unit Price]],""),"")</f>
        <v/>
      </c>
      <c r="R288" s="43" t="str">
        <f>IFERROR(IF(AND(BoM_Griptel[[#This Row],[Quantity]]&lt;&gt;"",BoM_Griptel[[#This Row],[Currency]]="EUR"),BoM_Griptel[[#This Row],[Quantity]]*BoM_Griptel[[#This Row],[Unit Price]],""),"")</f>
        <v/>
      </c>
      <c r="S288" s="43" t="str">
        <f>IFERROR(IF(AND(BoM_Griptel[[#This Row],[ACT_Qty]]&lt;&gt;"",BoM_Griptel[[#This Row],[Currency]]="EUR"),BoM_Griptel[[#This Row],[ACT_Qty]]*BoM_Griptel[[#This Row],[Unit Price]],""),"")</f>
        <v/>
      </c>
      <c r="T288" s="186" t="s">
        <v>1802</v>
      </c>
      <c r="U288" s="46"/>
      <c r="V288" s="46"/>
      <c r="W288" s="146"/>
    </row>
    <row r="289" spans="1:23" ht="15" customHeight="1">
      <c r="A289" s="143" t="str">
        <f t="shared" si="8"/>
        <v>AKH12345</v>
      </c>
      <c r="B289" s="144" t="s">
        <v>2374</v>
      </c>
      <c r="C289" s="143" t="s">
        <v>2375</v>
      </c>
      <c r="D289" s="105"/>
      <c r="E289" s="106"/>
      <c r="F289" s="105"/>
      <c r="G289" s="106"/>
      <c r="H289" s="175"/>
      <c r="I289" s="176" t="s">
        <v>847</v>
      </c>
      <c r="J289" s="176" t="s">
        <v>2103</v>
      </c>
      <c r="K289" s="176" t="s">
        <v>1235</v>
      </c>
      <c r="L289" s="145" t="s">
        <v>1806</v>
      </c>
      <c r="M289" s="45" t="str">
        <f t="shared" si="9"/>
        <v>OneCo Networks AS</v>
      </c>
      <c r="N289" s="40" t="str">
        <f ca="1">IFERROR(
VLOOKUP(BoM_Griptel[[#This Row],[Product code]],
IF(AND((BoQ!$N$3&lt;&gt;""),OR(BoM_Griptel[[#This Row],[Vendor]]="Griptel",BoM_Griptel[[#This Row],[Vendor]]="Solar")),INDIRECT(Aux!$A$1)),4,FALSE),"")</f>
        <v/>
      </c>
      <c r="O289" s="169" t="s">
        <v>1807</v>
      </c>
      <c r="P289" s="41" t="str">
        <f>IFERROR(IF(AND(BoM_Griptel[[#This Row],[Quantity]]&lt;&gt;"",BoM_Griptel[[#This Row],[Currency]]="NOK"),BoM_Griptel[[#This Row],[Quantity]]*BoM_Griptel[[#This Row],[Unit Price]],""),"")</f>
        <v/>
      </c>
      <c r="Q289" s="41" t="str">
        <f>IFERROR(IF(AND(BoM_Griptel[[#This Row],[ACT_Qty]]&lt;&gt;"",BoM_Griptel[[#This Row],[Currency]]="NOK"),BoM_Griptel[[#This Row],[ACT_Qty]]*BoM_Griptel[[#This Row],[Unit Price]],""),"")</f>
        <v/>
      </c>
      <c r="R289" s="41" t="str">
        <f>IFERROR(IF(AND(BoM_Griptel[[#This Row],[Quantity]]&lt;&gt;"",BoM_Griptel[[#This Row],[Currency]]="EUR"),BoM_Griptel[[#This Row],[Quantity]]*BoM_Griptel[[#This Row],[Unit Price]],""),"")</f>
        <v/>
      </c>
      <c r="S289" s="41" t="str">
        <f>IFERROR(IF(AND(BoM_Griptel[[#This Row],[ACT_Qty]]&lt;&gt;"",BoM_Griptel[[#This Row],[Currency]]="EUR"),BoM_Griptel[[#This Row],[ACT_Qty]]*BoM_Griptel[[#This Row],[Unit Price]],""),"")</f>
        <v/>
      </c>
      <c r="T289" s="185" t="s">
        <v>1802</v>
      </c>
      <c r="U289" s="45"/>
      <c r="V289" s="45"/>
      <c r="W289" s="143"/>
    </row>
    <row r="290" spans="1:23" ht="15" customHeight="1">
      <c r="A290" s="146" t="str">
        <f t="shared" si="8"/>
        <v>AKH12345</v>
      </c>
      <c r="B290" s="147" t="s">
        <v>2376</v>
      </c>
      <c r="C290" s="146" t="s">
        <v>2377</v>
      </c>
      <c r="D290" s="68"/>
      <c r="E290" s="89"/>
      <c r="F290" s="68"/>
      <c r="G290" s="89"/>
      <c r="H290" s="177"/>
      <c r="I290" s="178" t="s">
        <v>847</v>
      </c>
      <c r="J290" s="178" t="s">
        <v>2378</v>
      </c>
      <c r="K290" s="178" t="s">
        <v>1235</v>
      </c>
      <c r="L290" s="148" t="s">
        <v>1806</v>
      </c>
      <c r="M290" s="46" t="str">
        <f t="shared" si="9"/>
        <v>OneCo Networks AS</v>
      </c>
      <c r="N290" s="42" t="str">
        <f ca="1">IFERROR(
VLOOKUP(BoM_Griptel[[#This Row],[Product code]],
IF(AND((BoQ!$N$3&lt;&gt;""),OR(BoM_Griptel[[#This Row],[Vendor]]="Griptel",BoM_Griptel[[#This Row],[Vendor]]="Solar")),INDIRECT(Aux!$A$1)),4,FALSE),"")</f>
        <v/>
      </c>
      <c r="O290" s="170" t="s">
        <v>1807</v>
      </c>
      <c r="P290" s="43" t="str">
        <f>IFERROR(IF(AND(BoM_Griptel[[#This Row],[Quantity]]&lt;&gt;"",BoM_Griptel[[#This Row],[Currency]]="NOK"),BoM_Griptel[[#This Row],[Quantity]]*BoM_Griptel[[#This Row],[Unit Price]],""),"")</f>
        <v/>
      </c>
      <c r="Q290" s="43" t="str">
        <f>IFERROR(IF(AND(BoM_Griptel[[#This Row],[ACT_Qty]]&lt;&gt;"",BoM_Griptel[[#This Row],[Currency]]="NOK"),BoM_Griptel[[#This Row],[ACT_Qty]]*BoM_Griptel[[#This Row],[Unit Price]],""),"")</f>
        <v/>
      </c>
      <c r="R290" s="43" t="str">
        <f>IFERROR(IF(AND(BoM_Griptel[[#This Row],[Quantity]]&lt;&gt;"",BoM_Griptel[[#This Row],[Currency]]="EUR"),BoM_Griptel[[#This Row],[Quantity]]*BoM_Griptel[[#This Row],[Unit Price]],""),"")</f>
        <v/>
      </c>
      <c r="S290" s="43" t="str">
        <f>IFERROR(IF(AND(BoM_Griptel[[#This Row],[ACT_Qty]]&lt;&gt;"",BoM_Griptel[[#This Row],[Currency]]="EUR"),BoM_Griptel[[#This Row],[ACT_Qty]]*BoM_Griptel[[#This Row],[Unit Price]],""),"")</f>
        <v/>
      </c>
      <c r="T290" s="186" t="s">
        <v>1802</v>
      </c>
      <c r="U290" s="46"/>
      <c r="V290" s="46"/>
      <c r="W290" s="146"/>
    </row>
    <row r="291" spans="1:23" ht="15" customHeight="1">
      <c r="A291" s="143" t="str">
        <f t="shared" si="8"/>
        <v>AKH12345</v>
      </c>
      <c r="B291" s="144" t="s">
        <v>2379</v>
      </c>
      <c r="C291" s="143" t="s">
        <v>2380</v>
      </c>
      <c r="D291" s="105"/>
      <c r="E291" s="106"/>
      <c r="F291" s="105"/>
      <c r="G291" s="106"/>
      <c r="H291" s="175"/>
      <c r="I291" s="176" t="s">
        <v>847</v>
      </c>
      <c r="J291" s="176" t="s">
        <v>2378</v>
      </c>
      <c r="K291" s="176" t="s">
        <v>1235</v>
      </c>
      <c r="L291" s="145" t="s">
        <v>1806</v>
      </c>
      <c r="M291" s="45" t="str">
        <f t="shared" si="9"/>
        <v>OneCo Networks AS</v>
      </c>
      <c r="N291" s="40" t="str">
        <f ca="1">IFERROR(
VLOOKUP(BoM_Griptel[[#This Row],[Product code]],
IF(AND((BoQ!$N$3&lt;&gt;""),OR(BoM_Griptel[[#This Row],[Vendor]]="Griptel",BoM_Griptel[[#This Row],[Vendor]]="Solar")),INDIRECT(Aux!$A$1)),4,FALSE),"")</f>
        <v/>
      </c>
      <c r="O291" s="169" t="s">
        <v>1807</v>
      </c>
      <c r="P291" s="41" t="str">
        <f>IFERROR(IF(AND(BoM_Griptel[[#This Row],[Quantity]]&lt;&gt;"",BoM_Griptel[[#This Row],[Currency]]="NOK"),BoM_Griptel[[#This Row],[Quantity]]*BoM_Griptel[[#This Row],[Unit Price]],""),"")</f>
        <v/>
      </c>
      <c r="Q291" s="41" t="str">
        <f>IFERROR(IF(AND(BoM_Griptel[[#This Row],[ACT_Qty]]&lt;&gt;"",BoM_Griptel[[#This Row],[Currency]]="NOK"),BoM_Griptel[[#This Row],[ACT_Qty]]*BoM_Griptel[[#This Row],[Unit Price]],""),"")</f>
        <v/>
      </c>
      <c r="R291" s="41" t="str">
        <f>IFERROR(IF(AND(BoM_Griptel[[#This Row],[Quantity]]&lt;&gt;"",BoM_Griptel[[#This Row],[Currency]]="EUR"),BoM_Griptel[[#This Row],[Quantity]]*BoM_Griptel[[#This Row],[Unit Price]],""),"")</f>
        <v/>
      </c>
      <c r="S291" s="41" t="str">
        <f>IFERROR(IF(AND(BoM_Griptel[[#This Row],[ACT_Qty]]&lt;&gt;"",BoM_Griptel[[#This Row],[Currency]]="EUR"),BoM_Griptel[[#This Row],[ACT_Qty]]*BoM_Griptel[[#This Row],[Unit Price]],""),"")</f>
        <v/>
      </c>
      <c r="T291" s="185" t="s">
        <v>1802</v>
      </c>
      <c r="U291" s="45"/>
      <c r="V291" s="45"/>
      <c r="W291" s="143"/>
    </row>
    <row r="292" spans="1:23" ht="15" customHeight="1">
      <c r="A292" s="146" t="str">
        <f t="shared" si="8"/>
        <v>AKH12345</v>
      </c>
      <c r="B292" s="147" t="s">
        <v>2381</v>
      </c>
      <c r="C292" s="146" t="s">
        <v>2382</v>
      </c>
      <c r="D292" s="68"/>
      <c r="E292" s="89"/>
      <c r="F292" s="68"/>
      <c r="G292" s="89"/>
      <c r="H292" s="177"/>
      <c r="I292" s="178" t="s">
        <v>847</v>
      </c>
      <c r="J292" s="178" t="s">
        <v>2378</v>
      </c>
      <c r="K292" s="178" t="s">
        <v>1235</v>
      </c>
      <c r="L292" s="148" t="s">
        <v>1806</v>
      </c>
      <c r="M292" s="46" t="str">
        <f t="shared" si="9"/>
        <v>OneCo Networks AS</v>
      </c>
      <c r="N292" s="42" t="str">
        <f ca="1">IFERROR(
VLOOKUP(BoM_Griptel[[#This Row],[Product code]],
IF(AND((BoQ!$N$3&lt;&gt;""),OR(BoM_Griptel[[#This Row],[Vendor]]="Griptel",BoM_Griptel[[#This Row],[Vendor]]="Solar")),INDIRECT(Aux!$A$1)),4,FALSE),"")</f>
        <v/>
      </c>
      <c r="O292" s="170" t="s">
        <v>1807</v>
      </c>
      <c r="P292" s="43" t="str">
        <f>IFERROR(IF(AND(BoM_Griptel[[#This Row],[Quantity]]&lt;&gt;"",BoM_Griptel[[#This Row],[Currency]]="NOK"),BoM_Griptel[[#This Row],[Quantity]]*BoM_Griptel[[#This Row],[Unit Price]],""),"")</f>
        <v/>
      </c>
      <c r="Q292" s="43" t="str">
        <f>IFERROR(IF(AND(BoM_Griptel[[#This Row],[ACT_Qty]]&lt;&gt;"",BoM_Griptel[[#This Row],[Currency]]="NOK"),BoM_Griptel[[#This Row],[ACT_Qty]]*BoM_Griptel[[#This Row],[Unit Price]],""),"")</f>
        <v/>
      </c>
      <c r="R292" s="43" t="str">
        <f>IFERROR(IF(AND(BoM_Griptel[[#This Row],[Quantity]]&lt;&gt;"",BoM_Griptel[[#This Row],[Currency]]="EUR"),BoM_Griptel[[#This Row],[Quantity]]*BoM_Griptel[[#This Row],[Unit Price]],""),"")</f>
        <v/>
      </c>
      <c r="S292" s="43" t="str">
        <f>IFERROR(IF(AND(BoM_Griptel[[#This Row],[ACT_Qty]]&lt;&gt;"",BoM_Griptel[[#This Row],[Currency]]="EUR"),BoM_Griptel[[#This Row],[ACT_Qty]]*BoM_Griptel[[#This Row],[Unit Price]],""),"")</f>
        <v/>
      </c>
      <c r="T292" s="186" t="s">
        <v>1802</v>
      </c>
      <c r="U292" s="46"/>
      <c r="V292" s="46"/>
      <c r="W292" s="146"/>
    </row>
    <row r="293" spans="1:23" ht="15" customHeight="1">
      <c r="A293" s="143" t="str">
        <f t="shared" si="8"/>
        <v>AKH12345</v>
      </c>
      <c r="B293" s="144" t="s">
        <v>2383</v>
      </c>
      <c r="C293" s="143" t="s">
        <v>2384</v>
      </c>
      <c r="D293" s="105"/>
      <c r="E293" s="106"/>
      <c r="F293" s="105"/>
      <c r="G293" s="106"/>
      <c r="H293" s="175"/>
      <c r="I293" s="176" t="s">
        <v>847</v>
      </c>
      <c r="J293" s="176" t="s">
        <v>2378</v>
      </c>
      <c r="K293" s="176" t="s">
        <v>1235</v>
      </c>
      <c r="L293" s="145" t="s">
        <v>1806</v>
      </c>
      <c r="M293" s="45" t="str">
        <f t="shared" si="9"/>
        <v>OneCo Networks AS</v>
      </c>
      <c r="N293" s="40" t="str">
        <f ca="1">IFERROR(
VLOOKUP(BoM_Griptel[[#This Row],[Product code]],
IF(AND((BoQ!$N$3&lt;&gt;""),OR(BoM_Griptel[[#This Row],[Vendor]]="Griptel",BoM_Griptel[[#This Row],[Vendor]]="Solar")),INDIRECT(Aux!$A$1)),4,FALSE),"")</f>
        <v/>
      </c>
      <c r="O293" s="169" t="s">
        <v>1807</v>
      </c>
      <c r="P293" s="41" t="str">
        <f>IFERROR(IF(AND(BoM_Griptel[[#This Row],[Quantity]]&lt;&gt;"",BoM_Griptel[[#This Row],[Currency]]="NOK"),BoM_Griptel[[#This Row],[Quantity]]*BoM_Griptel[[#This Row],[Unit Price]],""),"")</f>
        <v/>
      </c>
      <c r="Q293" s="41" t="str">
        <f>IFERROR(IF(AND(BoM_Griptel[[#This Row],[ACT_Qty]]&lt;&gt;"",BoM_Griptel[[#This Row],[Currency]]="NOK"),BoM_Griptel[[#This Row],[ACT_Qty]]*BoM_Griptel[[#This Row],[Unit Price]],""),"")</f>
        <v/>
      </c>
      <c r="R293" s="41" t="str">
        <f>IFERROR(IF(AND(BoM_Griptel[[#This Row],[Quantity]]&lt;&gt;"",BoM_Griptel[[#This Row],[Currency]]="EUR"),BoM_Griptel[[#This Row],[Quantity]]*BoM_Griptel[[#This Row],[Unit Price]],""),"")</f>
        <v/>
      </c>
      <c r="S293" s="41" t="str">
        <f>IFERROR(IF(AND(BoM_Griptel[[#This Row],[ACT_Qty]]&lt;&gt;"",BoM_Griptel[[#This Row],[Currency]]="EUR"),BoM_Griptel[[#This Row],[ACT_Qty]]*BoM_Griptel[[#This Row],[Unit Price]],""),"")</f>
        <v/>
      </c>
      <c r="T293" s="185" t="s">
        <v>1802</v>
      </c>
      <c r="U293" s="45"/>
      <c r="V293" s="45"/>
      <c r="W293" s="143"/>
    </row>
    <row r="294" spans="1:23" ht="15" customHeight="1">
      <c r="A294" s="146" t="str">
        <f t="shared" si="8"/>
        <v>AKH12345</v>
      </c>
      <c r="B294" s="147" t="s">
        <v>2385</v>
      </c>
      <c r="C294" s="146" t="s">
        <v>2386</v>
      </c>
      <c r="D294" s="68"/>
      <c r="E294" s="89"/>
      <c r="F294" s="68"/>
      <c r="G294" s="89"/>
      <c r="H294" s="177"/>
      <c r="I294" s="178" t="s">
        <v>847</v>
      </c>
      <c r="J294" s="178" t="s">
        <v>2378</v>
      </c>
      <c r="K294" s="178" t="s">
        <v>1235</v>
      </c>
      <c r="L294" s="148" t="s">
        <v>1806</v>
      </c>
      <c r="M294" s="46" t="str">
        <f t="shared" si="9"/>
        <v>OneCo Networks AS</v>
      </c>
      <c r="N294" s="42" t="str">
        <f ca="1">IFERROR(
VLOOKUP(BoM_Griptel[[#This Row],[Product code]],
IF(AND((BoQ!$N$3&lt;&gt;""),OR(BoM_Griptel[[#This Row],[Vendor]]="Griptel",BoM_Griptel[[#This Row],[Vendor]]="Solar")),INDIRECT(Aux!$A$1)),4,FALSE),"")</f>
        <v/>
      </c>
      <c r="O294" s="170" t="s">
        <v>1807</v>
      </c>
      <c r="P294" s="43" t="str">
        <f>IFERROR(IF(AND(BoM_Griptel[[#This Row],[Quantity]]&lt;&gt;"",BoM_Griptel[[#This Row],[Currency]]="NOK"),BoM_Griptel[[#This Row],[Quantity]]*BoM_Griptel[[#This Row],[Unit Price]],""),"")</f>
        <v/>
      </c>
      <c r="Q294" s="43" t="str">
        <f>IFERROR(IF(AND(BoM_Griptel[[#This Row],[ACT_Qty]]&lt;&gt;"",BoM_Griptel[[#This Row],[Currency]]="NOK"),BoM_Griptel[[#This Row],[ACT_Qty]]*BoM_Griptel[[#This Row],[Unit Price]],""),"")</f>
        <v/>
      </c>
      <c r="R294" s="43" t="str">
        <f>IFERROR(IF(AND(BoM_Griptel[[#This Row],[Quantity]]&lt;&gt;"",BoM_Griptel[[#This Row],[Currency]]="EUR"),BoM_Griptel[[#This Row],[Quantity]]*BoM_Griptel[[#This Row],[Unit Price]],""),"")</f>
        <v/>
      </c>
      <c r="S294" s="43" t="str">
        <f>IFERROR(IF(AND(BoM_Griptel[[#This Row],[ACT_Qty]]&lt;&gt;"",BoM_Griptel[[#This Row],[Currency]]="EUR"),BoM_Griptel[[#This Row],[ACT_Qty]]*BoM_Griptel[[#This Row],[Unit Price]],""),"")</f>
        <v/>
      </c>
      <c r="T294" s="186" t="s">
        <v>1802</v>
      </c>
      <c r="U294" s="46"/>
      <c r="V294" s="46"/>
      <c r="W294" s="146"/>
    </row>
    <row r="295" spans="1:23" ht="15" customHeight="1">
      <c r="A295" s="143" t="str">
        <f t="shared" si="8"/>
        <v>AKH12345</v>
      </c>
      <c r="B295" s="144" t="s">
        <v>2387</v>
      </c>
      <c r="C295" s="143" t="s">
        <v>2388</v>
      </c>
      <c r="D295" s="105"/>
      <c r="E295" s="106"/>
      <c r="F295" s="105"/>
      <c r="G295" s="106"/>
      <c r="H295" s="175"/>
      <c r="I295" s="176" t="s">
        <v>847</v>
      </c>
      <c r="J295" s="176" t="s">
        <v>2378</v>
      </c>
      <c r="K295" s="176" t="s">
        <v>1235</v>
      </c>
      <c r="L295" s="145" t="s">
        <v>1806</v>
      </c>
      <c r="M295" s="45" t="str">
        <f t="shared" si="9"/>
        <v>OneCo Networks AS</v>
      </c>
      <c r="N295" s="40" t="str">
        <f ca="1">IFERROR(
VLOOKUP(BoM_Griptel[[#This Row],[Product code]],
IF(AND((BoQ!$N$3&lt;&gt;""),OR(BoM_Griptel[[#This Row],[Vendor]]="Griptel",BoM_Griptel[[#This Row],[Vendor]]="Solar")),INDIRECT(Aux!$A$1)),4,FALSE),"")</f>
        <v/>
      </c>
      <c r="O295" s="169" t="s">
        <v>1807</v>
      </c>
      <c r="P295" s="41" t="str">
        <f>IFERROR(IF(AND(BoM_Griptel[[#This Row],[Quantity]]&lt;&gt;"",BoM_Griptel[[#This Row],[Currency]]="NOK"),BoM_Griptel[[#This Row],[Quantity]]*BoM_Griptel[[#This Row],[Unit Price]],""),"")</f>
        <v/>
      </c>
      <c r="Q295" s="41" t="str">
        <f>IFERROR(IF(AND(BoM_Griptel[[#This Row],[ACT_Qty]]&lt;&gt;"",BoM_Griptel[[#This Row],[Currency]]="NOK"),BoM_Griptel[[#This Row],[ACT_Qty]]*BoM_Griptel[[#This Row],[Unit Price]],""),"")</f>
        <v/>
      </c>
      <c r="R295" s="41" t="str">
        <f>IFERROR(IF(AND(BoM_Griptel[[#This Row],[Quantity]]&lt;&gt;"",BoM_Griptel[[#This Row],[Currency]]="EUR"),BoM_Griptel[[#This Row],[Quantity]]*BoM_Griptel[[#This Row],[Unit Price]],""),"")</f>
        <v/>
      </c>
      <c r="S295" s="41" t="str">
        <f>IFERROR(IF(AND(BoM_Griptel[[#This Row],[ACT_Qty]]&lt;&gt;"",BoM_Griptel[[#This Row],[Currency]]="EUR"),BoM_Griptel[[#This Row],[ACT_Qty]]*BoM_Griptel[[#This Row],[Unit Price]],""),"")</f>
        <v/>
      </c>
      <c r="T295" s="185" t="s">
        <v>1802</v>
      </c>
      <c r="U295" s="45"/>
      <c r="V295" s="45"/>
      <c r="W295" s="143"/>
    </row>
    <row r="296" spans="1:23" ht="15" customHeight="1">
      <c r="A296" s="146" t="str">
        <f t="shared" si="8"/>
        <v>AKH12345</v>
      </c>
      <c r="B296" s="147" t="s">
        <v>2389</v>
      </c>
      <c r="C296" s="146" t="s">
        <v>2390</v>
      </c>
      <c r="D296" s="68"/>
      <c r="E296" s="89"/>
      <c r="F296" s="68"/>
      <c r="G296" s="89"/>
      <c r="H296" s="177"/>
      <c r="I296" s="178" t="s">
        <v>847</v>
      </c>
      <c r="J296" s="178" t="s">
        <v>2378</v>
      </c>
      <c r="K296" s="178" t="s">
        <v>1235</v>
      </c>
      <c r="L296" s="148" t="s">
        <v>1806</v>
      </c>
      <c r="M296" s="46" t="str">
        <f t="shared" si="9"/>
        <v>OneCo Networks AS</v>
      </c>
      <c r="N296" s="42" t="str">
        <f ca="1">IFERROR(
VLOOKUP(BoM_Griptel[[#This Row],[Product code]],
IF(AND((BoQ!$N$3&lt;&gt;""),OR(BoM_Griptel[[#This Row],[Vendor]]="Griptel",BoM_Griptel[[#This Row],[Vendor]]="Solar")),INDIRECT(Aux!$A$1)),4,FALSE),"")</f>
        <v/>
      </c>
      <c r="O296" s="170" t="s">
        <v>1807</v>
      </c>
      <c r="P296" s="43" t="str">
        <f>IFERROR(IF(AND(BoM_Griptel[[#This Row],[Quantity]]&lt;&gt;"",BoM_Griptel[[#This Row],[Currency]]="NOK"),BoM_Griptel[[#This Row],[Quantity]]*BoM_Griptel[[#This Row],[Unit Price]],""),"")</f>
        <v/>
      </c>
      <c r="Q296" s="43" t="str">
        <f>IFERROR(IF(AND(BoM_Griptel[[#This Row],[ACT_Qty]]&lt;&gt;"",BoM_Griptel[[#This Row],[Currency]]="NOK"),BoM_Griptel[[#This Row],[ACT_Qty]]*BoM_Griptel[[#This Row],[Unit Price]],""),"")</f>
        <v/>
      </c>
      <c r="R296" s="43" t="str">
        <f>IFERROR(IF(AND(BoM_Griptel[[#This Row],[Quantity]]&lt;&gt;"",BoM_Griptel[[#This Row],[Currency]]="EUR"),BoM_Griptel[[#This Row],[Quantity]]*BoM_Griptel[[#This Row],[Unit Price]],""),"")</f>
        <v/>
      </c>
      <c r="S296" s="43" t="str">
        <f>IFERROR(IF(AND(BoM_Griptel[[#This Row],[ACT_Qty]]&lt;&gt;"",BoM_Griptel[[#This Row],[Currency]]="EUR"),BoM_Griptel[[#This Row],[ACT_Qty]]*BoM_Griptel[[#This Row],[Unit Price]],""),"")</f>
        <v/>
      </c>
      <c r="T296" s="186" t="s">
        <v>1802</v>
      </c>
      <c r="U296" s="46"/>
      <c r="V296" s="46"/>
      <c r="W296" s="146"/>
    </row>
    <row r="297" spans="1:23" ht="15" customHeight="1">
      <c r="A297" s="143" t="str">
        <f t="shared" si="8"/>
        <v>AKH12345</v>
      </c>
      <c r="B297" s="144" t="s">
        <v>2391</v>
      </c>
      <c r="C297" s="143" t="s">
        <v>2392</v>
      </c>
      <c r="D297" s="105"/>
      <c r="E297" s="106"/>
      <c r="F297" s="105"/>
      <c r="G297" s="106"/>
      <c r="H297" s="175"/>
      <c r="I297" s="176" t="s">
        <v>847</v>
      </c>
      <c r="J297" s="176" t="s">
        <v>1921</v>
      </c>
      <c r="K297" s="176" t="s">
        <v>1235</v>
      </c>
      <c r="L297" s="145" t="s">
        <v>1806</v>
      </c>
      <c r="M297" s="45" t="str">
        <f t="shared" si="9"/>
        <v>OneCo Networks AS</v>
      </c>
      <c r="N297" s="40" t="str">
        <f ca="1">IFERROR(
VLOOKUP(BoM_Griptel[[#This Row],[Product code]],
IF(AND((BoQ!$N$3&lt;&gt;""),OR(BoM_Griptel[[#This Row],[Vendor]]="Griptel",BoM_Griptel[[#This Row],[Vendor]]="Solar")),INDIRECT(Aux!$A$1)),4,FALSE),"")</f>
        <v/>
      </c>
      <c r="O297" s="169" t="s">
        <v>1807</v>
      </c>
      <c r="P297" s="41" t="str">
        <f>IFERROR(IF(AND(BoM_Griptel[[#This Row],[Quantity]]&lt;&gt;"",BoM_Griptel[[#This Row],[Currency]]="NOK"),BoM_Griptel[[#This Row],[Quantity]]*BoM_Griptel[[#This Row],[Unit Price]],""),"")</f>
        <v/>
      </c>
      <c r="Q297" s="41" t="str">
        <f>IFERROR(IF(AND(BoM_Griptel[[#This Row],[ACT_Qty]]&lt;&gt;"",BoM_Griptel[[#This Row],[Currency]]="NOK"),BoM_Griptel[[#This Row],[ACT_Qty]]*BoM_Griptel[[#This Row],[Unit Price]],""),"")</f>
        <v/>
      </c>
      <c r="R297" s="41" t="str">
        <f>IFERROR(IF(AND(BoM_Griptel[[#This Row],[Quantity]]&lt;&gt;"",BoM_Griptel[[#This Row],[Currency]]="EUR"),BoM_Griptel[[#This Row],[Quantity]]*BoM_Griptel[[#This Row],[Unit Price]],""),"")</f>
        <v/>
      </c>
      <c r="S297" s="41" t="str">
        <f>IFERROR(IF(AND(BoM_Griptel[[#This Row],[ACT_Qty]]&lt;&gt;"",BoM_Griptel[[#This Row],[Currency]]="EUR"),BoM_Griptel[[#This Row],[ACT_Qty]]*BoM_Griptel[[#This Row],[Unit Price]],""),"")</f>
        <v/>
      </c>
      <c r="T297" s="185" t="s">
        <v>1802</v>
      </c>
      <c r="U297" s="45"/>
      <c r="V297" s="45"/>
      <c r="W297" s="143"/>
    </row>
    <row r="298" spans="1:23" ht="15" customHeight="1">
      <c r="A298" s="146" t="str">
        <f t="shared" si="8"/>
        <v>AKH12345</v>
      </c>
      <c r="B298" s="147" t="s">
        <v>2393</v>
      </c>
      <c r="C298" s="146" t="s">
        <v>2394</v>
      </c>
      <c r="D298" s="68"/>
      <c r="E298" s="89"/>
      <c r="F298" s="68"/>
      <c r="G298" s="89"/>
      <c r="H298" s="177"/>
      <c r="I298" s="178" t="s">
        <v>847</v>
      </c>
      <c r="J298" s="178" t="s">
        <v>2378</v>
      </c>
      <c r="K298" s="178" t="s">
        <v>1235</v>
      </c>
      <c r="L298" s="148" t="s">
        <v>1806</v>
      </c>
      <c r="M298" s="46" t="str">
        <f t="shared" si="9"/>
        <v>OneCo Networks AS</v>
      </c>
      <c r="N298" s="42" t="str">
        <f ca="1">IFERROR(
VLOOKUP(BoM_Griptel[[#This Row],[Product code]],
IF(AND((BoQ!$N$3&lt;&gt;""),OR(BoM_Griptel[[#This Row],[Vendor]]="Griptel",BoM_Griptel[[#This Row],[Vendor]]="Solar")),INDIRECT(Aux!$A$1)),4,FALSE),"")</f>
        <v/>
      </c>
      <c r="O298" s="170" t="s">
        <v>1807</v>
      </c>
      <c r="P298" s="43" t="str">
        <f>IFERROR(IF(AND(BoM_Griptel[[#This Row],[Quantity]]&lt;&gt;"",BoM_Griptel[[#This Row],[Currency]]="NOK"),BoM_Griptel[[#This Row],[Quantity]]*BoM_Griptel[[#This Row],[Unit Price]],""),"")</f>
        <v/>
      </c>
      <c r="Q298" s="43" t="str">
        <f>IFERROR(IF(AND(BoM_Griptel[[#This Row],[ACT_Qty]]&lt;&gt;"",BoM_Griptel[[#This Row],[Currency]]="NOK"),BoM_Griptel[[#This Row],[ACT_Qty]]*BoM_Griptel[[#This Row],[Unit Price]],""),"")</f>
        <v/>
      </c>
      <c r="R298" s="43" t="str">
        <f>IFERROR(IF(AND(BoM_Griptel[[#This Row],[Quantity]]&lt;&gt;"",BoM_Griptel[[#This Row],[Currency]]="EUR"),BoM_Griptel[[#This Row],[Quantity]]*BoM_Griptel[[#This Row],[Unit Price]],""),"")</f>
        <v/>
      </c>
      <c r="S298" s="43" t="str">
        <f>IFERROR(IF(AND(BoM_Griptel[[#This Row],[ACT_Qty]]&lt;&gt;"",BoM_Griptel[[#This Row],[Currency]]="EUR"),BoM_Griptel[[#This Row],[ACT_Qty]]*BoM_Griptel[[#This Row],[Unit Price]],""),"")</f>
        <v/>
      </c>
      <c r="T298" s="186" t="s">
        <v>1802</v>
      </c>
      <c r="U298" s="46"/>
      <c r="V298" s="46"/>
      <c r="W298" s="146"/>
    </row>
    <row r="299" spans="1:23" ht="15" customHeight="1">
      <c r="A299" s="143" t="str">
        <f t="shared" si="8"/>
        <v>AKH12345</v>
      </c>
      <c r="B299" s="144" t="s">
        <v>2395</v>
      </c>
      <c r="C299" s="143" t="s">
        <v>2396</v>
      </c>
      <c r="D299" s="105"/>
      <c r="E299" s="106"/>
      <c r="F299" s="105"/>
      <c r="G299" s="106"/>
      <c r="H299" s="175"/>
      <c r="I299" s="176" t="s">
        <v>847</v>
      </c>
      <c r="J299" s="176" t="s">
        <v>2378</v>
      </c>
      <c r="K299" s="176" t="s">
        <v>1235</v>
      </c>
      <c r="L299" s="145" t="s">
        <v>1806</v>
      </c>
      <c r="M299" s="45" t="str">
        <f t="shared" si="9"/>
        <v>OneCo Networks AS</v>
      </c>
      <c r="N299" s="40" t="str">
        <f ca="1">IFERROR(
VLOOKUP(BoM_Griptel[[#This Row],[Product code]],
IF(AND((BoQ!$N$3&lt;&gt;""),OR(BoM_Griptel[[#This Row],[Vendor]]="Griptel",BoM_Griptel[[#This Row],[Vendor]]="Solar")),INDIRECT(Aux!$A$1)),4,FALSE),"")</f>
        <v/>
      </c>
      <c r="O299" s="169" t="s">
        <v>1807</v>
      </c>
      <c r="P299" s="41" t="str">
        <f>IFERROR(IF(AND(BoM_Griptel[[#This Row],[Quantity]]&lt;&gt;"",BoM_Griptel[[#This Row],[Currency]]="NOK"),BoM_Griptel[[#This Row],[Quantity]]*BoM_Griptel[[#This Row],[Unit Price]],""),"")</f>
        <v/>
      </c>
      <c r="Q299" s="41" t="str">
        <f>IFERROR(IF(AND(BoM_Griptel[[#This Row],[ACT_Qty]]&lt;&gt;"",BoM_Griptel[[#This Row],[Currency]]="NOK"),BoM_Griptel[[#This Row],[ACT_Qty]]*BoM_Griptel[[#This Row],[Unit Price]],""),"")</f>
        <v/>
      </c>
      <c r="R299" s="41" t="str">
        <f>IFERROR(IF(AND(BoM_Griptel[[#This Row],[Quantity]]&lt;&gt;"",BoM_Griptel[[#This Row],[Currency]]="EUR"),BoM_Griptel[[#This Row],[Quantity]]*BoM_Griptel[[#This Row],[Unit Price]],""),"")</f>
        <v/>
      </c>
      <c r="S299" s="41" t="str">
        <f>IFERROR(IF(AND(BoM_Griptel[[#This Row],[ACT_Qty]]&lt;&gt;"",BoM_Griptel[[#This Row],[Currency]]="EUR"),BoM_Griptel[[#This Row],[ACT_Qty]]*BoM_Griptel[[#This Row],[Unit Price]],""),"")</f>
        <v/>
      </c>
      <c r="T299" s="185" t="s">
        <v>1802</v>
      </c>
      <c r="U299" s="45"/>
      <c r="V299" s="45"/>
      <c r="W299" s="143"/>
    </row>
    <row r="300" spans="1:23" ht="15" customHeight="1">
      <c r="A300" s="146" t="str">
        <f t="shared" si="8"/>
        <v>AKH12345</v>
      </c>
      <c r="B300" s="147" t="s">
        <v>2397</v>
      </c>
      <c r="C300" s="146" t="s">
        <v>2398</v>
      </c>
      <c r="D300" s="68"/>
      <c r="E300" s="89"/>
      <c r="F300" s="68"/>
      <c r="G300" s="89"/>
      <c r="H300" s="177"/>
      <c r="I300" s="178" t="s">
        <v>847</v>
      </c>
      <c r="J300" s="178" t="s">
        <v>2378</v>
      </c>
      <c r="K300" s="178" t="s">
        <v>1235</v>
      </c>
      <c r="L300" s="148" t="s">
        <v>1806</v>
      </c>
      <c r="M300" s="46" t="str">
        <f t="shared" si="9"/>
        <v>OneCo Networks AS</v>
      </c>
      <c r="N300" s="42" t="str">
        <f ca="1">IFERROR(
VLOOKUP(BoM_Griptel[[#This Row],[Product code]],
IF(AND((BoQ!$N$3&lt;&gt;""),OR(BoM_Griptel[[#This Row],[Vendor]]="Griptel",BoM_Griptel[[#This Row],[Vendor]]="Solar")),INDIRECT(Aux!$A$1)),4,FALSE),"")</f>
        <v/>
      </c>
      <c r="O300" s="170" t="s">
        <v>1807</v>
      </c>
      <c r="P300" s="43" t="str">
        <f>IFERROR(IF(AND(BoM_Griptel[[#This Row],[Quantity]]&lt;&gt;"",BoM_Griptel[[#This Row],[Currency]]="NOK"),BoM_Griptel[[#This Row],[Quantity]]*BoM_Griptel[[#This Row],[Unit Price]],""),"")</f>
        <v/>
      </c>
      <c r="Q300" s="43" t="str">
        <f>IFERROR(IF(AND(BoM_Griptel[[#This Row],[ACT_Qty]]&lt;&gt;"",BoM_Griptel[[#This Row],[Currency]]="NOK"),BoM_Griptel[[#This Row],[ACT_Qty]]*BoM_Griptel[[#This Row],[Unit Price]],""),"")</f>
        <v/>
      </c>
      <c r="R300" s="43" t="str">
        <f>IFERROR(IF(AND(BoM_Griptel[[#This Row],[Quantity]]&lt;&gt;"",BoM_Griptel[[#This Row],[Currency]]="EUR"),BoM_Griptel[[#This Row],[Quantity]]*BoM_Griptel[[#This Row],[Unit Price]],""),"")</f>
        <v/>
      </c>
      <c r="S300" s="43" t="str">
        <f>IFERROR(IF(AND(BoM_Griptel[[#This Row],[ACT_Qty]]&lt;&gt;"",BoM_Griptel[[#This Row],[Currency]]="EUR"),BoM_Griptel[[#This Row],[ACT_Qty]]*BoM_Griptel[[#This Row],[Unit Price]],""),"")</f>
        <v/>
      </c>
      <c r="T300" s="186" t="s">
        <v>1802</v>
      </c>
      <c r="U300" s="46"/>
      <c r="V300" s="46"/>
      <c r="W300" s="146"/>
    </row>
    <row r="301" spans="1:23" ht="15" customHeight="1">
      <c r="A301" s="143" t="str">
        <f t="shared" si="8"/>
        <v>AKH12345</v>
      </c>
      <c r="B301" s="144" t="s">
        <v>2399</v>
      </c>
      <c r="C301" s="143" t="s">
        <v>2400</v>
      </c>
      <c r="D301" s="105"/>
      <c r="E301" s="106"/>
      <c r="F301" s="105"/>
      <c r="G301" s="106"/>
      <c r="H301" s="175"/>
      <c r="I301" s="176" t="s">
        <v>847</v>
      </c>
      <c r="J301" s="176" t="s">
        <v>2378</v>
      </c>
      <c r="K301" s="176" t="s">
        <v>1235</v>
      </c>
      <c r="L301" s="145" t="s">
        <v>1806</v>
      </c>
      <c r="M301" s="45" t="str">
        <f t="shared" si="9"/>
        <v>OneCo Networks AS</v>
      </c>
      <c r="N301" s="40" t="str">
        <f ca="1">IFERROR(
VLOOKUP(BoM_Griptel[[#This Row],[Product code]],
IF(AND((BoQ!$N$3&lt;&gt;""),OR(BoM_Griptel[[#This Row],[Vendor]]="Griptel",BoM_Griptel[[#This Row],[Vendor]]="Solar")),INDIRECT(Aux!$A$1)),4,FALSE),"")</f>
        <v/>
      </c>
      <c r="O301" s="169" t="s">
        <v>1807</v>
      </c>
      <c r="P301" s="41" t="str">
        <f>IFERROR(IF(AND(BoM_Griptel[[#This Row],[Quantity]]&lt;&gt;"",BoM_Griptel[[#This Row],[Currency]]="NOK"),BoM_Griptel[[#This Row],[Quantity]]*BoM_Griptel[[#This Row],[Unit Price]],""),"")</f>
        <v/>
      </c>
      <c r="Q301" s="41" t="str">
        <f>IFERROR(IF(AND(BoM_Griptel[[#This Row],[ACT_Qty]]&lt;&gt;"",BoM_Griptel[[#This Row],[Currency]]="NOK"),BoM_Griptel[[#This Row],[ACT_Qty]]*BoM_Griptel[[#This Row],[Unit Price]],""),"")</f>
        <v/>
      </c>
      <c r="R301" s="41" t="str">
        <f>IFERROR(IF(AND(BoM_Griptel[[#This Row],[Quantity]]&lt;&gt;"",BoM_Griptel[[#This Row],[Currency]]="EUR"),BoM_Griptel[[#This Row],[Quantity]]*BoM_Griptel[[#This Row],[Unit Price]],""),"")</f>
        <v/>
      </c>
      <c r="S301" s="41" t="str">
        <f>IFERROR(IF(AND(BoM_Griptel[[#This Row],[ACT_Qty]]&lt;&gt;"",BoM_Griptel[[#This Row],[Currency]]="EUR"),BoM_Griptel[[#This Row],[ACT_Qty]]*BoM_Griptel[[#This Row],[Unit Price]],""),"")</f>
        <v/>
      </c>
      <c r="T301" s="185" t="s">
        <v>1802</v>
      </c>
      <c r="U301" s="45"/>
      <c r="V301" s="45"/>
      <c r="W301" s="143"/>
    </row>
    <row r="302" spans="1:23" ht="15" customHeight="1">
      <c r="A302" s="146" t="str">
        <f t="shared" si="8"/>
        <v>AKH12345</v>
      </c>
      <c r="B302" s="147" t="s">
        <v>2401</v>
      </c>
      <c r="C302" s="146" t="s">
        <v>2402</v>
      </c>
      <c r="D302" s="68"/>
      <c r="E302" s="89"/>
      <c r="F302" s="68"/>
      <c r="G302" s="89"/>
      <c r="H302" s="177"/>
      <c r="I302" s="178" t="s">
        <v>847</v>
      </c>
      <c r="J302" s="178" t="s">
        <v>2378</v>
      </c>
      <c r="K302" s="178" t="s">
        <v>1235</v>
      </c>
      <c r="L302" s="148" t="s">
        <v>1806</v>
      </c>
      <c r="M302" s="46" t="str">
        <f t="shared" si="9"/>
        <v>OneCo Networks AS</v>
      </c>
      <c r="N302" s="42" t="str">
        <f ca="1">IFERROR(
VLOOKUP(BoM_Griptel[[#This Row],[Product code]],
IF(AND((BoQ!$N$3&lt;&gt;""),OR(BoM_Griptel[[#This Row],[Vendor]]="Griptel",BoM_Griptel[[#This Row],[Vendor]]="Solar")),INDIRECT(Aux!$A$1)),4,FALSE),"")</f>
        <v/>
      </c>
      <c r="O302" s="170" t="s">
        <v>1807</v>
      </c>
      <c r="P302" s="43" t="str">
        <f>IFERROR(IF(AND(BoM_Griptel[[#This Row],[Quantity]]&lt;&gt;"",BoM_Griptel[[#This Row],[Currency]]="NOK"),BoM_Griptel[[#This Row],[Quantity]]*BoM_Griptel[[#This Row],[Unit Price]],""),"")</f>
        <v/>
      </c>
      <c r="Q302" s="43" t="str">
        <f>IFERROR(IF(AND(BoM_Griptel[[#This Row],[ACT_Qty]]&lt;&gt;"",BoM_Griptel[[#This Row],[Currency]]="NOK"),BoM_Griptel[[#This Row],[ACT_Qty]]*BoM_Griptel[[#This Row],[Unit Price]],""),"")</f>
        <v/>
      </c>
      <c r="R302" s="43" t="str">
        <f>IFERROR(IF(AND(BoM_Griptel[[#This Row],[Quantity]]&lt;&gt;"",BoM_Griptel[[#This Row],[Currency]]="EUR"),BoM_Griptel[[#This Row],[Quantity]]*BoM_Griptel[[#This Row],[Unit Price]],""),"")</f>
        <v/>
      </c>
      <c r="S302" s="43" t="str">
        <f>IFERROR(IF(AND(BoM_Griptel[[#This Row],[ACT_Qty]]&lt;&gt;"",BoM_Griptel[[#This Row],[Currency]]="EUR"),BoM_Griptel[[#This Row],[ACT_Qty]]*BoM_Griptel[[#This Row],[Unit Price]],""),"")</f>
        <v/>
      </c>
      <c r="T302" s="186" t="s">
        <v>1802</v>
      </c>
      <c r="U302" s="46"/>
      <c r="V302" s="46"/>
      <c r="W302" s="146"/>
    </row>
    <row r="303" spans="1:23" ht="15" customHeight="1">
      <c r="A303" s="143" t="str">
        <f t="shared" si="8"/>
        <v>AKH12345</v>
      </c>
      <c r="B303" s="144" t="s">
        <v>2403</v>
      </c>
      <c r="C303" s="143" t="s">
        <v>2404</v>
      </c>
      <c r="D303" s="105"/>
      <c r="E303" s="106"/>
      <c r="F303" s="105"/>
      <c r="G303" s="106"/>
      <c r="H303" s="175"/>
      <c r="I303" s="176" t="s">
        <v>847</v>
      </c>
      <c r="J303" s="176" t="s">
        <v>746</v>
      </c>
      <c r="K303" s="176" t="s">
        <v>1235</v>
      </c>
      <c r="L303" s="145" t="s">
        <v>1806</v>
      </c>
      <c r="M303" s="45" t="str">
        <f t="shared" si="9"/>
        <v>OneCo Networks AS</v>
      </c>
      <c r="N303" s="40" t="str">
        <f ca="1">IFERROR(
VLOOKUP(BoM_Griptel[[#This Row],[Product code]],
IF(AND((BoQ!$N$3&lt;&gt;""),OR(BoM_Griptel[[#This Row],[Vendor]]="Griptel",BoM_Griptel[[#This Row],[Vendor]]="Solar")),INDIRECT(Aux!$A$1)),4,FALSE),"")</f>
        <v/>
      </c>
      <c r="O303" s="169" t="s">
        <v>1807</v>
      </c>
      <c r="P303" s="41" t="str">
        <f>IFERROR(IF(AND(BoM_Griptel[[#This Row],[Quantity]]&lt;&gt;"",BoM_Griptel[[#This Row],[Currency]]="NOK"),BoM_Griptel[[#This Row],[Quantity]]*BoM_Griptel[[#This Row],[Unit Price]],""),"")</f>
        <v/>
      </c>
      <c r="Q303" s="41" t="str">
        <f>IFERROR(IF(AND(BoM_Griptel[[#This Row],[ACT_Qty]]&lt;&gt;"",BoM_Griptel[[#This Row],[Currency]]="NOK"),BoM_Griptel[[#This Row],[ACT_Qty]]*BoM_Griptel[[#This Row],[Unit Price]],""),"")</f>
        <v/>
      </c>
      <c r="R303" s="41" t="str">
        <f>IFERROR(IF(AND(BoM_Griptel[[#This Row],[Quantity]]&lt;&gt;"",BoM_Griptel[[#This Row],[Currency]]="EUR"),BoM_Griptel[[#This Row],[Quantity]]*BoM_Griptel[[#This Row],[Unit Price]],""),"")</f>
        <v/>
      </c>
      <c r="S303" s="41" t="str">
        <f>IFERROR(IF(AND(BoM_Griptel[[#This Row],[ACT_Qty]]&lt;&gt;"",BoM_Griptel[[#This Row],[Currency]]="EUR"),BoM_Griptel[[#This Row],[ACT_Qty]]*BoM_Griptel[[#This Row],[Unit Price]],""),"")</f>
        <v/>
      </c>
      <c r="T303" s="185" t="s">
        <v>1802</v>
      </c>
      <c r="U303" s="45"/>
      <c r="V303" s="45"/>
      <c r="W303" s="143"/>
    </row>
    <row r="304" spans="1:23" ht="15" customHeight="1">
      <c r="A304" s="146" t="str">
        <f t="shared" si="8"/>
        <v>AKH12345</v>
      </c>
      <c r="B304" s="147" t="s">
        <v>2405</v>
      </c>
      <c r="C304" s="146" t="s">
        <v>2406</v>
      </c>
      <c r="D304" s="68"/>
      <c r="E304" s="89"/>
      <c r="F304" s="68"/>
      <c r="G304" s="89"/>
      <c r="H304" s="177"/>
      <c r="I304" s="178" t="s">
        <v>847</v>
      </c>
      <c r="J304" s="178" t="s">
        <v>1921</v>
      </c>
      <c r="K304" s="178" t="s">
        <v>1235</v>
      </c>
      <c r="L304" s="148" t="s">
        <v>1806</v>
      </c>
      <c r="M304" s="46" t="str">
        <f t="shared" si="9"/>
        <v>OneCo Networks AS</v>
      </c>
      <c r="N304" s="42" t="str">
        <f ca="1">IFERROR(
VLOOKUP(BoM_Griptel[[#This Row],[Product code]],
IF(AND((BoQ!$N$3&lt;&gt;""),OR(BoM_Griptel[[#This Row],[Vendor]]="Griptel",BoM_Griptel[[#This Row],[Vendor]]="Solar")),INDIRECT(Aux!$A$1)),4,FALSE),"")</f>
        <v/>
      </c>
      <c r="O304" s="170" t="s">
        <v>1807</v>
      </c>
      <c r="P304" s="43" t="str">
        <f>IFERROR(IF(AND(BoM_Griptel[[#This Row],[Quantity]]&lt;&gt;"",BoM_Griptel[[#This Row],[Currency]]="NOK"),BoM_Griptel[[#This Row],[Quantity]]*BoM_Griptel[[#This Row],[Unit Price]],""),"")</f>
        <v/>
      </c>
      <c r="Q304" s="43" t="str">
        <f>IFERROR(IF(AND(BoM_Griptel[[#This Row],[ACT_Qty]]&lt;&gt;"",BoM_Griptel[[#This Row],[Currency]]="NOK"),BoM_Griptel[[#This Row],[ACT_Qty]]*BoM_Griptel[[#This Row],[Unit Price]],""),"")</f>
        <v/>
      </c>
      <c r="R304" s="43" t="str">
        <f>IFERROR(IF(AND(BoM_Griptel[[#This Row],[Quantity]]&lt;&gt;"",BoM_Griptel[[#This Row],[Currency]]="EUR"),BoM_Griptel[[#This Row],[Quantity]]*BoM_Griptel[[#This Row],[Unit Price]],""),"")</f>
        <v/>
      </c>
      <c r="S304" s="43" t="str">
        <f>IFERROR(IF(AND(BoM_Griptel[[#This Row],[ACT_Qty]]&lt;&gt;"",BoM_Griptel[[#This Row],[Currency]]="EUR"),BoM_Griptel[[#This Row],[ACT_Qty]]*BoM_Griptel[[#This Row],[Unit Price]],""),"")</f>
        <v/>
      </c>
      <c r="T304" s="186" t="s">
        <v>1802</v>
      </c>
      <c r="U304" s="46"/>
      <c r="V304" s="46"/>
      <c r="W304" s="146"/>
    </row>
    <row r="305" spans="1:23" ht="15" customHeight="1">
      <c r="A305" s="143" t="str">
        <f t="shared" si="8"/>
        <v>AKH12345</v>
      </c>
      <c r="B305" s="144" t="s">
        <v>2407</v>
      </c>
      <c r="C305" s="143" t="s">
        <v>2408</v>
      </c>
      <c r="D305" s="105"/>
      <c r="E305" s="106"/>
      <c r="F305" s="105"/>
      <c r="G305" s="106"/>
      <c r="H305" s="175"/>
      <c r="I305" s="176" t="s">
        <v>847</v>
      </c>
      <c r="J305" s="176" t="s">
        <v>2409</v>
      </c>
      <c r="K305" s="176" t="s">
        <v>1235</v>
      </c>
      <c r="L305" s="145" t="s">
        <v>1806</v>
      </c>
      <c r="M305" s="45" t="str">
        <f t="shared" si="9"/>
        <v>OneCo Networks AS</v>
      </c>
      <c r="N305" s="40" t="str">
        <f ca="1">IFERROR(
VLOOKUP(BoM_Griptel[[#This Row],[Product code]],
IF(AND((BoQ!$N$3&lt;&gt;""),OR(BoM_Griptel[[#This Row],[Vendor]]="Griptel",BoM_Griptel[[#This Row],[Vendor]]="Solar")),INDIRECT(Aux!$A$1)),4,FALSE),"")</f>
        <v/>
      </c>
      <c r="O305" s="169" t="s">
        <v>1807</v>
      </c>
      <c r="P305" s="41" t="str">
        <f>IFERROR(IF(AND(BoM_Griptel[[#This Row],[Quantity]]&lt;&gt;"",BoM_Griptel[[#This Row],[Currency]]="NOK"),BoM_Griptel[[#This Row],[Quantity]]*BoM_Griptel[[#This Row],[Unit Price]],""),"")</f>
        <v/>
      </c>
      <c r="Q305" s="41" t="str">
        <f>IFERROR(IF(AND(BoM_Griptel[[#This Row],[ACT_Qty]]&lt;&gt;"",BoM_Griptel[[#This Row],[Currency]]="NOK"),BoM_Griptel[[#This Row],[ACT_Qty]]*BoM_Griptel[[#This Row],[Unit Price]],""),"")</f>
        <v/>
      </c>
      <c r="R305" s="41" t="str">
        <f>IFERROR(IF(AND(BoM_Griptel[[#This Row],[Quantity]]&lt;&gt;"",BoM_Griptel[[#This Row],[Currency]]="EUR"),BoM_Griptel[[#This Row],[Quantity]]*BoM_Griptel[[#This Row],[Unit Price]],""),"")</f>
        <v/>
      </c>
      <c r="S305" s="41" t="str">
        <f>IFERROR(IF(AND(BoM_Griptel[[#This Row],[ACT_Qty]]&lt;&gt;"",BoM_Griptel[[#This Row],[Currency]]="EUR"),BoM_Griptel[[#This Row],[ACT_Qty]]*BoM_Griptel[[#This Row],[Unit Price]],""),"")</f>
        <v/>
      </c>
      <c r="T305" s="185" t="s">
        <v>1802</v>
      </c>
      <c r="U305" s="45"/>
      <c r="V305" s="45"/>
      <c r="W305" s="143"/>
    </row>
    <row r="306" spans="1:23" ht="15" customHeight="1">
      <c r="A306" s="146" t="str">
        <f t="shared" si="8"/>
        <v>AKH12345</v>
      </c>
      <c r="B306" s="147" t="s">
        <v>2410</v>
      </c>
      <c r="C306" s="146" t="s">
        <v>2411</v>
      </c>
      <c r="D306" s="68"/>
      <c r="E306" s="89"/>
      <c r="F306" s="68"/>
      <c r="G306" s="89"/>
      <c r="H306" s="177"/>
      <c r="I306" s="178" t="s">
        <v>847</v>
      </c>
      <c r="J306" s="178" t="s">
        <v>2409</v>
      </c>
      <c r="K306" s="178" t="s">
        <v>1235</v>
      </c>
      <c r="L306" s="148" t="s">
        <v>1806</v>
      </c>
      <c r="M306" s="46" t="str">
        <f t="shared" si="9"/>
        <v>OneCo Networks AS</v>
      </c>
      <c r="N306" s="42" t="str">
        <f ca="1">IFERROR(
VLOOKUP(BoM_Griptel[[#This Row],[Product code]],
IF(AND((BoQ!$N$3&lt;&gt;""),OR(BoM_Griptel[[#This Row],[Vendor]]="Griptel",BoM_Griptel[[#This Row],[Vendor]]="Solar")),INDIRECT(Aux!$A$1)),4,FALSE),"")</f>
        <v/>
      </c>
      <c r="O306" s="170" t="s">
        <v>1807</v>
      </c>
      <c r="P306" s="43" t="str">
        <f>IFERROR(IF(AND(BoM_Griptel[[#This Row],[Quantity]]&lt;&gt;"",BoM_Griptel[[#This Row],[Currency]]="NOK"),BoM_Griptel[[#This Row],[Quantity]]*BoM_Griptel[[#This Row],[Unit Price]],""),"")</f>
        <v/>
      </c>
      <c r="Q306" s="43" t="str">
        <f>IFERROR(IF(AND(BoM_Griptel[[#This Row],[ACT_Qty]]&lt;&gt;"",BoM_Griptel[[#This Row],[Currency]]="NOK"),BoM_Griptel[[#This Row],[ACT_Qty]]*BoM_Griptel[[#This Row],[Unit Price]],""),"")</f>
        <v/>
      </c>
      <c r="R306" s="43" t="str">
        <f>IFERROR(IF(AND(BoM_Griptel[[#This Row],[Quantity]]&lt;&gt;"",BoM_Griptel[[#This Row],[Currency]]="EUR"),BoM_Griptel[[#This Row],[Quantity]]*BoM_Griptel[[#This Row],[Unit Price]],""),"")</f>
        <v/>
      </c>
      <c r="S306" s="43" t="str">
        <f>IFERROR(IF(AND(BoM_Griptel[[#This Row],[ACT_Qty]]&lt;&gt;"",BoM_Griptel[[#This Row],[Currency]]="EUR"),BoM_Griptel[[#This Row],[ACT_Qty]]*BoM_Griptel[[#This Row],[Unit Price]],""),"")</f>
        <v/>
      </c>
      <c r="T306" s="186" t="s">
        <v>1802</v>
      </c>
      <c r="U306" s="46"/>
      <c r="V306" s="46"/>
      <c r="W306" s="146"/>
    </row>
    <row r="307" spans="1:23" ht="15" customHeight="1">
      <c r="A307" s="143" t="str">
        <f t="shared" si="8"/>
        <v>AKH12345</v>
      </c>
      <c r="B307" s="144" t="s">
        <v>2412</v>
      </c>
      <c r="C307" s="143" t="s">
        <v>2413</v>
      </c>
      <c r="D307" s="105"/>
      <c r="E307" s="106"/>
      <c r="F307" s="105"/>
      <c r="G307" s="106"/>
      <c r="H307" s="175"/>
      <c r="I307" s="176" t="s">
        <v>847</v>
      </c>
      <c r="J307" s="176" t="s">
        <v>2409</v>
      </c>
      <c r="K307" s="176" t="s">
        <v>1235</v>
      </c>
      <c r="L307" s="145" t="s">
        <v>1806</v>
      </c>
      <c r="M307" s="45" t="str">
        <f t="shared" si="9"/>
        <v>OneCo Networks AS</v>
      </c>
      <c r="N307" s="40" t="str">
        <f ca="1">IFERROR(
VLOOKUP(BoM_Griptel[[#This Row],[Product code]],
IF(AND((BoQ!$N$3&lt;&gt;""),OR(BoM_Griptel[[#This Row],[Vendor]]="Griptel",BoM_Griptel[[#This Row],[Vendor]]="Solar")),INDIRECT(Aux!$A$1)),4,FALSE),"")</f>
        <v/>
      </c>
      <c r="O307" s="169" t="s">
        <v>1807</v>
      </c>
      <c r="P307" s="41" t="str">
        <f>IFERROR(IF(AND(BoM_Griptel[[#This Row],[Quantity]]&lt;&gt;"",BoM_Griptel[[#This Row],[Currency]]="NOK"),BoM_Griptel[[#This Row],[Quantity]]*BoM_Griptel[[#This Row],[Unit Price]],""),"")</f>
        <v/>
      </c>
      <c r="Q307" s="41" t="str">
        <f>IFERROR(IF(AND(BoM_Griptel[[#This Row],[ACT_Qty]]&lt;&gt;"",BoM_Griptel[[#This Row],[Currency]]="NOK"),BoM_Griptel[[#This Row],[ACT_Qty]]*BoM_Griptel[[#This Row],[Unit Price]],""),"")</f>
        <v/>
      </c>
      <c r="R307" s="41" t="str">
        <f>IFERROR(IF(AND(BoM_Griptel[[#This Row],[Quantity]]&lt;&gt;"",BoM_Griptel[[#This Row],[Currency]]="EUR"),BoM_Griptel[[#This Row],[Quantity]]*BoM_Griptel[[#This Row],[Unit Price]],""),"")</f>
        <v/>
      </c>
      <c r="S307" s="41" t="str">
        <f>IFERROR(IF(AND(BoM_Griptel[[#This Row],[ACT_Qty]]&lt;&gt;"",BoM_Griptel[[#This Row],[Currency]]="EUR"),BoM_Griptel[[#This Row],[ACT_Qty]]*BoM_Griptel[[#This Row],[Unit Price]],""),"")</f>
        <v/>
      </c>
      <c r="T307" s="185" t="s">
        <v>1802</v>
      </c>
      <c r="U307" s="45"/>
      <c r="V307" s="45"/>
      <c r="W307" s="143"/>
    </row>
    <row r="308" spans="1:23" ht="15" customHeight="1">
      <c r="A308" s="146" t="str">
        <f t="shared" si="8"/>
        <v>AKH12345</v>
      </c>
      <c r="B308" s="147" t="s">
        <v>2414</v>
      </c>
      <c r="C308" s="146" t="s">
        <v>2415</v>
      </c>
      <c r="D308" s="68"/>
      <c r="E308" s="89"/>
      <c r="F308" s="68"/>
      <c r="G308" s="89"/>
      <c r="H308" s="177"/>
      <c r="I308" s="178" t="s">
        <v>847</v>
      </c>
      <c r="J308" s="178" t="s">
        <v>2409</v>
      </c>
      <c r="K308" s="178" t="s">
        <v>1235</v>
      </c>
      <c r="L308" s="148" t="s">
        <v>1806</v>
      </c>
      <c r="M308" s="46" t="str">
        <f t="shared" si="9"/>
        <v>OneCo Networks AS</v>
      </c>
      <c r="N308" s="42" t="str">
        <f ca="1">IFERROR(
VLOOKUP(BoM_Griptel[[#This Row],[Product code]],
IF(AND((BoQ!$N$3&lt;&gt;""),OR(BoM_Griptel[[#This Row],[Vendor]]="Griptel",BoM_Griptel[[#This Row],[Vendor]]="Solar")),INDIRECT(Aux!$A$1)),4,FALSE),"")</f>
        <v/>
      </c>
      <c r="O308" s="170" t="s">
        <v>1807</v>
      </c>
      <c r="P308" s="43" t="str">
        <f>IFERROR(IF(AND(BoM_Griptel[[#This Row],[Quantity]]&lt;&gt;"",BoM_Griptel[[#This Row],[Currency]]="NOK"),BoM_Griptel[[#This Row],[Quantity]]*BoM_Griptel[[#This Row],[Unit Price]],""),"")</f>
        <v/>
      </c>
      <c r="Q308" s="43" t="str">
        <f>IFERROR(IF(AND(BoM_Griptel[[#This Row],[ACT_Qty]]&lt;&gt;"",BoM_Griptel[[#This Row],[Currency]]="NOK"),BoM_Griptel[[#This Row],[ACT_Qty]]*BoM_Griptel[[#This Row],[Unit Price]],""),"")</f>
        <v/>
      </c>
      <c r="R308" s="43" t="str">
        <f>IFERROR(IF(AND(BoM_Griptel[[#This Row],[Quantity]]&lt;&gt;"",BoM_Griptel[[#This Row],[Currency]]="EUR"),BoM_Griptel[[#This Row],[Quantity]]*BoM_Griptel[[#This Row],[Unit Price]],""),"")</f>
        <v/>
      </c>
      <c r="S308" s="43" t="str">
        <f>IFERROR(IF(AND(BoM_Griptel[[#This Row],[ACT_Qty]]&lt;&gt;"",BoM_Griptel[[#This Row],[Currency]]="EUR"),BoM_Griptel[[#This Row],[ACT_Qty]]*BoM_Griptel[[#This Row],[Unit Price]],""),"")</f>
        <v/>
      </c>
      <c r="T308" s="186" t="s">
        <v>1802</v>
      </c>
      <c r="U308" s="46"/>
      <c r="V308" s="46"/>
      <c r="W308" s="146"/>
    </row>
    <row r="309" spans="1:23" ht="15" customHeight="1">
      <c r="A309" s="143" t="str">
        <f t="shared" si="8"/>
        <v>AKH12345</v>
      </c>
      <c r="B309" s="144" t="s">
        <v>2416</v>
      </c>
      <c r="C309" s="143" t="s">
        <v>2417</v>
      </c>
      <c r="D309" s="105"/>
      <c r="E309" s="106"/>
      <c r="F309" s="105"/>
      <c r="G309" s="106"/>
      <c r="H309" s="175"/>
      <c r="I309" s="176" t="s">
        <v>847</v>
      </c>
      <c r="J309" s="176" t="s">
        <v>2409</v>
      </c>
      <c r="K309" s="176" t="s">
        <v>1235</v>
      </c>
      <c r="L309" s="145" t="s">
        <v>1806</v>
      </c>
      <c r="M309" s="45" t="str">
        <f t="shared" si="9"/>
        <v>OneCo Networks AS</v>
      </c>
      <c r="N309" s="40" t="str">
        <f ca="1">IFERROR(
VLOOKUP(BoM_Griptel[[#This Row],[Product code]],
IF(AND((BoQ!$N$3&lt;&gt;""),OR(BoM_Griptel[[#This Row],[Vendor]]="Griptel",BoM_Griptel[[#This Row],[Vendor]]="Solar")),INDIRECT(Aux!$A$1)),4,FALSE),"")</f>
        <v/>
      </c>
      <c r="O309" s="169" t="s">
        <v>1807</v>
      </c>
      <c r="P309" s="41" t="str">
        <f>IFERROR(IF(AND(BoM_Griptel[[#This Row],[Quantity]]&lt;&gt;"",BoM_Griptel[[#This Row],[Currency]]="NOK"),BoM_Griptel[[#This Row],[Quantity]]*BoM_Griptel[[#This Row],[Unit Price]],""),"")</f>
        <v/>
      </c>
      <c r="Q309" s="41" t="str">
        <f>IFERROR(IF(AND(BoM_Griptel[[#This Row],[ACT_Qty]]&lt;&gt;"",BoM_Griptel[[#This Row],[Currency]]="NOK"),BoM_Griptel[[#This Row],[ACT_Qty]]*BoM_Griptel[[#This Row],[Unit Price]],""),"")</f>
        <v/>
      </c>
      <c r="R309" s="41" t="str">
        <f>IFERROR(IF(AND(BoM_Griptel[[#This Row],[Quantity]]&lt;&gt;"",BoM_Griptel[[#This Row],[Currency]]="EUR"),BoM_Griptel[[#This Row],[Quantity]]*BoM_Griptel[[#This Row],[Unit Price]],""),"")</f>
        <v/>
      </c>
      <c r="S309" s="41" t="str">
        <f>IFERROR(IF(AND(BoM_Griptel[[#This Row],[ACT_Qty]]&lt;&gt;"",BoM_Griptel[[#This Row],[Currency]]="EUR"),BoM_Griptel[[#This Row],[ACT_Qty]]*BoM_Griptel[[#This Row],[Unit Price]],""),"")</f>
        <v/>
      </c>
      <c r="T309" s="185" t="s">
        <v>1802</v>
      </c>
      <c r="U309" s="45"/>
      <c r="V309" s="45"/>
      <c r="W309" s="143"/>
    </row>
    <row r="310" spans="1:23" ht="15" customHeight="1">
      <c r="A310" s="146" t="str">
        <f t="shared" si="8"/>
        <v>AKH12345</v>
      </c>
      <c r="B310" s="147" t="s">
        <v>2418</v>
      </c>
      <c r="C310" s="146" t="s">
        <v>2419</v>
      </c>
      <c r="D310" s="68"/>
      <c r="E310" s="89" t="s">
        <v>2420</v>
      </c>
      <c r="F310" s="68"/>
      <c r="G310" s="89"/>
      <c r="H310" s="177"/>
      <c r="I310" s="178" t="s">
        <v>847</v>
      </c>
      <c r="J310" s="178" t="s">
        <v>1849</v>
      </c>
      <c r="K310" s="178" t="s">
        <v>1235</v>
      </c>
      <c r="L310" s="148" t="s">
        <v>1806</v>
      </c>
      <c r="M310" s="46" t="str">
        <f t="shared" si="9"/>
        <v>OneCo Networks AS</v>
      </c>
      <c r="N310" s="42" t="str">
        <f ca="1">IFERROR(
VLOOKUP(BoM_Griptel[[#This Row],[Product code]],
IF(AND((BoQ!$N$3&lt;&gt;""),OR(BoM_Griptel[[#This Row],[Vendor]]="Griptel",BoM_Griptel[[#This Row],[Vendor]]="Solar")),INDIRECT(Aux!$A$1)),4,FALSE),"")</f>
        <v/>
      </c>
      <c r="O310" s="170" t="s">
        <v>1807</v>
      </c>
      <c r="P310" s="43" t="str">
        <f>IFERROR(IF(AND(BoM_Griptel[[#This Row],[Quantity]]&lt;&gt;"",BoM_Griptel[[#This Row],[Currency]]="NOK"),BoM_Griptel[[#This Row],[Quantity]]*BoM_Griptel[[#This Row],[Unit Price]],""),"")</f>
        <v/>
      </c>
      <c r="Q310" s="43" t="str">
        <f>IFERROR(IF(AND(BoM_Griptel[[#This Row],[ACT_Qty]]&lt;&gt;"",BoM_Griptel[[#This Row],[Currency]]="NOK"),BoM_Griptel[[#This Row],[ACT_Qty]]*BoM_Griptel[[#This Row],[Unit Price]],""),"")</f>
        <v/>
      </c>
      <c r="R310" s="43" t="str">
        <f>IFERROR(IF(AND(BoM_Griptel[[#This Row],[Quantity]]&lt;&gt;"",BoM_Griptel[[#This Row],[Currency]]="EUR"),BoM_Griptel[[#This Row],[Quantity]]*BoM_Griptel[[#This Row],[Unit Price]],""),"")</f>
        <v/>
      </c>
      <c r="S310" s="43" t="str">
        <f>IFERROR(IF(AND(BoM_Griptel[[#This Row],[ACT_Qty]]&lt;&gt;"",BoM_Griptel[[#This Row],[Currency]]="EUR"),BoM_Griptel[[#This Row],[ACT_Qty]]*BoM_Griptel[[#This Row],[Unit Price]],""),"")</f>
        <v/>
      </c>
      <c r="T310" s="186" t="s">
        <v>1802</v>
      </c>
      <c r="U310" s="46"/>
      <c r="V310" s="46"/>
      <c r="W310" s="146"/>
    </row>
    <row r="311" spans="1:23" ht="15" customHeight="1">
      <c r="A311" s="143" t="str">
        <f t="shared" si="8"/>
        <v>AKH12345</v>
      </c>
      <c r="B311" s="144" t="s">
        <v>2421</v>
      </c>
      <c r="C311" s="143" t="s">
        <v>2422</v>
      </c>
      <c r="D311" s="105"/>
      <c r="E311" s="106"/>
      <c r="F311" s="105"/>
      <c r="G311" s="106"/>
      <c r="H311" s="175"/>
      <c r="I311" s="176" t="s">
        <v>847</v>
      </c>
      <c r="J311" s="176" t="s">
        <v>2074</v>
      </c>
      <c r="K311" s="176" t="s">
        <v>1235</v>
      </c>
      <c r="L311" s="145" t="s">
        <v>1806</v>
      </c>
      <c r="M311" s="45" t="str">
        <f t="shared" si="9"/>
        <v>OneCo Networks AS</v>
      </c>
      <c r="N311" s="40" t="str">
        <f ca="1">IFERROR(
VLOOKUP(BoM_Griptel[[#This Row],[Product code]],
IF(AND((BoQ!$N$3&lt;&gt;""),OR(BoM_Griptel[[#This Row],[Vendor]]="Griptel",BoM_Griptel[[#This Row],[Vendor]]="Solar")),INDIRECT(Aux!$A$1)),4,FALSE),"")</f>
        <v/>
      </c>
      <c r="O311" s="169" t="s">
        <v>1807</v>
      </c>
      <c r="P311" s="41" t="str">
        <f>IFERROR(IF(AND(BoM_Griptel[[#This Row],[Quantity]]&lt;&gt;"",BoM_Griptel[[#This Row],[Currency]]="NOK"),BoM_Griptel[[#This Row],[Quantity]]*BoM_Griptel[[#This Row],[Unit Price]],""),"")</f>
        <v/>
      </c>
      <c r="Q311" s="41" t="str">
        <f>IFERROR(IF(AND(BoM_Griptel[[#This Row],[ACT_Qty]]&lt;&gt;"",BoM_Griptel[[#This Row],[Currency]]="NOK"),BoM_Griptel[[#This Row],[ACT_Qty]]*BoM_Griptel[[#This Row],[Unit Price]],""),"")</f>
        <v/>
      </c>
      <c r="R311" s="41" t="str">
        <f>IFERROR(IF(AND(BoM_Griptel[[#This Row],[Quantity]]&lt;&gt;"",BoM_Griptel[[#This Row],[Currency]]="EUR"),BoM_Griptel[[#This Row],[Quantity]]*BoM_Griptel[[#This Row],[Unit Price]],""),"")</f>
        <v/>
      </c>
      <c r="S311" s="41" t="str">
        <f>IFERROR(IF(AND(BoM_Griptel[[#This Row],[ACT_Qty]]&lt;&gt;"",BoM_Griptel[[#This Row],[Currency]]="EUR"),BoM_Griptel[[#This Row],[ACT_Qty]]*BoM_Griptel[[#This Row],[Unit Price]],""),"")</f>
        <v/>
      </c>
      <c r="T311" s="185" t="s">
        <v>1802</v>
      </c>
      <c r="U311" s="45"/>
      <c r="V311" s="45"/>
      <c r="W311" s="143"/>
    </row>
    <row r="312" spans="1:23" ht="15" customHeight="1">
      <c r="A312" s="146" t="str">
        <f t="shared" si="8"/>
        <v>AKH12345</v>
      </c>
      <c r="B312" s="147" t="s">
        <v>2423</v>
      </c>
      <c r="C312" s="146" t="s">
        <v>2424</v>
      </c>
      <c r="D312" s="68"/>
      <c r="E312" s="89"/>
      <c r="F312" s="68"/>
      <c r="G312" s="89"/>
      <c r="H312" s="177"/>
      <c r="I312" s="178" t="s">
        <v>847</v>
      </c>
      <c r="J312" s="178" t="s">
        <v>2074</v>
      </c>
      <c r="K312" s="178" t="s">
        <v>1235</v>
      </c>
      <c r="L312" s="148" t="s">
        <v>1806</v>
      </c>
      <c r="M312" s="46" t="str">
        <f t="shared" si="9"/>
        <v>OneCo Networks AS</v>
      </c>
      <c r="N312" s="42" t="str">
        <f ca="1">IFERROR(
VLOOKUP(BoM_Griptel[[#This Row],[Product code]],
IF(AND((BoQ!$N$3&lt;&gt;""),OR(BoM_Griptel[[#This Row],[Vendor]]="Griptel",BoM_Griptel[[#This Row],[Vendor]]="Solar")),INDIRECT(Aux!$A$1)),4,FALSE),"")</f>
        <v/>
      </c>
      <c r="O312" s="170" t="s">
        <v>1807</v>
      </c>
      <c r="P312" s="43" t="str">
        <f>IFERROR(IF(AND(BoM_Griptel[[#This Row],[Quantity]]&lt;&gt;"",BoM_Griptel[[#This Row],[Currency]]="NOK"),BoM_Griptel[[#This Row],[Quantity]]*BoM_Griptel[[#This Row],[Unit Price]],""),"")</f>
        <v/>
      </c>
      <c r="Q312" s="43" t="str">
        <f>IFERROR(IF(AND(BoM_Griptel[[#This Row],[ACT_Qty]]&lt;&gt;"",BoM_Griptel[[#This Row],[Currency]]="NOK"),BoM_Griptel[[#This Row],[ACT_Qty]]*BoM_Griptel[[#This Row],[Unit Price]],""),"")</f>
        <v/>
      </c>
      <c r="R312" s="43" t="str">
        <f>IFERROR(IF(AND(BoM_Griptel[[#This Row],[Quantity]]&lt;&gt;"",BoM_Griptel[[#This Row],[Currency]]="EUR"),BoM_Griptel[[#This Row],[Quantity]]*BoM_Griptel[[#This Row],[Unit Price]],""),"")</f>
        <v/>
      </c>
      <c r="S312" s="43" t="str">
        <f>IFERROR(IF(AND(BoM_Griptel[[#This Row],[ACT_Qty]]&lt;&gt;"",BoM_Griptel[[#This Row],[Currency]]="EUR"),BoM_Griptel[[#This Row],[ACT_Qty]]*BoM_Griptel[[#This Row],[Unit Price]],""),"")</f>
        <v/>
      </c>
      <c r="T312" s="186" t="s">
        <v>1802</v>
      </c>
      <c r="U312" s="46"/>
      <c r="V312" s="46"/>
      <c r="W312" s="146"/>
    </row>
    <row r="313" spans="1:23" ht="15" customHeight="1">
      <c r="A313" s="143" t="str">
        <f t="shared" si="8"/>
        <v>AKH12345</v>
      </c>
      <c r="B313" s="144" t="s">
        <v>2425</v>
      </c>
      <c r="C313" s="143" t="s">
        <v>2426</v>
      </c>
      <c r="D313" s="105"/>
      <c r="E313" s="106"/>
      <c r="F313" s="105"/>
      <c r="G313" s="106"/>
      <c r="H313" s="175"/>
      <c r="I313" s="176" t="s">
        <v>847</v>
      </c>
      <c r="J313" s="176" t="s">
        <v>2074</v>
      </c>
      <c r="K313" s="176" t="s">
        <v>1235</v>
      </c>
      <c r="L313" s="145" t="s">
        <v>1806</v>
      </c>
      <c r="M313" s="45" t="str">
        <f t="shared" si="9"/>
        <v>OneCo Networks AS</v>
      </c>
      <c r="N313" s="40" t="str">
        <f ca="1">IFERROR(
VLOOKUP(BoM_Griptel[[#This Row],[Product code]],
IF(AND((BoQ!$N$3&lt;&gt;""),OR(BoM_Griptel[[#This Row],[Vendor]]="Griptel",BoM_Griptel[[#This Row],[Vendor]]="Solar")),INDIRECT(Aux!$A$1)),4,FALSE),"")</f>
        <v/>
      </c>
      <c r="O313" s="169" t="s">
        <v>1807</v>
      </c>
      <c r="P313" s="41" t="str">
        <f>IFERROR(IF(AND(BoM_Griptel[[#This Row],[Quantity]]&lt;&gt;"",BoM_Griptel[[#This Row],[Currency]]="NOK"),BoM_Griptel[[#This Row],[Quantity]]*BoM_Griptel[[#This Row],[Unit Price]],""),"")</f>
        <v/>
      </c>
      <c r="Q313" s="41" t="str">
        <f>IFERROR(IF(AND(BoM_Griptel[[#This Row],[ACT_Qty]]&lt;&gt;"",BoM_Griptel[[#This Row],[Currency]]="NOK"),BoM_Griptel[[#This Row],[ACT_Qty]]*BoM_Griptel[[#This Row],[Unit Price]],""),"")</f>
        <v/>
      </c>
      <c r="R313" s="41" t="str">
        <f>IFERROR(IF(AND(BoM_Griptel[[#This Row],[Quantity]]&lt;&gt;"",BoM_Griptel[[#This Row],[Currency]]="EUR"),BoM_Griptel[[#This Row],[Quantity]]*BoM_Griptel[[#This Row],[Unit Price]],""),"")</f>
        <v/>
      </c>
      <c r="S313" s="41" t="str">
        <f>IFERROR(IF(AND(BoM_Griptel[[#This Row],[ACT_Qty]]&lt;&gt;"",BoM_Griptel[[#This Row],[Currency]]="EUR"),BoM_Griptel[[#This Row],[ACT_Qty]]*BoM_Griptel[[#This Row],[Unit Price]],""),"")</f>
        <v/>
      </c>
      <c r="T313" s="185" t="s">
        <v>1802</v>
      </c>
      <c r="U313" s="45"/>
      <c r="V313" s="45"/>
      <c r="W313" s="143"/>
    </row>
    <row r="314" spans="1:23" ht="15" customHeight="1">
      <c r="A314" s="146" t="str">
        <f t="shared" si="8"/>
        <v>AKH12345</v>
      </c>
      <c r="B314" s="147" t="s">
        <v>2427</v>
      </c>
      <c r="C314" s="146" t="s">
        <v>2428</v>
      </c>
      <c r="D314" s="68"/>
      <c r="E314" s="89"/>
      <c r="F314" s="68"/>
      <c r="G314" s="89"/>
      <c r="H314" s="177"/>
      <c r="I314" s="178" t="s">
        <v>847</v>
      </c>
      <c r="J314" s="178" t="s">
        <v>2074</v>
      </c>
      <c r="K314" s="178" t="s">
        <v>1235</v>
      </c>
      <c r="L314" s="148" t="s">
        <v>1806</v>
      </c>
      <c r="M314" s="46" t="str">
        <f t="shared" si="9"/>
        <v>OneCo Networks AS</v>
      </c>
      <c r="N314" s="42" t="str">
        <f ca="1">IFERROR(
VLOOKUP(BoM_Griptel[[#This Row],[Product code]],
IF(AND((BoQ!$N$3&lt;&gt;""),OR(BoM_Griptel[[#This Row],[Vendor]]="Griptel",BoM_Griptel[[#This Row],[Vendor]]="Solar")),INDIRECT(Aux!$A$1)),4,FALSE),"")</f>
        <v/>
      </c>
      <c r="O314" s="170" t="s">
        <v>1807</v>
      </c>
      <c r="P314" s="43" t="str">
        <f>IFERROR(IF(AND(BoM_Griptel[[#This Row],[Quantity]]&lt;&gt;"",BoM_Griptel[[#This Row],[Currency]]="NOK"),BoM_Griptel[[#This Row],[Quantity]]*BoM_Griptel[[#This Row],[Unit Price]],""),"")</f>
        <v/>
      </c>
      <c r="Q314" s="43" t="str">
        <f>IFERROR(IF(AND(BoM_Griptel[[#This Row],[ACT_Qty]]&lt;&gt;"",BoM_Griptel[[#This Row],[Currency]]="NOK"),BoM_Griptel[[#This Row],[ACT_Qty]]*BoM_Griptel[[#This Row],[Unit Price]],""),"")</f>
        <v/>
      </c>
      <c r="R314" s="43" t="str">
        <f>IFERROR(IF(AND(BoM_Griptel[[#This Row],[Quantity]]&lt;&gt;"",BoM_Griptel[[#This Row],[Currency]]="EUR"),BoM_Griptel[[#This Row],[Quantity]]*BoM_Griptel[[#This Row],[Unit Price]],""),"")</f>
        <v/>
      </c>
      <c r="S314" s="43" t="str">
        <f>IFERROR(IF(AND(BoM_Griptel[[#This Row],[ACT_Qty]]&lt;&gt;"",BoM_Griptel[[#This Row],[Currency]]="EUR"),BoM_Griptel[[#This Row],[ACT_Qty]]*BoM_Griptel[[#This Row],[Unit Price]],""),"")</f>
        <v/>
      </c>
      <c r="T314" s="186" t="s">
        <v>1802</v>
      </c>
      <c r="U314" s="46"/>
      <c r="V314" s="46"/>
      <c r="W314" s="146"/>
    </row>
    <row r="315" spans="1:23" ht="15" customHeight="1">
      <c r="A315" s="143" t="str">
        <f t="shared" si="8"/>
        <v>AKH12345</v>
      </c>
      <c r="B315" s="144" t="s">
        <v>2429</v>
      </c>
      <c r="C315" s="143" t="s">
        <v>2430</v>
      </c>
      <c r="D315" s="105"/>
      <c r="E315" s="106"/>
      <c r="F315" s="105"/>
      <c r="G315" s="106"/>
      <c r="H315" s="175"/>
      <c r="I315" s="176" t="s">
        <v>847</v>
      </c>
      <c r="J315" s="176" t="s">
        <v>2074</v>
      </c>
      <c r="K315" s="176" t="s">
        <v>1235</v>
      </c>
      <c r="L315" s="145" t="s">
        <v>1806</v>
      </c>
      <c r="M315" s="45" t="str">
        <f t="shared" si="9"/>
        <v>OneCo Networks AS</v>
      </c>
      <c r="N315" s="40" t="str">
        <f ca="1">IFERROR(
VLOOKUP(BoM_Griptel[[#This Row],[Product code]],
IF(AND((BoQ!$N$3&lt;&gt;""),OR(BoM_Griptel[[#This Row],[Vendor]]="Griptel",BoM_Griptel[[#This Row],[Vendor]]="Solar")),INDIRECT(Aux!$A$1)),4,FALSE),"")</f>
        <v/>
      </c>
      <c r="O315" s="169" t="s">
        <v>1807</v>
      </c>
      <c r="P315" s="41" t="str">
        <f>IFERROR(IF(AND(BoM_Griptel[[#This Row],[Quantity]]&lt;&gt;"",BoM_Griptel[[#This Row],[Currency]]="NOK"),BoM_Griptel[[#This Row],[Quantity]]*BoM_Griptel[[#This Row],[Unit Price]],""),"")</f>
        <v/>
      </c>
      <c r="Q315" s="41" t="str">
        <f>IFERROR(IF(AND(BoM_Griptel[[#This Row],[ACT_Qty]]&lt;&gt;"",BoM_Griptel[[#This Row],[Currency]]="NOK"),BoM_Griptel[[#This Row],[ACT_Qty]]*BoM_Griptel[[#This Row],[Unit Price]],""),"")</f>
        <v/>
      </c>
      <c r="R315" s="41" t="str">
        <f>IFERROR(IF(AND(BoM_Griptel[[#This Row],[Quantity]]&lt;&gt;"",BoM_Griptel[[#This Row],[Currency]]="EUR"),BoM_Griptel[[#This Row],[Quantity]]*BoM_Griptel[[#This Row],[Unit Price]],""),"")</f>
        <v/>
      </c>
      <c r="S315" s="41" t="str">
        <f>IFERROR(IF(AND(BoM_Griptel[[#This Row],[ACT_Qty]]&lt;&gt;"",BoM_Griptel[[#This Row],[Currency]]="EUR"),BoM_Griptel[[#This Row],[ACT_Qty]]*BoM_Griptel[[#This Row],[Unit Price]],""),"")</f>
        <v/>
      </c>
      <c r="T315" s="185" t="s">
        <v>1802</v>
      </c>
      <c r="U315" s="45"/>
      <c r="V315" s="45"/>
      <c r="W315" s="143"/>
    </row>
    <row r="316" spans="1:23" ht="15" customHeight="1">
      <c r="A316" s="146" t="str">
        <f t="shared" si="8"/>
        <v>AKH12345</v>
      </c>
      <c r="B316" s="147" t="s">
        <v>2431</v>
      </c>
      <c r="C316" s="146" t="s">
        <v>2432</v>
      </c>
      <c r="D316" s="68"/>
      <c r="E316" s="89"/>
      <c r="F316" s="68"/>
      <c r="G316" s="89"/>
      <c r="H316" s="177"/>
      <c r="I316" s="178" t="s">
        <v>847</v>
      </c>
      <c r="J316" s="178" t="s">
        <v>2074</v>
      </c>
      <c r="K316" s="178" t="s">
        <v>1235</v>
      </c>
      <c r="L316" s="148" t="s">
        <v>1806</v>
      </c>
      <c r="M316" s="46" t="str">
        <f t="shared" si="9"/>
        <v>OneCo Networks AS</v>
      </c>
      <c r="N316" s="42" t="str">
        <f ca="1">IFERROR(
VLOOKUP(BoM_Griptel[[#This Row],[Product code]],
IF(AND((BoQ!$N$3&lt;&gt;""),OR(BoM_Griptel[[#This Row],[Vendor]]="Griptel",BoM_Griptel[[#This Row],[Vendor]]="Solar")),INDIRECT(Aux!$A$1)),4,FALSE),"")</f>
        <v/>
      </c>
      <c r="O316" s="170" t="s">
        <v>1807</v>
      </c>
      <c r="P316" s="43" t="str">
        <f>IFERROR(IF(AND(BoM_Griptel[[#This Row],[Quantity]]&lt;&gt;"",BoM_Griptel[[#This Row],[Currency]]="NOK"),BoM_Griptel[[#This Row],[Quantity]]*BoM_Griptel[[#This Row],[Unit Price]],""),"")</f>
        <v/>
      </c>
      <c r="Q316" s="43" t="str">
        <f>IFERROR(IF(AND(BoM_Griptel[[#This Row],[ACT_Qty]]&lt;&gt;"",BoM_Griptel[[#This Row],[Currency]]="NOK"),BoM_Griptel[[#This Row],[ACT_Qty]]*BoM_Griptel[[#This Row],[Unit Price]],""),"")</f>
        <v/>
      </c>
      <c r="R316" s="43" t="str">
        <f>IFERROR(IF(AND(BoM_Griptel[[#This Row],[Quantity]]&lt;&gt;"",BoM_Griptel[[#This Row],[Currency]]="EUR"),BoM_Griptel[[#This Row],[Quantity]]*BoM_Griptel[[#This Row],[Unit Price]],""),"")</f>
        <v/>
      </c>
      <c r="S316" s="43" t="str">
        <f>IFERROR(IF(AND(BoM_Griptel[[#This Row],[ACT_Qty]]&lt;&gt;"",BoM_Griptel[[#This Row],[Currency]]="EUR"),BoM_Griptel[[#This Row],[ACT_Qty]]*BoM_Griptel[[#This Row],[Unit Price]],""),"")</f>
        <v/>
      </c>
      <c r="T316" s="186" t="s">
        <v>1802</v>
      </c>
      <c r="U316" s="46"/>
      <c r="V316" s="46"/>
      <c r="W316" s="146"/>
    </row>
    <row r="317" spans="1:23" ht="15" customHeight="1">
      <c r="A317" s="143" t="str">
        <f t="shared" si="8"/>
        <v>AKH12345</v>
      </c>
      <c r="B317" s="144" t="s">
        <v>2433</v>
      </c>
      <c r="C317" s="143" t="s">
        <v>2434</v>
      </c>
      <c r="D317" s="105"/>
      <c r="E317" s="106"/>
      <c r="F317" s="105"/>
      <c r="G317" s="106"/>
      <c r="H317" s="175"/>
      <c r="I317" s="176" t="s">
        <v>847</v>
      </c>
      <c r="J317" s="176" t="s">
        <v>835</v>
      </c>
      <c r="K317" s="176" t="s">
        <v>1235</v>
      </c>
      <c r="L317" s="145" t="s">
        <v>1806</v>
      </c>
      <c r="M317" s="45" t="str">
        <f t="shared" si="9"/>
        <v>OneCo Networks AS</v>
      </c>
      <c r="N317" s="40" t="str">
        <f ca="1">IFERROR(
VLOOKUP(BoM_Griptel[[#This Row],[Product code]],
IF(AND((BoQ!$N$3&lt;&gt;""),OR(BoM_Griptel[[#This Row],[Vendor]]="Griptel",BoM_Griptel[[#This Row],[Vendor]]="Solar")),INDIRECT(Aux!$A$1)),4,FALSE),"")</f>
        <v/>
      </c>
      <c r="O317" s="169" t="s">
        <v>1807</v>
      </c>
      <c r="P317" s="41" t="str">
        <f>IFERROR(IF(AND(BoM_Griptel[[#This Row],[Quantity]]&lt;&gt;"",BoM_Griptel[[#This Row],[Currency]]="NOK"),BoM_Griptel[[#This Row],[Quantity]]*BoM_Griptel[[#This Row],[Unit Price]],""),"")</f>
        <v/>
      </c>
      <c r="Q317" s="41" t="str">
        <f>IFERROR(IF(AND(BoM_Griptel[[#This Row],[ACT_Qty]]&lt;&gt;"",BoM_Griptel[[#This Row],[Currency]]="NOK"),BoM_Griptel[[#This Row],[ACT_Qty]]*BoM_Griptel[[#This Row],[Unit Price]],""),"")</f>
        <v/>
      </c>
      <c r="R317" s="41" t="str">
        <f>IFERROR(IF(AND(BoM_Griptel[[#This Row],[Quantity]]&lt;&gt;"",BoM_Griptel[[#This Row],[Currency]]="EUR"),BoM_Griptel[[#This Row],[Quantity]]*BoM_Griptel[[#This Row],[Unit Price]],""),"")</f>
        <v/>
      </c>
      <c r="S317" s="41" t="str">
        <f>IFERROR(IF(AND(BoM_Griptel[[#This Row],[ACT_Qty]]&lt;&gt;"",BoM_Griptel[[#This Row],[Currency]]="EUR"),BoM_Griptel[[#This Row],[ACT_Qty]]*BoM_Griptel[[#This Row],[Unit Price]],""),"")</f>
        <v/>
      </c>
      <c r="T317" s="185" t="s">
        <v>1802</v>
      </c>
      <c r="U317" s="45"/>
      <c r="V317" s="45"/>
      <c r="W317" s="143"/>
    </row>
    <row r="318" spans="1:23" ht="15" customHeight="1">
      <c r="A318" s="146" t="str">
        <f t="shared" si="8"/>
        <v>AKH12345</v>
      </c>
      <c r="B318" s="147" t="s">
        <v>2435</v>
      </c>
      <c r="C318" s="146" t="s">
        <v>2436</v>
      </c>
      <c r="D318" s="68"/>
      <c r="E318" s="89"/>
      <c r="F318" s="68"/>
      <c r="G318" s="89"/>
      <c r="H318" s="177"/>
      <c r="I318" s="178" t="s">
        <v>847</v>
      </c>
      <c r="J318" s="178" t="s">
        <v>835</v>
      </c>
      <c r="K318" s="178" t="s">
        <v>1235</v>
      </c>
      <c r="L318" s="148" t="s">
        <v>1806</v>
      </c>
      <c r="M318" s="46" t="str">
        <f t="shared" si="9"/>
        <v>OneCo Networks AS</v>
      </c>
      <c r="N318" s="42" t="str">
        <f ca="1">IFERROR(
VLOOKUP(BoM_Griptel[[#This Row],[Product code]],
IF(AND((BoQ!$N$3&lt;&gt;""),OR(BoM_Griptel[[#This Row],[Vendor]]="Griptel",BoM_Griptel[[#This Row],[Vendor]]="Solar")),INDIRECT(Aux!$A$1)),4,FALSE),"")</f>
        <v/>
      </c>
      <c r="O318" s="170" t="s">
        <v>1807</v>
      </c>
      <c r="P318" s="43" t="str">
        <f>IFERROR(IF(AND(BoM_Griptel[[#This Row],[Quantity]]&lt;&gt;"",BoM_Griptel[[#This Row],[Currency]]="NOK"),BoM_Griptel[[#This Row],[Quantity]]*BoM_Griptel[[#This Row],[Unit Price]],""),"")</f>
        <v/>
      </c>
      <c r="Q318" s="43" t="str">
        <f>IFERROR(IF(AND(BoM_Griptel[[#This Row],[ACT_Qty]]&lt;&gt;"",BoM_Griptel[[#This Row],[Currency]]="NOK"),BoM_Griptel[[#This Row],[ACT_Qty]]*BoM_Griptel[[#This Row],[Unit Price]],""),"")</f>
        <v/>
      </c>
      <c r="R318" s="43" t="str">
        <f>IFERROR(IF(AND(BoM_Griptel[[#This Row],[Quantity]]&lt;&gt;"",BoM_Griptel[[#This Row],[Currency]]="EUR"),BoM_Griptel[[#This Row],[Quantity]]*BoM_Griptel[[#This Row],[Unit Price]],""),"")</f>
        <v/>
      </c>
      <c r="S318" s="43" t="str">
        <f>IFERROR(IF(AND(BoM_Griptel[[#This Row],[ACT_Qty]]&lt;&gt;"",BoM_Griptel[[#This Row],[Currency]]="EUR"),BoM_Griptel[[#This Row],[ACT_Qty]]*BoM_Griptel[[#This Row],[Unit Price]],""),"")</f>
        <v/>
      </c>
      <c r="T318" s="186" t="s">
        <v>1802</v>
      </c>
      <c r="U318" s="46"/>
      <c r="V318" s="46"/>
      <c r="W318" s="146"/>
    </row>
    <row r="319" spans="1:23" ht="15" customHeight="1">
      <c r="A319" s="143" t="str">
        <f t="shared" si="8"/>
        <v>AKH12345</v>
      </c>
      <c r="B319" s="144" t="s">
        <v>2437</v>
      </c>
      <c r="C319" s="143" t="s">
        <v>2438</v>
      </c>
      <c r="D319" s="105"/>
      <c r="E319" s="106"/>
      <c r="F319" s="105"/>
      <c r="G319" s="106"/>
      <c r="H319" s="175"/>
      <c r="I319" s="176" t="s">
        <v>847</v>
      </c>
      <c r="J319" s="176" t="s">
        <v>835</v>
      </c>
      <c r="K319" s="176" t="s">
        <v>1235</v>
      </c>
      <c r="L319" s="145" t="s">
        <v>1806</v>
      </c>
      <c r="M319" s="45" t="str">
        <f t="shared" si="9"/>
        <v>OneCo Networks AS</v>
      </c>
      <c r="N319" s="40" t="str">
        <f ca="1">IFERROR(
VLOOKUP(BoM_Griptel[[#This Row],[Product code]],
IF(AND((BoQ!$N$3&lt;&gt;""),OR(BoM_Griptel[[#This Row],[Vendor]]="Griptel",BoM_Griptel[[#This Row],[Vendor]]="Solar")),INDIRECT(Aux!$A$1)),4,FALSE),"")</f>
        <v/>
      </c>
      <c r="O319" s="169" t="s">
        <v>1807</v>
      </c>
      <c r="P319" s="41" t="str">
        <f>IFERROR(IF(AND(BoM_Griptel[[#This Row],[Quantity]]&lt;&gt;"",BoM_Griptel[[#This Row],[Currency]]="NOK"),BoM_Griptel[[#This Row],[Quantity]]*BoM_Griptel[[#This Row],[Unit Price]],""),"")</f>
        <v/>
      </c>
      <c r="Q319" s="41" t="str">
        <f>IFERROR(IF(AND(BoM_Griptel[[#This Row],[ACT_Qty]]&lt;&gt;"",BoM_Griptel[[#This Row],[Currency]]="NOK"),BoM_Griptel[[#This Row],[ACT_Qty]]*BoM_Griptel[[#This Row],[Unit Price]],""),"")</f>
        <v/>
      </c>
      <c r="R319" s="41" t="str">
        <f>IFERROR(IF(AND(BoM_Griptel[[#This Row],[Quantity]]&lt;&gt;"",BoM_Griptel[[#This Row],[Currency]]="EUR"),BoM_Griptel[[#This Row],[Quantity]]*BoM_Griptel[[#This Row],[Unit Price]],""),"")</f>
        <v/>
      </c>
      <c r="S319" s="41" t="str">
        <f>IFERROR(IF(AND(BoM_Griptel[[#This Row],[ACT_Qty]]&lt;&gt;"",BoM_Griptel[[#This Row],[Currency]]="EUR"),BoM_Griptel[[#This Row],[ACT_Qty]]*BoM_Griptel[[#This Row],[Unit Price]],""),"")</f>
        <v/>
      </c>
      <c r="T319" s="185" t="s">
        <v>1802</v>
      </c>
      <c r="U319" s="45"/>
      <c r="V319" s="45"/>
      <c r="W319" s="143"/>
    </row>
    <row r="320" spans="1:23" ht="15" customHeight="1">
      <c r="A320" s="146" t="str">
        <f t="shared" si="8"/>
        <v>AKH12345</v>
      </c>
      <c r="B320" s="147" t="s">
        <v>2439</v>
      </c>
      <c r="C320" s="146" t="s">
        <v>2440</v>
      </c>
      <c r="D320" s="68"/>
      <c r="E320" s="89"/>
      <c r="F320" s="68"/>
      <c r="G320" s="89"/>
      <c r="H320" s="177"/>
      <c r="I320" s="178" t="s">
        <v>847</v>
      </c>
      <c r="J320" s="178" t="s">
        <v>835</v>
      </c>
      <c r="K320" s="178" t="s">
        <v>1235</v>
      </c>
      <c r="L320" s="148" t="s">
        <v>1806</v>
      </c>
      <c r="M320" s="46" t="str">
        <f t="shared" si="9"/>
        <v>OneCo Networks AS</v>
      </c>
      <c r="N320" s="42" t="str">
        <f ca="1">IFERROR(
VLOOKUP(BoM_Griptel[[#This Row],[Product code]],
IF(AND((BoQ!$N$3&lt;&gt;""),OR(BoM_Griptel[[#This Row],[Vendor]]="Griptel",BoM_Griptel[[#This Row],[Vendor]]="Solar")),INDIRECT(Aux!$A$1)),4,FALSE),"")</f>
        <v/>
      </c>
      <c r="O320" s="170" t="s">
        <v>1807</v>
      </c>
      <c r="P320" s="43" t="str">
        <f>IFERROR(IF(AND(BoM_Griptel[[#This Row],[Quantity]]&lt;&gt;"",BoM_Griptel[[#This Row],[Currency]]="NOK"),BoM_Griptel[[#This Row],[Quantity]]*BoM_Griptel[[#This Row],[Unit Price]],""),"")</f>
        <v/>
      </c>
      <c r="Q320" s="43" t="str">
        <f>IFERROR(IF(AND(BoM_Griptel[[#This Row],[ACT_Qty]]&lt;&gt;"",BoM_Griptel[[#This Row],[Currency]]="NOK"),BoM_Griptel[[#This Row],[ACT_Qty]]*BoM_Griptel[[#This Row],[Unit Price]],""),"")</f>
        <v/>
      </c>
      <c r="R320" s="43" t="str">
        <f>IFERROR(IF(AND(BoM_Griptel[[#This Row],[Quantity]]&lt;&gt;"",BoM_Griptel[[#This Row],[Currency]]="EUR"),BoM_Griptel[[#This Row],[Quantity]]*BoM_Griptel[[#This Row],[Unit Price]],""),"")</f>
        <v/>
      </c>
      <c r="S320" s="43" t="str">
        <f>IFERROR(IF(AND(BoM_Griptel[[#This Row],[ACT_Qty]]&lt;&gt;"",BoM_Griptel[[#This Row],[Currency]]="EUR"),BoM_Griptel[[#This Row],[ACT_Qty]]*BoM_Griptel[[#This Row],[Unit Price]],""),"")</f>
        <v/>
      </c>
      <c r="T320" s="186" t="s">
        <v>1802</v>
      </c>
      <c r="U320" s="46"/>
      <c r="V320" s="46"/>
      <c r="W320" s="146"/>
    </row>
    <row r="321" spans="1:23" ht="15" customHeight="1">
      <c r="A321" s="143" t="str">
        <f t="shared" si="8"/>
        <v>AKH12345</v>
      </c>
      <c r="B321" s="144" t="s">
        <v>2441</v>
      </c>
      <c r="C321" s="143" t="s">
        <v>2442</v>
      </c>
      <c r="D321" s="105"/>
      <c r="E321" s="106"/>
      <c r="F321" s="105"/>
      <c r="G321" s="106"/>
      <c r="H321" s="175"/>
      <c r="I321" s="176" t="s">
        <v>847</v>
      </c>
      <c r="J321" s="176" t="s">
        <v>835</v>
      </c>
      <c r="K321" s="176" t="s">
        <v>1235</v>
      </c>
      <c r="L321" s="145" t="s">
        <v>1806</v>
      </c>
      <c r="M321" s="45" t="str">
        <f t="shared" si="9"/>
        <v>OneCo Networks AS</v>
      </c>
      <c r="N321" s="40" t="str">
        <f ca="1">IFERROR(
VLOOKUP(BoM_Griptel[[#This Row],[Product code]],
IF(AND((BoQ!$N$3&lt;&gt;""),OR(BoM_Griptel[[#This Row],[Vendor]]="Griptel",BoM_Griptel[[#This Row],[Vendor]]="Solar")),INDIRECT(Aux!$A$1)),4,FALSE),"")</f>
        <v/>
      </c>
      <c r="O321" s="169" t="s">
        <v>1807</v>
      </c>
      <c r="P321" s="41" t="str">
        <f>IFERROR(IF(AND(BoM_Griptel[[#This Row],[Quantity]]&lt;&gt;"",BoM_Griptel[[#This Row],[Currency]]="NOK"),BoM_Griptel[[#This Row],[Quantity]]*BoM_Griptel[[#This Row],[Unit Price]],""),"")</f>
        <v/>
      </c>
      <c r="Q321" s="41" t="str">
        <f>IFERROR(IF(AND(BoM_Griptel[[#This Row],[ACT_Qty]]&lt;&gt;"",BoM_Griptel[[#This Row],[Currency]]="NOK"),BoM_Griptel[[#This Row],[ACT_Qty]]*BoM_Griptel[[#This Row],[Unit Price]],""),"")</f>
        <v/>
      </c>
      <c r="R321" s="41" t="str">
        <f>IFERROR(IF(AND(BoM_Griptel[[#This Row],[Quantity]]&lt;&gt;"",BoM_Griptel[[#This Row],[Currency]]="EUR"),BoM_Griptel[[#This Row],[Quantity]]*BoM_Griptel[[#This Row],[Unit Price]],""),"")</f>
        <v/>
      </c>
      <c r="S321" s="41" t="str">
        <f>IFERROR(IF(AND(BoM_Griptel[[#This Row],[ACT_Qty]]&lt;&gt;"",BoM_Griptel[[#This Row],[Currency]]="EUR"),BoM_Griptel[[#This Row],[ACT_Qty]]*BoM_Griptel[[#This Row],[Unit Price]],""),"")</f>
        <v/>
      </c>
      <c r="T321" s="185" t="s">
        <v>1802</v>
      </c>
      <c r="U321" s="45"/>
      <c r="V321" s="45"/>
      <c r="W321" s="143"/>
    </row>
    <row r="322" spans="1:23" ht="15" customHeight="1">
      <c r="A322" s="146" t="str">
        <f t="shared" si="8"/>
        <v>AKH12345</v>
      </c>
      <c r="B322" s="147" t="s">
        <v>2443</v>
      </c>
      <c r="C322" s="146" t="s">
        <v>2444</v>
      </c>
      <c r="D322" s="68"/>
      <c r="E322" s="89"/>
      <c r="F322" s="68"/>
      <c r="G322" s="89"/>
      <c r="H322" s="177"/>
      <c r="I322" s="178" t="s">
        <v>847</v>
      </c>
      <c r="J322" s="178" t="s">
        <v>835</v>
      </c>
      <c r="K322" s="178" t="s">
        <v>1235</v>
      </c>
      <c r="L322" s="148" t="s">
        <v>1806</v>
      </c>
      <c r="M322" s="46" t="str">
        <f t="shared" si="9"/>
        <v>OneCo Networks AS</v>
      </c>
      <c r="N322" s="42" t="str">
        <f ca="1">IFERROR(
VLOOKUP(BoM_Griptel[[#This Row],[Product code]],
IF(AND((BoQ!$N$3&lt;&gt;""),OR(BoM_Griptel[[#This Row],[Vendor]]="Griptel",BoM_Griptel[[#This Row],[Vendor]]="Solar")),INDIRECT(Aux!$A$1)),4,FALSE),"")</f>
        <v/>
      </c>
      <c r="O322" s="170" t="s">
        <v>1807</v>
      </c>
      <c r="P322" s="43" t="str">
        <f>IFERROR(IF(AND(BoM_Griptel[[#This Row],[Quantity]]&lt;&gt;"",BoM_Griptel[[#This Row],[Currency]]="NOK"),BoM_Griptel[[#This Row],[Quantity]]*BoM_Griptel[[#This Row],[Unit Price]],""),"")</f>
        <v/>
      </c>
      <c r="Q322" s="43" t="str">
        <f>IFERROR(IF(AND(BoM_Griptel[[#This Row],[ACT_Qty]]&lt;&gt;"",BoM_Griptel[[#This Row],[Currency]]="NOK"),BoM_Griptel[[#This Row],[ACT_Qty]]*BoM_Griptel[[#This Row],[Unit Price]],""),"")</f>
        <v/>
      </c>
      <c r="R322" s="43" t="str">
        <f>IFERROR(IF(AND(BoM_Griptel[[#This Row],[Quantity]]&lt;&gt;"",BoM_Griptel[[#This Row],[Currency]]="EUR"),BoM_Griptel[[#This Row],[Quantity]]*BoM_Griptel[[#This Row],[Unit Price]],""),"")</f>
        <v/>
      </c>
      <c r="S322" s="43" t="str">
        <f>IFERROR(IF(AND(BoM_Griptel[[#This Row],[ACT_Qty]]&lt;&gt;"",BoM_Griptel[[#This Row],[Currency]]="EUR"),BoM_Griptel[[#This Row],[ACT_Qty]]*BoM_Griptel[[#This Row],[Unit Price]],""),"")</f>
        <v/>
      </c>
      <c r="T322" s="186" t="s">
        <v>1802</v>
      </c>
      <c r="U322" s="46"/>
      <c r="V322" s="46"/>
      <c r="W322" s="146"/>
    </row>
    <row r="323" spans="1:23" ht="15" customHeight="1">
      <c r="A323" s="143" t="str">
        <f t="shared" si="8"/>
        <v>AKH12345</v>
      </c>
      <c r="B323" s="144" t="s">
        <v>2445</v>
      </c>
      <c r="C323" s="143" t="s">
        <v>2446</v>
      </c>
      <c r="D323" s="105"/>
      <c r="E323" s="106"/>
      <c r="F323" s="105"/>
      <c r="G323" s="106"/>
      <c r="H323" s="175"/>
      <c r="I323" s="176" t="s">
        <v>847</v>
      </c>
      <c r="J323" s="176" t="s">
        <v>835</v>
      </c>
      <c r="K323" s="176" t="s">
        <v>1235</v>
      </c>
      <c r="L323" s="145" t="s">
        <v>1806</v>
      </c>
      <c r="M323" s="45" t="str">
        <f t="shared" si="9"/>
        <v>OneCo Networks AS</v>
      </c>
      <c r="N323" s="40" t="str">
        <f ca="1">IFERROR(
VLOOKUP(BoM_Griptel[[#This Row],[Product code]],
IF(AND((BoQ!$N$3&lt;&gt;""),OR(BoM_Griptel[[#This Row],[Vendor]]="Griptel",BoM_Griptel[[#This Row],[Vendor]]="Solar")),INDIRECT(Aux!$A$1)),4,FALSE),"")</f>
        <v/>
      </c>
      <c r="O323" s="169" t="s">
        <v>1807</v>
      </c>
      <c r="P323" s="41" t="str">
        <f>IFERROR(IF(AND(BoM_Griptel[[#This Row],[Quantity]]&lt;&gt;"",BoM_Griptel[[#This Row],[Currency]]="NOK"),BoM_Griptel[[#This Row],[Quantity]]*BoM_Griptel[[#This Row],[Unit Price]],""),"")</f>
        <v/>
      </c>
      <c r="Q323" s="41" t="str">
        <f>IFERROR(IF(AND(BoM_Griptel[[#This Row],[ACT_Qty]]&lt;&gt;"",BoM_Griptel[[#This Row],[Currency]]="NOK"),BoM_Griptel[[#This Row],[ACT_Qty]]*BoM_Griptel[[#This Row],[Unit Price]],""),"")</f>
        <v/>
      </c>
      <c r="R323" s="41" t="str">
        <f>IFERROR(IF(AND(BoM_Griptel[[#This Row],[Quantity]]&lt;&gt;"",BoM_Griptel[[#This Row],[Currency]]="EUR"),BoM_Griptel[[#This Row],[Quantity]]*BoM_Griptel[[#This Row],[Unit Price]],""),"")</f>
        <v/>
      </c>
      <c r="S323" s="41" t="str">
        <f>IFERROR(IF(AND(BoM_Griptel[[#This Row],[ACT_Qty]]&lt;&gt;"",BoM_Griptel[[#This Row],[Currency]]="EUR"),BoM_Griptel[[#This Row],[ACT_Qty]]*BoM_Griptel[[#This Row],[Unit Price]],""),"")</f>
        <v/>
      </c>
      <c r="T323" s="185" t="s">
        <v>1802</v>
      </c>
      <c r="U323" s="45"/>
      <c r="V323" s="45"/>
      <c r="W323" s="143"/>
    </row>
    <row r="324" spans="1:23" ht="15" customHeight="1">
      <c r="A324" s="146" t="str">
        <f t="shared" si="8"/>
        <v>AKH12345</v>
      </c>
      <c r="B324" s="147" t="s">
        <v>2447</v>
      </c>
      <c r="C324" s="146" t="s">
        <v>2448</v>
      </c>
      <c r="D324" s="68"/>
      <c r="E324" s="89"/>
      <c r="F324" s="68"/>
      <c r="G324" s="89"/>
      <c r="H324" s="177"/>
      <c r="I324" s="178" t="s">
        <v>847</v>
      </c>
      <c r="J324" s="178" t="s">
        <v>835</v>
      </c>
      <c r="K324" s="178" t="s">
        <v>1235</v>
      </c>
      <c r="L324" s="148" t="s">
        <v>1806</v>
      </c>
      <c r="M324" s="46" t="str">
        <f t="shared" si="9"/>
        <v>OneCo Networks AS</v>
      </c>
      <c r="N324" s="42" t="str">
        <f ca="1">IFERROR(
VLOOKUP(BoM_Griptel[[#This Row],[Product code]],
IF(AND((BoQ!$N$3&lt;&gt;""),OR(BoM_Griptel[[#This Row],[Vendor]]="Griptel",BoM_Griptel[[#This Row],[Vendor]]="Solar")),INDIRECT(Aux!$A$1)),4,FALSE),"")</f>
        <v/>
      </c>
      <c r="O324" s="170" t="s">
        <v>1807</v>
      </c>
      <c r="P324" s="43" t="str">
        <f>IFERROR(IF(AND(BoM_Griptel[[#This Row],[Quantity]]&lt;&gt;"",BoM_Griptel[[#This Row],[Currency]]="NOK"),BoM_Griptel[[#This Row],[Quantity]]*BoM_Griptel[[#This Row],[Unit Price]],""),"")</f>
        <v/>
      </c>
      <c r="Q324" s="43" t="str">
        <f>IFERROR(IF(AND(BoM_Griptel[[#This Row],[ACT_Qty]]&lt;&gt;"",BoM_Griptel[[#This Row],[Currency]]="NOK"),BoM_Griptel[[#This Row],[ACT_Qty]]*BoM_Griptel[[#This Row],[Unit Price]],""),"")</f>
        <v/>
      </c>
      <c r="R324" s="43" t="str">
        <f>IFERROR(IF(AND(BoM_Griptel[[#This Row],[Quantity]]&lt;&gt;"",BoM_Griptel[[#This Row],[Currency]]="EUR"),BoM_Griptel[[#This Row],[Quantity]]*BoM_Griptel[[#This Row],[Unit Price]],""),"")</f>
        <v/>
      </c>
      <c r="S324" s="43" t="str">
        <f>IFERROR(IF(AND(BoM_Griptel[[#This Row],[ACT_Qty]]&lt;&gt;"",BoM_Griptel[[#This Row],[Currency]]="EUR"),BoM_Griptel[[#This Row],[ACT_Qty]]*BoM_Griptel[[#This Row],[Unit Price]],""),"")</f>
        <v/>
      </c>
      <c r="T324" s="186" t="s">
        <v>1802</v>
      </c>
      <c r="U324" s="46"/>
      <c r="V324" s="46"/>
      <c r="W324" s="146"/>
    </row>
    <row r="325" spans="1:23" ht="15" customHeight="1">
      <c r="A325" s="143" t="str">
        <f t="shared" si="8"/>
        <v>AKH12345</v>
      </c>
      <c r="B325" s="144" t="s">
        <v>2449</v>
      </c>
      <c r="C325" s="143" t="s">
        <v>2450</v>
      </c>
      <c r="D325" s="105"/>
      <c r="E325" s="106"/>
      <c r="F325" s="105"/>
      <c r="G325" s="106"/>
      <c r="H325" s="175"/>
      <c r="I325" s="176" t="s">
        <v>847</v>
      </c>
      <c r="J325" s="176" t="s">
        <v>835</v>
      </c>
      <c r="K325" s="176" t="s">
        <v>1235</v>
      </c>
      <c r="L325" s="145" t="s">
        <v>1806</v>
      </c>
      <c r="M325" s="45" t="str">
        <f t="shared" si="9"/>
        <v>OneCo Networks AS</v>
      </c>
      <c r="N325" s="40" t="str">
        <f ca="1">IFERROR(
VLOOKUP(BoM_Griptel[[#This Row],[Product code]],
IF(AND((BoQ!$N$3&lt;&gt;""),OR(BoM_Griptel[[#This Row],[Vendor]]="Griptel",BoM_Griptel[[#This Row],[Vendor]]="Solar")),INDIRECT(Aux!$A$1)),4,FALSE),"")</f>
        <v/>
      </c>
      <c r="O325" s="169" t="s">
        <v>1807</v>
      </c>
      <c r="P325" s="41" t="str">
        <f>IFERROR(IF(AND(BoM_Griptel[[#This Row],[Quantity]]&lt;&gt;"",BoM_Griptel[[#This Row],[Currency]]="NOK"),BoM_Griptel[[#This Row],[Quantity]]*BoM_Griptel[[#This Row],[Unit Price]],""),"")</f>
        <v/>
      </c>
      <c r="Q325" s="41" t="str">
        <f>IFERROR(IF(AND(BoM_Griptel[[#This Row],[ACT_Qty]]&lt;&gt;"",BoM_Griptel[[#This Row],[Currency]]="NOK"),BoM_Griptel[[#This Row],[ACT_Qty]]*BoM_Griptel[[#This Row],[Unit Price]],""),"")</f>
        <v/>
      </c>
      <c r="R325" s="41" t="str">
        <f>IFERROR(IF(AND(BoM_Griptel[[#This Row],[Quantity]]&lt;&gt;"",BoM_Griptel[[#This Row],[Currency]]="EUR"),BoM_Griptel[[#This Row],[Quantity]]*BoM_Griptel[[#This Row],[Unit Price]],""),"")</f>
        <v/>
      </c>
      <c r="S325" s="41" t="str">
        <f>IFERROR(IF(AND(BoM_Griptel[[#This Row],[ACT_Qty]]&lt;&gt;"",BoM_Griptel[[#This Row],[Currency]]="EUR"),BoM_Griptel[[#This Row],[ACT_Qty]]*BoM_Griptel[[#This Row],[Unit Price]],""),"")</f>
        <v/>
      </c>
      <c r="T325" s="185" t="s">
        <v>1802</v>
      </c>
      <c r="U325" s="45"/>
      <c r="V325" s="45"/>
      <c r="W325" s="143"/>
    </row>
    <row r="326" spans="1:23" ht="15" customHeight="1">
      <c r="A326" s="146" t="str">
        <f t="shared" si="8"/>
        <v>AKH12345</v>
      </c>
      <c r="B326" s="147" t="s">
        <v>2451</v>
      </c>
      <c r="C326" s="146" t="s">
        <v>2452</v>
      </c>
      <c r="D326" s="68"/>
      <c r="E326" s="89"/>
      <c r="F326" s="68"/>
      <c r="G326" s="89"/>
      <c r="H326" s="177"/>
      <c r="I326" s="178" t="s">
        <v>847</v>
      </c>
      <c r="J326" s="178" t="s">
        <v>835</v>
      </c>
      <c r="K326" s="178" t="s">
        <v>1235</v>
      </c>
      <c r="L326" s="148" t="s">
        <v>1806</v>
      </c>
      <c r="M326" s="46" t="str">
        <f t="shared" si="9"/>
        <v>OneCo Networks AS</v>
      </c>
      <c r="N326" s="42" t="str">
        <f ca="1">IFERROR(
VLOOKUP(BoM_Griptel[[#This Row],[Product code]],
IF(AND((BoQ!$N$3&lt;&gt;""),OR(BoM_Griptel[[#This Row],[Vendor]]="Griptel",BoM_Griptel[[#This Row],[Vendor]]="Solar")),INDIRECT(Aux!$A$1)),4,FALSE),"")</f>
        <v/>
      </c>
      <c r="O326" s="170" t="s">
        <v>1807</v>
      </c>
      <c r="P326" s="43" t="str">
        <f>IFERROR(IF(AND(BoM_Griptel[[#This Row],[Quantity]]&lt;&gt;"",BoM_Griptel[[#This Row],[Currency]]="NOK"),BoM_Griptel[[#This Row],[Quantity]]*BoM_Griptel[[#This Row],[Unit Price]],""),"")</f>
        <v/>
      </c>
      <c r="Q326" s="43" t="str">
        <f>IFERROR(IF(AND(BoM_Griptel[[#This Row],[ACT_Qty]]&lt;&gt;"",BoM_Griptel[[#This Row],[Currency]]="NOK"),BoM_Griptel[[#This Row],[ACT_Qty]]*BoM_Griptel[[#This Row],[Unit Price]],""),"")</f>
        <v/>
      </c>
      <c r="R326" s="43" t="str">
        <f>IFERROR(IF(AND(BoM_Griptel[[#This Row],[Quantity]]&lt;&gt;"",BoM_Griptel[[#This Row],[Currency]]="EUR"),BoM_Griptel[[#This Row],[Quantity]]*BoM_Griptel[[#This Row],[Unit Price]],""),"")</f>
        <v/>
      </c>
      <c r="S326" s="43" t="str">
        <f>IFERROR(IF(AND(BoM_Griptel[[#This Row],[ACT_Qty]]&lt;&gt;"",BoM_Griptel[[#This Row],[Currency]]="EUR"),BoM_Griptel[[#This Row],[ACT_Qty]]*BoM_Griptel[[#This Row],[Unit Price]],""),"")</f>
        <v/>
      </c>
      <c r="T326" s="186" t="s">
        <v>1802</v>
      </c>
      <c r="U326" s="46"/>
      <c r="V326" s="46"/>
      <c r="W326" s="146"/>
    </row>
    <row r="327" spans="1:23" ht="15" customHeight="1">
      <c r="A327" s="143" t="str">
        <f t="shared" si="8"/>
        <v>AKH12345</v>
      </c>
      <c r="B327" s="144" t="s">
        <v>2453</v>
      </c>
      <c r="C327" s="143" t="s">
        <v>2454</v>
      </c>
      <c r="D327" s="105"/>
      <c r="E327" s="106"/>
      <c r="F327" s="105"/>
      <c r="G327" s="106"/>
      <c r="H327" s="175"/>
      <c r="I327" s="176" t="s">
        <v>847</v>
      </c>
      <c r="J327" s="176" t="s">
        <v>835</v>
      </c>
      <c r="K327" s="176" t="s">
        <v>1235</v>
      </c>
      <c r="L327" s="145" t="s">
        <v>1806</v>
      </c>
      <c r="M327" s="45" t="str">
        <f t="shared" si="9"/>
        <v>OneCo Networks AS</v>
      </c>
      <c r="N327" s="40" t="str">
        <f ca="1">IFERROR(
VLOOKUP(BoM_Griptel[[#This Row],[Product code]],
IF(AND((BoQ!$N$3&lt;&gt;""),OR(BoM_Griptel[[#This Row],[Vendor]]="Griptel",BoM_Griptel[[#This Row],[Vendor]]="Solar")),INDIRECT(Aux!$A$1)),4,FALSE),"")</f>
        <v/>
      </c>
      <c r="O327" s="169" t="s">
        <v>1807</v>
      </c>
      <c r="P327" s="41" t="str">
        <f>IFERROR(IF(AND(BoM_Griptel[[#This Row],[Quantity]]&lt;&gt;"",BoM_Griptel[[#This Row],[Currency]]="NOK"),BoM_Griptel[[#This Row],[Quantity]]*BoM_Griptel[[#This Row],[Unit Price]],""),"")</f>
        <v/>
      </c>
      <c r="Q327" s="41" t="str">
        <f>IFERROR(IF(AND(BoM_Griptel[[#This Row],[ACT_Qty]]&lt;&gt;"",BoM_Griptel[[#This Row],[Currency]]="NOK"),BoM_Griptel[[#This Row],[ACT_Qty]]*BoM_Griptel[[#This Row],[Unit Price]],""),"")</f>
        <v/>
      </c>
      <c r="R327" s="41" t="str">
        <f>IFERROR(IF(AND(BoM_Griptel[[#This Row],[Quantity]]&lt;&gt;"",BoM_Griptel[[#This Row],[Currency]]="EUR"),BoM_Griptel[[#This Row],[Quantity]]*BoM_Griptel[[#This Row],[Unit Price]],""),"")</f>
        <v/>
      </c>
      <c r="S327" s="41" t="str">
        <f>IFERROR(IF(AND(BoM_Griptel[[#This Row],[ACT_Qty]]&lt;&gt;"",BoM_Griptel[[#This Row],[Currency]]="EUR"),BoM_Griptel[[#This Row],[ACT_Qty]]*BoM_Griptel[[#This Row],[Unit Price]],""),"")</f>
        <v/>
      </c>
      <c r="T327" s="185" t="s">
        <v>1802</v>
      </c>
      <c r="U327" s="45"/>
      <c r="V327" s="45"/>
      <c r="W327" s="143"/>
    </row>
    <row r="328" spans="1:23" ht="15" customHeight="1">
      <c r="A328" s="146" t="str">
        <f t="shared" si="8"/>
        <v>AKH12345</v>
      </c>
      <c r="B328" s="147" t="s">
        <v>2455</v>
      </c>
      <c r="C328" s="146" t="s">
        <v>2456</v>
      </c>
      <c r="D328" s="68"/>
      <c r="E328" s="89"/>
      <c r="F328" s="68"/>
      <c r="G328" s="89"/>
      <c r="H328" s="177"/>
      <c r="I328" s="178" t="s">
        <v>847</v>
      </c>
      <c r="J328" s="178" t="s">
        <v>835</v>
      </c>
      <c r="K328" s="178" t="s">
        <v>1235</v>
      </c>
      <c r="L328" s="148" t="s">
        <v>1806</v>
      </c>
      <c r="M328" s="46" t="str">
        <f t="shared" si="9"/>
        <v>OneCo Networks AS</v>
      </c>
      <c r="N328" s="42" t="str">
        <f ca="1">IFERROR(
VLOOKUP(BoM_Griptel[[#This Row],[Product code]],
IF(AND((BoQ!$N$3&lt;&gt;""),OR(BoM_Griptel[[#This Row],[Vendor]]="Griptel",BoM_Griptel[[#This Row],[Vendor]]="Solar")),INDIRECT(Aux!$A$1)),4,FALSE),"")</f>
        <v/>
      </c>
      <c r="O328" s="170" t="s">
        <v>1807</v>
      </c>
      <c r="P328" s="43" t="str">
        <f>IFERROR(IF(AND(BoM_Griptel[[#This Row],[Quantity]]&lt;&gt;"",BoM_Griptel[[#This Row],[Currency]]="NOK"),BoM_Griptel[[#This Row],[Quantity]]*BoM_Griptel[[#This Row],[Unit Price]],""),"")</f>
        <v/>
      </c>
      <c r="Q328" s="43" t="str">
        <f>IFERROR(IF(AND(BoM_Griptel[[#This Row],[ACT_Qty]]&lt;&gt;"",BoM_Griptel[[#This Row],[Currency]]="NOK"),BoM_Griptel[[#This Row],[ACT_Qty]]*BoM_Griptel[[#This Row],[Unit Price]],""),"")</f>
        <v/>
      </c>
      <c r="R328" s="43" t="str">
        <f>IFERROR(IF(AND(BoM_Griptel[[#This Row],[Quantity]]&lt;&gt;"",BoM_Griptel[[#This Row],[Currency]]="EUR"),BoM_Griptel[[#This Row],[Quantity]]*BoM_Griptel[[#This Row],[Unit Price]],""),"")</f>
        <v/>
      </c>
      <c r="S328" s="43" t="str">
        <f>IFERROR(IF(AND(BoM_Griptel[[#This Row],[ACT_Qty]]&lt;&gt;"",BoM_Griptel[[#This Row],[Currency]]="EUR"),BoM_Griptel[[#This Row],[ACT_Qty]]*BoM_Griptel[[#This Row],[Unit Price]],""),"")</f>
        <v/>
      </c>
      <c r="T328" s="186" t="s">
        <v>1802</v>
      </c>
      <c r="U328" s="46"/>
      <c r="V328" s="46"/>
      <c r="W328" s="146"/>
    </row>
    <row r="329" spans="1:23" ht="15" customHeight="1">
      <c r="A329" s="143" t="str">
        <f t="shared" si="8"/>
        <v>AKH12345</v>
      </c>
      <c r="B329" s="144" t="s">
        <v>2457</v>
      </c>
      <c r="C329" s="143" t="s">
        <v>2458</v>
      </c>
      <c r="D329" s="105"/>
      <c r="E329" s="106"/>
      <c r="F329" s="105"/>
      <c r="G329" s="106"/>
      <c r="H329" s="175"/>
      <c r="I329" s="176" t="s">
        <v>847</v>
      </c>
      <c r="J329" s="176" t="s">
        <v>835</v>
      </c>
      <c r="K329" s="176" t="s">
        <v>1235</v>
      </c>
      <c r="L329" s="145" t="s">
        <v>1806</v>
      </c>
      <c r="M329" s="45" t="str">
        <f t="shared" si="9"/>
        <v>OneCo Networks AS</v>
      </c>
      <c r="N329" s="40" t="str">
        <f ca="1">IFERROR(
VLOOKUP(BoM_Griptel[[#This Row],[Product code]],
IF(AND((BoQ!$N$3&lt;&gt;""),OR(BoM_Griptel[[#This Row],[Vendor]]="Griptel",BoM_Griptel[[#This Row],[Vendor]]="Solar")),INDIRECT(Aux!$A$1)),4,FALSE),"")</f>
        <v/>
      </c>
      <c r="O329" s="169" t="s">
        <v>1807</v>
      </c>
      <c r="P329" s="41" t="str">
        <f>IFERROR(IF(AND(BoM_Griptel[[#This Row],[Quantity]]&lt;&gt;"",BoM_Griptel[[#This Row],[Currency]]="NOK"),BoM_Griptel[[#This Row],[Quantity]]*BoM_Griptel[[#This Row],[Unit Price]],""),"")</f>
        <v/>
      </c>
      <c r="Q329" s="41" t="str">
        <f>IFERROR(IF(AND(BoM_Griptel[[#This Row],[ACT_Qty]]&lt;&gt;"",BoM_Griptel[[#This Row],[Currency]]="NOK"),BoM_Griptel[[#This Row],[ACT_Qty]]*BoM_Griptel[[#This Row],[Unit Price]],""),"")</f>
        <v/>
      </c>
      <c r="R329" s="41" t="str">
        <f>IFERROR(IF(AND(BoM_Griptel[[#This Row],[Quantity]]&lt;&gt;"",BoM_Griptel[[#This Row],[Currency]]="EUR"),BoM_Griptel[[#This Row],[Quantity]]*BoM_Griptel[[#This Row],[Unit Price]],""),"")</f>
        <v/>
      </c>
      <c r="S329" s="41" t="str">
        <f>IFERROR(IF(AND(BoM_Griptel[[#This Row],[ACT_Qty]]&lt;&gt;"",BoM_Griptel[[#This Row],[Currency]]="EUR"),BoM_Griptel[[#This Row],[ACT_Qty]]*BoM_Griptel[[#This Row],[Unit Price]],""),"")</f>
        <v/>
      </c>
      <c r="T329" s="185" t="s">
        <v>1802</v>
      </c>
      <c r="U329" s="45"/>
      <c r="V329" s="45"/>
      <c r="W329" s="143"/>
    </row>
    <row r="330" spans="1:23" ht="15" customHeight="1">
      <c r="A330" s="146" t="str">
        <f t="shared" si="8"/>
        <v>AKH12345</v>
      </c>
      <c r="B330" s="147" t="s">
        <v>2459</v>
      </c>
      <c r="C330" s="146" t="s">
        <v>2460</v>
      </c>
      <c r="D330" s="68"/>
      <c r="E330" s="89"/>
      <c r="F330" s="68"/>
      <c r="G330" s="89"/>
      <c r="H330" s="177"/>
      <c r="I330" s="178" t="s">
        <v>847</v>
      </c>
      <c r="J330" s="178" t="s">
        <v>835</v>
      </c>
      <c r="K330" s="178" t="s">
        <v>1235</v>
      </c>
      <c r="L330" s="148" t="s">
        <v>1806</v>
      </c>
      <c r="M330" s="46" t="str">
        <f t="shared" si="9"/>
        <v>OneCo Networks AS</v>
      </c>
      <c r="N330" s="42" t="str">
        <f ca="1">IFERROR(
VLOOKUP(BoM_Griptel[[#This Row],[Product code]],
IF(AND((BoQ!$N$3&lt;&gt;""),OR(BoM_Griptel[[#This Row],[Vendor]]="Griptel",BoM_Griptel[[#This Row],[Vendor]]="Solar")),INDIRECT(Aux!$A$1)),4,FALSE),"")</f>
        <v/>
      </c>
      <c r="O330" s="170" t="s">
        <v>1807</v>
      </c>
      <c r="P330" s="43" t="str">
        <f>IFERROR(IF(AND(BoM_Griptel[[#This Row],[Quantity]]&lt;&gt;"",BoM_Griptel[[#This Row],[Currency]]="NOK"),BoM_Griptel[[#This Row],[Quantity]]*BoM_Griptel[[#This Row],[Unit Price]],""),"")</f>
        <v/>
      </c>
      <c r="Q330" s="43" t="str">
        <f>IFERROR(IF(AND(BoM_Griptel[[#This Row],[ACT_Qty]]&lt;&gt;"",BoM_Griptel[[#This Row],[Currency]]="NOK"),BoM_Griptel[[#This Row],[ACT_Qty]]*BoM_Griptel[[#This Row],[Unit Price]],""),"")</f>
        <v/>
      </c>
      <c r="R330" s="43" t="str">
        <f>IFERROR(IF(AND(BoM_Griptel[[#This Row],[Quantity]]&lt;&gt;"",BoM_Griptel[[#This Row],[Currency]]="EUR"),BoM_Griptel[[#This Row],[Quantity]]*BoM_Griptel[[#This Row],[Unit Price]],""),"")</f>
        <v/>
      </c>
      <c r="S330" s="43" t="str">
        <f>IFERROR(IF(AND(BoM_Griptel[[#This Row],[ACT_Qty]]&lt;&gt;"",BoM_Griptel[[#This Row],[Currency]]="EUR"),BoM_Griptel[[#This Row],[ACT_Qty]]*BoM_Griptel[[#This Row],[Unit Price]],""),"")</f>
        <v/>
      </c>
      <c r="T330" s="186" t="s">
        <v>1802</v>
      </c>
      <c r="U330" s="46"/>
      <c r="V330" s="46"/>
      <c r="W330" s="146"/>
    </row>
    <row r="331" spans="1:23" ht="15" customHeight="1">
      <c r="A331" s="143" t="str">
        <f t="shared" si="8"/>
        <v>AKH12345</v>
      </c>
      <c r="B331" s="144" t="s">
        <v>2461</v>
      </c>
      <c r="C331" s="143" t="s">
        <v>2462</v>
      </c>
      <c r="D331" s="105"/>
      <c r="E331" s="106"/>
      <c r="F331" s="105"/>
      <c r="G331" s="106"/>
      <c r="H331" s="175"/>
      <c r="I331" s="176" t="s">
        <v>847</v>
      </c>
      <c r="J331" s="176" t="s">
        <v>835</v>
      </c>
      <c r="K331" s="176" t="s">
        <v>1235</v>
      </c>
      <c r="L331" s="145" t="s">
        <v>1806</v>
      </c>
      <c r="M331" s="45" t="str">
        <f t="shared" si="9"/>
        <v>OneCo Networks AS</v>
      </c>
      <c r="N331" s="40" t="str">
        <f ca="1">IFERROR(
VLOOKUP(BoM_Griptel[[#This Row],[Product code]],
IF(AND((BoQ!$N$3&lt;&gt;""),OR(BoM_Griptel[[#This Row],[Vendor]]="Griptel",BoM_Griptel[[#This Row],[Vendor]]="Solar")),INDIRECT(Aux!$A$1)),4,FALSE),"")</f>
        <v/>
      </c>
      <c r="O331" s="169" t="s">
        <v>1807</v>
      </c>
      <c r="P331" s="41" t="str">
        <f>IFERROR(IF(AND(BoM_Griptel[[#This Row],[Quantity]]&lt;&gt;"",BoM_Griptel[[#This Row],[Currency]]="NOK"),BoM_Griptel[[#This Row],[Quantity]]*BoM_Griptel[[#This Row],[Unit Price]],""),"")</f>
        <v/>
      </c>
      <c r="Q331" s="41" t="str">
        <f>IFERROR(IF(AND(BoM_Griptel[[#This Row],[ACT_Qty]]&lt;&gt;"",BoM_Griptel[[#This Row],[Currency]]="NOK"),BoM_Griptel[[#This Row],[ACT_Qty]]*BoM_Griptel[[#This Row],[Unit Price]],""),"")</f>
        <v/>
      </c>
      <c r="R331" s="41" t="str">
        <f>IFERROR(IF(AND(BoM_Griptel[[#This Row],[Quantity]]&lt;&gt;"",BoM_Griptel[[#This Row],[Currency]]="EUR"),BoM_Griptel[[#This Row],[Quantity]]*BoM_Griptel[[#This Row],[Unit Price]],""),"")</f>
        <v/>
      </c>
      <c r="S331" s="41" t="str">
        <f>IFERROR(IF(AND(BoM_Griptel[[#This Row],[ACT_Qty]]&lt;&gt;"",BoM_Griptel[[#This Row],[Currency]]="EUR"),BoM_Griptel[[#This Row],[ACT_Qty]]*BoM_Griptel[[#This Row],[Unit Price]],""),"")</f>
        <v/>
      </c>
      <c r="T331" s="185" t="s">
        <v>1802</v>
      </c>
      <c r="U331" s="45"/>
      <c r="V331" s="45"/>
      <c r="W331" s="143"/>
    </row>
    <row r="332" spans="1:23" ht="15" customHeight="1">
      <c r="A332" s="146" t="str">
        <f t="shared" si="8"/>
        <v>AKH12345</v>
      </c>
      <c r="B332" s="147" t="s">
        <v>2463</v>
      </c>
      <c r="C332" s="146" t="s">
        <v>2464</v>
      </c>
      <c r="D332" s="68"/>
      <c r="E332" s="89"/>
      <c r="F332" s="68"/>
      <c r="G332" s="89"/>
      <c r="H332" s="177"/>
      <c r="I332" s="178" t="s">
        <v>847</v>
      </c>
      <c r="J332" s="178" t="s">
        <v>835</v>
      </c>
      <c r="K332" s="178" t="s">
        <v>1235</v>
      </c>
      <c r="L332" s="148" t="s">
        <v>1806</v>
      </c>
      <c r="M332" s="46" t="str">
        <f t="shared" si="9"/>
        <v>OneCo Networks AS</v>
      </c>
      <c r="N332" s="42" t="str">
        <f ca="1">IFERROR(
VLOOKUP(BoM_Griptel[[#This Row],[Product code]],
IF(AND((BoQ!$N$3&lt;&gt;""),OR(BoM_Griptel[[#This Row],[Vendor]]="Griptel",BoM_Griptel[[#This Row],[Vendor]]="Solar")),INDIRECT(Aux!$A$1)),4,FALSE),"")</f>
        <v/>
      </c>
      <c r="O332" s="170" t="s">
        <v>1807</v>
      </c>
      <c r="P332" s="43" t="str">
        <f>IFERROR(IF(AND(BoM_Griptel[[#This Row],[Quantity]]&lt;&gt;"",BoM_Griptel[[#This Row],[Currency]]="NOK"),BoM_Griptel[[#This Row],[Quantity]]*BoM_Griptel[[#This Row],[Unit Price]],""),"")</f>
        <v/>
      </c>
      <c r="Q332" s="43" t="str">
        <f>IFERROR(IF(AND(BoM_Griptel[[#This Row],[ACT_Qty]]&lt;&gt;"",BoM_Griptel[[#This Row],[Currency]]="NOK"),BoM_Griptel[[#This Row],[ACT_Qty]]*BoM_Griptel[[#This Row],[Unit Price]],""),"")</f>
        <v/>
      </c>
      <c r="R332" s="43" t="str">
        <f>IFERROR(IF(AND(BoM_Griptel[[#This Row],[Quantity]]&lt;&gt;"",BoM_Griptel[[#This Row],[Currency]]="EUR"),BoM_Griptel[[#This Row],[Quantity]]*BoM_Griptel[[#This Row],[Unit Price]],""),"")</f>
        <v/>
      </c>
      <c r="S332" s="43" t="str">
        <f>IFERROR(IF(AND(BoM_Griptel[[#This Row],[ACT_Qty]]&lt;&gt;"",BoM_Griptel[[#This Row],[Currency]]="EUR"),BoM_Griptel[[#This Row],[ACT_Qty]]*BoM_Griptel[[#This Row],[Unit Price]],""),"")</f>
        <v/>
      </c>
      <c r="T332" s="186" t="s">
        <v>1802</v>
      </c>
      <c r="U332" s="46"/>
      <c r="V332" s="46"/>
      <c r="W332" s="146"/>
    </row>
    <row r="333" spans="1:23" ht="15" customHeight="1">
      <c r="A333" s="143" t="str">
        <f t="shared" ref="A333:A397" si="10">IF($C$4&lt;&gt;"",$C$4,"")</f>
        <v>AKH12345</v>
      </c>
      <c r="B333" s="144" t="s">
        <v>2465</v>
      </c>
      <c r="C333" s="143" t="s">
        <v>2466</v>
      </c>
      <c r="D333" s="105"/>
      <c r="E333" s="106"/>
      <c r="F333" s="105"/>
      <c r="G333" s="106"/>
      <c r="H333" s="175"/>
      <c r="I333" s="176" t="s">
        <v>847</v>
      </c>
      <c r="J333" s="176" t="s">
        <v>835</v>
      </c>
      <c r="K333" s="176" t="s">
        <v>1235</v>
      </c>
      <c r="L333" s="145" t="s">
        <v>1806</v>
      </c>
      <c r="M333" s="45" t="str">
        <f t="shared" si="9"/>
        <v>OneCo Networks AS</v>
      </c>
      <c r="N333" s="40" t="str">
        <f ca="1">IFERROR(
VLOOKUP(BoM_Griptel[[#This Row],[Product code]],
IF(AND((BoQ!$N$3&lt;&gt;""),OR(BoM_Griptel[[#This Row],[Vendor]]="Griptel",BoM_Griptel[[#This Row],[Vendor]]="Solar")),INDIRECT(Aux!$A$1)),4,FALSE),"")</f>
        <v/>
      </c>
      <c r="O333" s="169" t="s">
        <v>1807</v>
      </c>
      <c r="P333" s="41" t="str">
        <f>IFERROR(IF(AND(BoM_Griptel[[#This Row],[Quantity]]&lt;&gt;"",BoM_Griptel[[#This Row],[Currency]]="NOK"),BoM_Griptel[[#This Row],[Quantity]]*BoM_Griptel[[#This Row],[Unit Price]],""),"")</f>
        <v/>
      </c>
      <c r="Q333" s="41" t="str">
        <f>IFERROR(IF(AND(BoM_Griptel[[#This Row],[ACT_Qty]]&lt;&gt;"",BoM_Griptel[[#This Row],[Currency]]="NOK"),BoM_Griptel[[#This Row],[ACT_Qty]]*BoM_Griptel[[#This Row],[Unit Price]],""),"")</f>
        <v/>
      </c>
      <c r="R333" s="41" t="str">
        <f>IFERROR(IF(AND(BoM_Griptel[[#This Row],[Quantity]]&lt;&gt;"",BoM_Griptel[[#This Row],[Currency]]="EUR"),BoM_Griptel[[#This Row],[Quantity]]*BoM_Griptel[[#This Row],[Unit Price]],""),"")</f>
        <v/>
      </c>
      <c r="S333" s="41" t="str">
        <f>IFERROR(IF(AND(BoM_Griptel[[#This Row],[ACT_Qty]]&lt;&gt;"",BoM_Griptel[[#This Row],[Currency]]="EUR"),BoM_Griptel[[#This Row],[ACT_Qty]]*BoM_Griptel[[#This Row],[Unit Price]],""),"")</f>
        <v/>
      </c>
      <c r="T333" s="185" t="s">
        <v>1802</v>
      </c>
      <c r="U333" s="45"/>
      <c r="V333" s="45"/>
      <c r="W333" s="143"/>
    </row>
    <row r="334" spans="1:23" ht="15" customHeight="1">
      <c r="A334" s="146" t="str">
        <f t="shared" si="10"/>
        <v>AKH12345</v>
      </c>
      <c r="B334" s="147" t="s">
        <v>2467</v>
      </c>
      <c r="C334" s="146" t="s">
        <v>2468</v>
      </c>
      <c r="D334" s="68"/>
      <c r="E334" s="89"/>
      <c r="F334" s="68"/>
      <c r="G334" s="89"/>
      <c r="H334" s="177"/>
      <c r="I334" s="178" t="s">
        <v>847</v>
      </c>
      <c r="J334" s="178" t="s">
        <v>835</v>
      </c>
      <c r="K334" s="178" t="s">
        <v>1235</v>
      </c>
      <c r="L334" s="148" t="s">
        <v>1806</v>
      </c>
      <c r="M334" s="46" t="str">
        <f t="shared" si="9"/>
        <v>OneCo Networks AS</v>
      </c>
      <c r="N334" s="42" t="str">
        <f ca="1">IFERROR(
VLOOKUP(BoM_Griptel[[#This Row],[Product code]],
IF(AND((BoQ!$N$3&lt;&gt;""),OR(BoM_Griptel[[#This Row],[Vendor]]="Griptel",BoM_Griptel[[#This Row],[Vendor]]="Solar")),INDIRECT(Aux!$A$1)),4,FALSE),"")</f>
        <v/>
      </c>
      <c r="O334" s="170" t="s">
        <v>1807</v>
      </c>
      <c r="P334" s="43" t="str">
        <f>IFERROR(IF(AND(BoM_Griptel[[#This Row],[Quantity]]&lt;&gt;"",BoM_Griptel[[#This Row],[Currency]]="NOK"),BoM_Griptel[[#This Row],[Quantity]]*BoM_Griptel[[#This Row],[Unit Price]],""),"")</f>
        <v/>
      </c>
      <c r="Q334" s="43" t="str">
        <f>IFERROR(IF(AND(BoM_Griptel[[#This Row],[ACT_Qty]]&lt;&gt;"",BoM_Griptel[[#This Row],[Currency]]="NOK"),BoM_Griptel[[#This Row],[ACT_Qty]]*BoM_Griptel[[#This Row],[Unit Price]],""),"")</f>
        <v/>
      </c>
      <c r="R334" s="43" t="str">
        <f>IFERROR(IF(AND(BoM_Griptel[[#This Row],[Quantity]]&lt;&gt;"",BoM_Griptel[[#This Row],[Currency]]="EUR"),BoM_Griptel[[#This Row],[Quantity]]*BoM_Griptel[[#This Row],[Unit Price]],""),"")</f>
        <v/>
      </c>
      <c r="S334" s="43" t="str">
        <f>IFERROR(IF(AND(BoM_Griptel[[#This Row],[ACT_Qty]]&lt;&gt;"",BoM_Griptel[[#This Row],[Currency]]="EUR"),BoM_Griptel[[#This Row],[ACT_Qty]]*BoM_Griptel[[#This Row],[Unit Price]],""),"")</f>
        <v/>
      </c>
      <c r="T334" s="186" t="s">
        <v>1802</v>
      </c>
      <c r="U334" s="46"/>
      <c r="V334" s="46"/>
      <c r="W334" s="146"/>
    </row>
    <row r="335" spans="1:23" ht="15" customHeight="1">
      <c r="A335" s="143" t="str">
        <f t="shared" si="10"/>
        <v>AKH12345</v>
      </c>
      <c r="B335" s="144" t="s">
        <v>2469</v>
      </c>
      <c r="C335" s="143" t="s">
        <v>2470</v>
      </c>
      <c r="D335" s="105"/>
      <c r="E335" s="106"/>
      <c r="F335" s="105"/>
      <c r="G335" s="106"/>
      <c r="H335" s="175"/>
      <c r="I335" s="176" t="s">
        <v>847</v>
      </c>
      <c r="J335" s="176" t="s">
        <v>835</v>
      </c>
      <c r="K335" s="176" t="s">
        <v>1235</v>
      </c>
      <c r="L335" s="145" t="s">
        <v>1806</v>
      </c>
      <c r="M335" s="45" t="str">
        <f t="shared" si="9"/>
        <v>OneCo Networks AS</v>
      </c>
      <c r="N335" s="40" t="str">
        <f ca="1">IFERROR(
VLOOKUP(BoM_Griptel[[#This Row],[Product code]],
IF(AND((BoQ!$N$3&lt;&gt;""),OR(BoM_Griptel[[#This Row],[Vendor]]="Griptel",BoM_Griptel[[#This Row],[Vendor]]="Solar")),INDIRECT(Aux!$A$1)),4,FALSE),"")</f>
        <v/>
      </c>
      <c r="O335" s="169" t="s">
        <v>1807</v>
      </c>
      <c r="P335" s="41" t="str">
        <f>IFERROR(IF(AND(BoM_Griptel[[#This Row],[Quantity]]&lt;&gt;"",BoM_Griptel[[#This Row],[Currency]]="NOK"),BoM_Griptel[[#This Row],[Quantity]]*BoM_Griptel[[#This Row],[Unit Price]],""),"")</f>
        <v/>
      </c>
      <c r="Q335" s="41" t="str">
        <f>IFERROR(IF(AND(BoM_Griptel[[#This Row],[ACT_Qty]]&lt;&gt;"",BoM_Griptel[[#This Row],[Currency]]="NOK"),BoM_Griptel[[#This Row],[ACT_Qty]]*BoM_Griptel[[#This Row],[Unit Price]],""),"")</f>
        <v/>
      </c>
      <c r="R335" s="41" t="str">
        <f>IFERROR(IF(AND(BoM_Griptel[[#This Row],[Quantity]]&lt;&gt;"",BoM_Griptel[[#This Row],[Currency]]="EUR"),BoM_Griptel[[#This Row],[Quantity]]*BoM_Griptel[[#This Row],[Unit Price]],""),"")</f>
        <v/>
      </c>
      <c r="S335" s="41" t="str">
        <f>IFERROR(IF(AND(BoM_Griptel[[#This Row],[ACT_Qty]]&lt;&gt;"",BoM_Griptel[[#This Row],[Currency]]="EUR"),BoM_Griptel[[#This Row],[ACT_Qty]]*BoM_Griptel[[#This Row],[Unit Price]],""),"")</f>
        <v/>
      </c>
      <c r="T335" s="185" t="s">
        <v>1802</v>
      </c>
      <c r="U335" s="45"/>
      <c r="V335" s="45"/>
      <c r="W335" s="143"/>
    </row>
    <row r="336" spans="1:23" ht="15" customHeight="1">
      <c r="A336" s="146" t="str">
        <f t="shared" si="10"/>
        <v>AKH12345</v>
      </c>
      <c r="B336" s="147" t="s">
        <v>2471</v>
      </c>
      <c r="C336" s="146" t="s">
        <v>2472</v>
      </c>
      <c r="D336" s="68"/>
      <c r="E336" s="89"/>
      <c r="F336" s="68"/>
      <c r="G336" s="89"/>
      <c r="H336" s="177"/>
      <c r="I336" s="178" t="s">
        <v>847</v>
      </c>
      <c r="J336" s="178" t="s">
        <v>835</v>
      </c>
      <c r="K336" s="178" t="s">
        <v>1235</v>
      </c>
      <c r="L336" s="148" t="s">
        <v>1806</v>
      </c>
      <c r="M336" s="46" t="str">
        <f t="shared" si="9"/>
        <v>OneCo Networks AS</v>
      </c>
      <c r="N336" s="42" t="str">
        <f ca="1">IFERROR(
VLOOKUP(BoM_Griptel[[#This Row],[Product code]],
IF(AND((BoQ!$N$3&lt;&gt;""),OR(BoM_Griptel[[#This Row],[Vendor]]="Griptel",BoM_Griptel[[#This Row],[Vendor]]="Solar")),INDIRECT(Aux!$A$1)),4,FALSE),"")</f>
        <v/>
      </c>
      <c r="O336" s="170" t="s">
        <v>1807</v>
      </c>
      <c r="P336" s="43" t="str">
        <f>IFERROR(IF(AND(BoM_Griptel[[#This Row],[Quantity]]&lt;&gt;"",BoM_Griptel[[#This Row],[Currency]]="NOK"),BoM_Griptel[[#This Row],[Quantity]]*BoM_Griptel[[#This Row],[Unit Price]],""),"")</f>
        <v/>
      </c>
      <c r="Q336" s="43" t="str">
        <f>IFERROR(IF(AND(BoM_Griptel[[#This Row],[ACT_Qty]]&lt;&gt;"",BoM_Griptel[[#This Row],[Currency]]="NOK"),BoM_Griptel[[#This Row],[ACT_Qty]]*BoM_Griptel[[#This Row],[Unit Price]],""),"")</f>
        <v/>
      </c>
      <c r="R336" s="43" t="str">
        <f>IFERROR(IF(AND(BoM_Griptel[[#This Row],[Quantity]]&lt;&gt;"",BoM_Griptel[[#This Row],[Currency]]="EUR"),BoM_Griptel[[#This Row],[Quantity]]*BoM_Griptel[[#This Row],[Unit Price]],""),"")</f>
        <v/>
      </c>
      <c r="S336" s="43" t="str">
        <f>IFERROR(IF(AND(BoM_Griptel[[#This Row],[ACT_Qty]]&lt;&gt;"",BoM_Griptel[[#This Row],[Currency]]="EUR"),BoM_Griptel[[#This Row],[ACT_Qty]]*BoM_Griptel[[#This Row],[Unit Price]],""),"")</f>
        <v/>
      </c>
      <c r="T336" s="186" t="s">
        <v>1802</v>
      </c>
      <c r="U336" s="46"/>
      <c r="V336" s="46"/>
      <c r="W336" s="146"/>
    </row>
    <row r="337" spans="1:23" ht="15" customHeight="1">
      <c r="A337" s="143" t="str">
        <f t="shared" si="10"/>
        <v>AKH12345</v>
      </c>
      <c r="B337" s="144" t="s">
        <v>2473</v>
      </c>
      <c r="C337" s="143" t="s">
        <v>2474</v>
      </c>
      <c r="D337" s="105"/>
      <c r="E337" s="106"/>
      <c r="F337" s="105"/>
      <c r="G337" s="106"/>
      <c r="H337" s="175"/>
      <c r="I337" s="176" t="s">
        <v>847</v>
      </c>
      <c r="J337" s="176" t="s">
        <v>835</v>
      </c>
      <c r="K337" s="176" t="s">
        <v>1235</v>
      </c>
      <c r="L337" s="145" t="s">
        <v>1806</v>
      </c>
      <c r="M337" s="45" t="str">
        <f t="shared" si="9"/>
        <v>OneCo Networks AS</v>
      </c>
      <c r="N337" s="40" t="str">
        <f ca="1">IFERROR(
VLOOKUP(BoM_Griptel[[#This Row],[Product code]],
IF(AND((BoQ!$N$3&lt;&gt;""),OR(BoM_Griptel[[#This Row],[Vendor]]="Griptel",BoM_Griptel[[#This Row],[Vendor]]="Solar")),INDIRECT(Aux!$A$1)),4,FALSE),"")</f>
        <v/>
      </c>
      <c r="O337" s="169" t="s">
        <v>1807</v>
      </c>
      <c r="P337" s="41" t="str">
        <f>IFERROR(IF(AND(BoM_Griptel[[#This Row],[Quantity]]&lt;&gt;"",BoM_Griptel[[#This Row],[Currency]]="NOK"),BoM_Griptel[[#This Row],[Quantity]]*BoM_Griptel[[#This Row],[Unit Price]],""),"")</f>
        <v/>
      </c>
      <c r="Q337" s="41" t="str">
        <f>IFERROR(IF(AND(BoM_Griptel[[#This Row],[ACT_Qty]]&lt;&gt;"",BoM_Griptel[[#This Row],[Currency]]="NOK"),BoM_Griptel[[#This Row],[ACT_Qty]]*BoM_Griptel[[#This Row],[Unit Price]],""),"")</f>
        <v/>
      </c>
      <c r="R337" s="41" t="str">
        <f>IFERROR(IF(AND(BoM_Griptel[[#This Row],[Quantity]]&lt;&gt;"",BoM_Griptel[[#This Row],[Currency]]="EUR"),BoM_Griptel[[#This Row],[Quantity]]*BoM_Griptel[[#This Row],[Unit Price]],""),"")</f>
        <v/>
      </c>
      <c r="S337" s="41" t="str">
        <f>IFERROR(IF(AND(BoM_Griptel[[#This Row],[ACT_Qty]]&lt;&gt;"",BoM_Griptel[[#This Row],[Currency]]="EUR"),BoM_Griptel[[#This Row],[ACT_Qty]]*BoM_Griptel[[#This Row],[Unit Price]],""),"")</f>
        <v/>
      </c>
      <c r="T337" s="185" t="s">
        <v>1802</v>
      </c>
      <c r="U337" s="45"/>
      <c r="V337" s="45"/>
      <c r="W337" s="143"/>
    </row>
    <row r="338" spans="1:23" ht="15" customHeight="1">
      <c r="A338" s="146" t="str">
        <f t="shared" si="10"/>
        <v>AKH12345</v>
      </c>
      <c r="B338" s="147" t="s">
        <v>2475</v>
      </c>
      <c r="C338" s="146" t="s">
        <v>2476</v>
      </c>
      <c r="D338" s="68"/>
      <c r="E338" s="89"/>
      <c r="F338" s="68"/>
      <c r="G338" s="89"/>
      <c r="H338" s="177"/>
      <c r="I338" s="178" t="s">
        <v>847</v>
      </c>
      <c r="J338" s="178" t="s">
        <v>835</v>
      </c>
      <c r="K338" s="178" t="s">
        <v>1235</v>
      </c>
      <c r="L338" s="148" t="s">
        <v>1806</v>
      </c>
      <c r="M338" s="46" t="str">
        <f t="shared" ref="M338:M402" si="11">IF($C$3&lt;&gt;"",$C$3,"")</f>
        <v>OneCo Networks AS</v>
      </c>
      <c r="N338" s="42" t="str">
        <f ca="1">IFERROR(
VLOOKUP(BoM_Griptel[[#This Row],[Product code]],
IF(AND((BoQ!$N$3&lt;&gt;""),OR(BoM_Griptel[[#This Row],[Vendor]]="Griptel",BoM_Griptel[[#This Row],[Vendor]]="Solar")),INDIRECT(Aux!$A$1)),4,FALSE),"")</f>
        <v/>
      </c>
      <c r="O338" s="170" t="s">
        <v>1807</v>
      </c>
      <c r="P338" s="43" t="str">
        <f>IFERROR(IF(AND(BoM_Griptel[[#This Row],[Quantity]]&lt;&gt;"",BoM_Griptel[[#This Row],[Currency]]="NOK"),BoM_Griptel[[#This Row],[Quantity]]*BoM_Griptel[[#This Row],[Unit Price]],""),"")</f>
        <v/>
      </c>
      <c r="Q338" s="43" t="str">
        <f>IFERROR(IF(AND(BoM_Griptel[[#This Row],[ACT_Qty]]&lt;&gt;"",BoM_Griptel[[#This Row],[Currency]]="NOK"),BoM_Griptel[[#This Row],[ACT_Qty]]*BoM_Griptel[[#This Row],[Unit Price]],""),"")</f>
        <v/>
      </c>
      <c r="R338" s="43" t="str">
        <f>IFERROR(IF(AND(BoM_Griptel[[#This Row],[Quantity]]&lt;&gt;"",BoM_Griptel[[#This Row],[Currency]]="EUR"),BoM_Griptel[[#This Row],[Quantity]]*BoM_Griptel[[#This Row],[Unit Price]],""),"")</f>
        <v/>
      </c>
      <c r="S338" s="43" t="str">
        <f>IFERROR(IF(AND(BoM_Griptel[[#This Row],[ACT_Qty]]&lt;&gt;"",BoM_Griptel[[#This Row],[Currency]]="EUR"),BoM_Griptel[[#This Row],[ACT_Qty]]*BoM_Griptel[[#This Row],[Unit Price]],""),"")</f>
        <v/>
      </c>
      <c r="T338" s="186" t="s">
        <v>1802</v>
      </c>
      <c r="U338" s="46"/>
      <c r="V338" s="46"/>
      <c r="W338" s="146"/>
    </row>
    <row r="339" spans="1:23" ht="15" customHeight="1">
      <c r="A339" s="143" t="str">
        <f t="shared" si="10"/>
        <v>AKH12345</v>
      </c>
      <c r="B339" s="144" t="s">
        <v>2477</v>
      </c>
      <c r="C339" s="143" t="s">
        <v>2478</v>
      </c>
      <c r="D339" s="105"/>
      <c r="E339" s="106"/>
      <c r="F339" s="105"/>
      <c r="G339" s="106"/>
      <c r="H339" s="175"/>
      <c r="I339" s="176" t="s">
        <v>847</v>
      </c>
      <c r="J339" s="176" t="s">
        <v>835</v>
      </c>
      <c r="K339" s="176" t="s">
        <v>1235</v>
      </c>
      <c r="L339" s="145" t="s">
        <v>1806</v>
      </c>
      <c r="M339" s="45" t="str">
        <f t="shared" si="11"/>
        <v>OneCo Networks AS</v>
      </c>
      <c r="N339" s="40" t="str">
        <f ca="1">IFERROR(
VLOOKUP(BoM_Griptel[[#This Row],[Product code]],
IF(AND((BoQ!$N$3&lt;&gt;""),OR(BoM_Griptel[[#This Row],[Vendor]]="Griptel",BoM_Griptel[[#This Row],[Vendor]]="Solar")),INDIRECT(Aux!$A$1)),4,FALSE),"")</f>
        <v/>
      </c>
      <c r="O339" s="169" t="s">
        <v>1807</v>
      </c>
      <c r="P339" s="41" t="str">
        <f>IFERROR(IF(AND(BoM_Griptel[[#This Row],[Quantity]]&lt;&gt;"",BoM_Griptel[[#This Row],[Currency]]="NOK"),BoM_Griptel[[#This Row],[Quantity]]*BoM_Griptel[[#This Row],[Unit Price]],""),"")</f>
        <v/>
      </c>
      <c r="Q339" s="41" t="str">
        <f>IFERROR(IF(AND(BoM_Griptel[[#This Row],[ACT_Qty]]&lt;&gt;"",BoM_Griptel[[#This Row],[Currency]]="NOK"),BoM_Griptel[[#This Row],[ACT_Qty]]*BoM_Griptel[[#This Row],[Unit Price]],""),"")</f>
        <v/>
      </c>
      <c r="R339" s="41" t="str">
        <f>IFERROR(IF(AND(BoM_Griptel[[#This Row],[Quantity]]&lt;&gt;"",BoM_Griptel[[#This Row],[Currency]]="EUR"),BoM_Griptel[[#This Row],[Quantity]]*BoM_Griptel[[#This Row],[Unit Price]],""),"")</f>
        <v/>
      </c>
      <c r="S339" s="41" t="str">
        <f>IFERROR(IF(AND(BoM_Griptel[[#This Row],[ACT_Qty]]&lt;&gt;"",BoM_Griptel[[#This Row],[Currency]]="EUR"),BoM_Griptel[[#This Row],[ACT_Qty]]*BoM_Griptel[[#This Row],[Unit Price]],""),"")</f>
        <v/>
      </c>
      <c r="T339" s="185" t="s">
        <v>1802</v>
      </c>
      <c r="U339" s="45"/>
      <c r="V339" s="45"/>
      <c r="W339" s="143"/>
    </row>
    <row r="340" spans="1:23" ht="15" customHeight="1">
      <c r="A340" s="146" t="str">
        <f t="shared" si="10"/>
        <v>AKH12345</v>
      </c>
      <c r="B340" s="147" t="s">
        <v>2479</v>
      </c>
      <c r="C340" s="146" t="s">
        <v>2480</v>
      </c>
      <c r="D340" s="68"/>
      <c r="E340" s="89"/>
      <c r="F340" s="68"/>
      <c r="G340" s="89"/>
      <c r="H340" s="177"/>
      <c r="I340" s="178" t="s">
        <v>847</v>
      </c>
      <c r="J340" s="178" t="s">
        <v>835</v>
      </c>
      <c r="K340" s="178" t="s">
        <v>1235</v>
      </c>
      <c r="L340" s="148" t="s">
        <v>1806</v>
      </c>
      <c r="M340" s="46" t="str">
        <f t="shared" si="11"/>
        <v>OneCo Networks AS</v>
      </c>
      <c r="N340" s="42" t="str">
        <f ca="1">IFERROR(
VLOOKUP(BoM_Griptel[[#This Row],[Product code]],
IF(AND((BoQ!$N$3&lt;&gt;""),OR(BoM_Griptel[[#This Row],[Vendor]]="Griptel",BoM_Griptel[[#This Row],[Vendor]]="Solar")),INDIRECT(Aux!$A$1)),4,FALSE),"")</f>
        <v/>
      </c>
      <c r="O340" s="170" t="s">
        <v>1807</v>
      </c>
      <c r="P340" s="43" t="str">
        <f>IFERROR(IF(AND(BoM_Griptel[[#This Row],[Quantity]]&lt;&gt;"",BoM_Griptel[[#This Row],[Currency]]="NOK"),BoM_Griptel[[#This Row],[Quantity]]*BoM_Griptel[[#This Row],[Unit Price]],""),"")</f>
        <v/>
      </c>
      <c r="Q340" s="43" t="str">
        <f>IFERROR(IF(AND(BoM_Griptel[[#This Row],[ACT_Qty]]&lt;&gt;"",BoM_Griptel[[#This Row],[Currency]]="NOK"),BoM_Griptel[[#This Row],[ACT_Qty]]*BoM_Griptel[[#This Row],[Unit Price]],""),"")</f>
        <v/>
      </c>
      <c r="R340" s="43" t="str">
        <f>IFERROR(IF(AND(BoM_Griptel[[#This Row],[Quantity]]&lt;&gt;"",BoM_Griptel[[#This Row],[Currency]]="EUR"),BoM_Griptel[[#This Row],[Quantity]]*BoM_Griptel[[#This Row],[Unit Price]],""),"")</f>
        <v/>
      </c>
      <c r="S340" s="43" t="str">
        <f>IFERROR(IF(AND(BoM_Griptel[[#This Row],[ACT_Qty]]&lt;&gt;"",BoM_Griptel[[#This Row],[Currency]]="EUR"),BoM_Griptel[[#This Row],[ACT_Qty]]*BoM_Griptel[[#This Row],[Unit Price]],""),"")</f>
        <v/>
      </c>
      <c r="T340" s="186" t="s">
        <v>1802</v>
      </c>
      <c r="U340" s="46"/>
      <c r="V340" s="46"/>
      <c r="W340" s="146"/>
    </row>
    <row r="341" spans="1:23" ht="15" customHeight="1">
      <c r="A341" s="143" t="str">
        <f t="shared" si="10"/>
        <v>AKH12345</v>
      </c>
      <c r="B341" s="144" t="s">
        <v>2481</v>
      </c>
      <c r="C341" s="143" t="s">
        <v>2482</v>
      </c>
      <c r="D341" s="105"/>
      <c r="E341" s="106"/>
      <c r="F341" s="105"/>
      <c r="G341" s="106"/>
      <c r="H341" s="175"/>
      <c r="I341" s="176" t="s">
        <v>847</v>
      </c>
      <c r="J341" s="176" t="s">
        <v>835</v>
      </c>
      <c r="K341" s="176" t="s">
        <v>1235</v>
      </c>
      <c r="L341" s="145" t="s">
        <v>1806</v>
      </c>
      <c r="M341" s="45" t="str">
        <f t="shared" si="11"/>
        <v>OneCo Networks AS</v>
      </c>
      <c r="N341" s="40" t="str">
        <f ca="1">IFERROR(
VLOOKUP(BoM_Griptel[[#This Row],[Product code]],
IF(AND((BoQ!$N$3&lt;&gt;""),OR(BoM_Griptel[[#This Row],[Vendor]]="Griptel",BoM_Griptel[[#This Row],[Vendor]]="Solar")),INDIRECT(Aux!$A$1)),4,FALSE),"")</f>
        <v/>
      </c>
      <c r="O341" s="169" t="s">
        <v>1807</v>
      </c>
      <c r="P341" s="41" t="str">
        <f>IFERROR(IF(AND(BoM_Griptel[[#This Row],[Quantity]]&lt;&gt;"",BoM_Griptel[[#This Row],[Currency]]="NOK"),BoM_Griptel[[#This Row],[Quantity]]*BoM_Griptel[[#This Row],[Unit Price]],""),"")</f>
        <v/>
      </c>
      <c r="Q341" s="41" t="str">
        <f>IFERROR(IF(AND(BoM_Griptel[[#This Row],[ACT_Qty]]&lt;&gt;"",BoM_Griptel[[#This Row],[Currency]]="NOK"),BoM_Griptel[[#This Row],[ACT_Qty]]*BoM_Griptel[[#This Row],[Unit Price]],""),"")</f>
        <v/>
      </c>
      <c r="R341" s="41" t="str">
        <f>IFERROR(IF(AND(BoM_Griptel[[#This Row],[Quantity]]&lt;&gt;"",BoM_Griptel[[#This Row],[Currency]]="EUR"),BoM_Griptel[[#This Row],[Quantity]]*BoM_Griptel[[#This Row],[Unit Price]],""),"")</f>
        <v/>
      </c>
      <c r="S341" s="41" t="str">
        <f>IFERROR(IF(AND(BoM_Griptel[[#This Row],[ACT_Qty]]&lt;&gt;"",BoM_Griptel[[#This Row],[Currency]]="EUR"),BoM_Griptel[[#This Row],[ACT_Qty]]*BoM_Griptel[[#This Row],[Unit Price]],""),"")</f>
        <v/>
      </c>
      <c r="T341" s="185" t="s">
        <v>1802</v>
      </c>
      <c r="U341" s="45"/>
      <c r="V341" s="45"/>
      <c r="W341" s="143"/>
    </row>
    <row r="342" spans="1:23" ht="15" customHeight="1">
      <c r="A342" s="146" t="str">
        <f t="shared" si="10"/>
        <v>AKH12345</v>
      </c>
      <c r="B342" s="147" t="s">
        <v>2483</v>
      </c>
      <c r="C342" s="146" t="s">
        <v>2484</v>
      </c>
      <c r="D342" s="68"/>
      <c r="E342" s="89"/>
      <c r="F342" s="68"/>
      <c r="G342" s="89"/>
      <c r="H342" s="177"/>
      <c r="I342" s="178" t="s">
        <v>847</v>
      </c>
      <c r="J342" s="178" t="s">
        <v>835</v>
      </c>
      <c r="K342" s="178" t="s">
        <v>1235</v>
      </c>
      <c r="L342" s="148" t="s">
        <v>1806</v>
      </c>
      <c r="M342" s="46" t="str">
        <f t="shared" si="11"/>
        <v>OneCo Networks AS</v>
      </c>
      <c r="N342" s="42" t="str">
        <f ca="1">IFERROR(
VLOOKUP(BoM_Griptel[[#This Row],[Product code]],
IF(AND((BoQ!$N$3&lt;&gt;""),OR(BoM_Griptel[[#This Row],[Vendor]]="Griptel",BoM_Griptel[[#This Row],[Vendor]]="Solar")),INDIRECT(Aux!$A$1)),4,FALSE),"")</f>
        <v/>
      </c>
      <c r="O342" s="170" t="s">
        <v>1807</v>
      </c>
      <c r="P342" s="43" t="str">
        <f>IFERROR(IF(AND(BoM_Griptel[[#This Row],[Quantity]]&lt;&gt;"",BoM_Griptel[[#This Row],[Currency]]="NOK"),BoM_Griptel[[#This Row],[Quantity]]*BoM_Griptel[[#This Row],[Unit Price]],""),"")</f>
        <v/>
      </c>
      <c r="Q342" s="43" t="str">
        <f>IFERROR(IF(AND(BoM_Griptel[[#This Row],[ACT_Qty]]&lt;&gt;"",BoM_Griptel[[#This Row],[Currency]]="NOK"),BoM_Griptel[[#This Row],[ACT_Qty]]*BoM_Griptel[[#This Row],[Unit Price]],""),"")</f>
        <v/>
      </c>
      <c r="R342" s="43" t="str">
        <f>IFERROR(IF(AND(BoM_Griptel[[#This Row],[Quantity]]&lt;&gt;"",BoM_Griptel[[#This Row],[Currency]]="EUR"),BoM_Griptel[[#This Row],[Quantity]]*BoM_Griptel[[#This Row],[Unit Price]],""),"")</f>
        <v/>
      </c>
      <c r="S342" s="43" t="str">
        <f>IFERROR(IF(AND(BoM_Griptel[[#This Row],[ACT_Qty]]&lt;&gt;"",BoM_Griptel[[#This Row],[Currency]]="EUR"),BoM_Griptel[[#This Row],[ACT_Qty]]*BoM_Griptel[[#This Row],[Unit Price]],""),"")</f>
        <v/>
      </c>
      <c r="T342" s="186" t="s">
        <v>1802</v>
      </c>
      <c r="U342" s="46"/>
      <c r="V342" s="46"/>
      <c r="W342" s="146"/>
    </row>
    <row r="343" spans="1:23" ht="15" customHeight="1">
      <c r="A343" s="143" t="str">
        <f t="shared" si="10"/>
        <v>AKH12345</v>
      </c>
      <c r="B343" s="144" t="s">
        <v>2485</v>
      </c>
      <c r="C343" s="143" t="s">
        <v>2486</v>
      </c>
      <c r="D343" s="105"/>
      <c r="E343" s="106"/>
      <c r="F343" s="105"/>
      <c r="G343" s="106"/>
      <c r="H343" s="175"/>
      <c r="I343" s="176" t="s">
        <v>847</v>
      </c>
      <c r="J343" s="176" t="s">
        <v>835</v>
      </c>
      <c r="K343" s="176" t="s">
        <v>1235</v>
      </c>
      <c r="L343" s="145" t="s">
        <v>1806</v>
      </c>
      <c r="M343" s="45" t="str">
        <f t="shared" si="11"/>
        <v>OneCo Networks AS</v>
      </c>
      <c r="N343" s="40" t="str">
        <f ca="1">IFERROR(
VLOOKUP(BoM_Griptel[[#This Row],[Product code]],
IF(AND((BoQ!$N$3&lt;&gt;""),OR(BoM_Griptel[[#This Row],[Vendor]]="Griptel",BoM_Griptel[[#This Row],[Vendor]]="Solar")),INDIRECT(Aux!$A$1)),4,FALSE),"")</f>
        <v/>
      </c>
      <c r="O343" s="169" t="s">
        <v>1807</v>
      </c>
      <c r="P343" s="41" t="str">
        <f>IFERROR(IF(AND(BoM_Griptel[[#This Row],[Quantity]]&lt;&gt;"",BoM_Griptel[[#This Row],[Currency]]="NOK"),BoM_Griptel[[#This Row],[Quantity]]*BoM_Griptel[[#This Row],[Unit Price]],""),"")</f>
        <v/>
      </c>
      <c r="Q343" s="41" t="str">
        <f>IFERROR(IF(AND(BoM_Griptel[[#This Row],[ACT_Qty]]&lt;&gt;"",BoM_Griptel[[#This Row],[Currency]]="NOK"),BoM_Griptel[[#This Row],[ACT_Qty]]*BoM_Griptel[[#This Row],[Unit Price]],""),"")</f>
        <v/>
      </c>
      <c r="R343" s="41" t="str">
        <f>IFERROR(IF(AND(BoM_Griptel[[#This Row],[Quantity]]&lt;&gt;"",BoM_Griptel[[#This Row],[Currency]]="EUR"),BoM_Griptel[[#This Row],[Quantity]]*BoM_Griptel[[#This Row],[Unit Price]],""),"")</f>
        <v/>
      </c>
      <c r="S343" s="41" t="str">
        <f>IFERROR(IF(AND(BoM_Griptel[[#This Row],[ACT_Qty]]&lt;&gt;"",BoM_Griptel[[#This Row],[Currency]]="EUR"),BoM_Griptel[[#This Row],[ACT_Qty]]*BoM_Griptel[[#This Row],[Unit Price]],""),"")</f>
        <v/>
      </c>
      <c r="T343" s="185" t="s">
        <v>1802</v>
      </c>
      <c r="U343" s="45"/>
      <c r="V343" s="45"/>
      <c r="W343" s="143"/>
    </row>
    <row r="344" spans="1:23" ht="15" customHeight="1">
      <c r="A344" s="146" t="str">
        <f t="shared" si="10"/>
        <v>AKH12345</v>
      </c>
      <c r="B344" s="147" t="s">
        <v>2487</v>
      </c>
      <c r="C344" s="146" t="s">
        <v>2488</v>
      </c>
      <c r="D344" s="68"/>
      <c r="E344" s="89"/>
      <c r="F344" s="68"/>
      <c r="G344" s="89"/>
      <c r="H344" s="177"/>
      <c r="I344" s="178" t="s">
        <v>847</v>
      </c>
      <c r="J344" s="178" t="s">
        <v>835</v>
      </c>
      <c r="K344" s="178" t="s">
        <v>1235</v>
      </c>
      <c r="L344" s="148" t="s">
        <v>1806</v>
      </c>
      <c r="M344" s="46" t="str">
        <f t="shared" si="11"/>
        <v>OneCo Networks AS</v>
      </c>
      <c r="N344" s="42" t="str">
        <f ca="1">IFERROR(
VLOOKUP(BoM_Griptel[[#This Row],[Product code]],
IF(AND((BoQ!$N$3&lt;&gt;""),OR(BoM_Griptel[[#This Row],[Vendor]]="Griptel",BoM_Griptel[[#This Row],[Vendor]]="Solar")),INDIRECT(Aux!$A$1)),4,FALSE),"")</f>
        <v/>
      </c>
      <c r="O344" s="170" t="s">
        <v>1807</v>
      </c>
      <c r="P344" s="43" t="str">
        <f>IFERROR(IF(AND(BoM_Griptel[[#This Row],[Quantity]]&lt;&gt;"",BoM_Griptel[[#This Row],[Currency]]="NOK"),BoM_Griptel[[#This Row],[Quantity]]*BoM_Griptel[[#This Row],[Unit Price]],""),"")</f>
        <v/>
      </c>
      <c r="Q344" s="43" t="str">
        <f>IFERROR(IF(AND(BoM_Griptel[[#This Row],[ACT_Qty]]&lt;&gt;"",BoM_Griptel[[#This Row],[Currency]]="NOK"),BoM_Griptel[[#This Row],[ACT_Qty]]*BoM_Griptel[[#This Row],[Unit Price]],""),"")</f>
        <v/>
      </c>
      <c r="R344" s="43" t="str">
        <f>IFERROR(IF(AND(BoM_Griptel[[#This Row],[Quantity]]&lt;&gt;"",BoM_Griptel[[#This Row],[Currency]]="EUR"),BoM_Griptel[[#This Row],[Quantity]]*BoM_Griptel[[#This Row],[Unit Price]],""),"")</f>
        <v/>
      </c>
      <c r="S344" s="43" t="str">
        <f>IFERROR(IF(AND(BoM_Griptel[[#This Row],[ACT_Qty]]&lt;&gt;"",BoM_Griptel[[#This Row],[Currency]]="EUR"),BoM_Griptel[[#This Row],[ACT_Qty]]*BoM_Griptel[[#This Row],[Unit Price]],""),"")</f>
        <v/>
      </c>
      <c r="T344" s="186" t="s">
        <v>1802</v>
      </c>
      <c r="U344" s="46"/>
      <c r="V344" s="46"/>
      <c r="W344" s="146"/>
    </row>
    <row r="345" spans="1:23" ht="15" customHeight="1">
      <c r="A345" s="143" t="str">
        <f t="shared" si="10"/>
        <v>AKH12345</v>
      </c>
      <c r="B345" s="144" t="s">
        <v>2489</v>
      </c>
      <c r="C345" s="143" t="s">
        <v>2490</v>
      </c>
      <c r="D345" s="105"/>
      <c r="E345" s="106"/>
      <c r="F345" s="105"/>
      <c r="G345" s="106"/>
      <c r="H345" s="175"/>
      <c r="I345" s="176" t="s">
        <v>847</v>
      </c>
      <c r="J345" s="176" t="s">
        <v>835</v>
      </c>
      <c r="K345" s="176" t="s">
        <v>1235</v>
      </c>
      <c r="L345" s="145" t="s">
        <v>1806</v>
      </c>
      <c r="M345" s="45" t="str">
        <f t="shared" si="11"/>
        <v>OneCo Networks AS</v>
      </c>
      <c r="N345" s="40" t="str">
        <f ca="1">IFERROR(
VLOOKUP(BoM_Griptel[[#This Row],[Product code]],
IF(AND((BoQ!$N$3&lt;&gt;""),OR(BoM_Griptel[[#This Row],[Vendor]]="Griptel",BoM_Griptel[[#This Row],[Vendor]]="Solar")),INDIRECT(Aux!$A$1)),4,FALSE),"")</f>
        <v/>
      </c>
      <c r="O345" s="169" t="s">
        <v>1807</v>
      </c>
      <c r="P345" s="41" t="str">
        <f>IFERROR(IF(AND(BoM_Griptel[[#This Row],[Quantity]]&lt;&gt;"",BoM_Griptel[[#This Row],[Currency]]="NOK"),BoM_Griptel[[#This Row],[Quantity]]*BoM_Griptel[[#This Row],[Unit Price]],""),"")</f>
        <v/>
      </c>
      <c r="Q345" s="41" t="str">
        <f>IFERROR(IF(AND(BoM_Griptel[[#This Row],[ACT_Qty]]&lt;&gt;"",BoM_Griptel[[#This Row],[Currency]]="NOK"),BoM_Griptel[[#This Row],[ACT_Qty]]*BoM_Griptel[[#This Row],[Unit Price]],""),"")</f>
        <v/>
      </c>
      <c r="R345" s="41" t="str">
        <f>IFERROR(IF(AND(BoM_Griptel[[#This Row],[Quantity]]&lt;&gt;"",BoM_Griptel[[#This Row],[Currency]]="EUR"),BoM_Griptel[[#This Row],[Quantity]]*BoM_Griptel[[#This Row],[Unit Price]],""),"")</f>
        <v/>
      </c>
      <c r="S345" s="41" t="str">
        <f>IFERROR(IF(AND(BoM_Griptel[[#This Row],[ACT_Qty]]&lt;&gt;"",BoM_Griptel[[#This Row],[Currency]]="EUR"),BoM_Griptel[[#This Row],[ACT_Qty]]*BoM_Griptel[[#This Row],[Unit Price]],""),"")</f>
        <v/>
      </c>
      <c r="T345" s="185" t="s">
        <v>1802</v>
      </c>
      <c r="U345" s="45"/>
      <c r="V345" s="45"/>
      <c r="W345" s="143"/>
    </row>
    <row r="346" spans="1:23" ht="15" customHeight="1">
      <c r="A346" s="146" t="str">
        <f t="shared" si="10"/>
        <v>AKH12345</v>
      </c>
      <c r="B346" s="147" t="s">
        <v>2491</v>
      </c>
      <c r="C346" s="146" t="s">
        <v>2492</v>
      </c>
      <c r="D346" s="68"/>
      <c r="E346" s="89"/>
      <c r="F346" s="68"/>
      <c r="G346" s="89"/>
      <c r="H346" s="177"/>
      <c r="I346" s="178" t="s">
        <v>847</v>
      </c>
      <c r="J346" s="178" t="s">
        <v>835</v>
      </c>
      <c r="K346" s="178" t="s">
        <v>1235</v>
      </c>
      <c r="L346" s="148" t="s">
        <v>1806</v>
      </c>
      <c r="M346" s="46" t="str">
        <f t="shared" si="11"/>
        <v>OneCo Networks AS</v>
      </c>
      <c r="N346" s="42" t="str">
        <f ca="1">IFERROR(
VLOOKUP(BoM_Griptel[[#This Row],[Product code]],
IF(AND((BoQ!$N$3&lt;&gt;""),OR(BoM_Griptel[[#This Row],[Vendor]]="Griptel",BoM_Griptel[[#This Row],[Vendor]]="Solar")),INDIRECT(Aux!$A$1)),4,FALSE),"")</f>
        <v/>
      </c>
      <c r="O346" s="170" t="s">
        <v>1807</v>
      </c>
      <c r="P346" s="43" t="str">
        <f>IFERROR(IF(AND(BoM_Griptel[[#This Row],[Quantity]]&lt;&gt;"",BoM_Griptel[[#This Row],[Currency]]="NOK"),BoM_Griptel[[#This Row],[Quantity]]*BoM_Griptel[[#This Row],[Unit Price]],""),"")</f>
        <v/>
      </c>
      <c r="Q346" s="43" t="str">
        <f>IFERROR(IF(AND(BoM_Griptel[[#This Row],[ACT_Qty]]&lt;&gt;"",BoM_Griptel[[#This Row],[Currency]]="NOK"),BoM_Griptel[[#This Row],[ACT_Qty]]*BoM_Griptel[[#This Row],[Unit Price]],""),"")</f>
        <v/>
      </c>
      <c r="R346" s="43" t="str">
        <f>IFERROR(IF(AND(BoM_Griptel[[#This Row],[Quantity]]&lt;&gt;"",BoM_Griptel[[#This Row],[Currency]]="EUR"),BoM_Griptel[[#This Row],[Quantity]]*BoM_Griptel[[#This Row],[Unit Price]],""),"")</f>
        <v/>
      </c>
      <c r="S346" s="43" t="str">
        <f>IFERROR(IF(AND(BoM_Griptel[[#This Row],[ACT_Qty]]&lt;&gt;"",BoM_Griptel[[#This Row],[Currency]]="EUR"),BoM_Griptel[[#This Row],[ACT_Qty]]*BoM_Griptel[[#This Row],[Unit Price]],""),"")</f>
        <v/>
      </c>
      <c r="T346" s="186" t="s">
        <v>1802</v>
      </c>
      <c r="U346" s="46"/>
      <c r="V346" s="46"/>
      <c r="W346" s="146"/>
    </row>
    <row r="347" spans="1:23" ht="15" customHeight="1">
      <c r="A347" s="143" t="str">
        <f t="shared" si="10"/>
        <v>AKH12345</v>
      </c>
      <c r="B347" s="144" t="s">
        <v>2493</v>
      </c>
      <c r="C347" s="143" t="s">
        <v>2494</v>
      </c>
      <c r="D347" s="105"/>
      <c r="E347" s="106"/>
      <c r="F347" s="105"/>
      <c r="G347" s="106"/>
      <c r="H347" s="175"/>
      <c r="I347" s="176" t="s">
        <v>847</v>
      </c>
      <c r="J347" s="176" t="s">
        <v>835</v>
      </c>
      <c r="K347" s="176" t="s">
        <v>1235</v>
      </c>
      <c r="L347" s="145" t="s">
        <v>1806</v>
      </c>
      <c r="M347" s="45" t="str">
        <f t="shared" si="11"/>
        <v>OneCo Networks AS</v>
      </c>
      <c r="N347" s="40" t="str">
        <f ca="1">IFERROR(
VLOOKUP(BoM_Griptel[[#This Row],[Product code]],
IF(AND((BoQ!$N$3&lt;&gt;""),OR(BoM_Griptel[[#This Row],[Vendor]]="Griptel",BoM_Griptel[[#This Row],[Vendor]]="Solar")),INDIRECT(Aux!$A$1)),4,FALSE),"")</f>
        <v/>
      </c>
      <c r="O347" s="169" t="s">
        <v>1807</v>
      </c>
      <c r="P347" s="41" t="str">
        <f>IFERROR(IF(AND(BoM_Griptel[[#This Row],[Quantity]]&lt;&gt;"",BoM_Griptel[[#This Row],[Currency]]="NOK"),BoM_Griptel[[#This Row],[Quantity]]*BoM_Griptel[[#This Row],[Unit Price]],""),"")</f>
        <v/>
      </c>
      <c r="Q347" s="41" t="str">
        <f>IFERROR(IF(AND(BoM_Griptel[[#This Row],[ACT_Qty]]&lt;&gt;"",BoM_Griptel[[#This Row],[Currency]]="NOK"),BoM_Griptel[[#This Row],[ACT_Qty]]*BoM_Griptel[[#This Row],[Unit Price]],""),"")</f>
        <v/>
      </c>
      <c r="R347" s="41" t="str">
        <f>IFERROR(IF(AND(BoM_Griptel[[#This Row],[Quantity]]&lt;&gt;"",BoM_Griptel[[#This Row],[Currency]]="EUR"),BoM_Griptel[[#This Row],[Quantity]]*BoM_Griptel[[#This Row],[Unit Price]],""),"")</f>
        <v/>
      </c>
      <c r="S347" s="41" t="str">
        <f>IFERROR(IF(AND(BoM_Griptel[[#This Row],[ACT_Qty]]&lt;&gt;"",BoM_Griptel[[#This Row],[Currency]]="EUR"),BoM_Griptel[[#This Row],[ACT_Qty]]*BoM_Griptel[[#This Row],[Unit Price]],""),"")</f>
        <v/>
      </c>
      <c r="T347" s="185" t="s">
        <v>1802</v>
      </c>
      <c r="U347" s="45"/>
      <c r="V347" s="45"/>
      <c r="W347" s="143"/>
    </row>
    <row r="348" spans="1:23" ht="15" customHeight="1">
      <c r="A348" s="146" t="str">
        <f t="shared" si="10"/>
        <v>AKH12345</v>
      </c>
      <c r="B348" s="147" t="s">
        <v>2495</v>
      </c>
      <c r="C348" s="146" t="s">
        <v>2496</v>
      </c>
      <c r="D348" s="68"/>
      <c r="E348" s="89"/>
      <c r="F348" s="68"/>
      <c r="G348" s="89"/>
      <c r="H348" s="177"/>
      <c r="I348" s="178" t="s">
        <v>847</v>
      </c>
      <c r="J348" s="178" t="s">
        <v>835</v>
      </c>
      <c r="K348" s="178" t="s">
        <v>1235</v>
      </c>
      <c r="L348" s="148" t="s">
        <v>1806</v>
      </c>
      <c r="M348" s="46" t="str">
        <f t="shared" si="11"/>
        <v>OneCo Networks AS</v>
      </c>
      <c r="N348" s="42" t="str">
        <f ca="1">IFERROR(
VLOOKUP(BoM_Griptel[[#This Row],[Product code]],
IF(AND((BoQ!$N$3&lt;&gt;""),OR(BoM_Griptel[[#This Row],[Vendor]]="Griptel",BoM_Griptel[[#This Row],[Vendor]]="Solar")),INDIRECT(Aux!$A$1)),4,FALSE),"")</f>
        <v/>
      </c>
      <c r="O348" s="170" t="s">
        <v>1807</v>
      </c>
      <c r="P348" s="43" t="str">
        <f>IFERROR(IF(AND(BoM_Griptel[[#This Row],[Quantity]]&lt;&gt;"",BoM_Griptel[[#This Row],[Currency]]="NOK"),BoM_Griptel[[#This Row],[Quantity]]*BoM_Griptel[[#This Row],[Unit Price]],""),"")</f>
        <v/>
      </c>
      <c r="Q348" s="43" t="str">
        <f>IFERROR(IF(AND(BoM_Griptel[[#This Row],[ACT_Qty]]&lt;&gt;"",BoM_Griptel[[#This Row],[Currency]]="NOK"),BoM_Griptel[[#This Row],[ACT_Qty]]*BoM_Griptel[[#This Row],[Unit Price]],""),"")</f>
        <v/>
      </c>
      <c r="R348" s="43" t="str">
        <f>IFERROR(IF(AND(BoM_Griptel[[#This Row],[Quantity]]&lt;&gt;"",BoM_Griptel[[#This Row],[Currency]]="EUR"),BoM_Griptel[[#This Row],[Quantity]]*BoM_Griptel[[#This Row],[Unit Price]],""),"")</f>
        <v/>
      </c>
      <c r="S348" s="43" t="str">
        <f>IFERROR(IF(AND(BoM_Griptel[[#This Row],[ACT_Qty]]&lt;&gt;"",BoM_Griptel[[#This Row],[Currency]]="EUR"),BoM_Griptel[[#This Row],[ACT_Qty]]*BoM_Griptel[[#This Row],[Unit Price]],""),"")</f>
        <v/>
      </c>
      <c r="T348" s="186" t="s">
        <v>1802</v>
      </c>
      <c r="U348" s="46"/>
      <c r="V348" s="46"/>
      <c r="W348" s="146"/>
    </row>
    <row r="349" spans="1:23" ht="15" customHeight="1">
      <c r="A349" s="143" t="str">
        <f t="shared" si="10"/>
        <v>AKH12345</v>
      </c>
      <c r="B349" s="144" t="s">
        <v>2497</v>
      </c>
      <c r="C349" s="143" t="s">
        <v>2498</v>
      </c>
      <c r="D349" s="105"/>
      <c r="E349" s="106"/>
      <c r="F349" s="105"/>
      <c r="G349" s="106"/>
      <c r="H349" s="175"/>
      <c r="I349" s="176" t="s">
        <v>847</v>
      </c>
      <c r="J349" s="176" t="s">
        <v>835</v>
      </c>
      <c r="K349" s="176" t="s">
        <v>1235</v>
      </c>
      <c r="L349" s="145" t="s">
        <v>1806</v>
      </c>
      <c r="M349" s="45" t="str">
        <f t="shared" si="11"/>
        <v>OneCo Networks AS</v>
      </c>
      <c r="N349" s="40" t="str">
        <f ca="1">IFERROR(
VLOOKUP(BoM_Griptel[[#This Row],[Product code]],
IF(AND((BoQ!$N$3&lt;&gt;""),OR(BoM_Griptel[[#This Row],[Vendor]]="Griptel",BoM_Griptel[[#This Row],[Vendor]]="Solar")),INDIRECT(Aux!$A$1)),4,FALSE),"")</f>
        <v/>
      </c>
      <c r="O349" s="169" t="s">
        <v>1807</v>
      </c>
      <c r="P349" s="41" t="str">
        <f>IFERROR(IF(AND(BoM_Griptel[[#This Row],[Quantity]]&lt;&gt;"",BoM_Griptel[[#This Row],[Currency]]="NOK"),BoM_Griptel[[#This Row],[Quantity]]*BoM_Griptel[[#This Row],[Unit Price]],""),"")</f>
        <v/>
      </c>
      <c r="Q349" s="41" t="str">
        <f>IFERROR(IF(AND(BoM_Griptel[[#This Row],[ACT_Qty]]&lt;&gt;"",BoM_Griptel[[#This Row],[Currency]]="NOK"),BoM_Griptel[[#This Row],[ACT_Qty]]*BoM_Griptel[[#This Row],[Unit Price]],""),"")</f>
        <v/>
      </c>
      <c r="R349" s="41" t="str">
        <f>IFERROR(IF(AND(BoM_Griptel[[#This Row],[Quantity]]&lt;&gt;"",BoM_Griptel[[#This Row],[Currency]]="EUR"),BoM_Griptel[[#This Row],[Quantity]]*BoM_Griptel[[#This Row],[Unit Price]],""),"")</f>
        <v/>
      </c>
      <c r="S349" s="41" t="str">
        <f>IFERROR(IF(AND(BoM_Griptel[[#This Row],[ACT_Qty]]&lt;&gt;"",BoM_Griptel[[#This Row],[Currency]]="EUR"),BoM_Griptel[[#This Row],[ACT_Qty]]*BoM_Griptel[[#This Row],[Unit Price]],""),"")</f>
        <v/>
      </c>
      <c r="T349" s="185" t="s">
        <v>1802</v>
      </c>
      <c r="U349" s="45"/>
      <c r="V349" s="45"/>
      <c r="W349" s="143"/>
    </row>
    <row r="350" spans="1:23" ht="15" customHeight="1">
      <c r="A350" s="146" t="str">
        <f t="shared" si="10"/>
        <v>AKH12345</v>
      </c>
      <c r="B350" s="147" t="s">
        <v>2499</v>
      </c>
      <c r="C350" s="146" t="s">
        <v>2500</v>
      </c>
      <c r="D350" s="68"/>
      <c r="E350" s="89"/>
      <c r="F350" s="68"/>
      <c r="G350" s="89"/>
      <c r="H350" s="177"/>
      <c r="I350" s="178" t="s">
        <v>847</v>
      </c>
      <c r="J350" s="178" t="s">
        <v>835</v>
      </c>
      <c r="K350" s="178" t="s">
        <v>1235</v>
      </c>
      <c r="L350" s="148" t="s">
        <v>1806</v>
      </c>
      <c r="M350" s="46" t="str">
        <f t="shared" si="11"/>
        <v>OneCo Networks AS</v>
      </c>
      <c r="N350" s="42" t="str">
        <f ca="1">IFERROR(
VLOOKUP(BoM_Griptel[[#This Row],[Product code]],
IF(AND((BoQ!$N$3&lt;&gt;""),OR(BoM_Griptel[[#This Row],[Vendor]]="Griptel",BoM_Griptel[[#This Row],[Vendor]]="Solar")),INDIRECT(Aux!$A$1)),4,FALSE),"")</f>
        <v/>
      </c>
      <c r="O350" s="170" t="s">
        <v>1807</v>
      </c>
      <c r="P350" s="43" t="str">
        <f>IFERROR(IF(AND(BoM_Griptel[[#This Row],[Quantity]]&lt;&gt;"",BoM_Griptel[[#This Row],[Currency]]="NOK"),BoM_Griptel[[#This Row],[Quantity]]*BoM_Griptel[[#This Row],[Unit Price]],""),"")</f>
        <v/>
      </c>
      <c r="Q350" s="43" t="str">
        <f>IFERROR(IF(AND(BoM_Griptel[[#This Row],[ACT_Qty]]&lt;&gt;"",BoM_Griptel[[#This Row],[Currency]]="NOK"),BoM_Griptel[[#This Row],[ACT_Qty]]*BoM_Griptel[[#This Row],[Unit Price]],""),"")</f>
        <v/>
      </c>
      <c r="R350" s="43" t="str">
        <f>IFERROR(IF(AND(BoM_Griptel[[#This Row],[Quantity]]&lt;&gt;"",BoM_Griptel[[#This Row],[Currency]]="EUR"),BoM_Griptel[[#This Row],[Quantity]]*BoM_Griptel[[#This Row],[Unit Price]],""),"")</f>
        <v/>
      </c>
      <c r="S350" s="43" t="str">
        <f>IFERROR(IF(AND(BoM_Griptel[[#This Row],[ACT_Qty]]&lt;&gt;"",BoM_Griptel[[#This Row],[Currency]]="EUR"),BoM_Griptel[[#This Row],[ACT_Qty]]*BoM_Griptel[[#This Row],[Unit Price]],""),"")</f>
        <v/>
      </c>
      <c r="T350" s="186" t="s">
        <v>1802</v>
      </c>
      <c r="U350" s="46"/>
      <c r="V350" s="46"/>
      <c r="W350" s="146"/>
    </row>
    <row r="351" spans="1:23" ht="15" customHeight="1">
      <c r="A351" s="143" t="str">
        <f t="shared" si="10"/>
        <v>AKH12345</v>
      </c>
      <c r="B351" s="144" t="s">
        <v>2501</v>
      </c>
      <c r="C351" s="143" t="s">
        <v>2502</v>
      </c>
      <c r="D351" s="105"/>
      <c r="E351" s="106"/>
      <c r="F351" s="105"/>
      <c r="G351" s="106"/>
      <c r="H351" s="175"/>
      <c r="I351" s="176" t="s">
        <v>847</v>
      </c>
      <c r="J351" s="176" t="s">
        <v>835</v>
      </c>
      <c r="K351" s="176" t="s">
        <v>1235</v>
      </c>
      <c r="L351" s="145" t="s">
        <v>1806</v>
      </c>
      <c r="M351" s="45" t="str">
        <f t="shared" si="11"/>
        <v>OneCo Networks AS</v>
      </c>
      <c r="N351" s="40" t="str">
        <f ca="1">IFERROR(
VLOOKUP(BoM_Griptel[[#This Row],[Product code]],
IF(AND((BoQ!$N$3&lt;&gt;""),OR(BoM_Griptel[[#This Row],[Vendor]]="Griptel",BoM_Griptel[[#This Row],[Vendor]]="Solar")),INDIRECT(Aux!$A$1)),4,FALSE),"")</f>
        <v/>
      </c>
      <c r="O351" s="169" t="s">
        <v>1807</v>
      </c>
      <c r="P351" s="41" t="str">
        <f>IFERROR(IF(AND(BoM_Griptel[[#This Row],[Quantity]]&lt;&gt;"",BoM_Griptel[[#This Row],[Currency]]="NOK"),BoM_Griptel[[#This Row],[Quantity]]*BoM_Griptel[[#This Row],[Unit Price]],""),"")</f>
        <v/>
      </c>
      <c r="Q351" s="41" t="str">
        <f>IFERROR(IF(AND(BoM_Griptel[[#This Row],[ACT_Qty]]&lt;&gt;"",BoM_Griptel[[#This Row],[Currency]]="NOK"),BoM_Griptel[[#This Row],[ACT_Qty]]*BoM_Griptel[[#This Row],[Unit Price]],""),"")</f>
        <v/>
      </c>
      <c r="R351" s="41" t="str">
        <f>IFERROR(IF(AND(BoM_Griptel[[#This Row],[Quantity]]&lt;&gt;"",BoM_Griptel[[#This Row],[Currency]]="EUR"),BoM_Griptel[[#This Row],[Quantity]]*BoM_Griptel[[#This Row],[Unit Price]],""),"")</f>
        <v/>
      </c>
      <c r="S351" s="41" t="str">
        <f>IFERROR(IF(AND(BoM_Griptel[[#This Row],[ACT_Qty]]&lt;&gt;"",BoM_Griptel[[#This Row],[Currency]]="EUR"),BoM_Griptel[[#This Row],[ACT_Qty]]*BoM_Griptel[[#This Row],[Unit Price]],""),"")</f>
        <v/>
      </c>
      <c r="T351" s="185" t="s">
        <v>1802</v>
      </c>
      <c r="U351" s="45"/>
      <c r="V351" s="45"/>
      <c r="W351" s="143"/>
    </row>
    <row r="352" spans="1:23" ht="15" customHeight="1">
      <c r="A352" s="146" t="str">
        <f t="shared" si="10"/>
        <v>AKH12345</v>
      </c>
      <c r="B352" s="147" t="s">
        <v>2503</v>
      </c>
      <c r="C352" s="146" t="s">
        <v>2504</v>
      </c>
      <c r="D352" s="68"/>
      <c r="E352" s="89"/>
      <c r="F352" s="68"/>
      <c r="G352" s="89"/>
      <c r="H352" s="177"/>
      <c r="I352" s="178" t="s">
        <v>847</v>
      </c>
      <c r="J352" s="178" t="s">
        <v>835</v>
      </c>
      <c r="K352" s="178" t="s">
        <v>1235</v>
      </c>
      <c r="L352" s="148" t="s">
        <v>1806</v>
      </c>
      <c r="M352" s="46" t="str">
        <f t="shared" si="11"/>
        <v>OneCo Networks AS</v>
      </c>
      <c r="N352" s="42" t="str">
        <f ca="1">IFERROR(
VLOOKUP(BoM_Griptel[[#This Row],[Product code]],
IF(AND((BoQ!$N$3&lt;&gt;""),OR(BoM_Griptel[[#This Row],[Vendor]]="Griptel",BoM_Griptel[[#This Row],[Vendor]]="Solar")),INDIRECT(Aux!$A$1)),4,FALSE),"")</f>
        <v/>
      </c>
      <c r="O352" s="170" t="s">
        <v>1807</v>
      </c>
      <c r="P352" s="43" t="str">
        <f>IFERROR(IF(AND(BoM_Griptel[[#This Row],[Quantity]]&lt;&gt;"",BoM_Griptel[[#This Row],[Currency]]="NOK"),BoM_Griptel[[#This Row],[Quantity]]*BoM_Griptel[[#This Row],[Unit Price]],""),"")</f>
        <v/>
      </c>
      <c r="Q352" s="43" t="str">
        <f>IFERROR(IF(AND(BoM_Griptel[[#This Row],[ACT_Qty]]&lt;&gt;"",BoM_Griptel[[#This Row],[Currency]]="NOK"),BoM_Griptel[[#This Row],[ACT_Qty]]*BoM_Griptel[[#This Row],[Unit Price]],""),"")</f>
        <v/>
      </c>
      <c r="R352" s="43" t="str">
        <f>IFERROR(IF(AND(BoM_Griptel[[#This Row],[Quantity]]&lt;&gt;"",BoM_Griptel[[#This Row],[Currency]]="EUR"),BoM_Griptel[[#This Row],[Quantity]]*BoM_Griptel[[#This Row],[Unit Price]],""),"")</f>
        <v/>
      </c>
      <c r="S352" s="43" t="str">
        <f>IFERROR(IF(AND(BoM_Griptel[[#This Row],[ACT_Qty]]&lt;&gt;"",BoM_Griptel[[#This Row],[Currency]]="EUR"),BoM_Griptel[[#This Row],[ACT_Qty]]*BoM_Griptel[[#This Row],[Unit Price]],""),"")</f>
        <v/>
      </c>
      <c r="T352" s="186" t="s">
        <v>1802</v>
      </c>
      <c r="U352" s="46"/>
      <c r="V352" s="46"/>
      <c r="W352" s="146"/>
    </row>
    <row r="353" spans="1:23" ht="15" customHeight="1">
      <c r="A353" s="143" t="str">
        <f t="shared" si="10"/>
        <v>AKH12345</v>
      </c>
      <c r="B353" s="144" t="s">
        <v>2505</v>
      </c>
      <c r="C353" s="143" t="s">
        <v>2506</v>
      </c>
      <c r="D353" s="105"/>
      <c r="E353" s="106"/>
      <c r="F353" s="105"/>
      <c r="G353" s="106"/>
      <c r="H353" s="175"/>
      <c r="I353" s="176" t="s">
        <v>847</v>
      </c>
      <c r="J353" s="176" t="s">
        <v>835</v>
      </c>
      <c r="K353" s="176" t="s">
        <v>1235</v>
      </c>
      <c r="L353" s="145" t="s">
        <v>1806</v>
      </c>
      <c r="M353" s="45" t="str">
        <f t="shared" si="11"/>
        <v>OneCo Networks AS</v>
      </c>
      <c r="N353" s="40" t="str">
        <f ca="1">IFERROR(
VLOOKUP(BoM_Griptel[[#This Row],[Product code]],
IF(AND((BoQ!$N$3&lt;&gt;""),OR(BoM_Griptel[[#This Row],[Vendor]]="Griptel",BoM_Griptel[[#This Row],[Vendor]]="Solar")),INDIRECT(Aux!$A$1)),4,FALSE),"")</f>
        <v/>
      </c>
      <c r="O353" s="169" t="s">
        <v>1807</v>
      </c>
      <c r="P353" s="41" t="str">
        <f>IFERROR(IF(AND(BoM_Griptel[[#This Row],[Quantity]]&lt;&gt;"",BoM_Griptel[[#This Row],[Currency]]="NOK"),BoM_Griptel[[#This Row],[Quantity]]*BoM_Griptel[[#This Row],[Unit Price]],""),"")</f>
        <v/>
      </c>
      <c r="Q353" s="41" t="str">
        <f>IFERROR(IF(AND(BoM_Griptel[[#This Row],[ACT_Qty]]&lt;&gt;"",BoM_Griptel[[#This Row],[Currency]]="NOK"),BoM_Griptel[[#This Row],[ACT_Qty]]*BoM_Griptel[[#This Row],[Unit Price]],""),"")</f>
        <v/>
      </c>
      <c r="R353" s="41" t="str">
        <f>IFERROR(IF(AND(BoM_Griptel[[#This Row],[Quantity]]&lt;&gt;"",BoM_Griptel[[#This Row],[Currency]]="EUR"),BoM_Griptel[[#This Row],[Quantity]]*BoM_Griptel[[#This Row],[Unit Price]],""),"")</f>
        <v/>
      </c>
      <c r="S353" s="41" t="str">
        <f>IFERROR(IF(AND(BoM_Griptel[[#This Row],[ACT_Qty]]&lt;&gt;"",BoM_Griptel[[#This Row],[Currency]]="EUR"),BoM_Griptel[[#This Row],[ACT_Qty]]*BoM_Griptel[[#This Row],[Unit Price]],""),"")</f>
        <v/>
      </c>
      <c r="T353" s="185" t="s">
        <v>1802</v>
      </c>
      <c r="U353" s="45"/>
      <c r="V353" s="45"/>
      <c r="W353" s="143"/>
    </row>
    <row r="354" spans="1:23" ht="15" customHeight="1">
      <c r="A354" s="146" t="str">
        <f t="shared" si="10"/>
        <v>AKH12345</v>
      </c>
      <c r="B354" s="147" t="s">
        <v>2507</v>
      </c>
      <c r="C354" s="146" t="s">
        <v>2508</v>
      </c>
      <c r="D354" s="68"/>
      <c r="E354" s="89"/>
      <c r="F354" s="68"/>
      <c r="G354" s="89"/>
      <c r="H354" s="177"/>
      <c r="I354" s="178" t="s">
        <v>847</v>
      </c>
      <c r="J354" s="178" t="s">
        <v>835</v>
      </c>
      <c r="K354" s="178" t="s">
        <v>1235</v>
      </c>
      <c r="L354" s="148" t="s">
        <v>1806</v>
      </c>
      <c r="M354" s="46" t="str">
        <f t="shared" si="11"/>
        <v>OneCo Networks AS</v>
      </c>
      <c r="N354" s="42" t="str">
        <f ca="1">IFERROR(
VLOOKUP(BoM_Griptel[[#This Row],[Product code]],
IF(AND((BoQ!$N$3&lt;&gt;""),OR(BoM_Griptel[[#This Row],[Vendor]]="Griptel",BoM_Griptel[[#This Row],[Vendor]]="Solar")),INDIRECT(Aux!$A$1)),4,FALSE),"")</f>
        <v/>
      </c>
      <c r="O354" s="170" t="s">
        <v>1807</v>
      </c>
      <c r="P354" s="43" t="str">
        <f>IFERROR(IF(AND(BoM_Griptel[[#This Row],[Quantity]]&lt;&gt;"",BoM_Griptel[[#This Row],[Currency]]="NOK"),BoM_Griptel[[#This Row],[Quantity]]*BoM_Griptel[[#This Row],[Unit Price]],""),"")</f>
        <v/>
      </c>
      <c r="Q354" s="43" t="str">
        <f>IFERROR(IF(AND(BoM_Griptel[[#This Row],[ACT_Qty]]&lt;&gt;"",BoM_Griptel[[#This Row],[Currency]]="NOK"),BoM_Griptel[[#This Row],[ACT_Qty]]*BoM_Griptel[[#This Row],[Unit Price]],""),"")</f>
        <v/>
      </c>
      <c r="R354" s="43" t="str">
        <f>IFERROR(IF(AND(BoM_Griptel[[#This Row],[Quantity]]&lt;&gt;"",BoM_Griptel[[#This Row],[Currency]]="EUR"),BoM_Griptel[[#This Row],[Quantity]]*BoM_Griptel[[#This Row],[Unit Price]],""),"")</f>
        <v/>
      </c>
      <c r="S354" s="43" t="str">
        <f>IFERROR(IF(AND(BoM_Griptel[[#This Row],[ACT_Qty]]&lt;&gt;"",BoM_Griptel[[#This Row],[Currency]]="EUR"),BoM_Griptel[[#This Row],[ACT_Qty]]*BoM_Griptel[[#This Row],[Unit Price]],""),"")</f>
        <v/>
      </c>
      <c r="T354" s="186" t="s">
        <v>1802</v>
      </c>
      <c r="U354" s="46"/>
      <c r="V354" s="46"/>
      <c r="W354" s="146"/>
    </row>
    <row r="355" spans="1:23" ht="15" customHeight="1">
      <c r="A355" s="143" t="str">
        <f t="shared" si="10"/>
        <v>AKH12345</v>
      </c>
      <c r="B355" s="144" t="s">
        <v>2509</v>
      </c>
      <c r="C355" s="143" t="s">
        <v>2510</v>
      </c>
      <c r="D355" s="105"/>
      <c r="E355" s="106"/>
      <c r="F355" s="105"/>
      <c r="G355" s="106"/>
      <c r="H355" s="175"/>
      <c r="I355" s="176" t="s">
        <v>847</v>
      </c>
      <c r="J355" s="176" t="s">
        <v>835</v>
      </c>
      <c r="K355" s="176" t="s">
        <v>1235</v>
      </c>
      <c r="L355" s="145" t="s">
        <v>1806</v>
      </c>
      <c r="M355" s="45" t="str">
        <f t="shared" si="11"/>
        <v>OneCo Networks AS</v>
      </c>
      <c r="N355" s="40" t="str">
        <f ca="1">IFERROR(
VLOOKUP(BoM_Griptel[[#This Row],[Product code]],
IF(AND((BoQ!$N$3&lt;&gt;""),OR(BoM_Griptel[[#This Row],[Vendor]]="Griptel",BoM_Griptel[[#This Row],[Vendor]]="Solar")),INDIRECT(Aux!$A$1)),4,FALSE),"")</f>
        <v/>
      </c>
      <c r="O355" s="169" t="s">
        <v>1807</v>
      </c>
      <c r="P355" s="41" t="str">
        <f>IFERROR(IF(AND(BoM_Griptel[[#This Row],[Quantity]]&lt;&gt;"",BoM_Griptel[[#This Row],[Currency]]="NOK"),BoM_Griptel[[#This Row],[Quantity]]*BoM_Griptel[[#This Row],[Unit Price]],""),"")</f>
        <v/>
      </c>
      <c r="Q355" s="41" t="str">
        <f>IFERROR(IF(AND(BoM_Griptel[[#This Row],[ACT_Qty]]&lt;&gt;"",BoM_Griptel[[#This Row],[Currency]]="NOK"),BoM_Griptel[[#This Row],[ACT_Qty]]*BoM_Griptel[[#This Row],[Unit Price]],""),"")</f>
        <v/>
      </c>
      <c r="R355" s="41" t="str">
        <f>IFERROR(IF(AND(BoM_Griptel[[#This Row],[Quantity]]&lt;&gt;"",BoM_Griptel[[#This Row],[Currency]]="EUR"),BoM_Griptel[[#This Row],[Quantity]]*BoM_Griptel[[#This Row],[Unit Price]],""),"")</f>
        <v/>
      </c>
      <c r="S355" s="41" t="str">
        <f>IFERROR(IF(AND(BoM_Griptel[[#This Row],[ACT_Qty]]&lt;&gt;"",BoM_Griptel[[#This Row],[Currency]]="EUR"),BoM_Griptel[[#This Row],[ACT_Qty]]*BoM_Griptel[[#This Row],[Unit Price]],""),"")</f>
        <v/>
      </c>
      <c r="T355" s="185" t="s">
        <v>1802</v>
      </c>
      <c r="U355" s="45"/>
      <c r="V355" s="45"/>
      <c r="W355" s="143"/>
    </row>
    <row r="356" spans="1:23" ht="15" customHeight="1">
      <c r="A356" s="146" t="str">
        <f t="shared" si="10"/>
        <v>AKH12345</v>
      </c>
      <c r="B356" s="147" t="s">
        <v>2511</v>
      </c>
      <c r="C356" s="146" t="s">
        <v>2512</v>
      </c>
      <c r="D356" s="68"/>
      <c r="E356" s="89"/>
      <c r="F356" s="68"/>
      <c r="G356" s="89"/>
      <c r="H356" s="177"/>
      <c r="I356" s="178" t="s">
        <v>847</v>
      </c>
      <c r="J356" s="178" t="s">
        <v>835</v>
      </c>
      <c r="K356" s="178" t="s">
        <v>1235</v>
      </c>
      <c r="L356" s="148" t="s">
        <v>1806</v>
      </c>
      <c r="M356" s="46" t="str">
        <f t="shared" si="11"/>
        <v>OneCo Networks AS</v>
      </c>
      <c r="N356" s="42" t="str">
        <f ca="1">IFERROR(
VLOOKUP(BoM_Griptel[[#This Row],[Product code]],
IF(AND((BoQ!$N$3&lt;&gt;""),OR(BoM_Griptel[[#This Row],[Vendor]]="Griptel",BoM_Griptel[[#This Row],[Vendor]]="Solar")),INDIRECT(Aux!$A$1)),4,FALSE),"")</f>
        <v/>
      </c>
      <c r="O356" s="170" t="s">
        <v>1807</v>
      </c>
      <c r="P356" s="43" t="str">
        <f>IFERROR(IF(AND(BoM_Griptel[[#This Row],[Quantity]]&lt;&gt;"",BoM_Griptel[[#This Row],[Currency]]="NOK"),BoM_Griptel[[#This Row],[Quantity]]*BoM_Griptel[[#This Row],[Unit Price]],""),"")</f>
        <v/>
      </c>
      <c r="Q356" s="43" t="str">
        <f>IFERROR(IF(AND(BoM_Griptel[[#This Row],[ACT_Qty]]&lt;&gt;"",BoM_Griptel[[#This Row],[Currency]]="NOK"),BoM_Griptel[[#This Row],[ACT_Qty]]*BoM_Griptel[[#This Row],[Unit Price]],""),"")</f>
        <v/>
      </c>
      <c r="R356" s="43" t="str">
        <f>IFERROR(IF(AND(BoM_Griptel[[#This Row],[Quantity]]&lt;&gt;"",BoM_Griptel[[#This Row],[Currency]]="EUR"),BoM_Griptel[[#This Row],[Quantity]]*BoM_Griptel[[#This Row],[Unit Price]],""),"")</f>
        <v/>
      </c>
      <c r="S356" s="43" t="str">
        <f>IFERROR(IF(AND(BoM_Griptel[[#This Row],[ACT_Qty]]&lt;&gt;"",BoM_Griptel[[#This Row],[Currency]]="EUR"),BoM_Griptel[[#This Row],[ACT_Qty]]*BoM_Griptel[[#This Row],[Unit Price]],""),"")</f>
        <v/>
      </c>
      <c r="T356" s="186" t="s">
        <v>1802</v>
      </c>
      <c r="U356" s="46"/>
      <c r="V356" s="46"/>
      <c r="W356" s="146"/>
    </row>
    <row r="357" spans="1:23" ht="15" customHeight="1">
      <c r="A357" s="143" t="str">
        <f t="shared" si="10"/>
        <v>AKH12345</v>
      </c>
      <c r="B357" s="144" t="s">
        <v>2513</v>
      </c>
      <c r="C357" s="143" t="s">
        <v>2514</v>
      </c>
      <c r="D357" s="105"/>
      <c r="E357" s="106"/>
      <c r="F357" s="105"/>
      <c r="G357" s="106"/>
      <c r="H357" s="175"/>
      <c r="I357" s="176" t="s">
        <v>847</v>
      </c>
      <c r="J357" s="176" t="s">
        <v>835</v>
      </c>
      <c r="K357" s="176" t="s">
        <v>1235</v>
      </c>
      <c r="L357" s="145" t="s">
        <v>1806</v>
      </c>
      <c r="M357" s="45" t="str">
        <f t="shared" si="11"/>
        <v>OneCo Networks AS</v>
      </c>
      <c r="N357" s="40" t="str">
        <f ca="1">IFERROR(
VLOOKUP(BoM_Griptel[[#This Row],[Product code]],
IF(AND((BoQ!$N$3&lt;&gt;""),OR(BoM_Griptel[[#This Row],[Vendor]]="Griptel",BoM_Griptel[[#This Row],[Vendor]]="Solar")),INDIRECT(Aux!$A$1)),4,FALSE),"")</f>
        <v/>
      </c>
      <c r="O357" s="169" t="s">
        <v>1807</v>
      </c>
      <c r="P357" s="41" t="str">
        <f>IFERROR(IF(AND(BoM_Griptel[[#This Row],[Quantity]]&lt;&gt;"",BoM_Griptel[[#This Row],[Currency]]="NOK"),BoM_Griptel[[#This Row],[Quantity]]*BoM_Griptel[[#This Row],[Unit Price]],""),"")</f>
        <v/>
      </c>
      <c r="Q357" s="41" t="str">
        <f>IFERROR(IF(AND(BoM_Griptel[[#This Row],[ACT_Qty]]&lt;&gt;"",BoM_Griptel[[#This Row],[Currency]]="NOK"),BoM_Griptel[[#This Row],[ACT_Qty]]*BoM_Griptel[[#This Row],[Unit Price]],""),"")</f>
        <v/>
      </c>
      <c r="R357" s="41" t="str">
        <f>IFERROR(IF(AND(BoM_Griptel[[#This Row],[Quantity]]&lt;&gt;"",BoM_Griptel[[#This Row],[Currency]]="EUR"),BoM_Griptel[[#This Row],[Quantity]]*BoM_Griptel[[#This Row],[Unit Price]],""),"")</f>
        <v/>
      </c>
      <c r="S357" s="41" t="str">
        <f>IFERROR(IF(AND(BoM_Griptel[[#This Row],[ACT_Qty]]&lt;&gt;"",BoM_Griptel[[#This Row],[Currency]]="EUR"),BoM_Griptel[[#This Row],[ACT_Qty]]*BoM_Griptel[[#This Row],[Unit Price]],""),"")</f>
        <v/>
      </c>
      <c r="T357" s="185" t="s">
        <v>1802</v>
      </c>
      <c r="U357" s="45"/>
      <c r="V357" s="45"/>
      <c r="W357" s="143"/>
    </row>
    <row r="358" spans="1:23" ht="15" customHeight="1">
      <c r="A358" s="146" t="str">
        <f t="shared" si="10"/>
        <v>AKH12345</v>
      </c>
      <c r="B358" s="147" t="s">
        <v>2515</v>
      </c>
      <c r="C358" s="146" t="s">
        <v>2516</v>
      </c>
      <c r="D358" s="68"/>
      <c r="E358" s="89"/>
      <c r="F358" s="68"/>
      <c r="G358" s="89"/>
      <c r="H358" s="177"/>
      <c r="I358" s="178" t="s">
        <v>847</v>
      </c>
      <c r="J358" s="178" t="s">
        <v>835</v>
      </c>
      <c r="K358" s="178" t="s">
        <v>1235</v>
      </c>
      <c r="L358" s="148" t="s">
        <v>1806</v>
      </c>
      <c r="M358" s="46" t="str">
        <f t="shared" si="11"/>
        <v>OneCo Networks AS</v>
      </c>
      <c r="N358" s="42" t="str">
        <f ca="1">IFERROR(
VLOOKUP(BoM_Griptel[[#This Row],[Product code]],
IF(AND((BoQ!$N$3&lt;&gt;""),OR(BoM_Griptel[[#This Row],[Vendor]]="Griptel",BoM_Griptel[[#This Row],[Vendor]]="Solar")),INDIRECT(Aux!$A$1)),4,FALSE),"")</f>
        <v/>
      </c>
      <c r="O358" s="170" t="s">
        <v>1807</v>
      </c>
      <c r="P358" s="43" t="str">
        <f>IFERROR(IF(AND(BoM_Griptel[[#This Row],[Quantity]]&lt;&gt;"",BoM_Griptel[[#This Row],[Currency]]="NOK"),BoM_Griptel[[#This Row],[Quantity]]*BoM_Griptel[[#This Row],[Unit Price]],""),"")</f>
        <v/>
      </c>
      <c r="Q358" s="43" t="str">
        <f>IFERROR(IF(AND(BoM_Griptel[[#This Row],[ACT_Qty]]&lt;&gt;"",BoM_Griptel[[#This Row],[Currency]]="NOK"),BoM_Griptel[[#This Row],[ACT_Qty]]*BoM_Griptel[[#This Row],[Unit Price]],""),"")</f>
        <v/>
      </c>
      <c r="R358" s="43" t="str">
        <f>IFERROR(IF(AND(BoM_Griptel[[#This Row],[Quantity]]&lt;&gt;"",BoM_Griptel[[#This Row],[Currency]]="EUR"),BoM_Griptel[[#This Row],[Quantity]]*BoM_Griptel[[#This Row],[Unit Price]],""),"")</f>
        <v/>
      </c>
      <c r="S358" s="43" t="str">
        <f>IFERROR(IF(AND(BoM_Griptel[[#This Row],[ACT_Qty]]&lt;&gt;"",BoM_Griptel[[#This Row],[Currency]]="EUR"),BoM_Griptel[[#This Row],[ACT_Qty]]*BoM_Griptel[[#This Row],[Unit Price]],""),"")</f>
        <v/>
      </c>
      <c r="T358" s="186" t="s">
        <v>1802</v>
      </c>
      <c r="U358" s="46"/>
      <c r="V358" s="46"/>
      <c r="W358" s="146"/>
    </row>
    <row r="359" spans="1:23" ht="15" customHeight="1">
      <c r="A359" s="143" t="str">
        <f t="shared" si="10"/>
        <v>AKH12345</v>
      </c>
      <c r="B359" s="144" t="s">
        <v>2517</v>
      </c>
      <c r="C359" s="143" t="s">
        <v>2518</v>
      </c>
      <c r="D359" s="105"/>
      <c r="E359" s="106"/>
      <c r="F359" s="105"/>
      <c r="G359" s="106"/>
      <c r="H359" s="175"/>
      <c r="I359" s="176" t="s">
        <v>847</v>
      </c>
      <c r="J359" s="176" t="s">
        <v>835</v>
      </c>
      <c r="K359" s="176" t="s">
        <v>1235</v>
      </c>
      <c r="L359" s="145" t="s">
        <v>1806</v>
      </c>
      <c r="M359" s="45" t="str">
        <f t="shared" si="11"/>
        <v>OneCo Networks AS</v>
      </c>
      <c r="N359" s="40" t="str">
        <f ca="1">IFERROR(
VLOOKUP(BoM_Griptel[[#This Row],[Product code]],
IF(AND((BoQ!$N$3&lt;&gt;""),OR(BoM_Griptel[[#This Row],[Vendor]]="Griptel",BoM_Griptel[[#This Row],[Vendor]]="Solar")),INDIRECT(Aux!$A$1)),4,FALSE),"")</f>
        <v/>
      </c>
      <c r="O359" s="169" t="s">
        <v>1807</v>
      </c>
      <c r="P359" s="41" t="str">
        <f>IFERROR(IF(AND(BoM_Griptel[[#This Row],[Quantity]]&lt;&gt;"",BoM_Griptel[[#This Row],[Currency]]="NOK"),BoM_Griptel[[#This Row],[Quantity]]*BoM_Griptel[[#This Row],[Unit Price]],""),"")</f>
        <v/>
      </c>
      <c r="Q359" s="41" t="str">
        <f>IFERROR(IF(AND(BoM_Griptel[[#This Row],[ACT_Qty]]&lt;&gt;"",BoM_Griptel[[#This Row],[Currency]]="NOK"),BoM_Griptel[[#This Row],[ACT_Qty]]*BoM_Griptel[[#This Row],[Unit Price]],""),"")</f>
        <v/>
      </c>
      <c r="R359" s="41" t="str">
        <f>IFERROR(IF(AND(BoM_Griptel[[#This Row],[Quantity]]&lt;&gt;"",BoM_Griptel[[#This Row],[Currency]]="EUR"),BoM_Griptel[[#This Row],[Quantity]]*BoM_Griptel[[#This Row],[Unit Price]],""),"")</f>
        <v/>
      </c>
      <c r="S359" s="41" t="str">
        <f>IFERROR(IF(AND(BoM_Griptel[[#This Row],[ACT_Qty]]&lt;&gt;"",BoM_Griptel[[#This Row],[Currency]]="EUR"),BoM_Griptel[[#This Row],[ACT_Qty]]*BoM_Griptel[[#This Row],[Unit Price]],""),"")</f>
        <v/>
      </c>
      <c r="T359" s="185" t="s">
        <v>1802</v>
      </c>
      <c r="U359" s="45"/>
      <c r="V359" s="45"/>
      <c r="W359" s="143"/>
    </row>
    <row r="360" spans="1:23" ht="15" customHeight="1">
      <c r="A360" s="146" t="str">
        <f t="shared" si="10"/>
        <v>AKH12345</v>
      </c>
      <c r="B360" s="147" t="s">
        <v>2519</v>
      </c>
      <c r="C360" s="146" t="s">
        <v>2520</v>
      </c>
      <c r="D360" s="68"/>
      <c r="E360" s="89"/>
      <c r="F360" s="68"/>
      <c r="G360" s="89"/>
      <c r="H360" s="177"/>
      <c r="I360" s="178" t="s">
        <v>847</v>
      </c>
      <c r="J360" s="178" t="s">
        <v>835</v>
      </c>
      <c r="K360" s="178" t="s">
        <v>1235</v>
      </c>
      <c r="L360" s="148" t="s">
        <v>1806</v>
      </c>
      <c r="M360" s="46" t="str">
        <f t="shared" si="11"/>
        <v>OneCo Networks AS</v>
      </c>
      <c r="N360" s="42" t="str">
        <f ca="1">IFERROR(
VLOOKUP(BoM_Griptel[[#This Row],[Product code]],
IF(AND((BoQ!$N$3&lt;&gt;""),OR(BoM_Griptel[[#This Row],[Vendor]]="Griptel",BoM_Griptel[[#This Row],[Vendor]]="Solar")),INDIRECT(Aux!$A$1)),4,FALSE),"")</f>
        <v/>
      </c>
      <c r="O360" s="170" t="s">
        <v>1807</v>
      </c>
      <c r="P360" s="43" t="str">
        <f>IFERROR(IF(AND(BoM_Griptel[[#This Row],[Quantity]]&lt;&gt;"",BoM_Griptel[[#This Row],[Currency]]="NOK"),BoM_Griptel[[#This Row],[Quantity]]*BoM_Griptel[[#This Row],[Unit Price]],""),"")</f>
        <v/>
      </c>
      <c r="Q360" s="43" t="str">
        <f>IFERROR(IF(AND(BoM_Griptel[[#This Row],[ACT_Qty]]&lt;&gt;"",BoM_Griptel[[#This Row],[Currency]]="NOK"),BoM_Griptel[[#This Row],[ACT_Qty]]*BoM_Griptel[[#This Row],[Unit Price]],""),"")</f>
        <v/>
      </c>
      <c r="R360" s="43" t="str">
        <f>IFERROR(IF(AND(BoM_Griptel[[#This Row],[Quantity]]&lt;&gt;"",BoM_Griptel[[#This Row],[Currency]]="EUR"),BoM_Griptel[[#This Row],[Quantity]]*BoM_Griptel[[#This Row],[Unit Price]],""),"")</f>
        <v/>
      </c>
      <c r="S360" s="43" t="str">
        <f>IFERROR(IF(AND(BoM_Griptel[[#This Row],[ACT_Qty]]&lt;&gt;"",BoM_Griptel[[#This Row],[Currency]]="EUR"),BoM_Griptel[[#This Row],[ACT_Qty]]*BoM_Griptel[[#This Row],[Unit Price]],""),"")</f>
        <v/>
      </c>
      <c r="T360" s="186" t="s">
        <v>1802</v>
      </c>
      <c r="U360" s="46"/>
      <c r="V360" s="46"/>
      <c r="W360" s="146"/>
    </row>
    <row r="361" spans="1:23" ht="15" customHeight="1">
      <c r="A361" s="143" t="str">
        <f t="shared" si="10"/>
        <v>AKH12345</v>
      </c>
      <c r="B361" s="144" t="s">
        <v>2521</v>
      </c>
      <c r="C361" s="143" t="s">
        <v>2522</v>
      </c>
      <c r="D361" s="105"/>
      <c r="E361" s="106"/>
      <c r="F361" s="105"/>
      <c r="G361" s="106"/>
      <c r="H361" s="175"/>
      <c r="I361" s="176" t="s">
        <v>847</v>
      </c>
      <c r="J361" s="176" t="s">
        <v>835</v>
      </c>
      <c r="K361" s="176" t="s">
        <v>1235</v>
      </c>
      <c r="L361" s="145" t="s">
        <v>1806</v>
      </c>
      <c r="M361" s="45" t="str">
        <f t="shared" si="11"/>
        <v>OneCo Networks AS</v>
      </c>
      <c r="N361" s="40" t="str">
        <f ca="1">IFERROR(
VLOOKUP(BoM_Griptel[[#This Row],[Product code]],
IF(AND((BoQ!$N$3&lt;&gt;""),OR(BoM_Griptel[[#This Row],[Vendor]]="Griptel",BoM_Griptel[[#This Row],[Vendor]]="Solar")),INDIRECT(Aux!$A$1)),4,FALSE),"")</f>
        <v/>
      </c>
      <c r="O361" s="169" t="s">
        <v>1807</v>
      </c>
      <c r="P361" s="41" t="str">
        <f>IFERROR(IF(AND(BoM_Griptel[[#This Row],[Quantity]]&lt;&gt;"",BoM_Griptel[[#This Row],[Currency]]="NOK"),BoM_Griptel[[#This Row],[Quantity]]*BoM_Griptel[[#This Row],[Unit Price]],""),"")</f>
        <v/>
      </c>
      <c r="Q361" s="41" t="str">
        <f>IFERROR(IF(AND(BoM_Griptel[[#This Row],[ACT_Qty]]&lt;&gt;"",BoM_Griptel[[#This Row],[Currency]]="NOK"),BoM_Griptel[[#This Row],[ACT_Qty]]*BoM_Griptel[[#This Row],[Unit Price]],""),"")</f>
        <v/>
      </c>
      <c r="R361" s="41" t="str">
        <f>IFERROR(IF(AND(BoM_Griptel[[#This Row],[Quantity]]&lt;&gt;"",BoM_Griptel[[#This Row],[Currency]]="EUR"),BoM_Griptel[[#This Row],[Quantity]]*BoM_Griptel[[#This Row],[Unit Price]],""),"")</f>
        <v/>
      </c>
      <c r="S361" s="41" t="str">
        <f>IFERROR(IF(AND(BoM_Griptel[[#This Row],[ACT_Qty]]&lt;&gt;"",BoM_Griptel[[#This Row],[Currency]]="EUR"),BoM_Griptel[[#This Row],[ACT_Qty]]*BoM_Griptel[[#This Row],[Unit Price]],""),"")</f>
        <v/>
      </c>
      <c r="T361" s="185" t="s">
        <v>1802</v>
      </c>
      <c r="U361" s="45"/>
      <c r="V361" s="45"/>
      <c r="W361" s="143"/>
    </row>
    <row r="362" spans="1:23" ht="15" customHeight="1">
      <c r="A362" s="146" t="str">
        <f t="shared" si="10"/>
        <v>AKH12345</v>
      </c>
      <c r="B362" s="147" t="s">
        <v>2523</v>
      </c>
      <c r="C362" s="146" t="s">
        <v>2524</v>
      </c>
      <c r="D362" s="68"/>
      <c r="E362" s="89"/>
      <c r="F362" s="68"/>
      <c r="G362" s="89"/>
      <c r="H362" s="177"/>
      <c r="I362" s="178" t="s">
        <v>847</v>
      </c>
      <c r="J362" s="178" t="s">
        <v>835</v>
      </c>
      <c r="K362" s="178" t="s">
        <v>1235</v>
      </c>
      <c r="L362" s="148" t="s">
        <v>1806</v>
      </c>
      <c r="M362" s="46" t="str">
        <f t="shared" si="11"/>
        <v>OneCo Networks AS</v>
      </c>
      <c r="N362" s="42" t="str">
        <f ca="1">IFERROR(
VLOOKUP(BoM_Griptel[[#This Row],[Product code]],
IF(AND((BoQ!$N$3&lt;&gt;""),OR(BoM_Griptel[[#This Row],[Vendor]]="Griptel",BoM_Griptel[[#This Row],[Vendor]]="Solar")),INDIRECT(Aux!$A$1)),4,FALSE),"")</f>
        <v/>
      </c>
      <c r="O362" s="170" t="s">
        <v>1807</v>
      </c>
      <c r="P362" s="43" t="str">
        <f>IFERROR(IF(AND(BoM_Griptel[[#This Row],[Quantity]]&lt;&gt;"",BoM_Griptel[[#This Row],[Currency]]="NOK"),BoM_Griptel[[#This Row],[Quantity]]*BoM_Griptel[[#This Row],[Unit Price]],""),"")</f>
        <v/>
      </c>
      <c r="Q362" s="43" t="str">
        <f>IFERROR(IF(AND(BoM_Griptel[[#This Row],[ACT_Qty]]&lt;&gt;"",BoM_Griptel[[#This Row],[Currency]]="NOK"),BoM_Griptel[[#This Row],[ACT_Qty]]*BoM_Griptel[[#This Row],[Unit Price]],""),"")</f>
        <v/>
      </c>
      <c r="R362" s="43" t="str">
        <f>IFERROR(IF(AND(BoM_Griptel[[#This Row],[Quantity]]&lt;&gt;"",BoM_Griptel[[#This Row],[Currency]]="EUR"),BoM_Griptel[[#This Row],[Quantity]]*BoM_Griptel[[#This Row],[Unit Price]],""),"")</f>
        <v/>
      </c>
      <c r="S362" s="43" t="str">
        <f>IFERROR(IF(AND(BoM_Griptel[[#This Row],[ACT_Qty]]&lt;&gt;"",BoM_Griptel[[#This Row],[Currency]]="EUR"),BoM_Griptel[[#This Row],[ACT_Qty]]*BoM_Griptel[[#This Row],[Unit Price]],""),"")</f>
        <v/>
      </c>
      <c r="T362" s="186" t="s">
        <v>1802</v>
      </c>
      <c r="U362" s="46"/>
      <c r="V362" s="46"/>
      <c r="W362" s="146"/>
    </row>
    <row r="363" spans="1:23" ht="15" customHeight="1">
      <c r="A363" s="143" t="str">
        <f t="shared" si="10"/>
        <v>AKH12345</v>
      </c>
      <c r="B363" s="144" t="s">
        <v>2525</v>
      </c>
      <c r="C363" s="143" t="s">
        <v>2526</v>
      </c>
      <c r="D363" s="105"/>
      <c r="E363" s="106"/>
      <c r="F363" s="105"/>
      <c r="G363" s="106"/>
      <c r="H363" s="175"/>
      <c r="I363" s="176" t="s">
        <v>847</v>
      </c>
      <c r="J363" s="176" t="s">
        <v>2527</v>
      </c>
      <c r="K363" s="176" t="s">
        <v>1235</v>
      </c>
      <c r="L363" s="145" t="s">
        <v>1806</v>
      </c>
      <c r="M363" s="45" t="str">
        <f t="shared" si="11"/>
        <v>OneCo Networks AS</v>
      </c>
      <c r="N363" s="40" t="str">
        <f ca="1">IFERROR(
VLOOKUP(BoM_Griptel[[#This Row],[Product code]],
IF(AND((BoQ!$N$3&lt;&gt;""),OR(BoM_Griptel[[#This Row],[Vendor]]="Griptel",BoM_Griptel[[#This Row],[Vendor]]="Solar")),INDIRECT(Aux!$A$1)),4,FALSE),"")</f>
        <v/>
      </c>
      <c r="O363" s="169" t="s">
        <v>1807</v>
      </c>
      <c r="P363" s="41" t="str">
        <f>IFERROR(IF(AND(BoM_Griptel[[#This Row],[Quantity]]&lt;&gt;"",BoM_Griptel[[#This Row],[Currency]]="NOK"),BoM_Griptel[[#This Row],[Quantity]]*BoM_Griptel[[#This Row],[Unit Price]],""),"")</f>
        <v/>
      </c>
      <c r="Q363" s="41" t="str">
        <f>IFERROR(IF(AND(BoM_Griptel[[#This Row],[ACT_Qty]]&lt;&gt;"",BoM_Griptel[[#This Row],[Currency]]="NOK"),BoM_Griptel[[#This Row],[ACT_Qty]]*BoM_Griptel[[#This Row],[Unit Price]],""),"")</f>
        <v/>
      </c>
      <c r="R363" s="41" t="str">
        <f>IFERROR(IF(AND(BoM_Griptel[[#This Row],[Quantity]]&lt;&gt;"",BoM_Griptel[[#This Row],[Currency]]="EUR"),BoM_Griptel[[#This Row],[Quantity]]*BoM_Griptel[[#This Row],[Unit Price]],""),"")</f>
        <v/>
      </c>
      <c r="S363" s="41" t="str">
        <f>IFERROR(IF(AND(BoM_Griptel[[#This Row],[ACT_Qty]]&lt;&gt;"",BoM_Griptel[[#This Row],[Currency]]="EUR"),BoM_Griptel[[#This Row],[ACT_Qty]]*BoM_Griptel[[#This Row],[Unit Price]],""),"")</f>
        <v/>
      </c>
      <c r="T363" s="185"/>
      <c r="U363" s="45"/>
      <c r="V363" s="45"/>
      <c r="W363" s="143"/>
    </row>
    <row r="364" spans="1:23" ht="15" customHeight="1">
      <c r="A364" s="146" t="str">
        <f t="shared" si="10"/>
        <v>AKH12345</v>
      </c>
      <c r="B364" s="147" t="s">
        <v>2528</v>
      </c>
      <c r="C364" s="146" t="s">
        <v>2529</v>
      </c>
      <c r="D364" s="68"/>
      <c r="E364" s="89"/>
      <c r="F364" s="68"/>
      <c r="G364" s="89"/>
      <c r="H364" s="177"/>
      <c r="I364" s="178" t="s">
        <v>847</v>
      </c>
      <c r="J364" s="178" t="s">
        <v>835</v>
      </c>
      <c r="K364" s="178" t="s">
        <v>1235</v>
      </c>
      <c r="L364" s="148" t="s">
        <v>1806</v>
      </c>
      <c r="M364" s="46" t="str">
        <f t="shared" si="11"/>
        <v>OneCo Networks AS</v>
      </c>
      <c r="N364" s="42" t="str">
        <f ca="1">IFERROR(
VLOOKUP(BoM_Griptel[[#This Row],[Product code]],
IF(AND((BoQ!$N$3&lt;&gt;""),OR(BoM_Griptel[[#This Row],[Vendor]]="Griptel",BoM_Griptel[[#This Row],[Vendor]]="Solar")),INDIRECT(Aux!$A$1)),4,FALSE),"")</f>
        <v/>
      </c>
      <c r="O364" s="170" t="s">
        <v>1807</v>
      </c>
      <c r="P364" s="43" t="str">
        <f>IFERROR(IF(AND(BoM_Griptel[[#This Row],[Quantity]]&lt;&gt;"",BoM_Griptel[[#This Row],[Currency]]="NOK"),BoM_Griptel[[#This Row],[Quantity]]*BoM_Griptel[[#This Row],[Unit Price]],""),"")</f>
        <v/>
      </c>
      <c r="Q364" s="43" t="str">
        <f>IFERROR(IF(AND(BoM_Griptel[[#This Row],[ACT_Qty]]&lt;&gt;"",BoM_Griptel[[#This Row],[Currency]]="NOK"),BoM_Griptel[[#This Row],[ACT_Qty]]*BoM_Griptel[[#This Row],[Unit Price]],""),"")</f>
        <v/>
      </c>
      <c r="R364" s="43" t="str">
        <f>IFERROR(IF(AND(BoM_Griptel[[#This Row],[Quantity]]&lt;&gt;"",BoM_Griptel[[#This Row],[Currency]]="EUR"),BoM_Griptel[[#This Row],[Quantity]]*BoM_Griptel[[#This Row],[Unit Price]],""),"")</f>
        <v/>
      </c>
      <c r="S364" s="43" t="str">
        <f>IFERROR(IF(AND(BoM_Griptel[[#This Row],[ACT_Qty]]&lt;&gt;"",BoM_Griptel[[#This Row],[Currency]]="EUR"),BoM_Griptel[[#This Row],[ACT_Qty]]*BoM_Griptel[[#This Row],[Unit Price]],""),"")</f>
        <v/>
      </c>
      <c r="T364" s="186" t="s">
        <v>1802</v>
      </c>
      <c r="U364" s="46"/>
      <c r="V364" s="46"/>
      <c r="W364" s="146"/>
    </row>
    <row r="365" spans="1:23" ht="15" customHeight="1">
      <c r="A365" s="143" t="str">
        <f t="shared" si="10"/>
        <v>AKH12345</v>
      </c>
      <c r="B365" s="144" t="s">
        <v>2530</v>
      </c>
      <c r="C365" s="143" t="s">
        <v>2531</v>
      </c>
      <c r="D365" s="105"/>
      <c r="E365" s="106"/>
      <c r="F365" s="105"/>
      <c r="G365" s="106"/>
      <c r="H365" s="175"/>
      <c r="I365" s="176" t="s">
        <v>847</v>
      </c>
      <c r="J365" s="176" t="s">
        <v>835</v>
      </c>
      <c r="K365" s="176" t="s">
        <v>1235</v>
      </c>
      <c r="L365" s="145" t="s">
        <v>1806</v>
      </c>
      <c r="M365" s="45" t="str">
        <f t="shared" si="11"/>
        <v>OneCo Networks AS</v>
      </c>
      <c r="N365" s="40" t="str">
        <f ca="1">IFERROR(
VLOOKUP(BoM_Griptel[[#This Row],[Product code]],
IF(AND((BoQ!$N$3&lt;&gt;""),OR(BoM_Griptel[[#This Row],[Vendor]]="Griptel",BoM_Griptel[[#This Row],[Vendor]]="Solar")),INDIRECT(Aux!$A$1)),4,FALSE),"")</f>
        <v/>
      </c>
      <c r="O365" s="169" t="s">
        <v>1807</v>
      </c>
      <c r="P365" s="41" t="str">
        <f>IFERROR(IF(AND(BoM_Griptel[[#This Row],[Quantity]]&lt;&gt;"",BoM_Griptel[[#This Row],[Currency]]="NOK"),BoM_Griptel[[#This Row],[Quantity]]*BoM_Griptel[[#This Row],[Unit Price]],""),"")</f>
        <v/>
      </c>
      <c r="Q365" s="41" t="str">
        <f>IFERROR(IF(AND(BoM_Griptel[[#This Row],[ACT_Qty]]&lt;&gt;"",BoM_Griptel[[#This Row],[Currency]]="NOK"),BoM_Griptel[[#This Row],[ACT_Qty]]*BoM_Griptel[[#This Row],[Unit Price]],""),"")</f>
        <v/>
      </c>
      <c r="R365" s="41" t="str">
        <f>IFERROR(IF(AND(BoM_Griptel[[#This Row],[Quantity]]&lt;&gt;"",BoM_Griptel[[#This Row],[Currency]]="EUR"),BoM_Griptel[[#This Row],[Quantity]]*BoM_Griptel[[#This Row],[Unit Price]],""),"")</f>
        <v/>
      </c>
      <c r="S365" s="41" t="str">
        <f>IFERROR(IF(AND(BoM_Griptel[[#This Row],[ACT_Qty]]&lt;&gt;"",BoM_Griptel[[#This Row],[Currency]]="EUR"),BoM_Griptel[[#This Row],[ACT_Qty]]*BoM_Griptel[[#This Row],[Unit Price]],""),"")</f>
        <v/>
      </c>
      <c r="T365" s="185" t="s">
        <v>1802</v>
      </c>
      <c r="U365" s="45"/>
      <c r="V365" s="45"/>
      <c r="W365" s="143"/>
    </row>
    <row r="366" spans="1:23" ht="15" customHeight="1">
      <c r="A366" s="146" t="str">
        <f t="shared" si="10"/>
        <v>AKH12345</v>
      </c>
      <c r="B366" s="147" t="s">
        <v>2532</v>
      </c>
      <c r="C366" s="146" t="s">
        <v>2533</v>
      </c>
      <c r="D366" s="68"/>
      <c r="E366" s="89"/>
      <c r="F366" s="68"/>
      <c r="G366" s="89"/>
      <c r="H366" s="177"/>
      <c r="I366" s="178" t="s">
        <v>847</v>
      </c>
      <c r="J366" s="178" t="s">
        <v>835</v>
      </c>
      <c r="K366" s="178" t="s">
        <v>1235</v>
      </c>
      <c r="L366" s="148" t="s">
        <v>1806</v>
      </c>
      <c r="M366" s="46" t="str">
        <f t="shared" si="11"/>
        <v>OneCo Networks AS</v>
      </c>
      <c r="N366" s="42" t="str">
        <f ca="1">IFERROR(
VLOOKUP(BoM_Griptel[[#This Row],[Product code]],
IF(AND((BoQ!$N$3&lt;&gt;""),OR(BoM_Griptel[[#This Row],[Vendor]]="Griptel",BoM_Griptel[[#This Row],[Vendor]]="Solar")),INDIRECT(Aux!$A$1)),4,FALSE),"")</f>
        <v/>
      </c>
      <c r="O366" s="170" t="s">
        <v>1807</v>
      </c>
      <c r="P366" s="43" t="str">
        <f>IFERROR(IF(AND(BoM_Griptel[[#This Row],[Quantity]]&lt;&gt;"",BoM_Griptel[[#This Row],[Currency]]="NOK"),BoM_Griptel[[#This Row],[Quantity]]*BoM_Griptel[[#This Row],[Unit Price]],""),"")</f>
        <v/>
      </c>
      <c r="Q366" s="43" t="str">
        <f>IFERROR(IF(AND(BoM_Griptel[[#This Row],[ACT_Qty]]&lt;&gt;"",BoM_Griptel[[#This Row],[Currency]]="NOK"),BoM_Griptel[[#This Row],[ACT_Qty]]*BoM_Griptel[[#This Row],[Unit Price]],""),"")</f>
        <v/>
      </c>
      <c r="R366" s="43" t="str">
        <f>IFERROR(IF(AND(BoM_Griptel[[#This Row],[Quantity]]&lt;&gt;"",BoM_Griptel[[#This Row],[Currency]]="EUR"),BoM_Griptel[[#This Row],[Quantity]]*BoM_Griptel[[#This Row],[Unit Price]],""),"")</f>
        <v/>
      </c>
      <c r="S366" s="43" t="str">
        <f>IFERROR(IF(AND(BoM_Griptel[[#This Row],[ACT_Qty]]&lt;&gt;"",BoM_Griptel[[#This Row],[Currency]]="EUR"),BoM_Griptel[[#This Row],[ACT_Qty]]*BoM_Griptel[[#This Row],[Unit Price]],""),"")</f>
        <v/>
      </c>
      <c r="T366" s="186" t="s">
        <v>1802</v>
      </c>
      <c r="U366" s="46"/>
      <c r="V366" s="46"/>
      <c r="W366" s="146"/>
    </row>
    <row r="367" spans="1:23" ht="15" customHeight="1">
      <c r="A367" s="143" t="str">
        <f t="shared" si="10"/>
        <v>AKH12345</v>
      </c>
      <c r="B367" s="144" t="s">
        <v>2534</v>
      </c>
      <c r="C367" s="143" t="s">
        <v>2535</v>
      </c>
      <c r="D367" s="105"/>
      <c r="E367" s="106"/>
      <c r="F367" s="105"/>
      <c r="G367" s="106"/>
      <c r="H367" s="175"/>
      <c r="I367" s="176" t="s">
        <v>847</v>
      </c>
      <c r="J367" s="176" t="s">
        <v>835</v>
      </c>
      <c r="K367" s="176" t="s">
        <v>1235</v>
      </c>
      <c r="L367" s="145" t="s">
        <v>1806</v>
      </c>
      <c r="M367" s="45" t="str">
        <f t="shared" si="11"/>
        <v>OneCo Networks AS</v>
      </c>
      <c r="N367" s="40" t="str">
        <f ca="1">IFERROR(
VLOOKUP(BoM_Griptel[[#This Row],[Product code]],
IF(AND((BoQ!$N$3&lt;&gt;""),OR(BoM_Griptel[[#This Row],[Vendor]]="Griptel",BoM_Griptel[[#This Row],[Vendor]]="Solar")),INDIRECT(Aux!$A$1)),4,FALSE),"")</f>
        <v/>
      </c>
      <c r="O367" s="169" t="s">
        <v>1807</v>
      </c>
      <c r="P367" s="41" t="str">
        <f>IFERROR(IF(AND(BoM_Griptel[[#This Row],[Quantity]]&lt;&gt;"",BoM_Griptel[[#This Row],[Currency]]="NOK"),BoM_Griptel[[#This Row],[Quantity]]*BoM_Griptel[[#This Row],[Unit Price]],""),"")</f>
        <v/>
      </c>
      <c r="Q367" s="41" t="str">
        <f>IFERROR(IF(AND(BoM_Griptel[[#This Row],[ACT_Qty]]&lt;&gt;"",BoM_Griptel[[#This Row],[Currency]]="NOK"),BoM_Griptel[[#This Row],[ACT_Qty]]*BoM_Griptel[[#This Row],[Unit Price]],""),"")</f>
        <v/>
      </c>
      <c r="R367" s="41" t="str">
        <f>IFERROR(IF(AND(BoM_Griptel[[#This Row],[Quantity]]&lt;&gt;"",BoM_Griptel[[#This Row],[Currency]]="EUR"),BoM_Griptel[[#This Row],[Quantity]]*BoM_Griptel[[#This Row],[Unit Price]],""),"")</f>
        <v/>
      </c>
      <c r="S367" s="41" t="str">
        <f>IFERROR(IF(AND(BoM_Griptel[[#This Row],[ACT_Qty]]&lt;&gt;"",BoM_Griptel[[#This Row],[Currency]]="EUR"),BoM_Griptel[[#This Row],[ACT_Qty]]*BoM_Griptel[[#This Row],[Unit Price]],""),"")</f>
        <v/>
      </c>
      <c r="T367" s="185" t="s">
        <v>1802</v>
      </c>
      <c r="U367" s="45"/>
      <c r="V367" s="45"/>
      <c r="W367" s="143"/>
    </row>
    <row r="368" spans="1:23" ht="15" customHeight="1">
      <c r="A368" s="146" t="str">
        <f t="shared" si="10"/>
        <v>AKH12345</v>
      </c>
      <c r="B368" s="147" t="s">
        <v>2536</v>
      </c>
      <c r="C368" s="146" t="s">
        <v>2537</v>
      </c>
      <c r="D368" s="68"/>
      <c r="E368" s="89"/>
      <c r="F368" s="68"/>
      <c r="G368" s="89"/>
      <c r="H368" s="177"/>
      <c r="I368" s="178" t="s">
        <v>847</v>
      </c>
      <c r="J368" s="178" t="s">
        <v>835</v>
      </c>
      <c r="K368" s="178" t="s">
        <v>1235</v>
      </c>
      <c r="L368" s="148" t="s">
        <v>1806</v>
      </c>
      <c r="M368" s="46" t="str">
        <f t="shared" si="11"/>
        <v>OneCo Networks AS</v>
      </c>
      <c r="N368" s="42" t="str">
        <f ca="1">IFERROR(
VLOOKUP(BoM_Griptel[[#This Row],[Product code]],
IF(AND((BoQ!$N$3&lt;&gt;""),OR(BoM_Griptel[[#This Row],[Vendor]]="Griptel",BoM_Griptel[[#This Row],[Vendor]]="Solar")),INDIRECT(Aux!$A$1)),4,FALSE),"")</f>
        <v/>
      </c>
      <c r="O368" s="170" t="s">
        <v>1807</v>
      </c>
      <c r="P368" s="43" t="str">
        <f>IFERROR(IF(AND(BoM_Griptel[[#This Row],[Quantity]]&lt;&gt;"",BoM_Griptel[[#This Row],[Currency]]="NOK"),BoM_Griptel[[#This Row],[Quantity]]*BoM_Griptel[[#This Row],[Unit Price]],""),"")</f>
        <v/>
      </c>
      <c r="Q368" s="43" t="str">
        <f>IFERROR(IF(AND(BoM_Griptel[[#This Row],[ACT_Qty]]&lt;&gt;"",BoM_Griptel[[#This Row],[Currency]]="NOK"),BoM_Griptel[[#This Row],[ACT_Qty]]*BoM_Griptel[[#This Row],[Unit Price]],""),"")</f>
        <v/>
      </c>
      <c r="R368" s="43" t="str">
        <f>IFERROR(IF(AND(BoM_Griptel[[#This Row],[Quantity]]&lt;&gt;"",BoM_Griptel[[#This Row],[Currency]]="EUR"),BoM_Griptel[[#This Row],[Quantity]]*BoM_Griptel[[#This Row],[Unit Price]],""),"")</f>
        <v/>
      </c>
      <c r="S368" s="43" t="str">
        <f>IFERROR(IF(AND(BoM_Griptel[[#This Row],[ACT_Qty]]&lt;&gt;"",BoM_Griptel[[#This Row],[Currency]]="EUR"),BoM_Griptel[[#This Row],[ACT_Qty]]*BoM_Griptel[[#This Row],[Unit Price]],""),"")</f>
        <v/>
      </c>
      <c r="T368" s="186" t="s">
        <v>1802</v>
      </c>
      <c r="U368" s="46"/>
      <c r="V368" s="46"/>
      <c r="W368" s="146"/>
    </row>
    <row r="369" spans="1:23" ht="15" customHeight="1">
      <c r="A369" s="143" t="str">
        <f t="shared" si="10"/>
        <v>AKH12345</v>
      </c>
      <c r="B369" s="144" t="s">
        <v>2538</v>
      </c>
      <c r="C369" s="143" t="s">
        <v>2539</v>
      </c>
      <c r="D369" s="105"/>
      <c r="E369" s="106"/>
      <c r="F369" s="105"/>
      <c r="G369" s="106"/>
      <c r="H369" s="175"/>
      <c r="I369" s="176" t="s">
        <v>847</v>
      </c>
      <c r="J369" s="176" t="s">
        <v>835</v>
      </c>
      <c r="K369" s="176" t="s">
        <v>1235</v>
      </c>
      <c r="L369" s="145" t="s">
        <v>1806</v>
      </c>
      <c r="M369" s="45" t="str">
        <f t="shared" si="11"/>
        <v>OneCo Networks AS</v>
      </c>
      <c r="N369" s="40" t="str">
        <f ca="1">IFERROR(
VLOOKUP(BoM_Griptel[[#This Row],[Product code]],
IF(AND((BoQ!$N$3&lt;&gt;""),OR(BoM_Griptel[[#This Row],[Vendor]]="Griptel",BoM_Griptel[[#This Row],[Vendor]]="Solar")),INDIRECT(Aux!$A$1)),4,FALSE),"")</f>
        <v/>
      </c>
      <c r="O369" s="169" t="s">
        <v>1807</v>
      </c>
      <c r="P369" s="41" t="str">
        <f>IFERROR(IF(AND(BoM_Griptel[[#This Row],[Quantity]]&lt;&gt;"",BoM_Griptel[[#This Row],[Currency]]="NOK"),BoM_Griptel[[#This Row],[Quantity]]*BoM_Griptel[[#This Row],[Unit Price]],""),"")</f>
        <v/>
      </c>
      <c r="Q369" s="41" t="str">
        <f>IFERROR(IF(AND(BoM_Griptel[[#This Row],[ACT_Qty]]&lt;&gt;"",BoM_Griptel[[#This Row],[Currency]]="NOK"),BoM_Griptel[[#This Row],[ACT_Qty]]*BoM_Griptel[[#This Row],[Unit Price]],""),"")</f>
        <v/>
      </c>
      <c r="R369" s="41" t="str">
        <f>IFERROR(IF(AND(BoM_Griptel[[#This Row],[Quantity]]&lt;&gt;"",BoM_Griptel[[#This Row],[Currency]]="EUR"),BoM_Griptel[[#This Row],[Quantity]]*BoM_Griptel[[#This Row],[Unit Price]],""),"")</f>
        <v/>
      </c>
      <c r="S369" s="41" t="str">
        <f>IFERROR(IF(AND(BoM_Griptel[[#This Row],[ACT_Qty]]&lt;&gt;"",BoM_Griptel[[#This Row],[Currency]]="EUR"),BoM_Griptel[[#This Row],[ACT_Qty]]*BoM_Griptel[[#This Row],[Unit Price]],""),"")</f>
        <v/>
      </c>
      <c r="T369" s="185" t="s">
        <v>1802</v>
      </c>
      <c r="U369" s="45"/>
      <c r="V369" s="45"/>
      <c r="W369" s="143"/>
    </row>
    <row r="370" spans="1:23" ht="15" customHeight="1">
      <c r="A370" s="146" t="str">
        <f t="shared" si="10"/>
        <v>AKH12345</v>
      </c>
      <c r="B370" s="147" t="s">
        <v>2540</v>
      </c>
      <c r="C370" s="146" t="s">
        <v>2541</v>
      </c>
      <c r="D370" s="68"/>
      <c r="E370" s="89"/>
      <c r="F370" s="68"/>
      <c r="G370" s="89"/>
      <c r="H370" s="177"/>
      <c r="I370" s="178" t="s">
        <v>847</v>
      </c>
      <c r="J370" s="178" t="s">
        <v>835</v>
      </c>
      <c r="K370" s="178" t="s">
        <v>1235</v>
      </c>
      <c r="L370" s="148" t="s">
        <v>1806</v>
      </c>
      <c r="M370" s="46" t="str">
        <f t="shared" si="11"/>
        <v>OneCo Networks AS</v>
      </c>
      <c r="N370" s="42" t="str">
        <f ca="1">IFERROR(
VLOOKUP(BoM_Griptel[[#This Row],[Product code]],
IF(AND((BoQ!$N$3&lt;&gt;""),OR(BoM_Griptel[[#This Row],[Vendor]]="Griptel",BoM_Griptel[[#This Row],[Vendor]]="Solar")),INDIRECT(Aux!$A$1)),4,FALSE),"")</f>
        <v/>
      </c>
      <c r="O370" s="170" t="s">
        <v>1807</v>
      </c>
      <c r="P370" s="43" t="str">
        <f>IFERROR(IF(AND(BoM_Griptel[[#This Row],[Quantity]]&lt;&gt;"",BoM_Griptel[[#This Row],[Currency]]="NOK"),BoM_Griptel[[#This Row],[Quantity]]*BoM_Griptel[[#This Row],[Unit Price]],""),"")</f>
        <v/>
      </c>
      <c r="Q370" s="43" t="str">
        <f>IFERROR(IF(AND(BoM_Griptel[[#This Row],[ACT_Qty]]&lt;&gt;"",BoM_Griptel[[#This Row],[Currency]]="NOK"),BoM_Griptel[[#This Row],[ACT_Qty]]*BoM_Griptel[[#This Row],[Unit Price]],""),"")</f>
        <v/>
      </c>
      <c r="R370" s="43" t="str">
        <f>IFERROR(IF(AND(BoM_Griptel[[#This Row],[Quantity]]&lt;&gt;"",BoM_Griptel[[#This Row],[Currency]]="EUR"),BoM_Griptel[[#This Row],[Quantity]]*BoM_Griptel[[#This Row],[Unit Price]],""),"")</f>
        <v/>
      </c>
      <c r="S370" s="43" t="str">
        <f>IFERROR(IF(AND(BoM_Griptel[[#This Row],[ACT_Qty]]&lt;&gt;"",BoM_Griptel[[#This Row],[Currency]]="EUR"),BoM_Griptel[[#This Row],[ACT_Qty]]*BoM_Griptel[[#This Row],[Unit Price]],""),"")</f>
        <v/>
      </c>
      <c r="T370" s="186" t="s">
        <v>1802</v>
      </c>
      <c r="U370" s="46"/>
      <c r="V370" s="46"/>
      <c r="W370" s="146"/>
    </row>
    <row r="371" spans="1:23" ht="15" customHeight="1">
      <c r="A371" s="143" t="str">
        <f t="shared" si="10"/>
        <v>AKH12345</v>
      </c>
      <c r="B371" s="144" t="s">
        <v>2542</v>
      </c>
      <c r="C371" s="143" t="s">
        <v>2543</v>
      </c>
      <c r="D371" s="105"/>
      <c r="E371" s="106"/>
      <c r="F371" s="105"/>
      <c r="G371" s="106"/>
      <c r="H371" s="175"/>
      <c r="I371" s="176" t="s">
        <v>847</v>
      </c>
      <c r="J371" s="176" t="s">
        <v>835</v>
      </c>
      <c r="K371" s="176" t="s">
        <v>1235</v>
      </c>
      <c r="L371" s="145" t="s">
        <v>1806</v>
      </c>
      <c r="M371" s="45" t="str">
        <f t="shared" si="11"/>
        <v>OneCo Networks AS</v>
      </c>
      <c r="N371" s="40" t="str">
        <f ca="1">IFERROR(
VLOOKUP(BoM_Griptel[[#This Row],[Product code]],
IF(AND((BoQ!$N$3&lt;&gt;""),OR(BoM_Griptel[[#This Row],[Vendor]]="Griptel",BoM_Griptel[[#This Row],[Vendor]]="Solar")),INDIRECT(Aux!$A$1)),4,FALSE),"")</f>
        <v/>
      </c>
      <c r="O371" s="169" t="s">
        <v>1807</v>
      </c>
      <c r="P371" s="41" t="str">
        <f>IFERROR(IF(AND(BoM_Griptel[[#This Row],[Quantity]]&lt;&gt;"",BoM_Griptel[[#This Row],[Currency]]="NOK"),BoM_Griptel[[#This Row],[Quantity]]*BoM_Griptel[[#This Row],[Unit Price]],""),"")</f>
        <v/>
      </c>
      <c r="Q371" s="41" t="str">
        <f>IFERROR(IF(AND(BoM_Griptel[[#This Row],[ACT_Qty]]&lt;&gt;"",BoM_Griptel[[#This Row],[Currency]]="NOK"),BoM_Griptel[[#This Row],[ACT_Qty]]*BoM_Griptel[[#This Row],[Unit Price]],""),"")</f>
        <v/>
      </c>
      <c r="R371" s="41" t="str">
        <f>IFERROR(IF(AND(BoM_Griptel[[#This Row],[Quantity]]&lt;&gt;"",BoM_Griptel[[#This Row],[Currency]]="EUR"),BoM_Griptel[[#This Row],[Quantity]]*BoM_Griptel[[#This Row],[Unit Price]],""),"")</f>
        <v/>
      </c>
      <c r="S371" s="41" t="str">
        <f>IFERROR(IF(AND(BoM_Griptel[[#This Row],[ACT_Qty]]&lt;&gt;"",BoM_Griptel[[#This Row],[Currency]]="EUR"),BoM_Griptel[[#This Row],[ACT_Qty]]*BoM_Griptel[[#This Row],[Unit Price]],""),"")</f>
        <v/>
      </c>
      <c r="T371" s="185" t="s">
        <v>1802</v>
      </c>
      <c r="U371" s="45"/>
      <c r="V371" s="45"/>
      <c r="W371" s="143"/>
    </row>
    <row r="372" spans="1:23" ht="15" customHeight="1">
      <c r="A372" s="146" t="str">
        <f t="shared" si="10"/>
        <v>AKH12345</v>
      </c>
      <c r="B372" s="147" t="s">
        <v>2544</v>
      </c>
      <c r="C372" s="146" t="s">
        <v>2545</v>
      </c>
      <c r="D372" s="68"/>
      <c r="E372" s="89"/>
      <c r="F372" s="68"/>
      <c r="G372" s="89"/>
      <c r="H372" s="177"/>
      <c r="I372" s="178" t="s">
        <v>847</v>
      </c>
      <c r="J372" s="178" t="s">
        <v>835</v>
      </c>
      <c r="K372" s="178" t="s">
        <v>1235</v>
      </c>
      <c r="L372" s="148" t="s">
        <v>1806</v>
      </c>
      <c r="M372" s="46" t="str">
        <f t="shared" si="11"/>
        <v>OneCo Networks AS</v>
      </c>
      <c r="N372" s="42" t="str">
        <f ca="1">IFERROR(
VLOOKUP(BoM_Griptel[[#This Row],[Product code]],
IF(AND((BoQ!$N$3&lt;&gt;""),OR(BoM_Griptel[[#This Row],[Vendor]]="Griptel",BoM_Griptel[[#This Row],[Vendor]]="Solar")),INDIRECT(Aux!$A$1)),4,FALSE),"")</f>
        <v/>
      </c>
      <c r="O372" s="170" t="s">
        <v>1807</v>
      </c>
      <c r="P372" s="43" t="str">
        <f>IFERROR(IF(AND(BoM_Griptel[[#This Row],[Quantity]]&lt;&gt;"",BoM_Griptel[[#This Row],[Currency]]="NOK"),BoM_Griptel[[#This Row],[Quantity]]*BoM_Griptel[[#This Row],[Unit Price]],""),"")</f>
        <v/>
      </c>
      <c r="Q372" s="43" t="str">
        <f>IFERROR(IF(AND(BoM_Griptel[[#This Row],[ACT_Qty]]&lt;&gt;"",BoM_Griptel[[#This Row],[Currency]]="NOK"),BoM_Griptel[[#This Row],[ACT_Qty]]*BoM_Griptel[[#This Row],[Unit Price]],""),"")</f>
        <v/>
      </c>
      <c r="R372" s="43" t="str">
        <f>IFERROR(IF(AND(BoM_Griptel[[#This Row],[Quantity]]&lt;&gt;"",BoM_Griptel[[#This Row],[Currency]]="EUR"),BoM_Griptel[[#This Row],[Quantity]]*BoM_Griptel[[#This Row],[Unit Price]],""),"")</f>
        <v/>
      </c>
      <c r="S372" s="43" t="str">
        <f>IFERROR(IF(AND(BoM_Griptel[[#This Row],[ACT_Qty]]&lt;&gt;"",BoM_Griptel[[#This Row],[Currency]]="EUR"),BoM_Griptel[[#This Row],[ACT_Qty]]*BoM_Griptel[[#This Row],[Unit Price]],""),"")</f>
        <v/>
      </c>
      <c r="T372" s="186" t="s">
        <v>1802</v>
      </c>
      <c r="U372" s="46"/>
      <c r="V372" s="46"/>
      <c r="W372" s="146"/>
    </row>
    <row r="373" spans="1:23" ht="15" customHeight="1">
      <c r="A373" s="143" t="str">
        <f t="shared" si="10"/>
        <v>AKH12345</v>
      </c>
      <c r="B373" s="144" t="s">
        <v>2546</v>
      </c>
      <c r="C373" s="143" t="s">
        <v>2547</v>
      </c>
      <c r="D373" s="105"/>
      <c r="E373" s="106"/>
      <c r="F373" s="105"/>
      <c r="G373" s="106"/>
      <c r="H373" s="175"/>
      <c r="I373" s="176" t="s">
        <v>847</v>
      </c>
      <c r="J373" s="176" t="s">
        <v>835</v>
      </c>
      <c r="K373" s="176" t="s">
        <v>1235</v>
      </c>
      <c r="L373" s="145" t="s">
        <v>1806</v>
      </c>
      <c r="M373" s="45" t="str">
        <f t="shared" si="11"/>
        <v>OneCo Networks AS</v>
      </c>
      <c r="N373" s="40" t="str">
        <f ca="1">IFERROR(
VLOOKUP(BoM_Griptel[[#This Row],[Product code]],
IF(AND((BoQ!$N$3&lt;&gt;""),OR(BoM_Griptel[[#This Row],[Vendor]]="Griptel",BoM_Griptel[[#This Row],[Vendor]]="Solar")),INDIRECT(Aux!$A$1)),4,FALSE),"")</f>
        <v/>
      </c>
      <c r="O373" s="169" t="s">
        <v>1807</v>
      </c>
      <c r="P373" s="41" t="str">
        <f>IFERROR(IF(AND(BoM_Griptel[[#This Row],[Quantity]]&lt;&gt;"",BoM_Griptel[[#This Row],[Currency]]="NOK"),BoM_Griptel[[#This Row],[Quantity]]*BoM_Griptel[[#This Row],[Unit Price]],""),"")</f>
        <v/>
      </c>
      <c r="Q373" s="41" t="str">
        <f>IFERROR(IF(AND(BoM_Griptel[[#This Row],[ACT_Qty]]&lt;&gt;"",BoM_Griptel[[#This Row],[Currency]]="NOK"),BoM_Griptel[[#This Row],[ACT_Qty]]*BoM_Griptel[[#This Row],[Unit Price]],""),"")</f>
        <v/>
      </c>
      <c r="R373" s="41" t="str">
        <f>IFERROR(IF(AND(BoM_Griptel[[#This Row],[Quantity]]&lt;&gt;"",BoM_Griptel[[#This Row],[Currency]]="EUR"),BoM_Griptel[[#This Row],[Quantity]]*BoM_Griptel[[#This Row],[Unit Price]],""),"")</f>
        <v/>
      </c>
      <c r="S373" s="41" t="str">
        <f>IFERROR(IF(AND(BoM_Griptel[[#This Row],[ACT_Qty]]&lt;&gt;"",BoM_Griptel[[#This Row],[Currency]]="EUR"),BoM_Griptel[[#This Row],[ACT_Qty]]*BoM_Griptel[[#This Row],[Unit Price]],""),"")</f>
        <v/>
      </c>
      <c r="T373" s="185" t="s">
        <v>1802</v>
      </c>
      <c r="U373" s="45"/>
      <c r="V373" s="45"/>
      <c r="W373" s="143"/>
    </row>
    <row r="374" spans="1:23" ht="15" customHeight="1">
      <c r="A374" s="146" t="str">
        <f t="shared" si="10"/>
        <v>AKH12345</v>
      </c>
      <c r="B374" s="147" t="s">
        <v>2548</v>
      </c>
      <c r="C374" s="146" t="s">
        <v>2549</v>
      </c>
      <c r="D374" s="68"/>
      <c r="E374" s="89"/>
      <c r="F374" s="68"/>
      <c r="G374" s="89"/>
      <c r="H374" s="177"/>
      <c r="I374" s="178" t="s">
        <v>847</v>
      </c>
      <c r="J374" s="178" t="s">
        <v>835</v>
      </c>
      <c r="K374" s="178" t="s">
        <v>1235</v>
      </c>
      <c r="L374" s="148" t="s">
        <v>1806</v>
      </c>
      <c r="M374" s="46" t="str">
        <f t="shared" si="11"/>
        <v>OneCo Networks AS</v>
      </c>
      <c r="N374" s="42" t="str">
        <f ca="1">IFERROR(
VLOOKUP(BoM_Griptel[[#This Row],[Product code]],
IF(AND((BoQ!$N$3&lt;&gt;""),OR(BoM_Griptel[[#This Row],[Vendor]]="Griptel",BoM_Griptel[[#This Row],[Vendor]]="Solar")),INDIRECT(Aux!$A$1)),4,FALSE),"")</f>
        <v/>
      </c>
      <c r="O374" s="170" t="s">
        <v>1807</v>
      </c>
      <c r="P374" s="43" t="str">
        <f>IFERROR(IF(AND(BoM_Griptel[[#This Row],[Quantity]]&lt;&gt;"",BoM_Griptel[[#This Row],[Currency]]="NOK"),BoM_Griptel[[#This Row],[Quantity]]*BoM_Griptel[[#This Row],[Unit Price]],""),"")</f>
        <v/>
      </c>
      <c r="Q374" s="43" t="str">
        <f>IFERROR(IF(AND(BoM_Griptel[[#This Row],[ACT_Qty]]&lt;&gt;"",BoM_Griptel[[#This Row],[Currency]]="NOK"),BoM_Griptel[[#This Row],[ACT_Qty]]*BoM_Griptel[[#This Row],[Unit Price]],""),"")</f>
        <v/>
      </c>
      <c r="R374" s="43" t="str">
        <f>IFERROR(IF(AND(BoM_Griptel[[#This Row],[Quantity]]&lt;&gt;"",BoM_Griptel[[#This Row],[Currency]]="EUR"),BoM_Griptel[[#This Row],[Quantity]]*BoM_Griptel[[#This Row],[Unit Price]],""),"")</f>
        <v/>
      </c>
      <c r="S374" s="43" t="str">
        <f>IFERROR(IF(AND(BoM_Griptel[[#This Row],[ACT_Qty]]&lt;&gt;"",BoM_Griptel[[#This Row],[Currency]]="EUR"),BoM_Griptel[[#This Row],[ACT_Qty]]*BoM_Griptel[[#This Row],[Unit Price]],""),"")</f>
        <v/>
      </c>
      <c r="T374" s="186" t="s">
        <v>1802</v>
      </c>
      <c r="U374" s="46"/>
      <c r="V374" s="46"/>
      <c r="W374" s="146"/>
    </row>
    <row r="375" spans="1:23" ht="15" customHeight="1">
      <c r="A375" s="143" t="str">
        <f t="shared" si="10"/>
        <v>AKH12345</v>
      </c>
      <c r="B375" s="144" t="s">
        <v>2550</v>
      </c>
      <c r="C375" s="143" t="s">
        <v>2551</v>
      </c>
      <c r="D375" s="105"/>
      <c r="E375" s="106"/>
      <c r="F375" s="105"/>
      <c r="G375" s="106"/>
      <c r="H375" s="175"/>
      <c r="I375" s="176" t="s">
        <v>847</v>
      </c>
      <c r="J375" s="176" t="s">
        <v>835</v>
      </c>
      <c r="K375" s="176" t="s">
        <v>1235</v>
      </c>
      <c r="L375" s="145" t="s">
        <v>1806</v>
      </c>
      <c r="M375" s="45" t="str">
        <f t="shared" si="11"/>
        <v>OneCo Networks AS</v>
      </c>
      <c r="N375" s="40" t="str">
        <f ca="1">IFERROR(
VLOOKUP(BoM_Griptel[[#This Row],[Product code]],
IF(AND((BoQ!$N$3&lt;&gt;""),OR(BoM_Griptel[[#This Row],[Vendor]]="Griptel",BoM_Griptel[[#This Row],[Vendor]]="Solar")),INDIRECT(Aux!$A$1)),4,FALSE),"")</f>
        <v/>
      </c>
      <c r="O375" s="169" t="s">
        <v>1807</v>
      </c>
      <c r="P375" s="41" t="str">
        <f>IFERROR(IF(AND(BoM_Griptel[[#This Row],[Quantity]]&lt;&gt;"",BoM_Griptel[[#This Row],[Currency]]="NOK"),BoM_Griptel[[#This Row],[Quantity]]*BoM_Griptel[[#This Row],[Unit Price]],""),"")</f>
        <v/>
      </c>
      <c r="Q375" s="41" t="str">
        <f>IFERROR(IF(AND(BoM_Griptel[[#This Row],[ACT_Qty]]&lt;&gt;"",BoM_Griptel[[#This Row],[Currency]]="NOK"),BoM_Griptel[[#This Row],[ACT_Qty]]*BoM_Griptel[[#This Row],[Unit Price]],""),"")</f>
        <v/>
      </c>
      <c r="R375" s="41" t="str">
        <f>IFERROR(IF(AND(BoM_Griptel[[#This Row],[Quantity]]&lt;&gt;"",BoM_Griptel[[#This Row],[Currency]]="EUR"),BoM_Griptel[[#This Row],[Quantity]]*BoM_Griptel[[#This Row],[Unit Price]],""),"")</f>
        <v/>
      </c>
      <c r="S375" s="41" t="str">
        <f>IFERROR(IF(AND(BoM_Griptel[[#This Row],[ACT_Qty]]&lt;&gt;"",BoM_Griptel[[#This Row],[Currency]]="EUR"),BoM_Griptel[[#This Row],[ACT_Qty]]*BoM_Griptel[[#This Row],[Unit Price]],""),"")</f>
        <v/>
      </c>
      <c r="T375" s="185" t="s">
        <v>1802</v>
      </c>
      <c r="U375" s="45"/>
      <c r="V375" s="45"/>
      <c r="W375" s="143"/>
    </row>
    <row r="376" spans="1:23" ht="15" customHeight="1">
      <c r="A376" s="146" t="str">
        <f t="shared" si="10"/>
        <v>AKH12345</v>
      </c>
      <c r="B376" s="147" t="s">
        <v>2552</v>
      </c>
      <c r="C376" s="146" t="s">
        <v>2553</v>
      </c>
      <c r="D376" s="68"/>
      <c r="E376" s="89"/>
      <c r="F376" s="68"/>
      <c r="G376" s="89"/>
      <c r="H376" s="177"/>
      <c r="I376" s="178" t="s">
        <v>847</v>
      </c>
      <c r="J376" s="178" t="s">
        <v>835</v>
      </c>
      <c r="K376" s="178" t="s">
        <v>1235</v>
      </c>
      <c r="L376" s="148" t="s">
        <v>1806</v>
      </c>
      <c r="M376" s="46" t="str">
        <f t="shared" si="11"/>
        <v>OneCo Networks AS</v>
      </c>
      <c r="N376" s="42" t="str">
        <f ca="1">IFERROR(
VLOOKUP(BoM_Griptel[[#This Row],[Product code]],
IF(AND((BoQ!$N$3&lt;&gt;""),OR(BoM_Griptel[[#This Row],[Vendor]]="Griptel",BoM_Griptel[[#This Row],[Vendor]]="Solar")),INDIRECT(Aux!$A$1)),4,FALSE),"")</f>
        <v/>
      </c>
      <c r="O376" s="170" t="s">
        <v>1807</v>
      </c>
      <c r="P376" s="43" t="str">
        <f>IFERROR(IF(AND(BoM_Griptel[[#This Row],[Quantity]]&lt;&gt;"",BoM_Griptel[[#This Row],[Currency]]="NOK"),BoM_Griptel[[#This Row],[Quantity]]*BoM_Griptel[[#This Row],[Unit Price]],""),"")</f>
        <v/>
      </c>
      <c r="Q376" s="43" t="str">
        <f>IFERROR(IF(AND(BoM_Griptel[[#This Row],[ACT_Qty]]&lt;&gt;"",BoM_Griptel[[#This Row],[Currency]]="NOK"),BoM_Griptel[[#This Row],[ACT_Qty]]*BoM_Griptel[[#This Row],[Unit Price]],""),"")</f>
        <v/>
      </c>
      <c r="R376" s="43" t="str">
        <f>IFERROR(IF(AND(BoM_Griptel[[#This Row],[Quantity]]&lt;&gt;"",BoM_Griptel[[#This Row],[Currency]]="EUR"),BoM_Griptel[[#This Row],[Quantity]]*BoM_Griptel[[#This Row],[Unit Price]],""),"")</f>
        <v/>
      </c>
      <c r="S376" s="43" t="str">
        <f>IFERROR(IF(AND(BoM_Griptel[[#This Row],[ACT_Qty]]&lt;&gt;"",BoM_Griptel[[#This Row],[Currency]]="EUR"),BoM_Griptel[[#This Row],[ACT_Qty]]*BoM_Griptel[[#This Row],[Unit Price]],""),"")</f>
        <v/>
      </c>
      <c r="T376" s="186" t="s">
        <v>1802</v>
      </c>
      <c r="U376" s="46"/>
      <c r="V376" s="46"/>
      <c r="W376" s="146"/>
    </row>
    <row r="377" spans="1:23" ht="15" customHeight="1">
      <c r="A377" s="143" t="str">
        <f t="shared" si="10"/>
        <v>AKH12345</v>
      </c>
      <c r="B377" s="144" t="s">
        <v>2554</v>
      </c>
      <c r="C377" s="143" t="s">
        <v>2555</v>
      </c>
      <c r="D377" s="105"/>
      <c r="E377" s="106"/>
      <c r="F377" s="105"/>
      <c r="G377" s="106"/>
      <c r="H377" s="175"/>
      <c r="I377" s="176" t="s">
        <v>847</v>
      </c>
      <c r="J377" s="176" t="s">
        <v>835</v>
      </c>
      <c r="K377" s="176" t="s">
        <v>1235</v>
      </c>
      <c r="L377" s="145" t="s">
        <v>1806</v>
      </c>
      <c r="M377" s="45" t="str">
        <f t="shared" si="11"/>
        <v>OneCo Networks AS</v>
      </c>
      <c r="N377" s="40" t="str">
        <f ca="1">IFERROR(
VLOOKUP(BoM_Griptel[[#This Row],[Product code]],
IF(AND((BoQ!$N$3&lt;&gt;""),OR(BoM_Griptel[[#This Row],[Vendor]]="Griptel",BoM_Griptel[[#This Row],[Vendor]]="Solar")),INDIRECT(Aux!$A$1)),4,FALSE),"")</f>
        <v/>
      </c>
      <c r="O377" s="169" t="s">
        <v>1807</v>
      </c>
      <c r="P377" s="41" t="str">
        <f>IFERROR(IF(AND(BoM_Griptel[[#This Row],[Quantity]]&lt;&gt;"",BoM_Griptel[[#This Row],[Currency]]="NOK"),BoM_Griptel[[#This Row],[Quantity]]*BoM_Griptel[[#This Row],[Unit Price]],""),"")</f>
        <v/>
      </c>
      <c r="Q377" s="41" t="str">
        <f>IFERROR(IF(AND(BoM_Griptel[[#This Row],[ACT_Qty]]&lt;&gt;"",BoM_Griptel[[#This Row],[Currency]]="NOK"),BoM_Griptel[[#This Row],[ACT_Qty]]*BoM_Griptel[[#This Row],[Unit Price]],""),"")</f>
        <v/>
      </c>
      <c r="R377" s="41" t="str">
        <f>IFERROR(IF(AND(BoM_Griptel[[#This Row],[Quantity]]&lt;&gt;"",BoM_Griptel[[#This Row],[Currency]]="EUR"),BoM_Griptel[[#This Row],[Quantity]]*BoM_Griptel[[#This Row],[Unit Price]],""),"")</f>
        <v/>
      </c>
      <c r="S377" s="41" t="str">
        <f>IFERROR(IF(AND(BoM_Griptel[[#This Row],[ACT_Qty]]&lt;&gt;"",BoM_Griptel[[#This Row],[Currency]]="EUR"),BoM_Griptel[[#This Row],[ACT_Qty]]*BoM_Griptel[[#This Row],[Unit Price]],""),"")</f>
        <v/>
      </c>
      <c r="T377" s="185" t="s">
        <v>1802</v>
      </c>
      <c r="U377" s="45"/>
      <c r="V377" s="45"/>
      <c r="W377" s="143"/>
    </row>
    <row r="378" spans="1:23" ht="15" customHeight="1">
      <c r="A378" s="146" t="str">
        <f t="shared" si="10"/>
        <v>AKH12345</v>
      </c>
      <c r="B378" s="147" t="s">
        <v>2556</v>
      </c>
      <c r="C378" s="146" t="s">
        <v>2557</v>
      </c>
      <c r="D378" s="68"/>
      <c r="E378" s="89"/>
      <c r="F378" s="68"/>
      <c r="G378" s="89"/>
      <c r="H378" s="177"/>
      <c r="I378" s="178" t="s">
        <v>847</v>
      </c>
      <c r="J378" s="178" t="s">
        <v>835</v>
      </c>
      <c r="K378" s="178" t="s">
        <v>1235</v>
      </c>
      <c r="L378" s="148" t="s">
        <v>1806</v>
      </c>
      <c r="M378" s="46" t="str">
        <f t="shared" si="11"/>
        <v>OneCo Networks AS</v>
      </c>
      <c r="N378" s="42" t="str">
        <f ca="1">IFERROR(
VLOOKUP(BoM_Griptel[[#This Row],[Product code]],
IF(AND((BoQ!$N$3&lt;&gt;""),OR(BoM_Griptel[[#This Row],[Vendor]]="Griptel",BoM_Griptel[[#This Row],[Vendor]]="Solar")),INDIRECT(Aux!$A$1)),4,FALSE),"")</f>
        <v/>
      </c>
      <c r="O378" s="170" t="s">
        <v>1807</v>
      </c>
      <c r="P378" s="43" t="str">
        <f>IFERROR(IF(AND(BoM_Griptel[[#This Row],[Quantity]]&lt;&gt;"",BoM_Griptel[[#This Row],[Currency]]="NOK"),BoM_Griptel[[#This Row],[Quantity]]*BoM_Griptel[[#This Row],[Unit Price]],""),"")</f>
        <v/>
      </c>
      <c r="Q378" s="43" t="str">
        <f>IFERROR(IF(AND(BoM_Griptel[[#This Row],[ACT_Qty]]&lt;&gt;"",BoM_Griptel[[#This Row],[Currency]]="NOK"),BoM_Griptel[[#This Row],[ACT_Qty]]*BoM_Griptel[[#This Row],[Unit Price]],""),"")</f>
        <v/>
      </c>
      <c r="R378" s="43" t="str">
        <f>IFERROR(IF(AND(BoM_Griptel[[#This Row],[Quantity]]&lt;&gt;"",BoM_Griptel[[#This Row],[Currency]]="EUR"),BoM_Griptel[[#This Row],[Quantity]]*BoM_Griptel[[#This Row],[Unit Price]],""),"")</f>
        <v/>
      </c>
      <c r="S378" s="43" t="str">
        <f>IFERROR(IF(AND(BoM_Griptel[[#This Row],[ACT_Qty]]&lt;&gt;"",BoM_Griptel[[#This Row],[Currency]]="EUR"),BoM_Griptel[[#This Row],[ACT_Qty]]*BoM_Griptel[[#This Row],[Unit Price]],""),"")</f>
        <v/>
      </c>
      <c r="T378" s="186" t="s">
        <v>1802</v>
      </c>
      <c r="U378" s="46"/>
      <c r="V378" s="46"/>
      <c r="W378" s="146"/>
    </row>
    <row r="379" spans="1:23" ht="15" customHeight="1">
      <c r="A379" s="143" t="str">
        <f t="shared" si="10"/>
        <v>AKH12345</v>
      </c>
      <c r="B379" s="144" t="s">
        <v>2558</v>
      </c>
      <c r="C379" s="143" t="s">
        <v>2559</v>
      </c>
      <c r="D379" s="105"/>
      <c r="E379" s="106"/>
      <c r="F379" s="105"/>
      <c r="G379" s="106"/>
      <c r="H379" s="175"/>
      <c r="I379" s="176" t="s">
        <v>847</v>
      </c>
      <c r="J379" s="176" t="s">
        <v>835</v>
      </c>
      <c r="K379" s="176" t="s">
        <v>1235</v>
      </c>
      <c r="L379" s="145" t="s">
        <v>1806</v>
      </c>
      <c r="M379" s="45" t="str">
        <f t="shared" si="11"/>
        <v>OneCo Networks AS</v>
      </c>
      <c r="N379" s="40" t="str">
        <f ca="1">IFERROR(
VLOOKUP(BoM_Griptel[[#This Row],[Product code]],
IF(AND((BoQ!$N$3&lt;&gt;""),OR(BoM_Griptel[[#This Row],[Vendor]]="Griptel",BoM_Griptel[[#This Row],[Vendor]]="Solar")),INDIRECT(Aux!$A$1)),4,FALSE),"")</f>
        <v/>
      </c>
      <c r="O379" s="169" t="s">
        <v>1807</v>
      </c>
      <c r="P379" s="41" t="str">
        <f>IFERROR(IF(AND(BoM_Griptel[[#This Row],[Quantity]]&lt;&gt;"",BoM_Griptel[[#This Row],[Currency]]="NOK"),BoM_Griptel[[#This Row],[Quantity]]*BoM_Griptel[[#This Row],[Unit Price]],""),"")</f>
        <v/>
      </c>
      <c r="Q379" s="41" t="str">
        <f>IFERROR(IF(AND(BoM_Griptel[[#This Row],[ACT_Qty]]&lt;&gt;"",BoM_Griptel[[#This Row],[Currency]]="NOK"),BoM_Griptel[[#This Row],[ACT_Qty]]*BoM_Griptel[[#This Row],[Unit Price]],""),"")</f>
        <v/>
      </c>
      <c r="R379" s="41" t="str">
        <f>IFERROR(IF(AND(BoM_Griptel[[#This Row],[Quantity]]&lt;&gt;"",BoM_Griptel[[#This Row],[Currency]]="EUR"),BoM_Griptel[[#This Row],[Quantity]]*BoM_Griptel[[#This Row],[Unit Price]],""),"")</f>
        <v/>
      </c>
      <c r="S379" s="41" t="str">
        <f>IFERROR(IF(AND(BoM_Griptel[[#This Row],[ACT_Qty]]&lt;&gt;"",BoM_Griptel[[#This Row],[Currency]]="EUR"),BoM_Griptel[[#This Row],[ACT_Qty]]*BoM_Griptel[[#This Row],[Unit Price]],""),"")</f>
        <v/>
      </c>
      <c r="T379" s="185" t="s">
        <v>1802</v>
      </c>
      <c r="U379" s="45"/>
      <c r="V379" s="45"/>
      <c r="W379" s="143"/>
    </row>
    <row r="380" spans="1:23" ht="15" customHeight="1">
      <c r="A380" s="146" t="str">
        <f t="shared" si="10"/>
        <v>AKH12345</v>
      </c>
      <c r="B380" s="147" t="s">
        <v>2560</v>
      </c>
      <c r="C380" s="146" t="s">
        <v>2561</v>
      </c>
      <c r="D380" s="68"/>
      <c r="E380" s="89"/>
      <c r="F380" s="68"/>
      <c r="G380" s="89"/>
      <c r="H380" s="177"/>
      <c r="I380" s="178" t="s">
        <v>847</v>
      </c>
      <c r="J380" s="178" t="s">
        <v>835</v>
      </c>
      <c r="K380" s="178" t="s">
        <v>1235</v>
      </c>
      <c r="L380" s="148" t="s">
        <v>1806</v>
      </c>
      <c r="M380" s="46" t="str">
        <f t="shared" si="11"/>
        <v>OneCo Networks AS</v>
      </c>
      <c r="N380" s="42" t="str">
        <f ca="1">IFERROR(
VLOOKUP(BoM_Griptel[[#This Row],[Product code]],
IF(AND((BoQ!$N$3&lt;&gt;""),OR(BoM_Griptel[[#This Row],[Vendor]]="Griptel",BoM_Griptel[[#This Row],[Vendor]]="Solar")),INDIRECT(Aux!$A$1)),4,FALSE),"")</f>
        <v/>
      </c>
      <c r="O380" s="170" t="s">
        <v>1807</v>
      </c>
      <c r="P380" s="43" t="str">
        <f>IFERROR(IF(AND(BoM_Griptel[[#This Row],[Quantity]]&lt;&gt;"",BoM_Griptel[[#This Row],[Currency]]="NOK"),BoM_Griptel[[#This Row],[Quantity]]*BoM_Griptel[[#This Row],[Unit Price]],""),"")</f>
        <v/>
      </c>
      <c r="Q380" s="43" t="str">
        <f>IFERROR(IF(AND(BoM_Griptel[[#This Row],[ACT_Qty]]&lt;&gt;"",BoM_Griptel[[#This Row],[Currency]]="NOK"),BoM_Griptel[[#This Row],[ACT_Qty]]*BoM_Griptel[[#This Row],[Unit Price]],""),"")</f>
        <v/>
      </c>
      <c r="R380" s="43" t="str">
        <f>IFERROR(IF(AND(BoM_Griptel[[#This Row],[Quantity]]&lt;&gt;"",BoM_Griptel[[#This Row],[Currency]]="EUR"),BoM_Griptel[[#This Row],[Quantity]]*BoM_Griptel[[#This Row],[Unit Price]],""),"")</f>
        <v/>
      </c>
      <c r="S380" s="43" t="str">
        <f>IFERROR(IF(AND(BoM_Griptel[[#This Row],[ACT_Qty]]&lt;&gt;"",BoM_Griptel[[#This Row],[Currency]]="EUR"),BoM_Griptel[[#This Row],[ACT_Qty]]*BoM_Griptel[[#This Row],[Unit Price]],""),"")</f>
        <v/>
      </c>
      <c r="T380" s="186" t="s">
        <v>1802</v>
      </c>
      <c r="U380" s="46"/>
      <c r="V380" s="46"/>
      <c r="W380" s="146"/>
    </row>
    <row r="381" spans="1:23" ht="15" customHeight="1">
      <c r="A381" s="143" t="str">
        <f t="shared" si="10"/>
        <v>AKH12345</v>
      </c>
      <c r="B381" s="144" t="s">
        <v>2562</v>
      </c>
      <c r="C381" s="143" t="s">
        <v>2563</v>
      </c>
      <c r="D381" s="105"/>
      <c r="E381" s="106"/>
      <c r="F381" s="105"/>
      <c r="G381" s="106"/>
      <c r="H381" s="175"/>
      <c r="I381" s="176" t="s">
        <v>847</v>
      </c>
      <c r="J381" s="176" t="s">
        <v>835</v>
      </c>
      <c r="K381" s="176" t="s">
        <v>1235</v>
      </c>
      <c r="L381" s="145" t="s">
        <v>1806</v>
      </c>
      <c r="M381" s="45" t="str">
        <f t="shared" si="11"/>
        <v>OneCo Networks AS</v>
      </c>
      <c r="N381" s="40" t="str">
        <f ca="1">IFERROR(
VLOOKUP(BoM_Griptel[[#This Row],[Product code]],
IF(AND((BoQ!$N$3&lt;&gt;""),OR(BoM_Griptel[[#This Row],[Vendor]]="Griptel",BoM_Griptel[[#This Row],[Vendor]]="Solar")),INDIRECT(Aux!$A$1)),4,FALSE),"")</f>
        <v/>
      </c>
      <c r="O381" s="169" t="s">
        <v>1807</v>
      </c>
      <c r="P381" s="41" t="str">
        <f>IFERROR(IF(AND(BoM_Griptel[[#This Row],[Quantity]]&lt;&gt;"",BoM_Griptel[[#This Row],[Currency]]="NOK"),BoM_Griptel[[#This Row],[Quantity]]*BoM_Griptel[[#This Row],[Unit Price]],""),"")</f>
        <v/>
      </c>
      <c r="Q381" s="41" t="str">
        <f>IFERROR(IF(AND(BoM_Griptel[[#This Row],[ACT_Qty]]&lt;&gt;"",BoM_Griptel[[#This Row],[Currency]]="NOK"),BoM_Griptel[[#This Row],[ACT_Qty]]*BoM_Griptel[[#This Row],[Unit Price]],""),"")</f>
        <v/>
      </c>
      <c r="R381" s="41" t="str">
        <f>IFERROR(IF(AND(BoM_Griptel[[#This Row],[Quantity]]&lt;&gt;"",BoM_Griptel[[#This Row],[Currency]]="EUR"),BoM_Griptel[[#This Row],[Quantity]]*BoM_Griptel[[#This Row],[Unit Price]],""),"")</f>
        <v/>
      </c>
      <c r="S381" s="41" t="str">
        <f>IFERROR(IF(AND(BoM_Griptel[[#This Row],[ACT_Qty]]&lt;&gt;"",BoM_Griptel[[#This Row],[Currency]]="EUR"),BoM_Griptel[[#This Row],[ACT_Qty]]*BoM_Griptel[[#This Row],[Unit Price]],""),"")</f>
        <v/>
      </c>
      <c r="T381" s="185" t="s">
        <v>1802</v>
      </c>
      <c r="U381" s="45"/>
      <c r="V381" s="45"/>
      <c r="W381" s="143"/>
    </row>
    <row r="382" spans="1:23" ht="15" customHeight="1">
      <c r="A382" s="146" t="str">
        <f t="shared" si="10"/>
        <v>AKH12345</v>
      </c>
      <c r="B382" s="147" t="s">
        <v>2564</v>
      </c>
      <c r="C382" s="146" t="s">
        <v>2565</v>
      </c>
      <c r="D382" s="68"/>
      <c r="E382" s="89"/>
      <c r="F382" s="68"/>
      <c r="G382" s="89"/>
      <c r="H382" s="177"/>
      <c r="I382" s="178" t="s">
        <v>847</v>
      </c>
      <c r="J382" s="178" t="s">
        <v>835</v>
      </c>
      <c r="K382" s="178" t="s">
        <v>1235</v>
      </c>
      <c r="L382" s="148" t="s">
        <v>1806</v>
      </c>
      <c r="M382" s="46" t="str">
        <f t="shared" si="11"/>
        <v>OneCo Networks AS</v>
      </c>
      <c r="N382" s="42" t="str">
        <f ca="1">IFERROR(
VLOOKUP(BoM_Griptel[[#This Row],[Product code]],
IF(AND((BoQ!$N$3&lt;&gt;""),OR(BoM_Griptel[[#This Row],[Vendor]]="Griptel",BoM_Griptel[[#This Row],[Vendor]]="Solar")),INDIRECT(Aux!$A$1)),4,FALSE),"")</f>
        <v/>
      </c>
      <c r="O382" s="170" t="s">
        <v>1807</v>
      </c>
      <c r="P382" s="43" t="str">
        <f>IFERROR(IF(AND(BoM_Griptel[[#This Row],[Quantity]]&lt;&gt;"",BoM_Griptel[[#This Row],[Currency]]="NOK"),BoM_Griptel[[#This Row],[Quantity]]*BoM_Griptel[[#This Row],[Unit Price]],""),"")</f>
        <v/>
      </c>
      <c r="Q382" s="43" t="str">
        <f>IFERROR(IF(AND(BoM_Griptel[[#This Row],[ACT_Qty]]&lt;&gt;"",BoM_Griptel[[#This Row],[Currency]]="NOK"),BoM_Griptel[[#This Row],[ACT_Qty]]*BoM_Griptel[[#This Row],[Unit Price]],""),"")</f>
        <v/>
      </c>
      <c r="R382" s="43" t="str">
        <f>IFERROR(IF(AND(BoM_Griptel[[#This Row],[Quantity]]&lt;&gt;"",BoM_Griptel[[#This Row],[Currency]]="EUR"),BoM_Griptel[[#This Row],[Quantity]]*BoM_Griptel[[#This Row],[Unit Price]],""),"")</f>
        <v/>
      </c>
      <c r="S382" s="43" t="str">
        <f>IFERROR(IF(AND(BoM_Griptel[[#This Row],[ACT_Qty]]&lt;&gt;"",BoM_Griptel[[#This Row],[Currency]]="EUR"),BoM_Griptel[[#This Row],[ACT_Qty]]*BoM_Griptel[[#This Row],[Unit Price]],""),"")</f>
        <v/>
      </c>
      <c r="T382" s="186" t="s">
        <v>1802</v>
      </c>
      <c r="U382" s="46"/>
      <c r="V382" s="46"/>
      <c r="W382" s="146"/>
    </row>
    <row r="383" spans="1:23" ht="15" customHeight="1">
      <c r="A383" s="143" t="str">
        <f t="shared" si="10"/>
        <v>AKH12345</v>
      </c>
      <c r="B383" s="144" t="s">
        <v>2566</v>
      </c>
      <c r="C383" s="143" t="s">
        <v>2567</v>
      </c>
      <c r="D383" s="105"/>
      <c r="E383" s="106"/>
      <c r="F383" s="105"/>
      <c r="G383" s="106"/>
      <c r="H383" s="175"/>
      <c r="I383" s="176" t="s">
        <v>847</v>
      </c>
      <c r="J383" s="176" t="s">
        <v>835</v>
      </c>
      <c r="K383" s="176" t="s">
        <v>1235</v>
      </c>
      <c r="L383" s="145" t="s">
        <v>1806</v>
      </c>
      <c r="M383" s="45" t="str">
        <f t="shared" si="11"/>
        <v>OneCo Networks AS</v>
      </c>
      <c r="N383" s="40" t="str">
        <f ca="1">IFERROR(
VLOOKUP(BoM_Griptel[[#This Row],[Product code]],
IF(AND((BoQ!$N$3&lt;&gt;""),OR(BoM_Griptel[[#This Row],[Vendor]]="Griptel",BoM_Griptel[[#This Row],[Vendor]]="Solar")),INDIRECT(Aux!$A$1)),4,FALSE),"")</f>
        <v/>
      </c>
      <c r="O383" s="169" t="s">
        <v>1807</v>
      </c>
      <c r="P383" s="41" t="str">
        <f>IFERROR(IF(AND(BoM_Griptel[[#This Row],[Quantity]]&lt;&gt;"",BoM_Griptel[[#This Row],[Currency]]="NOK"),BoM_Griptel[[#This Row],[Quantity]]*BoM_Griptel[[#This Row],[Unit Price]],""),"")</f>
        <v/>
      </c>
      <c r="Q383" s="41" t="str">
        <f>IFERROR(IF(AND(BoM_Griptel[[#This Row],[ACT_Qty]]&lt;&gt;"",BoM_Griptel[[#This Row],[Currency]]="NOK"),BoM_Griptel[[#This Row],[ACT_Qty]]*BoM_Griptel[[#This Row],[Unit Price]],""),"")</f>
        <v/>
      </c>
      <c r="R383" s="41" t="str">
        <f>IFERROR(IF(AND(BoM_Griptel[[#This Row],[Quantity]]&lt;&gt;"",BoM_Griptel[[#This Row],[Currency]]="EUR"),BoM_Griptel[[#This Row],[Quantity]]*BoM_Griptel[[#This Row],[Unit Price]],""),"")</f>
        <v/>
      </c>
      <c r="S383" s="41" t="str">
        <f>IFERROR(IF(AND(BoM_Griptel[[#This Row],[ACT_Qty]]&lt;&gt;"",BoM_Griptel[[#This Row],[Currency]]="EUR"),BoM_Griptel[[#This Row],[ACT_Qty]]*BoM_Griptel[[#This Row],[Unit Price]],""),"")</f>
        <v/>
      </c>
      <c r="T383" s="185" t="s">
        <v>1802</v>
      </c>
      <c r="U383" s="45"/>
      <c r="V383" s="45"/>
      <c r="W383" s="143"/>
    </row>
    <row r="384" spans="1:23" ht="15" customHeight="1">
      <c r="A384" s="146" t="str">
        <f t="shared" si="10"/>
        <v>AKH12345</v>
      </c>
      <c r="B384" s="147" t="s">
        <v>2568</v>
      </c>
      <c r="C384" s="146" t="s">
        <v>2569</v>
      </c>
      <c r="D384" s="68"/>
      <c r="E384" s="89"/>
      <c r="F384" s="68"/>
      <c r="G384" s="89"/>
      <c r="H384" s="177"/>
      <c r="I384" s="178" t="s">
        <v>847</v>
      </c>
      <c r="J384" s="178" t="s">
        <v>835</v>
      </c>
      <c r="K384" s="178" t="s">
        <v>1235</v>
      </c>
      <c r="L384" s="148" t="s">
        <v>1806</v>
      </c>
      <c r="M384" s="46" t="str">
        <f t="shared" si="11"/>
        <v>OneCo Networks AS</v>
      </c>
      <c r="N384" s="42" t="str">
        <f ca="1">IFERROR(
VLOOKUP(BoM_Griptel[[#This Row],[Product code]],
IF(AND((BoQ!$N$3&lt;&gt;""),OR(BoM_Griptel[[#This Row],[Vendor]]="Griptel",BoM_Griptel[[#This Row],[Vendor]]="Solar")),INDIRECT(Aux!$A$1)),4,FALSE),"")</f>
        <v/>
      </c>
      <c r="O384" s="170" t="s">
        <v>1807</v>
      </c>
      <c r="P384" s="43" t="str">
        <f>IFERROR(IF(AND(BoM_Griptel[[#This Row],[Quantity]]&lt;&gt;"",BoM_Griptel[[#This Row],[Currency]]="NOK"),BoM_Griptel[[#This Row],[Quantity]]*BoM_Griptel[[#This Row],[Unit Price]],""),"")</f>
        <v/>
      </c>
      <c r="Q384" s="43" t="str">
        <f>IFERROR(IF(AND(BoM_Griptel[[#This Row],[ACT_Qty]]&lt;&gt;"",BoM_Griptel[[#This Row],[Currency]]="NOK"),BoM_Griptel[[#This Row],[ACT_Qty]]*BoM_Griptel[[#This Row],[Unit Price]],""),"")</f>
        <v/>
      </c>
      <c r="R384" s="43" t="str">
        <f>IFERROR(IF(AND(BoM_Griptel[[#This Row],[Quantity]]&lt;&gt;"",BoM_Griptel[[#This Row],[Currency]]="EUR"),BoM_Griptel[[#This Row],[Quantity]]*BoM_Griptel[[#This Row],[Unit Price]],""),"")</f>
        <v/>
      </c>
      <c r="S384" s="43" t="str">
        <f>IFERROR(IF(AND(BoM_Griptel[[#This Row],[ACT_Qty]]&lt;&gt;"",BoM_Griptel[[#This Row],[Currency]]="EUR"),BoM_Griptel[[#This Row],[ACT_Qty]]*BoM_Griptel[[#This Row],[Unit Price]],""),"")</f>
        <v/>
      </c>
      <c r="T384" s="186" t="s">
        <v>1802</v>
      </c>
      <c r="U384" s="46"/>
      <c r="V384" s="46"/>
      <c r="W384" s="146"/>
    </row>
    <row r="385" spans="1:23" ht="15" customHeight="1">
      <c r="A385" s="143" t="str">
        <f t="shared" si="10"/>
        <v>AKH12345</v>
      </c>
      <c r="B385" s="144" t="s">
        <v>2570</v>
      </c>
      <c r="C385" s="143" t="s">
        <v>2571</v>
      </c>
      <c r="D385" s="105"/>
      <c r="E385" s="106"/>
      <c r="F385" s="105"/>
      <c r="G385" s="106"/>
      <c r="H385" s="175"/>
      <c r="I385" s="176" t="s">
        <v>847</v>
      </c>
      <c r="J385" s="176" t="s">
        <v>835</v>
      </c>
      <c r="K385" s="176" t="s">
        <v>1235</v>
      </c>
      <c r="L385" s="145" t="s">
        <v>1806</v>
      </c>
      <c r="M385" s="45" t="str">
        <f t="shared" si="11"/>
        <v>OneCo Networks AS</v>
      </c>
      <c r="N385" s="40" t="str">
        <f ca="1">IFERROR(
VLOOKUP(BoM_Griptel[[#This Row],[Product code]],
IF(AND((BoQ!$N$3&lt;&gt;""),OR(BoM_Griptel[[#This Row],[Vendor]]="Griptel",BoM_Griptel[[#This Row],[Vendor]]="Solar")),INDIRECT(Aux!$A$1)),4,FALSE),"")</f>
        <v/>
      </c>
      <c r="O385" s="169" t="s">
        <v>1807</v>
      </c>
      <c r="P385" s="41" t="str">
        <f>IFERROR(IF(AND(BoM_Griptel[[#This Row],[Quantity]]&lt;&gt;"",BoM_Griptel[[#This Row],[Currency]]="NOK"),BoM_Griptel[[#This Row],[Quantity]]*BoM_Griptel[[#This Row],[Unit Price]],""),"")</f>
        <v/>
      </c>
      <c r="Q385" s="41" t="str">
        <f>IFERROR(IF(AND(BoM_Griptel[[#This Row],[ACT_Qty]]&lt;&gt;"",BoM_Griptel[[#This Row],[Currency]]="NOK"),BoM_Griptel[[#This Row],[ACT_Qty]]*BoM_Griptel[[#This Row],[Unit Price]],""),"")</f>
        <v/>
      </c>
      <c r="R385" s="41" t="str">
        <f>IFERROR(IF(AND(BoM_Griptel[[#This Row],[Quantity]]&lt;&gt;"",BoM_Griptel[[#This Row],[Currency]]="EUR"),BoM_Griptel[[#This Row],[Quantity]]*BoM_Griptel[[#This Row],[Unit Price]],""),"")</f>
        <v/>
      </c>
      <c r="S385" s="41" t="str">
        <f>IFERROR(IF(AND(BoM_Griptel[[#This Row],[ACT_Qty]]&lt;&gt;"",BoM_Griptel[[#This Row],[Currency]]="EUR"),BoM_Griptel[[#This Row],[ACT_Qty]]*BoM_Griptel[[#This Row],[Unit Price]],""),"")</f>
        <v/>
      </c>
      <c r="T385" s="185" t="s">
        <v>1802</v>
      </c>
      <c r="U385" s="45"/>
      <c r="V385" s="45"/>
      <c r="W385" s="143"/>
    </row>
    <row r="386" spans="1:23" ht="15" customHeight="1">
      <c r="A386" s="146" t="str">
        <f t="shared" si="10"/>
        <v>AKH12345</v>
      </c>
      <c r="B386" s="147" t="s">
        <v>2572</v>
      </c>
      <c r="C386" s="146" t="s">
        <v>2573</v>
      </c>
      <c r="D386" s="68"/>
      <c r="E386" s="89"/>
      <c r="F386" s="68"/>
      <c r="G386" s="89"/>
      <c r="H386" s="177"/>
      <c r="I386" s="178" t="s">
        <v>847</v>
      </c>
      <c r="J386" s="178" t="s">
        <v>835</v>
      </c>
      <c r="K386" s="178" t="s">
        <v>1235</v>
      </c>
      <c r="L386" s="148" t="s">
        <v>1806</v>
      </c>
      <c r="M386" s="46" t="str">
        <f t="shared" si="11"/>
        <v>OneCo Networks AS</v>
      </c>
      <c r="N386" s="42" t="str">
        <f ca="1">IFERROR(
VLOOKUP(BoM_Griptel[[#This Row],[Product code]],
IF(AND((BoQ!$N$3&lt;&gt;""),OR(BoM_Griptel[[#This Row],[Vendor]]="Griptel",BoM_Griptel[[#This Row],[Vendor]]="Solar")),INDIRECT(Aux!$A$1)),4,FALSE),"")</f>
        <v/>
      </c>
      <c r="O386" s="170" t="s">
        <v>1807</v>
      </c>
      <c r="P386" s="43" t="str">
        <f>IFERROR(IF(AND(BoM_Griptel[[#This Row],[Quantity]]&lt;&gt;"",BoM_Griptel[[#This Row],[Currency]]="NOK"),BoM_Griptel[[#This Row],[Quantity]]*BoM_Griptel[[#This Row],[Unit Price]],""),"")</f>
        <v/>
      </c>
      <c r="Q386" s="43" t="str">
        <f>IFERROR(IF(AND(BoM_Griptel[[#This Row],[ACT_Qty]]&lt;&gt;"",BoM_Griptel[[#This Row],[Currency]]="NOK"),BoM_Griptel[[#This Row],[ACT_Qty]]*BoM_Griptel[[#This Row],[Unit Price]],""),"")</f>
        <v/>
      </c>
      <c r="R386" s="43" t="str">
        <f>IFERROR(IF(AND(BoM_Griptel[[#This Row],[Quantity]]&lt;&gt;"",BoM_Griptel[[#This Row],[Currency]]="EUR"),BoM_Griptel[[#This Row],[Quantity]]*BoM_Griptel[[#This Row],[Unit Price]],""),"")</f>
        <v/>
      </c>
      <c r="S386" s="43" t="str">
        <f>IFERROR(IF(AND(BoM_Griptel[[#This Row],[ACT_Qty]]&lt;&gt;"",BoM_Griptel[[#This Row],[Currency]]="EUR"),BoM_Griptel[[#This Row],[ACT_Qty]]*BoM_Griptel[[#This Row],[Unit Price]],""),"")</f>
        <v/>
      </c>
      <c r="T386" s="186" t="s">
        <v>1802</v>
      </c>
      <c r="U386" s="46"/>
      <c r="V386" s="46"/>
      <c r="W386" s="146"/>
    </row>
    <row r="387" spans="1:23" ht="15" customHeight="1">
      <c r="A387" s="143" t="str">
        <f t="shared" si="10"/>
        <v>AKH12345</v>
      </c>
      <c r="B387" s="144" t="s">
        <v>2574</v>
      </c>
      <c r="C387" s="143" t="s">
        <v>2575</v>
      </c>
      <c r="D387" s="105"/>
      <c r="E387" s="106"/>
      <c r="F387" s="105"/>
      <c r="G387" s="106"/>
      <c r="H387" s="175"/>
      <c r="I387" s="176" t="s">
        <v>847</v>
      </c>
      <c r="J387" s="176" t="s">
        <v>835</v>
      </c>
      <c r="K387" s="176" t="s">
        <v>1235</v>
      </c>
      <c r="L387" s="145" t="s">
        <v>1806</v>
      </c>
      <c r="M387" s="45" t="str">
        <f t="shared" si="11"/>
        <v>OneCo Networks AS</v>
      </c>
      <c r="N387" s="40" t="str">
        <f ca="1">IFERROR(
VLOOKUP(BoM_Griptel[[#This Row],[Product code]],
IF(AND((BoQ!$N$3&lt;&gt;""),OR(BoM_Griptel[[#This Row],[Vendor]]="Griptel",BoM_Griptel[[#This Row],[Vendor]]="Solar")),INDIRECT(Aux!$A$1)),4,FALSE),"")</f>
        <v/>
      </c>
      <c r="O387" s="169" t="s">
        <v>1807</v>
      </c>
      <c r="P387" s="41" t="str">
        <f>IFERROR(IF(AND(BoM_Griptel[[#This Row],[Quantity]]&lt;&gt;"",BoM_Griptel[[#This Row],[Currency]]="NOK"),BoM_Griptel[[#This Row],[Quantity]]*BoM_Griptel[[#This Row],[Unit Price]],""),"")</f>
        <v/>
      </c>
      <c r="Q387" s="41" t="str">
        <f>IFERROR(IF(AND(BoM_Griptel[[#This Row],[ACT_Qty]]&lt;&gt;"",BoM_Griptel[[#This Row],[Currency]]="NOK"),BoM_Griptel[[#This Row],[ACT_Qty]]*BoM_Griptel[[#This Row],[Unit Price]],""),"")</f>
        <v/>
      </c>
      <c r="R387" s="41" t="str">
        <f>IFERROR(IF(AND(BoM_Griptel[[#This Row],[Quantity]]&lt;&gt;"",BoM_Griptel[[#This Row],[Currency]]="EUR"),BoM_Griptel[[#This Row],[Quantity]]*BoM_Griptel[[#This Row],[Unit Price]],""),"")</f>
        <v/>
      </c>
      <c r="S387" s="41" t="str">
        <f>IFERROR(IF(AND(BoM_Griptel[[#This Row],[ACT_Qty]]&lt;&gt;"",BoM_Griptel[[#This Row],[Currency]]="EUR"),BoM_Griptel[[#This Row],[ACT_Qty]]*BoM_Griptel[[#This Row],[Unit Price]],""),"")</f>
        <v/>
      </c>
      <c r="T387" s="185" t="s">
        <v>1802</v>
      </c>
      <c r="U387" s="45"/>
      <c r="V387" s="45"/>
      <c r="W387" s="143"/>
    </row>
    <row r="388" spans="1:23" ht="15" customHeight="1">
      <c r="A388" s="146" t="str">
        <f t="shared" si="10"/>
        <v>AKH12345</v>
      </c>
      <c r="B388" s="147" t="s">
        <v>2576</v>
      </c>
      <c r="C388" s="146" t="s">
        <v>2577</v>
      </c>
      <c r="D388" s="68"/>
      <c r="E388" s="89"/>
      <c r="F388" s="68"/>
      <c r="G388" s="89"/>
      <c r="H388" s="177"/>
      <c r="I388" s="178" t="s">
        <v>847</v>
      </c>
      <c r="J388" s="178" t="s">
        <v>835</v>
      </c>
      <c r="K388" s="178" t="s">
        <v>1235</v>
      </c>
      <c r="L388" s="148" t="s">
        <v>1806</v>
      </c>
      <c r="M388" s="46" t="str">
        <f t="shared" si="11"/>
        <v>OneCo Networks AS</v>
      </c>
      <c r="N388" s="42" t="str">
        <f ca="1">IFERROR(
VLOOKUP(BoM_Griptel[[#This Row],[Product code]],
IF(AND((BoQ!$N$3&lt;&gt;""),OR(BoM_Griptel[[#This Row],[Vendor]]="Griptel",BoM_Griptel[[#This Row],[Vendor]]="Solar")),INDIRECT(Aux!$A$1)),4,FALSE),"")</f>
        <v/>
      </c>
      <c r="O388" s="170" t="s">
        <v>1807</v>
      </c>
      <c r="P388" s="43" t="str">
        <f>IFERROR(IF(AND(BoM_Griptel[[#This Row],[Quantity]]&lt;&gt;"",BoM_Griptel[[#This Row],[Currency]]="NOK"),BoM_Griptel[[#This Row],[Quantity]]*BoM_Griptel[[#This Row],[Unit Price]],""),"")</f>
        <v/>
      </c>
      <c r="Q388" s="43" t="str">
        <f>IFERROR(IF(AND(BoM_Griptel[[#This Row],[ACT_Qty]]&lt;&gt;"",BoM_Griptel[[#This Row],[Currency]]="NOK"),BoM_Griptel[[#This Row],[ACT_Qty]]*BoM_Griptel[[#This Row],[Unit Price]],""),"")</f>
        <v/>
      </c>
      <c r="R388" s="43" t="str">
        <f>IFERROR(IF(AND(BoM_Griptel[[#This Row],[Quantity]]&lt;&gt;"",BoM_Griptel[[#This Row],[Currency]]="EUR"),BoM_Griptel[[#This Row],[Quantity]]*BoM_Griptel[[#This Row],[Unit Price]],""),"")</f>
        <v/>
      </c>
      <c r="S388" s="43" t="str">
        <f>IFERROR(IF(AND(BoM_Griptel[[#This Row],[ACT_Qty]]&lt;&gt;"",BoM_Griptel[[#This Row],[Currency]]="EUR"),BoM_Griptel[[#This Row],[ACT_Qty]]*BoM_Griptel[[#This Row],[Unit Price]],""),"")</f>
        <v/>
      </c>
      <c r="T388" s="186" t="s">
        <v>1802</v>
      </c>
      <c r="U388" s="46"/>
      <c r="V388" s="46"/>
      <c r="W388" s="146"/>
    </row>
    <row r="389" spans="1:23" ht="15" customHeight="1">
      <c r="A389" s="143" t="str">
        <f t="shared" si="10"/>
        <v>AKH12345</v>
      </c>
      <c r="B389" s="144" t="s">
        <v>2578</v>
      </c>
      <c r="C389" s="143" t="s">
        <v>2579</v>
      </c>
      <c r="D389" s="105"/>
      <c r="E389" s="106"/>
      <c r="F389" s="105"/>
      <c r="G389" s="106"/>
      <c r="H389" s="175"/>
      <c r="I389" s="176" t="s">
        <v>847</v>
      </c>
      <c r="J389" s="176" t="s">
        <v>835</v>
      </c>
      <c r="K389" s="176" t="s">
        <v>1235</v>
      </c>
      <c r="L389" s="145" t="s">
        <v>1806</v>
      </c>
      <c r="M389" s="45" t="str">
        <f t="shared" si="11"/>
        <v>OneCo Networks AS</v>
      </c>
      <c r="N389" s="40" t="str">
        <f ca="1">IFERROR(
VLOOKUP(BoM_Griptel[[#This Row],[Product code]],
IF(AND((BoQ!$N$3&lt;&gt;""),OR(BoM_Griptel[[#This Row],[Vendor]]="Griptel",BoM_Griptel[[#This Row],[Vendor]]="Solar")),INDIRECT(Aux!$A$1)),4,FALSE),"")</f>
        <v/>
      </c>
      <c r="O389" s="169" t="s">
        <v>1807</v>
      </c>
      <c r="P389" s="41" t="str">
        <f>IFERROR(IF(AND(BoM_Griptel[[#This Row],[Quantity]]&lt;&gt;"",BoM_Griptel[[#This Row],[Currency]]="NOK"),BoM_Griptel[[#This Row],[Quantity]]*BoM_Griptel[[#This Row],[Unit Price]],""),"")</f>
        <v/>
      </c>
      <c r="Q389" s="41" t="str">
        <f>IFERROR(IF(AND(BoM_Griptel[[#This Row],[ACT_Qty]]&lt;&gt;"",BoM_Griptel[[#This Row],[Currency]]="NOK"),BoM_Griptel[[#This Row],[ACT_Qty]]*BoM_Griptel[[#This Row],[Unit Price]],""),"")</f>
        <v/>
      </c>
      <c r="R389" s="41" t="str">
        <f>IFERROR(IF(AND(BoM_Griptel[[#This Row],[Quantity]]&lt;&gt;"",BoM_Griptel[[#This Row],[Currency]]="EUR"),BoM_Griptel[[#This Row],[Quantity]]*BoM_Griptel[[#This Row],[Unit Price]],""),"")</f>
        <v/>
      </c>
      <c r="S389" s="41" t="str">
        <f>IFERROR(IF(AND(BoM_Griptel[[#This Row],[ACT_Qty]]&lt;&gt;"",BoM_Griptel[[#This Row],[Currency]]="EUR"),BoM_Griptel[[#This Row],[ACT_Qty]]*BoM_Griptel[[#This Row],[Unit Price]],""),"")</f>
        <v/>
      </c>
      <c r="T389" s="185" t="s">
        <v>1802</v>
      </c>
      <c r="U389" s="45"/>
      <c r="V389" s="45"/>
      <c r="W389" s="143"/>
    </row>
    <row r="390" spans="1:23" ht="15" customHeight="1">
      <c r="A390" s="146" t="str">
        <f t="shared" si="10"/>
        <v>AKH12345</v>
      </c>
      <c r="B390" s="147" t="s">
        <v>2580</v>
      </c>
      <c r="C390" s="146" t="s">
        <v>2581</v>
      </c>
      <c r="D390" s="68"/>
      <c r="E390" s="89"/>
      <c r="F390" s="68"/>
      <c r="G390" s="89"/>
      <c r="H390" s="177"/>
      <c r="I390" s="178" t="s">
        <v>847</v>
      </c>
      <c r="J390" s="178" t="s">
        <v>835</v>
      </c>
      <c r="K390" s="178" t="s">
        <v>1235</v>
      </c>
      <c r="L390" s="148" t="s">
        <v>1806</v>
      </c>
      <c r="M390" s="46" t="str">
        <f t="shared" si="11"/>
        <v>OneCo Networks AS</v>
      </c>
      <c r="N390" s="42" t="str">
        <f ca="1">IFERROR(
VLOOKUP(BoM_Griptel[[#This Row],[Product code]],
IF(AND((BoQ!$N$3&lt;&gt;""),OR(BoM_Griptel[[#This Row],[Vendor]]="Griptel",BoM_Griptel[[#This Row],[Vendor]]="Solar")),INDIRECT(Aux!$A$1)),4,FALSE),"")</f>
        <v/>
      </c>
      <c r="O390" s="170" t="s">
        <v>1807</v>
      </c>
      <c r="P390" s="43" t="str">
        <f>IFERROR(IF(AND(BoM_Griptel[[#This Row],[Quantity]]&lt;&gt;"",BoM_Griptel[[#This Row],[Currency]]="NOK"),BoM_Griptel[[#This Row],[Quantity]]*BoM_Griptel[[#This Row],[Unit Price]],""),"")</f>
        <v/>
      </c>
      <c r="Q390" s="43" t="str">
        <f>IFERROR(IF(AND(BoM_Griptel[[#This Row],[ACT_Qty]]&lt;&gt;"",BoM_Griptel[[#This Row],[Currency]]="NOK"),BoM_Griptel[[#This Row],[ACT_Qty]]*BoM_Griptel[[#This Row],[Unit Price]],""),"")</f>
        <v/>
      </c>
      <c r="R390" s="43" t="str">
        <f>IFERROR(IF(AND(BoM_Griptel[[#This Row],[Quantity]]&lt;&gt;"",BoM_Griptel[[#This Row],[Currency]]="EUR"),BoM_Griptel[[#This Row],[Quantity]]*BoM_Griptel[[#This Row],[Unit Price]],""),"")</f>
        <v/>
      </c>
      <c r="S390" s="43" t="str">
        <f>IFERROR(IF(AND(BoM_Griptel[[#This Row],[ACT_Qty]]&lt;&gt;"",BoM_Griptel[[#This Row],[Currency]]="EUR"),BoM_Griptel[[#This Row],[ACT_Qty]]*BoM_Griptel[[#This Row],[Unit Price]],""),"")</f>
        <v/>
      </c>
      <c r="T390" s="186" t="s">
        <v>1802</v>
      </c>
      <c r="U390" s="46"/>
      <c r="V390" s="46"/>
      <c r="W390" s="146"/>
    </row>
    <row r="391" spans="1:23" ht="15" customHeight="1">
      <c r="A391" s="143" t="str">
        <f t="shared" si="10"/>
        <v>AKH12345</v>
      </c>
      <c r="B391" s="144" t="s">
        <v>2582</v>
      </c>
      <c r="C391" s="143" t="s">
        <v>2583</v>
      </c>
      <c r="D391" s="105"/>
      <c r="E391" s="106"/>
      <c r="F391" s="105"/>
      <c r="G391" s="106"/>
      <c r="H391" s="175"/>
      <c r="I391" s="176" t="s">
        <v>847</v>
      </c>
      <c r="J391" s="176" t="s">
        <v>835</v>
      </c>
      <c r="K391" s="176" t="s">
        <v>1235</v>
      </c>
      <c r="L391" s="145" t="s">
        <v>1806</v>
      </c>
      <c r="M391" s="45" t="str">
        <f t="shared" si="11"/>
        <v>OneCo Networks AS</v>
      </c>
      <c r="N391" s="40" t="str">
        <f ca="1">IFERROR(
VLOOKUP(BoM_Griptel[[#This Row],[Product code]],
IF(AND((BoQ!$N$3&lt;&gt;""),OR(BoM_Griptel[[#This Row],[Vendor]]="Griptel",BoM_Griptel[[#This Row],[Vendor]]="Solar")),INDIRECT(Aux!$A$1)),4,FALSE),"")</f>
        <v/>
      </c>
      <c r="O391" s="169" t="s">
        <v>1807</v>
      </c>
      <c r="P391" s="41" t="str">
        <f>IFERROR(IF(AND(BoM_Griptel[[#This Row],[Quantity]]&lt;&gt;"",BoM_Griptel[[#This Row],[Currency]]="NOK"),BoM_Griptel[[#This Row],[Quantity]]*BoM_Griptel[[#This Row],[Unit Price]],""),"")</f>
        <v/>
      </c>
      <c r="Q391" s="41" t="str">
        <f>IFERROR(IF(AND(BoM_Griptel[[#This Row],[ACT_Qty]]&lt;&gt;"",BoM_Griptel[[#This Row],[Currency]]="NOK"),BoM_Griptel[[#This Row],[ACT_Qty]]*BoM_Griptel[[#This Row],[Unit Price]],""),"")</f>
        <v/>
      </c>
      <c r="R391" s="41" t="str">
        <f>IFERROR(IF(AND(BoM_Griptel[[#This Row],[Quantity]]&lt;&gt;"",BoM_Griptel[[#This Row],[Currency]]="EUR"),BoM_Griptel[[#This Row],[Quantity]]*BoM_Griptel[[#This Row],[Unit Price]],""),"")</f>
        <v/>
      </c>
      <c r="S391" s="41" t="str">
        <f>IFERROR(IF(AND(BoM_Griptel[[#This Row],[ACT_Qty]]&lt;&gt;"",BoM_Griptel[[#This Row],[Currency]]="EUR"),BoM_Griptel[[#This Row],[ACT_Qty]]*BoM_Griptel[[#This Row],[Unit Price]],""),"")</f>
        <v/>
      </c>
      <c r="T391" s="185" t="s">
        <v>1802</v>
      </c>
      <c r="U391" s="45"/>
      <c r="V391" s="45"/>
      <c r="W391" s="143"/>
    </row>
    <row r="392" spans="1:23" ht="15" customHeight="1">
      <c r="A392" s="146" t="str">
        <f t="shared" si="10"/>
        <v>AKH12345</v>
      </c>
      <c r="B392" s="147" t="s">
        <v>2584</v>
      </c>
      <c r="C392" s="146" t="s">
        <v>2585</v>
      </c>
      <c r="D392" s="68"/>
      <c r="E392" s="89"/>
      <c r="F392" s="68"/>
      <c r="G392" s="89"/>
      <c r="H392" s="177"/>
      <c r="I392" s="178" t="s">
        <v>847</v>
      </c>
      <c r="J392" s="178" t="s">
        <v>835</v>
      </c>
      <c r="K392" s="178" t="s">
        <v>1235</v>
      </c>
      <c r="L392" s="148" t="s">
        <v>1806</v>
      </c>
      <c r="M392" s="46" t="str">
        <f t="shared" si="11"/>
        <v>OneCo Networks AS</v>
      </c>
      <c r="N392" s="42" t="str">
        <f ca="1">IFERROR(
VLOOKUP(BoM_Griptel[[#This Row],[Product code]],
IF(AND((BoQ!$N$3&lt;&gt;""),OR(BoM_Griptel[[#This Row],[Vendor]]="Griptel",BoM_Griptel[[#This Row],[Vendor]]="Solar")),INDIRECT(Aux!$A$1)),4,FALSE),"")</f>
        <v/>
      </c>
      <c r="O392" s="170" t="s">
        <v>1807</v>
      </c>
      <c r="P392" s="43" t="str">
        <f>IFERROR(IF(AND(BoM_Griptel[[#This Row],[Quantity]]&lt;&gt;"",BoM_Griptel[[#This Row],[Currency]]="NOK"),BoM_Griptel[[#This Row],[Quantity]]*BoM_Griptel[[#This Row],[Unit Price]],""),"")</f>
        <v/>
      </c>
      <c r="Q392" s="43" t="str">
        <f>IFERROR(IF(AND(BoM_Griptel[[#This Row],[ACT_Qty]]&lt;&gt;"",BoM_Griptel[[#This Row],[Currency]]="NOK"),BoM_Griptel[[#This Row],[ACT_Qty]]*BoM_Griptel[[#This Row],[Unit Price]],""),"")</f>
        <v/>
      </c>
      <c r="R392" s="43" t="str">
        <f>IFERROR(IF(AND(BoM_Griptel[[#This Row],[Quantity]]&lt;&gt;"",BoM_Griptel[[#This Row],[Currency]]="EUR"),BoM_Griptel[[#This Row],[Quantity]]*BoM_Griptel[[#This Row],[Unit Price]],""),"")</f>
        <v/>
      </c>
      <c r="S392" s="43" t="str">
        <f>IFERROR(IF(AND(BoM_Griptel[[#This Row],[ACT_Qty]]&lt;&gt;"",BoM_Griptel[[#This Row],[Currency]]="EUR"),BoM_Griptel[[#This Row],[ACT_Qty]]*BoM_Griptel[[#This Row],[Unit Price]],""),"")</f>
        <v/>
      </c>
      <c r="T392" s="186" t="s">
        <v>1802</v>
      </c>
      <c r="U392" s="46"/>
      <c r="V392" s="46"/>
      <c r="W392" s="146"/>
    </row>
    <row r="393" spans="1:23" ht="15" customHeight="1">
      <c r="A393" s="143" t="str">
        <f t="shared" si="10"/>
        <v>AKH12345</v>
      </c>
      <c r="B393" s="144" t="s">
        <v>2586</v>
      </c>
      <c r="C393" s="143" t="s">
        <v>2587</v>
      </c>
      <c r="D393" s="105"/>
      <c r="E393" s="106"/>
      <c r="F393" s="105"/>
      <c r="G393" s="106"/>
      <c r="H393" s="175"/>
      <c r="I393" s="176" t="s">
        <v>847</v>
      </c>
      <c r="J393" s="176" t="s">
        <v>835</v>
      </c>
      <c r="K393" s="176" t="s">
        <v>1235</v>
      </c>
      <c r="L393" s="145" t="s">
        <v>1806</v>
      </c>
      <c r="M393" s="45" t="str">
        <f t="shared" si="11"/>
        <v>OneCo Networks AS</v>
      </c>
      <c r="N393" s="40" t="str">
        <f ca="1">IFERROR(
VLOOKUP(BoM_Griptel[[#This Row],[Product code]],
IF(AND((BoQ!$N$3&lt;&gt;""),OR(BoM_Griptel[[#This Row],[Vendor]]="Griptel",BoM_Griptel[[#This Row],[Vendor]]="Solar")),INDIRECT(Aux!$A$1)),4,FALSE),"")</f>
        <v/>
      </c>
      <c r="O393" s="169" t="s">
        <v>1807</v>
      </c>
      <c r="P393" s="41" t="str">
        <f>IFERROR(IF(AND(BoM_Griptel[[#This Row],[Quantity]]&lt;&gt;"",BoM_Griptel[[#This Row],[Currency]]="NOK"),BoM_Griptel[[#This Row],[Quantity]]*BoM_Griptel[[#This Row],[Unit Price]],""),"")</f>
        <v/>
      </c>
      <c r="Q393" s="41" t="str">
        <f>IFERROR(IF(AND(BoM_Griptel[[#This Row],[ACT_Qty]]&lt;&gt;"",BoM_Griptel[[#This Row],[Currency]]="NOK"),BoM_Griptel[[#This Row],[ACT_Qty]]*BoM_Griptel[[#This Row],[Unit Price]],""),"")</f>
        <v/>
      </c>
      <c r="R393" s="41" t="str">
        <f>IFERROR(IF(AND(BoM_Griptel[[#This Row],[Quantity]]&lt;&gt;"",BoM_Griptel[[#This Row],[Currency]]="EUR"),BoM_Griptel[[#This Row],[Quantity]]*BoM_Griptel[[#This Row],[Unit Price]],""),"")</f>
        <v/>
      </c>
      <c r="S393" s="41" t="str">
        <f>IFERROR(IF(AND(BoM_Griptel[[#This Row],[ACT_Qty]]&lt;&gt;"",BoM_Griptel[[#This Row],[Currency]]="EUR"),BoM_Griptel[[#This Row],[ACT_Qty]]*BoM_Griptel[[#This Row],[Unit Price]],""),"")</f>
        <v/>
      </c>
      <c r="T393" s="185" t="s">
        <v>1802</v>
      </c>
      <c r="U393" s="45"/>
      <c r="V393" s="45"/>
      <c r="W393" s="143"/>
    </row>
    <row r="394" spans="1:23" ht="15" customHeight="1">
      <c r="A394" s="146" t="str">
        <f t="shared" si="10"/>
        <v>AKH12345</v>
      </c>
      <c r="B394" s="147" t="s">
        <v>2588</v>
      </c>
      <c r="C394" s="146" t="s">
        <v>2589</v>
      </c>
      <c r="D394" s="68"/>
      <c r="E394" s="89"/>
      <c r="F394" s="68"/>
      <c r="G394" s="89"/>
      <c r="H394" s="177"/>
      <c r="I394" s="178" t="s">
        <v>847</v>
      </c>
      <c r="J394" s="178" t="s">
        <v>835</v>
      </c>
      <c r="K394" s="178" t="s">
        <v>1235</v>
      </c>
      <c r="L394" s="148" t="s">
        <v>1806</v>
      </c>
      <c r="M394" s="46" t="str">
        <f t="shared" si="11"/>
        <v>OneCo Networks AS</v>
      </c>
      <c r="N394" s="42" t="str">
        <f ca="1">IFERROR(
VLOOKUP(BoM_Griptel[[#This Row],[Product code]],
IF(AND((BoQ!$N$3&lt;&gt;""),OR(BoM_Griptel[[#This Row],[Vendor]]="Griptel",BoM_Griptel[[#This Row],[Vendor]]="Solar")),INDIRECT(Aux!$A$1)),4,FALSE),"")</f>
        <v/>
      </c>
      <c r="O394" s="170" t="s">
        <v>1807</v>
      </c>
      <c r="P394" s="43" t="str">
        <f>IFERROR(IF(AND(BoM_Griptel[[#This Row],[Quantity]]&lt;&gt;"",BoM_Griptel[[#This Row],[Currency]]="NOK"),BoM_Griptel[[#This Row],[Quantity]]*BoM_Griptel[[#This Row],[Unit Price]],""),"")</f>
        <v/>
      </c>
      <c r="Q394" s="43" t="str">
        <f>IFERROR(IF(AND(BoM_Griptel[[#This Row],[ACT_Qty]]&lt;&gt;"",BoM_Griptel[[#This Row],[Currency]]="NOK"),BoM_Griptel[[#This Row],[ACT_Qty]]*BoM_Griptel[[#This Row],[Unit Price]],""),"")</f>
        <v/>
      </c>
      <c r="R394" s="43" t="str">
        <f>IFERROR(IF(AND(BoM_Griptel[[#This Row],[Quantity]]&lt;&gt;"",BoM_Griptel[[#This Row],[Currency]]="EUR"),BoM_Griptel[[#This Row],[Quantity]]*BoM_Griptel[[#This Row],[Unit Price]],""),"")</f>
        <v/>
      </c>
      <c r="S394" s="43" t="str">
        <f>IFERROR(IF(AND(BoM_Griptel[[#This Row],[ACT_Qty]]&lt;&gt;"",BoM_Griptel[[#This Row],[Currency]]="EUR"),BoM_Griptel[[#This Row],[ACT_Qty]]*BoM_Griptel[[#This Row],[Unit Price]],""),"")</f>
        <v/>
      </c>
      <c r="T394" s="186" t="s">
        <v>1802</v>
      </c>
      <c r="U394" s="46"/>
      <c r="V394" s="46"/>
      <c r="W394" s="146"/>
    </row>
    <row r="395" spans="1:23" ht="15" customHeight="1">
      <c r="A395" s="143" t="str">
        <f t="shared" si="10"/>
        <v>AKH12345</v>
      </c>
      <c r="B395" s="144" t="s">
        <v>2590</v>
      </c>
      <c r="C395" s="143" t="s">
        <v>2591</v>
      </c>
      <c r="D395" s="105"/>
      <c r="E395" s="106"/>
      <c r="F395" s="105"/>
      <c r="G395" s="106"/>
      <c r="H395" s="175"/>
      <c r="I395" s="176" t="s">
        <v>847</v>
      </c>
      <c r="J395" s="176" t="s">
        <v>835</v>
      </c>
      <c r="K395" s="176" t="s">
        <v>1235</v>
      </c>
      <c r="L395" s="145" t="s">
        <v>1806</v>
      </c>
      <c r="M395" s="45" t="str">
        <f t="shared" si="11"/>
        <v>OneCo Networks AS</v>
      </c>
      <c r="N395" s="40" t="str">
        <f ca="1">IFERROR(
VLOOKUP(BoM_Griptel[[#This Row],[Product code]],
IF(AND((BoQ!$N$3&lt;&gt;""),OR(BoM_Griptel[[#This Row],[Vendor]]="Griptel",BoM_Griptel[[#This Row],[Vendor]]="Solar")),INDIRECT(Aux!$A$1)),4,FALSE),"")</f>
        <v/>
      </c>
      <c r="O395" s="169" t="s">
        <v>1807</v>
      </c>
      <c r="P395" s="41" t="str">
        <f>IFERROR(IF(AND(BoM_Griptel[[#This Row],[Quantity]]&lt;&gt;"",BoM_Griptel[[#This Row],[Currency]]="NOK"),BoM_Griptel[[#This Row],[Quantity]]*BoM_Griptel[[#This Row],[Unit Price]],""),"")</f>
        <v/>
      </c>
      <c r="Q395" s="41" t="str">
        <f>IFERROR(IF(AND(BoM_Griptel[[#This Row],[ACT_Qty]]&lt;&gt;"",BoM_Griptel[[#This Row],[Currency]]="NOK"),BoM_Griptel[[#This Row],[ACT_Qty]]*BoM_Griptel[[#This Row],[Unit Price]],""),"")</f>
        <v/>
      </c>
      <c r="R395" s="41" t="str">
        <f>IFERROR(IF(AND(BoM_Griptel[[#This Row],[Quantity]]&lt;&gt;"",BoM_Griptel[[#This Row],[Currency]]="EUR"),BoM_Griptel[[#This Row],[Quantity]]*BoM_Griptel[[#This Row],[Unit Price]],""),"")</f>
        <v/>
      </c>
      <c r="S395" s="41" t="str">
        <f>IFERROR(IF(AND(BoM_Griptel[[#This Row],[ACT_Qty]]&lt;&gt;"",BoM_Griptel[[#This Row],[Currency]]="EUR"),BoM_Griptel[[#This Row],[ACT_Qty]]*BoM_Griptel[[#This Row],[Unit Price]],""),"")</f>
        <v/>
      </c>
      <c r="T395" s="185" t="s">
        <v>1802</v>
      </c>
      <c r="U395" s="45"/>
      <c r="V395" s="45"/>
      <c r="W395" s="143"/>
    </row>
    <row r="396" spans="1:23" ht="15" customHeight="1">
      <c r="A396" s="146" t="str">
        <f t="shared" si="10"/>
        <v>AKH12345</v>
      </c>
      <c r="B396" s="147" t="s">
        <v>2592</v>
      </c>
      <c r="C396" s="146" t="s">
        <v>2593</v>
      </c>
      <c r="D396" s="68"/>
      <c r="E396" s="89"/>
      <c r="F396" s="68"/>
      <c r="G396" s="89"/>
      <c r="H396" s="177"/>
      <c r="I396" s="178" t="s">
        <v>847</v>
      </c>
      <c r="J396" s="178" t="s">
        <v>835</v>
      </c>
      <c r="K396" s="178" t="s">
        <v>1235</v>
      </c>
      <c r="L396" s="148" t="s">
        <v>1806</v>
      </c>
      <c r="M396" s="46" t="str">
        <f t="shared" si="11"/>
        <v>OneCo Networks AS</v>
      </c>
      <c r="N396" s="42" t="str">
        <f ca="1">IFERROR(
VLOOKUP(BoM_Griptel[[#This Row],[Product code]],
IF(AND((BoQ!$N$3&lt;&gt;""),OR(BoM_Griptel[[#This Row],[Vendor]]="Griptel",BoM_Griptel[[#This Row],[Vendor]]="Solar")),INDIRECT(Aux!$A$1)),4,FALSE),"")</f>
        <v/>
      </c>
      <c r="O396" s="170" t="s">
        <v>1807</v>
      </c>
      <c r="P396" s="43" t="str">
        <f>IFERROR(IF(AND(BoM_Griptel[[#This Row],[Quantity]]&lt;&gt;"",BoM_Griptel[[#This Row],[Currency]]="NOK"),BoM_Griptel[[#This Row],[Quantity]]*BoM_Griptel[[#This Row],[Unit Price]],""),"")</f>
        <v/>
      </c>
      <c r="Q396" s="43" t="str">
        <f>IFERROR(IF(AND(BoM_Griptel[[#This Row],[ACT_Qty]]&lt;&gt;"",BoM_Griptel[[#This Row],[Currency]]="NOK"),BoM_Griptel[[#This Row],[ACT_Qty]]*BoM_Griptel[[#This Row],[Unit Price]],""),"")</f>
        <v/>
      </c>
      <c r="R396" s="43" t="str">
        <f>IFERROR(IF(AND(BoM_Griptel[[#This Row],[Quantity]]&lt;&gt;"",BoM_Griptel[[#This Row],[Currency]]="EUR"),BoM_Griptel[[#This Row],[Quantity]]*BoM_Griptel[[#This Row],[Unit Price]],""),"")</f>
        <v/>
      </c>
      <c r="S396" s="43" t="str">
        <f>IFERROR(IF(AND(BoM_Griptel[[#This Row],[ACT_Qty]]&lt;&gt;"",BoM_Griptel[[#This Row],[Currency]]="EUR"),BoM_Griptel[[#This Row],[ACT_Qty]]*BoM_Griptel[[#This Row],[Unit Price]],""),"")</f>
        <v/>
      </c>
      <c r="T396" s="186" t="s">
        <v>1802</v>
      </c>
      <c r="U396" s="46"/>
      <c r="V396" s="46"/>
      <c r="W396" s="146"/>
    </row>
    <row r="397" spans="1:23" ht="15" customHeight="1">
      <c r="A397" s="143" t="str">
        <f t="shared" si="10"/>
        <v>AKH12345</v>
      </c>
      <c r="B397" s="144" t="s">
        <v>2594</v>
      </c>
      <c r="C397" s="143" t="s">
        <v>2595</v>
      </c>
      <c r="D397" s="105"/>
      <c r="E397" s="106"/>
      <c r="F397" s="105"/>
      <c r="G397" s="106"/>
      <c r="H397" s="175"/>
      <c r="I397" s="176" t="s">
        <v>847</v>
      </c>
      <c r="J397" s="176" t="s">
        <v>835</v>
      </c>
      <c r="K397" s="176" t="s">
        <v>1235</v>
      </c>
      <c r="L397" s="145" t="s">
        <v>1806</v>
      </c>
      <c r="M397" s="45" t="str">
        <f t="shared" si="11"/>
        <v>OneCo Networks AS</v>
      </c>
      <c r="N397" s="40" t="str">
        <f ca="1">IFERROR(
VLOOKUP(BoM_Griptel[[#This Row],[Product code]],
IF(AND((BoQ!$N$3&lt;&gt;""),OR(BoM_Griptel[[#This Row],[Vendor]]="Griptel",BoM_Griptel[[#This Row],[Vendor]]="Solar")),INDIRECT(Aux!$A$1)),4,FALSE),"")</f>
        <v/>
      </c>
      <c r="O397" s="169" t="s">
        <v>1807</v>
      </c>
      <c r="P397" s="41" t="str">
        <f>IFERROR(IF(AND(BoM_Griptel[[#This Row],[Quantity]]&lt;&gt;"",BoM_Griptel[[#This Row],[Currency]]="NOK"),BoM_Griptel[[#This Row],[Quantity]]*BoM_Griptel[[#This Row],[Unit Price]],""),"")</f>
        <v/>
      </c>
      <c r="Q397" s="41" t="str">
        <f>IFERROR(IF(AND(BoM_Griptel[[#This Row],[ACT_Qty]]&lt;&gt;"",BoM_Griptel[[#This Row],[Currency]]="NOK"),BoM_Griptel[[#This Row],[ACT_Qty]]*BoM_Griptel[[#This Row],[Unit Price]],""),"")</f>
        <v/>
      </c>
      <c r="R397" s="41" t="str">
        <f>IFERROR(IF(AND(BoM_Griptel[[#This Row],[Quantity]]&lt;&gt;"",BoM_Griptel[[#This Row],[Currency]]="EUR"),BoM_Griptel[[#This Row],[Quantity]]*BoM_Griptel[[#This Row],[Unit Price]],""),"")</f>
        <v/>
      </c>
      <c r="S397" s="41" t="str">
        <f>IFERROR(IF(AND(BoM_Griptel[[#This Row],[ACT_Qty]]&lt;&gt;"",BoM_Griptel[[#This Row],[Currency]]="EUR"),BoM_Griptel[[#This Row],[ACT_Qty]]*BoM_Griptel[[#This Row],[Unit Price]],""),"")</f>
        <v/>
      </c>
      <c r="T397" s="185" t="s">
        <v>1802</v>
      </c>
      <c r="U397" s="45"/>
      <c r="V397" s="45"/>
      <c r="W397" s="143"/>
    </row>
    <row r="398" spans="1:23" ht="15" customHeight="1">
      <c r="A398" s="146" t="str">
        <f t="shared" ref="A398:A461" si="12">IF($C$4&lt;&gt;"",$C$4,"")</f>
        <v>AKH12345</v>
      </c>
      <c r="B398" s="147" t="s">
        <v>2596</v>
      </c>
      <c r="C398" s="146" t="s">
        <v>2597</v>
      </c>
      <c r="D398" s="68"/>
      <c r="E398" s="89"/>
      <c r="F398" s="68"/>
      <c r="G398" s="89"/>
      <c r="H398" s="177"/>
      <c r="I398" s="178" t="s">
        <v>847</v>
      </c>
      <c r="J398" s="178" t="s">
        <v>835</v>
      </c>
      <c r="K398" s="178" t="s">
        <v>1235</v>
      </c>
      <c r="L398" s="148" t="s">
        <v>1806</v>
      </c>
      <c r="M398" s="46" t="str">
        <f t="shared" si="11"/>
        <v>OneCo Networks AS</v>
      </c>
      <c r="N398" s="42" t="str">
        <f ca="1">IFERROR(
VLOOKUP(BoM_Griptel[[#This Row],[Product code]],
IF(AND((BoQ!$N$3&lt;&gt;""),OR(BoM_Griptel[[#This Row],[Vendor]]="Griptel",BoM_Griptel[[#This Row],[Vendor]]="Solar")),INDIRECT(Aux!$A$1)),4,FALSE),"")</f>
        <v/>
      </c>
      <c r="O398" s="170" t="s">
        <v>1807</v>
      </c>
      <c r="P398" s="43" t="str">
        <f>IFERROR(IF(AND(BoM_Griptel[[#This Row],[Quantity]]&lt;&gt;"",BoM_Griptel[[#This Row],[Currency]]="NOK"),BoM_Griptel[[#This Row],[Quantity]]*BoM_Griptel[[#This Row],[Unit Price]],""),"")</f>
        <v/>
      </c>
      <c r="Q398" s="43" t="str">
        <f>IFERROR(IF(AND(BoM_Griptel[[#This Row],[ACT_Qty]]&lt;&gt;"",BoM_Griptel[[#This Row],[Currency]]="NOK"),BoM_Griptel[[#This Row],[ACT_Qty]]*BoM_Griptel[[#This Row],[Unit Price]],""),"")</f>
        <v/>
      </c>
      <c r="R398" s="43" t="str">
        <f>IFERROR(IF(AND(BoM_Griptel[[#This Row],[Quantity]]&lt;&gt;"",BoM_Griptel[[#This Row],[Currency]]="EUR"),BoM_Griptel[[#This Row],[Quantity]]*BoM_Griptel[[#This Row],[Unit Price]],""),"")</f>
        <v/>
      </c>
      <c r="S398" s="43" t="str">
        <f>IFERROR(IF(AND(BoM_Griptel[[#This Row],[ACT_Qty]]&lt;&gt;"",BoM_Griptel[[#This Row],[Currency]]="EUR"),BoM_Griptel[[#This Row],[ACT_Qty]]*BoM_Griptel[[#This Row],[Unit Price]],""),"")</f>
        <v/>
      </c>
      <c r="T398" s="186" t="s">
        <v>1802</v>
      </c>
      <c r="U398" s="46"/>
      <c r="V398" s="46"/>
      <c r="W398" s="146"/>
    </row>
    <row r="399" spans="1:23" ht="15" customHeight="1">
      <c r="A399" s="143" t="str">
        <f t="shared" si="12"/>
        <v>AKH12345</v>
      </c>
      <c r="B399" s="144" t="s">
        <v>2598</v>
      </c>
      <c r="C399" s="143" t="s">
        <v>2599</v>
      </c>
      <c r="D399" s="105"/>
      <c r="E399" s="106"/>
      <c r="F399" s="105"/>
      <c r="G399" s="106"/>
      <c r="H399" s="175"/>
      <c r="I399" s="176" t="s">
        <v>847</v>
      </c>
      <c r="J399" s="176" t="s">
        <v>835</v>
      </c>
      <c r="K399" s="176" t="s">
        <v>1235</v>
      </c>
      <c r="L399" s="145" t="s">
        <v>1806</v>
      </c>
      <c r="M399" s="45" t="str">
        <f t="shared" si="11"/>
        <v>OneCo Networks AS</v>
      </c>
      <c r="N399" s="40" t="str">
        <f ca="1">IFERROR(
VLOOKUP(BoM_Griptel[[#This Row],[Product code]],
IF(AND((BoQ!$N$3&lt;&gt;""),OR(BoM_Griptel[[#This Row],[Vendor]]="Griptel",BoM_Griptel[[#This Row],[Vendor]]="Solar")),INDIRECT(Aux!$A$1)),4,FALSE),"")</f>
        <v/>
      </c>
      <c r="O399" s="169" t="s">
        <v>1807</v>
      </c>
      <c r="P399" s="41" t="str">
        <f>IFERROR(IF(AND(BoM_Griptel[[#This Row],[Quantity]]&lt;&gt;"",BoM_Griptel[[#This Row],[Currency]]="NOK"),BoM_Griptel[[#This Row],[Quantity]]*BoM_Griptel[[#This Row],[Unit Price]],""),"")</f>
        <v/>
      </c>
      <c r="Q399" s="41" t="str">
        <f>IFERROR(IF(AND(BoM_Griptel[[#This Row],[ACT_Qty]]&lt;&gt;"",BoM_Griptel[[#This Row],[Currency]]="NOK"),BoM_Griptel[[#This Row],[ACT_Qty]]*BoM_Griptel[[#This Row],[Unit Price]],""),"")</f>
        <v/>
      </c>
      <c r="R399" s="41" t="str">
        <f>IFERROR(IF(AND(BoM_Griptel[[#This Row],[Quantity]]&lt;&gt;"",BoM_Griptel[[#This Row],[Currency]]="EUR"),BoM_Griptel[[#This Row],[Quantity]]*BoM_Griptel[[#This Row],[Unit Price]],""),"")</f>
        <v/>
      </c>
      <c r="S399" s="41" t="str">
        <f>IFERROR(IF(AND(BoM_Griptel[[#This Row],[ACT_Qty]]&lt;&gt;"",BoM_Griptel[[#This Row],[Currency]]="EUR"),BoM_Griptel[[#This Row],[ACT_Qty]]*BoM_Griptel[[#This Row],[Unit Price]],""),"")</f>
        <v/>
      </c>
      <c r="T399" s="185" t="s">
        <v>1802</v>
      </c>
      <c r="U399" s="45"/>
      <c r="V399" s="45"/>
      <c r="W399" s="143"/>
    </row>
    <row r="400" spans="1:23" ht="15" customHeight="1">
      <c r="A400" s="146" t="str">
        <f t="shared" si="12"/>
        <v>AKH12345</v>
      </c>
      <c r="B400" s="147" t="s">
        <v>2600</v>
      </c>
      <c r="C400" s="146" t="s">
        <v>2601</v>
      </c>
      <c r="D400" s="68"/>
      <c r="E400" s="89"/>
      <c r="F400" s="68"/>
      <c r="G400" s="89"/>
      <c r="H400" s="177"/>
      <c r="I400" s="178" t="s">
        <v>847</v>
      </c>
      <c r="J400" s="178" t="s">
        <v>835</v>
      </c>
      <c r="K400" s="178" t="s">
        <v>1235</v>
      </c>
      <c r="L400" s="148" t="s">
        <v>1806</v>
      </c>
      <c r="M400" s="46" t="str">
        <f t="shared" si="11"/>
        <v>OneCo Networks AS</v>
      </c>
      <c r="N400" s="42" t="str">
        <f ca="1">IFERROR(
VLOOKUP(BoM_Griptel[[#This Row],[Product code]],
IF(AND((BoQ!$N$3&lt;&gt;""),OR(BoM_Griptel[[#This Row],[Vendor]]="Griptel",BoM_Griptel[[#This Row],[Vendor]]="Solar")),INDIRECT(Aux!$A$1)),4,FALSE),"")</f>
        <v/>
      </c>
      <c r="O400" s="170" t="s">
        <v>1807</v>
      </c>
      <c r="P400" s="43" t="str">
        <f>IFERROR(IF(AND(BoM_Griptel[[#This Row],[Quantity]]&lt;&gt;"",BoM_Griptel[[#This Row],[Currency]]="NOK"),BoM_Griptel[[#This Row],[Quantity]]*BoM_Griptel[[#This Row],[Unit Price]],""),"")</f>
        <v/>
      </c>
      <c r="Q400" s="43" t="str">
        <f>IFERROR(IF(AND(BoM_Griptel[[#This Row],[ACT_Qty]]&lt;&gt;"",BoM_Griptel[[#This Row],[Currency]]="NOK"),BoM_Griptel[[#This Row],[ACT_Qty]]*BoM_Griptel[[#This Row],[Unit Price]],""),"")</f>
        <v/>
      </c>
      <c r="R400" s="43" t="str">
        <f>IFERROR(IF(AND(BoM_Griptel[[#This Row],[Quantity]]&lt;&gt;"",BoM_Griptel[[#This Row],[Currency]]="EUR"),BoM_Griptel[[#This Row],[Quantity]]*BoM_Griptel[[#This Row],[Unit Price]],""),"")</f>
        <v/>
      </c>
      <c r="S400" s="43" t="str">
        <f>IFERROR(IF(AND(BoM_Griptel[[#This Row],[ACT_Qty]]&lt;&gt;"",BoM_Griptel[[#This Row],[Currency]]="EUR"),BoM_Griptel[[#This Row],[ACT_Qty]]*BoM_Griptel[[#This Row],[Unit Price]],""),"")</f>
        <v/>
      </c>
      <c r="T400" s="186" t="s">
        <v>1802</v>
      </c>
      <c r="U400" s="46"/>
      <c r="V400" s="46"/>
      <c r="W400" s="146"/>
    </row>
    <row r="401" spans="1:23" ht="15" customHeight="1">
      <c r="A401" s="143" t="str">
        <f t="shared" si="12"/>
        <v>AKH12345</v>
      </c>
      <c r="B401" s="144" t="s">
        <v>2602</v>
      </c>
      <c r="C401" s="143" t="s">
        <v>2603</v>
      </c>
      <c r="D401" s="105"/>
      <c r="E401" s="106"/>
      <c r="F401" s="105"/>
      <c r="G401" s="106"/>
      <c r="H401" s="175"/>
      <c r="I401" s="176" t="s">
        <v>847</v>
      </c>
      <c r="J401" s="176" t="s">
        <v>835</v>
      </c>
      <c r="K401" s="176" t="s">
        <v>1235</v>
      </c>
      <c r="L401" s="145" t="s">
        <v>1806</v>
      </c>
      <c r="M401" s="45" t="str">
        <f t="shared" si="11"/>
        <v>OneCo Networks AS</v>
      </c>
      <c r="N401" s="40" t="str">
        <f ca="1">IFERROR(
VLOOKUP(BoM_Griptel[[#This Row],[Product code]],
IF(AND((BoQ!$N$3&lt;&gt;""),OR(BoM_Griptel[[#This Row],[Vendor]]="Griptel",BoM_Griptel[[#This Row],[Vendor]]="Solar")),INDIRECT(Aux!$A$1)),4,FALSE),"")</f>
        <v/>
      </c>
      <c r="O401" s="169" t="s">
        <v>1807</v>
      </c>
      <c r="P401" s="41" t="str">
        <f>IFERROR(IF(AND(BoM_Griptel[[#This Row],[Quantity]]&lt;&gt;"",BoM_Griptel[[#This Row],[Currency]]="NOK"),BoM_Griptel[[#This Row],[Quantity]]*BoM_Griptel[[#This Row],[Unit Price]],""),"")</f>
        <v/>
      </c>
      <c r="Q401" s="41" t="str">
        <f>IFERROR(IF(AND(BoM_Griptel[[#This Row],[ACT_Qty]]&lt;&gt;"",BoM_Griptel[[#This Row],[Currency]]="NOK"),BoM_Griptel[[#This Row],[ACT_Qty]]*BoM_Griptel[[#This Row],[Unit Price]],""),"")</f>
        <v/>
      </c>
      <c r="R401" s="41" t="str">
        <f>IFERROR(IF(AND(BoM_Griptel[[#This Row],[Quantity]]&lt;&gt;"",BoM_Griptel[[#This Row],[Currency]]="EUR"),BoM_Griptel[[#This Row],[Quantity]]*BoM_Griptel[[#This Row],[Unit Price]],""),"")</f>
        <v/>
      </c>
      <c r="S401" s="41" t="str">
        <f>IFERROR(IF(AND(BoM_Griptel[[#This Row],[ACT_Qty]]&lt;&gt;"",BoM_Griptel[[#This Row],[Currency]]="EUR"),BoM_Griptel[[#This Row],[ACT_Qty]]*BoM_Griptel[[#This Row],[Unit Price]],""),"")</f>
        <v/>
      </c>
      <c r="T401" s="185" t="s">
        <v>1802</v>
      </c>
      <c r="U401" s="45"/>
      <c r="V401" s="45"/>
      <c r="W401" s="143"/>
    </row>
    <row r="402" spans="1:23" ht="15" customHeight="1">
      <c r="A402" s="146" t="str">
        <f t="shared" si="12"/>
        <v>AKH12345</v>
      </c>
      <c r="B402" s="147" t="s">
        <v>2604</v>
      </c>
      <c r="C402" s="146" t="s">
        <v>2605</v>
      </c>
      <c r="D402" s="68"/>
      <c r="E402" s="89"/>
      <c r="F402" s="68"/>
      <c r="G402" s="89"/>
      <c r="H402" s="177"/>
      <c r="I402" s="178" t="s">
        <v>847</v>
      </c>
      <c r="J402" s="178" t="s">
        <v>835</v>
      </c>
      <c r="K402" s="178" t="s">
        <v>1235</v>
      </c>
      <c r="L402" s="148" t="s">
        <v>1806</v>
      </c>
      <c r="M402" s="46" t="str">
        <f t="shared" si="11"/>
        <v>OneCo Networks AS</v>
      </c>
      <c r="N402" s="42" t="str">
        <f ca="1">IFERROR(
VLOOKUP(BoM_Griptel[[#This Row],[Product code]],
IF(AND((BoQ!$N$3&lt;&gt;""),OR(BoM_Griptel[[#This Row],[Vendor]]="Griptel",BoM_Griptel[[#This Row],[Vendor]]="Solar")),INDIRECT(Aux!$A$1)),4,FALSE),"")</f>
        <v/>
      </c>
      <c r="O402" s="170" t="s">
        <v>1807</v>
      </c>
      <c r="P402" s="43" t="str">
        <f>IFERROR(IF(AND(BoM_Griptel[[#This Row],[Quantity]]&lt;&gt;"",BoM_Griptel[[#This Row],[Currency]]="NOK"),BoM_Griptel[[#This Row],[Quantity]]*BoM_Griptel[[#This Row],[Unit Price]],""),"")</f>
        <v/>
      </c>
      <c r="Q402" s="43" t="str">
        <f>IFERROR(IF(AND(BoM_Griptel[[#This Row],[ACT_Qty]]&lt;&gt;"",BoM_Griptel[[#This Row],[Currency]]="NOK"),BoM_Griptel[[#This Row],[ACT_Qty]]*BoM_Griptel[[#This Row],[Unit Price]],""),"")</f>
        <v/>
      </c>
      <c r="R402" s="43" t="str">
        <f>IFERROR(IF(AND(BoM_Griptel[[#This Row],[Quantity]]&lt;&gt;"",BoM_Griptel[[#This Row],[Currency]]="EUR"),BoM_Griptel[[#This Row],[Quantity]]*BoM_Griptel[[#This Row],[Unit Price]],""),"")</f>
        <v/>
      </c>
      <c r="S402" s="43" t="str">
        <f>IFERROR(IF(AND(BoM_Griptel[[#This Row],[ACT_Qty]]&lt;&gt;"",BoM_Griptel[[#This Row],[Currency]]="EUR"),BoM_Griptel[[#This Row],[ACT_Qty]]*BoM_Griptel[[#This Row],[Unit Price]],""),"")</f>
        <v/>
      </c>
      <c r="T402" s="186" t="s">
        <v>1802</v>
      </c>
      <c r="U402" s="46"/>
      <c r="V402" s="46"/>
      <c r="W402" s="146"/>
    </row>
    <row r="403" spans="1:23" ht="15" customHeight="1">
      <c r="A403" s="143" t="str">
        <f t="shared" si="12"/>
        <v>AKH12345</v>
      </c>
      <c r="B403" s="144" t="s">
        <v>2606</v>
      </c>
      <c r="C403" s="143" t="s">
        <v>2607</v>
      </c>
      <c r="D403" s="105"/>
      <c r="E403" s="106"/>
      <c r="F403" s="105"/>
      <c r="G403" s="106"/>
      <c r="H403" s="175"/>
      <c r="I403" s="176" t="s">
        <v>847</v>
      </c>
      <c r="J403" s="176" t="s">
        <v>835</v>
      </c>
      <c r="K403" s="176" t="s">
        <v>1235</v>
      </c>
      <c r="L403" s="145" t="s">
        <v>1806</v>
      </c>
      <c r="M403" s="45" t="str">
        <f t="shared" ref="M403:M466" si="13">IF($C$3&lt;&gt;"",$C$3,"")</f>
        <v>OneCo Networks AS</v>
      </c>
      <c r="N403" s="40" t="str">
        <f ca="1">IFERROR(
VLOOKUP(BoM_Griptel[[#This Row],[Product code]],
IF(AND((BoQ!$N$3&lt;&gt;""),OR(BoM_Griptel[[#This Row],[Vendor]]="Griptel",BoM_Griptel[[#This Row],[Vendor]]="Solar")),INDIRECT(Aux!$A$1)),4,FALSE),"")</f>
        <v/>
      </c>
      <c r="O403" s="169" t="s">
        <v>1807</v>
      </c>
      <c r="P403" s="41" t="str">
        <f>IFERROR(IF(AND(BoM_Griptel[[#This Row],[Quantity]]&lt;&gt;"",BoM_Griptel[[#This Row],[Currency]]="NOK"),BoM_Griptel[[#This Row],[Quantity]]*BoM_Griptel[[#This Row],[Unit Price]],""),"")</f>
        <v/>
      </c>
      <c r="Q403" s="41" t="str">
        <f>IFERROR(IF(AND(BoM_Griptel[[#This Row],[ACT_Qty]]&lt;&gt;"",BoM_Griptel[[#This Row],[Currency]]="NOK"),BoM_Griptel[[#This Row],[ACT_Qty]]*BoM_Griptel[[#This Row],[Unit Price]],""),"")</f>
        <v/>
      </c>
      <c r="R403" s="41" t="str">
        <f>IFERROR(IF(AND(BoM_Griptel[[#This Row],[Quantity]]&lt;&gt;"",BoM_Griptel[[#This Row],[Currency]]="EUR"),BoM_Griptel[[#This Row],[Quantity]]*BoM_Griptel[[#This Row],[Unit Price]],""),"")</f>
        <v/>
      </c>
      <c r="S403" s="41" t="str">
        <f>IFERROR(IF(AND(BoM_Griptel[[#This Row],[ACT_Qty]]&lt;&gt;"",BoM_Griptel[[#This Row],[Currency]]="EUR"),BoM_Griptel[[#This Row],[ACT_Qty]]*BoM_Griptel[[#This Row],[Unit Price]],""),"")</f>
        <v/>
      </c>
      <c r="T403" s="185" t="s">
        <v>1802</v>
      </c>
      <c r="U403" s="45"/>
      <c r="V403" s="45"/>
      <c r="W403" s="143"/>
    </row>
    <row r="404" spans="1:23" ht="15" customHeight="1">
      <c r="A404" s="146" t="str">
        <f t="shared" si="12"/>
        <v>AKH12345</v>
      </c>
      <c r="B404" s="147" t="s">
        <v>2608</v>
      </c>
      <c r="C404" s="146" t="s">
        <v>2609</v>
      </c>
      <c r="D404" s="68"/>
      <c r="E404" s="89"/>
      <c r="F404" s="68"/>
      <c r="G404" s="89"/>
      <c r="H404" s="177"/>
      <c r="I404" s="178" t="s">
        <v>847</v>
      </c>
      <c r="J404" s="178" t="s">
        <v>835</v>
      </c>
      <c r="K404" s="178" t="s">
        <v>1235</v>
      </c>
      <c r="L404" s="148" t="s">
        <v>1806</v>
      </c>
      <c r="M404" s="46" t="str">
        <f t="shared" si="13"/>
        <v>OneCo Networks AS</v>
      </c>
      <c r="N404" s="42" t="str">
        <f ca="1">IFERROR(
VLOOKUP(BoM_Griptel[[#This Row],[Product code]],
IF(AND((BoQ!$N$3&lt;&gt;""),OR(BoM_Griptel[[#This Row],[Vendor]]="Griptel",BoM_Griptel[[#This Row],[Vendor]]="Solar")),INDIRECT(Aux!$A$1)),4,FALSE),"")</f>
        <v/>
      </c>
      <c r="O404" s="170" t="s">
        <v>1807</v>
      </c>
      <c r="P404" s="43" t="str">
        <f>IFERROR(IF(AND(BoM_Griptel[[#This Row],[Quantity]]&lt;&gt;"",BoM_Griptel[[#This Row],[Currency]]="NOK"),BoM_Griptel[[#This Row],[Quantity]]*BoM_Griptel[[#This Row],[Unit Price]],""),"")</f>
        <v/>
      </c>
      <c r="Q404" s="43" t="str">
        <f>IFERROR(IF(AND(BoM_Griptel[[#This Row],[ACT_Qty]]&lt;&gt;"",BoM_Griptel[[#This Row],[Currency]]="NOK"),BoM_Griptel[[#This Row],[ACT_Qty]]*BoM_Griptel[[#This Row],[Unit Price]],""),"")</f>
        <v/>
      </c>
      <c r="R404" s="43" t="str">
        <f>IFERROR(IF(AND(BoM_Griptel[[#This Row],[Quantity]]&lt;&gt;"",BoM_Griptel[[#This Row],[Currency]]="EUR"),BoM_Griptel[[#This Row],[Quantity]]*BoM_Griptel[[#This Row],[Unit Price]],""),"")</f>
        <v/>
      </c>
      <c r="S404" s="43" t="str">
        <f>IFERROR(IF(AND(BoM_Griptel[[#This Row],[ACT_Qty]]&lt;&gt;"",BoM_Griptel[[#This Row],[Currency]]="EUR"),BoM_Griptel[[#This Row],[ACT_Qty]]*BoM_Griptel[[#This Row],[Unit Price]],""),"")</f>
        <v/>
      </c>
      <c r="T404" s="186" t="s">
        <v>1802</v>
      </c>
      <c r="U404" s="46"/>
      <c r="V404" s="46"/>
      <c r="W404" s="146"/>
    </row>
    <row r="405" spans="1:23" ht="15" customHeight="1">
      <c r="A405" s="143" t="str">
        <f t="shared" si="12"/>
        <v>AKH12345</v>
      </c>
      <c r="B405" s="144" t="s">
        <v>2610</v>
      </c>
      <c r="C405" s="143" t="s">
        <v>2611</v>
      </c>
      <c r="D405" s="105"/>
      <c r="E405" s="106"/>
      <c r="F405" s="105"/>
      <c r="G405" s="106"/>
      <c r="H405" s="175"/>
      <c r="I405" s="176" t="s">
        <v>847</v>
      </c>
      <c r="J405" s="176" t="s">
        <v>835</v>
      </c>
      <c r="K405" s="176" t="s">
        <v>1235</v>
      </c>
      <c r="L405" s="145" t="s">
        <v>1806</v>
      </c>
      <c r="M405" s="45" t="str">
        <f t="shared" si="13"/>
        <v>OneCo Networks AS</v>
      </c>
      <c r="N405" s="40" t="str">
        <f ca="1">IFERROR(
VLOOKUP(BoM_Griptel[[#This Row],[Product code]],
IF(AND((BoQ!$N$3&lt;&gt;""),OR(BoM_Griptel[[#This Row],[Vendor]]="Griptel",BoM_Griptel[[#This Row],[Vendor]]="Solar")),INDIRECT(Aux!$A$1)),4,FALSE),"")</f>
        <v/>
      </c>
      <c r="O405" s="169" t="s">
        <v>1807</v>
      </c>
      <c r="P405" s="41" t="str">
        <f>IFERROR(IF(AND(BoM_Griptel[[#This Row],[Quantity]]&lt;&gt;"",BoM_Griptel[[#This Row],[Currency]]="NOK"),BoM_Griptel[[#This Row],[Quantity]]*BoM_Griptel[[#This Row],[Unit Price]],""),"")</f>
        <v/>
      </c>
      <c r="Q405" s="41" t="str">
        <f>IFERROR(IF(AND(BoM_Griptel[[#This Row],[ACT_Qty]]&lt;&gt;"",BoM_Griptel[[#This Row],[Currency]]="NOK"),BoM_Griptel[[#This Row],[ACT_Qty]]*BoM_Griptel[[#This Row],[Unit Price]],""),"")</f>
        <v/>
      </c>
      <c r="R405" s="41" t="str">
        <f>IFERROR(IF(AND(BoM_Griptel[[#This Row],[Quantity]]&lt;&gt;"",BoM_Griptel[[#This Row],[Currency]]="EUR"),BoM_Griptel[[#This Row],[Quantity]]*BoM_Griptel[[#This Row],[Unit Price]],""),"")</f>
        <v/>
      </c>
      <c r="S405" s="41" t="str">
        <f>IFERROR(IF(AND(BoM_Griptel[[#This Row],[ACT_Qty]]&lt;&gt;"",BoM_Griptel[[#This Row],[Currency]]="EUR"),BoM_Griptel[[#This Row],[ACT_Qty]]*BoM_Griptel[[#This Row],[Unit Price]],""),"")</f>
        <v/>
      </c>
      <c r="T405" s="185" t="s">
        <v>1802</v>
      </c>
      <c r="U405" s="45"/>
      <c r="V405" s="45"/>
      <c r="W405" s="143"/>
    </row>
    <row r="406" spans="1:23" ht="15" customHeight="1">
      <c r="A406" s="146" t="str">
        <f t="shared" si="12"/>
        <v>AKH12345</v>
      </c>
      <c r="B406" s="147" t="s">
        <v>2612</v>
      </c>
      <c r="C406" s="146" t="s">
        <v>2613</v>
      </c>
      <c r="D406" s="68"/>
      <c r="E406" s="89"/>
      <c r="F406" s="68"/>
      <c r="G406" s="89"/>
      <c r="H406" s="177"/>
      <c r="I406" s="178" t="s">
        <v>847</v>
      </c>
      <c r="J406" s="178" t="s">
        <v>835</v>
      </c>
      <c r="K406" s="178" t="s">
        <v>1235</v>
      </c>
      <c r="L406" s="148" t="s">
        <v>1806</v>
      </c>
      <c r="M406" s="46" t="str">
        <f t="shared" si="13"/>
        <v>OneCo Networks AS</v>
      </c>
      <c r="N406" s="42" t="str">
        <f ca="1">IFERROR(
VLOOKUP(BoM_Griptel[[#This Row],[Product code]],
IF(AND((BoQ!$N$3&lt;&gt;""),OR(BoM_Griptel[[#This Row],[Vendor]]="Griptel",BoM_Griptel[[#This Row],[Vendor]]="Solar")),INDIRECT(Aux!$A$1)),4,FALSE),"")</f>
        <v/>
      </c>
      <c r="O406" s="170" t="s">
        <v>1807</v>
      </c>
      <c r="P406" s="43" t="str">
        <f>IFERROR(IF(AND(BoM_Griptel[[#This Row],[Quantity]]&lt;&gt;"",BoM_Griptel[[#This Row],[Currency]]="NOK"),BoM_Griptel[[#This Row],[Quantity]]*BoM_Griptel[[#This Row],[Unit Price]],""),"")</f>
        <v/>
      </c>
      <c r="Q406" s="43" t="str">
        <f>IFERROR(IF(AND(BoM_Griptel[[#This Row],[ACT_Qty]]&lt;&gt;"",BoM_Griptel[[#This Row],[Currency]]="NOK"),BoM_Griptel[[#This Row],[ACT_Qty]]*BoM_Griptel[[#This Row],[Unit Price]],""),"")</f>
        <v/>
      </c>
      <c r="R406" s="43" t="str">
        <f>IFERROR(IF(AND(BoM_Griptel[[#This Row],[Quantity]]&lt;&gt;"",BoM_Griptel[[#This Row],[Currency]]="EUR"),BoM_Griptel[[#This Row],[Quantity]]*BoM_Griptel[[#This Row],[Unit Price]],""),"")</f>
        <v/>
      </c>
      <c r="S406" s="43" t="str">
        <f>IFERROR(IF(AND(BoM_Griptel[[#This Row],[ACT_Qty]]&lt;&gt;"",BoM_Griptel[[#This Row],[Currency]]="EUR"),BoM_Griptel[[#This Row],[ACT_Qty]]*BoM_Griptel[[#This Row],[Unit Price]],""),"")</f>
        <v/>
      </c>
      <c r="T406" s="186" t="s">
        <v>1802</v>
      </c>
      <c r="U406" s="46"/>
      <c r="V406" s="46"/>
      <c r="W406" s="146"/>
    </row>
    <row r="407" spans="1:23" ht="15" customHeight="1">
      <c r="A407" s="143" t="str">
        <f t="shared" si="12"/>
        <v>AKH12345</v>
      </c>
      <c r="B407" s="144" t="s">
        <v>2614</v>
      </c>
      <c r="C407" s="143" t="s">
        <v>2613</v>
      </c>
      <c r="D407" s="105"/>
      <c r="E407" s="106"/>
      <c r="F407" s="105"/>
      <c r="G407" s="106"/>
      <c r="H407" s="175"/>
      <c r="I407" s="176" t="s">
        <v>847</v>
      </c>
      <c r="J407" s="176" t="s">
        <v>835</v>
      </c>
      <c r="K407" s="176" t="s">
        <v>1235</v>
      </c>
      <c r="L407" s="145" t="s">
        <v>1806</v>
      </c>
      <c r="M407" s="45" t="str">
        <f t="shared" si="13"/>
        <v>OneCo Networks AS</v>
      </c>
      <c r="N407" s="40" t="str">
        <f ca="1">IFERROR(
VLOOKUP(BoM_Griptel[[#This Row],[Product code]],
IF(AND((BoQ!$N$3&lt;&gt;""),OR(BoM_Griptel[[#This Row],[Vendor]]="Griptel",BoM_Griptel[[#This Row],[Vendor]]="Solar")),INDIRECT(Aux!$A$1)),4,FALSE),"")</f>
        <v/>
      </c>
      <c r="O407" s="169" t="s">
        <v>1807</v>
      </c>
      <c r="P407" s="41" t="str">
        <f>IFERROR(IF(AND(BoM_Griptel[[#This Row],[Quantity]]&lt;&gt;"",BoM_Griptel[[#This Row],[Currency]]="NOK"),BoM_Griptel[[#This Row],[Quantity]]*BoM_Griptel[[#This Row],[Unit Price]],""),"")</f>
        <v/>
      </c>
      <c r="Q407" s="41" t="str">
        <f>IFERROR(IF(AND(BoM_Griptel[[#This Row],[ACT_Qty]]&lt;&gt;"",BoM_Griptel[[#This Row],[Currency]]="NOK"),BoM_Griptel[[#This Row],[ACT_Qty]]*BoM_Griptel[[#This Row],[Unit Price]],""),"")</f>
        <v/>
      </c>
      <c r="R407" s="41" t="str">
        <f>IFERROR(IF(AND(BoM_Griptel[[#This Row],[Quantity]]&lt;&gt;"",BoM_Griptel[[#This Row],[Currency]]="EUR"),BoM_Griptel[[#This Row],[Quantity]]*BoM_Griptel[[#This Row],[Unit Price]],""),"")</f>
        <v/>
      </c>
      <c r="S407" s="41" t="str">
        <f>IFERROR(IF(AND(BoM_Griptel[[#This Row],[ACT_Qty]]&lt;&gt;"",BoM_Griptel[[#This Row],[Currency]]="EUR"),BoM_Griptel[[#This Row],[ACT_Qty]]*BoM_Griptel[[#This Row],[Unit Price]],""),"")</f>
        <v/>
      </c>
      <c r="T407" s="185" t="s">
        <v>1802</v>
      </c>
      <c r="U407" s="45"/>
      <c r="V407" s="45"/>
      <c r="W407" s="143"/>
    </row>
    <row r="408" spans="1:23" ht="15" customHeight="1">
      <c r="A408" s="146" t="str">
        <f t="shared" si="12"/>
        <v>AKH12345</v>
      </c>
      <c r="B408" s="147" t="s">
        <v>2615</v>
      </c>
      <c r="C408" s="146" t="s">
        <v>2613</v>
      </c>
      <c r="D408" s="68"/>
      <c r="E408" s="89"/>
      <c r="F408" s="68"/>
      <c r="G408" s="89"/>
      <c r="H408" s="177"/>
      <c r="I408" s="178" t="s">
        <v>847</v>
      </c>
      <c r="J408" s="178" t="s">
        <v>835</v>
      </c>
      <c r="K408" s="178" t="s">
        <v>1235</v>
      </c>
      <c r="L408" s="148" t="s">
        <v>1806</v>
      </c>
      <c r="M408" s="46" t="str">
        <f t="shared" si="13"/>
        <v>OneCo Networks AS</v>
      </c>
      <c r="N408" s="42" t="str">
        <f ca="1">IFERROR(
VLOOKUP(BoM_Griptel[[#This Row],[Product code]],
IF(AND((BoQ!$N$3&lt;&gt;""),OR(BoM_Griptel[[#This Row],[Vendor]]="Griptel",BoM_Griptel[[#This Row],[Vendor]]="Solar")),INDIRECT(Aux!$A$1)),4,FALSE),"")</f>
        <v/>
      </c>
      <c r="O408" s="170" t="s">
        <v>1807</v>
      </c>
      <c r="P408" s="43" t="str">
        <f>IFERROR(IF(AND(BoM_Griptel[[#This Row],[Quantity]]&lt;&gt;"",BoM_Griptel[[#This Row],[Currency]]="NOK"),BoM_Griptel[[#This Row],[Quantity]]*BoM_Griptel[[#This Row],[Unit Price]],""),"")</f>
        <v/>
      </c>
      <c r="Q408" s="43" t="str">
        <f>IFERROR(IF(AND(BoM_Griptel[[#This Row],[ACT_Qty]]&lt;&gt;"",BoM_Griptel[[#This Row],[Currency]]="NOK"),BoM_Griptel[[#This Row],[ACT_Qty]]*BoM_Griptel[[#This Row],[Unit Price]],""),"")</f>
        <v/>
      </c>
      <c r="R408" s="43" t="str">
        <f>IFERROR(IF(AND(BoM_Griptel[[#This Row],[Quantity]]&lt;&gt;"",BoM_Griptel[[#This Row],[Currency]]="EUR"),BoM_Griptel[[#This Row],[Quantity]]*BoM_Griptel[[#This Row],[Unit Price]],""),"")</f>
        <v/>
      </c>
      <c r="S408" s="43" t="str">
        <f>IFERROR(IF(AND(BoM_Griptel[[#This Row],[ACT_Qty]]&lt;&gt;"",BoM_Griptel[[#This Row],[Currency]]="EUR"),BoM_Griptel[[#This Row],[ACT_Qty]]*BoM_Griptel[[#This Row],[Unit Price]],""),"")</f>
        <v/>
      </c>
      <c r="T408" s="186" t="s">
        <v>1802</v>
      </c>
      <c r="U408" s="46"/>
      <c r="V408" s="46"/>
      <c r="W408" s="146"/>
    </row>
    <row r="409" spans="1:23" ht="15" customHeight="1">
      <c r="A409" s="143" t="str">
        <f t="shared" si="12"/>
        <v>AKH12345</v>
      </c>
      <c r="B409" s="144" t="s">
        <v>2616</v>
      </c>
      <c r="C409" s="143" t="s">
        <v>2617</v>
      </c>
      <c r="D409" s="105"/>
      <c r="E409" s="106"/>
      <c r="F409" s="105"/>
      <c r="G409" s="106"/>
      <c r="H409" s="175"/>
      <c r="I409" s="176" t="s">
        <v>847</v>
      </c>
      <c r="J409" s="176" t="s">
        <v>835</v>
      </c>
      <c r="K409" s="176" t="s">
        <v>1235</v>
      </c>
      <c r="L409" s="145" t="s">
        <v>1806</v>
      </c>
      <c r="M409" s="45" t="str">
        <f t="shared" si="13"/>
        <v>OneCo Networks AS</v>
      </c>
      <c r="N409" s="40" t="str">
        <f ca="1">IFERROR(
VLOOKUP(BoM_Griptel[[#This Row],[Product code]],
IF(AND((BoQ!$N$3&lt;&gt;""),OR(BoM_Griptel[[#This Row],[Vendor]]="Griptel",BoM_Griptel[[#This Row],[Vendor]]="Solar")),INDIRECT(Aux!$A$1)),4,FALSE),"")</f>
        <v/>
      </c>
      <c r="O409" s="169" t="s">
        <v>1807</v>
      </c>
      <c r="P409" s="41" t="str">
        <f>IFERROR(IF(AND(BoM_Griptel[[#This Row],[Quantity]]&lt;&gt;"",BoM_Griptel[[#This Row],[Currency]]="NOK"),BoM_Griptel[[#This Row],[Quantity]]*BoM_Griptel[[#This Row],[Unit Price]],""),"")</f>
        <v/>
      </c>
      <c r="Q409" s="41" t="str">
        <f>IFERROR(IF(AND(BoM_Griptel[[#This Row],[ACT_Qty]]&lt;&gt;"",BoM_Griptel[[#This Row],[Currency]]="NOK"),BoM_Griptel[[#This Row],[ACT_Qty]]*BoM_Griptel[[#This Row],[Unit Price]],""),"")</f>
        <v/>
      </c>
      <c r="R409" s="41" t="str">
        <f>IFERROR(IF(AND(BoM_Griptel[[#This Row],[Quantity]]&lt;&gt;"",BoM_Griptel[[#This Row],[Currency]]="EUR"),BoM_Griptel[[#This Row],[Quantity]]*BoM_Griptel[[#This Row],[Unit Price]],""),"")</f>
        <v/>
      </c>
      <c r="S409" s="41" t="str">
        <f>IFERROR(IF(AND(BoM_Griptel[[#This Row],[ACT_Qty]]&lt;&gt;"",BoM_Griptel[[#This Row],[Currency]]="EUR"),BoM_Griptel[[#This Row],[ACT_Qty]]*BoM_Griptel[[#This Row],[Unit Price]],""),"")</f>
        <v/>
      </c>
      <c r="T409" s="185" t="s">
        <v>1802</v>
      </c>
      <c r="U409" s="45"/>
      <c r="V409" s="45"/>
      <c r="W409" s="143"/>
    </row>
    <row r="410" spans="1:23" ht="15" customHeight="1">
      <c r="A410" s="146" t="str">
        <f t="shared" si="12"/>
        <v>AKH12345</v>
      </c>
      <c r="B410" s="147" t="s">
        <v>2618</v>
      </c>
      <c r="C410" s="146" t="s">
        <v>2619</v>
      </c>
      <c r="D410" s="68"/>
      <c r="E410" s="89"/>
      <c r="F410" s="68"/>
      <c r="G410" s="89"/>
      <c r="H410" s="177"/>
      <c r="I410" s="178" t="s">
        <v>847</v>
      </c>
      <c r="J410" s="178" t="s">
        <v>835</v>
      </c>
      <c r="K410" s="178" t="s">
        <v>1235</v>
      </c>
      <c r="L410" s="148" t="s">
        <v>1806</v>
      </c>
      <c r="M410" s="46" t="str">
        <f t="shared" si="13"/>
        <v>OneCo Networks AS</v>
      </c>
      <c r="N410" s="42" t="str">
        <f ca="1">IFERROR(
VLOOKUP(BoM_Griptel[[#This Row],[Product code]],
IF(AND((BoQ!$N$3&lt;&gt;""),OR(BoM_Griptel[[#This Row],[Vendor]]="Griptel",BoM_Griptel[[#This Row],[Vendor]]="Solar")),INDIRECT(Aux!$A$1)),4,FALSE),"")</f>
        <v/>
      </c>
      <c r="O410" s="170" t="s">
        <v>1807</v>
      </c>
      <c r="P410" s="43" t="str">
        <f>IFERROR(IF(AND(BoM_Griptel[[#This Row],[Quantity]]&lt;&gt;"",BoM_Griptel[[#This Row],[Currency]]="NOK"),BoM_Griptel[[#This Row],[Quantity]]*BoM_Griptel[[#This Row],[Unit Price]],""),"")</f>
        <v/>
      </c>
      <c r="Q410" s="43" t="str">
        <f>IFERROR(IF(AND(BoM_Griptel[[#This Row],[ACT_Qty]]&lt;&gt;"",BoM_Griptel[[#This Row],[Currency]]="NOK"),BoM_Griptel[[#This Row],[ACT_Qty]]*BoM_Griptel[[#This Row],[Unit Price]],""),"")</f>
        <v/>
      </c>
      <c r="R410" s="43" t="str">
        <f>IFERROR(IF(AND(BoM_Griptel[[#This Row],[Quantity]]&lt;&gt;"",BoM_Griptel[[#This Row],[Currency]]="EUR"),BoM_Griptel[[#This Row],[Quantity]]*BoM_Griptel[[#This Row],[Unit Price]],""),"")</f>
        <v/>
      </c>
      <c r="S410" s="43" t="str">
        <f>IFERROR(IF(AND(BoM_Griptel[[#This Row],[ACT_Qty]]&lt;&gt;"",BoM_Griptel[[#This Row],[Currency]]="EUR"),BoM_Griptel[[#This Row],[ACT_Qty]]*BoM_Griptel[[#This Row],[Unit Price]],""),"")</f>
        <v/>
      </c>
      <c r="T410" s="186" t="s">
        <v>1802</v>
      </c>
      <c r="U410" s="46"/>
      <c r="V410" s="46"/>
      <c r="W410" s="146"/>
    </row>
    <row r="411" spans="1:23" ht="15" customHeight="1">
      <c r="A411" s="143" t="str">
        <f t="shared" si="12"/>
        <v>AKH12345</v>
      </c>
      <c r="B411" s="144" t="s">
        <v>2620</v>
      </c>
      <c r="C411" s="143" t="s">
        <v>2621</v>
      </c>
      <c r="D411" s="105"/>
      <c r="E411" s="106"/>
      <c r="F411" s="105"/>
      <c r="G411" s="106"/>
      <c r="H411" s="175"/>
      <c r="I411" s="176" t="s">
        <v>847</v>
      </c>
      <c r="J411" s="176" t="s">
        <v>835</v>
      </c>
      <c r="K411" s="176" t="s">
        <v>1235</v>
      </c>
      <c r="L411" s="145" t="s">
        <v>1806</v>
      </c>
      <c r="M411" s="45" t="str">
        <f t="shared" si="13"/>
        <v>OneCo Networks AS</v>
      </c>
      <c r="N411" s="40" t="str">
        <f ca="1">IFERROR(
VLOOKUP(BoM_Griptel[[#This Row],[Product code]],
IF(AND((BoQ!$N$3&lt;&gt;""),OR(BoM_Griptel[[#This Row],[Vendor]]="Griptel",BoM_Griptel[[#This Row],[Vendor]]="Solar")),INDIRECT(Aux!$A$1)),4,FALSE),"")</f>
        <v/>
      </c>
      <c r="O411" s="169" t="s">
        <v>1807</v>
      </c>
      <c r="P411" s="41" t="str">
        <f>IFERROR(IF(AND(BoM_Griptel[[#This Row],[Quantity]]&lt;&gt;"",BoM_Griptel[[#This Row],[Currency]]="NOK"),BoM_Griptel[[#This Row],[Quantity]]*BoM_Griptel[[#This Row],[Unit Price]],""),"")</f>
        <v/>
      </c>
      <c r="Q411" s="41" t="str">
        <f>IFERROR(IF(AND(BoM_Griptel[[#This Row],[ACT_Qty]]&lt;&gt;"",BoM_Griptel[[#This Row],[Currency]]="NOK"),BoM_Griptel[[#This Row],[ACT_Qty]]*BoM_Griptel[[#This Row],[Unit Price]],""),"")</f>
        <v/>
      </c>
      <c r="R411" s="41" t="str">
        <f>IFERROR(IF(AND(BoM_Griptel[[#This Row],[Quantity]]&lt;&gt;"",BoM_Griptel[[#This Row],[Currency]]="EUR"),BoM_Griptel[[#This Row],[Quantity]]*BoM_Griptel[[#This Row],[Unit Price]],""),"")</f>
        <v/>
      </c>
      <c r="S411" s="41" t="str">
        <f>IFERROR(IF(AND(BoM_Griptel[[#This Row],[ACT_Qty]]&lt;&gt;"",BoM_Griptel[[#This Row],[Currency]]="EUR"),BoM_Griptel[[#This Row],[ACT_Qty]]*BoM_Griptel[[#This Row],[Unit Price]],""),"")</f>
        <v/>
      </c>
      <c r="T411" s="185" t="s">
        <v>1802</v>
      </c>
      <c r="U411" s="45"/>
      <c r="V411" s="45"/>
      <c r="W411" s="143"/>
    </row>
    <row r="412" spans="1:23" ht="15" customHeight="1">
      <c r="A412" s="146" t="str">
        <f t="shared" si="12"/>
        <v>AKH12345</v>
      </c>
      <c r="B412" s="147" t="s">
        <v>2622</v>
      </c>
      <c r="C412" s="146" t="s">
        <v>2621</v>
      </c>
      <c r="D412" s="68"/>
      <c r="E412" s="89"/>
      <c r="F412" s="68"/>
      <c r="G412" s="89"/>
      <c r="H412" s="177"/>
      <c r="I412" s="178" t="s">
        <v>847</v>
      </c>
      <c r="J412" s="178" t="s">
        <v>835</v>
      </c>
      <c r="K412" s="178" t="s">
        <v>1235</v>
      </c>
      <c r="L412" s="148" t="s">
        <v>1806</v>
      </c>
      <c r="M412" s="46" t="str">
        <f t="shared" si="13"/>
        <v>OneCo Networks AS</v>
      </c>
      <c r="N412" s="42" t="str">
        <f ca="1">IFERROR(
VLOOKUP(BoM_Griptel[[#This Row],[Product code]],
IF(AND((BoQ!$N$3&lt;&gt;""),OR(BoM_Griptel[[#This Row],[Vendor]]="Griptel",BoM_Griptel[[#This Row],[Vendor]]="Solar")),INDIRECT(Aux!$A$1)),4,FALSE),"")</f>
        <v/>
      </c>
      <c r="O412" s="170" t="s">
        <v>1807</v>
      </c>
      <c r="P412" s="43" t="str">
        <f>IFERROR(IF(AND(BoM_Griptel[[#This Row],[Quantity]]&lt;&gt;"",BoM_Griptel[[#This Row],[Currency]]="NOK"),BoM_Griptel[[#This Row],[Quantity]]*BoM_Griptel[[#This Row],[Unit Price]],""),"")</f>
        <v/>
      </c>
      <c r="Q412" s="43" t="str">
        <f>IFERROR(IF(AND(BoM_Griptel[[#This Row],[ACT_Qty]]&lt;&gt;"",BoM_Griptel[[#This Row],[Currency]]="NOK"),BoM_Griptel[[#This Row],[ACT_Qty]]*BoM_Griptel[[#This Row],[Unit Price]],""),"")</f>
        <v/>
      </c>
      <c r="R412" s="43" t="str">
        <f>IFERROR(IF(AND(BoM_Griptel[[#This Row],[Quantity]]&lt;&gt;"",BoM_Griptel[[#This Row],[Currency]]="EUR"),BoM_Griptel[[#This Row],[Quantity]]*BoM_Griptel[[#This Row],[Unit Price]],""),"")</f>
        <v/>
      </c>
      <c r="S412" s="43" t="str">
        <f>IFERROR(IF(AND(BoM_Griptel[[#This Row],[ACT_Qty]]&lt;&gt;"",BoM_Griptel[[#This Row],[Currency]]="EUR"),BoM_Griptel[[#This Row],[ACT_Qty]]*BoM_Griptel[[#This Row],[Unit Price]],""),"")</f>
        <v/>
      </c>
      <c r="T412" s="186" t="s">
        <v>1802</v>
      </c>
      <c r="U412" s="46"/>
      <c r="V412" s="46"/>
      <c r="W412" s="146"/>
    </row>
    <row r="413" spans="1:23" ht="15" customHeight="1">
      <c r="A413" s="143" t="str">
        <f t="shared" si="12"/>
        <v>AKH12345</v>
      </c>
      <c r="B413" s="144" t="s">
        <v>2623</v>
      </c>
      <c r="C413" s="143" t="s">
        <v>2624</v>
      </c>
      <c r="D413" s="105"/>
      <c r="E413" s="106"/>
      <c r="F413" s="105"/>
      <c r="G413" s="106"/>
      <c r="H413" s="175"/>
      <c r="I413" s="176" t="s">
        <v>847</v>
      </c>
      <c r="J413" s="176" t="s">
        <v>835</v>
      </c>
      <c r="K413" s="176" t="s">
        <v>1235</v>
      </c>
      <c r="L413" s="145" t="s">
        <v>1806</v>
      </c>
      <c r="M413" s="45" t="str">
        <f t="shared" si="13"/>
        <v>OneCo Networks AS</v>
      </c>
      <c r="N413" s="40" t="str">
        <f ca="1">IFERROR(
VLOOKUP(BoM_Griptel[[#This Row],[Product code]],
IF(AND((BoQ!$N$3&lt;&gt;""),OR(BoM_Griptel[[#This Row],[Vendor]]="Griptel",BoM_Griptel[[#This Row],[Vendor]]="Solar")),INDIRECT(Aux!$A$1)),4,FALSE),"")</f>
        <v/>
      </c>
      <c r="O413" s="169" t="s">
        <v>1807</v>
      </c>
      <c r="P413" s="41" t="str">
        <f>IFERROR(IF(AND(BoM_Griptel[[#This Row],[Quantity]]&lt;&gt;"",BoM_Griptel[[#This Row],[Currency]]="NOK"),BoM_Griptel[[#This Row],[Quantity]]*BoM_Griptel[[#This Row],[Unit Price]],""),"")</f>
        <v/>
      </c>
      <c r="Q413" s="41" t="str">
        <f>IFERROR(IF(AND(BoM_Griptel[[#This Row],[ACT_Qty]]&lt;&gt;"",BoM_Griptel[[#This Row],[Currency]]="NOK"),BoM_Griptel[[#This Row],[ACT_Qty]]*BoM_Griptel[[#This Row],[Unit Price]],""),"")</f>
        <v/>
      </c>
      <c r="R413" s="41" t="str">
        <f>IFERROR(IF(AND(BoM_Griptel[[#This Row],[Quantity]]&lt;&gt;"",BoM_Griptel[[#This Row],[Currency]]="EUR"),BoM_Griptel[[#This Row],[Quantity]]*BoM_Griptel[[#This Row],[Unit Price]],""),"")</f>
        <v/>
      </c>
      <c r="S413" s="41" t="str">
        <f>IFERROR(IF(AND(BoM_Griptel[[#This Row],[ACT_Qty]]&lt;&gt;"",BoM_Griptel[[#This Row],[Currency]]="EUR"),BoM_Griptel[[#This Row],[ACT_Qty]]*BoM_Griptel[[#This Row],[Unit Price]],""),"")</f>
        <v/>
      </c>
      <c r="T413" s="185" t="s">
        <v>1802</v>
      </c>
      <c r="U413" s="45"/>
      <c r="V413" s="45"/>
      <c r="W413" s="143"/>
    </row>
    <row r="414" spans="1:23" ht="15" customHeight="1">
      <c r="A414" s="146" t="str">
        <f t="shared" si="12"/>
        <v>AKH12345</v>
      </c>
      <c r="B414" s="147" t="s">
        <v>2625</v>
      </c>
      <c r="C414" s="146" t="s">
        <v>2619</v>
      </c>
      <c r="D414" s="68"/>
      <c r="E414" s="89"/>
      <c r="F414" s="68"/>
      <c r="G414" s="89"/>
      <c r="H414" s="177"/>
      <c r="I414" s="178" t="s">
        <v>847</v>
      </c>
      <c r="J414" s="178" t="s">
        <v>835</v>
      </c>
      <c r="K414" s="178" t="s">
        <v>1235</v>
      </c>
      <c r="L414" s="148" t="s">
        <v>1806</v>
      </c>
      <c r="M414" s="46" t="str">
        <f t="shared" si="13"/>
        <v>OneCo Networks AS</v>
      </c>
      <c r="N414" s="42" t="str">
        <f ca="1">IFERROR(
VLOOKUP(BoM_Griptel[[#This Row],[Product code]],
IF(AND((BoQ!$N$3&lt;&gt;""),OR(BoM_Griptel[[#This Row],[Vendor]]="Griptel",BoM_Griptel[[#This Row],[Vendor]]="Solar")),INDIRECT(Aux!$A$1)),4,FALSE),"")</f>
        <v/>
      </c>
      <c r="O414" s="170" t="s">
        <v>1807</v>
      </c>
      <c r="P414" s="43" t="str">
        <f>IFERROR(IF(AND(BoM_Griptel[[#This Row],[Quantity]]&lt;&gt;"",BoM_Griptel[[#This Row],[Currency]]="NOK"),BoM_Griptel[[#This Row],[Quantity]]*BoM_Griptel[[#This Row],[Unit Price]],""),"")</f>
        <v/>
      </c>
      <c r="Q414" s="43" t="str">
        <f>IFERROR(IF(AND(BoM_Griptel[[#This Row],[ACT_Qty]]&lt;&gt;"",BoM_Griptel[[#This Row],[Currency]]="NOK"),BoM_Griptel[[#This Row],[ACT_Qty]]*BoM_Griptel[[#This Row],[Unit Price]],""),"")</f>
        <v/>
      </c>
      <c r="R414" s="43" t="str">
        <f>IFERROR(IF(AND(BoM_Griptel[[#This Row],[Quantity]]&lt;&gt;"",BoM_Griptel[[#This Row],[Currency]]="EUR"),BoM_Griptel[[#This Row],[Quantity]]*BoM_Griptel[[#This Row],[Unit Price]],""),"")</f>
        <v/>
      </c>
      <c r="S414" s="43" t="str">
        <f>IFERROR(IF(AND(BoM_Griptel[[#This Row],[ACT_Qty]]&lt;&gt;"",BoM_Griptel[[#This Row],[Currency]]="EUR"),BoM_Griptel[[#This Row],[ACT_Qty]]*BoM_Griptel[[#This Row],[Unit Price]],""),"")</f>
        <v/>
      </c>
      <c r="T414" s="186" t="s">
        <v>1802</v>
      </c>
      <c r="U414" s="46"/>
      <c r="V414" s="46"/>
      <c r="W414" s="146"/>
    </row>
    <row r="415" spans="1:23" ht="15" customHeight="1">
      <c r="A415" s="143" t="str">
        <f t="shared" si="12"/>
        <v>AKH12345</v>
      </c>
      <c r="B415" s="144" t="s">
        <v>2626</v>
      </c>
      <c r="C415" s="143" t="s">
        <v>2619</v>
      </c>
      <c r="D415" s="105"/>
      <c r="E415" s="106"/>
      <c r="F415" s="105"/>
      <c r="G415" s="106"/>
      <c r="H415" s="175"/>
      <c r="I415" s="176" t="s">
        <v>847</v>
      </c>
      <c r="J415" s="176" t="s">
        <v>835</v>
      </c>
      <c r="K415" s="176" t="s">
        <v>1235</v>
      </c>
      <c r="L415" s="145" t="s">
        <v>1806</v>
      </c>
      <c r="M415" s="45" t="str">
        <f t="shared" si="13"/>
        <v>OneCo Networks AS</v>
      </c>
      <c r="N415" s="40" t="str">
        <f ca="1">IFERROR(
VLOOKUP(BoM_Griptel[[#This Row],[Product code]],
IF(AND((BoQ!$N$3&lt;&gt;""),OR(BoM_Griptel[[#This Row],[Vendor]]="Griptel",BoM_Griptel[[#This Row],[Vendor]]="Solar")),INDIRECT(Aux!$A$1)),4,FALSE),"")</f>
        <v/>
      </c>
      <c r="O415" s="169" t="s">
        <v>1807</v>
      </c>
      <c r="P415" s="41" t="str">
        <f>IFERROR(IF(AND(BoM_Griptel[[#This Row],[Quantity]]&lt;&gt;"",BoM_Griptel[[#This Row],[Currency]]="NOK"),BoM_Griptel[[#This Row],[Quantity]]*BoM_Griptel[[#This Row],[Unit Price]],""),"")</f>
        <v/>
      </c>
      <c r="Q415" s="41" t="str">
        <f>IFERROR(IF(AND(BoM_Griptel[[#This Row],[ACT_Qty]]&lt;&gt;"",BoM_Griptel[[#This Row],[Currency]]="NOK"),BoM_Griptel[[#This Row],[ACT_Qty]]*BoM_Griptel[[#This Row],[Unit Price]],""),"")</f>
        <v/>
      </c>
      <c r="R415" s="41" t="str">
        <f>IFERROR(IF(AND(BoM_Griptel[[#This Row],[Quantity]]&lt;&gt;"",BoM_Griptel[[#This Row],[Currency]]="EUR"),BoM_Griptel[[#This Row],[Quantity]]*BoM_Griptel[[#This Row],[Unit Price]],""),"")</f>
        <v/>
      </c>
      <c r="S415" s="41" t="str">
        <f>IFERROR(IF(AND(BoM_Griptel[[#This Row],[ACT_Qty]]&lt;&gt;"",BoM_Griptel[[#This Row],[Currency]]="EUR"),BoM_Griptel[[#This Row],[ACT_Qty]]*BoM_Griptel[[#This Row],[Unit Price]],""),"")</f>
        <v/>
      </c>
      <c r="T415" s="185" t="s">
        <v>1802</v>
      </c>
      <c r="U415" s="45"/>
      <c r="V415" s="45"/>
      <c r="W415" s="143"/>
    </row>
    <row r="416" spans="1:23" ht="15" customHeight="1">
      <c r="A416" s="146" t="str">
        <f t="shared" si="12"/>
        <v>AKH12345</v>
      </c>
      <c r="B416" s="147" t="s">
        <v>2627</v>
      </c>
      <c r="C416" s="146" t="s">
        <v>2624</v>
      </c>
      <c r="D416" s="68"/>
      <c r="E416" s="89"/>
      <c r="F416" s="68"/>
      <c r="G416" s="89"/>
      <c r="H416" s="177"/>
      <c r="I416" s="178" t="s">
        <v>847</v>
      </c>
      <c r="J416" s="178" t="s">
        <v>835</v>
      </c>
      <c r="K416" s="178" t="s">
        <v>1235</v>
      </c>
      <c r="L416" s="148" t="s">
        <v>1806</v>
      </c>
      <c r="M416" s="46" t="str">
        <f t="shared" si="13"/>
        <v>OneCo Networks AS</v>
      </c>
      <c r="N416" s="42" t="str">
        <f ca="1">IFERROR(
VLOOKUP(BoM_Griptel[[#This Row],[Product code]],
IF(AND((BoQ!$N$3&lt;&gt;""),OR(BoM_Griptel[[#This Row],[Vendor]]="Griptel",BoM_Griptel[[#This Row],[Vendor]]="Solar")),INDIRECT(Aux!$A$1)),4,FALSE),"")</f>
        <v/>
      </c>
      <c r="O416" s="170" t="s">
        <v>1807</v>
      </c>
      <c r="P416" s="43" t="str">
        <f>IFERROR(IF(AND(BoM_Griptel[[#This Row],[Quantity]]&lt;&gt;"",BoM_Griptel[[#This Row],[Currency]]="NOK"),BoM_Griptel[[#This Row],[Quantity]]*BoM_Griptel[[#This Row],[Unit Price]],""),"")</f>
        <v/>
      </c>
      <c r="Q416" s="43" t="str">
        <f>IFERROR(IF(AND(BoM_Griptel[[#This Row],[ACT_Qty]]&lt;&gt;"",BoM_Griptel[[#This Row],[Currency]]="NOK"),BoM_Griptel[[#This Row],[ACT_Qty]]*BoM_Griptel[[#This Row],[Unit Price]],""),"")</f>
        <v/>
      </c>
      <c r="R416" s="43" t="str">
        <f>IFERROR(IF(AND(BoM_Griptel[[#This Row],[Quantity]]&lt;&gt;"",BoM_Griptel[[#This Row],[Currency]]="EUR"),BoM_Griptel[[#This Row],[Quantity]]*BoM_Griptel[[#This Row],[Unit Price]],""),"")</f>
        <v/>
      </c>
      <c r="S416" s="43" t="str">
        <f>IFERROR(IF(AND(BoM_Griptel[[#This Row],[ACT_Qty]]&lt;&gt;"",BoM_Griptel[[#This Row],[Currency]]="EUR"),BoM_Griptel[[#This Row],[ACT_Qty]]*BoM_Griptel[[#This Row],[Unit Price]],""),"")</f>
        <v/>
      </c>
      <c r="T416" s="186" t="s">
        <v>1802</v>
      </c>
      <c r="U416" s="46"/>
      <c r="V416" s="46"/>
      <c r="W416" s="146"/>
    </row>
    <row r="417" spans="1:23" ht="15" customHeight="1">
      <c r="A417" s="143" t="str">
        <f t="shared" si="12"/>
        <v>AKH12345</v>
      </c>
      <c r="B417" s="144" t="s">
        <v>2628</v>
      </c>
      <c r="C417" s="143" t="s">
        <v>2629</v>
      </c>
      <c r="D417" s="105"/>
      <c r="E417" s="106"/>
      <c r="F417" s="105"/>
      <c r="G417" s="106"/>
      <c r="H417" s="175"/>
      <c r="I417" s="176" t="s">
        <v>847</v>
      </c>
      <c r="J417" s="176" t="s">
        <v>835</v>
      </c>
      <c r="K417" s="176" t="s">
        <v>1235</v>
      </c>
      <c r="L417" s="145" t="s">
        <v>1806</v>
      </c>
      <c r="M417" s="45" t="str">
        <f t="shared" si="13"/>
        <v>OneCo Networks AS</v>
      </c>
      <c r="N417" s="40" t="str">
        <f ca="1">IFERROR(
VLOOKUP(BoM_Griptel[[#This Row],[Product code]],
IF(AND((BoQ!$N$3&lt;&gt;""),OR(BoM_Griptel[[#This Row],[Vendor]]="Griptel",BoM_Griptel[[#This Row],[Vendor]]="Solar")),INDIRECT(Aux!$A$1)),4,FALSE),"")</f>
        <v/>
      </c>
      <c r="O417" s="169" t="s">
        <v>1807</v>
      </c>
      <c r="P417" s="41" t="str">
        <f>IFERROR(IF(AND(BoM_Griptel[[#This Row],[Quantity]]&lt;&gt;"",BoM_Griptel[[#This Row],[Currency]]="NOK"),BoM_Griptel[[#This Row],[Quantity]]*BoM_Griptel[[#This Row],[Unit Price]],""),"")</f>
        <v/>
      </c>
      <c r="Q417" s="41" t="str">
        <f>IFERROR(IF(AND(BoM_Griptel[[#This Row],[ACT_Qty]]&lt;&gt;"",BoM_Griptel[[#This Row],[Currency]]="NOK"),BoM_Griptel[[#This Row],[ACT_Qty]]*BoM_Griptel[[#This Row],[Unit Price]],""),"")</f>
        <v/>
      </c>
      <c r="R417" s="41" t="str">
        <f>IFERROR(IF(AND(BoM_Griptel[[#This Row],[Quantity]]&lt;&gt;"",BoM_Griptel[[#This Row],[Currency]]="EUR"),BoM_Griptel[[#This Row],[Quantity]]*BoM_Griptel[[#This Row],[Unit Price]],""),"")</f>
        <v/>
      </c>
      <c r="S417" s="41" t="str">
        <f>IFERROR(IF(AND(BoM_Griptel[[#This Row],[ACT_Qty]]&lt;&gt;"",BoM_Griptel[[#This Row],[Currency]]="EUR"),BoM_Griptel[[#This Row],[ACT_Qty]]*BoM_Griptel[[#This Row],[Unit Price]],""),"")</f>
        <v/>
      </c>
      <c r="T417" s="185" t="s">
        <v>1802</v>
      </c>
      <c r="U417" s="45"/>
      <c r="V417" s="45"/>
      <c r="W417" s="143"/>
    </row>
    <row r="418" spans="1:23" ht="15" customHeight="1">
      <c r="A418" s="146" t="str">
        <f t="shared" si="12"/>
        <v>AKH12345</v>
      </c>
      <c r="B418" s="147" t="s">
        <v>2630</v>
      </c>
      <c r="C418" s="146" t="s">
        <v>2631</v>
      </c>
      <c r="D418" s="68"/>
      <c r="E418" s="89"/>
      <c r="F418" s="68"/>
      <c r="G418" s="89"/>
      <c r="H418" s="177"/>
      <c r="I418" s="178" t="s">
        <v>847</v>
      </c>
      <c r="J418" s="178" t="s">
        <v>2632</v>
      </c>
      <c r="K418" s="178" t="s">
        <v>1235</v>
      </c>
      <c r="L418" s="148" t="s">
        <v>1806</v>
      </c>
      <c r="M418" s="46" t="str">
        <f t="shared" si="13"/>
        <v>OneCo Networks AS</v>
      </c>
      <c r="N418" s="42" t="str">
        <f ca="1">IFERROR(
VLOOKUP(BoM_Griptel[[#This Row],[Product code]],
IF(AND((BoQ!$N$3&lt;&gt;""),OR(BoM_Griptel[[#This Row],[Vendor]]="Griptel",BoM_Griptel[[#This Row],[Vendor]]="Solar")),INDIRECT(Aux!$A$1)),4,FALSE),"")</f>
        <v/>
      </c>
      <c r="O418" s="170" t="s">
        <v>1807</v>
      </c>
      <c r="P418" s="43" t="str">
        <f>IFERROR(IF(AND(BoM_Griptel[[#This Row],[Quantity]]&lt;&gt;"",BoM_Griptel[[#This Row],[Currency]]="NOK"),BoM_Griptel[[#This Row],[Quantity]]*BoM_Griptel[[#This Row],[Unit Price]],""),"")</f>
        <v/>
      </c>
      <c r="Q418" s="43" t="str">
        <f>IFERROR(IF(AND(BoM_Griptel[[#This Row],[ACT_Qty]]&lt;&gt;"",BoM_Griptel[[#This Row],[Currency]]="NOK"),BoM_Griptel[[#This Row],[ACT_Qty]]*BoM_Griptel[[#This Row],[Unit Price]],""),"")</f>
        <v/>
      </c>
      <c r="R418" s="43" t="str">
        <f>IFERROR(IF(AND(BoM_Griptel[[#This Row],[Quantity]]&lt;&gt;"",BoM_Griptel[[#This Row],[Currency]]="EUR"),BoM_Griptel[[#This Row],[Quantity]]*BoM_Griptel[[#This Row],[Unit Price]],""),"")</f>
        <v/>
      </c>
      <c r="S418" s="43" t="str">
        <f>IFERROR(IF(AND(BoM_Griptel[[#This Row],[ACT_Qty]]&lt;&gt;"",BoM_Griptel[[#This Row],[Currency]]="EUR"),BoM_Griptel[[#This Row],[ACT_Qty]]*BoM_Griptel[[#This Row],[Unit Price]],""),"")</f>
        <v/>
      </c>
      <c r="T418" s="186" t="s">
        <v>1802</v>
      </c>
      <c r="U418" s="46"/>
      <c r="V418" s="46"/>
      <c r="W418" s="146"/>
    </row>
    <row r="419" spans="1:23" ht="15" customHeight="1">
      <c r="A419" s="143" t="str">
        <f t="shared" si="12"/>
        <v>AKH12345</v>
      </c>
      <c r="B419" s="144" t="s">
        <v>2633</v>
      </c>
      <c r="C419" s="143" t="s">
        <v>2634</v>
      </c>
      <c r="D419" s="105"/>
      <c r="E419" s="106"/>
      <c r="F419" s="105"/>
      <c r="G419" s="106"/>
      <c r="H419" s="175"/>
      <c r="I419" s="176" t="s">
        <v>847</v>
      </c>
      <c r="J419" s="176" t="s">
        <v>2635</v>
      </c>
      <c r="K419" s="176" t="s">
        <v>1235</v>
      </c>
      <c r="L419" s="145" t="s">
        <v>1806</v>
      </c>
      <c r="M419" s="45" t="str">
        <f t="shared" si="13"/>
        <v>OneCo Networks AS</v>
      </c>
      <c r="N419" s="40" t="str">
        <f ca="1">IFERROR(
VLOOKUP(BoM_Griptel[[#This Row],[Product code]],
IF(AND((BoQ!$N$3&lt;&gt;""),OR(BoM_Griptel[[#This Row],[Vendor]]="Griptel",BoM_Griptel[[#This Row],[Vendor]]="Solar")),INDIRECT(Aux!$A$1)),4,FALSE),"")</f>
        <v/>
      </c>
      <c r="O419" s="169" t="s">
        <v>1807</v>
      </c>
      <c r="P419" s="41" t="str">
        <f>IFERROR(IF(AND(BoM_Griptel[[#This Row],[Quantity]]&lt;&gt;"",BoM_Griptel[[#This Row],[Currency]]="NOK"),BoM_Griptel[[#This Row],[Quantity]]*BoM_Griptel[[#This Row],[Unit Price]],""),"")</f>
        <v/>
      </c>
      <c r="Q419" s="41" t="str">
        <f>IFERROR(IF(AND(BoM_Griptel[[#This Row],[ACT_Qty]]&lt;&gt;"",BoM_Griptel[[#This Row],[Currency]]="NOK"),BoM_Griptel[[#This Row],[ACT_Qty]]*BoM_Griptel[[#This Row],[Unit Price]],""),"")</f>
        <v/>
      </c>
      <c r="R419" s="41" t="str">
        <f>IFERROR(IF(AND(BoM_Griptel[[#This Row],[Quantity]]&lt;&gt;"",BoM_Griptel[[#This Row],[Currency]]="EUR"),BoM_Griptel[[#This Row],[Quantity]]*BoM_Griptel[[#This Row],[Unit Price]],""),"")</f>
        <v/>
      </c>
      <c r="S419" s="41" t="str">
        <f>IFERROR(IF(AND(BoM_Griptel[[#This Row],[ACT_Qty]]&lt;&gt;"",BoM_Griptel[[#This Row],[Currency]]="EUR"),BoM_Griptel[[#This Row],[ACT_Qty]]*BoM_Griptel[[#This Row],[Unit Price]],""),"")</f>
        <v/>
      </c>
      <c r="T419" s="185" t="s">
        <v>1802</v>
      </c>
      <c r="U419" s="45"/>
      <c r="V419" s="45"/>
      <c r="W419" s="143"/>
    </row>
    <row r="420" spans="1:23" ht="15" customHeight="1">
      <c r="A420" s="146" t="str">
        <f t="shared" si="12"/>
        <v>AKH12345</v>
      </c>
      <c r="B420" s="147" t="s">
        <v>2636</v>
      </c>
      <c r="C420" s="146" t="s">
        <v>2637</v>
      </c>
      <c r="D420" s="68"/>
      <c r="E420" s="89"/>
      <c r="F420" s="68"/>
      <c r="G420" s="89"/>
      <c r="H420" s="177"/>
      <c r="I420" s="178" t="s">
        <v>847</v>
      </c>
      <c r="J420" s="178" t="s">
        <v>835</v>
      </c>
      <c r="K420" s="178" t="s">
        <v>1235</v>
      </c>
      <c r="L420" s="148" t="s">
        <v>1806</v>
      </c>
      <c r="M420" s="46" t="str">
        <f t="shared" si="13"/>
        <v>OneCo Networks AS</v>
      </c>
      <c r="N420" s="42" t="str">
        <f ca="1">IFERROR(
VLOOKUP(BoM_Griptel[[#This Row],[Product code]],
IF(AND((BoQ!$N$3&lt;&gt;""),OR(BoM_Griptel[[#This Row],[Vendor]]="Griptel",BoM_Griptel[[#This Row],[Vendor]]="Solar")),INDIRECT(Aux!$A$1)),4,FALSE),"")</f>
        <v/>
      </c>
      <c r="O420" s="170" t="s">
        <v>1807</v>
      </c>
      <c r="P420" s="43" t="str">
        <f>IFERROR(IF(AND(BoM_Griptel[[#This Row],[Quantity]]&lt;&gt;"",BoM_Griptel[[#This Row],[Currency]]="NOK"),BoM_Griptel[[#This Row],[Quantity]]*BoM_Griptel[[#This Row],[Unit Price]],""),"")</f>
        <v/>
      </c>
      <c r="Q420" s="43" t="str">
        <f>IFERROR(IF(AND(BoM_Griptel[[#This Row],[ACT_Qty]]&lt;&gt;"",BoM_Griptel[[#This Row],[Currency]]="NOK"),BoM_Griptel[[#This Row],[ACT_Qty]]*BoM_Griptel[[#This Row],[Unit Price]],""),"")</f>
        <v/>
      </c>
      <c r="R420" s="43" t="str">
        <f>IFERROR(IF(AND(BoM_Griptel[[#This Row],[Quantity]]&lt;&gt;"",BoM_Griptel[[#This Row],[Currency]]="EUR"),BoM_Griptel[[#This Row],[Quantity]]*BoM_Griptel[[#This Row],[Unit Price]],""),"")</f>
        <v/>
      </c>
      <c r="S420" s="43" t="str">
        <f>IFERROR(IF(AND(BoM_Griptel[[#This Row],[ACT_Qty]]&lt;&gt;"",BoM_Griptel[[#This Row],[Currency]]="EUR"),BoM_Griptel[[#This Row],[ACT_Qty]]*BoM_Griptel[[#This Row],[Unit Price]],""),"")</f>
        <v/>
      </c>
      <c r="T420" s="186" t="s">
        <v>1802</v>
      </c>
      <c r="U420" s="46"/>
      <c r="V420" s="46"/>
      <c r="W420" s="146"/>
    </row>
    <row r="421" spans="1:23" ht="15" customHeight="1">
      <c r="A421" s="143" t="str">
        <f t="shared" si="12"/>
        <v>AKH12345</v>
      </c>
      <c r="B421" s="144" t="s">
        <v>2638</v>
      </c>
      <c r="C421" s="143" t="s">
        <v>2639</v>
      </c>
      <c r="D421" s="105"/>
      <c r="E421" s="106"/>
      <c r="F421" s="105"/>
      <c r="G421" s="106"/>
      <c r="H421" s="175"/>
      <c r="I421" s="176" t="s">
        <v>847</v>
      </c>
      <c r="J421" s="176" t="s">
        <v>2074</v>
      </c>
      <c r="K421" s="176" t="s">
        <v>1235</v>
      </c>
      <c r="L421" s="145" t="s">
        <v>1806</v>
      </c>
      <c r="M421" s="45" t="str">
        <f t="shared" si="13"/>
        <v>OneCo Networks AS</v>
      </c>
      <c r="N421" s="40" t="str">
        <f ca="1">IFERROR(
VLOOKUP(BoM_Griptel[[#This Row],[Product code]],
IF(AND((BoQ!$N$3&lt;&gt;""),OR(BoM_Griptel[[#This Row],[Vendor]]="Griptel",BoM_Griptel[[#This Row],[Vendor]]="Solar")),INDIRECT(Aux!$A$1)),4,FALSE),"")</f>
        <v/>
      </c>
      <c r="O421" s="169" t="s">
        <v>1807</v>
      </c>
      <c r="P421" s="41" t="str">
        <f>IFERROR(IF(AND(BoM_Griptel[[#This Row],[Quantity]]&lt;&gt;"",BoM_Griptel[[#This Row],[Currency]]="NOK"),BoM_Griptel[[#This Row],[Quantity]]*BoM_Griptel[[#This Row],[Unit Price]],""),"")</f>
        <v/>
      </c>
      <c r="Q421" s="41" t="str">
        <f>IFERROR(IF(AND(BoM_Griptel[[#This Row],[ACT_Qty]]&lt;&gt;"",BoM_Griptel[[#This Row],[Currency]]="NOK"),BoM_Griptel[[#This Row],[ACT_Qty]]*BoM_Griptel[[#This Row],[Unit Price]],""),"")</f>
        <v/>
      </c>
      <c r="R421" s="41" t="str">
        <f>IFERROR(IF(AND(BoM_Griptel[[#This Row],[Quantity]]&lt;&gt;"",BoM_Griptel[[#This Row],[Currency]]="EUR"),BoM_Griptel[[#This Row],[Quantity]]*BoM_Griptel[[#This Row],[Unit Price]],""),"")</f>
        <v/>
      </c>
      <c r="S421" s="41" t="str">
        <f>IFERROR(IF(AND(BoM_Griptel[[#This Row],[ACT_Qty]]&lt;&gt;"",BoM_Griptel[[#This Row],[Currency]]="EUR"),BoM_Griptel[[#This Row],[ACT_Qty]]*BoM_Griptel[[#This Row],[Unit Price]],""),"")</f>
        <v/>
      </c>
      <c r="T421" s="185" t="s">
        <v>1802</v>
      </c>
      <c r="U421" s="45"/>
      <c r="V421" s="45"/>
      <c r="W421" s="143"/>
    </row>
    <row r="422" spans="1:23" ht="15" customHeight="1">
      <c r="A422" s="146" t="str">
        <f t="shared" si="12"/>
        <v>AKH12345</v>
      </c>
      <c r="B422" s="147" t="s">
        <v>2640</v>
      </c>
      <c r="C422" s="146" t="s">
        <v>2641</v>
      </c>
      <c r="D422" s="68"/>
      <c r="E422" s="89"/>
      <c r="F422" s="68"/>
      <c r="G422" s="89"/>
      <c r="H422" s="177"/>
      <c r="I422" s="178" t="s">
        <v>847</v>
      </c>
      <c r="J422" s="178" t="s">
        <v>835</v>
      </c>
      <c r="K422" s="178" t="s">
        <v>1235</v>
      </c>
      <c r="L422" s="148" t="s">
        <v>1806</v>
      </c>
      <c r="M422" s="46" t="str">
        <f t="shared" si="13"/>
        <v>OneCo Networks AS</v>
      </c>
      <c r="N422" s="42" t="str">
        <f ca="1">IFERROR(
VLOOKUP(BoM_Griptel[[#This Row],[Product code]],
IF(AND((BoQ!$N$3&lt;&gt;""),OR(BoM_Griptel[[#This Row],[Vendor]]="Griptel",BoM_Griptel[[#This Row],[Vendor]]="Solar")),INDIRECT(Aux!$A$1)),4,FALSE),"")</f>
        <v/>
      </c>
      <c r="O422" s="170" t="s">
        <v>1807</v>
      </c>
      <c r="P422" s="43" t="str">
        <f>IFERROR(IF(AND(BoM_Griptel[[#This Row],[Quantity]]&lt;&gt;"",BoM_Griptel[[#This Row],[Currency]]="NOK"),BoM_Griptel[[#This Row],[Quantity]]*BoM_Griptel[[#This Row],[Unit Price]],""),"")</f>
        <v/>
      </c>
      <c r="Q422" s="43" t="str">
        <f>IFERROR(IF(AND(BoM_Griptel[[#This Row],[ACT_Qty]]&lt;&gt;"",BoM_Griptel[[#This Row],[Currency]]="NOK"),BoM_Griptel[[#This Row],[ACT_Qty]]*BoM_Griptel[[#This Row],[Unit Price]],""),"")</f>
        <v/>
      </c>
      <c r="R422" s="43" t="str">
        <f>IFERROR(IF(AND(BoM_Griptel[[#This Row],[Quantity]]&lt;&gt;"",BoM_Griptel[[#This Row],[Currency]]="EUR"),BoM_Griptel[[#This Row],[Quantity]]*BoM_Griptel[[#This Row],[Unit Price]],""),"")</f>
        <v/>
      </c>
      <c r="S422" s="43" t="str">
        <f>IFERROR(IF(AND(BoM_Griptel[[#This Row],[ACT_Qty]]&lt;&gt;"",BoM_Griptel[[#This Row],[Currency]]="EUR"),BoM_Griptel[[#This Row],[ACT_Qty]]*BoM_Griptel[[#This Row],[Unit Price]],""),"")</f>
        <v/>
      </c>
      <c r="T422" s="186" t="s">
        <v>1802</v>
      </c>
      <c r="U422" s="46"/>
      <c r="V422" s="46"/>
      <c r="W422" s="146"/>
    </row>
    <row r="423" spans="1:23" ht="15" customHeight="1">
      <c r="A423" s="143" t="str">
        <f t="shared" si="12"/>
        <v>AKH12345</v>
      </c>
      <c r="B423" s="144" t="s">
        <v>2642</v>
      </c>
      <c r="C423" s="143" t="s">
        <v>2643</v>
      </c>
      <c r="D423" s="105"/>
      <c r="E423" s="106"/>
      <c r="F423" s="105"/>
      <c r="G423" s="106"/>
      <c r="H423" s="175"/>
      <c r="I423" s="176" t="s">
        <v>847</v>
      </c>
      <c r="J423" s="176" t="s">
        <v>835</v>
      </c>
      <c r="K423" s="176" t="s">
        <v>1235</v>
      </c>
      <c r="L423" s="145" t="s">
        <v>1806</v>
      </c>
      <c r="M423" s="45" t="str">
        <f t="shared" si="13"/>
        <v>OneCo Networks AS</v>
      </c>
      <c r="N423" s="40" t="str">
        <f ca="1">IFERROR(
VLOOKUP(BoM_Griptel[[#This Row],[Product code]],
IF(AND((BoQ!$N$3&lt;&gt;""),OR(BoM_Griptel[[#This Row],[Vendor]]="Griptel",BoM_Griptel[[#This Row],[Vendor]]="Solar")),INDIRECT(Aux!$A$1)),4,FALSE),"")</f>
        <v/>
      </c>
      <c r="O423" s="169" t="s">
        <v>1807</v>
      </c>
      <c r="P423" s="41" t="str">
        <f>IFERROR(IF(AND(BoM_Griptel[[#This Row],[Quantity]]&lt;&gt;"",BoM_Griptel[[#This Row],[Currency]]="NOK"),BoM_Griptel[[#This Row],[Quantity]]*BoM_Griptel[[#This Row],[Unit Price]],""),"")</f>
        <v/>
      </c>
      <c r="Q423" s="41" t="str">
        <f>IFERROR(IF(AND(BoM_Griptel[[#This Row],[ACT_Qty]]&lt;&gt;"",BoM_Griptel[[#This Row],[Currency]]="NOK"),BoM_Griptel[[#This Row],[ACT_Qty]]*BoM_Griptel[[#This Row],[Unit Price]],""),"")</f>
        <v/>
      </c>
      <c r="R423" s="41" t="str">
        <f>IFERROR(IF(AND(BoM_Griptel[[#This Row],[Quantity]]&lt;&gt;"",BoM_Griptel[[#This Row],[Currency]]="EUR"),BoM_Griptel[[#This Row],[Quantity]]*BoM_Griptel[[#This Row],[Unit Price]],""),"")</f>
        <v/>
      </c>
      <c r="S423" s="41" t="str">
        <f>IFERROR(IF(AND(BoM_Griptel[[#This Row],[ACT_Qty]]&lt;&gt;"",BoM_Griptel[[#This Row],[Currency]]="EUR"),BoM_Griptel[[#This Row],[ACT_Qty]]*BoM_Griptel[[#This Row],[Unit Price]],""),"")</f>
        <v/>
      </c>
      <c r="T423" s="185" t="s">
        <v>1802</v>
      </c>
      <c r="U423" s="45"/>
      <c r="V423" s="45"/>
      <c r="W423" s="143"/>
    </row>
    <row r="424" spans="1:23" ht="15" customHeight="1">
      <c r="A424" s="146" t="str">
        <f t="shared" si="12"/>
        <v>AKH12345</v>
      </c>
      <c r="B424" s="147" t="s">
        <v>2644</v>
      </c>
      <c r="C424" s="146" t="s">
        <v>2645</v>
      </c>
      <c r="D424" s="68"/>
      <c r="E424" s="89"/>
      <c r="F424" s="68"/>
      <c r="G424" s="89"/>
      <c r="H424" s="177"/>
      <c r="I424" s="178" t="s">
        <v>847</v>
      </c>
      <c r="J424" s="178" t="s">
        <v>835</v>
      </c>
      <c r="K424" s="178" t="s">
        <v>1235</v>
      </c>
      <c r="L424" s="148" t="s">
        <v>1806</v>
      </c>
      <c r="M424" s="46" t="str">
        <f t="shared" si="13"/>
        <v>OneCo Networks AS</v>
      </c>
      <c r="N424" s="42" t="str">
        <f ca="1">IFERROR(
VLOOKUP(BoM_Griptel[[#This Row],[Product code]],
IF(AND((BoQ!$N$3&lt;&gt;""),OR(BoM_Griptel[[#This Row],[Vendor]]="Griptel",BoM_Griptel[[#This Row],[Vendor]]="Solar")),INDIRECT(Aux!$A$1)),4,FALSE),"")</f>
        <v/>
      </c>
      <c r="O424" s="170" t="s">
        <v>1807</v>
      </c>
      <c r="P424" s="43" t="str">
        <f>IFERROR(IF(AND(BoM_Griptel[[#This Row],[Quantity]]&lt;&gt;"",BoM_Griptel[[#This Row],[Currency]]="NOK"),BoM_Griptel[[#This Row],[Quantity]]*BoM_Griptel[[#This Row],[Unit Price]],""),"")</f>
        <v/>
      </c>
      <c r="Q424" s="43" t="str">
        <f>IFERROR(IF(AND(BoM_Griptel[[#This Row],[ACT_Qty]]&lt;&gt;"",BoM_Griptel[[#This Row],[Currency]]="NOK"),BoM_Griptel[[#This Row],[ACT_Qty]]*BoM_Griptel[[#This Row],[Unit Price]],""),"")</f>
        <v/>
      </c>
      <c r="R424" s="43" t="str">
        <f>IFERROR(IF(AND(BoM_Griptel[[#This Row],[Quantity]]&lt;&gt;"",BoM_Griptel[[#This Row],[Currency]]="EUR"),BoM_Griptel[[#This Row],[Quantity]]*BoM_Griptel[[#This Row],[Unit Price]],""),"")</f>
        <v/>
      </c>
      <c r="S424" s="43" t="str">
        <f>IFERROR(IF(AND(BoM_Griptel[[#This Row],[ACT_Qty]]&lt;&gt;"",BoM_Griptel[[#This Row],[Currency]]="EUR"),BoM_Griptel[[#This Row],[ACT_Qty]]*BoM_Griptel[[#This Row],[Unit Price]],""),"")</f>
        <v/>
      </c>
      <c r="T424" s="186" t="s">
        <v>1802</v>
      </c>
      <c r="U424" s="46"/>
      <c r="V424" s="46"/>
      <c r="W424" s="146"/>
    </row>
    <row r="425" spans="1:23" ht="15" customHeight="1">
      <c r="A425" s="143" t="str">
        <f t="shared" si="12"/>
        <v>AKH12345</v>
      </c>
      <c r="B425" s="144" t="s">
        <v>2646</v>
      </c>
      <c r="C425" s="143" t="s">
        <v>2647</v>
      </c>
      <c r="D425" s="105"/>
      <c r="E425" s="106"/>
      <c r="F425" s="105"/>
      <c r="G425" s="106"/>
      <c r="H425" s="175"/>
      <c r="I425" s="176" t="s">
        <v>847</v>
      </c>
      <c r="J425" s="176" t="s">
        <v>835</v>
      </c>
      <c r="K425" s="176" t="s">
        <v>1235</v>
      </c>
      <c r="L425" s="145" t="s">
        <v>1806</v>
      </c>
      <c r="M425" s="45" t="str">
        <f t="shared" si="13"/>
        <v>OneCo Networks AS</v>
      </c>
      <c r="N425" s="40" t="str">
        <f ca="1">IFERROR(
VLOOKUP(BoM_Griptel[[#This Row],[Product code]],
IF(AND((BoQ!$N$3&lt;&gt;""),OR(BoM_Griptel[[#This Row],[Vendor]]="Griptel",BoM_Griptel[[#This Row],[Vendor]]="Solar")),INDIRECT(Aux!$A$1)),4,FALSE),"")</f>
        <v/>
      </c>
      <c r="O425" s="169" t="s">
        <v>1807</v>
      </c>
      <c r="P425" s="41" t="str">
        <f>IFERROR(IF(AND(BoM_Griptel[[#This Row],[Quantity]]&lt;&gt;"",BoM_Griptel[[#This Row],[Currency]]="NOK"),BoM_Griptel[[#This Row],[Quantity]]*BoM_Griptel[[#This Row],[Unit Price]],""),"")</f>
        <v/>
      </c>
      <c r="Q425" s="41" t="str">
        <f>IFERROR(IF(AND(BoM_Griptel[[#This Row],[ACT_Qty]]&lt;&gt;"",BoM_Griptel[[#This Row],[Currency]]="NOK"),BoM_Griptel[[#This Row],[ACT_Qty]]*BoM_Griptel[[#This Row],[Unit Price]],""),"")</f>
        <v/>
      </c>
      <c r="R425" s="41" t="str">
        <f>IFERROR(IF(AND(BoM_Griptel[[#This Row],[Quantity]]&lt;&gt;"",BoM_Griptel[[#This Row],[Currency]]="EUR"),BoM_Griptel[[#This Row],[Quantity]]*BoM_Griptel[[#This Row],[Unit Price]],""),"")</f>
        <v/>
      </c>
      <c r="S425" s="41" t="str">
        <f>IFERROR(IF(AND(BoM_Griptel[[#This Row],[ACT_Qty]]&lt;&gt;"",BoM_Griptel[[#This Row],[Currency]]="EUR"),BoM_Griptel[[#This Row],[ACT_Qty]]*BoM_Griptel[[#This Row],[Unit Price]],""),"")</f>
        <v/>
      </c>
      <c r="T425" s="185" t="s">
        <v>1802</v>
      </c>
      <c r="U425" s="45"/>
      <c r="V425" s="45"/>
      <c r="W425" s="143"/>
    </row>
    <row r="426" spans="1:23" ht="15" customHeight="1">
      <c r="A426" s="146" t="str">
        <f t="shared" si="12"/>
        <v>AKH12345</v>
      </c>
      <c r="B426" s="147" t="s">
        <v>2648</v>
      </c>
      <c r="C426" s="146" t="s">
        <v>2649</v>
      </c>
      <c r="D426" s="68"/>
      <c r="E426" s="89"/>
      <c r="F426" s="68"/>
      <c r="G426" s="89"/>
      <c r="H426" s="177"/>
      <c r="I426" s="178" t="s">
        <v>847</v>
      </c>
      <c r="J426" s="178" t="s">
        <v>835</v>
      </c>
      <c r="K426" s="178" t="s">
        <v>1235</v>
      </c>
      <c r="L426" s="148" t="s">
        <v>1806</v>
      </c>
      <c r="M426" s="46" t="str">
        <f t="shared" si="13"/>
        <v>OneCo Networks AS</v>
      </c>
      <c r="N426" s="42" t="str">
        <f ca="1">IFERROR(
VLOOKUP(BoM_Griptel[[#This Row],[Product code]],
IF(AND((BoQ!$N$3&lt;&gt;""),OR(BoM_Griptel[[#This Row],[Vendor]]="Griptel",BoM_Griptel[[#This Row],[Vendor]]="Solar")),INDIRECT(Aux!$A$1)),4,FALSE),"")</f>
        <v/>
      </c>
      <c r="O426" s="170" t="s">
        <v>1807</v>
      </c>
      <c r="P426" s="43" t="str">
        <f>IFERROR(IF(AND(BoM_Griptel[[#This Row],[Quantity]]&lt;&gt;"",BoM_Griptel[[#This Row],[Currency]]="NOK"),BoM_Griptel[[#This Row],[Quantity]]*BoM_Griptel[[#This Row],[Unit Price]],""),"")</f>
        <v/>
      </c>
      <c r="Q426" s="43" t="str">
        <f>IFERROR(IF(AND(BoM_Griptel[[#This Row],[ACT_Qty]]&lt;&gt;"",BoM_Griptel[[#This Row],[Currency]]="NOK"),BoM_Griptel[[#This Row],[ACT_Qty]]*BoM_Griptel[[#This Row],[Unit Price]],""),"")</f>
        <v/>
      </c>
      <c r="R426" s="43" t="str">
        <f>IFERROR(IF(AND(BoM_Griptel[[#This Row],[Quantity]]&lt;&gt;"",BoM_Griptel[[#This Row],[Currency]]="EUR"),BoM_Griptel[[#This Row],[Quantity]]*BoM_Griptel[[#This Row],[Unit Price]],""),"")</f>
        <v/>
      </c>
      <c r="S426" s="43" t="str">
        <f>IFERROR(IF(AND(BoM_Griptel[[#This Row],[ACT_Qty]]&lt;&gt;"",BoM_Griptel[[#This Row],[Currency]]="EUR"),BoM_Griptel[[#This Row],[ACT_Qty]]*BoM_Griptel[[#This Row],[Unit Price]],""),"")</f>
        <v/>
      </c>
      <c r="T426" s="186" t="s">
        <v>1802</v>
      </c>
      <c r="U426" s="46"/>
      <c r="V426" s="46"/>
      <c r="W426" s="146"/>
    </row>
    <row r="427" spans="1:23" ht="15" customHeight="1">
      <c r="A427" s="143" t="str">
        <f t="shared" si="12"/>
        <v>AKH12345</v>
      </c>
      <c r="B427" s="144" t="s">
        <v>2650</v>
      </c>
      <c r="C427" s="143" t="s">
        <v>2651</v>
      </c>
      <c r="D427" s="105"/>
      <c r="E427" s="106"/>
      <c r="F427" s="105"/>
      <c r="G427" s="106"/>
      <c r="H427" s="175"/>
      <c r="I427" s="176" t="s">
        <v>847</v>
      </c>
      <c r="J427" s="176" t="s">
        <v>835</v>
      </c>
      <c r="K427" s="176" t="s">
        <v>1235</v>
      </c>
      <c r="L427" s="145" t="s">
        <v>1806</v>
      </c>
      <c r="M427" s="45" t="str">
        <f t="shared" si="13"/>
        <v>OneCo Networks AS</v>
      </c>
      <c r="N427" s="40" t="str">
        <f ca="1">IFERROR(
VLOOKUP(BoM_Griptel[[#This Row],[Product code]],
IF(AND((BoQ!$N$3&lt;&gt;""),OR(BoM_Griptel[[#This Row],[Vendor]]="Griptel",BoM_Griptel[[#This Row],[Vendor]]="Solar")),INDIRECT(Aux!$A$1)),4,FALSE),"")</f>
        <v/>
      </c>
      <c r="O427" s="169" t="s">
        <v>1807</v>
      </c>
      <c r="P427" s="41" t="str">
        <f>IFERROR(IF(AND(BoM_Griptel[[#This Row],[Quantity]]&lt;&gt;"",BoM_Griptel[[#This Row],[Currency]]="NOK"),BoM_Griptel[[#This Row],[Quantity]]*BoM_Griptel[[#This Row],[Unit Price]],""),"")</f>
        <v/>
      </c>
      <c r="Q427" s="41" t="str">
        <f>IFERROR(IF(AND(BoM_Griptel[[#This Row],[ACT_Qty]]&lt;&gt;"",BoM_Griptel[[#This Row],[Currency]]="NOK"),BoM_Griptel[[#This Row],[ACT_Qty]]*BoM_Griptel[[#This Row],[Unit Price]],""),"")</f>
        <v/>
      </c>
      <c r="R427" s="41" t="str">
        <f>IFERROR(IF(AND(BoM_Griptel[[#This Row],[Quantity]]&lt;&gt;"",BoM_Griptel[[#This Row],[Currency]]="EUR"),BoM_Griptel[[#This Row],[Quantity]]*BoM_Griptel[[#This Row],[Unit Price]],""),"")</f>
        <v/>
      </c>
      <c r="S427" s="41" t="str">
        <f>IFERROR(IF(AND(BoM_Griptel[[#This Row],[ACT_Qty]]&lt;&gt;"",BoM_Griptel[[#This Row],[Currency]]="EUR"),BoM_Griptel[[#This Row],[ACT_Qty]]*BoM_Griptel[[#This Row],[Unit Price]],""),"")</f>
        <v/>
      </c>
      <c r="T427" s="185" t="s">
        <v>1802</v>
      </c>
      <c r="U427" s="45"/>
      <c r="V427" s="45"/>
      <c r="W427" s="143"/>
    </row>
    <row r="428" spans="1:23" ht="15" customHeight="1">
      <c r="A428" s="146" t="str">
        <f t="shared" si="12"/>
        <v>AKH12345</v>
      </c>
      <c r="B428" s="147" t="s">
        <v>2652</v>
      </c>
      <c r="C428" s="146" t="s">
        <v>2653</v>
      </c>
      <c r="D428" s="68"/>
      <c r="E428" s="89"/>
      <c r="F428" s="68"/>
      <c r="G428" s="89"/>
      <c r="H428" s="177"/>
      <c r="I428" s="178" t="s">
        <v>847</v>
      </c>
      <c r="J428" s="178" t="s">
        <v>835</v>
      </c>
      <c r="K428" s="178" t="s">
        <v>1235</v>
      </c>
      <c r="L428" s="148" t="s">
        <v>1806</v>
      </c>
      <c r="M428" s="46" t="str">
        <f t="shared" si="13"/>
        <v>OneCo Networks AS</v>
      </c>
      <c r="N428" s="42" t="str">
        <f ca="1">IFERROR(
VLOOKUP(BoM_Griptel[[#This Row],[Product code]],
IF(AND((BoQ!$N$3&lt;&gt;""),OR(BoM_Griptel[[#This Row],[Vendor]]="Griptel",BoM_Griptel[[#This Row],[Vendor]]="Solar")),INDIRECT(Aux!$A$1)),4,FALSE),"")</f>
        <v/>
      </c>
      <c r="O428" s="170" t="s">
        <v>1807</v>
      </c>
      <c r="P428" s="43" t="str">
        <f>IFERROR(IF(AND(BoM_Griptel[[#This Row],[Quantity]]&lt;&gt;"",BoM_Griptel[[#This Row],[Currency]]="NOK"),BoM_Griptel[[#This Row],[Quantity]]*BoM_Griptel[[#This Row],[Unit Price]],""),"")</f>
        <v/>
      </c>
      <c r="Q428" s="43" t="str">
        <f>IFERROR(IF(AND(BoM_Griptel[[#This Row],[ACT_Qty]]&lt;&gt;"",BoM_Griptel[[#This Row],[Currency]]="NOK"),BoM_Griptel[[#This Row],[ACT_Qty]]*BoM_Griptel[[#This Row],[Unit Price]],""),"")</f>
        <v/>
      </c>
      <c r="R428" s="43" t="str">
        <f>IFERROR(IF(AND(BoM_Griptel[[#This Row],[Quantity]]&lt;&gt;"",BoM_Griptel[[#This Row],[Currency]]="EUR"),BoM_Griptel[[#This Row],[Quantity]]*BoM_Griptel[[#This Row],[Unit Price]],""),"")</f>
        <v/>
      </c>
      <c r="S428" s="43" t="str">
        <f>IFERROR(IF(AND(BoM_Griptel[[#This Row],[ACT_Qty]]&lt;&gt;"",BoM_Griptel[[#This Row],[Currency]]="EUR"),BoM_Griptel[[#This Row],[ACT_Qty]]*BoM_Griptel[[#This Row],[Unit Price]],""),"")</f>
        <v/>
      </c>
      <c r="T428" s="186" t="s">
        <v>1802</v>
      </c>
      <c r="U428" s="46"/>
      <c r="V428" s="46"/>
      <c r="W428" s="146"/>
    </row>
    <row r="429" spans="1:23" ht="15" customHeight="1">
      <c r="A429" s="143" t="str">
        <f t="shared" si="12"/>
        <v>AKH12345</v>
      </c>
      <c r="B429" s="144" t="s">
        <v>2654</v>
      </c>
      <c r="C429" s="143" t="s">
        <v>2655</v>
      </c>
      <c r="D429" s="105"/>
      <c r="E429" s="106"/>
      <c r="F429" s="105"/>
      <c r="G429" s="106"/>
      <c r="H429" s="175"/>
      <c r="I429" s="176" t="s">
        <v>847</v>
      </c>
      <c r="J429" s="176" t="s">
        <v>835</v>
      </c>
      <c r="K429" s="176" t="s">
        <v>1235</v>
      </c>
      <c r="L429" s="145" t="s">
        <v>1806</v>
      </c>
      <c r="M429" s="45" t="str">
        <f t="shared" si="13"/>
        <v>OneCo Networks AS</v>
      </c>
      <c r="N429" s="40" t="str">
        <f ca="1">IFERROR(
VLOOKUP(BoM_Griptel[[#This Row],[Product code]],
IF(AND((BoQ!$N$3&lt;&gt;""),OR(BoM_Griptel[[#This Row],[Vendor]]="Griptel",BoM_Griptel[[#This Row],[Vendor]]="Solar")),INDIRECT(Aux!$A$1)),4,FALSE),"")</f>
        <v/>
      </c>
      <c r="O429" s="169" t="s">
        <v>1807</v>
      </c>
      <c r="P429" s="41" t="str">
        <f>IFERROR(IF(AND(BoM_Griptel[[#This Row],[Quantity]]&lt;&gt;"",BoM_Griptel[[#This Row],[Currency]]="NOK"),BoM_Griptel[[#This Row],[Quantity]]*BoM_Griptel[[#This Row],[Unit Price]],""),"")</f>
        <v/>
      </c>
      <c r="Q429" s="41" t="str">
        <f>IFERROR(IF(AND(BoM_Griptel[[#This Row],[ACT_Qty]]&lt;&gt;"",BoM_Griptel[[#This Row],[Currency]]="NOK"),BoM_Griptel[[#This Row],[ACT_Qty]]*BoM_Griptel[[#This Row],[Unit Price]],""),"")</f>
        <v/>
      </c>
      <c r="R429" s="41" t="str">
        <f>IFERROR(IF(AND(BoM_Griptel[[#This Row],[Quantity]]&lt;&gt;"",BoM_Griptel[[#This Row],[Currency]]="EUR"),BoM_Griptel[[#This Row],[Quantity]]*BoM_Griptel[[#This Row],[Unit Price]],""),"")</f>
        <v/>
      </c>
      <c r="S429" s="41" t="str">
        <f>IFERROR(IF(AND(BoM_Griptel[[#This Row],[ACT_Qty]]&lt;&gt;"",BoM_Griptel[[#This Row],[Currency]]="EUR"),BoM_Griptel[[#This Row],[ACT_Qty]]*BoM_Griptel[[#This Row],[Unit Price]],""),"")</f>
        <v/>
      </c>
      <c r="T429" s="185" t="s">
        <v>1802</v>
      </c>
      <c r="U429" s="45"/>
      <c r="V429" s="45"/>
      <c r="W429" s="143"/>
    </row>
    <row r="430" spans="1:23" ht="15" customHeight="1">
      <c r="A430" s="146" t="str">
        <f t="shared" si="12"/>
        <v>AKH12345</v>
      </c>
      <c r="B430" s="147" t="s">
        <v>2656</v>
      </c>
      <c r="C430" s="146" t="s">
        <v>2657</v>
      </c>
      <c r="D430" s="68"/>
      <c r="E430" s="89"/>
      <c r="F430" s="68"/>
      <c r="G430" s="89"/>
      <c r="H430" s="177"/>
      <c r="I430" s="178" t="s">
        <v>847</v>
      </c>
      <c r="J430" s="178" t="s">
        <v>835</v>
      </c>
      <c r="K430" s="178" t="s">
        <v>1235</v>
      </c>
      <c r="L430" s="148" t="s">
        <v>1806</v>
      </c>
      <c r="M430" s="46" t="str">
        <f t="shared" si="13"/>
        <v>OneCo Networks AS</v>
      </c>
      <c r="N430" s="42" t="str">
        <f ca="1">IFERROR(
VLOOKUP(BoM_Griptel[[#This Row],[Product code]],
IF(AND((BoQ!$N$3&lt;&gt;""),OR(BoM_Griptel[[#This Row],[Vendor]]="Griptel",BoM_Griptel[[#This Row],[Vendor]]="Solar")),INDIRECT(Aux!$A$1)),4,FALSE),"")</f>
        <v/>
      </c>
      <c r="O430" s="170" t="s">
        <v>1807</v>
      </c>
      <c r="P430" s="43" t="str">
        <f>IFERROR(IF(AND(BoM_Griptel[[#This Row],[Quantity]]&lt;&gt;"",BoM_Griptel[[#This Row],[Currency]]="NOK"),BoM_Griptel[[#This Row],[Quantity]]*BoM_Griptel[[#This Row],[Unit Price]],""),"")</f>
        <v/>
      </c>
      <c r="Q430" s="43" t="str">
        <f>IFERROR(IF(AND(BoM_Griptel[[#This Row],[ACT_Qty]]&lt;&gt;"",BoM_Griptel[[#This Row],[Currency]]="NOK"),BoM_Griptel[[#This Row],[ACT_Qty]]*BoM_Griptel[[#This Row],[Unit Price]],""),"")</f>
        <v/>
      </c>
      <c r="R430" s="43" t="str">
        <f>IFERROR(IF(AND(BoM_Griptel[[#This Row],[Quantity]]&lt;&gt;"",BoM_Griptel[[#This Row],[Currency]]="EUR"),BoM_Griptel[[#This Row],[Quantity]]*BoM_Griptel[[#This Row],[Unit Price]],""),"")</f>
        <v/>
      </c>
      <c r="S430" s="43" t="str">
        <f>IFERROR(IF(AND(BoM_Griptel[[#This Row],[ACT_Qty]]&lt;&gt;"",BoM_Griptel[[#This Row],[Currency]]="EUR"),BoM_Griptel[[#This Row],[ACT_Qty]]*BoM_Griptel[[#This Row],[Unit Price]],""),"")</f>
        <v/>
      </c>
      <c r="T430" s="186" t="s">
        <v>1802</v>
      </c>
      <c r="U430" s="46"/>
      <c r="V430" s="46"/>
      <c r="W430" s="146"/>
    </row>
    <row r="431" spans="1:23" ht="15" customHeight="1">
      <c r="A431" s="143" t="str">
        <f t="shared" si="12"/>
        <v>AKH12345</v>
      </c>
      <c r="B431" s="144" t="s">
        <v>2658</v>
      </c>
      <c r="C431" s="143" t="s">
        <v>2659</v>
      </c>
      <c r="D431" s="105"/>
      <c r="E431" s="106"/>
      <c r="F431" s="105"/>
      <c r="G431" s="106"/>
      <c r="H431" s="175"/>
      <c r="I431" s="176" t="s">
        <v>847</v>
      </c>
      <c r="J431" s="176" t="s">
        <v>835</v>
      </c>
      <c r="K431" s="176" t="s">
        <v>1235</v>
      </c>
      <c r="L431" s="145" t="s">
        <v>1806</v>
      </c>
      <c r="M431" s="45" t="str">
        <f t="shared" si="13"/>
        <v>OneCo Networks AS</v>
      </c>
      <c r="N431" s="40" t="str">
        <f ca="1">IFERROR(
VLOOKUP(BoM_Griptel[[#This Row],[Product code]],
IF(AND((BoQ!$N$3&lt;&gt;""),OR(BoM_Griptel[[#This Row],[Vendor]]="Griptel",BoM_Griptel[[#This Row],[Vendor]]="Solar")),INDIRECT(Aux!$A$1)),4,FALSE),"")</f>
        <v/>
      </c>
      <c r="O431" s="169" t="s">
        <v>1807</v>
      </c>
      <c r="P431" s="41" t="str">
        <f>IFERROR(IF(AND(BoM_Griptel[[#This Row],[Quantity]]&lt;&gt;"",BoM_Griptel[[#This Row],[Currency]]="NOK"),BoM_Griptel[[#This Row],[Quantity]]*BoM_Griptel[[#This Row],[Unit Price]],""),"")</f>
        <v/>
      </c>
      <c r="Q431" s="41" t="str">
        <f>IFERROR(IF(AND(BoM_Griptel[[#This Row],[ACT_Qty]]&lt;&gt;"",BoM_Griptel[[#This Row],[Currency]]="NOK"),BoM_Griptel[[#This Row],[ACT_Qty]]*BoM_Griptel[[#This Row],[Unit Price]],""),"")</f>
        <v/>
      </c>
      <c r="R431" s="41" t="str">
        <f>IFERROR(IF(AND(BoM_Griptel[[#This Row],[Quantity]]&lt;&gt;"",BoM_Griptel[[#This Row],[Currency]]="EUR"),BoM_Griptel[[#This Row],[Quantity]]*BoM_Griptel[[#This Row],[Unit Price]],""),"")</f>
        <v/>
      </c>
      <c r="S431" s="41" t="str">
        <f>IFERROR(IF(AND(BoM_Griptel[[#This Row],[ACT_Qty]]&lt;&gt;"",BoM_Griptel[[#This Row],[Currency]]="EUR"),BoM_Griptel[[#This Row],[ACT_Qty]]*BoM_Griptel[[#This Row],[Unit Price]],""),"")</f>
        <v/>
      </c>
      <c r="T431" s="185" t="s">
        <v>1802</v>
      </c>
      <c r="U431" s="45"/>
      <c r="V431" s="45"/>
      <c r="W431" s="143"/>
    </row>
    <row r="432" spans="1:23" ht="15" customHeight="1">
      <c r="A432" s="146" t="str">
        <f t="shared" si="12"/>
        <v>AKH12345</v>
      </c>
      <c r="B432" s="147" t="s">
        <v>2660</v>
      </c>
      <c r="C432" s="146" t="s">
        <v>2661</v>
      </c>
      <c r="D432" s="68"/>
      <c r="E432" s="89"/>
      <c r="F432" s="68"/>
      <c r="G432" s="89"/>
      <c r="H432" s="177"/>
      <c r="I432" s="178" t="s">
        <v>847</v>
      </c>
      <c r="J432" s="178" t="s">
        <v>835</v>
      </c>
      <c r="K432" s="178" t="s">
        <v>1235</v>
      </c>
      <c r="L432" s="148" t="s">
        <v>1806</v>
      </c>
      <c r="M432" s="46" t="str">
        <f t="shared" si="13"/>
        <v>OneCo Networks AS</v>
      </c>
      <c r="N432" s="42" t="str">
        <f ca="1">IFERROR(
VLOOKUP(BoM_Griptel[[#This Row],[Product code]],
IF(AND((BoQ!$N$3&lt;&gt;""),OR(BoM_Griptel[[#This Row],[Vendor]]="Griptel",BoM_Griptel[[#This Row],[Vendor]]="Solar")),INDIRECT(Aux!$A$1)),4,FALSE),"")</f>
        <v/>
      </c>
      <c r="O432" s="170" t="s">
        <v>1807</v>
      </c>
      <c r="P432" s="43" t="str">
        <f>IFERROR(IF(AND(BoM_Griptel[[#This Row],[Quantity]]&lt;&gt;"",BoM_Griptel[[#This Row],[Currency]]="NOK"),BoM_Griptel[[#This Row],[Quantity]]*BoM_Griptel[[#This Row],[Unit Price]],""),"")</f>
        <v/>
      </c>
      <c r="Q432" s="43" t="str">
        <f>IFERROR(IF(AND(BoM_Griptel[[#This Row],[ACT_Qty]]&lt;&gt;"",BoM_Griptel[[#This Row],[Currency]]="NOK"),BoM_Griptel[[#This Row],[ACT_Qty]]*BoM_Griptel[[#This Row],[Unit Price]],""),"")</f>
        <v/>
      </c>
      <c r="R432" s="43" t="str">
        <f>IFERROR(IF(AND(BoM_Griptel[[#This Row],[Quantity]]&lt;&gt;"",BoM_Griptel[[#This Row],[Currency]]="EUR"),BoM_Griptel[[#This Row],[Quantity]]*BoM_Griptel[[#This Row],[Unit Price]],""),"")</f>
        <v/>
      </c>
      <c r="S432" s="43" t="str">
        <f>IFERROR(IF(AND(BoM_Griptel[[#This Row],[ACT_Qty]]&lt;&gt;"",BoM_Griptel[[#This Row],[Currency]]="EUR"),BoM_Griptel[[#This Row],[ACT_Qty]]*BoM_Griptel[[#This Row],[Unit Price]],""),"")</f>
        <v/>
      </c>
      <c r="T432" s="186" t="s">
        <v>1802</v>
      </c>
      <c r="U432" s="46"/>
      <c r="V432" s="46"/>
      <c r="W432" s="146"/>
    </row>
    <row r="433" spans="1:23" ht="15" customHeight="1">
      <c r="A433" s="143" t="str">
        <f t="shared" si="12"/>
        <v>AKH12345</v>
      </c>
      <c r="B433" s="144" t="s">
        <v>2662</v>
      </c>
      <c r="C433" s="143" t="s">
        <v>2663</v>
      </c>
      <c r="D433" s="105"/>
      <c r="E433" s="106"/>
      <c r="F433" s="105"/>
      <c r="G433" s="106"/>
      <c r="H433" s="175"/>
      <c r="I433" s="176" t="s">
        <v>847</v>
      </c>
      <c r="J433" s="176" t="s">
        <v>835</v>
      </c>
      <c r="K433" s="176" t="s">
        <v>1235</v>
      </c>
      <c r="L433" s="145" t="s">
        <v>1806</v>
      </c>
      <c r="M433" s="45" t="str">
        <f t="shared" si="13"/>
        <v>OneCo Networks AS</v>
      </c>
      <c r="N433" s="40" t="str">
        <f ca="1">IFERROR(
VLOOKUP(BoM_Griptel[[#This Row],[Product code]],
IF(AND((BoQ!$N$3&lt;&gt;""),OR(BoM_Griptel[[#This Row],[Vendor]]="Griptel",BoM_Griptel[[#This Row],[Vendor]]="Solar")),INDIRECT(Aux!$A$1)),4,FALSE),"")</f>
        <v/>
      </c>
      <c r="O433" s="169" t="s">
        <v>1807</v>
      </c>
      <c r="P433" s="41" t="str">
        <f>IFERROR(IF(AND(BoM_Griptel[[#This Row],[Quantity]]&lt;&gt;"",BoM_Griptel[[#This Row],[Currency]]="NOK"),BoM_Griptel[[#This Row],[Quantity]]*BoM_Griptel[[#This Row],[Unit Price]],""),"")</f>
        <v/>
      </c>
      <c r="Q433" s="41" t="str">
        <f>IFERROR(IF(AND(BoM_Griptel[[#This Row],[ACT_Qty]]&lt;&gt;"",BoM_Griptel[[#This Row],[Currency]]="NOK"),BoM_Griptel[[#This Row],[ACT_Qty]]*BoM_Griptel[[#This Row],[Unit Price]],""),"")</f>
        <v/>
      </c>
      <c r="R433" s="41" t="str">
        <f>IFERROR(IF(AND(BoM_Griptel[[#This Row],[Quantity]]&lt;&gt;"",BoM_Griptel[[#This Row],[Currency]]="EUR"),BoM_Griptel[[#This Row],[Quantity]]*BoM_Griptel[[#This Row],[Unit Price]],""),"")</f>
        <v/>
      </c>
      <c r="S433" s="41" t="str">
        <f>IFERROR(IF(AND(BoM_Griptel[[#This Row],[ACT_Qty]]&lt;&gt;"",BoM_Griptel[[#This Row],[Currency]]="EUR"),BoM_Griptel[[#This Row],[ACT_Qty]]*BoM_Griptel[[#This Row],[Unit Price]],""),"")</f>
        <v/>
      </c>
      <c r="T433" s="185" t="s">
        <v>1802</v>
      </c>
      <c r="U433" s="45"/>
      <c r="V433" s="45"/>
      <c r="W433" s="143"/>
    </row>
    <row r="434" spans="1:23" ht="15" customHeight="1">
      <c r="A434" s="146" t="str">
        <f t="shared" si="12"/>
        <v>AKH12345</v>
      </c>
      <c r="B434" s="147" t="s">
        <v>2664</v>
      </c>
      <c r="C434" s="146" t="s">
        <v>2665</v>
      </c>
      <c r="D434" s="68"/>
      <c r="E434" s="89"/>
      <c r="F434" s="68"/>
      <c r="G434" s="89"/>
      <c r="H434" s="177"/>
      <c r="I434" s="178" t="s">
        <v>847</v>
      </c>
      <c r="J434" s="178" t="s">
        <v>835</v>
      </c>
      <c r="K434" s="178" t="s">
        <v>1235</v>
      </c>
      <c r="L434" s="148" t="s">
        <v>1806</v>
      </c>
      <c r="M434" s="46" t="str">
        <f t="shared" si="13"/>
        <v>OneCo Networks AS</v>
      </c>
      <c r="N434" s="42" t="str">
        <f ca="1">IFERROR(
VLOOKUP(BoM_Griptel[[#This Row],[Product code]],
IF(AND((BoQ!$N$3&lt;&gt;""),OR(BoM_Griptel[[#This Row],[Vendor]]="Griptel",BoM_Griptel[[#This Row],[Vendor]]="Solar")),INDIRECT(Aux!$A$1)),4,FALSE),"")</f>
        <v/>
      </c>
      <c r="O434" s="170" t="s">
        <v>1807</v>
      </c>
      <c r="P434" s="43" t="str">
        <f>IFERROR(IF(AND(BoM_Griptel[[#This Row],[Quantity]]&lt;&gt;"",BoM_Griptel[[#This Row],[Currency]]="NOK"),BoM_Griptel[[#This Row],[Quantity]]*BoM_Griptel[[#This Row],[Unit Price]],""),"")</f>
        <v/>
      </c>
      <c r="Q434" s="43" t="str">
        <f>IFERROR(IF(AND(BoM_Griptel[[#This Row],[ACT_Qty]]&lt;&gt;"",BoM_Griptel[[#This Row],[Currency]]="NOK"),BoM_Griptel[[#This Row],[ACT_Qty]]*BoM_Griptel[[#This Row],[Unit Price]],""),"")</f>
        <v/>
      </c>
      <c r="R434" s="43" t="str">
        <f>IFERROR(IF(AND(BoM_Griptel[[#This Row],[Quantity]]&lt;&gt;"",BoM_Griptel[[#This Row],[Currency]]="EUR"),BoM_Griptel[[#This Row],[Quantity]]*BoM_Griptel[[#This Row],[Unit Price]],""),"")</f>
        <v/>
      </c>
      <c r="S434" s="43" t="str">
        <f>IFERROR(IF(AND(BoM_Griptel[[#This Row],[ACT_Qty]]&lt;&gt;"",BoM_Griptel[[#This Row],[Currency]]="EUR"),BoM_Griptel[[#This Row],[ACT_Qty]]*BoM_Griptel[[#This Row],[Unit Price]],""),"")</f>
        <v/>
      </c>
      <c r="T434" s="186" t="s">
        <v>1802</v>
      </c>
      <c r="U434" s="46"/>
      <c r="V434" s="46"/>
      <c r="W434" s="146"/>
    </row>
    <row r="435" spans="1:23" ht="15" customHeight="1">
      <c r="A435" s="143" t="str">
        <f t="shared" si="12"/>
        <v>AKH12345</v>
      </c>
      <c r="B435" s="144" t="s">
        <v>2666</v>
      </c>
      <c r="C435" s="143" t="s">
        <v>2667</v>
      </c>
      <c r="D435" s="105"/>
      <c r="E435" s="106"/>
      <c r="F435" s="105"/>
      <c r="G435" s="106"/>
      <c r="H435" s="175"/>
      <c r="I435" s="176" t="s">
        <v>847</v>
      </c>
      <c r="J435" s="176" t="s">
        <v>835</v>
      </c>
      <c r="K435" s="176" t="s">
        <v>1235</v>
      </c>
      <c r="L435" s="145" t="s">
        <v>1806</v>
      </c>
      <c r="M435" s="45" t="str">
        <f t="shared" si="13"/>
        <v>OneCo Networks AS</v>
      </c>
      <c r="N435" s="40" t="str">
        <f ca="1">IFERROR(
VLOOKUP(BoM_Griptel[[#This Row],[Product code]],
IF(AND((BoQ!$N$3&lt;&gt;""),OR(BoM_Griptel[[#This Row],[Vendor]]="Griptel",BoM_Griptel[[#This Row],[Vendor]]="Solar")),INDIRECT(Aux!$A$1)),4,FALSE),"")</f>
        <v/>
      </c>
      <c r="O435" s="169" t="s">
        <v>1807</v>
      </c>
      <c r="P435" s="41" t="str">
        <f>IFERROR(IF(AND(BoM_Griptel[[#This Row],[Quantity]]&lt;&gt;"",BoM_Griptel[[#This Row],[Currency]]="NOK"),BoM_Griptel[[#This Row],[Quantity]]*BoM_Griptel[[#This Row],[Unit Price]],""),"")</f>
        <v/>
      </c>
      <c r="Q435" s="41" t="str">
        <f>IFERROR(IF(AND(BoM_Griptel[[#This Row],[ACT_Qty]]&lt;&gt;"",BoM_Griptel[[#This Row],[Currency]]="NOK"),BoM_Griptel[[#This Row],[ACT_Qty]]*BoM_Griptel[[#This Row],[Unit Price]],""),"")</f>
        <v/>
      </c>
      <c r="R435" s="41" t="str">
        <f>IFERROR(IF(AND(BoM_Griptel[[#This Row],[Quantity]]&lt;&gt;"",BoM_Griptel[[#This Row],[Currency]]="EUR"),BoM_Griptel[[#This Row],[Quantity]]*BoM_Griptel[[#This Row],[Unit Price]],""),"")</f>
        <v/>
      </c>
      <c r="S435" s="41" t="str">
        <f>IFERROR(IF(AND(BoM_Griptel[[#This Row],[ACT_Qty]]&lt;&gt;"",BoM_Griptel[[#This Row],[Currency]]="EUR"),BoM_Griptel[[#This Row],[ACT_Qty]]*BoM_Griptel[[#This Row],[Unit Price]],""),"")</f>
        <v/>
      </c>
      <c r="T435" s="185" t="s">
        <v>1802</v>
      </c>
      <c r="U435" s="45"/>
      <c r="V435" s="45"/>
      <c r="W435" s="143"/>
    </row>
    <row r="436" spans="1:23" ht="15" customHeight="1">
      <c r="A436" s="146" t="str">
        <f t="shared" si="12"/>
        <v>AKH12345</v>
      </c>
      <c r="B436" s="147" t="s">
        <v>2668</v>
      </c>
      <c r="C436" s="146" t="s">
        <v>2669</v>
      </c>
      <c r="D436" s="68"/>
      <c r="E436" s="89"/>
      <c r="F436" s="68"/>
      <c r="G436" s="89"/>
      <c r="H436" s="177"/>
      <c r="I436" s="178" t="s">
        <v>847</v>
      </c>
      <c r="J436" s="178" t="s">
        <v>835</v>
      </c>
      <c r="K436" s="178" t="s">
        <v>1235</v>
      </c>
      <c r="L436" s="148" t="s">
        <v>1806</v>
      </c>
      <c r="M436" s="46" t="str">
        <f t="shared" si="13"/>
        <v>OneCo Networks AS</v>
      </c>
      <c r="N436" s="42" t="str">
        <f ca="1">IFERROR(
VLOOKUP(BoM_Griptel[[#This Row],[Product code]],
IF(AND((BoQ!$N$3&lt;&gt;""),OR(BoM_Griptel[[#This Row],[Vendor]]="Griptel",BoM_Griptel[[#This Row],[Vendor]]="Solar")),INDIRECT(Aux!$A$1)),4,FALSE),"")</f>
        <v/>
      </c>
      <c r="O436" s="170" t="s">
        <v>1807</v>
      </c>
      <c r="P436" s="43" t="str">
        <f>IFERROR(IF(AND(BoM_Griptel[[#This Row],[Quantity]]&lt;&gt;"",BoM_Griptel[[#This Row],[Currency]]="NOK"),BoM_Griptel[[#This Row],[Quantity]]*BoM_Griptel[[#This Row],[Unit Price]],""),"")</f>
        <v/>
      </c>
      <c r="Q436" s="43" t="str">
        <f>IFERROR(IF(AND(BoM_Griptel[[#This Row],[ACT_Qty]]&lt;&gt;"",BoM_Griptel[[#This Row],[Currency]]="NOK"),BoM_Griptel[[#This Row],[ACT_Qty]]*BoM_Griptel[[#This Row],[Unit Price]],""),"")</f>
        <v/>
      </c>
      <c r="R436" s="43" t="str">
        <f>IFERROR(IF(AND(BoM_Griptel[[#This Row],[Quantity]]&lt;&gt;"",BoM_Griptel[[#This Row],[Currency]]="EUR"),BoM_Griptel[[#This Row],[Quantity]]*BoM_Griptel[[#This Row],[Unit Price]],""),"")</f>
        <v/>
      </c>
      <c r="S436" s="43" t="str">
        <f>IFERROR(IF(AND(BoM_Griptel[[#This Row],[ACT_Qty]]&lt;&gt;"",BoM_Griptel[[#This Row],[Currency]]="EUR"),BoM_Griptel[[#This Row],[ACT_Qty]]*BoM_Griptel[[#This Row],[Unit Price]],""),"")</f>
        <v/>
      </c>
      <c r="T436" s="186" t="s">
        <v>1802</v>
      </c>
      <c r="U436" s="46"/>
      <c r="V436" s="46"/>
      <c r="W436" s="146"/>
    </row>
    <row r="437" spans="1:23" ht="15" customHeight="1">
      <c r="A437" s="143" t="str">
        <f t="shared" si="12"/>
        <v>AKH12345</v>
      </c>
      <c r="B437" s="144" t="s">
        <v>2670</v>
      </c>
      <c r="C437" s="143" t="s">
        <v>2671</v>
      </c>
      <c r="D437" s="105"/>
      <c r="E437" s="106"/>
      <c r="F437" s="105"/>
      <c r="G437" s="106"/>
      <c r="H437" s="175"/>
      <c r="I437" s="176" t="s">
        <v>847</v>
      </c>
      <c r="J437" s="176" t="s">
        <v>835</v>
      </c>
      <c r="K437" s="176" t="s">
        <v>1235</v>
      </c>
      <c r="L437" s="145" t="s">
        <v>1806</v>
      </c>
      <c r="M437" s="45" t="str">
        <f t="shared" si="13"/>
        <v>OneCo Networks AS</v>
      </c>
      <c r="N437" s="40" t="str">
        <f ca="1">IFERROR(
VLOOKUP(BoM_Griptel[[#This Row],[Product code]],
IF(AND((BoQ!$N$3&lt;&gt;""),OR(BoM_Griptel[[#This Row],[Vendor]]="Griptel",BoM_Griptel[[#This Row],[Vendor]]="Solar")),INDIRECT(Aux!$A$1)),4,FALSE),"")</f>
        <v/>
      </c>
      <c r="O437" s="169" t="s">
        <v>1807</v>
      </c>
      <c r="P437" s="41" t="str">
        <f>IFERROR(IF(AND(BoM_Griptel[[#This Row],[Quantity]]&lt;&gt;"",BoM_Griptel[[#This Row],[Currency]]="NOK"),BoM_Griptel[[#This Row],[Quantity]]*BoM_Griptel[[#This Row],[Unit Price]],""),"")</f>
        <v/>
      </c>
      <c r="Q437" s="41" t="str">
        <f>IFERROR(IF(AND(BoM_Griptel[[#This Row],[ACT_Qty]]&lt;&gt;"",BoM_Griptel[[#This Row],[Currency]]="NOK"),BoM_Griptel[[#This Row],[ACT_Qty]]*BoM_Griptel[[#This Row],[Unit Price]],""),"")</f>
        <v/>
      </c>
      <c r="R437" s="41" t="str">
        <f>IFERROR(IF(AND(BoM_Griptel[[#This Row],[Quantity]]&lt;&gt;"",BoM_Griptel[[#This Row],[Currency]]="EUR"),BoM_Griptel[[#This Row],[Quantity]]*BoM_Griptel[[#This Row],[Unit Price]],""),"")</f>
        <v/>
      </c>
      <c r="S437" s="41" t="str">
        <f>IFERROR(IF(AND(BoM_Griptel[[#This Row],[ACT_Qty]]&lt;&gt;"",BoM_Griptel[[#This Row],[Currency]]="EUR"),BoM_Griptel[[#This Row],[ACT_Qty]]*BoM_Griptel[[#This Row],[Unit Price]],""),"")</f>
        <v/>
      </c>
      <c r="T437" s="185" t="s">
        <v>1802</v>
      </c>
      <c r="U437" s="45"/>
      <c r="V437" s="45"/>
      <c r="W437" s="143"/>
    </row>
    <row r="438" spans="1:23" ht="15" customHeight="1">
      <c r="A438" s="146" t="str">
        <f t="shared" si="12"/>
        <v>AKH12345</v>
      </c>
      <c r="B438" s="147" t="s">
        <v>2672</v>
      </c>
      <c r="C438" s="146" t="s">
        <v>2673</v>
      </c>
      <c r="D438" s="68"/>
      <c r="E438" s="89"/>
      <c r="F438" s="68"/>
      <c r="G438" s="89"/>
      <c r="H438" s="177"/>
      <c r="I438" s="178" t="s">
        <v>847</v>
      </c>
      <c r="J438" s="178" t="s">
        <v>835</v>
      </c>
      <c r="K438" s="178" t="s">
        <v>1235</v>
      </c>
      <c r="L438" s="148" t="s">
        <v>1806</v>
      </c>
      <c r="M438" s="46" t="str">
        <f t="shared" si="13"/>
        <v>OneCo Networks AS</v>
      </c>
      <c r="N438" s="42" t="str">
        <f ca="1">IFERROR(
VLOOKUP(BoM_Griptel[[#This Row],[Product code]],
IF(AND((BoQ!$N$3&lt;&gt;""),OR(BoM_Griptel[[#This Row],[Vendor]]="Griptel",BoM_Griptel[[#This Row],[Vendor]]="Solar")),INDIRECT(Aux!$A$1)),4,FALSE),"")</f>
        <v/>
      </c>
      <c r="O438" s="170" t="s">
        <v>1807</v>
      </c>
      <c r="P438" s="43" t="str">
        <f>IFERROR(IF(AND(BoM_Griptel[[#This Row],[Quantity]]&lt;&gt;"",BoM_Griptel[[#This Row],[Currency]]="NOK"),BoM_Griptel[[#This Row],[Quantity]]*BoM_Griptel[[#This Row],[Unit Price]],""),"")</f>
        <v/>
      </c>
      <c r="Q438" s="43" t="str">
        <f>IFERROR(IF(AND(BoM_Griptel[[#This Row],[ACT_Qty]]&lt;&gt;"",BoM_Griptel[[#This Row],[Currency]]="NOK"),BoM_Griptel[[#This Row],[ACT_Qty]]*BoM_Griptel[[#This Row],[Unit Price]],""),"")</f>
        <v/>
      </c>
      <c r="R438" s="43" t="str">
        <f>IFERROR(IF(AND(BoM_Griptel[[#This Row],[Quantity]]&lt;&gt;"",BoM_Griptel[[#This Row],[Currency]]="EUR"),BoM_Griptel[[#This Row],[Quantity]]*BoM_Griptel[[#This Row],[Unit Price]],""),"")</f>
        <v/>
      </c>
      <c r="S438" s="43" t="str">
        <f>IFERROR(IF(AND(BoM_Griptel[[#This Row],[ACT_Qty]]&lt;&gt;"",BoM_Griptel[[#This Row],[Currency]]="EUR"),BoM_Griptel[[#This Row],[ACT_Qty]]*BoM_Griptel[[#This Row],[Unit Price]],""),"")</f>
        <v/>
      </c>
      <c r="T438" s="186" t="s">
        <v>1802</v>
      </c>
      <c r="U438" s="46"/>
      <c r="V438" s="46"/>
      <c r="W438" s="146"/>
    </row>
    <row r="439" spans="1:23" ht="15" customHeight="1">
      <c r="A439" s="143" t="str">
        <f t="shared" si="12"/>
        <v>AKH12345</v>
      </c>
      <c r="B439" s="144" t="s">
        <v>2674</v>
      </c>
      <c r="C439" s="143" t="s">
        <v>2675</v>
      </c>
      <c r="D439" s="105"/>
      <c r="E439" s="106"/>
      <c r="F439" s="105"/>
      <c r="G439" s="106"/>
      <c r="H439" s="175"/>
      <c r="I439" s="176" t="s">
        <v>847</v>
      </c>
      <c r="J439" s="176" t="s">
        <v>835</v>
      </c>
      <c r="K439" s="176" t="s">
        <v>1235</v>
      </c>
      <c r="L439" s="145" t="s">
        <v>1806</v>
      </c>
      <c r="M439" s="45" t="str">
        <f t="shared" si="13"/>
        <v>OneCo Networks AS</v>
      </c>
      <c r="N439" s="40" t="str">
        <f ca="1">IFERROR(
VLOOKUP(BoM_Griptel[[#This Row],[Product code]],
IF(AND((BoQ!$N$3&lt;&gt;""),OR(BoM_Griptel[[#This Row],[Vendor]]="Griptel",BoM_Griptel[[#This Row],[Vendor]]="Solar")),INDIRECT(Aux!$A$1)),4,FALSE),"")</f>
        <v/>
      </c>
      <c r="O439" s="169" t="s">
        <v>1807</v>
      </c>
      <c r="P439" s="41" t="str">
        <f>IFERROR(IF(AND(BoM_Griptel[[#This Row],[Quantity]]&lt;&gt;"",BoM_Griptel[[#This Row],[Currency]]="NOK"),BoM_Griptel[[#This Row],[Quantity]]*BoM_Griptel[[#This Row],[Unit Price]],""),"")</f>
        <v/>
      </c>
      <c r="Q439" s="41" t="str">
        <f>IFERROR(IF(AND(BoM_Griptel[[#This Row],[ACT_Qty]]&lt;&gt;"",BoM_Griptel[[#This Row],[Currency]]="NOK"),BoM_Griptel[[#This Row],[ACT_Qty]]*BoM_Griptel[[#This Row],[Unit Price]],""),"")</f>
        <v/>
      </c>
      <c r="R439" s="41" t="str">
        <f>IFERROR(IF(AND(BoM_Griptel[[#This Row],[Quantity]]&lt;&gt;"",BoM_Griptel[[#This Row],[Currency]]="EUR"),BoM_Griptel[[#This Row],[Quantity]]*BoM_Griptel[[#This Row],[Unit Price]],""),"")</f>
        <v/>
      </c>
      <c r="S439" s="41" t="str">
        <f>IFERROR(IF(AND(BoM_Griptel[[#This Row],[ACT_Qty]]&lt;&gt;"",BoM_Griptel[[#This Row],[Currency]]="EUR"),BoM_Griptel[[#This Row],[ACT_Qty]]*BoM_Griptel[[#This Row],[Unit Price]],""),"")</f>
        <v/>
      </c>
      <c r="T439" s="185" t="s">
        <v>1802</v>
      </c>
      <c r="U439" s="45"/>
      <c r="V439" s="45"/>
      <c r="W439" s="143"/>
    </row>
    <row r="440" spans="1:23" ht="15" customHeight="1">
      <c r="A440" s="146" t="str">
        <f t="shared" si="12"/>
        <v>AKH12345</v>
      </c>
      <c r="B440" s="147" t="s">
        <v>2676</v>
      </c>
      <c r="C440" s="146" t="s">
        <v>2677</v>
      </c>
      <c r="D440" s="68"/>
      <c r="E440" s="89"/>
      <c r="F440" s="68"/>
      <c r="G440" s="89"/>
      <c r="H440" s="177"/>
      <c r="I440" s="178" t="s">
        <v>847</v>
      </c>
      <c r="J440" s="178" t="s">
        <v>835</v>
      </c>
      <c r="K440" s="178" t="s">
        <v>1235</v>
      </c>
      <c r="L440" s="148" t="s">
        <v>1806</v>
      </c>
      <c r="M440" s="46" t="str">
        <f t="shared" si="13"/>
        <v>OneCo Networks AS</v>
      </c>
      <c r="N440" s="42" t="str">
        <f ca="1">IFERROR(
VLOOKUP(BoM_Griptel[[#This Row],[Product code]],
IF(AND((BoQ!$N$3&lt;&gt;""),OR(BoM_Griptel[[#This Row],[Vendor]]="Griptel",BoM_Griptel[[#This Row],[Vendor]]="Solar")),INDIRECT(Aux!$A$1)),4,FALSE),"")</f>
        <v/>
      </c>
      <c r="O440" s="170" t="s">
        <v>1807</v>
      </c>
      <c r="P440" s="43" t="str">
        <f>IFERROR(IF(AND(BoM_Griptel[[#This Row],[Quantity]]&lt;&gt;"",BoM_Griptel[[#This Row],[Currency]]="NOK"),BoM_Griptel[[#This Row],[Quantity]]*BoM_Griptel[[#This Row],[Unit Price]],""),"")</f>
        <v/>
      </c>
      <c r="Q440" s="43" t="str">
        <f>IFERROR(IF(AND(BoM_Griptel[[#This Row],[ACT_Qty]]&lt;&gt;"",BoM_Griptel[[#This Row],[Currency]]="NOK"),BoM_Griptel[[#This Row],[ACT_Qty]]*BoM_Griptel[[#This Row],[Unit Price]],""),"")</f>
        <v/>
      </c>
      <c r="R440" s="43" t="str">
        <f>IFERROR(IF(AND(BoM_Griptel[[#This Row],[Quantity]]&lt;&gt;"",BoM_Griptel[[#This Row],[Currency]]="EUR"),BoM_Griptel[[#This Row],[Quantity]]*BoM_Griptel[[#This Row],[Unit Price]],""),"")</f>
        <v/>
      </c>
      <c r="S440" s="43" t="str">
        <f>IFERROR(IF(AND(BoM_Griptel[[#This Row],[ACT_Qty]]&lt;&gt;"",BoM_Griptel[[#This Row],[Currency]]="EUR"),BoM_Griptel[[#This Row],[ACT_Qty]]*BoM_Griptel[[#This Row],[Unit Price]],""),"")</f>
        <v/>
      </c>
      <c r="T440" s="186" t="s">
        <v>1802</v>
      </c>
      <c r="U440" s="46"/>
      <c r="V440" s="46"/>
      <c r="W440" s="146"/>
    </row>
    <row r="441" spans="1:23" ht="15" customHeight="1">
      <c r="A441" s="143" t="str">
        <f t="shared" si="12"/>
        <v>AKH12345</v>
      </c>
      <c r="B441" s="144" t="s">
        <v>2678</v>
      </c>
      <c r="C441" s="143" t="s">
        <v>2679</v>
      </c>
      <c r="D441" s="105"/>
      <c r="E441" s="106"/>
      <c r="F441" s="105"/>
      <c r="G441" s="106"/>
      <c r="H441" s="175"/>
      <c r="I441" s="176" t="s">
        <v>847</v>
      </c>
      <c r="J441" s="176" t="s">
        <v>835</v>
      </c>
      <c r="K441" s="176" t="s">
        <v>1235</v>
      </c>
      <c r="L441" s="145" t="s">
        <v>1806</v>
      </c>
      <c r="M441" s="45" t="str">
        <f t="shared" si="13"/>
        <v>OneCo Networks AS</v>
      </c>
      <c r="N441" s="40" t="str">
        <f ca="1">IFERROR(
VLOOKUP(BoM_Griptel[[#This Row],[Product code]],
IF(AND((BoQ!$N$3&lt;&gt;""),OR(BoM_Griptel[[#This Row],[Vendor]]="Griptel",BoM_Griptel[[#This Row],[Vendor]]="Solar")),INDIRECT(Aux!$A$1)),4,FALSE),"")</f>
        <v/>
      </c>
      <c r="O441" s="169" t="s">
        <v>1807</v>
      </c>
      <c r="P441" s="41" t="str">
        <f>IFERROR(IF(AND(BoM_Griptel[[#This Row],[Quantity]]&lt;&gt;"",BoM_Griptel[[#This Row],[Currency]]="NOK"),BoM_Griptel[[#This Row],[Quantity]]*BoM_Griptel[[#This Row],[Unit Price]],""),"")</f>
        <v/>
      </c>
      <c r="Q441" s="41" t="str">
        <f>IFERROR(IF(AND(BoM_Griptel[[#This Row],[ACT_Qty]]&lt;&gt;"",BoM_Griptel[[#This Row],[Currency]]="NOK"),BoM_Griptel[[#This Row],[ACT_Qty]]*BoM_Griptel[[#This Row],[Unit Price]],""),"")</f>
        <v/>
      </c>
      <c r="R441" s="41" t="str">
        <f>IFERROR(IF(AND(BoM_Griptel[[#This Row],[Quantity]]&lt;&gt;"",BoM_Griptel[[#This Row],[Currency]]="EUR"),BoM_Griptel[[#This Row],[Quantity]]*BoM_Griptel[[#This Row],[Unit Price]],""),"")</f>
        <v/>
      </c>
      <c r="S441" s="41" t="str">
        <f>IFERROR(IF(AND(BoM_Griptel[[#This Row],[ACT_Qty]]&lt;&gt;"",BoM_Griptel[[#This Row],[Currency]]="EUR"),BoM_Griptel[[#This Row],[ACT_Qty]]*BoM_Griptel[[#This Row],[Unit Price]],""),"")</f>
        <v/>
      </c>
      <c r="T441" s="185" t="s">
        <v>1802</v>
      </c>
      <c r="U441" s="45"/>
      <c r="V441" s="45"/>
      <c r="W441" s="143"/>
    </row>
    <row r="442" spans="1:23" ht="15" customHeight="1">
      <c r="A442" s="146" t="str">
        <f t="shared" si="12"/>
        <v>AKH12345</v>
      </c>
      <c r="B442" s="147" t="s">
        <v>2680</v>
      </c>
      <c r="C442" s="146" t="s">
        <v>2681</v>
      </c>
      <c r="D442" s="68"/>
      <c r="E442" s="89"/>
      <c r="F442" s="68"/>
      <c r="G442" s="89"/>
      <c r="H442" s="177"/>
      <c r="I442" s="178" t="s">
        <v>847</v>
      </c>
      <c r="J442" s="178" t="s">
        <v>835</v>
      </c>
      <c r="K442" s="178" t="s">
        <v>1235</v>
      </c>
      <c r="L442" s="148" t="s">
        <v>1806</v>
      </c>
      <c r="M442" s="46" t="str">
        <f t="shared" si="13"/>
        <v>OneCo Networks AS</v>
      </c>
      <c r="N442" s="42" t="str">
        <f ca="1">IFERROR(
VLOOKUP(BoM_Griptel[[#This Row],[Product code]],
IF(AND((BoQ!$N$3&lt;&gt;""),OR(BoM_Griptel[[#This Row],[Vendor]]="Griptel",BoM_Griptel[[#This Row],[Vendor]]="Solar")),INDIRECT(Aux!$A$1)),4,FALSE),"")</f>
        <v/>
      </c>
      <c r="O442" s="170" t="s">
        <v>1807</v>
      </c>
      <c r="P442" s="43" t="str">
        <f>IFERROR(IF(AND(BoM_Griptel[[#This Row],[Quantity]]&lt;&gt;"",BoM_Griptel[[#This Row],[Currency]]="NOK"),BoM_Griptel[[#This Row],[Quantity]]*BoM_Griptel[[#This Row],[Unit Price]],""),"")</f>
        <v/>
      </c>
      <c r="Q442" s="43" t="str">
        <f>IFERROR(IF(AND(BoM_Griptel[[#This Row],[ACT_Qty]]&lt;&gt;"",BoM_Griptel[[#This Row],[Currency]]="NOK"),BoM_Griptel[[#This Row],[ACT_Qty]]*BoM_Griptel[[#This Row],[Unit Price]],""),"")</f>
        <v/>
      </c>
      <c r="R442" s="43" t="str">
        <f>IFERROR(IF(AND(BoM_Griptel[[#This Row],[Quantity]]&lt;&gt;"",BoM_Griptel[[#This Row],[Currency]]="EUR"),BoM_Griptel[[#This Row],[Quantity]]*BoM_Griptel[[#This Row],[Unit Price]],""),"")</f>
        <v/>
      </c>
      <c r="S442" s="43" t="str">
        <f>IFERROR(IF(AND(BoM_Griptel[[#This Row],[ACT_Qty]]&lt;&gt;"",BoM_Griptel[[#This Row],[Currency]]="EUR"),BoM_Griptel[[#This Row],[ACT_Qty]]*BoM_Griptel[[#This Row],[Unit Price]],""),"")</f>
        <v/>
      </c>
      <c r="T442" s="186" t="s">
        <v>1802</v>
      </c>
      <c r="U442" s="46"/>
      <c r="V442" s="46"/>
      <c r="W442" s="146"/>
    </row>
    <row r="443" spans="1:23" ht="15" customHeight="1">
      <c r="A443" s="143" t="str">
        <f t="shared" si="12"/>
        <v>AKH12345</v>
      </c>
      <c r="B443" s="144" t="s">
        <v>2682</v>
      </c>
      <c r="C443" s="143" t="s">
        <v>2683</v>
      </c>
      <c r="D443" s="105"/>
      <c r="E443" s="106"/>
      <c r="F443" s="105"/>
      <c r="G443" s="106"/>
      <c r="H443" s="175"/>
      <c r="I443" s="176" t="s">
        <v>847</v>
      </c>
      <c r="J443" s="176" t="s">
        <v>835</v>
      </c>
      <c r="K443" s="176" t="s">
        <v>1235</v>
      </c>
      <c r="L443" s="145" t="s">
        <v>1806</v>
      </c>
      <c r="M443" s="45" t="str">
        <f t="shared" si="13"/>
        <v>OneCo Networks AS</v>
      </c>
      <c r="N443" s="40" t="str">
        <f ca="1">IFERROR(
VLOOKUP(BoM_Griptel[[#This Row],[Product code]],
IF(AND((BoQ!$N$3&lt;&gt;""),OR(BoM_Griptel[[#This Row],[Vendor]]="Griptel",BoM_Griptel[[#This Row],[Vendor]]="Solar")),INDIRECT(Aux!$A$1)),4,FALSE),"")</f>
        <v/>
      </c>
      <c r="O443" s="169" t="s">
        <v>1807</v>
      </c>
      <c r="P443" s="41" t="str">
        <f>IFERROR(IF(AND(BoM_Griptel[[#This Row],[Quantity]]&lt;&gt;"",BoM_Griptel[[#This Row],[Currency]]="NOK"),BoM_Griptel[[#This Row],[Quantity]]*BoM_Griptel[[#This Row],[Unit Price]],""),"")</f>
        <v/>
      </c>
      <c r="Q443" s="41" t="str">
        <f>IFERROR(IF(AND(BoM_Griptel[[#This Row],[ACT_Qty]]&lt;&gt;"",BoM_Griptel[[#This Row],[Currency]]="NOK"),BoM_Griptel[[#This Row],[ACT_Qty]]*BoM_Griptel[[#This Row],[Unit Price]],""),"")</f>
        <v/>
      </c>
      <c r="R443" s="41" t="str">
        <f>IFERROR(IF(AND(BoM_Griptel[[#This Row],[Quantity]]&lt;&gt;"",BoM_Griptel[[#This Row],[Currency]]="EUR"),BoM_Griptel[[#This Row],[Quantity]]*BoM_Griptel[[#This Row],[Unit Price]],""),"")</f>
        <v/>
      </c>
      <c r="S443" s="41" t="str">
        <f>IFERROR(IF(AND(BoM_Griptel[[#This Row],[ACT_Qty]]&lt;&gt;"",BoM_Griptel[[#This Row],[Currency]]="EUR"),BoM_Griptel[[#This Row],[ACT_Qty]]*BoM_Griptel[[#This Row],[Unit Price]],""),"")</f>
        <v/>
      </c>
      <c r="T443" s="185" t="s">
        <v>1802</v>
      </c>
      <c r="U443" s="45"/>
      <c r="V443" s="45"/>
      <c r="W443" s="143"/>
    </row>
    <row r="444" spans="1:23" ht="15" customHeight="1">
      <c r="A444" s="146" t="str">
        <f t="shared" si="12"/>
        <v>AKH12345</v>
      </c>
      <c r="B444" s="147" t="s">
        <v>2684</v>
      </c>
      <c r="C444" s="146" t="s">
        <v>2685</v>
      </c>
      <c r="D444" s="68"/>
      <c r="E444" s="89"/>
      <c r="F444" s="68"/>
      <c r="G444" s="89"/>
      <c r="H444" s="177"/>
      <c r="I444" s="178" t="s">
        <v>847</v>
      </c>
      <c r="J444" s="178" t="s">
        <v>835</v>
      </c>
      <c r="K444" s="178" t="s">
        <v>1235</v>
      </c>
      <c r="L444" s="148" t="s">
        <v>1806</v>
      </c>
      <c r="M444" s="46" t="str">
        <f t="shared" si="13"/>
        <v>OneCo Networks AS</v>
      </c>
      <c r="N444" s="42" t="str">
        <f ca="1">IFERROR(
VLOOKUP(BoM_Griptel[[#This Row],[Product code]],
IF(AND((BoQ!$N$3&lt;&gt;""),OR(BoM_Griptel[[#This Row],[Vendor]]="Griptel",BoM_Griptel[[#This Row],[Vendor]]="Solar")),INDIRECT(Aux!$A$1)),4,FALSE),"")</f>
        <v/>
      </c>
      <c r="O444" s="170" t="s">
        <v>1807</v>
      </c>
      <c r="P444" s="43" t="str">
        <f>IFERROR(IF(AND(BoM_Griptel[[#This Row],[Quantity]]&lt;&gt;"",BoM_Griptel[[#This Row],[Currency]]="NOK"),BoM_Griptel[[#This Row],[Quantity]]*BoM_Griptel[[#This Row],[Unit Price]],""),"")</f>
        <v/>
      </c>
      <c r="Q444" s="43" t="str">
        <f>IFERROR(IF(AND(BoM_Griptel[[#This Row],[ACT_Qty]]&lt;&gt;"",BoM_Griptel[[#This Row],[Currency]]="NOK"),BoM_Griptel[[#This Row],[ACT_Qty]]*BoM_Griptel[[#This Row],[Unit Price]],""),"")</f>
        <v/>
      </c>
      <c r="R444" s="43" t="str">
        <f>IFERROR(IF(AND(BoM_Griptel[[#This Row],[Quantity]]&lt;&gt;"",BoM_Griptel[[#This Row],[Currency]]="EUR"),BoM_Griptel[[#This Row],[Quantity]]*BoM_Griptel[[#This Row],[Unit Price]],""),"")</f>
        <v/>
      </c>
      <c r="S444" s="43" t="str">
        <f>IFERROR(IF(AND(BoM_Griptel[[#This Row],[ACT_Qty]]&lt;&gt;"",BoM_Griptel[[#This Row],[Currency]]="EUR"),BoM_Griptel[[#This Row],[ACT_Qty]]*BoM_Griptel[[#This Row],[Unit Price]],""),"")</f>
        <v/>
      </c>
      <c r="T444" s="186" t="s">
        <v>1802</v>
      </c>
      <c r="U444" s="46"/>
      <c r="V444" s="46"/>
      <c r="W444" s="146"/>
    </row>
    <row r="445" spans="1:23" ht="15" customHeight="1">
      <c r="A445" s="143" t="str">
        <f t="shared" si="12"/>
        <v>AKH12345</v>
      </c>
      <c r="B445" s="144" t="s">
        <v>2686</v>
      </c>
      <c r="C445" s="143" t="s">
        <v>2687</v>
      </c>
      <c r="D445" s="105"/>
      <c r="E445" s="106"/>
      <c r="F445" s="105"/>
      <c r="G445" s="106"/>
      <c r="H445" s="175"/>
      <c r="I445" s="176" t="s">
        <v>847</v>
      </c>
      <c r="J445" s="176" t="s">
        <v>835</v>
      </c>
      <c r="K445" s="176" t="s">
        <v>1235</v>
      </c>
      <c r="L445" s="145" t="s">
        <v>1806</v>
      </c>
      <c r="M445" s="45" t="str">
        <f t="shared" si="13"/>
        <v>OneCo Networks AS</v>
      </c>
      <c r="N445" s="40" t="str">
        <f ca="1">IFERROR(
VLOOKUP(BoM_Griptel[[#This Row],[Product code]],
IF(AND((BoQ!$N$3&lt;&gt;""),OR(BoM_Griptel[[#This Row],[Vendor]]="Griptel",BoM_Griptel[[#This Row],[Vendor]]="Solar")),INDIRECT(Aux!$A$1)),4,FALSE),"")</f>
        <v/>
      </c>
      <c r="O445" s="169" t="s">
        <v>1807</v>
      </c>
      <c r="P445" s="41" t="str">
        <f>IFERROR(IF(AND(BoM_Griptel[[#This Row],[Quantity]]&lt;&gt;"",BoM_Griptel[[#This Row],[Currency]]="NOK"),BoM_Griptel[[#This Row],[Quantity]]*BoM_Griptel[[#This Row],[Unit Price]],""),"")</f>
        <v/>
      </c>
      <c r="Q445" s="41" t="str">
        <f>IFERROR(IF(AND(BoM_Griptel[[#This Row],[ACT_Qty]]&lt;&gt;"",BoM_Griptel[[#This Row],[Currency]]="NOK"),BoM_Griptel[[#This Row],[ACT_Qty]]*BoM_Griptel[[#This Row],[Unit Price]],""),"")</f>
        <v/>
      </c>
      <c r="R445" s="41" t="str">
        <f>IFERROR(IF(AND(BoM_Griptel[[#This Row],[Quantity]]&lt;&gt;"",BoM_Griptel[[#This Row],[Currency]]="EUR"),BoM_Griptel[[#This Row],[Quantity]]*BoM_Griptel[[#This Row],[Unit Price]],""),"")</f>
        <v/>
      </c>
      <c r="S445" s="41" t="str">
        <f>IFERROR(IF(AND(BoM_Griptel[[#This Row],[ACT_Qty]]&lt;&gt;"",BoM_Griptel[[#This Row],[Currency]]="EUR"),BoM_Griptel[[#This Row],[ACT_Qty]]*BoM_Griptel[[#This Row],[Unit Price]],""),"")</f>
        <v/>
      </c>
      <c r="T445" s="185" t="s">
        <v>1802</v>
      </c>
      <c r="U445" s="45"/>
      <c r="V445" s="45"/>
      <c r="W445" s="143"/>
    </row>
    <row r="446" spans="1:23" ht="15" customHeight="1">
      <c r="A446" s="146" t="str">
        <f t="shared" si="12"/>
        <v>AKH12345</v>
      </c>
      <c r="B446" s="147" t="s">
        <v>2688</v>
      </c>
      <c r="C446" s="146" t="s">
        <v>2689</v>
      </c>
      <c r="D446" s="68"/>
      <c r="E446" s="89"/>
      <c r="F446" s="68"/>
      <c r="G446" s="89"/>
      <c r="H446" s="177"/>
      <c r="I446" s="178" t="s">
        <v>847</v>
      </c>
      <c r="J446" s="178" t="s">
        <v>835</v>
      </c>
      <c r="K446" s="178" t="s">
        <v>1235</v>
      </c>
      <c r="L446" s="148" t="s">
        <v>1806</v>
      </c>
      <c r="M446" s="46" t="str">
        <f t="shared" si="13"/>
        <v>OneCo Networks AS</v>
      </c>
      <c r="N446" s="42" t="str">
        <f ca="1">IFERROR(
VLOOKUP(BoM_Griptel[[#This Row],[Product code]],
IF(AND((BoQ!$N$3&lt;&gt;""),OR(BoM_Griptel[[#This Row],[Vendor]]="Griptel",BoM_Griptel[[#This Row],[Vendor]]="Solar")),INDIRECT(Aux!$A$1)),4,FALSE),"")</f>
        <v/>
      </c>
      <c r="O446" s="170" t="s">
        <v>1807</v>
      </c>
      <c r="P446" s="43" t="str">
        <f>IFERROR(IF(AND(BoM_Griptel[[#This Row],[Quantity]]&lt;&gt;"",BoM_Griptel[[#This Row],[Currency]]="NOK"),BoM_Griptel[[#This Row],[Quantity]]*BoM_Griptel[[#This Row],[Unit Price]],""),"")</f>
        <v/>
      </c>
      <c r="Q446" s="43" t="str">
        <f>IFERROR(IF(AND(BoM_Griptel[[#This Row],[ACT_Qty]]&lt;&gt;"",BoM_Griptel[[#This Row],[Currency]]="NOK"),BoM_Griptel[[#This Row],[ACT_Qty]]*BoM_Griptel[[#This Row],[Unit Price]],""),"")</f>
        <v/>
      </c>
      <c r="R446" s="43" t="str">
        <f>IFERROR(IF(AND(BoM_Griptel[[#This Row],[Quantity]]&lt;&gt;"",BoM_Griptel[[#This Row],[Currency]]="EUR"),BoM_Griptel[[#This Row],[Quantity]]*BoM_Griptel[[#This Row],[Unit Price]],""),"")</f>
        <v/>
      </c>
      <c r="S446" s="43" t="str">
        <f>IFERROR(IF(AND(BoM_Griptel[[#This Row],[ACT_Qty]]&lt;&gt;"",BoM_Griptel[[#This Row],[Currency]]="EUR"),BoM_Griptel[[#This Row],[ACT_Qty]]*BoM_Griptel[[#This Row],[Unit Price]],""),"")</f>
        <v/>
      </c>
      <c r="T446" s="186" t="s">
        <v>1802</v>
      </c>
      <c r="U446" s="46"/>
      <c r="V446" s="46"/>
      <c r="W446" s="146"/>
    </row>
    <row r="447" spans="1:23" ht="15" customHeight="1">
      <c r="A447" s="143" t="str">
        <f t="shared" si="12"/>
        <v>AKH12345</v>
      </c>
      <c r="B447" s="144" t="s">
        <v>2690</v>
      </c>
      <c r="C447" s="143" t="s">
        <v>2691</v>
      </c>
      <c r="D447" s="105"/>
      <c r="E447" s="106"/>
      <c r="F447" s="105"/>
      <c r="G447" s="106"/>
      <c r="H447" s="175"/>
      <c r="I447" s="176" t="s">
        <v>847</v>
      </c>
      <c r="J447" s="176" t="s">
        <v>835</v>
      </c>
      <c r="K447" s="176" t="s">
        <v>1235</v>
      </c>
      <c r="L447" s="145" t="s">
        <v>1806</v>
      </c>
      <c r="M447" s="45" t="str">
        <f t="shared" si="13"/>
        <v>OneCo Networks AS</v>
      </c>
      <c r="N447" s="40" t="str">
        <f ca="1">IFERROR(
VLOOKUP(BoM_Griptel[[#This Row],[Product code]],
IF(AND((BoQ!$N$3&lt;&gt;""),OR(BoM_Griptel[[#This Row],[Vendor]]="Griptel",BoM_Griptel[[#This Row],[Vendor]]="Solar")),INDIRECT(Aux!$A$1)),4,FALSE),"")</f>
        <v/>
      </c>
      <c r="O447" s="169" t="s">
        <v>1807</v>
      </c>
      <c r="P447" s="41" t="str">
        <f>IFERROR(IF(AND(BoM_Griptel[[#This Row],[Quantity]]&lt;&gt;"",BoM_Griptel[[#This Row],[Currency]]="NOK"),BoM_Griptel[[#This Row],[Quantity]]*BoM_Griptel[[#This Row],[Unit Price]],""),"")</f>
        <v/>
      </c>
      <c r="Q447" s="41" t="str">
        <f>IFERROR(IF(AND(BoM_Griptel[[#This Row],[ACT_Qty]]&lt;&gt;"",BoM_Griptel[[#This Row],[Currency]]="NOK"),BoM_Griptel[[#This Row],[ACT_Qty]]*BoM_Griptel[[#This Row],[Unit Price]],""),"")</f>
        <v/>
      </c>
      <c r="R447" s="41" t="str">
        <f>IFERROR(IF(AND(BoM_Griptel[[#This Row],[Quantity]]&lt;&gt;"",BoM_Griptel[[#This Row],[Currency]]="EUR"),BoM_Griptel[[#This Row],[Quantity]]*BoM_Griptel[[#This Row],[Unit Price]],""),"")</f>
        <v/>
      </c>
      <c r="S447" s="41" t="str">
        <f>IFERROR(IF(AND(BoM_Griptel[[#This Row],[ACT_Qty]]&lt;&gt;"",BoM_Griptel[[#This Row],[Currency]]="EUR"),BoM_Griptel[[#This Row],[ACT_Qty]]*BoM_Griptel[[#This Row],[Unit Price]],""),"")</f>
        <v/>
      </c>
      <c r="T447" s="185" t="s">
        <v>1802</v>
      </c>
      <c r="U447" s="45"/>
      <c r="V447" s="45"/>
      <c r="W447" s="143"/>
    </row>
    <row r="448" spans="1:23" ht="15" customHeight="1">
      <c r="A448" s="146" t="str">
        <f t="shared" si="12"/>
        <v>AKH12345</v>
      </c>
      <c r="B448" s="147" t="s">
        <v>2692</v>
      </c>
      <c r="C448" s="146" t="s">
        <v>2693</v>
      </c>
      <c r="D448" s="68"/>
      <c r="E448" s="89"/>
      <c r="F448" s="68"/>
      <c r="G448" s="89"/>
      <c r="H448" s="177"/>
      <c r="I448" s="178" t="s">
        <v>847</v>
      </c>
      <c r="J448" s="178" t="s">
        <v>835</v>
      </c>
      <c r="K448" s="178" t="s">
        <v>1235</v>
      </c>
      <c r="L448" s="148" t="s">
        <v>1806</v>
      </c>
      <c r="M448" s="46" t="str">
        <f t="shared" si="13"/>
        <v>OneCo Networks AS</v>
      </c>
      <c r="N448" s="42" t="str">
        <f ca="1">IFERROR(
VLOOKUP(BoM_Griptel[[#This Row],[Product code]],
IF(AND((BoQ!$N$3&lt;&gt;""),OR(BoM_Griptel[[#This Row],[Vendor]]="Griptel",BoM_Griptel[[#This Row],[Vendor]]="Solar")),INDIRECT(Aux!$A$1)),4,FALSE),"")</f>
        <v/>
      </c>
      <c r="O448" s="170" t="s">
        <v>1807</v>
      </c>
      <c r="P448" s="43" t="str">
        <f>IFERROR(IF(AND(BoM_Griptel[[#This Row],[Quantity]]&lt;&gt;"",BoM_Griptel[[#This Row],[Currency]]="NOK"),BoM_Griptel[[#This Row],[Quantity]]*BoM_Griptel[[#This Row],[Unit Price]],""),"")</f>
        <v/>
      </c>
      <c r="Q448" s="43" t="str">
        <f>IFERROR(IF(AND(BoM_Griptel[[#This Row],[ACT_Qty]]&lt;&gt;"",BoM_Griptel[[#This Row],[Currency]]="NOK"),BoM_Griptel[[#This Row],[ACT_Qty]]*BoM_Griptel[[#This Row],[Unit Price]],""),"")</f>
        <v/>
      </c>
      <c r="R448" s="43" t="str">
        <f>IFERROR(IF(AND(BoM_Griptel[[#This Row],[Quantity]]&lt;&gt;"",BoM_Griptel[[#This Row],[Currency]]="EUR"),BoM_Griptel[[#This Row],[Quantity]]*BoM_Griptel[[#This Row],[Unit Price]],""),"")</f>
        <v/>
      </c>
      <c r="S448" s="43" t="str">
        <f>IFERROR(IF(AND(BoM_Griptel[[#This Row],[ACT_Qty]]&lt;&gt;"",BoM_Griptel[[#This Row],[Currency]]="EUR"),BoM_Griptel[[#This Row],[ACT_Qty]]*BoM_Griptel[[#This Row],[Unit Price]],""),"")</f>
        <v/>
      </c>
      <c r="T448" s="186" t="s">
        <v>1802</v>
      </c>
      <c r="U448" s="46"/>
      <c r="V448" s="46"/>
      <c r="W448" s="146"/>
    </row>
    <row r="449" spans="1:23" ht="15" customHeight="1">
      <c r="A449" s="143" t="str">
        <f t="shared" si="12"/>
        <v>AKH12345</v>
      </c>
      <c r="B449" s="144" t="s">
        <v>2694</v>
      </c>
      <c r="C449" s="143" t="s">
        <v>2695</v>
      </c>
      <c r="D449" s="105"/>
      <c r="E449" s="106"/>
      <c r="F449" s="105"/>
      <c r="G449" s="106"/>
      <c r="H449" s="175"/>
      <c r="I449" s="176" t="s">
        <v>847</v>
      </c>
      <c r="J449" s="176" t="s">
        <v>835</v>
      </c>
      <c r="K449" s="176" t="s">
        <v>1235</v>
      </c>
      <c r="L449" s="145" t="s">
        <v>1806</v>
      </c>
      <c r="M449" s="45" t="str">
        <f t="shared" si="13"/>
        <v>OneCo Networks AS</v>
      </c>
      <c r="N449" s="40" t="str">
        <f ca="1">IFERROR(
VLOOKUP(BoM_Griptel[[#This Row],[Product code]],
IF(AND((BoQ!$N$3&lt;&gt;""),OR(BoM_Griptel[[#This Row],[Vendor]]="Griptel",BoM_Griptel[[#This Row],[Vendor]]="Solar")),INDIRECT(Aux!$A$1)),4,FALSE),"")</f>
        <v/>
      </c>
      <c r="O449" s="169" t="s">
        <v>1807</v>
      </c>
      <c r="P449" s="41" t="str">
        <f>IFERROR(IF(AND(BoM_Griptel[[#This Row],[Quantity]]&lt;&gt;"",BoM_Griptel[[#This Row],[Currency]]="NOK"),BoM_Griptel[[#This Row],[Quantity]]*BoM_Griptel[[#This Row],[Unit Price]],""),"")</f>
        <v/>
      </c>
      <c r="Q449" s="41" t="str">
        <f>IFERROR(IF(AND(BoM_Griptel[[#This Row],[ACT_Qty]]&lt;&gt;"",BoM_Griptel[[#This Row],[Currency]]="NOK"),BoM_Griptel[[#This Row],[ACT_Qty]]*BoM_Griptel[[#This Row],[Unit Price]],""),"")</f>
        <v/>
      </c>
      <c r="R449" s="41" t="str">
        <f>IFERROR(IF(AND(BoM_Griptel[[#This Row],[Quantity]]&lt;&gt;"",BoM_Griptel[[#This Row],[Currency]]="EUR"),BoM_Griptel[[#This Row],[Quantity]]*BoM_Griptel[[#This Row],[Unit Price]],""),"")</f>
        <v/>
      </c>
      <c r="S449" s="41" t="str">
        <f>IFERROR(IF(AND(BoM_Griptel[[#This Row],[ACT_Qty]]&lt;&gt;"",BoM_Griptel[[#This Row],[Currency]]="EUR"),BoM_Griptel[[#This Row],[ACT_Qty]]*BoM_Griptel[[#This Row],[Unit Price]],""),"")</f>
        <v/>
      </c>
      <c r="T449" s="185" t="s">
        <v>1802</v>
      </c>
      <c r="U449" s="45"/>
      <c r="V449" s="45"/>
      <c r="W449" s="143"/>
    </row>
    <row r="450" spans="1:23" ht="15" customHeight="1">
      <c r="A450" s="146" t="str">
        <f t="shared" si="12"/>
        <v>AKH12345</v>
      </c>
      <c r="B450" s="147" t="s">
        <v>2696</v>
      </c>
      <c r="C450" s="146" t="s">
        <v>2697</v>
      </c>
      <c r="D450" s="68"/>
      <c r="E450" s="89"/>
      <c r="F450" s="68"/>
      <c r="G450" s="89"/>
      <c r="H450" s="177"/>
      <c r="I450" s="178" t="s">
        <v>847</v>
      </c>
      <c r="J450" s="178" t="s">
        <v>2074</v>
      </c>
      <c r="K450" s="178" t="s">
        <v>1235</v>
      </c>
      <c r="L450" s="148" t="s">
        <v>1806</v>
      </c>
      <c r="M450" s="46" t="str">
        <f t="shared" si="13"/>
        <v>OneCo Networks AS</v>
      </c>
      <c r="N450" s="42" t="str">
        <f ca="1">IFERROR(
VLOOKUP(BoM_Griptel[[#This Row],[Product code]],
IF(AND((BoQ!$N$3&lt;&gt;""),OR(BoM_Griptel[[#This Row],[Vendor]]="Griptel",BoM_Griptel[[#This Row],[Vendor]]="Solar")),INDIRECT(Aux!$A$1)),4,FALSE),"")</f>
        <v/>
      </c>
      <c r="O450" s="170" t="s">
        <v>1807</v>
      </c>
      <c r="P450" s="43" t="str">
        <f>IFERROR(IF(AND(BoM_Griptel[[#This Row],[Quantity]]&lt;&gt;"",BoM_Griptel[[#This Row],[Currency]]="NOK"),BoM_Griptel[[#This Row],[Quantity]]*BoM_Griptel[[#This Row],[Unit Price]],""),"")</f>
        <v/>
      </c>
      <c r="Q450" s="43" t="str">
        <f>IFERROR(IF(AND(BoM_Griptel[[#This Row],[ACT_Qty]]&lt;&gt;"",BoM_Griptel[[#This Row],[Currency]]="NOK"),BoM_Griptel[[#This Row],[ACT_Qty]]*BoM_Griptel[[#This Row],[Unit Price]],""),"")</f>
        <v/>
      </c>
      <c r="R450" s="43" t="str">
        <f>IFERROR(IF(AND(BoM_Griptel[[#This Row],[Quantity]]&lt;&gt;"",BoM_Griptel[[#This Row],[Currency]]="EUR"),BoM_Griptel[[#This Row],[Quantity]]*BoM_Griptel[[#This Row],[Unit Price]],""),"")</f>
        <v/>
      </c>
      <c r="S450" s="43" t="str">
        <f>IFERROR(IF(AND(BoM_Griptel[[#This Row],[ACT_Qty]]&lt;&gt;"",BoM_Griptel[[#This Row],[Currency]]="EUR"),BoM_Griptel[[#This Row],[ACT_Qty]]*BoM_Griptel[[#This Row],[Unit Price]],""),"")</f>
        <v/>
      </c>
      <c r="T450" s="186" t="s">
        <v>1802</v>
      </c>
      <c r="U450" s="46"/>
      <c r="V450" s="46"/>
      <c r="W450" s="146"/>
    </row>
    <row r="451" spans="1:23" ht="15" customHeight="1">
      <c r="A451" s="143" t="str">
        <f t="shared" si="12"/>
        <v>AKH12345</v>
      </c>
      <c r="B451" s="144" t="s">
        <v>2698</v>
      </c>
      <c r="C451" s="143" t="s">
        <v>2699</v>
      </c>
      <c r="D451" s="105"/>
      <c r="E451" s="106"/>
      <c r="F451" s="105"/>
      <c r="G451" s="106"/>
      <c r="H451" s="175"/>
      <c r="I451" s="176" t="s">
        <v>847</v>
      </c>
      <c r="J451" s="176" t="s">
        <v>835</v>
      </c>
      <c r="K451" s="176" t="s">
        <v>1235</v>
      </c>
      <c r="L451" s="145" t="s">
        <v>1806</v>
      </c>
      <c r="M451" s="45" t="str">
        <f t="shared" si="13"/>
        <v>OneCo Networks AS</v>
      </c>
      <c r="N451" s="40" t="str">
        <f ca="1">IFERROR(
VLOOKUP(BoM_Griptel[[#This Row],[Product code]],
IF(AND((BoQ!$N$3&lt;&gt;""),OR(BoM_Griptel[[#This Row],[Vendor]]="Griptel",BoM_Griptel[[#This Row],[Vendor]]="Solar")),INDIRECT(Aux!$A$1)),4,FALSE),"")</f>
        <v/>
      </c>
      <c r="O451" s="169" t="s">
        <v>1807</v>
      </c>
      <c r="P451" s="41" t="str">
        <f>IFERROR(IF(AND(BoM_Griptel[[#This Row],[Quantity]]&lt;&gt;"",BoM_Griptel[[#This Row],[Currency]]="NOK"),BoM_Griptel[[#This Row],[Quantity]]*BoM_Griptel[[#This Row],[Unit Price]],""),"")</f>
        <v/>
      </c>
      <c r="Q451" s="41" t="str">
        <f>IFERROR(IF(AND(BoM_Griptel[[#This Row],[ACT_Qty]]&lt;&gt;"",BoM_Griptel[[#This Row],[Currency]]="NOK"),BoM_Griptel[[#This Row],[ACT_Qty]]*BoM_Griptel[[#This Row],[Unit Price]],""),"")</f>
        <v/>
      </c>
      <c r="R451" s="41" t="str">
        <f>IFERROR(IF(AND(BoM_Griptel[[#This Row],[Quantity]]&lt;&gt;"",BoM_Griptel[[#This Row],[Currency]]="EUR"),BoM_Griptel[[#This Row],[Quantity]]*BoM_Griptel[[#This Row],[Unit Price]],""),"")</f>
        <v/>
      </c>
      <c r="S451" s="41" t="str">
        <f>IFERROR(IF(AND(BoM_Griptel[[#This Row],[ACT_Qty]]&lt;&gt;"",BoM_Griptel[[#This Row],[Currency]]="EUR"),BoM_Griptel[[#This Row],[ACT_Qty]]*BoM_Griptel[[#This Row],[Unit Price]],""),"")</f>
        <v/>
      </c>
      <c r="T451" s="185" t="s">
        <v>1802</v>
      </c>
      <c r="U451" s="45"/>
      <c r="V451" s="45"/>
      <c r="W451" s="143"/>
    </row>
    <row r="452" spans="1:23" ht="15" customHeight="1">
      <c r="A452" s="146" t="str">
        <f t="shared" si="12"/>
        <v>AKH12345</v>
      </c>
      <c r="B452" s="147" t="s">
        <v>2700</v>
      </c>
      <c r="C452" s="146" t="s">
        <v>2701</v>
      </c>
      <c r="D452" s="68"/>
      <c r="E452" s="89"/>
      <c r="F452" s="68"/>
      <c r="G452" s="89"/>
      <c r="H452" s="177"/>
      <c r="I452" s="178" t="s">
        <v>847</v>
      </c>
      <c r="J452" s="178" t="s">
        <v>835</v>
      </c>
      <c r="K452" s="178" t="s">
        <v>1235</v>
      </c>
      <c r="L452" s="148" t="s">
        <v>1806</v>
      </c>
      <c r="M452" s="46" t="str">
        <f t="shared" si="13"/>
        <v>OneCo Networks AS</v>
      </c>
      <c r="N452" s="42" t="str">
        <f ca="1">IFERROR(
VLOOKUP(BoM_Griptel[[#This Row],[Product code]],
IF(AND((BoQ!$N$3&lt;&gt;""),OR(BoM_Griptel[[#This Row],[Vendor]]="Griptel",BoM_Griptel[[#This Row],[Vendor]]="Solar")),INDIRECT(Aux!$A$1)),4,FALSE),"")</f>
        <v/>
      </c>
      <c r="O452" s="170" t="s">
        <v>1807</v>
      </c>
      <c r="P452" s="43" t="str">
        <f>IFERROR(IF(AND(BoM_Griptel[[#This Row],[Quantity]]&lt;&gt;"",BoM_Griptel[[#This Row],[Currency]]="NOK"),BoM_Griptel[[#This Row],[Quantity]]*BoM_Griptel[[#This Row],[Unit Price]],""),"")</f>
        <v/>
      </c>
      <c r="Q452" s="43" t="str">
        <f>IFERROR(IF(AND(BoM_Griptel[[#This Row],[ACT_Qty]]&lt;&gt;"",BoM_Griptel[[#This Row],[Currency]]="NOK"),BoM_Griptel[[#This Row],[ACT_Qty]]*BoM_Griptel[[#This Row],[Unit Price]],""),"")</f>
        <v/>
      </c>
      <c r="R452" s="43" t="str">
        <f>IFERROR(IF(AND(BoM_Griptel[[#This Row],[Quantity]]&lt;&gt;"",BoM_Griptel[[#This Row],[Currency]]="EUR"),BoM_Griptel[[#This Row],[Quantity]]*BoM_Griptel[[#This Row],[Unit Price]],""),"")</f>
        <v/>
      </c>
      <c r="S452" s="43" t="str">
        <f>IFERROR(IF(AND(BoM_Griptel[[#This Row],[ACT_Qty]]&lt;&gt;"",BoM_Griptel[[#This Row],[Currency]]="EUR"),BoM_Griptel[[#This Row],[ACT_Qty]]*BoM_Griptel[[#This Row],[Unit Price]],""),"")</f>
        <v/>
      </c>
      <c r="T452" s="186" t="s">
        <v>1802</v>
      </c>
      <c r="U452" s="46"/>
      <c r="V452" s="46"/>
      <c r="W452" s="146"/>
    </row>
    <row r="453" spans="1:23" ht="15" customHeight="1">
      <c r="A453" s="143" t="str">
        <f t="shared" si="12"/>
        <v>AKH12345</v>
      </c>
      <c r="B453" s="144" t="s">
        <v>2702</v>
      </c>
      <c r="C453" s="143" t="s">
        <v>2703</v>
      </c>
      <c r="D453" s="105"/>
      <c r="E453" s="106"/>
      <c r="F453" s="105"/>
      <c r="G453" s="106"/>
      <c r="H453" s="175"/>
      <c r="I453" s="176" t="s">
        <v>847</v>
      </c>
      <c r="J453" s="176" t="s">
        <v>835</v>
      </c>
      <c r="K453" s="176" t="s">
        <v>1235</v>
      </c>
      <c r="L453" s="145" t="s">
        <v>1806</v>
      </c>
      <c r="M453" s="45" t="str">
        <f t="shared" si="13"/>
        <v>OneCo Networks AS</v>
      </c>
      <c r="N453" s="40" t="str">
        <f ca="1">IFERROR(
VLOOKUP(BoM_Griptel[[#This Row],[Product code]],
IF(AND((BoQ!$N$3&lt;&gt;""),OR(BoM_Griptel[[#This Row],[Vendor]]="Griptel",BoM_Griptel[[#This Row],[Vendor]]="Solar")),INDIRECT(Aux!$A$1)),4,FALSE),"")</f>
        <v/>
      </c>
      <c r="O453" s="169" t="s">
        <v>1807</v>
      </c>
      <c r="P453" s="41" t="str">
        <f>IFERROR(IF(AND(BoM_Griptel[[#This Row],[Quantity]]&lt;&gt;"",BoM_Griptel[[#This Row],[Currency]]="NOK"),BoM_Griptel[[#This Row],[Quantity]]*BoM_Griptel[[#This Row],[Unit Price]],""),"")</f>
        <v/>
      </c>
      <c r="Q453" s="41" t="str">
        <f>IFERROR(IF(AND(BoM_Griptel[[#This Row],[ACT_Qty]]&lt;&gt;"",BoM_Griptel[[#This Row],[Currency]]="NOK"),BoM_Griptel[[#This Row],[ACT_Qty]]*BoM_Griptel[[#This Row],[Unit Price]],""),"")</f>
        <v/>
      </c>
      <c r="R453" s="41" t="str">
        <f>IFERROR(IF(AND(BoM_Griptel[[#This Row],[Quantity]]&lt;&gt;"",BoM_Griptel[[#This Row],[Currency]]="EUR"),BoM_Griptel[[#This Row],[Quantity]]*BoM_Griptel[[#This Row],[Unit Price]],""),"")</f>
        <v/>
      </c>
      <c r="S453" s="41" t="str">
        <f>IFERROR(IF(AND(BoM_Griptel[[#This Row],[ACT_Qty]]&lt;&gt;"",BoM_Griptel[[#This Row],[Currency]]="EUR"),BoM_Griptel[[#This Row],[ACT_Qty]]*BoM_Griptel[[#This Row],[Unit Price]],""),"")</f>
        <v/>
      </c>
      <c r="T453" s="185" t="s">
        <v>1802</v>
      </c>
      <c r="U453" s="45"/>
      <c r="V453" s="45"/>
      <c r="W453" s="143"/>
    </row>
    <row r="454" spans="1:23" ht="15" customHeight="1">
      <c r="A454" s="146" t="str">
        <f t="shared" si="12"/>
        <v>AKH12345</v>
      </c>
      <c r="B454" s="147" t="s">
        <v>2704</v>
      </c>
      <c r="C454" s="146" t="s">
        <v>2705</v>
      </c>
      <c r="D454" s="68"/>
      <c r="E454" s="89"/>
      <c r="F454" s="68"/>
      <c r="G454" s="89"/>
      <c r="H454" s="177"/>
      <c r="I454" s="178" t="s">
        <v>847</v>
      </c>
      <c r="J454" s="178" t="s">
        <v>835</v>
      </c>
      <c r="K454" s="178" t="s">
        <v>1235</v>
      </c>
      <c r="L454" s="148" t="s">
        <v>1806</v>
      </c>
      <c r="M454" s="46" t="str">
        <f t="shared" si="13"/>
        <v>OneCo Networks AS</v>
      </c>
      <c r="N454" s="42" t="str">
        <f ca="1">IFERROR(
VLOOKUP(BoM_Griptel[[#This Row],[Product code]],
IF(AND((BoQ!$N$3&lt;&gt;""),OR(BoM_Griptel[[#This Row],[Vendor]]="Griptel",BoM_Griptel[[#This Row],[Vendor]]="Solar")),INDIRECT(Aux!$A$1)),4,FALSE),"")</f>
        <v/>
      </c>
      <c r="O454" s="170" t="s">
        <v>1807</v>
      </c>
      <c r="P454" s="43" t="str">
        <f>IFERROR(IF(AND(BoM_Griptel[[#This Row],[Quantity]]&lt;&gt;"",BoM_Griptel[[#This Row],[Currency]]="NOK"),BoM_Griptel[[#This Row],[Quantity]]*BoM_Griptel[[#This Row],[Unit Price]],""),"")</f>
        <v/>
      </c>
      <c r="Q454" s="43" t="str">
        <f>IFERROR(IF(AND(BoM_Griptel[[#This Row],[ACT_Qty]]&lt;&gt;"",BoM_Griptel[[#This Row],[Currency]]="NOK"),BoM_Griptel[[#This Row],[ACT_Qty]]*BoM_Griptel[[#This Row],[Unit Price]],""),"")</f>
        <v/>
      </c>
      <c r="R454" s="43" t="str">
        <f>IFERROR(IF(AND(BoM_Griptel[[#This Row],[Quantity]]&lt;&gt;"",BoM_Griptel[[#This Row],[Currency]]="EUR"),BoM_Griptel[[#This Row],[Quantity]]*BoM_Griptel[[#This Row],[Unit Price]],""),"")</f>
        <v/>
      </c>
      <c r="S454" s="43" t="str">
        <f>IFERROR(IF(AND(BoM_Griptel[[#This Row],[ACT_Qty]]&lt;&gt;"",BoM_Griptel[[#This Row],[Currency]]="EUR"),BoM_Griptel[[#This Row],[ACT_Qty]]*BoM_Griptel[[#This Row],[Unit Price]],""),"")</f>
        <v/>
      </c>
      <c r="T454" s="186" t="s">
        <v>1802</v>
      </c>
      <c r="U454" s="46"/>
      <c r="V454" s="46"/>
      <c r="W454" s="146"/>
    </row>
    <row r="455" spans="1:23" ht="15" customHeight="1">
      <c r="A455" s="143" t="str">
        <f t="shared" si="12"/>
        <v>AKH12345</v>
      </c>
      <c r="B455" s="144" t="s">
        <v>2706</v>
      </c>
      <c r="C455" s="143" t="s">
        <v>2707</v>
      </c>
      <c r="D455" s="105"/>
      <c r="E455" s="106"/>
      <c r="F455" s="105"/>
      <c r="G455" s="106"/>
      <c r="H455" s="175"/>
      <c r="I455" s="176" t="s">
        <v>847</v>
      </c>
      <c r="J455" s="176" t="s">
        <v>835</v>
      </c>
      <c r="K455" s="176" t="s">
        <v>1235</v>
      </c>
      <c r="L455" s="145" t="s">
        <v>1806</v>
      </c>
      <c r="M455" s="45" t="str">
        <f t="shared" si="13"/>
        <v>OneCo Networks AS</v>
      </c>
      <c r="N455" s="40" t="str">
        <f ca="1">IFERROR(
VLOOKUP(BoM_Griptel[[#This Row],[Product code]],
IF(AND((BoQ!$N$3&lt;&gt;""),OR(BoM_Griptel[[#This Row],[Vendor]]="Griptel",BoM_Griptel[[#This Row],[Vendor]]="Solar")),INDIRECT(Aux!$A$1)),4,FALSE),"")</f>
        <v/>
      </c>
      <c r="O455" s="169" t="s">
        <v>1807</v>
      </c>
      <c r="P455" s="41" t="str">
        <f>IFERROR(IF(AND(BoM_Griptel[[#This Row],[Quantity]]&lt;&gt;"",BoM_Griptel[[#This Row],[Currency]]="NOK"),BoM_Griptel[[#This Row],[Quantity]]*BoM_Griptel[[#This Row],[Unit Price]],""),"")</f>
        <v/>
      </c>
      <c r="Q455" s="41" t="str">
        <f>IFERROR(IF(AND(BoM_Griptel[[#This Row],[ACT_Qty]]&lt;&gt;"",BoM_Griptel[[#This Row],[Currency]]="NOK"),BoM_Griptel[[#This Row],[ACT_Qty]]*BoM_Griptel[[#This Row],[Unit Price]],""),"")</f>
        <v/>
      </c>
      <c r="R455" s="41" t="str">
        <f>IFERROR(IF(AND(BoM_Griptel[[#This Row],[Quantity]]&lt;&gt;"",BoM_Griptel[[#This Row],[Currency]]="EUR"),BoM_Griptel[[#This Row],[Quantity]]*BoM_Griptel[[#This Row],[Unit Price]],""),"")</f>
        <v/>
      </c>
      <c r="S455" s="41" t="str">
        <f>IFERROR(IF(AND(BoM_Griptel[[#This Row],[ACT_Qty]]&lt;&gt;"",BoM_Griptel[[#This Row],[Currency]]="EUR"),BoM_Griptel[[#This Row],[ACT_Qty]]*BoM_Griptel[[#This Row],[Unit Price]],""),"")</f>
        <v/>
      </c>
      <c r="T455" s="185" t="s">
        <v>1802</v>
      </c>
      <c r="U455" s="45"/>
      <c r="V455" s="45"/>
      <c r="W455" s="143"/>
    </row>
    <row r="456" spans="1:23" ht="15" customHeight="1">
      <c r="A456" s="146" t="str">
        <f t="shared" si="12"/>
        <v>AKH12345</v>
      </c>
      <c r="B456" s="147" t="s">
        <v>2708</v>
      </c>
      <c r="C456" s="146" t="s">
        <v>2709</v>
      </c>
      <c r="D456" s="68"/>
      <c r="E456" s="89"/>
      <c r="F456" s="68"/>
      <c r="G456" s="89"/>
      <c r="H456" s="177"/>
      <c r="I456" s="178" t="s">
        <v>847</v>
      </c>
      <c r="J456" s="178" t="s">
        <v>835</v>
      </c>
      <c r="K456" s="178" t="s">
        <v>1235</v>
      </c>
      <c r="L456" s="148" t="s">
        <v>1806</v>
      </c>
      <c r="M456" s="46" t="str">
        <f t="shared" si="13"/>
        <v>OneCo Networks AS</v>
      </c>
      <c r="N456" s="42" t="str">
        <f ca="1">IFERROR(
VLOOKUP(BoM_Griptel[[#This Row],[Product code]],
IF(AND((BoQ!$N$3&lt;&gt;""),OR(BoM_Griptel[[#This Row],[Vendor]]="Griptel",BoM_Griptel[[#This Row],[Vendor]]="Solar")),INDIRECT(Aux!$A$1)),4,FALSE),"")</f>
        <v/>
      </c>
      <c r="O456" s="170" t="s">
        <v>1807</v>
      </c>
      <c r="P456" s="43" t="str">
        <f>IFERROR(IF(AND(BoM_Griptel[[#This Row],[Quantity]]&lt;&gt;"",BoM_Griptel[[#This Row],[Currency]]="NOK"),BoM_Griptel[[#This Row],[Quantity]]*BoM_Griptel[[#This Row],[Unit Price]],""),"")</f>
        <v/>
      </c>
      <c r="Q456" s="43" t="str">
        <f>IFERROR(IF(AND(BoM_Griptel[[#This Row],[ACT_Qty]]&lt;&gt;"",BoM_Griptel[[#This Row],[Currency]]="NOK"),BoM_Griptel[[#This Row],[ACT_Qty]]*BoM_Griptel[[#This Row],[Unit Price]],""),"")</f>
        <v/>
      </c>
      <c r="R456" s="43" t="str">
        <f>IFERROR(IF(AND(BoM_Griptel[[#This Row],[Quantity]]&lt;&gt;"",BoM_Griptel[[#This Row],[Currency]]="EUR"),BoM_Griptel[[#This Row],[Quantity]]*BoM_Griptel[[#This Row],[Unit Price]],""),"")</f>
        <v/>
      </c>
      <c r="S456" s="43" t="str">
        <f>IFERROR(IF(AND(BoM_Griptel[[#This Row],[ACT_Qty]]&lt;&gt;"",BoM_Griptel[[#This Row],[Currency]]="EUR"),BoM_Griptel[[#This Row],[ACT_Qty]]*BoM_Griptel[[#This Row],[Unit Price]],""),"")</f>
        <v/>
      </c>
      <c r="T456" s="186" t="s">
        <v>1802</v>
      </c>
      <c r="U456" s="46"/>
      <c r="V456" s="46"/>
      <c r="W456" s="146"/>
    </row>
    <row r="457" spans="1:23" ht="15" customHeight="1">
      <c r="A457" s="143" t="str">
        <f t="shared" si="12"/>
        <v>AKH12345</v>
      </c>
      <c r="B457" s="144" t="s">
        <v>2710</v>
      </c>
      <c r="C457" s="143" t="s">
        <v>2711</v>
      </c>
      <c r="D457" s="105"/>
      <c r="E457" s="106"/>
      <c r="F457" s="105"/>
      <c r="G457" s="106"/>
      <c r="H457" s="175"/>
      <c r="I457" s="176" t="s">
        <v>847</v>
      </c>
      <c r="J457" s="176" t="s">
        <v>1905</v>
      </c>
      <c r="K457" s="176" t="s">
        <v>1235</v>
      </c>
      <c r="L457" s="145" t="s">
        <v>1806</v>
      </c>
      <c r="M457" s="45" t="str">
        <f t="shared" si="13"/>
        <v>OneCo Networks AS</v>
      </c>
      <c r="N457" s="40" t="str">
        <f ca="1">IFERROR(
VLOOKUP(BoM_Griptel[[#This Row],[Product code]],
IF(AND((BoQ!$N$3&lt;&gt;""),OR(BoM_Griptel[[#This Row],[Vendor]]="Griptel",BoM_Griptel[[#This Row],[Vendor]]="Solar")),INDIRECT(Aux!$A$1)),4,FALSE),"")</f>
        <v/>
      </c>
      <c r="O457" s="169" t="s">
        <v>1807</v>
      </c>
      <c r="P457" s="41" t="str">
        <f>IFERROR(IF(AND(BoM_Griptel[[#This Row],[Quantity]]&lt;&gt;"",BoM_Griptel[[#This Row],[Currency]]="NOK"),BoM_Griptel[[#This Row],[Quantity]]*BoM_Griptel[[#This Row],[Unit Price]],""),"")</f>
        <v/>
      </c>
      <c r="Q457" s="41" t="str">
        <f>IFERROR(IF(AND(BoM_Griptel[[#This Row],[ACT_Qty]]&lt;&gt;"",BoM_Griptel[[#This Row],[Currency]]="NOK"),BoM_Griptel[[#This Row],[ACT_Qty]]*BoM_Griptel[[#This Row],[Unit Price]],""),"")</f>
        <v/>
      </c>
      <c r="R457" s="41" t="str">
        <f>IFERROR(IF(AND(BoM_Griptel[[#This Row],[Quantity]]&lt;&gt;"",BoM_Griptel[[#This Row],[Currency]]="EUR"),BoM_Griptel[[#This Row],[Quantity]]*BoM_Griptel[[#This Row],[Unit Price]],""),"")</f>
        <v/>
      </c>
      <c r="S457" s="41" t="str">
        <f>IFERROR(IF(AND(BoM_Griptel[[#This Row],[ACT_Qty]]&lt;&gt;"",BoM_Griptel[[#This Row],[Currency]]="EUR"),BoM_Griptel[[#This Row],[ACT_Qty]]*BoM_Griptel[[#This Row],[Unit Price]],""),"")</f>
        <v/>
      </c>
      <c r="T457" s="185" t="s">
        <v>1802</v>
      </c>
      <c r="U457" s="45"/>
      <c r="V457" s="45"/>
      <c r="W457" s="143"/>
    </row>
    <row r="458" spans="1:23" ht="15" customHeight="1">
      <c r="A458" s="146" t="str">
        <f t="shared" si="12"/>
        <v>AKH12345</v>
      </c>
      <c r="B458" s="147" t="s">
        <v>2712</v>
      </c>
      <c r="C458" s="146" t="s">
        <v>2713</v>
      </c>
      <c r="D458" s="68"/>
      <c r="E458" s="89"/>
      <c r="F458" s="68"/>
      <c r="G458" s="89"/>
      <c r="H458" s="177"/>
      <c r="I458" s="178" t="s">
        <v>847</v>
      </c>
      <c r="J458" s="178" t="s">
        <v>1905</v>
      </c>
      <c r="K458" s="178" t="s">
        <v>1235</v>
      </c>
      <c r="L458" s="148" t="s">
        <v>1806</v>
      </c>
      <c r="M458" s="46" t="str">
        <f t="shared" si="13"/>
        <v>OneCo Networks AS</v>
      </c>
      <c r="N458" s="42" t="str">
        <f ca="1">IFERROR(
VLOOKUP(BoM_Griptel[[#This Row],[Product code]],
IF(AND((BoQ!$N$3&lt;&gt;""),OR(BoM_Griptel[[#This Row],[Vendor]]="Griptel",BoM_Griptel[[#This Row],[Vendor]]="Solar")),INDIRECT(Aux!$A$1)),4,FALSE),"")</f>
        <v/>
      </c>
      <c r="O458" s="170" t="s">
        <v>1807</v>
      </c>
      <c r="P458" s="43" t="str">
        <f>IFERROR(IF(AND(BoM_Griptel[[#This Row],[Quantity]]&lt;&gt;"",BoM_Griptel[[#This Row],[Currency]]="NOK"),BoM_Griptel[[#This Row],[Quantity]]*BoM_Griptel[[#This Row],[Unit Price]],""),"")</f>
        <v/>
      </c>
      <c r="Q458" s="43" t="str">
        <f>IFERROR(IF(AND(BoM_Griptel[[#This Row],[ACT_Qty]]&lt;&gt;"",BoM_Griptel[[#This Row],[Currency]]="NOK"),BoM_Griptel[[#This Row],[ACT_Qty]]*BoM_Griptel[[#This Row],[Unit Price]],""),"")</f>
        <v/>
      </c>
      <c r="R458" s="43" t="str">
        <f>IFERROR(IF(AND(BoM_Griptel[[#This Row],[Quantity]]&lt;&gt;"",BoM_Griptel[[#This Row],[Currency]]="EUR"),BoM_Griptel[[#This Row],[Quantity]]*BoM_Griptel[[#This Row],[Unit Price]],""),"")</f>
        <v/>
      </c>
      <c r="S458" s="43" t="str">
        <f>IFERROR(IF(AND(BoM_Griptel[[#This Row],[ACT_Qty]]&lt;&gt;"",BoM_Griptel[[#This Row],[Currency]]="EUR"),BoM_Griptel[[#This Row],[ACT_Qty]]*BoM_Griptel[[#This Row],[Unit Price]],""),"")</f>
        <v/>
      </c>
      <c r="T458" s="186" t="s">
        <v>1802</v>
      </c>
      <c r="U458" s="46"/>
      <c r="V458" s="46"/>
      <c r="W458" s="146"/>
    </row>
    <row r="459" spans="1:23" ht="15" customHeight="1">
      <c r="A459" s="143" t="str">
        <f t="shared" si="12"/>
        <v>AKH12345</v>
      </c>
      <c r="B459" s="144" t="s">
        <v>2714</v>
      </c>
      <c r="C459" s="143" t="s">
        <v>2715</v>
      </c>
      <c r="D459" s="105"/>
      <c r="E459" s="106"/>
      <c r="F459" s="105"/>
      <c r="G459" s="106"/>
      <c r="H459" s="175"/>
      <c r="I459" s="176" t="s">
        <v>847</v>
      </c>
      <c r="J459" s="176" t="s">
        <v>1905</v>
      </c>
      <c r="K459" s="176" t="s">
        <v>1235</v>
      </c>
      <c r="L459" s="145" t="s">
        <v>1806</v>
      </c>
      <c r="M459" s="45" t="str">
        <f t="shared" si="13"/>
        <v>OneCo Networks AS</v>
      </c>
      <c r="N459" s="40" t="str">
        <f ca="1">IFERROR(
VLOOKUP(BoM_Griptel[[#This Row],[Product code]],
IF(AND((BoQ!$N$3&lt;&gt;""),OR(BoM_Griptel[[#This Row],[Vendor]]="Griptel",BoM_Griptel[[#This Row],[Vendor]]="Solar")),INDIRECT(Aux!$A$1)),4,FALSE),"")</f>
        <v/>
      </c>
      <c r="O459" s="169" t="s">
        <v>1807</v>
      </c>
      <c r="P459" s="41" t="str">
        <f>IFERROR(IF(AND(BoM_Griptel[[#This Row],[Quantity]]&lt;&gt;"",BoM_Griptel[[#This Row],[Currency]]="NOK"),BoM_Griptel[[#This Row],[Quantity]]*BoM_Griptel[[#This Row],[Unit Price]],""),"")</f>
        <v/>
      </c>
      <c r="Q459" s="41" t="str">
        <f>IFERROR(IF(AND(BoM_Griptel[[#This Row],[ACT_Qty]]&lt;&gt;"",BoM_Griptel[[#This Row],[Currency]]="NOK"),BoM_Griptel[[#This Row],[ACT_Qty]]*BoM_Griptel[[#This Row],[Unit Price]],""),"")</f>
        <v/>
      </c>
      <c r="R459" s="41" t="str">
        <f>IFERROR(IF(AND(BoM_Griptel[[#This Row],[Quantity]]&lt;&gt;"",BoM_Griptel[[#This Row],[Currency]]="EUR"),BoM_Griptel[[#This Row],[Quantity]]*BoM_Griptel[[#This Row],[Unit Price]],""),"")</f>
        <v/>
      </c>
      <c r="S459" s="41" t="str">
        <f>IFERROR(IF(AND(BoM_Griptel[[#This Row],[ACT_Qty]]&lt;&gt;"",BoM_Griptel[[#This Row],[Currency]]="EUR"),BoM_Griptel[[#This Row],[ACT_Qty]]*BoM_Griptel[[#This Row],[Unit Price]],""),"")</f>
        <v/>
      </c>
      <c r="T459" s="185" t="s">
        <v>1802</v>
      </c>
      <c r="U459" s="45"/>
      <c r="V459" s="45"/>
      <c r="W459" s="143"/>
    </row>
    <row r="460" spans="1:23" ht="15" customHeight="1">
      <c r="A460" s="146" t="str">
        <f t="shared" si="12"/>
        <v>AKH12345</v>
      </c>
      <c r="B460" s="147" t="s">
        <v>2716</v>
      </c>
      <c r="C460" s="146" t="s">
        <v>2717</v>
      </c>
      <c r="D460" s="68"/>
      <c r="E460" s="89"/>
      <c r="F460" s="68"/>
      <c r="G460" s="89"/>
      <c r="H460" s="177"/>
      <c r="I460" s="178" t="s">
        <v>847</v>
      </c>
      <c r="J460" s="178" t="s">
        <v>2718</v>
      </c>
      <c r="K460" s="178" t="s">
        <v>1235</v>
      </c>
      <c r="L460" s="148" t="s">
        <v>1806</v>
      </c>
      <c r="M460" s="46" t="str">
        <f t="shared" si="13"/>
        <v>OneCo Networks AS</v>
      </c>
      <c r="N460" s="42" t="str">
        <f ca="1">IFERROR(
VLOOKUP(BoM_Griptel[[#This Row],[Product code]],
IF(AND((BoQ!$N$3&lt;&gt;""),OR(BoM_Griptel[[#This Row],[Vendor]]="Griptel",BoM_Griptel[[#This Row],[Vendor]]="Solar")),INDIRECT(Aux!$A$1)),4,FALSE),"")</f>
        <v/>
      </c>
      <c r="O460" s="170" t="s">
        <v>1807</v>
      </c>
      <c r="P460" s="43" t="str">
        <f>IFERROR(IF(AND(BoM_Griptel[[#This Row],[Quantity]]&lt;&gt;"",BoM_Griptel[[#This Row],[Currency]]="NOK"),BoM_Griptel[[#This Row],[Quantity]]*BoM_Griptel[[#This Row],[Unit Price]],""),"")</f>
        <v/>
      </c>
      <c r="Q460" s="43" t="str">
        <f>IFERROR(IF(AND(BoM_Griptel[[#This Row],[ACT_Qty]]&lt;&gt;"",BoM_Griptel[[#This Row],[Currency]]="NOK"),BoM_Griptel[[#This Row],[ACT_Qty]]*BoM_Griptel[[#This Row],[Unit Price]],""),"")</f>
        <v/>
      </c>
      <c r="R460" s="43" t="str">
        <f>IFERROR(IF(AND(BoM_Griptel[[#This Row],[Quantity]]&lt;&gt;"",BoM_Griptel[[#This Row],[Currency]]="EUR"),BoM_Griptel[[#This Row],[Quantity]]*BoM_Griptel[[#This Row],[Unit Price]],""),"")</f>
        <v/>
      </c>
      <c r="S460" s="43" t="str">
        <f>IFERROR(IF(AND(BoM_Griptel[[#This Row],[ACT_Qty]]&lt;&gt;"",BoM_Griptel[[#This Row],[Currency]]="EUR"),BoM_Griptel[[#This Row],[ACT_Qty]]*BoM_Griptel[[#This Row],[Unit Price]],""),"")</f>
        <v/>
      </c>
      <c r="T460" s="186" t="s">
        <v>1802</v>
      </c>
      <c r="U460" s="46"/>
      <c r="V460" s="46"/>
      <c r="W460" s="146"/>
    </row>
    <row r="461" spans="1:23" ht="15" customHeight="1">
      <c r="A461" s="143" t="str">
        <f t="shared" si="12"/>
        <v>AKH12345</v>
      </c>
      <c r="B461" s="144" t="s">
        <v>2719</v>
      </c>
      <c r="C461" s="143" t="s">
        <v>2720</v>
      </c>
      <c r="D461" s="105"/>
      <c r="E461" s="106"/>
      <c r="F461" s="105"/>
      <c r="G461" s="106"/>
      <c r="H461" s="175"/>
      <c r="I461" s="176" t="s">
        <v>847</v>
      </c>
      <c r="J461" s="176" t="s">
        <v>2718</v>
      </c>
      <c r="K461" s="176" t="s">
        <v>1235</v>
      </c>
      <c r="L461" s="145" t="s">
        <v>1806</v>
      </c>
      <c r="M461" s="45" t="str">
        <f t="shared" si="13"/>
        <v>OneCo Networks AS</v>
      </c>
      <c r="N461" s="40" t="str">
        <f ca="1">IFERROR(
VLOOKUP(BoM_Griptel[[#This Row],[Product code]],
IF(AND((BoQ!$N$3&lt;&gt;""),OR(BoM_Griptel[[#This Row],[Vendor]]="Griptel",BoM_Griptel[[#This Row],[Vendor]]="Solar")),INDIRECT(Aux!$A$1)),4,FALSE),"")</f>
        <v/>
      </c>
      <c r="O461" s="169" t="s">
        <v>1807</v>
      </c>
      <c r="P461" s="41" t="str">
        <f>IFERROR(IF(AND(BoM_Griptel[[#This Row],[Quantity]]&lt;&gt;"",BoM_Griptel[[#This Row],[Currency]]="NOK"),BoM_Griptel[[#This Row],[Quantity]]*BoM_Griptel[[#This Row],[Unit Price]],""),"")</f>
        <v/>
      </c>
      <c r="Q461" s="41" t="str">
        <f>IFERROR(IF(AND(BoM_Griptel[[#This Row],[ACT_Qty]]&lt;&gt;"",BoM_Griptel[[#This Row],[Currency]]="NOK"),BoM_Griptel[[#This Row],[ACT_Qty]]*BoM_Griptel[[#This Row],[Unit Price]],""),"")</f>
        <v/>
      </c>
      <c r="R461" s="41" t="str">
        <f>IFERROR(IF(AND(BoM_Griptel[[#This Row],[Quantity]]&lt;&gt;"",BoM_Griptel[[#This Row],[Currency]]="EUR"),BoM_Griptel[[#This Row],[Quantity]]*BoM_Griptel[[#This Row],[Unit Price]],""),"")</f>
        <v/>
      </c>
      <c r="S461" s="41" t="str">
        <f>IFERROR(IF(AND(BoM_Griptel[[#This Row],[ACT_Qty]]&lt;&gt;"",BoM_Griptel[[#This Row],[Currency]]="EUR"),BoM_Griptel[[#This Row],[ACT_Qty]]*BoM_Griptel[[#This Row],[Unit Price]],""),"")</f>
        <v/>
      </c>
      <c r="T461" s="185" t="s">
        <v>1802</v>
      </c>
      <c r="U461" s="45"/>
      <c r="V461" s="45"/>
      <c r="W461" s="143"/>
    </row>
    <row r="462" spans="1:23" ht="15" customHeight="1">
      <c r="A462" s="146" t="str">
        <f t="shared" ref="A462:A525" si="14">IF($C$4&lt;&gt;"",$C$4,"")</f>
        <v>AKH12345</v>
      </c>
      <c r="B462" s="147" t="s">
        <v>2721</v>
      </c>
      <c r="C462" s="146" t="s">
        <v>2722</v>
      </c>
      <c r="D462" s="68"/>
      <c r="E462" s="89"/>
      <c r="F462" s="68"/>
      <c r="G462" s="89"/>
      <c r="H462" s="177"/>
      <c r="I462" s="178" t="s">
        <v>847</v>
      </c>
      <c r="J462" s="178" t="s">
        <v>2632</v>
      </c>
      <c r="K462" s="178" t="s">
        <v>1235</v>
      </c>
      <c r="L462" s="148" t="s">
        <v>1806</v>
      </c>
      <c r="M462" s="46" t="str">
        <f t="shared" si="13"/>
        <v>OneCo Networks AS</v>
      </c>
      <c r="N462" s="42" t="str">
        <f ca="1">IFERROR(
VLOOKUP(BoM_Griptel[[#This Row],[Product code]],
IF(AND((BoQ!$N$3&lt;&gt;""),OR(BoM_Griptel[[#This Row],[Vendor]]="Griptel",BoM_Griptel[[#This Row],[Vendor]]="Solar")),INDIRECT(Aux!$A$1)),4,FALSE),"")</f>
        <v/>
      </c>
      <c r="O462" s="170" t="s">
        <v>1807</v>
      </c>
      <c r="P462" s="43" t="str">
        <f>IFERROR(IF(AND(BoM_Griptel[[#This Row],[Quantity]]&lt;&gt;"",BoM_Griptel[[#This Row],[Currency]]="NOK"),BoM_Griptel[[#This Row],[Quantity]]*BoM_Griptel[[#This Row],[Unit Price]],""),"")</f>
        <v/>
      </c>
      <c r="Q462" s="43" t="str">
        <f>IFERROR(IF(AND(BoM_Griptel[[#This Row],[ACT_Qty]]&lt;&gt;"",BoM_Griptel[[#This Row],[Currency]]="NOK"),BoM_Griptel[[#This Row],[ACT_Qty]]*BoM_Griptel[[#This Row],[Unit Price]],""),"")</f>
        <v/>
      </c>
      <c r="R462" s="43" t="str">
        <f>IFERROR(IF(AND(BoM_Griptel[[#This Row],[Quantity]]&lt;&gt;"",BoM_Griptel[[#This Row],[Currency]]="EUR"),BoM_Griptel[[#This Row],[Quantity]]*BoM_Griptel[[#This Row],[Unit Price]],""),"")</f>
        <v/>
      </c>
      <c r="S462" s="43" t="str">
        <f>IFERROR(IF(AND(BoM_Griptel[[#This Row],[ACT_Qty]]&lt;&gt;"",BoM_Griptel[[#This Row],[Currency]]="EUR"),BoM_Griptel[[#This Row],[ACT_Qty]]*BoM_Griptel[[#This Row],[Unit Price]],""),"")</f>
        <v/>
      </c>
      <c r="T462" s="186" t="s">
        <v>1802</v>
      </c>
      <c r="U462" s="46"/>
      <c r="V462" s="46"/>
      <c r="W462" s="146"/>
    </row>
    <row r="463" spans="1:23" ht="15" customHeight="1">
      <c r="A463" s="143" t="str">
        <f t="shared" si="14"/>
        <v>AKH12345</v>
      </c>
      <c r="B463" s="144" t="s">
        <v>2723</v>
      </c>
      <c r="C463" s="143" t="s">
        <v>2724</v>
      </c>
      <c r="D463" s="105"/>
      <c r="E463" s="106"/>
      <c r="F463" s="105"/>
      <c r="G463" s="106"/>
      <c r="H463" s="175"/>
      <c r="I463" s="176" t="s">
        <v>847</v>
      </c>
      <c r="J463" s="176" t="s">
        <v>2632</v>
      </c>
      <c r="K463" s="176" t="s">
        <v>1235</v>
      </c>
      <c r="L463" s="145" t="s">
        <v>1806</v>
      </c>
      <c r="M463" s="45" t="str">
        <f t="shared" si="13"/>
        <v>OneCo Networks AS</v>
      </c>
      <c r="N463" s="40" t="str">
        <f ca="1">IFERROR(
VLOOKUP(BoM_Griptel[[#This Row],[Product code]],
IF(AND((BoQ!$N$3&lt;&gt;""),OR(BoM_Griptel[[#This Row],[Vendor]]="Griptel",BoM_Griptel[[#This Row],[Vendor]]="Solar")),INDIRECT(Aux!$A$1)),4,FALSE),"")</f>
        <v/>
      </c>
      <c r="O463" s="169" t="s">
        <v>1807</v>
      </c>
      <c r="P463" s="41" t="str">
        <f>IFERROR(IF(AND(BoM_Griptel[[#This Row],[Quantity]]&lt;&gt;"",BoM_Griptel[[#This Row],[Currency]]="NOK"),BoM_Griptel[[#This Row],[Quantity]]*BoM_Griptel[[#This Row],[Unit Price]],""),"")</f>
        <v/>
      </c>
      <c r="Q463" s="41" t="str">
        <f>IFERROR(IF(AND(BoM_Griptel[[#This Row],[ACT_Qty]]&lt;&gt;"",BoM_Griptel[[#This Row],[Currency]]="NOK"),BoM_Griptel[[#This Row],[ACT_Qty]]*BoM_Griptel[[#This Row],[Unit Price]],""),"")</f>
        <v/>
      </c>
      <c r="R463" s="41" t="str">
        <f>IFERROR(IF(AND(BoM_Griptel[[#This Row],[Quantity]]&lt;&gt;"",BoM_Griptel[[#This Row],[Currency]]="EUR"),BoM_Griptel[[#This Row],[Quantity]]*BoM_Griptel[[#This Row],[Unit Price]],""),"")</f>
        <v/>
      </c>
      <c r="S463" s="41" t="str">
        <f>IFERROR(IF(AND(BoM_Griptel[[#This Row],[ACT_Qty]]&lt;&gt;"",BoM_Griptel[[#This Row],[Currency]]="EUR"),BoM_Griptel[[#This Row],[ACT_Qty]]*BoM_Griptel[[#This Row],[Unit Price]],""),"")</f>
        <v/>
      </c>
      <c r="T463" s="185" t="s">
        <v>1802</v>
      </c>
      <c r="U463" s="45"/>
      <c r="V463" s="45"/>
      <c r="W463" s="143"/>
    </row>
    <row r="464" spans="1:23" ht="15" customHeight="1">
      <c r="A464" s="146" t="str">
        <f t="shared" si="14"/>
        <v>AKH12345</v>
      </c>
      <c r="B464" s="147" t="s">
        <v>2725</v>
      </c>
      <c r="C464" s="146" t="s">
        <v>2726</v>
      </c>
      <c r="D464" s="68"/>
      <c r="E464" s="89"/>
      <c r="F464" s="68"/>
      <c r="G464" s="89"/>
      <c r="H464" s="177"/>
      <c r="I464" s="178" t="s">
        <v>847</v>
      </c>
      <c r="J464" s="178" t="s">
        <v>2632</v>
      </c>
      <c r="K464" s="178" t="s">
        <v>1235</v>
      </c>
      <c r="L464" s="148" t="s">
        <v>1806</v>
      </c>
      <c r="M464" s="46" t="str">
        <f t="shared" si="13"/>
        <v>OneCo Networks AS</v>
      </c>
      <c r="N464" s="42" t="str">
        <f ca="1">IFERROR(
VLOOKUP(BoM_Griptel[[#This Row],[Product code]],
IF(AND((BoQ!$N$3&lt;&gt;""),OR(BoM_Griptel[[#This Row],[Vendor]]="Griptel",BoM_Griptel[[#This Row],[Vendor]]="Solar")),INDIRECT(Aux!$A$1)),4,FALSE),"")</f>
        <v/>
      </c>
      <c r="O464" s="170" t="s">
        <v>1807</v>
      </c>
      <c r="P464" s="43" t="str">
        <f>IFERROR(IF(AND(BoM_Griptel[[#This Row],[Quantity]]&lt;&gt;"",BoM_Griptel[[#This Row],[Currency]]="NOK"),BoM_Griptel[[#This Row],[Quantity]]*BoM_Griptel[[#This Row],[Unit Price]],""),"")</f>
        <v/>
      </c>
      <c r="Q464" s="43" t="str">
        <f>IFERROR(IF(AND(BoM_Griptel[[#This Row],[ACT_Qty]]&lt;&gt;"",BoM_Griptel[[#This Row],[Currency]]="NOK"),BoM_Griptel[[#This Row],[ACT_Qty]]*BoM_Griptel[[#This Row],[Unit Price]],""),"")</f>
        <v/>
      </c>
      <c r="R464" s="43" t="str">
        <f>IFERROR(IF(AND(BoM_Griptel[[#This Row],[Quantity]]&lt;&gt;"",BoM_Griptel[[#This Row],[Currency]]="EUR"),BoM_Griptel[[#This Row],[Quantity]]*BoM_Griptel[[#This Row],[Unit Price]],""),"")</f>
        <v/>
      </c>
      <c r="S464" s="43" t="str">
        <f>IFERROR(IF(AND(BoM_Griptel[[#This Row],[ACT_Qty]]&lt;&gt;"",BoM_Griptel[[#This Row],[Currency]]="EUR"),BoM_Griptel[[#This Row],[ACT_Qty]]*BoM_Griptel[[#This Row],[Unit Price]],""),"")</f>
        <v/>
      </c>
      <c r="T464" s="186" t="s">
        <v>1802</v>
      </c>
      <c r="U464" s="46"/>
      <c r="V464" s="46"/>
      <c r="W464" s="146"/>
    </row>
    <row r="465" spans="1:23" ht="15" customHeight="1">
      <c r="A465" s="143" t="str">
        <f t="shared" si="14"/>
        <v>AKH12345</v>
      </c>
      <c r="B465" s="144" t="s">
        <v>2727</v>
      </c>
      <c r="C465" s="143" t="s">
        <v>2728</v>
      </c>
      <c r="D465" s="105"/>
      <c r="E465" s="106"/>
      <c r="F465" s="105"/>
      <c r="G465" s="106"/>
      <c r="H465" s="175"/>
      <c r="I465" s="176" t="s">
        <v>847</v>
      </c>
      <c r="J465" s="176" t="s">
        <v>2632</v>
      </c>
      <c r="K465" s="176" t="s">
        <v>1235</v>
      </c>
      <c r="L465" s="145" t="s">
        <v>1806</v>
      </c>
      <c r="M465" s="45" t="str">
        <f t="shared" si="13"/>
        <v>OneCo Networks AS</v>
      </c>
      <c r="N465" s="40" t="str">
        <f ca="1">IFERROR(
VLOOKUP(BoM_Griptel[[#This Row],[Product code]],
IF(AND((BoQ!$N$3&lt;&gt;""),OR(BoM_Griptel[[#This Row],[Vendor]]="Griptel",BoM_Griptel[[#This Row],[Vendor]]="Solar")),INDIRECT(Aux!$A$1)),4,FALSE),"")</f>
        <v/>
      </c>
      <c r="O465" s="169" t="s">
        <v>1807</v>
      </c>
      <c r="P465" s="41" t="str">
        <f>IFERROR(IF(AND(BoM_Griptel[[#This Row],[Quantity]]&lt;&gt;"",BoM_Griptel[[#This Row],[Currency]]="NOK"),BoM_Griptel[[#This Row],[Quantity]]*BoM_Griptel[[#This Row],[Unit Price]],""),"")</f>
        <v/>
      </c>
      <c r="Q465" s="41" t="str">
        <f>IFERROR(IF(AND(BoM_Griptel[[#This Row],[ACT_Qty]]&lt;&gt;"",BoM_Griptel[[#This Row],[Currency]]="NOK"),BoM_Griptel[[#This Row],[ACT_Qty]]*BoM_Griptel[[#This Row],[Unit Price]],""),"")</f>
        <v/>
      </c>
      <c r="R465" s="41" t="str">
        <f>IFERROR(IF(AND(BoM_Griptel[[#This Row],[Quantity]]&lt;&gt;"",BoM_Griptel[[#This Row],[Currency]]="EUR"),BoM_Griptel[[#This Row],[Quantity]]*BoM_Griptel[[#This Row],[Unit Price]],""),"")</f>
        <v/>
      </c>
      <c r="S465" s="41" t="str">
        <f>IFERROR(IF(AND(BoM_Griptel[[#This Row],[ACT_Qty]]&lt;&gt;"",BoM_Griptel[[#This Row],[Currency]]="EUR"),BoM_Griptel[[#This Row],[ACT_Qty]]*BoM_Griptel[[#This Row],[Unit Price]],""),"")</f>
        <v/>
      </c>
      <c r="T465" s="185" t="s">
        <v>1802</v>
      </c>
      <c r="U465" s="45"/>
      <c r="V465" s="45"/>
      <c r="W465" s="143"/>
    </row>
    <row r="466" spans="1:23" ht="15" customHeight="1">
      <c r="A466" s="146" t="str">
        <f t="shared" si="14"/>
        <v>AKH12345</v>
      </c>
      <c r="B466" s="147" t="s">
        <v>2729</v>
      </c>
      <c r="C466" s="146" t="s">
        <v>2730</v>
      </c>
      <c r="D466" s="68"/>
      <c r="E466" s="89"/>
      <c r="F466" s="68"/>
      <c r="G466" s="89"/>
      <c r="H466" s="177"/>
      <c r="I466" s="178" t="s">
        <v>847</v>
      </c>
      <c r="J466" s="178" t="s">
        <v>2632</v>
      </c>
      <c r="K466" s="178" t="s">
        <v>1235</v>
      </c>
      <c r="L466" s="148" t="s">
        <v>1806</v>
      </c>
      <c r="M466" s="46" t="str">
        <f t="shared" si="13"/>
        <v>OneCo Networks AS</v>
      </c>
      <c r="N466" s="42" t="str">
        <f ca="1">IFERROR(
VLOOKUP(BoM_Griptel[[#This Row],[Product code]],
IF(AND((BoQ!$N$3&lt;&gt;""),OR(BoM_Griptel[[#This Row],[Vendor]]="Griptel",BoM_Griptel[[#This Row],[Vendor]]="Solar")),INDIRECT(Aux!$A$1)),4,FALSE),"")</f>
        <v/>
      </c>
      <c r="O466" s="170" t="s">
        <v>1807</v>
      </c>
      <c r="P466" s="43" t="str">
        <f>IFERROR(IF(AND(BoM_Griptel[[#This Row],[Quantity]]&lt;&gt;"",BoM_Griptel[[#This Row],[Currency]]="NOK"),BoM_Griptel[[#This Row],[Quantity]]*BoM_Griptel[[#This Row],[Unit Price]],""),"")</f>
        <v/>
      </c>
      <c r="Q466" s="43" t="str">
        <f>IFERROR(IF(AND(BoM_Griptel[[#This Row],[ACT_Qty]]&lt;&gt;"",BoM_Griptel[[#This Row],[Currency]]="NOK"),BoM_Griptel[[#This Row],[ACT_Qty]]*BoM_Griptel[[#This Row],[Unit Price]],""),"")</f>
        <v/>
      </c>
      <c r="R466" s="43" t="str">
        <f>IFERROR(IF(AND(BoM_Griptel[[#This Row],[Quantity]]&lt;&gt;"",BoM_Griptel[[#This Row],[Currency]]="EUR"),BoM_Griptel[[#This Row],[Quantity]]*BoM_Griptel[[#This Row],[Unit Price]],""),"")</f>
        <v/>
      </c>
      <c r="S466" s="43" t="str">
        <f>IFERROR(IF(AND(BoM_Griptel[[#This Row],[ACT_Qty]]&lt;&gt;"",BoM_Griptel[[#This Row],[Currency]]="EUR"),BoM_Griptel[[#This Row],[ACT_Qty]]*BoM_Griptel[[#This Row],[Unit Price]],""),"")</f>
        <v/>
      </c>
      <c r="T466" s="186" t="s">
        <v>1802</v>
      </c>
      <c r="U466" s="46"/>
      <c r="V466" s="46"/>
      <c r="W466" s="146"/>
    </row>
    <row r="467" spans="1:23" ht="15" customHeight="1">
      <c r="A467" s="143" t="str">
        <f t="shared" si="14"/>
        <v>AKH12345</v>
      </c>
      <c r="B467" s="144" t="s">
        <v>2731</v>
      </c>
      <c r="C467" s="143" t="s">
        <v>2732</v>
      </c>
      <c r="D467" s="105"/>
      <c r="E467" s="106"/>
      <c r="F467" s="105"/>
      <c r="G467" s="106"/>
      <c r="H467" s="175"/>
      <c r="I467" s="176" t="s">
        <v>847</v>
      </c>
      <c r="J467" s="176" t="s">
        <v>2632</v>
      </c>
      <c r="K467" s="176" t="s">
        <v>1235</v>
      </c>
      <c r="L467" s="145" t="s">
        <v>1806</v>
      </c>
      <c r="M467" s="45" t="str">
        <f t="shared" ref="M467:M530" si="15">IF($C$3&lt;&gt;"",$C$3,"")</f>
        <v>OneCo Networks AS</v>
      </c>
      <c r="N467" s="40" t="str">
        <f ca="1">IFERROR(
VLOOKUP(BoM_Griptel[[#This Row],[Product code]],
IF(AND((BoQ!$N$3&lt;&gt;""),OR(BoM_Griptel[[#This Row],[Vendor]]="Griptel",BoM_Griptel[[#This Row],[Vendor]]="Solar")),INDIRECT(Aux!$A$1)),4,FALSE),"")</f>
        <v/>
      </c>
      <c r="O467" s="169" t="s">
        <v>1807</v>
      </c>
      <c r="P467" s="41" t="str">
        <f>IFERROR(IF(AND(BoM_Griptel[[#This Row],[Quantity]]&lt;&gt;"",BoM_Griptel[[#This Row],[Currency]]="NOK"),BoM_Griptel[[#This Row],[Quantity]]*BoM_Griptel[[#This Row],[Unit Price]],""),"")</f>
        <v/>
      </c>
      <c r="Q467" s="41" t="str">
        <f>IFERROR(IF(AND(BoM_Griptel[[#This Row],[ACT_Qty]]&lt;&gt;"",BoM_Griptel[[#This Row],[Currency]]="NOK"),BoM_Griptel[[#This Row],[ACT_Qty]]*BoM_Griptel[[#This Row],[Unit Price]],""),"")</f>
        <v/>
      </c>
      <c r="R467" s="41" t="str">
        <f>IFERROR(IF(AND(BoM_Griptel[[#This Row],[Quantity]]&lt;&gt;"",BoM_Griptel[[#This Row],[Currency]]="EUR"),BoM_Griptel[[#This Row],[Quantity]]*BoM_Griptel[[#This Row],[Unit Price]],""),"")</f>
        <v/>
      </c>
      <c r="S467" s="41" t="str">
        <f>IFERROR(IF(AND(BoM_Griptel[[#This Row],[ACT_Qty]]&lt;&gt;"",BoM_Griptel[[#This Row],[Currency]]="EUR"),BoM_Griptel[[#This Row],[ACT_Qty]]*BoM_Griptel[[#This Row],[Unit Price]],""),"")</f>
        <v/>
      </c>
      <c r="T467" s="185" t="s">
        <v>1802</v>
      </c>
      <c r="U467" s="45"/>
      <c r="V467" s="45"/>
      <c r="W467" s="143"/>
    </row>
    <row r="468" spans="1:23" ht="15" customHeight="1">
      <c r="A468" s="146" t="str">
        <f t="shared" si="14"/>
        <v>AKH12345</v>
      </c>
      <c r="B468" s="147" t="s">
        <v>2733</v>
      </c>
      <c r="C468" s="146" t="s">
        <v>2734</v>
      </c>
      <c r="D468" s="68"/>
      <c r="E468" s="89"/>
      <c r="F468" s="68"/>
      <c r="G468" s="89"/>
      <c r="H468" s="177"/>
      <c r="I468" s="178" t="s">
        <v>847</v>
      </c>
      <c r="J468" s="178" t="s">
        <v>2632</v>
      </c>
      <c r="K468" s="178" t="s">
        <v>1235</v>
      </c>
      <c r="L468" s="148" t="s">
        <v>1806</v>
      </c>
      <c r="M468" s="46" t="str">
        <f t="shared" si="15"/>
        <v>OneCo Networks AS</v>
      </c>
      <c r="N468" s="42" t="str">
        <f ca="1">IFERROR(
VLOOKUP(BoM_Griptel[[#This Row],[Product code]],
IF(AND((BoQ!$N$3&lt;&gt;""),OR(BoM_Griptel[[#This Row],[Vendor]]="Griptel",BoM_Griptel[[#This Row],[Vendor]]="Solar")),INDIRECT(Aux!$A$1)),4,FALSE),"")</f>
        <v/>
      </c>
      <c r="O468" s="170" t="s">
        <v>1807</v>
      </c>
      <c r="P468" s="43" t="str">
        <f>IFERROR(IF(AND(BoM_Griptel[[#This Row],[Quantity]]&lt;&gt;"",BoM_Griptel[[#This Row],[Currency]]="NOK"),BoM_Griptel[[#This Row],[Quantity]]*BoM_Griptel[[#This Row],[Unit Price]],""),"")</f>
        <v/>
      </c>
      <c r="Q468" s="43" t="str">
        <f>IFERROR(IF(AND(BoM_Griptel[[#This Row],[ACT_Qty]]&lt;&gt;"",BoM_Griptel[[#This Row],[Currency]]="NOK"),BoM_Griptel[[#This Row],[ACT_Qty]]*BoM_Griptel[[#This Row],[Unit Price]],""),"")</f>
        <v/>
      </c>
      <c r="R468" s="43" t="str">
        <f>IFERROR(IF(AND(BoM_Griptel[[#This Row],[Quantity]]&lt;&gt;"",BoM_Griptel[[#This Row],[Currency]]="EUR"),BoM_Griptel[[#This Row],[Quantity]]*BoM_Griptel[[#This Row],[Unit Price]],""),"")</f>
        <v/>
      </c>
      <c r="S468" s="43" t="str">
        <f>IFERROR(IF(AND(BoM_Griptel[[#This Row],[ACT_Qty]]&lt;&gt;"",BoM_Griptel[[#This Row],[Currency]]="EUR"),BoM_Griptel[[#This Row],[ACT_Qty]]*BoM_Griptel[[#This Row],[Unit Price]],""),"")</f>
        <v/>
      </c>
      <c r="T468" s="186" t="s">
        <v>1802</v>
      </c>
      <c r="U468" s="46"/>
      <c r="V468" s="46"/>
      <c r="W468" s="146"/>
    </row>
    <row r="469" spans="1:23" ht="15" customHeight="1">
      <c r="A469" s="143" t="str">
        <f t="shared" si="14"/>
        <v>AKH12345</v>
      </c>
      <c r="B469" s="144" t="s">
        <v>2735</v>
      </c>
      <c r="C469" s="143" t="s">
        <v>2736</v>
      </c>
      <c r="D469" s="105"/>
      <c r="E469" s="106"/>
      <c r="F469" s="105"/>
      <c r="G469" s="106"/>
      <c r="H469" s="175"/>
      <c r="I469" s="176" t="s">
        <v>847</v>
      </c>
      <c r="J469" s="176" t="s">
        <v>2632</v>
      </c>
      <c r="K469" s="176" t="s">
        <v>1235</v>
      </c>
      <c r="L469" s="145" t="s">
        <v>1806</v>
      </c>
      <c r="M469" s="45" t="str">
        <f t="shared" si="15"/>
        <v>OneCo Networks AS</v>
      </c>
      <c r="N469" s="40" t="str">
        <f ca="1">IFERROR(
VLOOKUP(BoM_Griptel[[#This Row],[Product code]],
IF(AND((BoQ!$N$3&lt;&gt;""),OR(BoM_Griptel[[#This Row],[Vendor]]="Griptel",BoM_Griptel[[#This Row],[Vendor]]="Solar")),INDIRECT(Aux!$A$1)),4,FALSE),"")</f>
        <v/>
      </c>
      <c r="O469" s="169" t="s">
        <v>1807</v>
      </c>
      <c r="P469" s="41" t="str">
        <f>IFERROR(IF(AND(BoM_Griptel[[#This Row],[Quantity]]&lt;&gt;"",BoM_Griptel[[#This Row],[Currency]]="NOK"),BoM_Griptel[[#This Row],[Quantity]]*BoM_Griptel[[#This Row],[Unit Price]],""),"")</f>
        <v/>
      </c>
      <c r="Q469" s="41" t="str">
        <f>IFERROR(IF(AND(BoM_Griptel[[#This Row],[ACT_Qty]]&lt;&gt;"",BoM_Griptel[[#This Row],[Currency]]="NOK"),BoM_Griptel[[#This Row],[ACT_Qty]]*BoM_Griptel[[#This Row],[Unit Price]],""),"")</f>
        <v/>
      </c>
      <c r="R469" s="41" t="str">
        <f>IFERROR(IF(AND(BoM_Griptel[[#This Row],[Quantity]]&lt;&gt;"",BoM_Griptel[[#This Row],[Currency]]="EUR"),BoM_Griptel[[#This Row],[Quantity]]*BoM_Griptel[[#This Row],[Unit Price]],""),"")</f>
        <v/>
      </c>
      <c r="S469" s="41" t="str">
        <f>IFERROR(IF(AND(BoM_Griptel[[#This Row],[ACT_Qty]]&lt;&gt;"",BoM_Griptel[[#This Row],[Currency]]="EUR"),BoM_Griptel[[#This Row],[ACT_Qty]]*BoM_Griptel[[#This Row],[Unit Price]],""),"")</f>
        <v/>
      </c>
      <c r="T469" s="185" t="s">
        <v>1802</v>
      </c>
      <c r="U469" s="45"/>
      <c r="V469" s="45"/>
      <c r="W469" s="143"/>
    </row>
    <row r="470" spans="1:23" ht="15" customHeight="1">
      <c r="A470" s="146" t="str">
        <f t="shared" si="14"/>
        <v>AKH12345</v>
      </c>
      <c r="B470" s="147" t="s">
        <v>2737</v>
      </c>
      <c r="C470" s="146" t="s">
        <v>2738</v>
      </c>
      <c r="D470" s="68"/>
      <c r="E470" s="89"/>
      <c r="F470" s="68"/>
      <c r="G470" s="89"/>
      <c r="H470" s="177"/>
      <c r="I470" s="178" t="s">
        <v>847</v>
      </c>
      <c r="J470" s="178" t="s">
        <v>2632</v>
      </c>
      <c r="K470" s="178" t="s">
        <v>1235</v>
      </c>
      <c r="L470" s="148" t="s">
        <v>1806</v>
      </c>
      <c r="M470" s="46" t="str">
        <f t="shared" si="15"/>
        <v>OneCo Networks AS</v>
      </c>
      <c r="N470" s="42" t="str">
        <f ca="1">IFERROR(
VLOOKUP(BoM_Griptel[[#This Row],[Product code]],
IF(AND((BoQ!$N$3&lt;&gt;""),OR(BoM_Griptel[[#This Row],[Vendor]]="Griptel",BoM_Griptel[[#This Row],[Vendor]]="Solar")),INDIRECT(Aux!$A$1)),4,FALSE),"")</f>
        <v/>
      </c>
      <c r="O470" s="170" t="s">
        <v>1807</v>
      </c>
      <c r="P470" s="43" t="str">
        <f>IFERROR(IF(AND(BoM_Griptel[[#This Row],[Quantity]]&lt;&gt;"",BoM_Griptel[[#This Row],[Currency]]="NOK"),BoM_Griptel[[#This Row],[Quantity]]*BoM_Griptel[[#This Row],[Unit Price]],""),"")</f>
        <v/>
      </c>
      <c r="Q470" s="43" t="str">
        <f>IFERROR(IF(AND(BoM_Griptel[[#This Row],[ACT_Qty]]&lt;&gt;"",BoM_Griptel[[#This Row],[Currency]]="NOK"),BoM_Griptel[[#This Row],[ACT_Qty]]*BoM_Griptel[[#This Row],[Unit Price]],""),"")</f>
        <v/>
      </c>
      <c r="R470" s="43" t="str">
        <f>IFERROR(IF(AND(BoM_Griptel[[#This Row],[Quantity]]&lt;&gt;"",BoM_Griptel[[#This Row],[Currency]]="EUR"),BoM_Griptel[[#This Row],[Quantity]]*BoM_Griptel[[#This Row],[Unit Price]],""),"")</f>
        <v/>
      </c>
      <c r="S470" s="43" t="str">
        <f>IFERROR(IF(AND(BoM_Griptel[[#This Row],[ACT_Qty]]&lt;&gt;"",BoM_Griptel[[#This Row],[Currency]]="EUR"),BoM_Griptel[[#This Row],[ACT_Qty]]*BoM_Griptel[[#This Row],[Unit Price]],""),"")</f>
        <v/>
      </c>
      <c r="T470" s="186" t="s">
        <v>1802</v>
      </c>
      <c r="U470" s="46"/>
      <c r="V470" s="46"/>
      <c r="W470" s="146"/>
    </row>
    <row r="471" spans="1:23" ht="15" customHeight="1">
      <c r="A471" s="143" t="str">
        <f t="shared" si="14"/>
        <v>AKH12345</v>
      </c>
      <c r="B471" s="144" t="s">
        <v>2739</v>
      </c>
      <c r="C471" s="143" t="s">
        <v>2740</v>
      </c>
      <c r="D471" s="105"/>
      <c r="E471" s="106"/>
      <c r="F471" s="105"/>
      <c r="G471" s="106"/>
      <c r="H471" s="175"/>
      <c r="I471" s="176" t="s">
        <v>847</v>
      </c>
      <c r="J471" s="176" t="s">
        <v>2632</v>
      </c>
      <c r="K471" s="176" t="s">
        <v>1235</v>
      </c>
      <c r="L471" s="145" t="s">
        <v>1806</v>
      </c>
      <c r="M471" s="45" t="str">
        <f t="shared" si="15"/>
        <v>OneCo Networks AS</v>
      </c>
      <c r="N471" s="40" t="str">
        <f ca="1">IFERROR(
VLOOKUP(BoM_Griptel[[#This Row],[Product code]],
IF(AND((BoQ!$N$3&lt;&gt;""),OR(BoM_Griptel[[#This Row],[Vendor]]="Griptel",BoM_Griptel[[#This Row],[Vendor]]="Solar")),INDIRECT(Aux!$A$1)),4,FALSE),"")</f>
        <v/>
      </c>
      <c r="O471" s="169" t="s">
        <v>1807</v>
      </c>
      <c r="P471" s="41" t="str">
        <f>IFERROR(IF(AND(BoM_Griptel[[#This Row],[Quantity]]&lt;&gt;"",BoM_Griptel[[#This Row],[Currency]]="NOK"),BoM_Griptel[[#This Row],[Quantity]]*BoM_Griptel[[#This Row],[Unit Price]],""),"")</f>
        <v/>
      </c>
      <c r="Q471" s="41" t="str">
        <f>IFERROR(IF(AND(BoM_Griptel[[#This Row],[ACT_Qty]]&lt;&gt;"",BoM_Griptel[[#This Row],[Currency]]="NOK"),BoM_Griptel[[#This Row],[ACT_Qty]]*BoM_Griptel[[#This Row],[Unit Price]],""),"")</f>
        <v/>
      </c>
      <c r="R471" s="41" t="str">
        <f>IFERROR(IF(AND(BoM_Griptel[[#This Row],[Quantity]]&lt;&gt;"",BoM_Griptel[[#This Row],[Currency]]="EUR"),BoM_Griptel[[#This Row],[Quantity]]*BoM_Griptel[[#This Row],[Unit Price]],""),"")</f>
        <v/>
      </c>
      <c r="S471" s="41" t="str">
        <f>IFERROR(IF(AND(BoM_Griptel[[#This Row],[ACT_Qty]]&lt;&gt;"",BoM_Griptel[[#This Row],[Currency]]="EUR"),BoM_Griptel[[#This Row],[ACT_Qty]]*BoM_Griptel[[#This Row],[Unit Price]],""),"")</f>
        <v/>
      </c>
      <c r="T471" s="185" t="s">
        <v>1802</v>
      </c>
      <c r="U471" s="45"/>
      <c r="V471" s="45"/>
      <c r="W471" s="143"/>
    </row>
    <row r="472" spans="1:23" ht="15" customHeight="1">
      <c r="A472" s="146" t="str">
        <f t="shared" si="14"/>
        <v>AKH12345</v>
      </c>
      <c r="B472" s="147" t="s">
        <v>2741</v>
      </c>
      <c r="C472" s="146" t="s">
        <v>2742</v>
      </c>
      <c r="D472" s="68"/>
      <c r="E472" s="89"/>
      <c r="F472" s="68"/>
      <c r="G472" s="89"/>
      <c r="H472" s="177"/>
      <c r="I472" s="178" t="s">
        <v>847</v>
      </c>
      <c r="J472" s="178" t="s">
        <v>2632</v>
      </c>
      <c r="K472" s="178" t="s">
        <v>1235</v>
      </c>
      <c r="L472" s="148" t="s">
        <v>1806</v>
      </c>
      <c r="M472" s="46" t="str">
        <f t="shared" si="15"/>
        <v>OneCo Networks AS</v>
      </c>
      <c r="N472" s="42" t="str">
        <f ca="1">IFERROR(
VLOOKUP(BoM_Griptel[[#This Row],[Product code]],
IF(AND((BoQ!$N$3&lt;&gt;""),OR(BoM_Griptel[[#This Row],[Vendor]]="Griptel",BoM_Griptel[[#This Row],[Vendor]]="Solar")),INDIRECT(Aux!$A$1)),4,FALSE),"")</f>
        <v/>
      </c>
      <c r="O472" s="170" t="s">
        <v>1807</v>
      </c>
      <c r="P472" s="43" t="str">
        <f>IFERROR(IF(AND(BoM_Griptel[[#This Row],[Quantity]]&lt;&gt;"",BoM_Griptel[[#This Row],[Currency]]="NOK"),BoM_Griptel[[#This Row],[Quantity]]*BoM_Griptel[[#This Row],[Unit Price]],""),"")</f>
        <v/>
      </c>
      <c r="Q472" s="43" t="str">
        <f>IFERROR(IF(AND(BoM_Griptel[[#This Row],[ACT_Qty]]&lt;&gt;"",BoM_Griptel[[#This Row],[Currency]]="NOK"),BoM_Griptel[[#This Row],[ACT_Qty]]*BoM_Griptel[[#This Row],[Unit Price]],""),"")</f>
        <v/>
      </c>
      <c r="R472" s="43" t="str">
        <f>IFERROR(IF(AND(BoM_Griptel[[#This Row],[Quantity]]&lt;&gt;"",BoM_Griptel[[#This Row],[Currency]]="EUR"),BoM_Griptel[[#This Row],[Quantity]]*BoM_Griptel[[#This Row],[Unit Price]],""),"")</f>
        <v/>
      </c>
      <c r="S472" s="43" t="str">
        <f>IFERROR(IF(AND(BoM_Griptel[[#This Row],[ACT_Qty]]&lt;&gt;"",BoM_Griptel[[#This Row],[Currency]]="EUR"),BoM_Griptel[[#This Row],[ACT_Qty]]*BoM_Griptel[[#This Row],[Unit Price]],""),"")</f>
        <v/>
      </c>
      <c r="T472" s="186" t="s">
        <v>1802</v>
      </c>
      <c r="U472" s="46"/>
      <c r="V472" s="46"/>
      <c r="W472" s="146"/>
    </row>
    <row r="473" spans="1:23" ht="15" customHeight="1">
      <c r="A473" s="143" t="str">
        <f t="shared" si="14"/>
        <v>AKH12345</v>
      </c>
      <c r="B473" s="144" t="s">
        <v>2743</v>
      </c>
      <c r="C473" s="143" t="s">
        <v>2744</v>
      </c>
      <c r="D473" s="105"/>
      <c r="E473" s="106"/>
      <c r="F473" s="105"/>
      <c r="G473" s="106"/>
      <c r="H473" s="175"/>
      <c r="I473" s="176" t="s">
        <v>847</v>
      </c>
      <c r="J473" s="176" t="s">
        <v>2632</v>
      </c>
      <c r="K473" s="176" t="s">
        <v>1235</v>
      </c>
      <c r="L473" s="145" t="s">
        <v>1806</v>
      </c>
      <c r="M473" s="45" t="str">
        <f t="shared" si="15"/>
        <v>OneCo Networks AS</v>
      </c>
      <c r="N473" s="40" t="str">
        <f ca="1">IFERROR(
VLOOKUP(BoM_Griptel[[#This Row],[Product code]],
IF(AND((BoQ!$N$3&lt;&gt;""),OR(BoM_Griptel[[#This Row],[Vendor]]="Griptel",BoM_Griptel[[#This Row],[Vendor]]="Solar")),INDIRECT(Aux!$A$1)),4,FALSE),"")</f>
        <v/>
      </c>
      <c r="O473" s="169" t="s">
        <v>1807</v>
      </c>
      <c r="P473" s="41" t="str">
        <f>IFERROR(IF(AND(BoM_Griptel[[#This Row],[Quantity]]&lt;&gt;"",BoM_Griptel[[#This Row],[Currency]]="NOK"),BoM_Griptel[[#This Row],[Quantity]]*BoM_Griptel[[#This Row],[Unit Price]],""),"")</f>
        <v/>
      </c>
      <c r="Q473" s="41" t="str">
        <f>IFERROR(IF(AND(BoM_Griptel[[#This Row],[ACT_Qty]]&lt;&gt;"",BoM_Griptel[[#This Row],[Currency]]="NOK"),BoM_Griptel[[#This Row],[ACT_Qty]]*BoM_Griptel[[#This Row],[Unit Price]],""),"")</f>
        <v/>
      </c>
      <c r="R473" s="41" t="str">
        <f>IFERROR(IF(AND(BoM_Griptel[[#This Row],[Quantity]]&lt;&gt;"",BoM_Griptel[[#This Row],[Currency]]="EUR"),BoM_Griptel[[#This Row],[Quantity]]*BoM_Griptel[[#This Row],[Unit Price]],""),"")</f>
        <v/>
      </c>
      <c r="S473" s="41" t="str">
        <f>IFERROR(IF(AND(BoM_Griptel[[#This Row],[ACT_Qty]]&lt;&gt;"",BoM_Griptel[[#This Row],[Currency]]="EUR"),BoM_Griptel[[#This Row],[ACT_Qty]]*BoM_Griptel[[#This Row],[Unit Price]],""),"")</f>
        <v/>
      </c>
      <c r="T473" s="185" t="s">
        <v>1802</v>
      </c>
      <c r="U473" s="45"/>
      <c r="V473" s="45"/>
      <c r="W473" s="143"/>
    </row>
    <row r="474" spans="1:23" ht="15" customHeight="1">
      <c r="A474" s="146" t="str">
        <f t="shared" si="14"/>
        <v>AKH12345</v>
      </c>
      <c r="B474" s="147" t="s">
        <v>2745</v>
      </c>
      <c r="C474" s="146" t="s">
        <v>2746</v>
      </c>
      <c r="D474" s="68"/>
      <c r="E474" s="89"/>
      <c r="F474" s="68"/>
      <c r="G474" s="89"/>
      <c r="H474" s="177"/>
      <c r="I474" s="178" t="s">
        <v>847</v>
      </c>
      <c r="J474" s="178" t="s">
        <v>2632</v>
      </c>
      <c r="K474" s="178" t="s">
        <v>1235</v>
      </c>
      <c r="L474" s="148" t="s">
        <v>1806</v>
      </c>
      <c r="M474" s="46" t="str">
        <f t="shared" si="15"/>
        <v>OneCo Networks AS</v>
      </c>
      <c r="N474" s="42" t="str">
        <f ca="1">IFERROR(
VLOOKUP(BoM_Griptel[[#This Row],[Product code]],
IF(AND((BoQ!$N$3&lt;&gt;""),OR(BoM_Griptel[[#This Row],[Vendor]]="Griptel",BoM_Griptel[[#This Row],[Vendor]]="Solar")),INDIRECT(Aux!$A$1)),4,FALSE),"")</f>
        <v/>
      </c>
      <c r="O474" s="170" t="s">
        <v>1807</v>
      </c>
      <c r="P474" s="43" t="str">
        <f>IFERROR(IF(AND(BoM_Griptel[[#This Row],[Quantity]]&lt;&gt;"",BoM_Griptel[[#This Row],[Currency]]="NOK"),BoM_Griptel[[#This Row],[Quantity]]*BoM_Griptel[[#This Row],[Unit Price]],""),"")</f>
        <v/>
      </c>
      <c r="Q474" s="43" t="str">
        <f>IFERROR(IF(AND(BoM_Griptel[[#This Row],[ACT_Qty]]&lt;&gt;"",BoM_Griptel[[#This Row],[Currency]]="NOK"),BoM_Griptel[[#This Row],[ACT_Qty]]*BoM_Griptel[[#This Row],[Unit Price]],""),"")</f>
        <v/>
      </c>
      <c r="R474" s="43" t="str">
        <f>IFERROR(IF(AND(BoM_Griptel[[#This Row],[Quantity]]&lt;&gt;"",BoM_Griptel[[#This Row],[Currency]]="EUR"),BoM_Griptel[[#This Row],[Quantity]]*BoM_Griptel[[#This Row],[Unit Price]],""),"")</f>
        <v/>
      </c>
      <c r="S474" s="43" t="str">
        <f>IFERROR(IF(AND(BoM_Griptel[[#This Row],[ACT_Qty]]&lt;&gt;"",BoM_Griptel[[#This Row],[Currency]]="EUR"),BoM_Griptel[[#This Row],[ACT_Qty]]*BoM_Griptel[[#This Row],[Unit Price]],""),"")</f>
        <v/>
      </c>
      <c r="T474" s="186" t="s">
        <v>1802</v>
      </c>
      <c r="U474" s="46"/>
      <c r="V474" s="46"/>
      <c r="W474" s="146"/>
    </row>
    <row r="475" spans="1:23" ht="15" customHeight="1">
      <c r="A475" s="143" t="str">
        <f t="shared" si="14"/>
        <v>AKH12345</v>
      </c>
      <c r="B475" s="144" t="s">
        <v>2747</v>
      </c>
      <c r="C475" s="143" t="s">
        <v>2748</v>
      </c>
      <c r="D475" s="105"/>
      <c r="E475" s="106"/>
      <c r="F475" s="105"/>
      <c r="G475" s="106"/>
      <c r="H475" s="175"/>
      <c r="I475" s="176" t="s">
        <v>847</v>
      </c>
      <c r="J475" s="176" t="s">
        <v>1965</v>
      </c>
      <c r="K475" s="176" t="s">
        <v>1235</v>
      </c>
      <c r="L475" s="145" t="s">
        <v>1806</v>
      </c>
      <c r="M475" s="45" t="str">
        <f t="shared" si="15"/>
        <v>OneCo Networks AS</v>
      </c>
      <c r="N475" s="40" t="str">
        <f ca="1">IFERROR(
VLOOKUP(BoM_Griptel[[#This Row],[Product code]],
IF(AND((BoQ!$N$3&lt;&gt;""),OR(BoM_Griptel[[#This Row],[Vendor]]="Griptel",BoM_Griptel[[#This Row],[Vendor]]="Solar")),INDIRECT(Aux!$A$1)),4,FALSE),"")</f>
        <v/>
      </c>
      <c r="O475" s="169" t="s">
        <v>1807</v>
      </c>
      <c r="P475" s="41" t="str">
        <f>IFERROR(IF(AND(BoM_Griptel[[#This Row],[Quantity]]&lt;&gt;"",BoM_Griptel[[#This Row],[Currency]]="NOK"),BoM_Griptel[[#This Row],[Quantity]]*BoM_Griptel[[#This Row],[Unit Price]],""),"")</f>
        <v/>
      </c>
      <c r="Q475" s="41" t="str">
        <f>IFERROR(IF(AND(BoM_Griptel[[#This Row],[ACT_Qty]]&lt;&gt;"",BoM_Griptel[[#This Row],[Currency]]="NOK"),BoM_Griptel[[#This Row],[ACT_Qty]]*BoM_Griptel[[#This Row],[Unit Price]],""),"")</f>
        <v/>
      </c>
      <c r="R475" s="41" t="str">
        <f>IFERROR(IF(AND(BoM_Griptel[[#This Row],[Quantity]]&lt;&gt;"",BoM_Griptel[[#This Row],[Currency]]="EUR"),BoM_Griptel[[#This Row],[Quantity]]*BoM_Griptel[[#This Row],[Unit Price]],""),"")</f>
        <v/>
      </c>
      <c r="S475" s="41" t="str">
        <f>IFERROR(IF(AND(BoM_Griptel[[#This Row],[ACT_Qty]]&lt;&gt;"",BoM_Griptel[[#This Row],[Currency]]="EUR"),BoM_Griptel[[#This Row],[ACT_Qty]]*BoM_Griptel[[#This Row],[Unit Price]],""),"")</f>
        <v/>
      </c>
      <c r="T475" s="185" t="s">
        <v>1802</v>
      </c>
      <c r="U475" s="45"/>
      <c r="V475" s="45"/>
      <c r="W475" s="143"/>
    </row>
    <row r="476" spans="1:23" ht="15" customHeight="1">
      <c r="A476" s="146" t="str">
        <f t="shared" si="14"/>
        <v>AKH12345</v>
      </c>
      <c r="B476" s="147" t="s">
        <v>2749</v>
      </c>
      <c r="C476" s="146" t="s">
        <v>2750</v>
      </c>
      <c r="D476" s="68"/>
      <c r="E476" s="89"/>
      <c r="F476" s="68"/>
      <c r="G476" s="89"/>
      <c r="H476" s="177"/>
      <c r="I476" s="178" t="s">
        <v>847</v>
      </c>
      <c r="J476" s="178" t="s">
        <v>1965</v>
      </c>
      <c r="K476" s="178" t="s">
        <v>1235</v>
      </c>
      <c r="L476" s="148" t="s">
        <v>1806</v>
      </c>
      <c r="M476" s="46" t="str">
        <f t="shared" si="15"/>
        <v>OneCo Networks AS</v>
      </c>
      <c r="N476" s="42" t="str">
        <f ca="1">IFERROR(
VLOOKUP(BoM_Griptel[[#This Row],[Product code]],
IF(AND((BoQ!$N$3&lt;&gt;""),OR(BoM_Griptel[[#This Row],[Vendor]]="Griptel",BoM_Griptel[[#This Row],[Vendor]]="Solar")),INDIRECT(Aux!$A$1)),4,FALSE),"")</f>
        <v/>
      </c>
      <c r="O476" s="170" t="s">
        <v>1807</v>
      </c>
      <c r="P476" s="43" t="str">
        <f>IFERROR(IF(AND(BoM_Griptel[[#This Row],[Quantity]]&lt;&gt;"",BoM_Griptel[[#This Row],[Currency]]="NOK"),BoM_Griptel[[#This Row],[Quantity]]*BoM_Griptel[[#This Row],[Unit Price]],""),"")</f>
        <v/>
      </c>
      <c r="Q476" s="43" t="str">
        <f>IFERROR(IF(AND(BoM_Griptel[[#This Row],[ACT_Qty]]&lt;&gt;"",BoM_Griptel[[#This Row],[Currency]]="NOK"),BoM_Griptel[[#This Row],[ACT_Qty]]*BoM_Griptel[[#This Row],[Unit Price]],""),"")</f>
        <v/>
      </c>
      <c r="R476" s="43" t="str">
        <f>IFERROR(IF(AND(BoM_Griptel[[#This Row],[Quantity]]&lt;&gt;"",BoM_Griptel[[#This Row],[Currency]]="EUR"),BoM_Griptel[[#This Row],[Quantity]]*BoM_Griptel[[#This Row],[Unit Price]],""),"")</f>
        <v/>
      </c>
      <c r="S476" s="43" t="str">
        <f>IFERROR(IF(AND(BoM_Griptel[[#This Row],[ACT_Qty]]&lt;&gt;"",BoM_Griptel[[#This Row],[Currency]]="EUR"),BoM_Griptel[[#This Row],[ACT_Qty]]*BoM_Griptel[[#This Row],[Unit Price]],""),"")</f>
        <v/>
      </c>
      <c r="T476" s="186" t="s">
        <v>1802</v>
      </c>
      <c r="U476" s="46"/>
      <c r="V476" s="46"/>
      <c r="W476" s="146"/>
    </row>
    <row r="477" spans="1:23" ht="15" customHeight="1">
      <c r="A477" s="143" t="str">
        <f t="shared" si="14"/>
        <v>AKH12345</v>
      </c>
      <c r="B477" s="144" t="s">
        <v>2751</v>
      </c>
      <c r="C477" s="143" t="s">
        <v>2752</v>
      </c>
      <c r="D477" s="105"/>
      <c r="E477" s="106"/>
      <c r="F477" s="105"/>
      <c r="G477" s="106"/>
      <c r="H477" s="175"/>
      <c r="I477" s="176" t="s">
        <v>847</v>
      </c>
      <c r="J477" s="176" t="s">
        <v>1965</v>
      </c>
      <c r="K477" s="176" t="s">
        <v>1235</v>
      </c>
      <c r="L477" s="145" t="s">
        <v>1806</v>
      </c>
      <c r="M477" s="45" t="str">
        <f t="shared" si="15"/>
        <v>OneCo Networks AS</v>
      </c>
      <c r="N477" s="40" t="str">
        <f ca="1">IFERROR(
VLOOKUP(BoM_Griptel[[#This Row],[Product code]],
IF(AND((BoQ!$N$3&lt;&gt;""),OR(BoM_Griptel[[#This Row],[Vendor]]="Griptel",BoM_Griptel[[#This Row],[Vendor]]="Solar")),INDIRECT(Aux!$A$1)),4,FALSE),"")</f>
        <v/>
      </c>
      <c r="O477" s="169" t="s">
        <v>1807</v>
      </c>
      <c r="P477" s="41" t="str">
        <f>IFERROR(IF(AND(BoM_Griptel[[#This Row],[Quantity]]&lt;&gt;"",BoM_Griptel[[#This Row],[Currency]]="NOK"),BoM_Griptel[[#This Row],[Quantity]]*BoM_Griptel[[#This Row],[Unit Price]],""),"")</f>
        <v/>
      </c>
      <c r="Q477" s="41" t="str">
        <f>IFERROR(IF(AND(BoM_Griptel[[#This Row],[ACT_Qty]]&lt;&gt;"",BoM_Griptel[[#This Row],[Currency]]="NOK"),BoM_Griptel[[#This Row],[ACT_Qty]]*BoM_Griptel[[#This Row],[Unit Price]],""),"")</f>
        <v/>
      </c>
      <c r="R477" s="41" t="str">
        <f>IFERROR(IF(AND(BoM_Griptel[[#This Row],[Quantity]]&lt;&gt;"",BoM_Griptel[[#This Row],[Currency]]="EUR"),BoM_Griptel[[#This Row],[Quantity]]*BoM_Griptel[[#This Row],[Unit Price]],""),"")</f>
        <v/>
      </c>
      <c r="S477" s="41" t="str">
        <f>IFERROR(IF(AND(BoM_Griptel[[#This Row],[ACT_Qty]]&lt;&gt;"",BoM_Griptel[[#This Row],[Currency]]="EUR"),BoM_Griptel[[#This Row],[ACT_Qty]]*BoM_Griptel[[#This Row],[Unit Price]],""),"")</f>
        <v/>
      </c>
      <c r="T477" s="185" t="s">
        <v>1802</v>
      </c>
      <c r="U477" s="45"/>
      <c r="V477" s="45"/>
      <c r="W477" s="143"/>
    </row>
    <row r="478" spans="1:23" ht="15" customHeight="1">
      <c r="A478" s="146" t="str">
        <f t="shared" si="14"/>
        <v>AKH12345</v>
      </c>
      <c r="B478" s="147" t="s">
        <v>2753</v>
      </c>
      <c r="C478" s="146" t="s">
        <v>2754</v>
      </c>
      <c r="D478" s="68"/>
      <c r="E478" s="89"/>
      <c r="F478" s="68"/>
      <c r="G478" s="89"/>
      <c r="H478" s="177"/>
      <c r="I478" s="178" t="s">
        <v>847</v>
      </c>
      <c r="J478" s="178" t="s">
        <v>1965</v>
      </c>
      <c r="K478" s="178" t="s">
        <v>1235</v>
      </c>
      <c r="L478" s="148" t="s">
        <v>1806</v>
      </c>
      <c r="M478" s="46" t="str">
        <f t="shared" si="15"/>
        <v>OneCo Networks AS</v>
      </c>
      <c r="N478" s="42" t="str">
        <f ca="1">IFERROR(
VLOOKUP(BoM_Griptel[[#This Row],[Product code]],
IF(AND((BoQ!$N$3&lt;&gt;""),OR(BoM_Griptel[[#This Row],[Vendor]]="Griptel",BoM_Griptel[[#This Row],[Vendor]]="Solar")),INDIRECT(Aux!$A$1)),4,FALSE),"")</f>
        <v/>
      </c>
      <c r="O478" s="170" t="s">
        <v>1807</v>
      </c>
      <c r="P478" s="43" t="str">
        <f>IFERROR(IF(AND(BoM_Griptel[[#This Row],[Quantity]]&lt;&gt;"",BoM_Griptel[[#This Row],[Currency]]="NOK"),BoM_Griptel[[#This Row],[Quantity]]*BoM_Griptel[[#This Row],[Unit Price]],""),"")</f>
        <v/>
      </c>
      <c r="Q478" s="43" t="str">
        <f>IFERROR(IF(AND(BoM_Griptel[[#This Row],[ACT_Qty]]&lt;&gt;"",BoM_Griptel[[#This Row],[Currency]]="NOK"),BoM_Griptel[[#This Row],[ACT_Qty]]*BoM_Griptel[[#This Row],[Unit Price]],""),"")</f>
        <v/>
      </c>
      <c r="R478" s="43" t="str">
        <f>IFERROR(IF(AND(BoM_Griptel[[#This Row],[Quantity]]&lt;&gt;"",BoM_Griptel[[#This Row],[Currency]]="EUR"),BoM_Griptel[[#This Row],[Quantity]]*BoM_Griptel[[#This Row],[Unit Price]],""),"")</f>
        <v/>
      </c>
      <c r="S478" s="43" t="str">
        <f>IFERROR(IF(AND(BoM_Griptel[[#This Row],[ACT_Qty]]&lt;&gt;"",BoM_Griptel[[#This Row],[Currency]]="EUR"),BoM_Griptel[[#This Row],[ACT_Qty]]*BoM_Griptel[[#This Row],[Unit Price]],""),"")</f>
        <v/>
      </c>
      <c r="T478" s="186" t="s">
        <v>1802</v>
      </c>
      <c r="U478" s="46"/>
      <c r="V478" s="46"/>
      <c r="W478" s="146"/>
    </row>
    <row r="479" spans="1:23" ht="15" customHeight="1">
      <c r="A479" s="143" t="str">
        <f t="shared" si="14"/>
        <v>AKH12345</v>
      </c>
      <c r="B479" s="144" t="s">
        <v>2755</v>
      </c>
      <c r="C479" s="143" t="s">
        <v>2756</v>
      </c>
      <c r="D479" s="105"/>
      <c r="E479" s="106"/>
      <c r="F479" s="105"/>
      <c r="G479" s="106"/>
      <c r="H479" s="175"/>
      <c r="I479" s="176" t="s">
        <v>847</v>
      </c>
      <c r="J479" s="176" t="s">
        <v>1965</v>
      </c>
      <c r="K479" s="176" t="s">
        <v>1235</v>
      </c>
      <c r="L479" s="145" t="s">
        <v>1806</v>
      </c>
      <c r="M479" s="45" t="str">
        <f t="shared" si="15"/>
        <v>OneCo Networks AS</v>
      </c>
      <c r="N479" s="40" t="str">
        <f ca="1">IFERROR(
VLOOKUP(BoM_Griptel[[#This Row],[Product code]],
IF(AND((BoQ!$N$3&lt;&gt;""),OR(BoM_Griptel[[#This Row],[Vendor]]="Griptel",BoM_Griptel[[#This Row],[Vendor]]="Solar")),INDIRECT(Aux!$A$1)),4,FALSE),"")</f>
        <v/>
      </c>
      <c r="O479" s="169" t="s">
        <v>1807</v>
      </c>
      <c r="P479" s="41" t="str">
        <f>IFERROR(IF(AND(BoM_Griptel[[#This Row],[Quantity]]&lt;&gt;"",BoM_Griptel[[#This Row],[Currency]]="NOK"),BoM_Griptel[[#This Row],[Quantity]]*BoM_Griptel[[#This Row],[Unit Price]],""),"")</f>
        <v/>
      </c>
      <c r="Q479" s="41" t="str">
        <f>IFERROR(IF(AND(BoM_Griptel[[#This Row],[ACT_Qty]]&lt;&gt;"",BoM_Griptel[[#This Row],[Currency]]="NOK"),BoM_Griptel[[#This Row],[ACT_Qty]]*BoM_Griptel[[#This Row],[Unit Price]],""),"")</f>
        <v/>
      </c>
      <c r="R479" s="41" t="str">
        <f>IFERROR(IF(AND(BoM_Griptel[[#This Row],[Quantity]]&lt;&gt;"",BoM_Griptel[[#This Row],[Currency]]="EUR"),BoM_Griptel[[#This Row],[Quantity]]*BoM_Griptel[[#This Row],[Unit Price]],""),"")</f>
        <v/>
      </c>
      <c r="S479" s="41" t="str">
        <f>IFERROR(IF(AND(BoM_Griptel[[#This Row],[ACT_Qty]]&lt;&gt;"",BoM_Griptel[[#This Row],[Currency]]="EUR"),BoM_Griptel[[#This Row],[ACT_Qty]]*BoM_Griptel[[#This Row],[Unit Price]],""),"")</f>
        <v/>
      </c>
      <c r="T479" s="185" t="s">
        <v>1802</v>
      </c>
      <c r="U479" s="45"/>
      <c r="V479" s="45"/>
      <c r="W479" s="143"/>
    </row>
    <row r="480" spans="1:23" ht="15" customHeight="1">
      <c r="A480" s="146" t="str">
        <f t="shared" si="14"/>
        <v>AKH12345</v>
      </c>
      <c r="B480" s="147" t="s">
        <v>2757</v>
      </c>
      <c r="C480" s="146" t="s">
        <v>2758</v>
      </c>
      <c r="D480" s="68"/>
      <c r="E480" s="89"/>
      <c r="F480" s="68"/>
      <c r="G480" s="89"/>
      <c r="H480" s="177"/>
      <c r="I480" s="178" t="s">
        <v>847</v>
      </c>
      <c r="J480" s="178" t="s">
        <v>1965</v>
      </c>
      <c r="K480" s="178" t="s">
        <v>1235</v>
      </c>
      <c r="L480" s="148" t="s">
        <v>1806</v>
      </c>
      <c r="M480" s="46" t="str">
        <f t="shared" si="15"/>
        <v>OneCo Networks AS</v>
      </c>
      <c r="N480" s="42" t="str">
        <f ca="1">IFERROR(
VLOOKUP(BoM_Griptel[[#This Row],[Product code]],
IF(AND((BoQ!$N$3&lt;&gt;""),OR(BoM_Griptel[[#This Row],[Vendor]]="Griptel",BoM_Griptel[[#This Row],[Vendor]]="Solar")),INDIRECT(Aux!$A$1)),4,FALSE),"")</f>
        <v/>
      </c>
      <c r="O480" s="170" t="s">
        <v>1807</v>
      </c>
      <c r="P480" s="43" t="str">
        <f>IFERROR(IF(AND(BoM_Griptel[[#This Row],[Quantity]]&lt;&gt;"",BoM_Griptel[[#This Row],[Currency]]="NOK"),BoM_Griptel[[#This Row],[Quantity]]*BoM_Griptel[[#This Row],[Unit Price]],""),"")</f>
        <v/>
      </c>
      <c r="Q480" s="43" t="str">
        <f>IFERROR(IF(AND(BoM_Griptel[[#This Row],[ACT_Qty]]&lt;&gt;"",BoM_Griptel[[#This Row],[Currency]]="NOK"),BoM_Griptel[[#This Row],[ACT_Qty]]*BoM_Griptel[[#This Row],[Unit Price]],""),"")</f>
        <v/>
      </c>
      <c r="R480" s="43" t="str">
        <f>IFERROR(IF(AND(BoM_Griptel[[#This Row],[Quantity]]&lt;&gt;"",BoM_Griptel[[#This Row],[Currency]]="EUR"),BoM_Griptel[[#This Row],[Quantity]]*BoM_Griptel[[#This Row],[Unit Price]],""),"")</f>
        <v/>
      </c>
      <c r="S480" s="43" t="str">
        <f>IFERROR(IF(AND(BoM_Griptel[[#This Row],[ACT_Qty]]&lt;&gt;"",BoM_Griptel[[#This Row],[Currency]]="EUR"),BoM_Griptel[[#This Row],[ACT_Qty]]*BoM_Griptel[[#This Row],[Unit Price]],""),"")</f>
        <v/>
      </c>
      <c r="T480" s="186" t="s">
        <v>1802</v>
      </c>
      <c r="U480" s="46"/>
      <c r="V480" s="46"/>
      <c r="W480" s="146"/>
    </row>
    <row r="481" spans="1:23" ht="15" customHeight="1">
      <c r="A481" s="143" t="str">
        <f t="shared" si="14"/>
        <v>AKH12345</v>
      </c>
      <c r="B481" s="144" t="s">
        <v>2759</v>
      </c>
      <c r="C481" s="143" t="s">
        <v>2760</v>
      </c>
      <c r="D481" s="105"/>
      <c r="E481" s="106"/>
      <c r="F481" s="105"/>
      <c r="G481" s="106"/>
      <c r="H481" s="175"/>
      <c r="I481" s="176" t="s">
        <v>847</v>
      </c>
      <c r="J481" s="176" t="s">
        <v>1965</v>
      </c>
      <c r="K481" s="176" t="s">
        <v>1235</v>
      </c>
      <c r="L481" s="145" t="s">
        <v>1806</v>
      </c>
      <c r="M481" s="45" t="str">
        <f t="shared" si="15"/>
        <v>OneCo Networks AS</v>
      </c>
      <c r="N481" s="40" t="str">
        <f ca="1">IFERROR(
VLOOKUP(BoM_Griptel[[#This Row],[Product code]],
IF(AND((BoQ!$N$3&lt;&gt;""),OR(BoM_Griptel[[#This Row],[Vendor]]="Griptel",BoM_Griptel[[#This Row],[Vendor]]="Solar")),INDIRECT(Aux!$A$1)),4,FALSE),"")</f>
        <v/>
      </c>
      <c r="O481" s="169" t="s">
        <v>1807</v>
      </c>
      <c r="P481" s="41" t="str">
        <f>IFERROR(IF(AND(BoM_Griptel[[#This Row],[Quantity]]&lt;&gt;"",BoM_Griptel[[#This Row],[Currency]]="NOK"),BoM_Griptel[[#This Row],[Quantity]]*BoM_Griptel[[#This Row],[Unit Price]],""),"")</f>
        <v/>
      </c>
      <c r="Q481" s="41" t="str">
        <f>IFERROR(IF(AND(BoM_Griptel[[#This Row],[ACT_Qty]]&lt;&gt;"",BoM_Griptel[[#This Row],[Currency]]="NOK"),BoM_Griptel[[#This Row],[ACT_Qty]]*BoM_Griptel[[#This Row],[Unit Price]],""),"")</f>
        <v/>
      </c>
      <c r="R481" s="41" t="str">
        <f>IFERROR(IF(AND(BoM_Griptel[[#This Row],[Quantity]]&lt;&gt;"",BoM_Griptel[[#This Row],[Currency]]="EUR"),BoM_Griptel[[#This Row],[Quantity]]*BoM_Griptel[[#This Row],[Unit Price]],""),"")</f>
        <v/>
      </c>
      <c r="S481" s="41" t="str">
        <f>IFERROR(IF(AND(BoM_Griptel[[#This Row],[ACT_Qty]]&lt;&gt;"",BoM_Griptel[[#This Row],[Currency]]="EUR"),BoM_Griptel[[#This Row],[ACT_Qty]]*BoM_Griptel[[#This Row],[Unit Price]],""),"")</f>
        <v/>
      </c>
      <c r="T481" s="185" t="s">
        <v>1802</v>
      </c>
      <c r="U481" s="45"/>
      <c r="V481" s="45"/>
      <c r="W481" s="143"/>
    </row>
    <row r="482" spans="1:23" ht="15" customHeight="1">
      <c r="A482" s="146" t="str">
        <f t="shared" si="14"/>
        <v>AKH12345</v>
      </c>
      <c r="B482" s="147" t="s">
        <v>2761</v>
      </c>
      <c r="C482" s="146" t="s">
        <v>2762</v>
      </c>
      <c r="D482" s="68"/>
      <c r="E482" s="89"/>
      <c r="F482" s="68"/>
      <c r="G482" s="89"/>
      <c r="H482" s="177"/>
      <c r="I482" s="178" t="s">
        <v>847</v>
      </c>
      <c r="J482" s="178" t="s">
        <v>1965</v>
      </c>
      <c r="K482" s="178" t="s">
        <v>1235</v>
      </c>
      <c r="L482" s="148" t="s">
        <v>1806</v>
      </c>
      <c r="M482" s="46" t="str">
        <f t="shared" si="15"/>
        <v>OneCo Networks AS</v>
      </c>
      <c r="N482" s="42" t="str">
        <f ca="1">IFERROR(
VLOOKUP(BoM_Griptel[[#This Row],[Product code]],
IF(AND((BoQ!$N$3&lt;&gt;""),OR(BoM_Griptel[[#This Row],[Vendor]]="Griptel",BoM_Griptel[[#This Row],[Vendor]]="Solar")),INDIRECT(Aux!$A$1)),4,FALSE),"")</f>
        <v/>
      </c>
      <c r="O482" s="170" t="s">
        <v>1807</v>
      </c>
      <c r="P482" s="43" t="str">
        <f>IFERROR(IF(AND(BoM_Griptel[[#This Row],[Quantity]]&lt;&gt;"",BoM_Griptel[[#This Row],[Currency]]="NOK"),BoM_Griptel[[#This Row],[Quantity]]*BoM_Griptel[[#This Row],[Unit Price]],""),"")</f>
        <v/>
      </c>
      <c r="Q482" s="43" t="str">
        <f>IFERROR(IF(AND(BoM_Griptel[[#This Row],[ACT_Qty]]&lt;&gt;"",BoM_Griptel[[#This Row],[Currency]]="NOK"),BoM_Griptel[[#This Row],[ACT_Qty]]*BoM_Griptel[[#This Row],[Unit Price]],""),"")</f>
        <v/>
      </c>
      <c r="R482" s="43" t="str">
        <f>IFERROR(IF(AND(BoM_Griptel[[#This Row],[Quantity]]&lt;&gt;"",BoM_Griptel[[#This Row],[Currency]]="EUR"),BoM_Griptel[[#This Row],[Quantity]]*BoM_Griptel[[#This Row],[Unit Price]],""),"")</f>
        <v/>
      </c>
      <c r="S482" s="43" t="str">
        <f>IFERROR(IF(AND(BoM_Griptel[[#This Row],[ACT_Qty]]&lt;&gt;"",BoM_Griptel[[#This Row],[Currency]]="EUR"),BoM_Griptel[[#This Row],[ACT_Qty]]*BoM_Griptel[[#This Row],[Unit Price]],""),"")</f>
        <v/>
      </c>
      <c r="T482" s="186" t="s">
        <v>1802</v>
      </c>
      <c r="U482" s="46"/>
      <c r="V482" s="46"/>
      <c r="W482" s="146"/>
    </row>
    <row r="483" spans="1:23" ht="15" customHeight="1">
      <c r="A483" s="143" t="str">
        <f t="shared" si="14"/>
        <v>AKH12345</v>
      </c>
      <c r="B483" s="144" t="s">
        <v>2763</v>
      </c>
      <c r="C483" s="143" t="s">
        <v>2764</v>
      </c>
      <c r="D483" s="105"/>
      <c r="E483" s="106"/>
      <c r="F483" s="105"/>
      <c r="G483" s="106"/>
      <c r="H483" s="175"/>
      <c r="I483" s="176" t="s">
        <v>847</v>
      </c>
      <c r="J483" s="176" t="s">
        <v>1965</v>
      </c>
      <c r="K483" s="176" t="s">
        <v>1235</v>
      </c>
      <c r="L483" s="145" t="s">
        <v>1806</v>
      </c>
      <c r="M483" s="45" t="str">
        <f t="shared" si="15"/>
        <v>OneCo Networks AS</v>
      </c>
      <c r="N483" s="40" t="str">
        <f ca="1">IFERROR(
VLOOKUP(BoM_Griptel[[#This Row],[Product code]],
IF(AND((BoQ!$N$3&lt;&gt;""),OR(BoM_Griptel[[#This Row],[Vendor]]="Griptel",BoM_Griptel[[#This Row],[Vendor]]="Solar")),INDIRECT(Aux!$A$1)),4,FALSE),"")</f>
        <v/>
      </c>
      <c r="O483" s="169" t="s">
        <v>1807</v>
      </c>
      <c r="P483" s="41" t="str">
        <f>IFERROR(IF(AND(BoM_Griptel[[#This Row],[Quantity]]&lt;&gt;"",BoM_Griptel[[#This Row],[Currency]]="NOK"),BoM_Griptel[[#This Row],[Quantity]]*BoM_Griptel[[#This Row],[Unit Price]],""),"")</f>
        <v/>
      </c>
      <c r="Q483" s="41" t="str">
        <f>IFERROR(IF(AND(BoM_Griptel[[#This Row],[ACT_Qty]]&lt;&gt;"",BoM_Griptel[[#This Row],[Currency]]="NOK"),BoM_Griptel[[#This Row],[ACT_Qty]]*BoM_Griptel[[#This Row],[Unit Price]],""),"")</f>
        <v/>
      </c>
      <c r="R483" s="41" t="str">
        <f>IFERROR(IF(AND(BoM_Griptel[[#This Row],[Quantity]]&lt;&gt;"",BoM_Griptel[[#This Row],[Currency]]="EUR"),BoM_Griptel[[#This Row],[Quantity]]*BoM_Griptel[[#This Row],[Unit Price]],""),"")</f>
        <v/>
      </c>
      <c r="S483" s="41" t="str">
        <f>IFERROR(IF(AND(BoM_Griptel[[#This Row],[ACT_Qty]]&lt;&gt;"",BoM_Griptel[[#This Row],[Currency]]="EUR"),BoM_Griptel[[#This Row],[ACT_Qty]]*BoM_Griptel[[#This Row],[Unit Price]],""),"")</f>
        <v/>
      </c>
      <c r="T483" s="185" t="s">
        <v>1802</v>
      </c>
      <c r="U483" s="45"/>
      <c r="V483" s="45"/>
      <c r="W483" s="143"/>
    </row>
    <row r="484" spans="1:23" ht="15" customHeight="1">
      <c r="A484" s="146" t="str">
        <f t="shared" si="14"/>
        <v>AKH12345</v>
      </c>
      <c r="B484" s="147" t="s">
        <v>2765</v>
      </c>
      <c r="C484" s="146" t="s">
        <v>2766</v>
      </c>
      <c r="D484" s="68"/>
      <c r="E484" s="89"/>
      <c r="F484" s="68"/>
      <c r="G484" s="89"/>
      <c r="H484" s="177"/>
      <c r="I484" s="178" t="s">
        <v>847</v>
      </c>
      <c r="J484" s="178" t="s">
        <v>1965</v>
      </c>
      <c r="K484" s="178" t="s">
        <v>1235</v>
      </c>
      <c r="L484" s="148" t="s">
        <v>1806</v>
      </c>
      <c r="M484" s="46" t="str">
        <f t="shared" si="15"/>
        <v>OneCo Networks AS</v>
      </c>
      <c r="N484" s="42" t="str">
        <f ca="1">IFERROR(
VLOOKUP(BoM_Griptel[[#This Row],[Product code]],
IF(AND((BoQ!$N$3&lt;&gt;""),OR(BoM_Griptel[[#This Row],[Vendor]]="Griptel",BoM_Griptel[[#This Row],[Vendor]]="Solar")),INDIRECT(Aux!$A$1)),4,FALSE),"")</f>
        <v/>
      </c>
      <c r="O484" s="170" t="s">
        <v>1807</v>
      </c>
      <c r="P484" s="43" t="str">
        <f>IFERROR(IF(AND(BoM_Griptel[[#This Row],[Quantity]]&lt;&gt;"",BoM_Griptel[[#This Row],[Currency]]="NOK"),BoM_Griptel[[#This Row],[Quantity]]*BoM_Griptel[[#This Row],[Unit Price]],""),"")</f>
        <v/>
      </c>
      <c r="Q484" s="43" t="str">
        <f>IFERROR(IF(AND(BoM_Griptel[[#This Row],[ACT_Qty]]&lt;&gt;"",BoM_Griptel[[#This Row],[Currency]]="NOK"),BoM_Griptel[[#This Row],[ACT_Qty]]*BoM_Griptel[[#This Row],[Unit Price]],""),"")</f>
        <v/>
      </c>
      <c r="R484" s="43" t="str">
        <f>IFERROR(IF(AND(BoM_Griptel[[#This Row],[Quantity]]&lt;&gt;"",BoM_Griptel[[#This Row],[Currency]]="EUR"),BoM_Griptel[[#This Row],[Quantity]]*BoM_Griptel[[#This Row],[Unit Price]],""),"")</f>
        <v/>
      </c>
      <c r="S484" s="43" t="str">
        <f>IFERROR(IF(AND(BoM_Griptel[[#This Row],[ACT_Qty]]&lt;&gt;"",BoM_Griptel[[#This Row],[Currency]]="EUR"),BoM_Griptel[[#This Row],[ACT_Qty]]*BoM_Griptel[[#This Row],[Unit Price]],""),"")</f>
        <v/>
      </c>
      <c r="T484" s="186" t="s">
        <v>1802</v>
      </c>
      <c r="U484" s="46"/>
      <c r="V484" s="46"/>
      <c r="W484" s="146"/>
    </row>
    <row r="485" spans="1:23" ht="15" customHeight="1">
      <c r="A485" s="143" t="str">
        <f t="shared" si="14"/>
        <v>AKH12345</v>
      </c>
      <c r="B485" s="144" t="s">
        <v>2767</v>
      </c>
      <c r="C485" s="143" t="s">
        <v>2768</v>
      </c>
      <c r="D485" s="105"/>
      <c r="E485" s="106"/>
      <c r="F485" s="105"/>
      <c r="G485" s="106"/>
      <c r="H485" s="175"/>
      <c r="I485" s="176" t="s">
        <v>847</v>
      </c>
      <c r="J485" s="176" t="s">
        <v>1965</v>
      </c>
      <c r="K485" s="176" t="s">
        <v>1235</v>
      </c>
      <c r="L485" s="145" t="s">
        <v>1806</v>
      </c>
      <c r="M485" s="45" t="str">
        <f t="shared" si="15"/>
        <v>OneCo Networks AS</v>
      </c>
      <c r="N485" s="40" t="str">
        <f ca="1">IFERROR(
VLOOKUP(BoM_Griptel[[#This Row],[Product code]],
IF(AND((BoQ!$N$3&lt;&gt;""),OR(BoM_Griptel[[#This Row],[Vendor]]="Griptel",BoM_Griptel[[#This Row],[Vendor]]="Solar")),INDIRECT(Aux!$A$1)),4,FALSE),"")</f>
        <v/>
      </c>
      <c r="O485" s="169" t="s">
        <v>1807</v>
      </c>
      <c r="P485" s="41" t="str">
        <f>IFERROR(IF(AND(BoM_Griptel[[#This Row],[Quantity]]&lt;&gt;"",BoM_Griptel[[#This Row],[Currency]]="NOK"),BoM_Griptel[[#This Row],[Quantity]]*BoM_Griptel[[#This Row],[Unit Price]],""),"")</f>
        <v/>
      </c>
      <c r="Q485" s="41" t="str">
        <f>IFERROR(IF(AND(BoM_Griptel[[#This Row],[ACT_Qty]]&lt;&gt;"",BoM_Griptel[[#This Row],[Currency]]="NOK"),BoM_Griptel[[#This Row],[ACT_Qty]]*BoM_Griptel[[#This Row],[Unit Price]],""),"")</f>
        <v/>
      </c>
      <c r="R485" s="41" t="str">
        <f>IFERROR(IF(AND(BoM_Griptel[[#This Row],[Quantity]]&lt;&gt;"",BoM_Griptel[[#This Row],[Currency]]="EUR"),BoM_Griptel[[#This Row],[Quantity]]*BoM_Griptel[[#This Row],[Unit Price]],""),"")</f>
        <v/>
      </c>
      <c r="S485" s="41" t="str">
        <f>IFERROR(IF(AND(BoM_Griptel[[#This Row],[ACT_Qty]]&lt;&gt;"",BoM_Griptel[[#This Row],[Currency]]="EUR"),BoM_Griptel[[#This Row],[ACT_Qty]]*BoM_Griptel[[#This Row],[Unit Price]],""),"")</f>
        <v/>
      </c>
      <c r="T485" s="185" t="s">
        <v>1802</v>
      </c>
      <c r="U485" s="45"/>
      <c r="V485" s="45"/>
      <c r="W485" s="143"/>
    </row>
    <row r="486" spans="1:23" ht="15" customHeight="1">
      <c r="A486" s="146" t="str">
        <f t="shared" si="14"/>
        <v>AKH12345</v>
      </c>
      <c r="B486" s="147" t="s">
        <v>2769</v>
      </c>
      <c r="C486" s="146" t="s">
        <v>2770</v>
      </c>
      <c r="D486" s="68"/>
      <c r="E486" s="89"/>
      <c r="F486" s="68"/>
      <c r="G486" s="89"/>
      <c r="H486" s="177"/>
      <c r="I486" s="178" t="s">
        <v>847</v>
      </c>
      <c r="J486" s="178" t="s">
        <v>1965</v>
      </c>
      <c r="K486" s="178" t="s">
        <v>1235</v>
      </c>
      <c r="L486" s="148" t="s">
        <v>1806</v>
      </c>
      <c r="M486" s="46" t="str">
        <f t="shared" si="15"/>
        <v>OneCo Networks AS</v>
      </c>
      <c r="N486" s="42" t="str">
        <f ca="1">IFERROR(
VLOOKUP(BoM_Griptel[[#This Row],[Product code]],
IF(AND((BoQ!$N$3&lt;&gt;""),OR(BoM_Griptel[[#This Row],[Vendor]]="Griptel",BoM_Griptel[[#This Row],[Vendor]]="Solar")),INDIRECT(Aux!$A$1)),4,FALSE),"")</f>
        <v/>
      </c>
      <c r="O486" s="170" t="s">
        <v>1807</v>
      </c>
      <c r="P486" s="43" t="str">
        <f>IFERROR(IF(AND(BoM_Griptel[[#This Row],[Quantity]]&lt;&gt;"",BoM_Griptel[[#This Row],[Currency]]="NOK"),BoM_Griptel[[#This Row],[Quantity]]*BoM_Griptel[[#This Row],[Unit Price]],""),"")</f>
        <v/>
      </c>
      <c r="Q486" s="43" t="str">
        <f>IFERROR(IF(AND(BoM_Griptel[[#This Row],[ACT_Qty]]&lt;&gt;"",BoM_Griptel[[#This Row],[Currency]]="NOK"),BoM_Griptel[[#This Row],[ACT_Qty]]*BoM_Griptel[[#This Row],[Unit Price]],""),"")</f>
        <v/>
      </c>
      <c r="R486" s="43" t="str">
        <f>IFERROR(IF(AND(BoM_Griptel[[#This Row],[Quantity]]&lt;&gt;"",BoM_Griptel[[#This Row],[Currency]]="EUR"),BoM_Griptel[[#This Row],[Quantity]]*BoM_Griptel[[#This Row],[Unit Price]],""),"")</f>
        <v/>
      </c>
      <c r="S486" s="43" t="str">
        <f>IFERROR(IF(AND(BoM_Griptel[[#This Row],[ACT_Qty]]&lt;&gt;"",BoM_Griptel[[#This Row],[Currency]]="EUR"),BoM_Griptel[[#This Row],[ACT_Qty]]*BoM_Griptel[[#This Row],[Unit Price]],""),"")</f>
        <v/>
      </c>
      <c r="T486" s="186" t="s">
        <v>1802</v>
      </c>
      <c r="U486" s="46"/>
      <c r="V486" s="46"/>
      <c r="W486" s="146"/>
    </row>
    <row r="487" spans="1:23" ht="15" customHeight="1">
      <c r="A487" s="143" t="str">
        <f t="shared" si="14"/>
        <v>AKH12345</v>
      </c>
      <c r="B487" s="144" t="s">
        <v>2771</v>
      </c>
      <c r="C487" s="143" t="s">
        <v>2772</v>
      </c>
      <c r="D487" s="105"/>
      <c r="E487" s="106"/>
      <c r="F487" s="105"/>
      <c r="G487" s="106"/>
      <c r="H487" s="175"/>
      <c r="I487" s="176" t="s">
        <v>847</v>
      </c>
      <c r="J487" s="176" t="s">
        <v>1965</v>
      </c>
      <c r="K487" s="176" t="s">
        <v>1235</v>
      </c>
      <c r="L487" s="145" t="s">
        <v>1806</v>
      </c>
      <c r="M487" s="45" t="str">
        <f t="shared" si="15"/>
        <v>OneCo Networks AS</v>
      </c>
      <c r="N487" s="40" t="str">
        <f ca="1">IFERROR(
VLOOKUP(BoM_Griptel[[#This Row],[Product code]],
IF(AND((BoQ!$N$3&lt;&gt;""),OR(BoM_Griptel[[#This Row],[Vendor]]="Griptel",BoM_Griptel[[#This Row],[Vendor]]="Solar")),INDIRECT(Aux!$A$1)),4,FALSE),"")</f>
        <v/>
      </c>
      <c r="O487" s="169" t="s">
        <v>1807</v>
      </c>
      <c r="P487" s="41" t="str">
        <f>IFERROR(IF(AND(BoM_Griptel[[#This Row],[Quantity]]&lt;&gt;"",BoM_Griptel[[#This Row],[Currency]]="NOK"),BoM_Griptel[[#This Row],[Quantity]]*BoM_Griptel[[#This Row],[Unit Price]],""),"")</f>
        <v/>
      </c>
      <c r="Q487" s="41" t="str">
        <f>IFERROR(IF(AND(BoM_Griptel[[#This Row],[ACT_Qty]]&lt;&gt;"",BoM_Griptel[[#This Row],[Currency]]="NOK"),BoM_Griptel[[#This Row],[ACT_Qty]]*BoM_Griptel[[#This Row],[Unit Price]],""),"")</f>
        <v/>
      </c>
      <c r="R487" s="41" t="str">
        <f>IFERROR(IF(AND(BoM_Griptel[[#This Row],[Quantity]]&lt;&gt;"",BoM_Griptel[[#This Row],[Currency]]="EUR"),BoM_Griptel[[#This Row],[Quantity]]*BoM_Griptel[[#This Row],[Unit Price]],""),"")</f>
        <v/>
      </c>
      <c r="S487" s="41" t="str">
        <f>IFERROR(IF(AND(BoM_Griptel[[#This Row],[ACT_Qty]]&lt;&gt;"",BoM_Griptel[[#This Row],[Currency]]="EUR"),BoM_Griptel[[#This Row],[ACT_Qty]]*BoM_Griptel[[#This Row],[Unit Price]],""),"")</f>
        <v/>
      </c>
      <c r="T487" s="185" t="s">
        <v>1802</v>
      </c>
      <c r="U487" s="45"/>
      <c r="V487" s="45"/>
      <c r="W487" s="143"/>
    </row>
    <row r="488" spans="1:23" ht="15" customHeight="1">
      <c r="A488" s="146" t="str">
        <f t="shared" si="14"/>
        <v>AKH12345</v>
      </c>
      <c r="B488" s="147" t="s">
        <v>2773</v>
      </c>
      <c r="C488" s="146" t="s">
        <v>2774</v>
      </c>
      <c r="D488" s="68"/>
      <c r="E488" s="89"/>
      <c r="F488" s="68"/>
      <c r="G488" s="89"/>
      <c r="H488" s="177"/>
      <c r="I488" s="178" t="s">
        <v>847</v>
      </c>
      <c r="J488" s="178" t="s">
        <v>1965</v>
      </c>
      <c r="K488" s="178" t="s">
        <v>1235</v>
      </c>
      <c r="L488" s="148" t="s">
        <v>1806</v>
      </c>
      <c r="M488" s="46" t="str">
        <f t="shared" si="15"/>
        <v>OneCo Networks AS</v>
      </c>
      <c r="N488" s="42" t="str">
        <f ca="1">IFERROR(
VLOOKUP(BoM_Griptel[[#This Row],[Product code]],
IF(AND((BoQ!$N$3&lt;&gt;""),OR(BoM_Griptel[[#This Row],[Vendor]]="Griptel",BoM_Griptel[[#This Row],[Vendor]]="Solar")),INDIRECT(Aux!$A$1)),4,FALSE),"")</f>
        <v/>
      </c>
      <c r="O488" s="170" t="s">
        <v>1807</v>
      </c>
      <c r="P488" s="43" t="str">
        <f>IFERROR(IF(AND(BoM_Griptel[[#This Row],[Quantity]]&lt;&gt;"",BoM_Griptel[[#This Row],[Currency]]="NOK"),BoM_Griptel[[#This Row],[Quantity]]*BoM_Griptel[[#This Row],[Unit Price]],""),"")</f>
        <v/>
      </c>
      <c r="Q488" s="43" t="str">
        <f>IFERROR(IF(AND(BoM_Griptel[[#This Row],[ACT_Qty]]&lt;&gt;"",BoM_Griptel[[#This Row],[Currency]]="NOK"),BoM_Griptel[[#This Row],[ACT_Qty]]*BoM_Griptel[[#This Row],[Unit Price]],""),"")</f>
        <v/>
      </c>
      <c r="R488" s="43" t="str">
        <f>IFERROR(IF(AND(BoM_Griptel[[#This Row],[Quantity]]&lt;&gt;"",BoM_Griptel[[#This Row],[Currency]]="EUR"),BoM_Griptel[[#This Row],[Quantity]]*BoM_Griptel[[#This Row],[Unit Price]],""),"")</f>
        <v/>
      </c>
      <c r="S488" s="43" t="str">
        <f>IFERROR(IF(AND(BoM_Griptel[[#This Row],[ACT_Qty]]&lt;&gt;"",BoM_Griptel[[#This Row],[Currency]]="EUR"),BoM_Griptel[[#This Row],[ACT_Qty]]*BoM_Griptel[[#This Row],[Unit Price]],""),"")</f>
        <v/>
      </c>
      <c r="T488" s="186" t="s">
        <v>1802</v>
      </c>
      <c r="U488" s="46"/>
      <c r="V488" s="46"/>
      <c r="W488" s="146"/>
    </row>
    <row r="489" spans="1:23" ht="15" customHeight="1">
      <c r="A489" s="143" t="str">
        <f t="shared" si="14"/>
        <v>AKH12345</v>
      </c>
      <c r="B489" s="144" t="s">
        <v>2775</v>
      </c>
      <c r="C489" s="143" t="s">
        <v>2776</v>
      </c>
      <c r="D489" s="105"/>
      <c r="E489" s="106"/>
      <c r="F489" s="105"/>
      <c r="G489" s="106"/>
      <c r="H489" s="175"/>
      <c r="I489" s="176" t="s">
        <v>847</v>
      </c>
      <c r="J489" s="176" t="s">
        <v>1965</v>
      </c>
      <c r="K489" s="176" t="s">
        <v>1235</v>
      </c>
      <c r="L489" s="145" t="s">
        <v>1806</v>
      </c>
      <c r="M489" s="45" t="str">
        <f t="shared" si="15"/>
        <v>OneCo Networks AS</v>
      </c>
      <c r="N489" s="40" t="str">
        <f ca="1">IFERROR(
VLOOKUP(BoM_Griptel[[#This Row],[Product code]],
IF(AND((BoQ!$N$3&lt;&gt;""),OR(BoM_Griptel[[#This Row],[Vendor]]="Griptel",BoM_Griptel[[#This Row],[Vendor]]="Solar")),INDIRECT(Aux!$A$1)),4,FALSE),"")</f>
        <v/>
      </c>
      <c r="O489" s="169" t="s">
        <v>1807</v>
      </c>
      <c r="P489" s="41" t="str">
        <f>IFERROR(IF(AND(BoM_Griptel[[#This Row],[Quantity]]&lt;&gt;"",BoM_Griptel[[#This Row],[Currency]]="NOK"),BoM_Griptel[[#This Row],[Quantity]]*BoM_Griptel[[#This Row],[Unit Price]],""),"")</f>
        <v/>
      </c>
      <c r="Q489" s="41" t="str">
        <f>IFERROR(IF(AND(BoM_Griptel[[#This Row],[ACT_Qty]]&lt;&gt;"",BoM_Griptel[[#This Row],[Currency]]="NOK"),BoM_Griptel[[#This Row],[ACT_Qty]]*BoM_Griptel[[#This Row],[Unit Price]],""),"")</f>
        <v/>
      </c>
      <c r="R489" s="41" t="str">
        <f>IFERROR(IF(AND(BoM_Griptel[[#This Row],[Quantity]]&lt;&gt;"",BoM_Griptel[[#This Row],[Currency]]="EUR"),BoM_Griptel[[#This Row],[Quantity]]*BoM_Griptel[[#This Row],[Unit Price]],""),"")</f>
        <v/>
      </c>
      <c r="S489" s="41" t="str">
        <f>IFERROR(IF(AND(BoM_Griptel[[#This Row],[ACT_Qty]]&lt;&gt;"",BoM_Griptel[[#This Row],[Currency]]="EUR"),BoM_Griptel[[#This Row],[ACT_Qty]]*BoM_Griptel[[#This Row],[Unit Price]],""),"")</f>
        <v/>
      </c>
      <c r="T489" s="185" t="s">
        <v>1802</v>
      </c>
      <c r="U489" s="45"/>
      <c r="V489" s="45"/>
      <c r="W489" s="143"/>
    </row>
    <row r="490" spans="1:23" ht="15" customHeight="1">
      <c r="A490" s="146" t="str">
        <f t="shared" si="14"/>
        <v>AKH12345</v>
      </c>
      <c r="B490" s="147" t="s">
        <v>2777</v>
      </c>
      <c r="C490" s="146" t="s">
        <v>2778</v>
      </c>
      <c r="D490" s="68"/>
      <c r="E490" s="89"/>
      <c r="F490" s="68"/>
      <c r="G490" s="89"/>
      <c r="H490" s="177"/>
      <c r="I490" s="178" t="s">
        <v>847</v>
      </c>
      <c r="J490" s="178" t="s">
        <v>1965</v>
      </c>
      <c r="K490" s="178" t="s">
        <v>1235</v>
      </c>
      <c r="L490" s="148" t="s">
        <v>1806</v>
      </c>
      <c r="M490" s="46" t="str">
        <f t="shared" si="15"/>
        <v>OneCo Networks AS</v>
      </c>
      <c r="N490" s="42" t="str">
        <f ca="1">IFERROR(
VLOOKUP(BoM_Griptel[[#This Row],[Product code]],
IF(AND((BoQ!$N$3&lt;&gt;""),OR(BoM_Griptel[[#This Row],[Vendor]]="Griptel",BoM_Griptel[[#This Row],[Vendor]]="Solar")),INDIRECT(Aux!$A$1)),4,FALSE),"")</f>
        <v/>
      </c>
      <c r="O490" s="170" t="s">
        <v>1807</v>
      </c>
      <c r="P490" s="43" t="str">
        <f>IFERROR(IF(AND(BoM_Griptel[[#This Row],[Quantity]]&lt;&gt;"",BoM_Griptel[[#This Row],[Currency]]="NOK"),BoM_Griptel[[#This Row],[Quantity]]*BoM_Griptel[[#This Row],[Unit Price]],""),"")</f>
        <v/>
      </c>
      <c r="Q490" s="43" t="str">
        <f>IFERROR(IF(AND(BoM_Griptel[[#This Row],[ACT_Qty]]&lt;&gt;"",BoM_Griptel[[#This Row],[Currency]]="NOK"),BoM_Griptel[[#This Row],[ACT_Qty]]*BoM_Griptel[[#This Row],[Unit Price]],""),"")</f>
        <v/>
      </c>
      <c r="R490" s="43" t="str">
        <f>IFERROR(IF(AND(BoM_Griptel[[#This Row],[Quantity]]&lt;&gt;"",BoM_Griptel[[#This Row],[Currency]]="EUR"),BoM_Griptel[[#This Row],[Quantity]]*BoM_Griptel[[#This Row],[Unit Price]],""),"")</f>
        <v/>
      </c>
      <c r="S490" s="43" t="str">
        <f>IFERROR(IF(AND(BoM_Griptel[[#This Row],[ACT_Qty]]&lt;&gt;"",BoM_Griptel[[#This Row],[Currency]]="EUR"),BoM_Griptel[[#This Row],[ACT_Qty]]*BoM_Griptel[[#This Row],[Unit Price]],""),"")</f>
        <v/>
      </c>
      <c r="T490" s="186" t="s">
        <v>1802</v>
      </c>
      <c r="U490" s="46"/>
      <c r="V490" s="46"/>
      <c r="W490" s="146"/>
    </row>
    <row r="491" spans="1:23" ht="15" customHeight="1">
      <c r="A491" s="143" t="str">
        <f t="shared" si="14"/>
        <v>AKH12345</v>
      </c>
      <c r="B491" s="144" t="s">
        <v>2779</v>
      </c>
      <c r="C491" s="143" t="s">
        <v>2780</v>
      </c>
      <c r="D491" s="105"/>
      <c r="E491" s="106"/>
      <c r="F491" s="105"/>
      <c r="G491" s="106"/>
      <c r="H491" s="175"/>
      <c r="I491" s="176" t="s">
        <v>847</v>
      </c>
      <c r="J491" s="176" t="s">
        <v>1965</v>
      </c>
      <c r="K491" s="176" t="s">
        <v>1235</v>
      </c>
      <c r="L491" s="145" t="s">
        <v>1806</v>
      </c>
      <c r="M491" s="45" t="str">
        <f t="shared" si="15"/>
        <v>OneCo Networks AS</v>
      </c>
      <c r="N491" s="40" t="str">
        <f ca="1">IFERROR(
VLOOKUP(BoM_Griptel[[#This Row],[Product code]],
IF(AND((BoQ!$N$3&lt;&gt;""),OR(BoM_Griptel[[#This Row],[Vendor]]="Griptel",BoM_Griptel[[#This Row],[Vendor]]="Solar")),INDIRECT(Aux!$A$1)),4,FALSE),"")</f>
        <v/>
      </c>
      <c r="O491" s="169" t="s">
        <v>1807</v>
      </c>
      <c r="P491" s="41" t="str">
        <f>IFERROR(IF(AND(BoM_Griptel[[#This Row],[Quantity]]&lt;&gt;"",BoM_Griptel[[#This Row],[Currency]]="NOK"),BoM_Griptel[[#This Row],[Quantity]]*BoM_Griptel[[#This Row],[Unit Price]],""),"")</f>
        <v/>
      </c>
      <c r="Q491" s="41" t="str">
        <f>IFERROR(IF(AND(BoM_Griptel[[#This Row],[ACT_Qty]]&lt;&gt;"",BoM_Griptel[[#This Row],[Currency]]="NOK"),BoM_Griptel[[#This Row],[ACT_Qty]]*BoM_Griptel[[#This Row],[Unit Price]],""),"")</f>
        <v/>
      </c>
      <c r="R491" s="41" t="str">
        <f>IFERROR(IF(AND(BoM_Griptel[[#This Row],[Quantity]]&lt;&gt;"",BoM_Griptel[[#This Row],[Currency]]="EUR"),BoM_Griptel[[#This Row],[Quantity]]*BoM_Griptel[[#This Row],[Unit Price]],""),"")</f>
        <v/>
      </c>
      <c r="S491" s="41" t="str">
        <f>IFERROR(IF(AND(BoM_Griptel[[#This Row],[ACT_Qty]]&lt;&gt;"",BoM_Griptel[[#This Row],[Currency]]="EUR"),BoM_Griptel[[#This Row],[ACT_Qty]]*BoM_Griptel[[#This Row],[Unit Price]],""),"")</f>
        <v/>
      </c>
      <c r="T491" s="185" t="s">
        <v>1802</v>
      </c>
      <c r="U491" s="45"/>
      <c r="V491" s="45"/>
      <c r="W491" s="143"/>
    </row>
    <row r="492" spans="1:23" ht="15" customHeight="1">
      <c r="A492" s="146" t="str">
        <f t="shared" si="14"/>
        <v>AKH12345</v>
      </c>
      <c r="B492" s="147" t="s">
        <v>2781</v>
      </c>
      <c r="C492" s="146" t="s">
        <v>2782</v>
      </c>
      <c r="D492" s="68"/>
      <c r="E492" s="89"/>
      <c r="F492" s="68"/>
      <c r="G492" s="89"/>
      <c r="H492" s="177"/>
      <c r="I492" s="178" t="s">
        <v>847</v>
      </c>
      <c r="J492" s="178" t="s">
        <v>1965</v>
      </c>
      <c r="K492" s="178" t="s">
        <v>1235</v>
      </c>
      <c r="L492" s="148" t="s">
        <v>1806</v>
      </c>
      <c r="M492" s="46" t="str">
        <f t="shared" si="15"/>
        <v>OneCo Networks AS</v>
      </c>
      <c r="N492" s="42" t="str">
        <f ca="1">IFERROR(
VLOOKUP(BoM_Griptel[[#This Row],[Product code]],
IF(AND((BoQ!$N$3&lt;&gt;""),OR(BoM_Griptel[[#This Row],[Vendor]]="Griptel",BoM_Griptel[[#This Row],[Vendor]]="Solar")),INDIRECT(Aux!$A$1)),4,FALSE),"")</f>
        <v/>
      </c>
      <c r="O492" s="170" t="s">
        <v>1807</v>
      </c>
      <c r="P492" s="43" t="str">
        <f>IFERROR(IF(AND(BoM_Griptel[[#This Row],[Quantity]]&lt;&gt;"",BoM_Griptel[[#This Row],[Currency]]="NOK"),BoM_Griptel[[#This Row],[Quantity]]*BoM_Griptel[[#This Row],[Unit Price]],""),"")</f>
        <v/>
      </c>
      <c r="Q492" s="43" t="str">
        <f>IFERROR(IF(AND(BoM_Griptel[[#This Row],[ACT_Qty]]&lt;&gt;"",BoM_Griptel[[#This Row],[Currency]]="NOK"),BoM_Griptel[[#This Row],[ACT_Qty]]*BoM_Griptel[[#This Row],[Unit Price]],""),"")</f>
        <v/>
      </c>
      <c r="R492" s="43" t="str">
        <f>IFERROR(IF(AND(BoM_Griptel[[#This Row],[Quantity]]&lt;&gt;"",BoM_Griptel[[#This Row],[Currency]]="EUR"),BoM_Griptel[[#This Row],[Quantity]]*BoM_Griptel[[#This Row],[Unit Price]],""),"")</f>
        <v/>
      </c>
      <c r="S492" s="43" t="str">
        <f>IFERROR(IF(AND(BoM_Griptel[[#This Row],[ACT_Qty]]&lt;&gt;"",BoM_Griptel[[#This Row],[Currency]]="EUR"),BoM_Griptel[[#This Row],[ACT_Qty]]*BoM_Griptel[[#This Row],[Unit Price]],""),"")</f>
        <v/>
      </c>
      <c r="T492" s="186" t="s">
        <v>1802</v>
      </c>
      <c r="U492" s="46"/>
      <c r="V492" s="46"/>
      <c r="W492" s="146"/>
    </row>
    <row r="493" spans="1:23" ht="15" customHeight="1">
      <c r="A493" s="143" t="str">
        <f t="shared" si="14"/>
        <v>AKH12345</v>
      </c>
      <c r="B493" s="144" t="s">
        <v>2783</v>
      </c>
      <c r="C493" s="143" t="s">
        <v>2784</v>
      </c>
      <c r="D493" s="105"/>
      <c r="E493" s="106"/>
      <c r="F493" s="105"/>
      <c r="G493" s="106"/>
      <c r="H493" s="175"/>
      <c r="I493" s="176" t="s">
        <v>847</v>
      </c>
      <c r="J493" s="176" t="s">
        <v>1965</v>
      </c>
      <c r="K493" s="176" t="s">
        <v>1235</v>
      </c>
      <c r="L493" s="145" t="s">
        <v>1806</v>
      </c>
      <c r="M493" s="45" t="str">
        <f t="shared" si="15"/>
        <v>OneCo Networks AS</v>
      </c>
      <c r="N493" s="40" t="str">
        <f ca="1">IFERROR(
VLOOKUP(BoM_Griptel[[#This Row],[Product code]],
IF(AND((BoQ!$N$3&lt;&gt;""),OR(BoM_Griptel[[#This Row],[Vendor]]="Griptel",BoM_Griptel[[#This Row],[Vendor]]="Solar")),INDIRECT(Aux!$A$1)),4,FALSE),"")</f>
        <v/>
      </c>
      <c r="O493" s="169" t="s">
        <v>1807</v>
      </c>
      <c r="P493" s="41" t="str">
        <f>IFERROR(IF(AND(BoM_Griptel[[#This Row],[Quantity]]&lt;&gt;"",BoM_Griptel[[#This Row],[Currency]]="NOK"),BoM_Griptel[[#This Row],[Quantity]]*BoM_Griptel[[#This Row],[Unit Price]],""),"")</f>
        <v/>
      </c>
      <c r="Q493" s="41" t="str">
        <f>IFERROR(IF(AND(BoM_Griptel[[#This Row],[ACT_Qty]]&lt;&gt;"",BoM_Griptel[[#This Row],[Currency]]="NOK"),BoM_Griptel[[#This Row],[ACT_Qty]]*BoM_Griptel[[#This Row],[Unit Price]],""),"")</f>
        <v/>
      </c>
      <c r="R493" s="41" t="str">
        <f>IFERROR(IF(AND(BoM_Griptel[[#This Row],[Quantity]]&lt;&gt;"",BoM_Griptel[[#This Row],[Currency]]="EUR"),BoM_Griptel[[#This Row],[Quantity]]*BoM_Griptel[[#This Row],[Unit Price]],""),"")</f>
        <v/>
      </c>
      <c r="S493" s="41" t="str">
        <f>IFERROR(IF(AND(BoM_Griptel[[#This Row],[ACT_Qty]]&lt;&gt;"",BoM_Griptel[[#This Row],[Currency]]="EUR"),BoM_Griptel[[#This Row],[ACT_Qty]]*BoM_Griptel[[#This Row],[Unit Price]],""),"")</f>
        <v/>
      </c>
      <c r="T493" s="185" t="s">
        <v>1802</v>
      </c>
      <c r="U493" s="45"/>
      <c r="V493" s="45"/>
      <c r="W493" s="143"/>
    </row>
    <row r="494" spans="1:23" ht="15" customHeight="1">
      <c r="A494" s="146" t="str">
        <f t="shared" si="14"/>
        <v>AKH12345</v>
      </c>
      <c r="B494" s="147" t="s">
        <v>2785</v>
      </c>
      <c r="C494" s="146" t="s">
        <v>2786</v>
      </c>
      <c r="D494" s="68"/>
      <c r="E494" s="89"/>
      <c r="F494" s="68"/>
      <c r="G494" s="89"/>
      <c r="H494" s="177"/>
      <c r="I494" s="178" t="s">
        <v>847</v>
      </c>
      <c r="J494" s="178" t="s">
        <v>1965</v>
      </c>
      <c r="K494" s="178" t="s">
        <v>1235</v>
      </c>
      <c r="L494" s="148" t="s">
        <v>1806</v>
      </c>
      <c r="M494" s="46" t="str">
        <f t="shared" si="15"/>
        <v>OneCo Networks AS</v>
      </c>
      <c r="N494" s="42" t="str">
        <f ca="1">IFERROR(
VLOOKUP(BoM_Griptel[[#This Row],[Product code]],
IF(AND((BoQ!$N$3&lt;&gt;""),OR(BoM_Griptel[[#This Row],[Vendor]]="Griptel",BoM_Griptel[[#This Row],[Vendor]]="Solar")),INDIRECT(Aux!$A$1)),4,FALSE),"")</f>
        <v/>
      </c>
      <c r="O494" s="170" t="s">
        <v>1807</v>
      </c>
      <c r="P494" s="43" t="str">
        <f>IFERROR(IF(AND(BoM_Griptel[[#This Row],[Quantity]]&lt;&gt;"",BoM_Griptel[[#This Row],[Currency]]="NOK"),BoM_Griptel[[#This Row],[Quantity]]*BoM_Griptel[[#This Row],[Unit Price]],""),"")</f>
        <v/>
      </c>
      <c r="Q494" s="43" t="str">
        <f>IFERROR(IF(AND(BoM_Griptel[[#This Row],[ACT_Qty]]&lt;&gt;"",BoM_Griptel[[#This Row],[Currency]]="NOK"),BoM_Griptel[[#This Row],[ACT_Qty]]*BoM_Griptel[[#This Row],[Unit Price]],""),"")</f>
        <v/>
      </c>
      <c r="R494" s="43" t="str">
        <f>IFERROR(IF(AND(BoM_Griptel[[#This Row],[Quantity]]&lt;&gt;"",BoM_Griptel[[#This Row],[Currency]]="EUR"),BoM_Griptel[[#This Row],[Quantity]]*BoM_Griptel[[#This Row],[Unit Price]],""),"")</f>
        <v/>
      </c>
      <c r="S494" s="43" t="str">
        <f>IFERROR(IF(AND(BoM_Griptel[[#This Row],[ACT_Qty]]&lt;&gt;"",BoM_Griptel[[#This Row],[Currency]]="EUR"),BoM_Griptel[[#This Row],[ACT_Qty]]*BoM_Griptel[[#This Row],[Unit Price]],""),"")</f>
        <v/>
      </c>
      <c r="T494" s="186" t="s">
        <v>1802</v>
      </c>
      <c r="U494" s="46"/>
      <c r="V494" s="46"/>
      <c r="W494" s="146"/>
    </row>
    <row r="495" spans="1:23" ht="15" customHeight="1">
      <c r="A495" s="143" t="str">
        <f t="shared" si="14"/>
        <v>AKH12345</v>
      </c>
      <c r="B495" s="144" t="s">
        <v>2787</v>
      </c>
      <c r="C495" s="143" t="s">
        <v>2788</v>
      </c>
      <c r="D495" s="105"/>
      <c r="E495" s="106"/>
      <c r="F495" s="105"/>
      <c r="G495" s="106"/>
      <c r="H495" s="175"/>
      <c r="I495" s="176" t="s">
        <v>847</v>
      </c>
      <c r="J495" s="176" t="s">
        <v>1965</v>
      </c>
      <c r="K495" s="176" t="s">
        <v>1235</v>
      </c>
      <c r="L495" s="145" t="s">
        <v>1806</v>
      </c>
      <c r="M495" s="45" t="str">
        <f t="shared" si="15"/>
        <v>OneCo Networks AS</v>
      </c>
      <c r="N495" s="40" t="str">
        <f ca="1">IFERROR(
VLOOKUP(BoM_Griptel[[#This Row],[Product code]],
IF(AND((BoQ!$N$3&lt;&gt;""),OR(BoM_Griptel[[#This Row],[Vendor]]="Griptel",BoM_Griptel[[#This Row],[Vendor]]="Solar")),INDIRECT(Aux!$A$1)),4,FALSE),"")</f>
        <v/>
      </c>
      <c r="O495" s="169" t="s">
        <v>1807</v>
      </c>
      <c r="P495" s="41" t="str">
        <f>IFERROR(IF(AND(BoM_Griptel[[#This Row],[Quantity]]&lt;&gt;"",BoM_Griptel[[#This Row],[Currency]]="NOK"),BoM_Griptel[[#This Row],[Quantity]]*BoM_Griptel[[#This Row],[Unit Price]],""),"")</f>
        <v/>
      </c>
      <c r="Q495" s="41" t="str">
        <f>IFERROR(IF(AND(BoM_Griptel[[#This Row],[ACT_Qty]]&lt;&gt;"",BoM_Griptel[[#This Row],[Currency]]="NOK"),BoM_Griptel[[#This Row],[ACT_Qty]]*BoM_Griptel[[#This Row],[Unit Price]],""),"")</f>
        <v/>
      </c>
      <c r="R495" s="41" t="str">
        <f>IFERROR(IF(AND(BoM_Griptel[[#This Row],[Quantity]]&lt;&gt;"",BoM_Griptel[[#This Row],[Currency]]="EUR"),BoM_Griptel[[#This Row],[Quantity]]*BoM_Griptel[[#This Row],[Unit Price]],""),"")</f>
        <v/>
      </c>
      <c r="S495" s="41" t="str">
        <f>IFERROR(IF(AND(BoM_Griptel[[#This Row],[ACT_Qty]]&lt;&gt;"",BoM_Griptel[[#This Row],[Currency]]="EUR"),BoM_Griptel[[#This Row],[ACT_Qty]]*BoM_Griptel[[#This Row],[Unit Price]],""),"")</f>
        <v/>
      </c>
      <c r="T495" s="185" t="s">
        <v>1802</v>
      </c>
      <c r="U495" s="45"/>
      <c r="V495" s="45"/>
      <c r="W495" s="143"/>
    </row>
    <row r="496" spans="1:23" ht="15" customHeight="1">
      <c r="A496" s="146" t="str">
        <f t="shared" si="14"/>
        <v>AKH12345</v>
      </c>
      <c r="B496" s="147" t="s">
        <v>2789</v>
      </c>
      <c r="C496" s="146" t="s">
        <v>2790</v>
      </c>
      <c r="D496" s="68"/>
      <c r="E496" s="89"/>
      <c r="F496" s="68"/>
      <c r="G496" s="89"/>
      <c r="H496" s="177"/>
      <c r="I496" s="178" t="s">
        <v>847</v>
      </c>
      <c r="J496" s="178" t="s">
        <v>1965</v>
      </c>
      <c r="K496" s="178" t="s">
        <v>1235</v>
      </c>
      <c r="L496" s="148" t="s">
        <v>1806</v>
      </c>
      <c r="M496" s="46" t="str">
        <f t="shared" si="15"/>
        <v>OneCo Networks AS</v>
      </c>
      <c r="N496" s="42" t="str">
        <f ca="1">IFERROR(
VLOOKUP(BoM_Griptel[[#This Row],[Product code]],
IF(AND((BoQ!$N$3&lt;&gt;""),OR(BoM_Griptel[[#This Row],[Vendor]]="Griptel",BoM_Griptel[[#This Row],[Vendor]]="Solar")),INDIRECT(Aux!$A$1)),4,FALSE),"")</f>
        <v/>
      </c>
      <c r="O496" s="170" t="s">
        <v>1807</v>
      </c>
      <c r="P496" s="43" t="str">
        <f>IFERROR(IF(AND(BoM_Griptel[[#This Row],[Quantity]]&lt;&gt;"",BoM_Griptel[[#This Row],[Currency]]="NOK"),BoM_Griptel[[#This Row],[Quantity]]*BoM_Griptel[[#This Row],[Unit Price]],""),"")</f>
        <v/>
      </c>
      <c r="Q496" s="43" t="str">
        <f>IFERROR(IF(AND(BoM_Griptel[[#This Row],[ACT_Qty]]&lt;&gt;"",BoM_Griptel[[#This Row],[Currency]]="NOK"),BoM_Griptel[[#This Row],[ACT_Qty]]*BoM_Griptel[[#This Row],[Unit Price]],""),"")</f>
        <v/>
      </c>
      <c r="R496" s="43" t="str">
        <f>IFERROR(IF(AND(BoM_Griptel[[#This Row],[Quantity]]&lt;&gt;"",BoM_Griptel[[#This Row],[Currency]]="EUR"),BoM_Griptel[[#This Row],[Quantity]]*BoM_Griptel[[#This Row],[Unit Price]],""),"")</f>
        <v/>
      </c>
      <c r="S496" s="43" t="str">
        <f>IFERROR(IF(AND(BoM_Griptel[[#This Row],[ACT_Qty]]&lt;&gt;"",BoM_Griptel[[#This Row],[Currency]]="EUR"),BoM_Griptel[[#This Row],[ACT_Qty]]*BoM_Griptel[[#This Row],[Unit Price]],""),"")</f>
        <v/>
      </c>
      <c r="T496" s="186" t="s">
        <v>1802</v>
      </c>
      <c r="U496" s="46"/>
      <c r="V496" s="46"/>
      <c r="W496" s="146"/>
    </row>
    <row r="497" spans="1:23" ht="15" customHeight="1">
      <c r="A497" s="143" t="str">
        <f t="shared" si="14"/>
        <v>AKH12345</v>
      </c>
      <c r="B497" s="144" t="s">
        <v>2791</v>
      </c>
      <c r="C497" s="143" t="s">
        <v>2792</v>
      </c>
      <c r="D497" s="105"/>
      <c r="E497" s="106"/>
      <c r="F497" s="105"/>
      <c r="G497" s="106"/>
      <c r="H497" s="175"/>
      <c r="I497" s="176" t="s">
        <v>847</v>
      </c>
      <c r="J497" s="176" t="s">
        <v>1965</v>
      </c>
      <c r="K497" s="176" t="s">
        <v>1235</v>
      </c>
      <c r="L497" s="145" t="s">
        <v>1806</v>
      </c>
      <c r="M497" s="45" t="str">
        <f t="shared" si="15"/>
        <v>OneCo Networks AS</v>
      </c>
      <c r="N497" s="40" t="str">
        <f ca="1">IFERROR(
VLOOKUP(BoM_Griptel[[#This Row],[Product code]],
IF(AND((BoQ!$N$3&lt;&gt;""),OR(BoM_Griptel[[#This Row],[Vendor]]="Griptel",BoM_Griptel[[#This Row],[Vendor]]="Solar")),INDIRECT(Aux!$A$1)),4,FALSE),"")</f>
        <v/>
      </c>
      <c r="O497" s="169" t="s">
        <v>1807</v>
      </c>
      <c r="P497" s="41" t="str">
        <f>IFERROR(IF(AND(BoM_Griptel[[#This Row],[Quantity]]&lt;&gt;"",BoM_Griptel[[#This Row],[Currency]]="NOK"),BoM_Griptel[[#This Row],[Quantity]]*BoM_Griptel[[#This Row],[Unit Price]],""),"")</f>
        <v/>
      </c>
      <c r="Q497" s="41" t="str">
        <f>IFERROR(IF(AND(BoM_Griptel[[#This Row],[ACT_Qty]]&lt;&gt;"",BoM_Griptel[[#This Row],[Currency]]="NOK"),BoM_Griptel[[#This Row],[ACT_Qty]]*BoM_Griptel[[#This Row],[Unit Price]],""),"")</f>
        <v/>
      </c>
      <c r="R497" s="41" t="str">
        <f>IFERROR(IF(AND(BoM_Griptel[[#This Row],[Quantity]]&lt;&gt;"",BoM_Griptel[[#This Row],[Currency]]="EUR"),BoM_Griptel[[#This Row],[Quantity]]*BoM_Griptel[[#This Row],[Unit Price]],""),"")</f>
        <v/>
      </c>
      <c r="S497" s="41" t="str">
        <f>IFERROR(IF(AND(BoM_Griptel[[#This Row],[ACT_Qty]]&lt;&gt;"",BoM_Griptel[[#This Row],[Currency]]="EUR"),BoM_Griptel[[#This Row],[ACT_Qty]]*BoM_Griptel[[#This Row],[Unit Price]],""),"")</f>
        <v/>
      </c>
      <c r="T497" s="185" t="s">
        <v>1802</v>
      </c>
      <c r="U497" s="45"/>
      <c r="V497" s="45"/>
      <c r="W497" s="143"/>
    </row>
    <row r="498" spans="1:23" ht="15" customHeight="1">
      <c r="A498" s="146" t="str">
        <f t="shared" si="14"/>
        <v>AKH12345</v>
      </c>
      <c r="B498" s="147" t="s">
        <v>2793</v>
      </c>
      <c r="C498" s="146" t="s">
        <v>2794</v>
      </c>
      <c r="D498" s="68"/>
      <c r="E498" s="89"/>
      <c r="F498" s="68"/>
      <c r="G498" s="89"/>
      <c r="H498" s="177"/>
      <c r="I498" s="178" t="s">
        <v>847</v>
      </c>
      <c r="J498" s="178" t="s">
        <v>1965</v>
      </c>
      <c r="K498" s="178" t="s">
        <v>1235</v>
      </c>
      <c r="L498" s="148" t="s">
        <v>1806</v>
      </c>
      <c r="M498" s="46" t="str">
        <f t="shared" si="15"/>
        <v>OneCo Networks AS</v>
      </c>
      <c r="N498" s="42" t="str">
        <f ca="1">IFERROR(
VLOOKUP(BoM_Griptel[[#This Row],[Product code]],
IF(AND((BoQ!$N$3&lt;&gt;""),OR(BoM_Griptel[[#This Row],[Vendor]]="Griptel",BoM_Griptel[[#This Row],[Vendor]]="Solar")),INDIRECT(Aux!$A$1)),4,FALSE),"")</f>
        <v/>
      </c>
      <c r="O498" s="170" t="s">
        <v>1807</v>
      </c>
      <c r="P498" s="43" t="str">
        <f>IFERROR(IF(AND(BoM_Griptel[[#This Row],[Quantity]]&lt;&gt;"",BoM_Griptel[[#This Row],[Currency]]="NOK"),BoM_Griptel[[#This Row],[Quantity]]*BoM_Griptel[[#This Row],[Unit Price]],""),"")</f>
        <v/>
      </c>
      <c r="Q498" s="43" t="str">
        <f>IFERROR(IF(AND(BoM_Griptel[[#This Row],[ACT_Qty]]&lt;&gt;"",BoM_Griptel[[#This Row],[Currency]]="NOK"),BoM_Griptel[[#This Row],[ACT_Qty]]*BoM_Griptel[[#This Row],[Unit Price]],""),"")</f>
        <v/>
      </c>
      <c r="R498" s="43" t="str">
        <f>IFERROR(IF(AND(BoM_Griptel[[#This Row],[Quantity]]&lt;&gt;"",BoM_Griptel[[#This Row],[Currency]]="EUR"),BoM_Griptel[[#This Row],[Quantity]]*BoM_Griptel[[#This Row],[Unit Price]],""),"")</f>
        <v/>
      </c>
      <c r="S498" s="43" t="str">
        <f>IFERROR(IF(AND(BoM_Griptel[[#This Row],[ACT_Qty]]&lt;&gt;"",BoM_Griptel[[#This Row],[Currency]]="EUR"),BoM_Griptel[[#This Row],[ACT_Qty]]*BoM_Griptel[[#This Row],[Unit Price]],""),"")</f>
        <v/>
      </c>
      <c r="T498" s="186" t="s">
        <v>1802</v>
      </c>
      <c r="U498" s="46"/>
      <c r="V498" s="46"/>
      <c r="W498" s="146"/>
    </row>
    <row r="499" spans="1:23" ht="15" customHeight="1">
      <c r="A499" s="143" t="str">
        <f t="shared" si="14"/>
        <v>AKH12345</v>
      </c>
      <c r="B499" s="144" t="s">
        <v>2795</v>
      </c>
      <c r="C499" s="143" t="s">
        <v>2796</v>
      </c>
      <c r="D499" s="105"/>
      <c r="E499" s="106"/>
      <c r="F499" s="105"/>
      <c r="G499" s="106"/>
      <c r="H499" s="175"/>
      <c r="I499" s="176" t="s">
        <v>847</v>
      </c>
      <c r="J499" s="176" t="s">
        <v>1965</v>
      </c>
      <c r="K499" s="176" t="s">
        <v>1235</v>
      </c>
      <c r="L499" s="145" t="s">
        <v>1806</v>
      </c>
      <c r="M499" s="45" t="str">
        <f t="shared" si="15"/>
        <v>OneCo Networks AS</v>
      </c>
      <c r="N499" s="40" t="str">
        <f ca="1">IFERROR(
VLOOKUP(BoM_Griptel[[#This Row],[Product code]],
IF(AND((BoQ!$N$3&lt;&gt;""),OR(BoM_Griptel[[#This Row],[Vendor]]="Griptel",BoM_Griptel[[#This Row],[Vendor]]="Solar")),INDIRECT(Aux!$A$1)),4,FALSE),"")</f>
        <v/>
      </c>
      <c r="O499" s="169" t="s">
        <v>1807</v>
      </c>
      <c r="P499" s="41" t="str">
        <f>IFERROR(IF(AND(BoM_Griptel[[#This Row],[Quantity]]&lt;&gt;"",BoM_Griptel[[#This Row],[Currency]]="NOK"),BoM_Griptel[[#This Row],[Quantity]]*BoM_Griptel[[#This Row],[Unit Price]],""),"")</f>
        <v/>
      </c>
      <c r="Q499" s="41" t="str">
        <f>IFERROR(IF(AND(BoM_Griptel[[#This Row],[ACT_Qty]]&lt;&gt;"",BoM_Griptel[[#This Row],[Currency]]="NOK"),BoM_Griptel[[#This Row],[ACT_Qty]]*BoM_Griptel[[#This Row],[Unit Price]],""),"")</f>
        <v/>
      </c>
      <c r="R499" s="41" t="str">
        <f>IFERROR(IF(AND(BoM_Griptel[[#This Row],[Quantity]]&lt;&gt;"",BoM_Griptel[[#This Row],[Currency]]="EUR"),BoM_Griptel[[#This Row],[Quantity]]*BoM_Griptel[[#This Row],[Unit Price]],""),"")</f>
        <v/>
      </c>
      <c r="S499" s="41" t="str">
        <f>IFERROR(IF(AND(BoM_Griptel[[#This Row],[ACT_Qty]]&lt;&gt;"",BoM_Griptel[[#This Row],[Currency]]="EUR"),BoM_Griptel[[#This Row],[ACT_Qty]]*BoM_Griptel[[#This Row],[Unit Price]],""),"")</f>
        <v/>
      </c>
      <c r="T499" s="185" t="s">
        <v>1802</v>
      </c>
      <c r="U499" s="45"/>
      <c r="V499" s="45"/>
      <c r="W499" s="143"/>
    </row>
    <row r="500" spans="1:23" ht="15" customHeight="1">
      <c r="A500" s="146" t="str">
        <f t="shared" si="14"/>
        <v>AKH12345</v>
      </c>
      <c r="B500" s="147" t="s">
        <v>2797</v>
      </c>
      <c r="C500" s="146" t="s">
        <v>2798</v>
      </c>
      <c r="D500" s="68"/>
      <c r="E500" s="89"/>
      <c r="F500" s="68"/>
      <c r="G500" s="89"/>
      <c r="H500" s="177"/>
      <c r="I500" s="178" t="s">
        <v>847</v>
      </c>
      <c r="J500" s="178" t="s">
        <v>1965</v>
      </c>
      <c r="K500" s="178" t="s">
        <v>1235</v>
      </c>
      <c r="L500" s="148" t="s">
        <v>1806</v>
      </c>
      <c r="M500" s="46" t="str">
        <f t="shared" si="15"/>
        <v>OneCo Networks AS</v>
      </c>
      <c r="N500" s="42" t="str">
        <f ca="1">IFERROR(
VLOOKUP(BoM_Griptel[[#This Row],[Product code]],
IF(AND((BoQ!$N$3&lt;&gt;""),OR(BoM_Griptel[[#This Row],[Vendor]]="Griptel",BoM_Griptel[[#This Row],[Vendor]]="Solar")),INDIRECT(Aux!$A$1)),4,FALSE),"")</f>
        <v/>
      </c>
      <c r="O500" s="170" t="s">
        <v>1807</v>
      </c>
      <c r="P500" s="43" t="str">
        <f>IFERROR(IF(AND(BoM_Griptel[[#This Row],[Quantity]]&lt;&gt;"",BoM_Griptel[[#This Row],[Currency]]="NOK"),BoM_Griptel[[#This Row],[Quantity]]*BoM_Griptel[[#This Row],[Unit Price]],""),"")</f>
        <v/>
      </c>
      <c r="Q500" s="43" t="str">
        <f>IFERROR(IF(AND(BoM_Griptel[[#This Row],[ACT_Qty]]&lt;&gt;"",BoM_Griptel[[#This Row],[Currency]]="NOK"),BoM_Griptel[[#This Row],[ACT_Qty]]*BoM_Griptel[[#This Row],[Unit Price]],""),"")</f>
        <v/>
      </c>
      <c r="R500" s="43" t="str">
        <f>IFERROR(IF(AND(BoM_Griptel[[#This Row],[Quantity]]&lt;&gt;"",BoM_Griptel[[#This Row],[Currency]]="EUR"),BoM_Griptel[[#This Row],[Quantity]]*BoM_Griptel[[#This Row],[Unit Price]],""),"")</f>
        <v/>
      </c>
      <c r="S500" s="43" t="str">
        <f>IFERROR(IF(AND(BoM_Griptel[[#This Row],[ACT_Qty]]&lt;&gt;"",BoM_Griptel[[#This Row],[Currency]]="EUR"),BoM_Griptel[[#This Row],[ACT_Qty]]*BoM_Griptel[[#This Row],[Unit Price]],""),"")</f>
        <v/>
      </c>
      <c r="T500" s="186" t="s">
        <v>1802</v>
      </c>
      <c r="U500" s="46"/>
      <c r="V500" s="46"/>
      <c r="W500" s="146"/>
    </row>
    <row r="501" spans="1:23" ht="15" customHeight="1">
      <c r="A501" s="143" t="str">
        <f t="shared" si="14"/>
        <v>AKH12345</v>
      </c>
      <c r="B501" s="144" t="s">
        <v>2799</v>
      </c>
      <c r="C501" s="143" t="s">
        <v>2800</v>
      </c>
      <c r="D501" s="105"/>
      <c r="E501" s="106"/>
      <c r="F501" s="105"/>
      <c r="G501" s="106"/>
      <c r="H501" s="175"/>
      <c r="I501" s="176" t="s">
        <v>847</v>
      </c>
      <c r="J501" s="176" t="s">
        <v>1965</v>
      </c>
      <c r="K501" s="176" t="s">
        <v>1235</v>
      </c>
      <c r="L501" s="145" t="s">
        <v>1806</v>
      </c>
      <c r="M501" s="45" t="str">
        <f t="shared" si="15"/>
        <v>OneCo Networks AS</v>
      </c>
      <c r="N501" s="40" t="str">
        <f ca="1">IFERROR(
VLOOKUP(BoM_Griptel[[#This Row],[Product code]],
IF(AND((BoQ!$N$3&lt;&gt;""),OR(BoM_Griptel[[#This Row],[Vendor]]="Griptel",BoM_Griptel[[#This Row],[Vendor]]="Solar")),INDIRECT(Aux!$A$1)),4,FALSE),"")</f>
        <v/>
      </c>
      <c r="O501" s="169" t="s">
        <v>1807</v>
      </c>
      <c r="P501" s="41" t="str">
        <f>IFERROR(IF(AND(BoM_Griptel[[#This Row],[Quantity]]&lt;&gt;"",BoM_Griptel[[#This Row],[Currency]]="NOK"),BoM_Griptel[[#This Row],[Quantity]]*BoM_Griptel[[#This Row],[Unit Price]],""),"")</f>
        <v/>
      </c>
      <c r="Q501" s="41" t="str">
        <f>IFERROR(IF(AND(BoM_Griptel[[#This Row],[ACT_Qty]]&lt;&gt;"",BoM_Griptel[[#This Row],[Currency]]="NOK"),BoM_Griptel[[#This Row],[ACT_Qty]]*BoM_Griptel[[#This Row],[Unit Price]],""),"")</f>
        <v/>
      </c>
      <c r="R501" s="41" t="str">
        <f>IFERROR(IF(AND(BoM_Griptel[[#This Row],[Quantity]]&lt;&gt;"",BoM_Griptel[[#This Row],[Currency]]="EUR"),BoM_Griptel[[#This Row],[Quantity]]*BoM_Griptel[[#This Row],[Unit Price]],""),"")</f>
        <v/>
      </c>
      <c r="S501" s="41" t="str">
        <f>IFERROR(IF(AND(BoM_Griptel[[#This Row],[ACT_Qty]]&lt;&gt;"",BoM_Griptel[[#This Row],[Currency]]="EUR"),BoM_Griptel[[#This Row],[ACT_Qty]]*BoM_Griptel[[#This Row],[Unit Price]],""),"")</f>
        <v/>
      </c>
      <c r="T501" s="185" t="s">
        <v>1802</v>
      </c>
      <c r="U501" s="45"/>
      <c r="V501" s="45"/>
      <c r="W501" s="143"/>
    </row>
    <row r="502" spans="1:23" ht="15" customHeight="1">
      <c r="A502" s="146" t="str">
        <f t="shared" si="14"/>
        <v>AKH12345</v>
      </c>
      <c r="B502" s="147" t="s">
        <v>2801</v>
      </c>
      <c r="C502" s="146" t="s">
        <v>2802</v>
      </c>
      <c r="D502" s="68"/>
      <c r="E502" s="89"/>
      <c r="F502" s="68"/>
      <c r="G502" s="89"/>
      <c r="H502" s="177"/>
      <c r="I502" s="178" t="s">
        <v>847</v>
      </c>
      <c r="J502" s="178" t="s">
        <v>1965</v>
      </c>
      <c r="K502" s="178" t="s">
        <v>1235</v>
      </c>
      <c r="L502" s="148" t="s">
        <v>1806</v>
      </c>
      <c r="M502" s="46" t="str">
        <f t="shared" si="15"/>
        <v>OneCo Networks AS</v>
      </c>
      <c r="N502" s="42" t="str">
        <f ca="1">IFERROR(
VLOOKUP(BoM_Griptel[[#This Row],[Product code]],
IF(AND((BoQ!$N$3&lt;&gt;""),OR(BoM_Griptel[[#This Row],[Vendor]]="Griptel",BoM_Griptel[[#This Row],[Vendor]]="Solar")),INDIRECT(Aux!$A$1)),4,FALSE),"")</f>
        <v/>
      </c>
      <c r="O502" s="170" t="s">
        <v>1807</v>
      </c>
      <c r="P502" s="43" t="str">
        <f>IFERROR(IF(AND(BoM_Griptel[[#This Row],[Quantity]]&lt;&gt;"",BoM_Griptel[[#This Row],[Currency]]="NOK"),BoM_Griptel[[#This Row],[Quantity]]*BoM_Griptel[[#This Row],[Unit Price]],""),"")</f>
        <v/>
      </c>
      <c r="Q502" s="43" t="str">
        <f>IFERROR(IF(AND(BoM_Griptel[[#This Row],[ACT_Qty]]&lt;&gt;"",BoM_Griptel[[#This Row],[Currency]]="NOK"),BoM_Griptel[[#This Row],[ACT_Qty]]*BoM_Griptel[[#This Row],[Unit Price]],""),"")</f>
        <v/>
      </c>
      <c r="R502" s="43" t="str">
        <f>IFERROR(IF(AND(BoM_Griptel[[#This Row],[Quantity]]&lt;&gt;"",BoM_Griptel[[#This Row],[Currency]]="EUR"),BoM_Griptel[[#This Row],[Quantity]]*BoM_Griptel[[#This Row],[Unit Price]],""),"")</f>
        <v/>
      </c>
      <c r="S502" s="43" t="str">
        <f>IFERROR(IF(AND(BoM_Griptel[[#This Row],[ACT_Qty]]&lt;&gt;"",BoM_Griptel[[#This Row],[Currency]]="EUR"),BoM_Griptel[[#This Row],[ACT_Qty]]*BoM_Griptel[[#This Row],[Unit Price]],""),"")</f>
        <v/>
      </c>
      <c r="T502" s="186" t="s">
        <v>1802</v>
      </c>
      <c r="U502" s="46"/>
      <c r="V502" s="46"/>
      <c r="W502" s="146"/>
    </row>
    <row r="503" spans="1:23" ht="15" customHeight="1">
      <c r="A503" s="143" t="str">
        <f t="shared" si="14"/>
        <v>AKH12345</v>
      </c>
      <c r="B503" s="144" t="s">
        <v>2803</v>
      </c>
      <c r="C503" s="143" t="s">
        <v>2804</v>
      </c>
      <c r="D503" s="105"/>
      <c r="E503" s="106"/>
      <c r="F503" s="105"/>
      <c r="G503" s="106"/>
      <c r="H503" s="175"/>
      <c r="I503" s="176" t="s">
        <v>847</v>
      </c>
      <c r="J503" s="176" t="s">
        <v>1965</v>
      </c>
      <c r="K503" s="176" t="s">
        <v>1235</v>
      </c>
      <c r="L503" s="145" t="s">
        <v>1806</v>
      </c>
      <c r="M503" s="45" t="str">
        <f t="shared" si="15"/>
        <v>OneCo Networks AS</v>
      </c>
      <c r="N503" s="40" t="str">
        <f ca="1">IFERROR(
VLOOKUP(BoM_Griptel[[#This Row],[Product code]],
IF(AND((BoQ!$N$3&lt;&gt;""),OR(BoM_Griptel[[#This Row],[Vendor]]="Griptel",BoM_Griptel[[#This Row],[Vendor]]="Solar")),INDIRECT(Aux!$A$1)),4,FALSE),"")</f>
        <v/>
      </c>
      <c r="O503" s="169" t="s">
        <v>1807</v>
      </c>
      <c r="P503" s="41" t="str">
        <f>IFERROR(IF(AND(BoM_Griptel[[#This Row],[Quantity]]&lt;&gt;"",BoM_Griptel[[#This Row],[Currency]]="NOK"),BoM_Griptel[[#This Row],[Quantity]]*BoM_Griptel[[#This Row],[Unit Price]],""),"")</f>
        <v/>
      </c>
      <c r="Q503" s="41" t="str">
        <f>IFERROR(IF(AND(BoM_Griptel[[#This Row],[ACT_Qty]]&lt;&gt;"",BoM_Griptel[[#This Row],[Currency]]="NOK"),BoM_Griptel[[#This Row],[ACT_Qty]]*BoM_Griptel[[#This Row],[Unit Price]],""),"")</f>
        <v/>
      </c>
      <c r="R503" s="41" t="str">
        <f>IFERROR(IF(AND(BoM_Griptel[[#This Row],[Quantity]]&lt;&gt;"",BoM_Griptel[[#This Row],[Currency]]="EUR"),BoM_Griptel[[#This Row],[Quantity]]*BoM_Griptel[[#This Row],[Unit Price]],""),"")</f>
        <v/>
      </c>
      <c r="S503" s="41" t="str">
        <f>IFERROR(IF(AND(BoM_Griptel[[#This Row],[ACT_Qty]]&lt;&gt;"",BoM_Griptel[[#This Row],[Currency]]="EUR"),BoM_Griptel[[#This Row],[ACT_Qty]]*BoM_Griptel[[#This Row],[Unit Price]],""),"")</f>
        <v/>
      </c>
      <c r="T503" s="185" t="s">
        <v>1802</v>
      </c>
      <c r="U503" s="45"/>
      <c r="V503" s="45"/>
      <c r="W503" s="143"/>
    </row>
    <row r="504" spans="1:23" ht="15" customHeight="1">
      <c r="A504" s="146" t="str">
        <f t="shared" si="14"/>
        <v>AKH12345</v>
      </c>
      <c r="B504" s="147" t="s">
        <v>2805</v>
      </c>
      <c r="C504" s="146" t="s">
        <v>2806</v>
      </c>
      <c r="D504" s="68"/>
      <c r="E504" s="89"/>
      <c r="F504" s="68"/>
      <c r="G504" s="89"/>
      <c r="H504" s="177"/>
      <c r="I504" s="178" t="s">
        <v>847</v>
      </c>
      <c r="J504" s="178" t="s">
        <v>1965</v>
      </c>
      <c r="K504" s="178" t="s">
        <v>1235</v>
      </c>
      <c r="L504" s="148" t="s">
        <v>1806</v>
      </c>
      <c r="M504" s="46" t="str">
        <f t="shared" si="15"/>
        <v>OneCo Networks AS</v>
      </c>
      <c r="N504" s="42" t="str">
        <f ca="1">IFERROR(
VLOOKUP(BoM_Griptel[[#This Row],[Product code]],
IF(AND((BoQ!$N$3&lt;&gt;""),OR(BoM_Griptel[[#This Row],[Vendor]]="Griptel",BoM_Griptel[[#This Row],[Vendor]]="Solar")),INDIRECT(Aux!$A$1)),4,FALSE),"")</f>
        <v/>
      </c>
      <c r="O504" s="170" t="s">
        <v>1807</v>
      </c>
      <c r="P504" s="43" t="str">
        <f>IFERROR(IF(AND(BoM_Griptel[[#This Row],[Quantity]]&lt;&gt;"",BoM_Griptel[[#This Row],[Currency]]="NOK"),BoM_Griptel[[#This Row],[Quantity]]*BoM_Griptel[[#This Row],[Unit Price]],""),"")</f>
        <v/>
      </c>
      <c r="Q504" s="43" t="str">
        <f>IFERROR(IF(AND(BoM_Griptel[[#This Row],[ACT_Qty]]&lt;&gt;"",BoM_Griptel[[#This Row],[Currency]]="NOK"),BoM_Griptel[[#This Row],[ACT_Qty]]*BoM_Griptel[[#This Row],[Unit Price]],""),"")</f>
        <v/>
      </c>
      <c r="R504" s="43" t="str">
        <f>IFERROR(IF(AND(BoM_Griptel[[#This Row],[Quantity]]&lt;&gt;"",BoM_Griptel[[#This Row],[Currency]]="EUR"),BoM_Griptel[[#This Row],[Quantity]]*BoM_Griptel[[#This Row],[Unit Price]],""),"")</f>
        <v/>
      </c>
      <c r="S504" s="43" t="str">
        <f>IFERROR(IF(AND(BoM_Griptel[[#This Row],[ACT_Qty]]&lt;&gt;"",BoM_Griptel[[#This Row],[Currency]]="EUR"),BoM_Griptel[[#This Row],[ACT_Qty]]*BoM_Griptel[[#This Row],[Unit Price]],""),"")</f>
        <v/>
      </c>
      <c r="T504" s="186" t="s">
        <v>1802</v>
      </c>
      <c r="U504" s="46"/>
      <c r="V504" s="46"/>
      <c r="W504" s="146"/>
    </row>
    <row r="505" spans="1:23" ht="15" customHeight="1">
      <c r="A505" s="143" t="str">
        <f t="shared" si="14"/>
        <v>AKH12345</v>
      </c>
      <c r="B505" s="144" t="s">
        <v>2807</v>
      </c>
      <c r="C505" s="143" t="s">
        <v>2808</v>
      </c>
      <c r="D505" s="105"/>
      <c r="E505" s="106"/>
      <c r="F505" s="105"/>
      <c r="G505" s="106"/>
      <c r="H505" s="175"/>
      <c r="I505" s="176" t="s">
        <v>847</v>
      </c>
      <c r="J505" s="176" t="s">
        <v>1965</v>
      </c>
      <c r="K505" s="176" t="s">
        <v>1235</v>
      </c>
      <c r="L505" s="145" t="s">
        <v>1806</v>
      </c>
      <c r="M505" s="45" t="str">
        <f t="shared" si="15"/>
        <v>OneCo Networks AS</v>
      </c>
      <c r="N505" s="40" t="str">
        <f ca="1">IFERROR(
VLOOKUP(BoM_Griptel[[#This Row],[Product code]],
IF(AND((BoQ!$N$3&lt;&gt;""),OR(BoM_Griptel[[#This Row],[Vendor]]="Griptel",BoM_Griptel[[#This Row],[Vendor]]="Solar")),INDIRECT(Aux!$A$1)),4,FALSE),"")</f>
        <v/>
      </c>
      <c r="O505" s="169" t="s">
        <v>1807</v>
      </c>
      <c r="P505" s="41" t="str">
        <f>IFERROR(IF(AND(BoM_Griptel[[#This Row],[Quantity]]&lt;&gt;"",BoM_Griptel[[#This Row],[Currency]]="NOK"),BoM_Griptel[[#This Row],[Quantity]]*BoM_Griptel[[#This Row],[Unit Price]],""),"")</f>
        <v/>
      </c>
      <c r="Q505" s="41" t="str">
        <f>IFERROR(IF(AND(BoM_Griptel[[#This Row],[ACT_Qty]]&lt;&gt;"",BoM_Griptel[[#This Row],[Currency]]="NOK"),BoM_Griptel[[#This Row],[ACT_Qty]]*BoM_Griptel[[#This Row],[Unit Price]],""),"")</f>
        <v/>
      </c>
      <c r="R505" s="41" t="str">
        <f>IFERROR(IF(AND(BoM_Griptel[[#This Row],[Quantity]]&lt;&gt;"",BoM_Griptel[[#This Row],[Currency]]="EUR"),BoM_Griptel[[#This Row],[Quantity]]*BoM_Griptel[[#This Row],[Unit Price]],""),"")</f>
        <v/>
      </c>
      <c r="S505" s="41" t="str">
        <f>IFERROR(IF(AND(BoM_Griptel[[#This Row],[ACT_Qty]]&lt;&gt;"",BoM_Griptel[[#This Row],[Currency]]="EUR"),BoM_Griptel[[#This Row],[ACT_Qty]]*BoM_Griptel[[#This Row],[Unit Price]],""),"")</f>
        <v/>
      </c>
      <c r="T505" s="185" t="s">
        <v>1802</v>
      </c>
      <c r="U505" s="45"/>
      <c r="V505" s="45"/>
      <c r="W505" s="143"/>
    </row>
    <row r="506" spans="1:23" ht="15" customHeight="1">
      <c r="A506" s="146" t="str">
        <f t="shared" si="14"/>
        <v>AKH12345</v>
      </c>
      <c r="B506" s="147" t="s">
        <v>2809</v>
      </c>
      <c r="C506" s="146" t="s">
        <v>2810</v>
      </c>
      <c r="D506" s="68"/>
      <c r="E506" s="89"/>
      <c r="F506" s="68"/>
      <c r="G506" s="89"/>
      <c r="H506" s="177"/>
      <c r="I506" s="178" t="s">
        <v>847</v>
      </c>
      <c r="J506" s="178" t="s">
        <v>1965</v>
      </c>
      <c r="K506" s="178" t="s">
        <v>1235</v>
      </c>
      <c r="L506" s="148" t="s">
        <v>1806</v>
      </c>
      <c r="M506" s="46" t="str">
        <f t="shared" si="15"/>
        <v>OneCo Networks AS</v>
      </c>
      <c r="N506" s="42" t="str">
        <f ca="1">IFERROR(
VLOOKUP(BoM_Griptel[[#This Row],[Product code]],
IF(AND((BoQ!$N$3&lt;&gt;""),OR(BoM_Griptel[[#This Row],[Vendor]]="Griptel",BoM_Griptel[[#This Row],[Vendor]]="Solar")),INDIRECT(Aux!$A$1)),4,FALSE),"")</f>
        <v/>
      </c>
      <c r="O506" s="170" t="s">
        <v>1807</v>
      </c>
      <c r="P506" s="43" t="str">
        <f>IFERROR(IF(AND(BoM_Griptel[[#This Row],[Quantity]]&lt;&gt;"",BoM_Griptel[[#This Row],[Currency]]="NOK"),BoM_Griptel[[#This Row],[Quantity]]*BoM_Griptel[[#This Row],[Unit Price]],""),"")</f>
        <v/>
      </c>
      <c r="Q506" s="43" t="str">
        <f>IFERROR(IF(AND(BoM_Griptel[[#This Row],[ACT_Qty]]&lt;&gt;"",BoM_Griptel[[#This Row],[Currency]]="NOK"),BoM_Griptel[[#This Row],[ACT_Qty]]*BoM_Griptel[[#This Row],[Unit Price]],""),"")</f>
        <v/>
      </c>
      <c r="R506" s="43" t="str">
        <f>IFERROR(IF(AND(BoM_Griptel[[#This Row],[Quantity]]&lt;&gt;"",BoM_Griptel[[#This Row],[Currency]]="EUR"),BoM_Griptel[[#This Row],[Quantity]]*BoM_Griptel[[#This Row],[Unit Price]],""),"")</f>
        <v/>
      </c>
      <c r="S506" s="43" t="str">
        <f>IFERROR(IF(AND(BoM_Griptel[[#This Row],[ACT_Qty]]&lt;&gt;"",BoM_Griptel[[#This Row],[Currency]]="EUR"),BoM_Griptel[[#This Row],[ACT_Qty]]*BoM_Griptel[[#This Row],[Unit Price]],""),"")</f>
        <v/>
      </c>
      <c r="T506" s="186" t="s">
        <v>1802</v>
      </c>
      <c r="U506" s="46"/>
      <c r="V506" s="46"/>
      <c r="W506" s="146"/>
    </row>
    <row r="507" spans="1:23" ht="15" customHeight="1">
      <c r="A507" s="143" t="str">
        <f t="shared" si="14"/>
        <v>AKH12345</v>
      </c>
      <c r="B507" s="144" t="s">
        <v>2811</v>
      </c>
      <c r="C507" s="143" t="s">
        <v>2812</v>
      </c>
      <c r="D507" s="105"/>
      <c r="E507" s="106"/>
      <c r="F507" s="105"/>
      <c r="G507" s="106"/>
      <c r="H507" s="175"/>
      <c r="I507" s="176" t="s">
        <v>847</v>
      </c>
      <c r="J507" s="176" t="s">
        <v>1965</v>
      </c>
      <c r="K507" s="176" t="s">
        <v>1235</v>
      </c>
      <c r="L507" s="145" t="s">
        <v>1806</v>
      </c>
      <c r="M507" s="45" t="str">
        <f t="shared" si="15"/>
        <v>OneCo Networks AS</v>
      </c>
      <c r="N507" s="40" t="str">
        <f ca="1">IFERROR(
VLOOKUP(BoM_Griptel[[#This Row],[Product code]],
IF(AND((BoQ!$N$3&lt;&gt;""),OR(BoM_Griptel[[#This Row],[Vendor]]="Griptel",BoM_Griptel[[#This Row],[Vendor]]="Solar")),INDIRECT(Aux!$A$1)),4,FALSE),"")</f>
        <v/>
      </c>
      <c r="O507" s="169" t="s">
        <v>1807</v>
      </c>
      <c r="P507" s="41" t="str">
        <f>IFERROR(IF(AND(BoM_Griptel[[#This Row],[Quantity]]&lt;&gt;"",BoM_Griptel[[#This Row],[Currency]]="NOK"),BoM_Griptel[[#This Row],[Quantity]]*BoM_Griptel[[#This Row],[Unit Price]],""),"")</f>
        <v/>
      </c>
      <c r="Q507" s="41" t="str">
        <f>IFERROR(IF(AND(BoM_Griptel[[#This Row],[ACT_Qty]]&lt;&gt;"",BoM_Griptel[[#This Row],[Currency]]="NOK"),BoM_Griptel[[#This Row],[ACT_Qty]]*BoM_Griptel[[#This Row],[Unit Price]],""),"")</f>
        <v/>
      </c>
      <c r="R507" s="41" t="str">
        <f>IFERROR(IF(AND(BoM_Griptel[[#This Row],[Quantity]]&lt;&gt;"",BoM_Griptel[[#This Row],[Currency]]="EUR"),BoM_Griptel[[#This Row],[Quantity]]*BoM_Griptel[[#This Row],[Unit Price]],""),"")</f>
        <v/>
      </c>
      <c r="S507" s="41" t="str">
        <f>IFERROR(IF(AND(BoM_Griptel[[#This Row],[ACT_Qty]]&lt;&gt;"",BoM_Griptel[[#This Row],[Currency]]="EUR"),BoM_Griptel[[#This Row],[ACT_Qty]]*BoM_Griptel[[#This Row],[Unit Price]],""),"")</f>
        <v/>
      </c>
      <c r="T507" s="185" t="s">
        <v>1802</v>
      </c>
      <c r="U507" s="45"/>
      <c r="V507" s="45"/>
      <c r="W507" s="143"/>
    </row>
    <row r="508" spans="1:23" ht="15" customHeight="1">
      <c r="A508" s="146" t="str">
        <f t="shared" si="14"/>
        <v>AKH12345</v>
      </c>
      <c r="B508" s="147" t="s">
        <v>2813</v>
      </c>
      <c r="C508" s="146" t="s">
        <v>2814</v>
      </c>
      <c r="D508" s="68"/>
      <c r="E508" s="89"/>
      <c r="F508" s="68"/>
      <c r="G508" s="89"/>
      <c r="H508" s="177"/>
      <c r="I508" s="178" t="s">
        <v>847</v>
      </c>
      <c r="J508" s="178" t="s">
        <v>1965</v>
      </c>
      <c r="K508" s="178" t="s">
        <v>1235</v>
      </c>
      <c r="L508" s="148" t="s">
        <v>1806</v>
      </c>
      <c r="M508" s="46" t="str">
        <f t="shared" si="15"/>
        <v>OneCo Networks AS</v>
      </c>
      <c r="N508" s="42" t="str">
        <f ca="1">IFERROR(
VLOOKUP(BoM_Griptel[[#This Row],[Product code]],
IF(AND((BoQ!$N$3&lt;&gt;""),OR(BoM_Griptel[[#This Row],[Vendor]]="Griptel",BoM_Griptel[[#This Row],[Vendor]]="Solar")),INDIRECT(Aux!$A$1)),4,FALSE),"")</f>
        <v/>
      </c>
      <c r="O508" s="170" t="s">
        <v>1807</v>
      </c>
      <c r="P508" s="43" t="str">
        <f>IFERROR(IF(AND(BoM_Griptel[[#This Row],[Quantity]]&lt;&gt;"",BoM_Griptel[[#This Row],[Currency]]="NOK"),BoM_Griptel[[#This Row],[Quantity]]*BoM_Griptel[[#This Row],[Unit Price]],""),"")</f>
        <v/>
      </c>
      <c r="Q508" s="43" t="str">
        <f>IFERROR(IF(AND(BoM_Griptel[[#This Row],[ACT_Qty]]&lt;&gt;"",BoM_Griptel[[#This Row],[Currency]]="NOK"),BoM_Griptel[[#This Row],[ACT_Qty]]*BoM_Griptel[[#This Row],[Unit Price]],""),"")</f>
        <v/>
      </c>
      <c r="R508" s="43" t="str">
        <f>IFERROR(IF(AND(BoM_Griptel[[#This Row],[Quantity]]&lt;&gt;"",BoM_Griptel[[#This Row],[Currency]]="EUR"),BoM_Griptel[[#This Row],[Quantity]]*BoM_Griptel[[#This Row],[Unit Price]],""),"")</f>
        <v/>
      </c>
      <c r="S508" s="43" t="str">
        <f>IFERROR(IF(AND(BoM_Griptel[[#This Row],[ACT_Qty]]&lt;&gt;"",BoM_Griptel[[#This Row],[Currency]]="EUR"),BoM_Griptel[[#This Row],[ACT_Qty]]*BoM_Griptel[[#This Row],[Unit Price]],""),"")</f>
        <v/>
      </c>
      <c r="T508" s="186" t="s">
        <v>1802</v>
      </c>
      <c r="U508" s="46"/>
      <c r="V508" s="46"/>
      <c r="W508" s="146"/>
    </row>
    <row r="509" spans="1:23" ht="15" customHeight="1">
      <c r="A509" s="143" t="str">
        <f t="shared" si="14"/>
        <v>AKH12345</v>
      </c>
      <c r="B509" s="144" t="s">
        <v>2815</v>
      </c>
      <c r="C509" s="143" t="s">
        <v>2816</v>
      </c>
      <c r="D509" s="105"/>
      <c r="E509" s="106"/>
      <c r="F509" s="105"/>
      <c r="G509" s="106"/>
      <c r="H509" s="175"/>
      <c r="I509" s="176" t="s">
        <v>847</v>
      </c>
      <c r="J509" s="176" t="s">
        <v>1965</v>
      </c>
      <c r="K509" s="176" t="s">
        <v>1235</v>
      </c>
      <c r="L509" s="145" t="s">
        <v>1806</v>
      </c>
      <c r="M509" s="45" t="str">
        <f t="shared" si="15"/>
        <v>OneCo Networks AS</v>
      </c>
      <c r="N509" s="40" t="str">
        <f ca="1">IFERROR(
VLOOKUP(BoM_Griptel[[#This Row],[Product code]],
IF(AND((BoQ!$N$3&lt;&gt;""),OR(BoM_Griptel[[#This Row],[Vendor]]="Griptel",BoM_Griptel[[#This Row],[Vendor]]="Solar")),INDIRECT(Aux!$A$1)),4,FALSE),"")</f>
        <v/>
      </c>
      <c r="O509" s="169" t="s">
        <v>1807</v>
      </c>
      <c r="P509" s="41" t="str">
        <f>IFERROR(IF(AND(BoM_Griptel[[#This Row],[Quantity]]&lt;&gt;"",BoM_Griptel[[#This Row],[Currency]]="NOK"),BoM_Griptel[[#This Row],[Quantity]]*BoM_Griptel[[#This Row],[Unit Price]],""),"")</f>
        <v/>
      </c>
      <c r="Q509" s="41" t="str">
        <f>IFERROR(IF(AND(BoM_Griptel[[#This Row],[ACT_Qty]]&lt;&gt;"",BoM_Griptel[[#This Row],[Currency]]="NOK"),BoM_Griptel[[#This Row],[ACT_Qty]]*BoM_Griptel[[#This Row],[Unit Price]],""),"")</f>
        <v/>
      </c>
      <c r="R509" s="41" t="str">
        <f>IFERROR(IF(AND(BoM_Griptel[[#This Row],[Quantity]]&lt;&gt;"",BoM_Griptel[[#This Row],[Currency]]="EUR"),BoM_Griptel[[#This Row],[Quantity]]*BoM_Griptel[[#This Row],[Unit Price]],""),"")</f>
        <v/>
      </c>
      <c r="S509" s="41" t="str">
        <f>IFERROR(IF(AND(BoM_Griptel[[#This Row],[ACT_Qty]]&lt;&gt;"",BoM_Griptel[[#This Row],[Currency]]="EUR"),BoM_Griptel[[#This Row],[ACT_Qty]]*BoM_Griptel[[#This Row],[Unit Price]],""),"")</f>
        <v/>
      </c>
      <c r="T509" s="185" t="s">
        <v>1802</v>
      </c>
      <c r="U509" s="45"/>
      <c r="V509" s="45"/>
      <c r="W509" s="143"/>
    </row>
    <row r="510" spans="1:23" ht="15" customHeight="1">
      <c r="A510" s="146" t="str">
        <f t="shared" si="14"/>
        <v>AKH12345</v>
      </c>
      <c r="B510" s="147" t="s">
        <v>2817</v>
      </c>
      <c r="C510" s="146" t="s">
        <v>2818</v>
      </c>
      <c r="D510" s="68"/>
      <c r="E510" s="89"/>
      <c r="F510" s="68"/>
      <c r="G510" s="89"/>
      <c r="H510" s="177"/>
      <c r="I510" s="178" t="s">
        <v>847</v>
      </c>
      <c r="J510" s="178" t="s">
        <v>1965</v>
      </c>
      <c r="K510" s="178" t="s">
        <v>1235</v>
      </c>
      <c r="L510" s="148" t="s">
        <v>1806</v>
      </c>
      <c r="M510" s="46" t="str">
        <f t="shared" si="15"/>
        <v>OneCo Networks AS</v>
      </c>
      <c r="N510" s="42" t="str">
        <f ca="1">IFERROR(
VLOOKUP(BoM_Griptel[[#This Row],[Product code]],
IF(AND((BoQ!$N$3&lt;&gt;""),OR(BoM_Griptel[[#This Row],[Vendor]]="Griptel",BoM_Griptel[[#This Row],[Vendor]]="Solar")),INDIRECT(Aux!$A$1)),4,FALSE),"")</f>
        <v/>
      </c>
      <c r="O510" s="170" t="s">
        <v>1807</v>
      </c>
      <c r="P510" s="43" t="str">
        <f>IFERROR(IF(AND(BoM_Griptel[[#This Row],[Quantity]]&lt;&gt;"",BoM_Griptel[[#This Row],[Currency]]="NOK"),BoM_Griptel[[#This Row],[Quantity]]*BoM_Griptel[[#This Row],[Unit Price]],""),"")</f>
        <v/>
      </c>
      <c r="Q510" s="43" t="str">
        <f>IFERROR(IF(AND(BoM_Griptel[[#This Row],[ACT_Qty]]&lt;&gt;"",BoM_Griptel[[#This Row],[Currency]]="NOK"),BoM_Griptel[[#This Row],[ACT_Qty]]*BoM_Griptel[[#This Row],[Unit Price]],""),"")</f>
        <v/>
      </c>
      <c r="R510" s="43" t="str">
        <f>IFERROR(IF(AND(BoM_Griptel[[#This Row],[Quantity]]&lt;&gt;"",BoM_Griptel[[#This Row],[Currency]]="EUR"),BoM_Griptel[[#This Row],[Quantity]]*BoM_Griptel[[#This Row],[Unit Price]],""),"")</f>
        <v/>
      </c>
      <c r="S510" s="43" t="str">
        <f>IFERROR(IF(AND(BoM_Griptel[[#This Row],[ACT_Qty]]&lt;&gt;"",BoM_Griptel[[#This Row],[Currency]]="EUR"),BoM_Griptel[[#This Row],[ACT_Qty]]*BoM_Griptel[[#This Row],[Unit Price]],""),"")</f>
        <v/>
      </c>
      <c r="T510" s="186" t="s">
        <v>1802</v>
      </c>
      <c r="U510" s="46"/>
      <c r="V510" s="46"/>
      <c r="W510" s="146"/>
    </row>
    <row r="511" spans="1:23" ht="15" customHeight="1">
      <c r="A511" s="143" t="str">
        <f t="shared" si="14"/>
        <v>AKH12345</v>
      </c>
      <c r="B511" s="144" t="s">
        <v>2819</v>
      </c>
      <c r="C511" s="143" t="s">
        <v>2820</v>
      </c>
      <c r="D511" s="105"/>
      <c r="E511" s="106"/>
      <c r="F511" s="105"/>
      <c r="G511" s="106"/>
      <c r="H511" s="175"/>
      <c r="I511" s="176" t="s">
        <v>847</v>
      </c>
      <c r="J511" s="176" t="s">
        <v>1965</v>
      </c>
      <c r="K511" s="176" t="s">
        <v>1235</v>
      </c>
      <c r="L511" s="145" t="s">
        <v>1806</v>
      </c>
      <c r="M511" s="45" t="str">
        <f t="shared" si="15"/>
        <v>OneCo Networks AS</v>
      </c>
      <c r="N511" s="40" t="str">
        <f ca="1">IFERROR(
VLOOKUP(BoM_Griptel[[#This Row],[Product code]],
IF(AND((BoQ!$N$3&lt;&gt;""),OR(BoM_Griptel[[#This Row],[Vendor]]="Griptel",BoM_Griptel[[#This Row],[Vendor]]="Solar")),INDIRECT(Aux!$A$1)),4,FALSE),"")</f>
        <v/>
      </c>
      <c r="O511" s="169" t="s">
        <v>1807</v>
      </c>
      <c r="P511" s="41" t="str">
        <f>IFERROR(IF(AND(BoM_Griptel[[#This Row],[Quantity]]&lt;&gt;"",BoM_Griptel[[#This Row],[Currency]]="NOK"),BoM_Griptel[[#This Row],[Quantity]]*BoM_Griptel[[#This Row],[Unit Price]],""),"")</f>
        <v/>
      </c>
      <c r="Q511" s="41" t="str">
        <f>IFERROR(IF(AND(BoM_Griptel[[#This Row],[ACT_Qty]]&lt;&gt;"",BoM_Griptel[[#This Row],[Currency]]="NOK"),BoM_Griptel[[#This Row],[ACT_Qty]]*BoM_Griptel[[#This Row],[Unit Price]],""),"")</f>
        <v/>
      </c>
      <c r="R511" s="41" t="str">
        <f>IFERROR(IF(AND(BoM_Griptel[[#This Row],[Quantity]]&lt;&gt;"",BoM_Griptel[[#This Row],[Currency]]="EUR"),BoM_Griptel[[#This Row],[Quantity]]*BoM_Griptel[[#This Row],[Unit Price]],""),"")</f>
        <v/>
      </c>
      <c r="S511" s="41" t="str">
        <f>IFERROR(IF(AND(BoM_Griptel[[#This Row],[ACT_Qty]]&lt;&gt;"",BoM_Griptel[[#This Row],[Currency]]="EUR"),BoM_Griptel[[#This Row],[ACT_Qty]]*BoM_Griptel[[#This Row],[Unit Price]],""),"")</f>
        <v/>
      </c>
      <c r="T511" s="185" t="s">
        <v>1802</v>
      </c>
      <c r="U511" s="45"/>
      <c r="V511" s="45"/>
      <c r="W511" s="143"/>
    </row>
    <row r="512" spans="1:23" ht="15" customHeight="1">
      <c r="A512" s="146" t="str">
        <f t="shared" si="14"/>
        <v>AKH12345</v>
      </c>
      <c r="B512" s="147" t="s">
        <v>2821</v>
      </c>
      <c r="C512" s="146" t="s">
        <v>2820</v>
      </c>
      <c r="D512" s="68"/>
      <c r="E512" s="89"/>
      <c r="F512" s="68"/>
      <c r="G512" s="89"/>
      <c r="H512" s="177"/>
      <c r="I512" s="178" t="s">
        <v>847</v>
      </c>
      <c r="J512" s="178" t="s">
        <v>1965</v>
      </c>
      <c r="K512" s="178" t="s">
        <v>1235</v>
      </c>
      <c r="L512" s="148" t="s">
        <v>1806</v>
      </c>
      <c r="M512" s="46" t="str">
        <f t="shared" si="15"/>
        <v>OneCo Networks AS</v>
      </c>
      <c r="N512" s="42" t="str">
        <f ca="1">IFERROR(
VLOOKUP(BoM_Griptel[[#This Row],[Product code]],
IF(AND((BoQ!$N$3&lt;&gt;""),OR(BoM_Griptel[[#This Row],[Vendor]]="Griptel",BoM_Griptel[[#This Row],[Vendor]]="Solar")),INDIRECT(Aux!$A$1)),4,FALSE),"")</f>
        <v/>
      </c>
      <c r="O512" s="170" t="s">
        <v>1807</v>
      </c>
      <c r="P512" s="43" t="str">
        <f>IFERROR(IF(AND(BoM_Griptel[[#This Row],[Quantity]]&lt;&gt;"",BoM_Griptel[[#This Row],[Currency]]="NOK"),BoM_Griptel[[#This Row],[Quantity]]*BoM_Griptel[[#This Row],[Unit Price]],""),"")</f>
        <v/>
      </c>
      <c r="Q512" s="43" t="str">
        <f>IFERROR(IF(AND(BoM_Griptel[[#This Row],[ACT_Qty]]&lt;&gt;"",BoM_Griptel[[#This Row],[Currency]]="NOK"),BoM_Griptel[[#This Row],[ACT_Qty]]*BoM_Griptel[[#This Row],[Unit Price]],""),"")</f>
        <v/>
      </c>
      <c r="R512" s="43" t="str">
        <f>IFERROR(IF(AND(BoM_Griptel[[#This Row],[Quantity]]&lt;&gt;"",BoM_Griptel[[#This Row],[Currency]]="EUR"),BoM_Griptel[[#This Row],[Quantity]]*BoM_Griptel[[#This Row],[Unit Price]],""),"")</f>
        <v/>
      </c>
      <c r="S512" s="43" t="str">
        <f>IFERROR(IF(AND(BoM_Griptel[[#This Row],[ACT_Qty]]&lt;&gt;"",BoM_Griptel[[#This Row],[Currency]]="EUR"),BoM_Griptel[[#This Row],[ACT_Qty]]*BoM_Griptel[[#This Row],[Unit Price]],""),"")</f>
        <v/>
      </c>
      <c r="T512" s="186" t="s">
        <v>1802</v>
      </c>
      <c r="U512" s="46"/>
      <c r="V512" s="46"/>
      <c r="W512" s="146"/>
    </row>
    <row r="513" spans="1:23" ht="15" customHeight="1">
      <c r="A513" s="143" t="str">
        <f t="shared" si="14"/>
        <v>AKH12345</v>
      </c>
      <c r="B513" s="144" t="s">
        <v>2822</v>
      </c>
      <c r="C513" s="143" t="s">
        <v>2823</v>
      </c>
      <c r="D513" s="105"/>
      <c r="E513" s="106"/>
      <c r="F513" s="105"/>
      <c r="G513" s="106"/>
      <c r="H513" s="175"/>
      <c r="I513" s="176" t="s">
        <v>847</v>
      </c>
      <c r="J513" s="176" t="s">
        <v>1965</v>
      </c>
      <c r="K513" s="176" t="s">
        <v>1235</v>
      </c>
      <c r="L513" s="145" t="s">
        <v>1806</v>
      </c>
      <c r="M513" s="45" t="str">
        <f t="shared" si="15"/>
        <v>OneCo Networks AS</v>
      </c>
      <c r="N513" s="40" t="str">
        <f ca="1">IFERROR(
VLOOKUP(BoM_Griptel[[#This Row],[Product code]],
IF(AND((BoQ!$N$3&lt;&gt;""),OR(BoM_Griptel[[#This Row],[Vendor]]="Griptel",BoM_Griptel[[#This Row],[Vendor]]="Solar")),INDIRECT(Aux!$A$1)),4,FALSE),"")</f>
        <v/>
      </c>
      <c r="O513" s="169" t="s">
        <v>1807</v>
      </c>
      <c r="P513" s="41" t="str">
        <f>IFERROR(IF(AND(BoM_Griptel[[#This Row],[Quantity]]&lt;&gt;"",BoM_Griptel[[#This Row],[Currency]]="NOK"),BoM_Griptel[[#This Row],[Quantity]]*BoM_Griptel[[#This Row],[Unit Price]],""),"")</f>
        <v/>
      </c>
      <c r="Q513" s="41" t="str">
        <f>IFERROR(IF(AND(BoM_Griptel[[#This Row],[ACT_Qty]]&lt;&gt;"",BoM_Griptel[[#This Row],[Currency]]="NOK"),BoM_Griptel[[#This Row],[ACT_Qty]]*BoM_Griptel[[#This Row],[Unit Price]],""),"")</f>
        <v/>
      </c>
      <c r="R513" s="41" t="str">
        <f>IFERROR(IF(AND(BoM_Griptel[[#This Row],[Quantity]]&lt;&gt;"",BoM_Griptel[[#This Row],[Currency]]="EUR"),BoM_Griptel[[#This Row],[Quantity]]*BoM_Griptel[[#This Row],[Unit Price]],""),"")</f>
        <v/>
      </c>
      <c r="S513" s="41" t="str">
        <f>IFERROR(IF(AND(BoM_Griptel[[#This Row],[ACT_Qty]]&lt;&gt;"",BoM_Griptel[[#This Row],[Currency]]="EUR"),BoM_Griptel[[#This Row],[ACT_Qty]]*BoM_Griptel[[#This Row],[Unit Price]],""),"")</f>
        <v/>
      </c>
      <c r="T513" s="185" t="s">
        <v>1802</v>
      </c>
      <c r="U513" s="45"/>
      <c r="V513" s="45"/>
      <c r="W513" s="143"/>
    </row>
    <row r="514" spans="1:23" ht="15" customHeight="1">
      <c r="A514" s="146" t="str">
        <f t="shared" si="14"/>
        <v>AKH12345</v>
      </c>
      <c r="B514" s="147" t="s">
        <v>2824</v>
      </c>
      <c r="C514" s="146" t="s">
        <v>2825</v>
      </c>
      <c r="D514" s="68"/>
      <c r="E514" s="89"/>
      <c r="F514" s="68"/>
      <c r="G514" s="89"/>
      <c r="H514" s="177"/>
      <c r="I514" s="178" t="s">
        <v>847</v>
      </c>
      <c r="J514" s="178" t="s">
        <v>1965</v>
      </c>
      <c r="K514" s="178" t="s">
        <v>1235</v>
      </c>
      <c r="L514" s="148" t="s">
        <v>1806</v>
      </c>
      <c r="M514" s="46" t="str">
        <f t="shared" si="15"/>
        <v>OneCo Networks AS</v>
      </c>
      <c r="N514" s="42" t="str">
        <f ca="1">IFERROR(
VLOOKUP(BoM_Griptel[[#This Row],[Product code]],
IF(AND((BoQ!$N$3&lt;&gt;""),OR(BoM_Griptel[[#This Row],[Vendor]]="Griptel",BoM_Griptel[[#This Row],[Vendor]]="Solar")),INDIRECT(Aux!$A$1)),4,FALSE),"")</f>
        <v/>
      </c>
      <c r="O514" s="170" t="s">
        <v>1807</v>
      </c>
      <c r="P514" s="43" t="str">
        <f>IFERROR(IF(AND(BoM_Griptel[[#This Row],[Quantity]]&lt;&gt;"",BoM_Griptel[[#This Row],[Currency]]="NOK"),BoM_Griptel[[#This Row],[Quantity]]*BoM_Griptel[[#This Row],[Unit Price]],""),"")</f>
        <v/>
      </c>
      <c r="Q514" s="43" t="str">
        <f>IFERROR(IF(AND(BoM_Griptel[[#This Row],[ACT_Qty]]&lt;&gt;"",BoM_Griptel[[#This Row],[Currency]]="NOK"),BoM_Griptel[[#This Row],[ACT_Qty]]*BoM_Griptel[[#This Row],[Unit Price]],""),"")</f>
        <v/>
      </c>
      <c r="R514" s="43" t="str">
        <f>IFERROR(IF(AND(BoM_Griptel[[#This Row],[Quantity]]&lt;&gt;"",BoM_Griptel[[#This Row],[Currency]]="EUR"),BoM_Griptel[[#This Row],[Quantity]]*BoM_Griptel[[#This Row],[Unit Price]],""),"")</f>
        <v/>
      </c>
      <c r="S514" s="43" t="str">
        <f>IFERROR(IF(AND(BoM_Griptel[[#This Row],[ACT_Qty]]&lt;&gt;"",BoM_Griptel[[#This Row],[Currency]]="EUR"),BoM_Griptel[[#This Row],[ACT_Qty]]*BoM_Griptel[[#This Row],[Unit Price]],""),"")</f>
        <v/>
      </c>
      <c r="T514" s="186" t="s">
        <v>1802</v>
      </c>
      <c r="U514" s="46"/>
      <c r="V514" s="46"/>
      <c r="W514" s="146"/>
    </row>
    <row r="515" spans="1:23" ht="15" customHeight="1">
      <c r="A515" s="143" t="str">
        <f t="shared" si="14"/>
        <v>AKH12345</v>
      </c>
      <c r="B515" s="144" t="s">
        <v>2826</v>
      </c>
      <c r="C515" s="143" t="s">
        <v>2827</v>
      </c>
      <c r="D515" s="105"/>
      <c r="E515" s="106"/>
      <c r="F515" s="105"/>
      <c r="G515" s="106"/>
      <c r="H515" s="175"/>
      <c r="I515" s="176" t="s">
        <v>847</v>
      </c>
      <c r="J515" s="176" t="s">
        <v>1965</v>
      </c>
      <c r="K515" s="176" t="s">
        <v>1235</v>
      </c>
      <c r="L515" s="145" t="s">
        <v>1806</v>
      </c>
      <c r="M515" s="45" t="str">
        <f t="shared" si="15"/>
        <v>OneCo Networks AS</v>
      </c>
      <c r="N515" s="40" t="str">
        <f ca="1">IFERROR(
VLOOKUP(BoM_Griptel[[#This Row],[Product code]],
IF(AND((BoQ!$N$3&lt;&gt;""),OR(BoM_Griptel[[#This Row],[Vendor]]="Griptel",BoM_Griptel[[#This Row],[Vendor]]="Solar")),INDIRECT(Aux!$A$1)),4,FALSE),"")</f>
        <v/>
      </c>
      <c r="O515" s="169" t="s">
        <v>1807</v>
      </c>
      <c r="P515" s="41" t="str">
        <f>IFERROR(IF(AND(BoM_Griptel[[#This Row],[Quantity]]&lt;&gt;"",BoM_Griptel[[#This Row],[Currency]]="NOK"),BoM_Griptel[[#This Row],[Quantity]]*BoM_Griptel[[#This Row],[Unit Price]],""),"")</f>
        <v/>
      </c>
      <c r="Q515" s="41" t="str">
        <f>IFERROR(IF(AND(BoM_Griptel[[#This Row],[ACT_Qty]]&lt;&gt;"",BoM_Griptel[[#This Row],[Currency]]="NOK"),BoM_Griptel[[#This Row],[ACT_Qty]]*BoM_Griptel[[#This Row],[Unit Price]],""),"")</f>
        <v/>
      </c>
      <c r="R515" s="41" t="str">
        <f>IFERROR(IF(AND(BoM_Griptel[[#This Row],[Quantity]]&lt;&gt;"",BoM_Griptel[[#This Row],[Currency]]="EUR"),BoM_Griptel[[#This Row],[Quantity]]*BoM_Griptel[[#This Row],[Unit Price]],""),"")</f>
        <v/>
      </c>
      <c r="S515" s="41" t="str">
        <f>IFERROR(IF(AND(BoM_Griptel[[#This Row],[ACT_Qty]]&lt;&gt;"",BoM_Griptel[[#This Row],[Currency]]="EUR"),BoM_Griptel[[#This Row],[ACT_Qty]]*BoM_Griptel[[#This Row],[Unit Price]],""),"")</f>
        <v/>
      </c>
      <c r="T515" s="185" t="s">
        <v>1802</v>
      </c>
      <c r="U515" s="45"/>
      <c r="V515" s="45"/>
      <c r="W515" s="143"/>
    </row>
    <row r="516" spans="1:23" ht="15" customHeight="1">
      <c r="A516" s="146" t="str">
        <f t="shared" si="14"/>
        <v>AKH12345</v>
      </c>
      <c r="B516" s="147" t="s">
        <v>2828</v>
      </c>
      <c r="C516" s="146" t="s">
        <v>2829</v>
      </c>
      <c r="D516" s="68"/>
      <c r="E516" s="89"/>
      <c r="F516" s="68"/>
      <c r="G516" s="89"/>
      <c r="H516" s="177"/>
      <c r="I516" s="178" t="s">
        <v>847</v>
      </c>
      <c r="J516" s="178" t="s">
        <v>1965</v>
      </c>
      <c r="K516" s="178" t="s">
        <v>1235</v>
      </c>
      <c r="L516" s="148" t="s">
        <v>1806</v>
      </c>
      <c r="M516" s="46" t="str">
        <f t="shared" si="15"/>
        <v>OneCo Networks AS</v>
      </c>
      <c r="N516" s="42" t="str">
        <f ca="1">IFERROR(
VLOOKUP(BoM_Griptel[[#This Row],[Product code]],
IF(AND((BoQ!$N$3&lt;&gt;""),OR(BoM_Griptel[[#This Row],[Vendor]]="Griptel",BoM_Griptel[[#This Row],[Vendor]]="Solar")),INDIRECT(Aux!$A$1)),4,FALSE),"")</f>
        <v/>
      </c>
      <c r="O516" s="170" t="s">
        <v>1807</v>
      </c>
      <c r="P516" s="43" t="str">
        <f>IFERROR(IF(AND(BoM_Griptel[[#This Row],[Quantity]]&lt;&gt;"",BoM_Griptel[[#This Row],[Currency]]="NOK"),BoM_Griptel[[#This Row],[Quantity]]*BoM_Griptel[[#This Row],[Unit Price]],""),"")</f>
        <v/>
      </c>
      <c r="Q516" s="43" t="str">
        <f>IFERROR(IF(AND(BoM_Griptel[[#This Row],[ACT_Qty]]&lt;&gt;"",BoM_Griptel[[#This Row],[Currency]]="NOK"),BoM_Griptel[[#This Row],[ACT_Qty]]*BoM_Griptel[[#This Row],[Unit Price]],""),"")</f>
        <v/>
      </c>
      <c r="R516" s="43" t="str">
        <f>IFERROR(IF(AND(BoM_Griptel[[#This Row],[Quantity]]&lt;&gt;"",BoM_Griptel[[#This Row],[Currency]]="EUR"),BoM_Griptel[[#This Row],[Quantity]]*BoM_Griptel[[#This Row],[Unit Price]],""),"")</f>
        <v/>
      </c>
      <c r="S516" s="43" t="str">
        <f>IFERROR(IF(AND(BoM_Griptel[[#This Row],[ACT_Qty]]&lt;&gt;"",BoM_Griptel[[#This Row],[Currency]]="EUR"),BoM_Griptel[[#This Row],[ACT_Qty]]*BoM_Griptel[[#This Row],[Unit Price]],""),"")</f>
        <v/>
      </c>
      <c r="T516" s="186" t="s">
        <v>1802</v>
      </c>
      <c r="U516" s="46"/>
      <c r="V516" s="46"/>
      <c r="W516" s="146"/>
    </row>
    <row r="517" spans="1:23" ht="15" customHeight="1">
      <c r="A517" s="143" t="str">
        <f t="shared" si="14"/>
        <v>AKH12345</v>
      </c>
      <c r="B517" s="144" t="s">
        <v>2830</v>
      </c>
      <c r="C517" s="143" t="s">
        <v>2831</v>
      </c>
      <c r="D517" s="105"/>
      <c r="E517" s="106"/>
      <c r="F517" s="105"/>
      <c r="G517" s="106"/>
      <c r="H517" s="175"/>
      <c r="I517" s="176" t="s">
        <v>847</v>
      </c>
      <c r="J517" s="176" t="s">
        <v>1965</v>
      </c>
      <c r="K517" s="176" t="s">
        <v>1235</v>
      </c>
      <c r="L517" s="145" t="s">
        <v>1806</v>
      </c>
      <c r="M517" s="45" t="str">
        <f t="shared" si="15"/>
        <v>OneCo Networks AS</v>
      </c>
      <c r="N517" s="40" t="str">
        <f ca="1">IFERROR(
VLOOKUP(BoM_Griptel[[#This Row],[Product code]],
IF(AND((BoQ!$N$3&lt;&gt;""),OR(BoM_Griptel[[#This Row],[Vendor]]="Griptel",BoM_Griptel[[#This Row],[Vendor]]="Solar")),INDIRECT(Aux!$A$1)),4,FALSE),"")</f>
        <v/>
      </c>
      <c r="O517" s="169" t="s">
        <v>1807</v>
      </c>
      <c r="P517" s="41" t="str">
        <f>IFERROR(IF(AND(BoM_Griptel[[#This Row],[Quantity]]&lt;&gt;"",BoM_Griptel[[#This Row],[Currency]]="NOK"),BoM_Griptel[[#This Row],[Quantity]]*BoM_Griptel[[#This Row],[Unit Price]],""),"")</f>
        <v/>
      </c>
      <c r="Q517" s="41" t="str">
        <f>IFERROR(IF(AND(BoM_Griptel[[#This Row],[ACT_Qty]]&lt;&gt;"",BoM_Griptel[[#This Row],[Currency]]="NOK"),BoM_Griptel[[#This Row],[ACT_Qty]]*BoM_Griptel[[#This Row],[Unit Price]],""),"")</f>
        <v/>
      </c>
      <c r="R517" s="41" t="str">
        <f>IFERROR(IF(AND(BoM_Griptel[[#This Row],[Quantity]]&lt;&gt;"",BoM_Griptel[[#This Row],[Currency]]="EUR"),BoM_Griptel[[#This Row],[Quantity]]*BoM_Griptel[[#This Row],[Unit Price]],""),"")</f>
        <v/>
      </c>
      <c r="S517" s="41" t="str">
        <f>IFERROR(IF(AND(BoM_Griptel[[#This Row],[ACT_Qty]]&lt;&gt;"",BoM_Griptel[[#This Row],[Currency]]="EUR"),BoM_Griptel[[#This Row],[ACT_Qty]]*BoM_Griptel[[#This Row],[Unit Price]],""),"")</f>
        <v/>
      </c>
      <c r="T517" s="185" t="s">
        <v>1802</v>
      </c>
      <c r="U517" s="45"/>
      <c r="V517" s="45"/>
      <c r="W517" s="143"/>
    </row>
    <row r="518" spans="1:23" ht="15" customHeight="1">
      <c r="A518" s="146" t="str">
        <f t="shared" si="14"/>
        <v>AKH12345</v>
      </c>
      <c r="B518" s="147" t="s">
        <v>2832</v>
      </c>
      <c r="C518" s="146" t="s">
        <v>2833</v>
      </c>
      <c r="D518" s="68"/>
      <c r="E518" s="89"/>
      <c r="F518" s="68"/>
      <c r="G518" s="89"/>
      <c r="H518" s="177"/>
      <c r="I518" s="178" t="s">
        <v>847</v>
      </c>
      <c r="J518" s="178" t="s">
        <v>1965</v>
      </c>
      <c r="K518" s="178" t="s">
        <v>1235</v>
      </c>
      <c r="L518" s="148" t="s">
        <v>1806</v>
      </c>
      <c r="M518" s="46" t="str">
        <f t="shared" si="15"/>
        <v>OneCo Networks AS</v>
      </c>
      <c r="N518" s="42" t="str">
        <f ca="1">IFERROR(
VLOOKUP(BoM_Griptel[[#This Row],[Product code]],
IF(AND((BoQ!$N$3&lt;&gt;""),OR(BoM_Griptel[[#This Row],[Vendor]]="Griptel",BoM_Griptel[[#This Row],[Vendor]]="Solar")),INDIRECT(Aux!$A$1)),4,FALSE),"")</f>
        <v/>
      </c>
      <c r="O518" s="170" t="s">
        <v>1807</v>
      </c>
      <c r="P518" s="43" t="str">
        <f>IFERROR(IF(AND(BoM_Griptel[[#This Row],[Quantity]]&lt;&gt;"",BoM_Griptel[[#This Row],[Currency]]="NOK"),BoM_Griptel[[#This Row],[Quantity]]*BoM_Griptel[[#This Row],[Unit Price]],""),"")</f>
        <v/>
      </c>
      <c r="Q518" s="43" t="str">
        <f>IFERROR(IF(AND(BoM_Griptel[[#This Row],[ACT_Qty]]&lt;&gt;"",BoM_Griptel[[#This Row],[Currency]]="NOK"),BoM_Griptel[[#This Row],[ACT_Qty]]*BoM_Griptel[[#This Row],[Unit Price]],""),"")</f>
        <v/>
      </c>
      <c r="R518" s="43" t="str">
        <f>IFERROR(IF(AND(BoM_Griptel[[#This Row],[Quantity]]&lt;&gt;"",BoM_Griptel[[#This Row],[Currency]]="EUR"),BoM_Griptel[[#This Row],[Quantity]]*BoM_Griptel[[#This Row],[Unit Price]],""),"")</f>
        <v/>
      </c>
      <c r="S518" s="43" t="str">
        <f>IFERROR(IF(AND(BoM_Griptel[[#This Row],[ACT_Qty]]&lt;&gt;"",BoM_Griptel[[#This Row],[Currency]]="EUR"),BoM_Griptel[[#This Row],[ACT_Qty]]*BoM_Griptel[[#This Row],[Unit Price]],""),"")</f>
        <v/>
      </c>
      <c r="T518" s="186" t="s">
        <v>1802</v>
      </c>
      <c r="U518" s="46"/>
      <c r="V518" s="46"/>
      <c r="W518" s="146"/>
    </row>
    <row r="519" spans="1:23" ht="15" customHeight="1">
      <c r="A519" s="143" t="str">
        <f t="shared" si="14"/>
        <v>AKH12345</v>
      </c>
      <c r="B519" s="144" t="s">
        <v>2834</v>
      </c>
      <c r="C519" s="143" t="s">
        <v>2835</v>
      </c>
      <c r="D519" s="105"/>
      <c r="E519" s="106"/>
      <c r="F519" s="105"/>
      <c r="G519" s="106"/>
      <c r="H519" s="175"/>
      <c r="I519" s="176" t="s">
        <v>847</v>
      </c>
      <c r="J519" s="176" t="s">
        <v>1965</v>
      </c>
      <c r="K519" s="176" t="s">
        <v>1235</v>
      </c>
      <c r="L519" s="145" t="s">
        <v>1806</v>
      </c>
      <c r="M519" s="45" t="str">
        <f t="shared" si="15"/>
        <v>OneCo Networks AS</v>
      </c>
      <c r="N519" s="40" t="str">
        <f ca="1">IFERROR(
VLOOKUP(BoM_Griptel[[#This Row],[Product code]],
IF(AND((BoQ!$N$3&lt;&gt;""),OR(BoM_Griptel[[#This Row],[Vendor]]="Griptel",BoM_Griptel[[#This Row],[Vendor]]="Solar")),INDIRECT(Aux!$A$1)),4,FALSE),"")</f>
        <v/>
      </c>
      <c r="O519" s="169" t="s">
        <v>1807</v>
      </c>
      <c r="P519" s="41" t="str">
        <f>IFERROR(IF(AND(BoM_Griptel[[#This Row],[Quantity]]&lt;&gt;"",BoM_Griptel[[#This Row],[Currency]]="NOK"),BoM_Griptel[[#This Row],[Quantity]]*BoM_Griptel[[#This Row],[Unit Price]],""),"")</f>
        <v/>
      </c>
      <c r="Q519" s="41" t="str">
        <f>IFERROR(IF(AND(BoM_Griptel[[#This Row],[ACT_Qty]]&lt;&gt;"",BoM_Griptel[[#This Row],[Currency]]="NOK"),BoM_Griptel[[#This Row],[ACT_Qty]]*BoM_Griptel[[#This Row],[Unit Price]],""),"")</f>
        <v/>
      </c>
      <c r="R519" s="41" t="str">
        <f>IFERROR(IF(AND(BoM_Griptel[[#This Row],[Quantity]]&lt;&gt;"",BoM_Griptel[[#This Row],[Currency]]="EUR"),BoM_Griptel[[#This Row],[Quantity]]*BoM_Griptel[[#This Row],[Unit Price]],""),"")</f>
        <v/>
      </c>
      <c r="S519" s="41" t="str">
        <f>IFERROR(IF(AND(BoM_Griptel[[#This Row],[ACT_Qty]]&lt;&gt;"",BoM_Griptel[[#This Row],[Currency]]="EUR"),BoM_Griptel[[#This Row],[ACT_Qty]]*BoM_Griptel[[#This Row],[Unit Price]],""),"")</f>
        <v/>
      </c>
      <c r="T519" s="185" t="s">
        <v>1802</v>
      </c>
      <c r="U519" s="45"/>
      <c r="V519" s="45"/>
      <c r="W519" s="143"/>
    </row>
    <row r="520" spans="1:23" ht="15" customHeight="1">
      <c r="A520" s="146" t="str">
        <f t="shared" si="14"/>
        <v>AKH12345</v>
      </c>
      <c r="B520" s="147" t="s">
        <v>2836</v>
      </c>
      <c r="C520" s="146" t="s">
        <v>2837</v>
      </c>
      <c r="D520" s="68"/>
      <c r="E520" s="89"/>
      <c r="F520" s="68"/>
      <c r="G520" s="89"/>
      <c r="H520" s="177"/>
      <c r="I520" s="178" t="s">
        <v>847</v>
      </c>
      <c r="J520" s="178" t="s">
        <v>1965</v>
      </c>
      <c r="K520" s="178" t="s">
        <v>1235</v>
      </c>
      <c r="L520" s="148" t="s">
        <v>1806</v>
      </c>
      <c r="M520" s="46" t="str">
        <f t="shared" si="15"/>
        <v>OneCo Networks AS</v>
      </c>
      <c r="N520" s="42" t="str">
        <f ca="1">IFERROR(
VLOOKUP(BoM_Griptel[[#This Row],[Product code]],
IF(AND((BoQ!$N$3&lt;&gt;""),OR(BoM_Griptel[[#This Row],[Vendor]]="Griptel",BoM_Griptel[[#This Row],[Vendor]]="Solar")),INDIRECT(Aux!$A$1)),4,FALSE),"")</f>
        <v/>
      </c>
      <c r="O520" s="170" t="s">
        <v>1807</v>
      </c>
      <c r="P520" s="43" t="str">
        <f>IFERROR(IF(AND(BoM_Griptel[[#This Row],[Quantity]]&lt;&gt;"",BoM_Griptel[[#This Row],[Currency]]="NOK"),BoM_Griptel[[#This Row],[Quantity]]*BoM_Griptel[[#This Row],[Unit Price]],""),"")</f>
        <v/>
      </c>
      <c r="Q520" s="43" t="str">
        <f>IFERROR(IF(AND(BoM_Griptel[[#This Row],[ACT_Qty]]&lt;&gt;"",BoM_Griptel[[#This Row],[Currency]]="NOK"),BoM_Griptel[[#This Row],[ACT_Qty]]*BoM_Griptel[[#This Row],[Unit Price]],""),"")</f>
        <v/>
      </c>
      <c r="R520" s="43" t="str">
        <f>IFERROR(IF(AND(BoM_Griptel[[#This Row],[Quantity]]&lt;&gt;"",BoM_Griptel[[#This Row],[Currency]]="EUR"),BoM_Griptel[[#This Row],[Quantity]]*BoM_Griptel[[#This Row],[Unit Price]],""),"")</f>
        <v/>
      </c>
      <c r="S520" s="43" t="str">
        <f>IFERROR(IF(AND(BoM_Griptel[[#This Row],[ACT_Qty]]&lt;&gt;"",BoM_Griptel[[#This Row],[Currency]]="EUR"),BoM_Griptel[[#This Row],[ACT_Qty]]*BoM_Griptel[[#This Row],[Unit Price]],""),"")</f>
        <v/>
      </c>
      <c r="T520" s="186" t="s">
        <v>1802</v>
      </c>
      <c r="U520" s="46"/>
      <c r="V520" s="46"/>
      <c r="W520" s="146"/>
    </row>
    <row r="521" spans="1:23" ht="15" customHeight="1">
      <c r="A521" s="143" t="str">
        <f t="shared" si="14"/>
        <v>AKH12345</v>
      </c>
      <c r="B521" s="144" t="s">
        <v>2838</v>
      </c>
      <c r="C521" s="143" t="s">
        <v>2839</v>
      </c>
      <c r="D521" s="105"/>
      <c r="E521" s="106"/>
      <c r="F521" s="105"/>
      <c r="G521" s="106"/>
      <c r="H521" s="175"/>
      <c r="I521" s="176" t="s">
        <v>847</v>
      </c>
      <c r="J521" s="176" t="s">
        <v>1965</v>
      </c>
      <c r="K521" s="176" t="s">
        <v>1235</v>
      </c>
      <c r="L521" s="145" t="s">
        <v>1806</v>
      </c>
      <c r="M521" s="45" t="str">
        <f t="shared" si="15"/>
        <v>OneCo Networks AS</v>
      </c>
      <c r="N521" s="40" t="str">
        <f ca="1">IFERROR(
VLOOKUP(BoM_Griptel[[#This Row],[Product code]],
IF(AND((BoQ!$N$3&lt;&gt;""),OR(BoM_Griptel[[#This Row],[Vendor]]="Griptel",BoM_Griptel[[#This Row],[Vendor]]="Solar")),INDIRECT(Aux!$A$1)),4,FALSE),"")</f>
        <v/>
      </c>
      <c r="O521" s="169" t="s">
        <v>1807</v>
      </c>
      <c r="P521" s="41" t="str">
        <f>IFERROR(IF(AND(BoM_Griptel[[#This Row],[Quantity]]&lt;&gt;"",BoM_Griptel[[#This Row],[Currency]]="NOK"),BoM_Griptel[[#This Row],[Quantity]]*BoM_Griptel[[#This Row],[Unit Price]],""),"")</f>
        <v/>
      </c>
      <c r="Q521" s="41" t="str">
        <f>IFERROR(IF(AND(BoM_Griptel[[#This Row],[ACT_Qty]]&lt;&gt;"",BoM_Griptel[[#This Row],[Currency]]="NOK"),BoM_Griptel[[#This Row],[ACT_Qty]]*BoM_Griptel[[#This Row],[Unit Price]],""),"")</f>
        <v/>
      </c>
      <c r="R521" s="41" t="str">
        <f>IFERROR(IF(AND(BoM_Griptel[[#This Row],[Quantity]]&lt;&gt;"",BoM_Griptel[[#This Row],[Currency]]="EUR"),BoM_Griptel[[#This Row],[Quantity]]*BoM_Griptel[[#This Row],[Unit Price]],""),"")</f>
        <v/>
      </c>
      <c r="S521" s="41" t="str">
        <f>IFERROR(IF(AND(BoM_Griptel[[#This Row],[ACT_Qty]]&lt;&gt;"",BoM_Griptel[[#This Row],[Currency]]="EUR"),BoM_Griptel[[#This Row],[ACT_Qty]]*BoM_Griptel[[#This Row],[Unit Price]],""),"")</f>
        <v/>
      </c>
      <c r="T521" s="185" t="s">
        <v>1802</v>
      </c>
      <c r="U521" s="45"/>
      <c r="V521" s="45"/>
      <c r="W521" s="143"/>
    </row>
    <row r="522" spans="1:23" ht="15" customHeight="1">
      <c r="A522" s="146" t="str">
        <f t="shared" si="14"/>
        <v>AKH12345</v>
      </c>
      <c r="B522" s="147" t="s">
        <v>2840</v>
      </c>
      <c r="C522" s="146" t="s">
        <v>2841</v>
      </c>
      <c r="D522" s="68"/>
      <c r="E522" s="89"/>
      <c r="F522" s="68"/>
      <c r="G522" s="89"/>
      <c r="H522" s="177"/>
      <c r="I522" s="178" t="s">
        <v>847</v>
      </c>
      <c r="J522" s="178" t="s">
        <v>1965</v>
      </c>
      <c r="K522" s="178" t="s">
        <v>1235</v>
      </c>
      <c r="L522" s="148" t="s">
        <v>1806</v>
      </c>
      <c r="M522" s="46" t="str">
        <f t="shared" si="15"/>
        <v>OneCo Networks AS</v>
      </c>
      <c r="N522" s="42" t="str">
        <f ca="1">IFERROR(
VLOOKUP(BoM_Griptel[[#This Row],[Product code]],
IF(AND((BoQ!$N$3&lt;&gt;""),OR(BoM_Griptel[[#This Row],[Vendor]]="Griptel",BoM_Griptel[[#This Row],[Vendor]]="Solar")),INDIRECT(Aux!$A$1)),4,FALSE),"")</f>
        <v/>
      </c>
      <c r="O522" s="170" t="s">
        <v>1807</v>
      </c>
      <c r="P522" s="43" t="str">
        <f>IFERROR(IF(AND(BoM_Griptel[[#This Row],[Quantity]]&lt;&gt;"",BoM_Griptel[[#This Row],[Currency]]="NOK"),BoM_Griptel[[#This Row],[Quantity]]*BoM_Griptel[[#This Row],[Unit Price]],""),"")</f>
        <v/>
      </c>
      <c r="Q522" s="43" t="str">
        <f>IFERROR(IF(AND(BoM_Griptel[[#This Row],[ACT_Qty]]&lt;&gt;"",BoM_Griptel[[#This Row],[Currency]]="NOK"),BoM_Griptel[[#This Row],[ACT_Qty]]*BoM_Griptel[[#This Row],[Unit Price]],""),"")</f>
        <v/>
      </c>
      <c r="R522" s="43" t="str">
        <f>IFERROR(IF(AND(BoM_Griptel[[#This Row],[Quantity]]&lt;&gt;"",BoM_Griptel[[#This Row],[Currency]]="EUR"),BoM_Griptel[[#This Row],[Quantity]]*BoM_Griptel[[#This Row],[Unit Price]],""),"")</f>
        <v/>
      </c>
      <c r="S522" s="43" t="str">
        <f>IFERROR(IF(AND(BoM_Griptel[[#This Row],[ACT_Qty]]&lt;&gt;"",BoM_Griptel[[#This Row],[Currency]]="EUR"),BoM_Griptel[[#This Row],[ACT_Qty]]*BoM_Griptel[[#This Row],[Unit Price]],""),"")</f>
        <v/>
      </c>
      <c r="T522" s="186" t="s">
        <v>1802</v>
      </c>
      <c r="U522" s="46"/>
      <c r="V522" s="46"/>
      <c r="W522" s="146"/>
    </row>
    <row r="523" spans="1:23" ht="15" customHeight="1">
      <c r="A523" s="143" t="str">
        <f t="shared" si="14"/>
        <v>AKH12345</v>
      </c>
      <c r="B523" s="144" t="s">
        <v>2842</v>
      </c>
      <c r="C523" s="143" t="s">
        <v>2843</v>
      </c>
      <c r="D523" s="105"/>
      <c r="E523" s="106"/>
      <c r="F523" s="105"/>
      <c r="G523" s="106"/>
      <c r="H523" s="175"/>
      <c r="I523" s="176" t="s">
        <v>847</v>
      </c>
      <c r="J523" s="176" t="s">
        <v>1965</v>
      </c>
      <c r="K523" s="176" t="s">
        <v>1235</v>
      </c>
      <c r="L523" s="145" t="s">
        <v>1806</v>
      </c>
      <c r="M523" s="45" t="str">
        <f t="shared" si="15"/>
        <v>OneCo Networks AS</v>
      </c>
      <c r="N523" s="40" t="str">
        <f ca="1">IFERROR(
VLOOKUP(BoM_Griptel[[#This Row],[Product code]],
IF(AND((BoQ!$N$3&lt;&gt;""),OR(BoM_Griptel[[#This Row],[Vendor]]="Griptel",BoM_Griptel[[#This Row],[Vendor]]="Solar")),INDIRECT(Aux!$A$1)),4,FALSE),"")</f>
        <v/>
      </c>
      <c r="O523" s="169" t="s">
        <v>1807</v>
      </c>
      <c r="P523" s="41" t="str">
        <f>IFERROR(IF(AND(BoM_Griptel[[#This Row],[Quantity]]&lt;&gt;"",BoM_Griptel[[#This Row],[Currency]]="NOK"),BoM_Griptel[[#This Row],[Quantity]]*BoM_Griptel[[#This Row],[Unit Price]],""),"")</f>
        <v/>
      </c>
      <c r="Q523" s="41" t="str">
        <f>IFERROR(IF(AND(BoM_Griptel[[#This Row],[ACT_Qty]]&lt;&gt;"",BoM_Griptel[[#This Row],[Currency]]="NOK"),BoM_Griptel[[#This Row],[ACT_Qty]]*BoM_Griptel[[#This Row],[Unit Price]],""),"")</f>
        <v/>
      </c>
      <c r="R523" s="41" t="str">
        <f>IFERROR(IF(AND(BoM_Griptel[[#This Row],[Quantity]]&lt;&gt;"",BoM_Griptel[[#This Row],[Currency]]="EUR"),BoM_Griptel[[#This Row],[Quantity]]*BoM_Griptel[[#This Row],[Unit Price]],""),"")</f>
        <v/>
      </c>
      <c r="S523" s="41" t="str">
        <f>IFERROR(IF(AND(BoM_Griptel[[#This Row],[ACT_Qty]]&lt;&gt;"",BoM_Griptel[[#This Row],[Currency]]="EUR"),BoM_Griptel[[#This Row],[ACT_Qty]]*BoM_Griptel[[#This Row],[Unit Price]],""),"")</f>
        <v/>
      </c>
      <c r="T523" s="185" t="s">
        <v>1802</v>
      </c>
      <c r="U523" s="45"/>
      <c r="V523" s="45"/>
      <c r="W523" s="143"/>
    </row>
    <row r="524" spans="1:23" ht="15" customHeight="1">
      <c r="A524" s="146" t="str">
        <f t="shared" si="14"/>
        <v>AKH12345</v>
      </c>
      <c r="B524" s="147" t="s">
        <v>2844</v>
      </c>
      <c r="C524" s="146" t="s">
        <v>2845</v>
      </c>
      <c r="D524" s="68"/>
      <c r="E524" s="89"/>
      <c r="F524" s="68"/>
      <c r="G524" s="89"/>
      <c r="H524" s="177"/>
      <c r="I524" s="178" t="s">
        <v>847</v>
      </c>
      <c r="J524" s="178" t="s">
        <v>1965</v>
      </c>
      <c r="K524" s="178" t="s">
        <v>1235</v>
      </c>
      <c r="L524" s="148" t="s">
        <v>1806</v>
      </c>
      <c r="M524" s="46" t="str">
        <f t="shared" si="15"/>
        <v>OneCo Networks AS</v>
      </c>
      <c r="N524" s="42" t="str">
        <f ca="1">IFERROR(
VLOOKUP(BoM_Griptel[[#This Row],[Product code]],
IF(AND((BoQ!$N$3&lt;&gt;""),OR(BoM_Griptel[[#This Row],[Vendor]]="Griptel",BoM_Griptel[[#This Row],[Vendor]]="Solar")),INDIRECT(Aux!$A$1)),4,FALSE),"")</f>
        <v/>
      </c>
      <c r="O524" s="170" t="s">
        <v>1807</v>
      </c>
      <c r="P524" s="43" t="str">
        <f>IFERROR(IF(AND(BoM_Griptel[[#This Row],[Quantity]]&lt;&gt;"",BoM_Griptel[[#This Row],[Currency]]="NOK"),BoM_Griptel[[#This Row],[Quantity]]*BoM_Griptel[[#This Row],[Unit Price]],""),"")</f>
        <v/>
      </c>
      <c r="Q524" s="43" t="str">
        <f>IFERROR(IF(AND(BoM_Griptel[[#This Row],[ACT_Qty]]&lt;&gt;"",BoM_Griptel[[#This Row],[Currency]]="NOK"),BoM_Griptel[[#This Row],[ACT_Qty]]*BoM_Griptel[[#This Row],[Unit Price]],""),"")</f>
        <v/>
      </c>
      <c r="R524" s="43" t="str">
        <f>IFERROR(IF(AND(BoM_Griptel[[#This Row],[Quantity]]&lt;&gt;"",BoM_Griptel[[#This Row],[Currency]]="EUR"),BoM_Griptel[[#This Row],[Quantity]]*BoM_Griptel[[#This Row],[Unit Price]],""),"")</f>
        <v/>
      </c>
      <c r="S524" s="43" t="str">
        <f>IFERROR(IF(AND(BoM_Griptel[[#This Row],[ACT_Qty]]&lt;&gt;"",BoM_Griptel[[#This Row],[Currency]]="EUR"),BoM_Griptel[[#This Row],[ACT_Qty]]*BoM_Griptel[[#This Row],[Unit Price]],""),"")</f>
        <v/>
      </c>
      <c r="T524" s="186" t="s">
        <v>1802</v>
      </c>
      <c r="U524" s="46"/>
      <c r="V524" s="46"/>
      <c r="W524" s="146"/>
    </row>
    <row r="525" spans="1:23" ht="15" customHeight="1">
      <c r="A525" s="143" t="str">
        <f t="shared" si="14"/>
        <v>AKH12345</v>
      </c>
      <c r="B525" s="144" t="s">
        <v>2846</v>
      </c>
      <c r="C525" s="143" t="s">
        <v>2847</v>
      </c>
      <c r="D525" s="105"/>
      <c r="E525" s="106"/>
      <c r="F525" s="105"/>
      <c r="G525" s="106"/>
      <c r="H525" s="175"/>
      <c r="I525" s="176" t="s">
        <v>847</v>
      </c>
      <c r="J525" s="176" t="s">
        <v>1965</v>
      </c>
      <c r="K525" s="176" t="s">
        <v>1235</v>
      </c>
      <c r="L525" s="145" t="s">
        <v>1806</v>
      </c>
      <c r="M525" s="45" t="str">
        <f t="shared" si="15"/>
        <v>OneCo Networks AS</v>
      </c>
      <c r="N525" s="40" t="str">
        <f ca="1">IFERROR(
VLOOKUP(BoM_Griptel[[#This Row],[Product code]],
IF(AND((BoQ!$N$3&lt;&gt;""),OR(BoM_Griptel[[#This Row],[Vendor]]="Griptel",BoM_Griptel[[#This Row],[Vendor]]="Solar")),INDIRECT(Aux!$A$1)),4,FALSE),"")</f>
        <v/>
      </c>
      <c r="O525" s="169" t="s">
        <v>1807</v>
      </c>
      <c r="P525" s="41" t="str">
        <f>IFERROR(IF(AND(BoM_Griptel[[#This Row],[Quantity]]&lt;&gt;"",BoM_Griptel[[#This Row],[Currency]]="NOK"),BoM_Griptel[[#This Row],[Quantity]]*BoM_Griptel[[#This Row],[Unit Price]],""),"")</f>
        <v/>
      </c>
      <c r="Q525" s="41" t="str">
        <f>IFERROR(IF(AND(BoM_Griptel[[#This Row],[ACT_Qty]]&lt;&gt;"",BoM_Griptel[[#This Row],[Currency]]="NOK"),BoM_Griptel[[#This Row],[ACT_Qty]]*BoM_Griptel[[#This Row],[Unit Price]],""),"")</f>
        <v/>
      </c>
      <c r="R525" s="41" t="str">
        <f>IFERROR(IF(AND(BoM_Griptel[[#This Row],[Quantity]]&lt;&gt;"",BoM_Griptel[[#This Row],[Currency]]="EUR"),BoM_Griptel[[#This Row],[Quantity]]*BoM_Griptel[[#This Row],[Unit Price]],""),"")</f>
        <v/>
      </c>
      <c r="S525" s="41" t="str">
        <f>IFERROR(IF(AND(BoM_Griptel[[#This Row],[ACT_Qty]]&lt;&gt;"",BoM_Griptel[[#This Row],[Currency]]="EUR"),BoM_Griptel[[#This Row],[ACT_Qty]]*BoM_Griptel[[#This Row],[Unit Price]],""),"")</f>
        <v/>
      </c>
      <c r="T525" s="185" t="s">
        <v>1802</v>
      </c>
      <c r="U525" s="45"/>
      <c r="V525" s="45"/>
      <c r="W525" s="143"/>
    </row>
    <row r="526" spans="1:23" ht="15" customHeight="1">
      <c r="A526" s="146" t="str">
        <f t="shared" ref="A526:A589" si="16">IF($C$4&lt;&gt;"",$C$4,"")</f>
        <v>AKH12345</v>
      </c>
      <c r="B526" s="147" t="s">
        <v>2848</v>
      </c>
      <c r="C526" s="146" t="s">
        <v>2849</v>
      </c>
      <c r="D526" s="68"/>
      <c r="E526" s="89"/>
      <c r="F526" s="68"/>
      <c r="G526" s="89"/>
      <c r="H526" s="177"/>
      <c r="I526" s="178" t="s">
        <v>847</v>
      </c>
      <c r="J526" s="178" t="s">
        <v>1965</v>
      </c>
      <c r="K526" s="178" t="s">
        <v>1235</v>
      </c>
      <c r="L526" s="148" t="s">
        <v>1806</v>
      </c>
      <c r="M526" s="46" t="str">
        <f t="shared" si="15"/>
        <v>OneCo Networks AS</v>
      </c>
      <c r="N526" s="42" t="str">
        <f ca="1">IFERROR(
VLOOKUP(BoM_Griptel[[#This Row],[Product code]],
IF(AND((BoQ!$N$3&lt;&gt;""),OR(BoM_Griptel[[#This Row],[Vendor]]="Griptel",BoM_Griptel[[#This Row],[Vendor]]="Solar")),INDIRECT(Aux!$A$1)),4,FALSE),"")</f>
        <v/>
      </c>
      <c r="O526" s="170" t="s">
        <v>1807</v>
      </c>
      <c r="P526" s="43" t="str">
        <f>IFERROR(IF(AND(BoM_Griptel[[#This Row],[Quantity]]&lt;&gt;"",BoM_Griptel[[#This Row],[Currency]]="NOK"),BoM_Griptel[[#This Row],[Quantity]]*BoM_Griptel[[#This Row],[Unit Price]],""),"")</f>
        <v/>
      </c>
      <c r="Q526" s="43" t="str">
        <f>IFERROR(IF(AND(BoM_Griptel[[#This Row],[ACT_Qty]]&lt;&gt;"",BoM_Griptel[[#This Row],[Currency]]="NOK"),BoM_Griptel[[#This Row],[ACT_Qty]]*BoM_Griptel[[#This Row],[Unit Price]],""),"")</f>
        <v/>
      </c>
      <c r="R526" s="43" t="str">
        <f>IFERROR(IF(AND(BoM_Griptel[[#This Row],[Quantity]]&lt;&gt;"",BoM_Griptel[[#This Row],[Currency]]="EUR"),BoM_Griptel[[#This Row],[Quantity]]*BoM_Griptel[[#This Row],[Unit Price]],""),"")</f>
        <v/>
      </c>
      <c r="S526" s="43" t="str">
        <f>IFERROR(IF(AND(BoM_Griptel[[#This Row],[ACT_Qty]]&lt;&gt;"",BoM_Griptel[[#This Row],[Currency]]="EUR"),BoM_Griptel[[#This Row],[ACT_Qty]]*BoM_Griptel[[#This Row],[Unit Price]],""),"")</f>
        <v/>
      </c>
      <c r="T526" s="186" t="s">
        <v>1802</v>
      </c>
      <c r="U526" s="46"/>
      <c r="V526" s="46"/>
      <c r="W526" s="146"/>
    </row>
    <row r="527" spans="1:23" ht="15" customHeight="1">
      <c r="A527" s="143" t="str">
        <f t="shared" si="16"/>
        <v>AKH12345</v>
      </c>
      <c r="B527" s="144" t="s">
        <v>2850</v>
      </c>
      <c r="C527" s="143" t="s">
        <v>2851</v>
      </c>
      <c r="D527" s="105"/>
      <c r="E527" s="106"/>
      <c r="F527" s="105"/>
      <c r="G527" s="106"/>
      <c r="H527" s="175"/>
      <c r="I527" s="176" t="s">
        <v>847</v>
      </c>
      <c r="J527" s="176" t="s">
        <v>1965</v>
      </c>
      <c r="K527" s="176" t="s">
        <v>1235</v>
      </c>
      <c r="L527" s="145" t="s">
        <v>1806</v>
      </c>
      <c r="M527" s="45" t="str">
        <f t="shared" si="15"/>
        <v>OneCo Networks AS</v>
      </c>
      <c r="N527" s="40" t="str">
        <f ca="1">IFERROR(
VLOOKUP(BoM_Griptel[[#This Row],[Product code]],
IF(AND((BoQ!$N$3&lt;&gt;""),OR(BoM_Griptel[[#This Row],[Vendor]]="Griptel",BoM_Griptel[[#This Row],[Vendor]]="Solar")),INDIRECT(Aux!$A$1)),4,FALSE),"")</f>
        <v/>
      </c>
      <c r="O527" s="169" t="s">
        <v>1807</v>
      </c>
      <c r="P527" s="41" t="str">
        <f>IFERROR(IF(AND(BoM_Griptel[[#This Row],[Quantity]]&lt;&gt;"",BoM_Griptel[[#This Row],[Currency]]="NOK"),BoM_Griptel[[#This Row],[Quantity]]*BoM_Griptel[[#This Row],[Unit Price]],""),"")</f>
        <v/>
      </c>
      <c r="Q527" s="41" t="str">
        <f>IFERROR(IF(AND(BoM_Griptel[[#This Row],[ACT_Qty]]&lt;&gt;"",BoM_Griptel[[#This Row],[Currency]]="NOK"),BoM_Griptel[[#This Row],[ACT_Qty]]*BoM_Griptel[[#This Row],[Unit Price]],""),"")</f>
        <v/>
      </c>
      <c r="R527" s="41" t="str">
        <f>IFERROR(IF(AND(BoM_Griptel[[#This Row],[Quantity]]&lt;&gt;"",BoM_Griptel[[#This Row],[Currency]]="EUR"),BoM_Griptel[[#This Row],[Quantity]]*BoM_Griptel[[#This Row],[Unit Price]],""),"")</f>
        <v/>
      </c>
      <c r="S527" s="41" t="str">
        <f>IFERROR(IF(AND(BoM_Griptel[[#This Row],[ACT_Qty]]&lt;&gt;"",BoM_Griptel[[#This Row],[Currency]]="EUR"),BoM_Griptel[[#This Row],[ACT_Qty]]*BoM_Griptel[[#This Row],[Unit Price]],""),"")</f>
        <v/>
      </c>
      <c r="T527" s="185" t="s">
        <v>1802</v>
      </c>
      <c r="U527" s="45"/>
      <c r="V527" s="45"/>
      <c r="W527" s="143"/>
    </row>
    <row r="528" spans="1:23" ht="15" customHeight="1">
      <c r="A528" s="146" t="str">
        <f t="shared" si="16"/>
        <v>AKH12345</v>
      </c>
      <c r="B528" s="147" t="s">
        <v>2852</v>
      </c>
      <c r="C528" s="146" t="s">
        <v>2853</v>
      </c>
      <c r="D528" s="68"/>
      <c r="E528" s="89"/>
      <c r="F528" s="68"/>
      <c r="G528" s="89"/>
      <c r="H528" s="177"/>
      <c r="I528" s="178" t="s">
        <v>847</v>
      </c>
      <c r="J528" s="178" t="s">
        <v>1965</v>
      </c>
      <c r="K528" s="178" t="s">
        <v>1235</v>
      </c>
      <c r="L528" s="148" t="s">
        <v>1806</v>
      </c>
      <c r="M528" s="46" t="str">
        <f t="shared" si="15"/>
        <v>OneCo Networks AS</v>
      </c>
      <c r="N528" s="42" t="str">
        <f ca="1">IFERROR(
VLOOKUP(BoM_Griptel[[#This Row],[Product code]],
IF(AND((BoQ!$N$3&lt;&gt;""),OR(BoM_Griptel[[#This Row],[Vendor]]="Griptel",BoM_Griptel[[#This Row],[Vendor]]="Solar")),INDIRECT(Aux!$A$1)),4,FALSE),"")</f>
        <v/>
      </c>
      <c r="O528" s="170" t="s">
        <v>1807</v>
      </c>
      <c r="P528" s="43" t="str">
        <f>IFERROR(IF(AND(BoM_Griptel[[#This Row],[Quantity]]&lt;&gt;"",BoM_Griptel[[#This Row],[Currency]]="NOK"),BoM_Griptel[[#This Row],[Quantity]]*BoM_Griptel[[#This Row],[Unit Price]],""),"")</f>
        <v/>
      </c>
      <c r="Q528" s="43" t="str">
        <f>IFERROR(IF(AND(BoM_Griptel[[#This Row],[ACT_Qty]]&lt;&gt;"",BoM_Griptel[[#This Row],[Currency]]="NOK"),BoM_Griptel[[#This Row],[ACT_Qty]]*BoM_Griptel[[#This Row],[Unit Price]],""),"")</f>
        <v/>
      </c>
      <c r="R528" s="43" t="str">
        <f>IFERROR(IF(AND(BoM_Griptel[[#This Row],[Quantity]]&lt;&gt;"",BoM_Griptel[[#This Row],[Currency]]="EUR"),BoM_Griptel[[#This Row],[Quantity]]*BoM_Griptel[[#This Row],[Unit Price]],""),"")</f>
        <v/>
      </c>
      <c r="S528" s="43" t="str">
        <f>IFERROR(IF(AND(BoM_Griptel[[#This Row],[ACT_Qty]]&lt;&gt;"",BoM_Griptel[[#This Row],[Currency]]="EUR"),BoM_Griptel[[#This Row],[ACT_Qty]]*BoM_Griptel[[#This Row],[Unit Price]],""),"")</f>
        <v/>
      </c>
      <c r="T528" s="186" t="s">
        <v>1802</v>
      </c>
      <c r="U528" s="46"/>
      <c r="V528" s="46"/>
      <c r="W528" s="146"/>
    </row>
    <row r="529" spans="1:23" ht="15" customHeight="1">
      <c r="A529" s="143" t="str">
        <f t="shared" si="16"/>
        <v>AKH12345</v>
      </c>
      <c r="B529" s="144" t="s">
        <v>2854</v>
      </c>
      <c r="C529" s="143" t="s">
        <v>2855</v>
      </c>
      <c r="D529" s="105"/>
      <c r="E529" s="106"/>
      <c r="F529" s="105"/>
      <c r="G529" s="106"/>
      <c r="H529" s="175"/>
      <c r="I529" s="176" t="s">
        <v>847</v>
      </c>
      <c r="J529" s="176" t="s">
        <v>1965</v>
      </c>
      <c r="K529" s="176" t="s">
        <v>1235</v>
      </c>
      <c r="L529" s="145" t="s">
        <v>1806</v>
      </c>
      <c r="M529" s="45" t="str">
        <f t="shared" si="15"/>
        <v>OneCo Networks AS</v>
      </c>
      <c r="N529" s="40" t="str">
        <f ca="1">IFERROR(
VLOOKUP(BoM_Griptel[[#This Row],[Product code]],
IF(AND((BoQ!$N$3&lt;&gt;""),OR(BoM_Griptel[[#This Row],[Vendor]]="Griptel",BoM_Griptel[[#This Row],[Vendor]]="Solar")),INDIRECT(Aux!$A$1)),4,FALSE),"")</f>
        <v/>
      </c>
      <c r="O529" s="169" t="s">
        <v>1807</v>
      </c>
      <c r="P529" s="41" t="str">
        <f>IFERROR(IF(AND(BoM_Griptel[[#This Row],[Quantity]]&lt;&gt;"",BoM_Griptel[[#This Row],[Currency]]="NOK"),BoM_Griptel[[#This Row],[Quantity]]*BoM_Griptel[[#This Row],[Unit Price]],""),"")</f>
        <v/>
      </c>
      <c r="Q529" s="41" t="str">
        <f>IFERROR(IF(AND(BoM_Griptel[[#This Row],[ACT_Qty]]&lt;&gt;"",BoM_Griptel[[#This Row],[Currency]]="NOK"),BoM_Griptel[[#This Row],[ACT_Qty]]*BoM_Griptel[[#This Row],[Unit Price]],""),"")</f>
        <v/>
      </c>
      <c r="R529" s="41" t="str">
        <f>IFERROR(IF(AND(BoM_Griptel[[#This Row],[Quantity]]&lt;&gt;"",BoM_Griptel[[#This Row],[Currency]]="EUR"),BoM_Griptel[[#This Row],[Quantity]]*BoM_Griptel[[#This Row],[Unit Price]],""),"")</f>
        <v/>
      </c>
      <c r="S529" s="41" t="str">
        <f>IFERROR(IF(AND(BoM_Griptel[[#This Row],[ACT_Qty]]&lt;&gt;"",BoM_Griptel[[#This Row],[Currency]]="EUR"),BoM_Griptel[[#This Row],[ACT_Qty]]*BoM_Griptel[[#This Row],[Unit Price]],""),"")</f>
        <v/>
      </c>
      <c r="T529" s="185" t="s">
        <v>1802</v>
      </c>
      <c r="U529" s="45"/>
      <c r="V529" s="45"/>
      <c r="W529" s="143"/>
    </row>
    <row r="530" spans="1:23" ht="15" customHeight="1">
      <c r="A530" s="146" t="str">
        <f t="shared" si="16"/>
        <v>AKH12345</v>
      </c>
      <c r="B530" s="147" t="s">
        <v>2856</v>
      </c>
      <c r="C530" s="146" t="s">
        <v>2857</v>
      </c>
      <c r="D530" s="68"/>
      <c r="E530" s="89"/>
      <c r="F530" s="68"/>
      <c r="G530" s="89"/>
      <c r="H530" s="177"/>
      <c r="I530" s="178" t="s">
        <v>847</v>
      </c>
      <c r="J530" s="178" t="s">
        <v>1965</v>
      </c>
      <c r="K530" s="178" t="s">
        <v>1235</v>
      </c>
      <c r="L530" s="148" t="s">
        <v>1806</v>
      </c>
      <c r="M530" s="46" t="str">
        <f t="shared" si="15"/>
        <v>OneCo Networks AS</v>
      </c>
      <c r="N530" s="42" t="str">
        <f ca="1">IFERROR(
VLOOKUP(BoM_Griptel[[#This Row],[Product code]],
IF(AND((BoQ!$N$3&lt;&gt;""),OR(BoM_Griptel[[#This Row],[Vendor]]="Griptel",BoM_Griptel[[#This Row],[Vendor]]="Solar")),INDIRECT(Aux!$A$1)),4,FALSE),"")</f>
        <v/>
      </c>
      <c r="O530" s="170" t="s">
        <v>1807</v>
      </c>
      <c r="P530" s="43" t="str">
        <f>IFERROR(IF(AND(BoM_Griptel[[#This Row],[Quantity]]&lt;&gt;"",BoM_Griptel[[#This Row],[Currency]]="NOK"),BoM_Griptel[[#This Row],[Quantity]]*BoM_Griptel[[#This Row],[Unit Price]],""),"")</f>
        <v/>
      </c>
      <c r="Q530" s="43" t="str">
        <f>IFERROR(IF(AND(BoM_Griptel[[#This Row],[ACT_Qty]]&lt;&gt;"",BoM_Griptel[[#This Row],[Currency]]="NOK"),BoM_Griptel[[#This Row],[ACT_Qty]]*BoM_Griptel[[#This Row],[Unit Price]],""),"")</f>
        <v/>
      </c>
      <c r="R530" s="43" t="str">
        <f>IFERROR(IF(AND(BoM_Griptel[[#This Row],[Quantity]]&lt;&gt;"",BoM_Griptel[[#This Row],[Currency]]="EUR"),BoM_Griptel[[#This Row],[Quantity]]*BoM_Griptel[[#This Row],[Unit Price]],""),"")</f>
        <v/>
      </c>
      <c r="S530" s="43" t="str">
        <f>IFERROR(IF(AND(BoM_Griptel[[#This Row],[ACT_Qty]]&lt;&gt;"",BoM_Griptel[[#This Row],[Currency]]="EUR"),BoM_Griptel[[#This Row],[ACT_Qty]]*BoM_Griptel[[#This Row],[Unit Price]],""),"")</f>
        <v/>
      </c>
      <c r="T530" s="186" t="s">
        <v>1802</v>
      </c>
      <c r="U530" s="46"/>
      <c r="V530" s="46"/>
      <c r="W530" s="146"/>
    </row>
    <row r="531" spans="1:23" ht="15" customHeight="1">
      <c r="A531" s="143" t="str">
        <f t="shared" si="16"/>
        <v>AKH12345</v>
      </c>
      <c r="B531" s="144" t="s">
        <v>2858</v>
      </c>
      <c r="C531" s="143" t="s">
        <v>2859</v>
      </c>
      <c r="D531" s="105"/>
      <c r="E531" s="106"/>
      <c r="F531" s="105"/>
      <c r="G531" s="106"/>
      <c r="H531" s="175"/>
      <c r="I531" s="176" t="s">
        <v>847</v>
      </c>
      <c r="J531" s="176" t="s">
        <v>1965</v>
      </c>
      <c r="K531" s="176" t="s">
        <v>1235</v>
      </c>
      <c r="L531" s="145" t="s">
        <v>1806</v>
      </c>
      <c r="M531" s="45" t="str">
        <f t="shared" ref="M531:M594" si="17">IF($C$3&lt;&gt;"",$C$3,"")</f>
        <v>OneCo Networks AS</v>
      </c>
      <c r="N531" s="40" t="str">
        <f ca="1">IFERROR(
VLOOKUP(BoM_Griptel[[#This Row],[Product code]],
IF(AND((BoQ!$N$3&lt;&gt;""),OR(BoM_Griptel[[#This Row],[Vendor]]="Griptel",BoM_Griptel[[#This Row],[Vendor]]="Solar")),INDIRECT(Aux!$A$1)),4,FALSE),"")</f>
        <v/>
      </c>
      <c r="O531" s="169" t="s">
        <v>1807</v>
      </c>
      <c r="P531" s="41" t="str">
        <f>IFERROR(IF(AND(BoM_Griptel[[#This Row],[Quantity]]&lt;&gt;"",BoM_Griptel[[#This Row],[Currency]]="NOK"),BoM_Griptel[[#This Row],[Quantity]]*BoM_Griptel[[#This Row],[Unit Price]],""),"")</f>
        <v/>
      </c>
      <c r="Q531" s="41" t="str">
        <f>IFERROR(IF(AND(BoM_Griptel[[#This Row],[ACT_Qty]]&lt;&gt;"",BoM_Griptel[[#This Row],[Currency]]="NOK"),BoM_Griptel[[#This Row],[ACT_Qty]]*BoM_Griptel[[#This Row],[Unit Price]],""),"")</f>
        <v/>
      </c>
      <c r="R531" s="41" t="str">
        <f>IFERROR(IF(AND(BoM_Griptel[[#This Row],[Quantity]]&lt;&gt;"",BoM_Griptel[[#This Row],[Currency]]="EUR"),BoM_Griptel[[#This Row],[Quantity]]*BoM_Griptel[[#This Row],[Unit Price]],""),"")</f>
        <v/>
      </c>
      <c r="S531" s="41" t="str">
        <f>IFERROR(IF(AND(BoM_Griptel[[#This Row],[ACT_Qty]]&lt;&gt;"",BoM_Griptel[[#This Row],[Currency]]="EUR"),BoM_Griptel[[#This Row],[ACT_Qty]]*BoM_Griptel[[#This Row],[Unit Price]],""),"")</f>
        <v/>
      </c>
      <c r="T531" s="185" t="s">
        <v>1802</v>
      </c>
      <c r="U531" s="45"/>
      <c r="V531" s="45"/>
      <c r="W531" s="143"/>
    </row>
    <row r="532" spans="1:23" ht="15" customHeight="1">
      <c r="A532" s="146" t="str">
        <f t="shared" si="16"/>
        <v>AKH12345</v>
      </c>
      <c r="B532" s="147" t="s">
        <v>2860</v>
      </c>
      <c r="C532" s="146" t="s">
        <v>2861</v>
      </c>
      <c r="D532" s="68"/>
      <c r="E532" s="89"/>
      <c r="F532" s="68"/>
      <c r="G532" s="89"/>
      <c r="H532" s="177"/>
      <c r="I532" s="178" t="s">
        <v>847</v>
      </c>
      <c r="J532" s="178" t="s">
        <v>1965</v>
      </c>
      <c r="K532" s="178" t="s">
        <v>1235</v>
      </c>
      <c r="L532" s="148" t="s">
        <v>1806</v>
      </c>
      <c r="M532" s="46" t="str">
        <f t="shared" si="17"/>
        <v>OneCo Networks AS</v>
      </c>
      <c r="N532" s="42" t="str">
        <f ca="1">IFERROR(
VLOOKUP(BoM_Griptel[[#This Row],[Product code]],
IF(AND((BoQ!$N$3&lt;&gt;""),OR(BoM_Griptel[[#This Row],[Vendor]]="Griptel",BoM_Griptel[[#This Row],[Vendor]]="Solar")),INDIRECT(Aux!$A$1)),4,FALSE),"")</f>
        <v/>
      </c>
      <c r="O532" s="170" t="s">
        <v>1807</v>
      </c>
      <c r="P532" s="43" t="str">
        <f>IFERROR(IF(AND(BoM_Griptel[[#This Row],[Quantity]]&lt;&gt;"",BoM_Griptel[[#This Row],[Currency]]="NOK"),BoM_Griptel[[#This Row],[Quantity]]*BoM_Griptel[[#This Row],[Unit Price]],""),"")</f>
        <v/>
      </c>
      <c r="Q532" s="43" t="str">
        <f>IFERROR(IF(AND(BoM_Griptel[[#This Row],[ACT_Qty]]&lt;&gt;"",BoM_Griptel[[#This Row],[Currency]]="NOK"),BoM_Griptel[[#This Row],[ACT_Qty]]*BoM_Griptel[[#This Row],[Unit Price]],""),"")</f>
        <v/>
      </c>
      <c r="R532" s="43" t="str">
        <f>IFERROR(IF(AND(BoM_Griptel[[#This Row],[Quantity]]&lt;&gt;"",BoM_Griptel[[#This Row],[Currency]]="EUR"),BoM_Griptel[[#This Row],[Quantity]]*BoM_Griptel[[#This Row],[Unit Price]],""),"")</f>
        <v/>
      </c>
      <c r="S532" s="43" t="str">
        <f>IFERROR(IF(AND(BoM_Griptel[[#This Row],[ACT_Qty]]&lt;&gt;"",BoM_Griptel[[#This Row],[Currency]]="EUR"),BoM_Griptel[[#This Row],[ACT_Qty]]*BoM_Griptel[[#This Row],[Unit Price]],""),"")</f>
        <v/>
      </c>
      <c r="T532" s="186" t="s">
        <v>1802</v>
      </c>
      <c r="U532" s="46"/>
      <c r="V532" s="46"/>
      <c r="W532" s="146"/>
    </row>
    <row r="533" spans="1:23" ht="15" customHeight="1">
      <c r="A533" s="143" t="str">
        <f t="shared" si="16"/>
        <v>AKH12345</v>
      </c>
      <c r="B533" s="144" t="s">
        <v>2862</v>
      </c>
      <c r="C533" s="143" t="s">
        <v>2863</v>
      </c>
      <c r="D533" s="105"/>
      <c r="E533" s="106"/>
      <c r="F533" s="105"/>
      <c r="G533" s="106"/>
      <c r="H533" s="175"/>
      <c r="I533" s="176" t="s">
        <v>847</v>
      </c>
      <c r="J533" s="176" t="s">
        <v>1965</v>
      </c>
      <c r="K533" s="176" t="s">
        <v>1235</v>
      </c>
      <c r="L533" s="145" t="s">
        <v>1806</v>
      </c>
      <c r="M533" s="45" t="str">
        <f t="shared" si="17"/>
        <v>OneCo Networks AS</v>
      </c>
      <c r="N533" s="40" t="str">
        <f ca="1">IFERROR(
VLOOKUP(BoM_Griptel[[#This Row],[Product code]],
IF(AND((BoQ!$N$3&lt;&gt;""),OR(BoM_Griptel[[#This Row],[Vendor]]="Griptel",BoM_Griptel[[#This Row],[Vendor]]="Solar")),INDIRECT(Aux!$A$1)),4,FALSE),"")</f>
        <v/>
      </c>
      <c r="O533" s="169" t="s">
        <v>1807</v>
      </c>
      <c r="P533" s="41" t="str">
        <f>IFERROR(IF(AND(BoM_Griptel[[#This Row],[Quantity]]&lt;&gt;"",BoM_Griptel[[#This Row],[Currency]]="NOK"),BoM_Griptel[[#This Row],[Quantity]]*BoM_Griptel[[#This Row],[Unit Price]],""),"")</f>
        <v/>
      </c>
      <c r="Q533" s="41" t="str">
        <f>IFERROR(IF(AND(BoM_Griptel[[#This Row],[ACT_Qty]]&lt;&gt;"",BoM_Griptel[[#This Row],[Currency]]="NOK"),BoM_Griptel[[#This Row],[ACT_Qty]]*BoM_Griptel[[#This Row],[Unit Price]],""),"")</f>
        <v/>
      </c>
      <c r="R533" s="41" t="str">
        <f>IFERROR(IF(AND(BoM_Griptel[[#This Row],[Quantity]]&lt;&gt;"",BoM_Griptel[[#This Row],[Currency]]="EUR"),BoM_Griptel[[#This Row],[Quantity]]*BoM_Griptel[[#This Row],[Unit Price]],""),"")</f>
        <v/>
      </c>
      <c r="S533" s="41" t="str">
        <f>IFERROR(IF(AND(BoM_Griptel[[#This Row],[ACT_Qty]]&lt;&gt;"",BoM_Griptel[[#This Row],[Currency]]="EUR"),BoM_Griptel[[#This Row],[ACT_Qty]]*BoM_Griptel[[#This Row],[Unit Price]],""),"")</f>
        <v/>
      </c>
      <c r="T533" s="185" t="s">
        <v>1802</v>
      </c>
      <c r="U533" s="45"/>
      <c r="V533" s="45"/>
      <c r="W533" s="143"/>
    </row>
    <row r="534" spans="1:23" ht="15" customHeight="1">
      <c r="A534" s="146" t="str">
        <f t="shared" si="16"/>
        <v>AKH12345</v>
      </c>
      <c r="B534" s="147" t="s">
        <v>2864</v>
      </c>
      <c r="C534" s="146" t="s">
        <v>2865</v>
      </c>
      <c r="D534" s="68"/>
      <c r="E534" s="89"/>
      <c r="F534" s="68"/>
      <c r="G534" s="89"/>
      <c r="H534" s="177"/>
      <c r="I534" s="178" t="s">
        <v>847</v>
      </c>
      <c r="J534" s="178" t="s">
        <v>1965</v>
      </c>
      <c r="K534" s="178" t="s">
        <v>1235</v>
      </c>
      <c r="L534" s="148" t="s">
        <v>1806</v>
      </c>
      <c r="M534" s="46" t="str">
        <f t="shared" si="17"/>
        <v>OneCo Networks AS</v>
      </c>
      <c r="N534" s="42" t="str">
        <f ca="1">IFERROR(
VLOOKUP(BoM_Griptel[[#This Row],[Product code]],
IF(AND((BoQ!$N$3&lt;&gt;""),OR(BoM_Griptel[[#This Row],[Vendor]]="Griptel",BoM_Griptel[[#This Row],[Vendor]]="Solar")),INDIRECT(Aux!$A$1)),4,FALSE),"")</f>
        <v/>
      </c>
      <c r="O534" s="170" t="s">
        <v>1807</v>
      </c>
      <c r="P534" s="43" t="str">
        <f>IFERROR(IF(AND(BoM_Griptel[[#This Row],[Quantity]]&lt;&gt;"",BoM_Griptel[[#This Row],[Currency]]="NOK"),BoM_Griptel[[#This Row],[Quantity]]*BoM_Griptel[[#This Row],[Unit Price]],""),"")</f>
        <v/>
      </c>
      <c r="Q534" s="43" t="str">
        <f>IFERROR(IF(AND(BoM_Griptel[[#This Row],[ACT_Qty]]&lt;&gt;"",BoM_Griptel[[#This Row],[Currency]]="NOK"),BoM_Griptel[[#This Row],[ACT_Qty]]*BoM_Griptel[[#This Row],[Unit Price]],""),"")</f>
        <v/>
      </c>
      <c r="R534" s="43" t="str">
        <f>IFERROR(IF(AND(BoM_Griptel[[#This Row],[Quantity]]&lt;&gt;"",BoM_Griptel[[#This Row],[Currency]]="EUR"),BoM_Griptel[[#This Row],[Quantity]]*BoM_Griptel[[#This Row],[Unit Price]],""),"")</f>
        <v/>
      </c>
      <c r="S534" s="43" t="str">
        <f>IFERROR(IF(AND(BoM_Griptel[[#This Row],[ACT_Qty]]&lt;&gt;"",BoM_Griptel[[#This Row],[Currency]]="EUR"),BoM_Griptel[[#This Row],[ACT_Qty]]*BoM_Griptel[[#This Row],[Unit Price]],""),"")</f>
        <v/>
      </c>
      <c r="T534" s="186" t="s">
        <v>1802</v>
      </c>
      <c r="U534" s="46"/>
      <c r="V534" s="46"/>
      <c r="W534" s="146"/>
    </row>
    <row r="535" spans="1:23" ht="15" customHeight="1">
      <c r="A535" s="143" t="str">
        <f t="shared" si="16"/>
        <v>AKH12345</v>
      </c>
      <c r="B535" s="144" t="s">
        <v>2866</v>
      </c>
      <c r="C535" s="143" t="s">
        <v>2867</v>
      </c>
      <c r="D535" s="105"/>
      <c r="E535" s="106"/>
      <c r="F535" s="105"/>
      <c r="G535" s="106"/>
      <c r="H535" s="175"/>
      <c r="I535" s="176" t="s">
        <v>847</v>
      </c>
      <c r="J535" s="176" t="s">
        <v>1965</v>
      </c>
      <c r="K535" s="176" t="s">
        <v>1235</v>
      </c>
      <c r="L535" s="145" t="s">
        <v>1806</v>
      </c>
      <c r="M535" s="45" t="str">
        <f t="shared" si="17"/>
        <v>OneCo Networks AS</v>
      </c>
      <c r="N535" s="40" t="str">
        <f ca="1">IFERROR(
VLOOKUP(BoM_Griptel[[#This Row],[Product code]],
IF(AND((BoQ!$N$3&lt;&gt;""),OR(BoM_Griptel[[#This Row],[Vendor]]="Griptel",BoM_Griptel[[#This Row],[Vendor]]="Solar")),INDIRECT(Aux!$A$1)),4,FALSE),"")</f>
        <v/>
      </c>
      <c r="O535" s="169" t="s">
        <v>1807</v>
      </c>
      <c r="P535" s="41" t="str">
        <f>IFERROR(IF(AND(BoM_Griptel[[#This Row],[Quantity]]&lt;&gt;"",BoM_Griptel[[#This Row],[Currency]]="NOK"),BoM_Griptel[[#This Row],[Quantity]]*BoM_Griptel[[#This Row],[Unit Price]],""),"")</f>
        <v/>
      </c>
      <c r="Q535" s="41" t="str">
        <f>IFERROR(IF(AND(BoM_Griptel[[#This Row],[ACT_Qty]]&lt;&gt;"",BoM_Griptel[[#This Row],[Currency]]="NOK"),BoM_Griptel[[#This Row],[ACT_Qty]]*BoM_Griptel[[#This Row],[Unit Price]],""),"")</f>
        <v/>
      </c>
      <c r="R535" s="41" t="str">
        <f>IFERROR(IF(AND(BoM_Griptel[[#This Row],[Quantity]]&lt;&gt;"",BoM_Griptel[[#This Row],[Currency]]="EUR"),BoM_Griptel[[#This Row],[Quantity]]*BoM_Griptel[[#This Row],[Unit Price]],""),"")</f>
        <v/>
      </c>
      <c r="S535" s="41" t="str">
        <f>IFERROR(IF(AND(BoM_Griptel[[#This Row],[ACT_Qty]]&lt;&gt;"",BoM_Griptel[[#This Row],[Currency]]="EUR"),BoM_Griptel[[#This Row],[ACT_Qty]]*BoM_Griptel[[#This Row],[Unit Price]],""),"")</f>
        <v/>
      </c>
      <c r="T535" s="185" t="s">
        <v>1802</v>
      </c>
      <c r="U535" s="45"/>
      <c r="V535" s="45"/>
      <c r="W535" s="143"/>
    </row>
    <row r="536" spans="1:23" ht="15" customHeight="1">
      <c r="A536" s="146" t="str">
        <f t="shared" si="16"/>
        <v>AKH12345</v>
      </c>
      <c r="B536" s="147" t="s">
        <v>2868</v>
      </c>
      <c r="C536" s="146" t="s">
        <v>2869</v>
      </c>
      <c r="D536" s="68"/>
      <c r="E536" s="89"/>
      <c r="F536" s="68"/>
      <c r="G536" s="89"/>
      <c r="H536" s="177"/>
      <c r="I536" s="178" t="s">
        <v>847</v>
      </c>
      <c r="J536" s="178" t="s">
        <v>1965</v>
      </c>
      <c r="K536" s="178" t="s">
        <v>1235</v>
      </c>
      <c r="L536" s="148" t="s">
        <v>1806</v>
      </c>
      <c r="M536" s="46" t="str">
        <f t="shared" si="17"/>
        <v>OneCo Networks AS</v>
      </c>
      <c r="N536" s="42" t="str">
        <f ca="1">IFERROR(
VLOOKUP(BoM_Griptel[[#This Row],[Product code]],
IF(AND((BoQ!$N$3&lt;&gt;""),OR(BoM_Griptel[[#This Row],[Vendor]]="Griptel",BoM_Griptel[[#This Row],[Vendor]]="Solar")),INDIRECT(Aux!$A$1)),4,FALSE),"")</f>
        <v/>
      </c>
      <c r="O536" s="170" t="s">
        <v>1807</v>
      </c>
      <c r="P536" s="43" t="str">
        <f>IFERROR(IF(AND(BoM_Griptel[[#This Row],[Quantity]]&lt;&gt;"",BoM_Griptel[[#This Row],[Currency]]="NOK"),BoM_Griptel[[#This Row],[Quantity]]*BoM_Griptel[[#This Row],[Unit Price]],""),"")</f>
        <v/>
      </c>
      <c r="Q536" s="43" t="str">
        <f>IFERROR(IF(AND(BoM_Griptel[[#This Row],[ACT_Qty]]&lt;&gt;"",BoM_Griptel[[#This Row],[Currency]]="NOK"),BoM_Griptel[[#This Row],[ACT_Qty]]*BoM_Griptel[[#This Row],[Unit Price]],""),"")</f>
        <v/>
      </c>
      <c r="R536" s="43" t="str">
        <f>IFERROR(IF(AND(BoM_Griptel[[#This Row],[Quantity]]&lt;&gt;"",BoM_Griptel[[#This Row],[Currency]]="EUR"),BoM_Griptel[[#This Row],[Quantity]]*BoM_Griptel[[#This Row],[Unit Price]],""),"")</f>
        <v/>
      </c>
      <c r="S536" s="43" t="str">
        <f>IFERROR(IF(AND(BoM_Griptel[[#This Row],[ACT_Qty]]&lt;&gt;"",BoM_Griptel[[#This Row],[Currency]]="EUR"),BoM_Griptel[[#This Row],[ACT_Qty]]*BoM_Griptel[[#This Row],[Unit Price]],""),"")</f>
        <v/>
      </c>
      <c r="T536" s="186" t="s">
        <v>1802</v>
      </c>
      <c r="U536" s="46"/>
      <c r="V536" s="46"/>
      <c r="W536" s="146"/>
    </row>
    <row r="537" spans="1:23" ht="15" customHeight="1">
      <c r="A537" s="143" t="str">
        <f t="shared" si="16"/>
        <v>AKH12345</v>
      </c>
      <c r="B537" s="144" t="s">
        <v>2870</v>
      </c>
      <c r="C537" s="143" t="s">
        <v>2871</v>
      </c>
      <c r="D537" s="105"/>
      <c r="E537" s="106"/>
      <c r="F537" s="105"/>
      <c r="G537" s="106"/>
      <c r="H537" s="175"/>
      <c r="I537" s="176" t="s">
        <v>847</v>
      </c>
      <c r="J537" s="176" t="s">
        <v>1965</v>
      </c>
      <c r="K537" s="176" t="s">
        <v>1235</v>
      </c>
      <c r="L537" s="145" t="s">
        <v>1806</v>
      </c>
      <c r="M537" s="45" t="str">
        <f t="shared" si="17"/>
        <v>OneCo Networks AS</v>
      </c>
      <c r="N537" s="40" t="str">
        <f ca="1">IFERROR(
VLOOKUP(BoM_Griptel[[#This Row],[Product code]],
IF(AND((BoQ!$N$3&lt;&gt;""),OR(BoM_Griptel[[#This Row],[Vendor]]="Griptel",BoM_Griptel[[#This Row],[Vendor]]="Solar")),INDIRECT(Aux!$A$1)),4,FALSE),"")</f>
        <v/>
      </c>
      <c r="O537" s="169" t="s">
        <v>1807</v>
      </c>
      <c r="P537" s="41" t="str">
        <f>IFERROR(IF(AND(BoM_Griptel[[#This Row],[Quantity]]&lt;&gt;"",BoM_Griptel[[#This Row],[Currency]]="NOK"),BoM_Griptel[[#This Row],[Quantity]]*BoM_Griptel[[#This Row],[Unit Price]],""),"")</f>
        <v/>
      </c>
      <c r="Q537" s="41" t="str">
        <f>IFERROR(IF(AND(BoM_Griptel[[#This Row],[ACT_Qty]]&lt;&gt;"",BoM_Griptel[[#This Row],[Currency]]="NOK"),BoM_Griptel[[#This Row],[ACT_Qty]]*BoM_Griptel[[#This Row],[Unit Price]],""),"")</f>
        <v/>
      </c>
      <c r="R537" s="41" t="str">
        <f>IFERROR(IF(AND(BoM_Griptel[[#This Row],[Quantity]]&lt;&gt;"",BoM_Griptel[[#This Row],[Currency]]="EUR"),BoM_Griptel[[#This Row],[Quantity]]*BoM_Griptel[[#This Row],[Unit Price]],""),"")</f>
        <v/>
      </c>
      <c r="S537" s="41" t="str">
        <f>IFERROR(IF(AND(BoM_Griptel[[#This Row],[ACT_Qty]]&lt;&gt;"",BoM_Griptel[[#This Row],[Currency]]="EUR"),BoM_Griptel[[#This Row],[ACT_Qty]]*BoM_Griptel[[#This Row],[Unit Price]],""),"")</f>
        <v/>
      </c>
      <c r="T537" s="185" t="s">
        <v>1802</v>
      </c>
      <c r="U537" s="45"/>
      <c r="V537" s="45"/>
      <c r="W537" s="143"/>
    </row>
    <row r="538" spans="1:23" ht="15" customHeight="1">
      <c r="A538" s="146" t="str">
        <f t="shared" si="16"/>
        <v>AKH12345</v>
      </c>
      <c r="B538" s="147" t="s">
        <v>2872</v>
      </c>
      <c r="C538" s="146" t="s">
        <v>2873</v>
      </c>
      <c r="D538" s="68"/>
      <c r="E538" s="89"/>
      <c r="F538" s="68"/>
      <c r="G538" s="89"/>
      <c r="H538" s="177"/>
      <c r="I538" s="178" t="s">
        <v>847</v>
      </c>
      <c r="J538" s="178" t="s">
        <v>1965</v>
      </c>
      <c r="K538" s="178" t="s">
        <v>1235</v>
      </c>
      <c r="L538" s="148" t="s">
        <v>1806</v>
      </c>
      <c r="M538" s="46" t="str">
        <f t="shared" si="17"/>
        <v>OneCo Networks AS</v>
      </c>
      <c r="N538" s="42" t="str">
        <f ca="1">IFERROR(
VLOOKUP(BoM_Griptel[[#This Row],[Product code]],
IF(AND((BoQ!$N$3&lt;&gt;""),OR(BoM_Griptel[[#This Row],[Vendor]]="Griptel",BoM_Griptel[[#This Row],[Vendor]]="Solar")),INDIRECT(Aux!$A$1)),4,FALSE),"")</f>
        <v/>
      </c>
      <c r="O538" s="170" t="s">
        <v>1807</v>
      </c>
      <c r="P538" s="43" t="str">
        <f>IFERROR(IF(AND(BoM_Griptel[[#This Row],[Quantity]]&lt;&gt;"",BoM_Griptel[[#This Row],[Currency]]="NOK"),BoM_Griptel[[#This Row],[Quantity]]*BoM_Griptel[[#This Row],[Unit Price]],""),"")</f>
        <v/>
      </c>
      <c r="Q538" s="43" t="str">
        <f>IFERROR(IF(AND(BoM_Griptel[[#This Row],[ACT_Qty]]&lt;&gt;"",BoM_Griptel[[#This Row],[Currency]]="NOK"),BoM_Griptel[[#This Row],[ACT_Qty]]*BoM_Griptel[[#This Row],[Unit Price]],""),"")</f>
        <v/>
      </c>
      <c r="R538" s="43" t="str">
        <f>IFERROR(IF(AND(BoM_Griptel[[#This Row],[Quantity]]&lt;&gt;"",BoM_Griptel[[#This Row],[Currency]]="EUR"),BoM_Griptel[[#This Row],[Quantity]]*BoM_Griptel[[#This Row],[Unit Price]],""),"")</f>
        <v/>
      </c>
      <c r="S538" s="43" t="str">
        <f>IFERROR(IF(AND(BoM_Griptel[[#This Row],[ACT_Qty]]&lt;&gt;"",BoM_Griptel[[#This Row],[Currency]]="EUR"),BoM_Griptel[[#This Row],[ACT_Qty]]*BoM_Griptel[[#This Row],[Unit Price]],""),"")</f>
        <v/>
      </c>
      <c r="T538" s="186" t="s">
        <v>1802</v>
      </c>
      <c r="U538" s="46"/>
      <c r="V538" s="46"/>
      <c r="W538" s="146"/>
    </row>
    <row r="539" spans="1:23" ht="15" customHeight="1">
      <c r="A539" s="143" t="str">
        <f t="shared" si="16"/>
        <v>AKH12345</v>
      </c>
      <c r="B539" s="144" t="s">
        <v>2874</v>
      </c>
      <c r="C539" s="143" t="s">
        <v>2875</v>
      </c>
      <c r="D539" s="105"/>
      <c r="E539" s="106"/>
      <c r="F539" s="105"/>
      <c r="G539" s="106"/>
      <c r="H539" s="175"/>
      <c r="I539" s="176" t="s">
        <v>847</v>
      </c>
      <c r="J539" s="176" t="s">
        <v>1965</v>
      </c>
      <c r="K539" s="176" t="s">
        <v>1235</v>
      </c>
      <c r="L539" s="145" t="s">
        <v>1806</v>
      </c>
      <c r="M539" s="45" t="str">
        <f t="shared" si="17"/>
        <v>OneCo Networks AS</v>
      </c>
      <c r="N539" s="40" t="str">
        <f ca="1">IFERROR(
VLOOKUP(BoM_Griptel[[#This Row],[Product code]],
IF(AND((BoQ!$N$3&lt;&gt;""),OR(BoM_Griptel[[#This Row],[Vendor]]="Griptel",BoM_Griptel[[#This Row],[Vendor]]="Solar")),INDIRECT(Aux!$A$1)),4,FALSE),"")</f>
        <v/>
      </c>
      <c r="O539" s="169" t="s">
        <v>1807</v>
      </c>
      <c r="P539" s="41" t="str">
        <f>IFERROR(IF(AND(BoM_Griptel[[#This Row],[Quantity]]&lt;&gt;"",BoM_Griptel[[#This Row],[Currency]]="NOK"),BoM_Griptel[[#This Row],[Quantity]]*BoM_Griptel[[#This Row],[Unit Price]],""),"")</f>
        <v/>
      </c>
      <c r="Q539" s="41" t="str">
        <f>IFERROR(IF(AND(BoM_Griptel[[#This Row],[ACT_Qty]]&lt;&gt;"",BoM_Griptel[[#This Row],[Currency]]="NOK"),BoM_Griptel[[#This Row],[ACT_Qty]]*BoM_Griptel[[#This Row],[Unit Price]],""),"")</f>
        <v/>
      </c>
      <c r="R539" s="41" t="str">
        <f>IFERROR(IF(AND(BoM_Griptel[[#This Row],[Quantity]]&lt;&gt;"",BoM_Griptel[[#This Row],[Currency]]="EUR"),BoM_Griptel[[#This Row],[Quantity]]*BoM_Griptel[[#This Row],[Unit Price]],""),"")</f>
        <v/>
      </c>
      <c r="S539" s="41" t="str">
        <f>IFERROR(IF(AND(BoM_Griptel[[#This Row],[ACT_Qty]]&lt;&gt;"",BoM_Griptel[[#This Row],[Currency]]="EUR"),BoM_Griptel[[#This Row],[ACT_Qty]]*BoM_Griptel[[#This Row],[Unit Price]],""),"")</f>
        <v/>
      </c>
      <c r="T539" s="185" t="s">
        <v>1802</v>
      </c>
      <c r="U539" s="45"/>
      <c r="V539" s="45"/>
      <c r="W539" s="143"/>
    </row>
    <row r="540" spans="1:23" ht="15" customHeight="1">
      <c r="A540" s="146" t="str">
        <f t="shared" si="16"/>
        <v>AKH12345</v>
      </c>
      <c r="B540" s="147" t="s">
        <v>2876</v>
      </c>
      <c r="C540" s="146" t="s">
        <v>2877</v>
      </c>
      <c r="D540" s="68"/>
      <c r="E540" s="89"/>
      <c r="F540" s="68"/>
      <c r="G540" s="89"/>
      <c r="H540" s="177"/>
      <c r="I540" s="178" t="s">
        <v>847</v>
      </c>
      <c r="J540" s="178" t="s">
        <v>1965</v>
      </c>
      <c r="K540" s="178" t="s">
        <v>1235</v>
      </c>
      <c r="L540" s="148" t="s">
        <v>1806</v>
      </c>
      <c r="M540" s="46" t="str">
        <f t="shared" si="17"/>
        <v>OneCo Networks AS</v>
      </c>
      <c r="N540" s="42" t="str">
        <f ca="1">IFERROR(
VLOOKUP(BoM_Griptel[[#This Row],[Product code]],
IF(AND((BoQ!$N$3&lt;&gt;""),OR(BoM_Griptel[[#This Row],[Vendor]]="Griptel",BoM_Griptel[[#This Row],[Vendor]]="Solar")),INDIRECT(Aux!$A$1)),4,FALSE),"")</f>
        <v/>
      </c>
      <c r="O540" s="170" t="s">
        <v>1807</v>
      </c>
      <c r="P540" s="43" t="str">
        <f>IFERROR(IF(AND(BoM_Griptel[[#This Row],[Quantity]]&lt;&gt;"",BoM_Griptel[[#This Row],[Currency]]="NOK"),BoM_Griptel[[#This Row],[Quantity]]*BoM_Griptel[[#This Row],[Unit Price]],""),"")</f>
        <v/>
      </c>
      <c r="Q540" s="43" t="str">
        <f>IFERROR(IF(AND(BoM_Griptel[[#This Row],[ACT_Qty]]&lt;&gt;"",BoM_Griptel[[#This Row],[Currency]]="NOK"),BoM_Griptel[[#This Row],[ACT_Qty]]*BoM_Griptel[[#This Row],[Unit Price]],""),"")</f>
        <v/>
      </c>
      <c r="R540" s="43" t="str">
        <f>IFERROR(IF(AND(BoM_Griptel[[#This Row],[Quantity]]&lt;&gt;"",BoM_Griptel[[#This Row],[Currency]]="EUR"),BoM_Griptel[[#This Row],[Quantity]]*BoM_Griptel[[#This Row],[Unit Price]],""),"")</f>
        <v/>
      </c>
      <c r="S540" s="43" t="str">
        <f>IFERROR(IF(AND(BoM_Griptel[[#This Row],[ACT_Qty]]&lt;&gt;"",BoM_Griptel[[#This Row],[Currency]]="EUR"),BoM_Griptel[[#This Row],[ACT_Qty]]*BoM_Griptel[[#This Row],[Unit Price]],""),"")</f>
        <v/>
      </c>
      <c r="T540" s="186" t="s">
        <v>1802</v>
      </c>
      <c r="U540" s="46"/>
      <c r="V540" s="46"/>
      <c r="W540" s="146"/>
    </row>
    <row r="541" spans="1:23" ht="15" customHeight="1">
      <c r="A541" s="143" t="str">
        <f t="shared" si="16"/>
        <v>AKH12345</v>
      </c>
      <c r="B541" s="144" t="s">
        <v>2878</v>
      </c>
      <c r="C541" s="143" t="s">
        <v>2879</v>
      </c>
      <c r="D541" s="105"/>
      <c r="E541" s="106"/>
      <c r="F541" s="105"/>
      <c r="G541" s="106"/>
      <c r="H541" s="175"/>
      <c r="I541" s="176" t="s">
        <v>847</v>
      </c>
      <c r="J541" s="176" t="s">
        <v>1965</v>
      </c>
      <c r="K541" s="176" t="s">
        <v>1235</v>
      </c>
      <c r="L541" s="145" t="s">
        <v>1806</v>
      </c>
      <c r="M541" s="45" t="str">
        <f t="shared" si="17"/>
        <v>OneCo Networks AS</v>
      </c>
      <c r="N541" s="40" t="str">
        <f ca="1">IFERROR(
VLOOKUP(BoM_Griptel[[#This Row],[Product code]],
IF(AND((BoQ!$N$3&lt;&gt;""),OR(BoM_Griptel[[#This Row],[Vendor]]="Griptel",BoM_Griptel[[#This Row],[Vendor]]="Solar")),INDIRECT(Aux!$A$1)),4,FALSE),"")</f>
        <v/>
      </c>
      <c r="O541" s="169" t="s">
        <v>1807</v>
      </c>
      <c r="P541" s="41" t="str">
        <f>IFERROR(IF(AND(BoM_Griptel[[#This Row],[Quantity]]&lt;&gt;"",BoM_Griptel[[#This Row],[Currency]]="NOK"),BoM_Griptel[[#This Row],[Quantity]]*BoM_Griptel[[#This Row],[Unit Price]],""),"")</f>
        <v/>
      </c>
      <c r="Q541" s="41" t="str">
        <f>IFERROR(IF(AND(BoM_Griptel[[#This Row],[ACT_Qty]]&lt;&gt;"",BoM_Griptel[[#This Row],[Currency]]="NOK"),BoM_Griptel[[#This Row],[ACT_Qty]]*BoM_Griptel[[#This Row],[Unit Price]],""),"")</f>
        <v/>
      </c>
      <c r="R541" s="41" t="str">
        <f>IFERROR(IF(AND(BoM_Griptel[[#This Row],[Quantity]]&lt;&gt;"",BoM_Griptel[[#This Row],[Currency]]="EUR"),BoM_Griptel[[#This Row],[Quantity]]*BoM_Griptel[[#This Row],[Unit Price]],""),"")</f>
        <v/>
      </c>
      <c r="S541" s="41" t="str">
        <f>IFERROR(IF(AND(BoM_Griptel[[#This Row],[ACT_Qty]]&lt;&gt;"",BoM_Griptel[[#This Row],[Currency]]="EUR"),BoM_Griptel[[#This Row],[ACT_Qty]]*BoM_Griptel[[#This Row],[Unit Price]],""),"")</f>
        <v/>
      </c>
      <c r="T541" s="185" t="s">
        <v>1802</v>
      </c>
      <c r="U541" s="45"/>
      <c r="V541" s="45"/>
      <c r="W541" s="143"/>
    </row>
    <row r="542" spans="1:23" ht="15" customHeight="1">
      <c r="A542" s="146" t="str">
        <f t="shared" si="16"/>
        <v>AKH12345</v>
      </c>
      <c r="B542" s="147" t="s">
        <v>2880</v>
      </c>
      <c r="C542" s="146" t="s">
        <v>2881</v>
      </c>
      <c r="D542" s="68"/>
      <c r="E542" s="89"/>
      <c r="F542" s="68"/>
      <c r="G542" s="89"/>
      <c r="H542" s="177"/>
      <c r="I542" s="178" t="s">
        <v>847</v>
      </c>
      <c r="J542" s="178" t="s">
        <v>1965</v>
      </c>
      <c r="K542" s="178" t="s">
        <v>1235</v>
      </c>
      <c r="L542" s="148" t="s">
        <v>1806</v>
      </c>
      <c r="M542" s="46" t="str">
        <f t="shared" si="17"/>
        <v>OneCo Networks AS</v>
      </c>
      <c r="N542" s="42" t="str">
        <f ca="1">IFERROR(
VLOOKUP(BoM_Griptel[[#This Row],[Product code]],
IF(AND((BoQ!$N$3&lt;&gt;""),OR(BoM_Griptel[[#This Row],[Vendor]]="Griptel",BoM_Griptel[[#This Row],[Vendor]]="Solar")),INDIRECT(Aux!$A$1)),4,FALSE),"")</f>
        <v/>
      </c>
      <c r="O542" s="170" t="s">
        <v>1807</v>
      </c>
      <c r="P542" s="43" t="str">
        <f>IFERROR(IF(AND(BoM_Griptel[[#This Row],[Quantity]]&lt;&gt;"",BoM_Griptel[[#This Row],[Currency]]="NOK"),BoM_Griptel[[#This Row],[Quantity]]*BoM_Griptel[[#This Row],[Unit Price]],""),"")</f>
        <v/>
      </c>
      <c r="Q542" s="43" t="str">
        <f>IFERROR(IF(AND(BoM_Griptel[[#This Row],[ACT_Qty]]&lt;&gt;"",BoM_Griptel[[#This Row],[Currency]]="NOK"),BoM_Griptel[[#This Row],[ACT_Qty]]*BoM_Griptel[[#This Row],[Unit Price]],""),"")</f>
        <v/>
      </c>
      <c r="R542" s="43" t="str">
        <f>IFERROR(IF(AND(BoM_Griptel[[#This Row],[Quantity]]&lt;&gt;"",BoM_Griptel[[#This Row],[Currency]]="EUR"),BoM_Griptel[[#This Row],[Quantity]]*BoM_Griptel[[#This Row],[Unit Price]],""),"")</f>
        <v/>
      </c>
      <c r="S542" s="43" t="str">
        <f>IFERROR(IF(AND(BoM_Griptel[[#This Row],[ACT_Qty]]&lt;&gt;"",BoM_Griptel[[#This Row],[Currency]]="EUR"),BoM_Griptel[[#This Row],[ACT_Qty]]*BoM_Griptel[[#This Row],[Unit Price]],""),"")</f>
        <v/>
      </c>
      <c r="T542" s="186" t="s">
        <v>1802</v>
      </c>
      <c r="U542" s="46"/>
      <c r="V542" s="46"/>
      <c r="W542" s="146"/>
    </row>
    <row r="543" spans="1:23" ht="15" customHeight="1">
      <c r="A543" s="143" t="str">
        <f t="shared" si="16"/>
        <v>AKH12345</v>
      </c>
      <c r="B543" s="144" t="s">
        <v>2882</v>
      </c>
      <c r="C543" s="143" t="s">
        <v>2883</v>
      </c>
      <c r="D543" s="105"/>
      <c r="E543" s="106"/>
      <c r="F543" s="105"/>
      <c r="G543" s="106"/>
      <c r="H543" s="175"/>
      <c r="I543" s="176" t="s">
        <v>847</v>
      </c>
      <c r="J543" s="176" t="s">
        <v>1965</v>
      </c>
      <c r="K543" s="176" t="s">
        <v>1235</v>
      </c>
      <c r="L543" s="145" t="s">
        <v>1806</v>
      </c>
      <c r="M543" s="45" t="str">
        <f t="shared" si="17"/>
        <v>OneCo Networks AS</v>
      </c>
      <c r="N543" s="40" t="str">
        <f ca="1">IFERROR(
VLOOKUP(BoM_Griptel[[#This Row],[Product code]],
IF(AND((BoQ!$N$3&lt;&gt;""),OR(BoM_Griptel[[#This Row],[Vendor]]="Griptel",BoM_Griptel[[#This Row],[Vendor]]="Solar")),INDIRECT(Aux!$A$1)),4,FALSE),"")</f>
        <v/>
      </c>
      <c r="O543" s="169" t="s">
        <v>1807</v>
      </c>
      <c r="P543" s="41" t="str">
        <f>IFERROR(IF(AND(BoM_Griptel[[#This Row],[Quantity]]&lt;&gt;"",BoM_Griptel[[#This Row],[Currency]]="NOK"),BoM_Griptel[[#This Row],[Quantity]]*BoM_Griptel[[#This Row],[Unit Price]],""),"")</f>
        <v/>
      </c>
      <c r="Q543" s="41" t="str">
        <f>IFERROR(IF(AND(BoM_Griptel[[#This Row],[ACT_Qty]]&lt;&gt;"",BoM_Griptel[[#This Row],[Currency]]="NOK"),BoM_Griptel[[#This Row],[ACT_Qty]]*BoM_Griptel[[#This Row],[Unit Price]],""),"")</f>
        <v/>
      </c>
      <c r="R543" s="41" t="str">
        <f>IFERROR(IF(AND(BoM_Griptel[[#This Row],[Quantity]]&lt;&gt;"",BoM_Griptel[[#This Row],[Currency]]="EUR"),BoM_Griptel[[#This Row],[Quantity]]*BoM_Griptel[[#This Row],[Unit Price]],""),"")</f>
        <v/>
      </c>
      <c r="S543" s="41" t="str">
        <f>IFERROR(IF(AND(BoM_Griptel[[#This Row],[ACT_Qty]]&lt;&gt;"",BoM_Griptel[[#This Row],[Currency]]="EUR"),BoM_Griptel[[#This Row],[ACT_Qty]]*BoM_Griptel[[#This Row],[Unit Price]],""),"")</f>
        <v/>
      </c>
      <c r="T543" s="185" t="s">
        <v>1802</v>
      </c>
      <c r="U543" s="45"/>
      <c r="V543" s="45"/>
      <c r="W543" s="143"/>
    </row>
    <row r="544" spans="1:23" ht="15" customHeight="1">
      <c r="A544" s="146" t="str">
        <f t="shared" si="16"/>
        <v>AKH12345</v>
      </c>
      <c r="B544" s="147" t="s">
        <v>2884</v>
      </c>
      <c r="C544" s="146" t="s">
        <v>2885</v>
      </c>
      <c r="D544" s="68"/>
      <c r="E544" s="89"/>
      <c r="F544" s="68"/>
      <c r="G544" s="89"/>
      <c r="H544" s="177"/>
      <c r="I544" s="178" t="s">
        <v>847</v>
      </c>
      <c r="J544" s="178" t="s">
        <v>1965</v>
      </c>
      <c r="K544" s="178" t="s">
        <v>1235</v>
      </c>
      <c r="L544" s="148" t="s">
        <v>1806</v>
      </c>
      <c r="M544" s="46" t="str">
        <f t="shared" si="17"/>
        <v>OneCo Networks AS</v>
      </c>
      <c r="N544" s="42" t="str">
        <f ca="1">IFERROR(
VLOOKUP(BoM_Griptel[[#This Row],[Product code]],
IF(AND((BoQ!$N$3&lt;&gt;""),OR(BoM_Griptel[[#This Row],[Vendor]]="Griptel",BoM_Griptel[[#This Row],[Vendor]]="Solar")),INDIRECT(Aux!$A$1)),4,FALSE),"")</f>
        <v/>
      </c>
      <c r="O544" s="170" t="s">
        <v>1807</v>
      </c>
      <c r="P544" s="43" t="str">
        <f>IFERROR(IF(AND(BoM_Griptel[[#This Row],[Quantity]]&lt;&gt;"",BoM_Griptel[[#This Row],[Currency]]="NOK"),BoM_Griptel[[#This Row],[Quantity]]*BoM_Griptel[[#This Row],[Unit Price]],""),"")</f>
        <v/>
      </c>
      <c r="Q544" s="43" t="str">
        <f>IFERROR(IF(AND(BoM_Griptel[[#This Row],[ACT_Qty]]&lt;&gt;"",BoM_Griptel[[#This Row],[Currency]]="NOK"),BoM_Griptel[[#This Row],[ACT_Qty]]*BoM_Griptel[[#This Row],[Unit Price]],""),"")</f>
        <v/>
      </c>
      <c r="R544" s="43" t="str">
        <f>IFERROR(IF(AND(BoM_Griptel[[#This Row],[Quantity]]&lt;&gt;"",BoM_Griptel[[#This Row],[Currency]]="EUR"),BoM_Griptel[[#This Row],[Quantity]]*BoM_Griptel[[#This Row],[Unit Price]],""),"")</f>
        <v/>
      </c>
      <c r="S544" s="43" t="str">
        <f>IFERROR(IF(AND(BoM_Griptel[[#This Row],[ACT_Qty]]&lt;&gt;"",BoM_Griptel[[#This Row],[Currency]]="EUR"),BoM_Griptel[[#This Row],[ACT_Qty]]*BoM_Griptel[[#This Row],[Unit Price]],""),"")</f>
        <v/>
      </c>
      <c r="T544" s="186" t="s">
        <v>1802</v>
      </c>
      <c r="U544" s="46"/>
      <c r="V544" s="46"/>
      <c r="W544" s="146"/>
    </row>
    <row r="545" spans="1:23" ht="15" customHeight="1">
      <c r="A545" s="143" t="str">
        <f t="shared" si="16"/>
        <v>AKH12345</v>
      </c>
      <c r="B545" s="144" t="s">
        <v>2886</v>
      </c>
      <c r="C545" s="143" t="s">
        <v>2887</v>
      </c>
      <c r="D545" s="105"/>
      <c r="E545" s="106"/>
      <c r="F545" s="105"/>
      <c r="G545" s="106"/>
      <c r="H545" s="175"/>
      <c r="I545" s="176" t="s">
        <v>847</v>
      </c>
      <c r="J545" s="176" t="s">
        <v>1965</v>
      </c>
      <c r="K545" s="176" t="s">
        <v>1235</v>
      </c>
      <c r="L545" s="145" t="s">
        <v>1806</v>
      </c>
      <c r="M545" s="45" t="str">
        <f t="shared" si="17"/>
        <v>OneCo Networks AS</v>
      </c>
      <c r="N545" s="40" t="str">
        <f ca="1">IFERROR(
VLOOKUP(BoM_Griptel[[#This Row],[Product code]],
IF(AND((BoQ!$N$3&lt;&gt;""),OR(BoM_Griptel[[#This Row],[Vendor]]="Griptel",BoM_Griptel[[#This Row],[Vendor]]="Solar")),INDIRECT(Aux!$A$1)),4,FALSE),"")</f>
        <v/>
      </c>
      <c r="O545" s="169" t="s">
        <v>1807</v>
      </c>
      <c r="P545" s="41" t="str">
        <f>IFERROR(IF(AND(BoM_Griptel[[#This Row],[Quantity]]&lt;&gt;"",BoM_Griptel[[#This Row],[Currency]]="NOK"),BoM_Griptel[[#This Row],[Quantity]]*BoM_Griptel[[#This Row],[Unit Price]],""),"")</f>
        <v/>
      </c>
      <c r="Q545" s="41" t="str">
        <f>IFERROR(IF(AND(BoM_Griptel[[#This Row],[ACT_Qty]]&lt;&gt;"",BoM_Griptel[[#This Row],[Currency]]="NOK"),BoM_Griptel[[#This Row],[ACT_Qty]]*BoM_Griptel[[#This Row],[Unit Price]],""),"")</f>
        <v/>
      </c>
      <c r="R545" s="41" t="str">
        <f>IFERROR(IF(AND(BoM_Griptel[[#This Row],[Quantity]]&lt;&gt;"",BoM_Griptel[[#This Row],[Currency]]="EUR"),BoM_Griptel[[#This Row],[Quantity]]*BoM_Griptel[[#This Row],[Unit Price]],""),"")</f>
        <v/>
      </c>
      <c r="S545" s="41" t="str">
        <f>IFERROR(IF(AND(BoM_Griptel[[#This Row],[ACT_Qty]]&lt;&gt;"",BoM_Griptel[[#This Row],[Currency]]="EUR"),BoM_Griptel[[#This Row],[ACT_Qty]]*BoM_Griptel[[#This Row],[Unit Price]],""),"")</f>
        <v/>
      </c>
      <c r="T545" s="185" t="s">
        <v>1802</v>
      </c>
      <c r="U545" s="45"/>
      <c r="V545" s="45"/>
      <c r="W545" s="143"/>
    </row>
    <row r="546" spans="1:23" ht="15" customHeight="1">
      <c r="A546" s="146" t="str">
        <f t="shared" si="16"/>
        <v>AKH12345</v>
      </c>
      <c r="B546" s="147" t="s">
        <v>2888</v>
      </c>
      <c r="C546" s="146" t="s">
        <v>2889</v>
      </c>
      <c r="D546" s="68"/>
      <c r="E546" s="89"/>
      <c r="F546" s="68"/>
      <c r="G546" s="89"/>
      <c r="H546" s="177"/>
      <c r="I546" s="178" t="s">
        <v>847</v>
      </c>
      <c r="J546" s="178" t="s">
        <v>1965</v>
      </c>
      <c r="K546" s="178" t="s">
        <v>1235</v>
      </c>
      <c r="L546" s="148" t="s">
        <v>1806</v>
      </c>
      <c r="M546" s="46" t="str">
        <f t="shared" si="17"/>
        <v>OneCo Networks AS</v>
      </c>
      <c r="N546" s="42" t="str">
        <f ca="1">IFERROR(
VLOOKUP(BoM_Griptel[[#This Row],[Product code]],
IF(AND((BoQ!$N$3&lt;&gt;""),OR(BoM_Griptel[[#This Row],[Vendor]]="Griptel",BoM_Griptel[[#This Row],[Vendor]]="Solar")),INDIRECT(Aux!$A$1)),4,FALSE),"")</f>
        <v/>
      </c>
      <c r="O546" s="170" t="s">
        <v>1807</v>
      </c>
      <c r="P546" s="43" t="str">
        <f>IFERROR(IF(AND(BoM_Griptel[[#This Row],[Quantity]]&lt;&gt;"",BoM_Griptel[[#This Row],[Currency]]="NOK"),BoM_Griptel[[#This Row],[Quantity]]*BoM_Griptel[[#This Row],[Unit Price]],""),"")</f>
        <v/>
      </c>
      <c r="Q546" s="43" t="str">
        <f>IFERROR(IF(AND(BoM_Griptel[[#This Row],[ACT_Qty]]&lt;&gt;"",BoM_Griptel[[#This Row],[Currency]]="NOK"),BoM_Griptel[[#This Row],[ACT_Qty]]*BoM_Griptel[[#This Row],[Unit Price]],""),"")</f>
        <v/>
      </c>
      <c r="R546" s="43" t="str">
        <f>IFERROR(IF(AND(BoM_Griptel[[#This Row],[Quantity]]&lt;&gt;"",BoM_Griptel[[#This Row],[Currency]]="EUR"),BoM_Griptel[[#This Row],[Quantity]]*BoM_Griptel[[#This Row],[Unit Price]],""),"")</f>
        <v/>
      </c>
      <c r="S546" s="43" t="str">
        <f>IFERROR(IF(AND(BoM_Griptel[[#This Row],[ACT_Qty]]&lt;&gt;"",BoM_Griptel[[#This Row],[Currency]]="EUR"),BoM_Griptel[[#This Row],[ACT_Qty]]*BoM_Griptel[[#This Row],[Unit Price]],""),"")</f>
        <v/>
      </c>
      <c r="T546" s="186" t="s">
        <v>1802</v>
      </c>
      <c r="U546" s="46"/>
      <c r="V546" s="46"/>
      <c r="W546" s="146"/>
    </row>
    <row r="547" spans="1:23" ht="15" customHeight="1">
      <c r="A547" s="143" t="str">
        <f t="shared" si="16"/>
        <v>AKH12345</v>
      </c>
      <c r="B547" s="144" t="s">
        <v>2890</v>
      </c>
      <c r="C547" s="143" t="s">
        <v>2891</v>
      </c>
      <c r="D547" s="105"/>
      <c r="E547" s="106"/>
      <c r="F547" s="105"/>
      <c r="G547" s="106"/>
      <c r="H547" s="175"/>
      <c r="I547" s="176" t="s">
        <v>847</v>
      </c>
      <c r="J547" s="176" t="s">
        <v>1965</v>
      </c>
      <c r="K547" s="176" t="s">
        <v>1235</v>
      </c>
      <c r="L547" s="145" t="s">
        <v>1806</v>
      </c>
      <c r="M547" s="45" t="str">
        <f t="shared" si="17"/>
        <v>OneCo Networks AS</v>
      </c>
      <c r="N547" s="40" t="str">
        <f ca="1">IFERROR(
VLOOKUP(BoM_Griptel[[#This Row],[Product code]],
IF(AND((BoQ!$N$3&lt;&gt;""),OR(BoM_Griptel[[#This Row],[Vendor]]="Griptel",BoM_Griptel[[#This Row],[Vendor]]="Solar")),INDIRECT(Aux!$A$1)),4,FALSE),"")</f>
        <v/>
      </c>
      <c r="O547" s="169" t="s">
        <v>1807</v>
      </c>
      <c r="P547" s="41" t="str">
        <f>IFERROR(IF(AND(BoM_Griptel[[#This Row],[Quantity]]&lt;&gt;"",BoM_Griptel[[#This Row],[Currency]]="NOK"),BoM_Griptel[[#This Row],[Quantity]]*BoM_Griptel[[#This Row],[Unit Price]],""),"")</f>
        <v/>
      </c>
      <c r="Q547" s="41" t="str">
        <f>IFERROR(IF(AND(BoM_Griptel[[#This Row],[ACT_Qty]]&lt;&gt;"",BoM_Griptel[[#This Row],[Currency]]="NOK"),BoM_Griptel[[#This Row],[ACT_Qty]]*BoM_Griptel[[#This Row],[Unit Price]],""),"")</f>
        <v/>
      </c>
      <c r="R547" s="41" t="str">
        <f>IFERROR(IF(AND(BoM_Griptel[[#This Row],[Quantity]]&lt;&gt;"",BoM_Griptel[[#This Row],[Currency]]="EUR"),BoM_Griptel[[#This Row],[Quantity]]*BoM_Griptel[[#This Row],[Unit Price]],""),"")</f>
        <v/>
      </c>
      <c r="S547" s="41" t="str">
        <f>IFERROR(IF(AND(BoM_Griptel[[#This Row],[ACT_Qty]]&lt;&gt;"",BoM_Griptel[[#This Row],[Currency]]="EUR"),BoM_Griptel[[#This Row],[ACT_Qty]]*BoM_Griptel[[#This Row],[Unit Price]],""),"")</f>
        <v/>
      </c>
      <c r="T547" s="185" t="s">
        <v>1802</v>
      </c>
      <c r="U547" s="45"/>
      <c r="V547" s="45"/>
      <c r="W547" s="143"/>
    </row>
    <row r="548" spans="1:23" ht="15" customHeight="1">
      <c r="A548" s="146" t="str">
        <f t="shared" si="16"/>
        <v>AKH12345</v>
      </c>
      <c r="B548" s="147" t="s">
        <v>2892</v>
      </c>
      <c r="C548" s="146" t="s">
        <v>2893</v>
      </c>
      <c r="D548" s="68"/>
      <c r="E548" s="89"/>
      <c r="F548" s="68"/>
      <c r="G548" s="89"/>
      <c r="H548" s="177"/>
      <c r="I548" s="178" t="s">
        <v>847</v>
      </c>
      <c r="J548" s="178" t="s">
        <v>1965</v>
      </c>
      <c r="K548" s="178" t="s">
        <v>1235</v>
      </c>
      <c r="L548" s="148" t="s">
        <v>1806</v>
      </c>
      <c r="M548" s="46" t="str">
        <f t="shared" si="17"/>
        <v>OneCo Networks AS</v>
      </c>
      <c r="N548" s="42" t="str">
        <f ca="1">IFERROR(
VLOOKUP(BoM_Griptel[[#This Row],[Product code]],
IF(AND((BoQ!$N$3&lt;&gt;""),OR(BoM_Griptel[[#This Row],[Vendor]]="Griptel",BoM_Griptel[[#This Row],[Vendor]]="Solar")),INDIRECT(Aux!$A$1)),4,FALSE),"")</f>
        <v/>
      </c>
      <c r="O548" s="170" t="s">
        <v>1807</v>
      </c>
      <c r="P548" s="43" t="str">
        <f>IFERROR(IF(AND(BoM_Griptel[[#This Row],[Quantity]]&lt;&gt;"",BoM_Griptel[[#This Row],[Currency]]="NOK"),BoM_Griptel[[#This Row],[Quantity]]*BoM_Griptel[[#This Row],[Unit Price]],""),"")</f>
        <v/>
      </c>
      <c r="Q548" s="43" t="str">
        <f>IFERROR(IF(AND(BoM_Griptel[[#This Row],[ACT_Qty]]&lt;&gt;"",BoM_Griptel[[#This Row],[Currency]]="NOK"),BoM_Griptel[[#This Row],[ACT_Qty]]*BoM_Griptel[[#This Row],[Unit Price]],""),"")</f>
        <v/>
      </c>
      <c r="R548" s="43" t="str">
        <f>IFERROR(IF(AND(BoM_Griptel[[#This Row],[Quantity]]&lt;&gt;"",BoM_Griptel[[#This Row],[Currency]]="EUR"),BoM_Griptel[[#This Row],[Quantity]]*BoM_Griptel[[#This Row],[Unit Price]],""),"")</f>
        <v/>
      </c>
      <c r="S548" s="43" t="str">
        <f>IFERROR(IF(AND(BoM_Griptel[[#This Row],[ACT_Qty]]&lt;&gt;"",BoM_Griptel[[#This Row],[Currency]]="EUR"),BoM_Griptel[[#This Row],[ACT_Qty]]*BoM_Griptel[[#This Row],[Unit Price]],""),"")</f>
        <v/>
      </c>
      <c r="T548" s="186" t="s">
        <v>1802</v>
      </c>
      <c r="U548" s="46"/>
      <c r="V548" s="46"/>
      <c r="W548" s="146"/>
    </row>
    <row r="549" spans="1:23" ht="15" customHeight="1">
      <c r="A549" s="143" t="str">
        <f t="shared" si="16"/>
        <v>AKH12345</v>
      </c>
      <c r="B549" s="144" t="s">
        <v>2894</v>
      </c>
      <c r="C549" s="143" t="s">
        <v>2895</v>
      </c>
      <c r="D549" s="105"/>
      <c r="E549" s="106"/>
      <c r="F549" s="105"/>
      <c r="G549" s="106"/>
      <c r="H549" s="175"/>
      <c r="I549" s="176" t="s">
        <v>847</v>
      </c>
      <c r="J549" s="176" t="s">
        <v>1965</v>
      </c>
      <c r="K549" s="176" t="s">
        <v>1235</v>
      </c>
      <c r="L549" s="145" t="s">
        <v>1806</v>
      </c>
      <c r="M549" s="45" t="str">
        <f t="shared" si="17"/>
        <v>OneCo Networks AS</v>
      </c>
      <c r="N549" s="40" t="str">
        <f ca="1">IFERROR(
VLOOKUP(BoM_Griptel[[#This Row],[Product code]],
IF(AND((BoQ!$N$3&lt;&gt;""),OR(BoM_Griptel[[#This Row],[Vendor]]="Griptel",BoM_Griptel[[#This Row],[Vendor]]="Solar")),INDIRECT(Aux!$A$1)),4,FALSE),"")</f>
        <v/>
      </c>
      <c r="O549" s="169" t="s">
        <v>1807</v>
      </c>
      <c r="P549" s="41" t="str">
        <f>IFERROR(IF(AND(BoM_Griptel[[#This Row],[Quantity]]&lt;&gt;"",BoM_Griptel[[#This Row],[Currency]]="NOK"),BoM_Griptel[[#This Row],[Quantity]]*BoM_Griptel[[#This Row],[Unit Price]],""),"")</f>
        <v/>
      </c>
      <c r="Q549" s="41" t="str">
        <f>IFERROR(IF(AND(BoM_Griptel[[#This Row],[ACT_Qty]]&lt;&gt;"",BoM_Griptel[[#This Row],[Currency]]="NOK"),BoM_Griptel[[#This Row],[ACT_Qty]]*BoM_Griptel[[#This Row],[Unit Price]],""),"")</f>
        <v/>
      </c>
      <c r="R549" s="41" t="str">
        <f>IFERROR(IF(AND(BoM_Griptel[[#This Row],[Quantity]]&lt;&gt;"",BoM_Griptel[[#This Row],[Currency]]="EUR"),BoM_Griptel[[#This Row],[Quantity]]*BoM_Griptel[[#This Row],[Unit Price]],""),"")</f>
        <v/>
      </c>
      <c r="S549" s="41" t="str">
        <f>IFERROR(IF(AND(BoM_Griptel[[#This Row],[ACT_Qty]]&lt;&gt;"",BoM_Griptel[[#This Row],[Currency]]="EUR"),BoM_Griptel[[#This Row],[ACT_Qty]]*BoM_Griptel[[#This Row],[Unit Price]],""),"")</f>
        <v/>
      </c>
      <c r="T549" s="185" t="s">
        <v>1802</v>
      </c>
      <c r="U549" s="45"/>
      <c r="V549" s="45"/>
      <c r="W549" s="143"/>
    </row>
    <row r="550" spans="1:23" ht="15" customHeight="1">
      <c r="A550" s="146" t="str">
        <f t="shared" si="16"/>
        <v>AKH12345</v>
      </c>
      <c r="B550" s="147" t="s">
        <v>2896</v>
      </c>
      <c r="C550" s="146" t="s">
        <v>2897</v>
      </c>
      <c r="D550" s="68"/>
      <c r="E550" s="89"/>
      <c r="F550" s="68"/>
      <c r="G550" s="89"/>
      <c r="H550" s="177"/>
      <c r="I550" s="178" t="s">
        <v>847</v>
      </c>
      <c r="J550" s="178" t="s">
        <v>1965</v>
      </c>
      <c r="K550" s="178" t="s">
        <v>1235</v>
      </c>
      <c r="L550" s="148" t="s">
        <v>1806</v>
      </c>
      <c r="M550" s="46" t="str">
        <f t="shared" si="17"/>
        <v>OneCo Networks AS</v>
      </c>
      <c r="N550" s="42" t="str">
        <f ca="1">IFERROR(
VLOOKUP(BoM_Griptel[[#This Row],[Product code]],
IF(AND((BoQ!$N$3&lt;&gt;""),OR(BoM_Griptel[[#This Row],[Vendor]]="Griptel",BoM_Griptel[[#This Row],[Vendor]]="Solar")),INDIRECT(Aux!$A$1)),4,FALSE),"")</f>
        <v/>
      </c>
      <c r="O550" s="170" t="s">
        <v>1807</v>
      </c>
      <c r="P550" s="43" t="str">
        <f>IFERROR(IF(AND(BoM_Griptel[[#This Row],[Quantity]]&lt;&gt;"",BoM_Griptel[[#This Row],[Currency]]="NOK"),BoM_Griptel[[#This Row],[Quantity]]*BoM_Griptel[[#This Row],[Unit Price]],""),"")</f>
        <v/>
      </c>
      <c r="Q550" s="43" t="str">
        <f>IFERROR(IF(AND(BoM_Griptel[[#This Row],[ACT_Qty]]&lt;&gt;"",BoM_Griptel[[#This Row],[Currency]]="NOK"),BoM_Griptel[[#This Row],[ACT_Qty]]*BoM_Griptel[[#This Row],[Unit Price]],""),"")</f>
        <v/>
      </c>
      <c r="R550" s="43" t="str">
        <f>IFERROR(IF(AND(BoM_Griptel[[#This Row],[Quantity]]&lt;&gt;"",BoM_Griptel[[#This Row],[Currency]]="EUR"),BoM_Griptel[[#This Row],[Quantity]]*BoM_Griptel[[#This Row],[Unit Price]],""),"")</f>
        <v/>
      </c>
      <c r="S550" s="43" t="str">
        <f>IFERROR(IF(AND(BoM_Griptel[[#This Row],[ACT_Qty]]&lt;&gt;"",BoM_Griptel[[#This Row],[Currency]]="EUR"),BoM_Griptel[[#This Row],[ACT_Qty]]*BoM_Griptel[[#This Row],[Unit Price]],""),"")</f>
        <v/>
      </c>
      <c r="T550" s="186" t="s">
        <v>1802</v>
      </c>
      <c r="U550" s="46"/>
      <c r="V550" s="46"/>
      <c r="W550" s="146"/>
    </row>
    <row r="551" spans="1:23" ht="15" customHeight="1">
      <c r="A551" s="143" t="str">
        <f t="shared" si="16"/>
        <v>AKH12345</v>
      </c>
      <c r="B551" s="144" t="s">
        <v>2898</v>
      </c>
      <c r="C551" s="143" t="s">
        <v>2899</v>
      </c>
      <c r="D551" s="105"/>
      <c r="E551" s="106"/>
      <c r="F551" s="105"/>
      <c r="G551" s="106"/>
      <c r="H551" s="175"/>
      <c r="I551" s="176" t="s">
        <v>847</v>
      </c>
      <c r="J551" s="176" t="s">
        <v>1965</v>
      </c>
      <c r="K551" s="176" t="s">
        <v>1235</v>
      </c>
      <c r="L551" s="145" t="s">
        <v>1806</v>
      </c>
      <c r="M551" s="45" t="str">
        <f t="shared" si="17"/>
        <v>OneCo Networks AS</v>
      </c>
      <c r="N551" s="40" t="str">
        <f ca="1">IFERROR(
VLOOKUP(BoM_Griptel[[#This Row],[Product code]],
IF(AND((BoQ!$N$3&lt;&gt;""),OR(BoM_Griptel[[#This Row],[Vendor]]="Griptel",BoM_Griptel[[#This Row],[Vendor]]="Solar")),INDIRECT(Aux!$A$1)),4,FALSE),"")</f>
        <v/>
      </c>
      <c r="O551" s="169" t="s">
        <v>1807</v>
      </c>
      <c r="P551" s="41" t="str">
        <f>IFERROR(IF(AND(BoM_Griptel[[#This Row],[Quantity]]&lt;&gt;"",BoM_Griptel[[#This Row],[Currency]]="NOK"),BoM_Griptel[[#This Row],[Quantity]]*BoM_Griptel[[#This Row],[Unit Price]],""),"")</f>
        <v/>
      </c>
      <c r="Q551" s="41" t="str">
        <f>IFERROR(IF(AND(BoM_Griptel[[#This Row],[ACT_Qty]]&lt;&gt;"",BoM_Griptel[[#This Row],[Currency]]="NOK"),BoM_Griptel[[#This Row],[ACT_Qty]]*BoM_Griptel[[#This Row],[Unit Price]],""),"")</f>
        <v/>
      </c>
      <c r="R551" s="41" t="str">
        <f>IFERROR(IF(AND(BoM_Griptel[[#This Row],[Quantity]]&lt;&gt;"",BoM_Griptel[[#This Row],[Currency]]="EUR"),BoM_Griptel[[#This Row],[Quantity]]*BoM_Griptel[[#This Row],[Unit Price]],""),"")</f>
        <v/>
      </c>
      <c r="S551" s="41" t="str">
        <f>IFERROR(IF(AND(BoM_Griptel[[#This Row],[ACT_Qty]]&lt;&gt;"",BoM_Griptel[[#This Row],[Currency]]="EUR"),BoM_Griptel[[#This Row],[ACT_Qty]]*BoM_Griptel[[#This Row],[Unit Price]],""),"")</f>
        <v/>
      </c>
      <c r="T551" s="185" t="s">
        <v>1802</v>
      </c>
      <c r="U551" s="45"/>
      <c r="V551" s="45"/>
      <c r="W551" s="143"/>
    </row>
    <row r="552" spans="1:23" ht="15" customHeight="1">
      <c r="A552" s="146" t="str">
        <f t="shared" si="16"/>
        <v>AKH12345</v>
      </c>
      <c r="B552" s="147" t="s">
        <v>2900</v>
      </c>
      <c r="C552" s="146" t="s">
        <v>2901</v>
      </c>
      <c r="D552" s="68"/>
      <c r="E552" s="89"/>
      <c r="F552" s="68"/>
      <c r="G552" s="89"/>
      <c r="H552" s="177"/>
      <c r="I552" s="178" t="s">
        <v>847</v>
      </c>
      <c r="J552" s="178" t="s">
        <v>1965</v>
      </c>
      <c r="K552" s="178" t="s">
        <v>1235</v>
      </c>
      <c r="L552" s="148" t="s">
        <v>1806</v>
      </c>
      <c r="M552" s="46" t="str">
        <f t="shared" si="17"/>
        <v>OneCo Networks AS</v>
      </c>
      <c r="N552" s="42" t="str">
        <f ca="1">IFERROR(
VLOOKUP(BoM_Griptel[[#This Row],[Product code]],
IF(AND((BoQ!$N$3&lt;&gt;""),OR(BoM_Griptel[[#This Row],[Vendor]]="Griptel",BoM_Griptel[[#This Row],[Vendor]]="Solar")),INDIRECT(Aux!$A$1)),4,FALSE),"")</f>
        <v/>
      </c>
      <c r="O552" s="170" t="s">
        <v>1807</v>
      </c>
      <c r="P552" s="43" t="str">
        <f>IFERROR(IF(AND(BoM_Griptel[[#This Row],[Quantity]]&lt;&gt;"",BoM_Griptel[[#This Row],[Currency]]="NOK"),BoM_Griptel[[#This Row],[Quantity]]*BoM_Griptel[[#This Row],[Unit Price]],""),"")</f>
        <v/>
      </c>
      <c r="Q552" s="43" t="str">
        <f>IFERROR(IF(AND(BoM_Griptel[[#This Row],[ACT_Qty]]&lt;&gt;"",BoM_Griptel[[#This Row],[Currency]]="NOK"),BoM_Griptel[[#This Row],[ACT_Qty]]*BoM_Griptel[[#This Row],[Unit Price]],""),"")</f>
        <v/>
      </c>
      <c r="R552" s="43" t="str">
        <f>IFERROR(IF(AND(BoM_Griptel[[#This Row],[Quantity]]&lt;&gt;"",BoM_Griptel[[#This Row],[Currency]]="EUR"),BoM_Griptel[[#This Row],[Quantity]]*BoM_Griptel[[#This Row],[Unit Price]],""),"")</f>
        <v/>
      </c>
      <c r="S552" s="43" t="str">
        <f>IFERROR(IF(AND(BoM_Griptel[[#This Row],[ACT_Qty]]&lt;&gt;"",BoM_Griptel[[#This Row],[Currency]]="EUR"),BoM_Griptel[[#This Row],[ACT_Qty]]*BoM_Griptel[[#This Row],[Unit Price]],""),"")</f>
        <v/>
      </c>
      <c r="T552" s="186" t="s">
        <v>1802</v>
      </c>
      <c r="U552" s="46"/>
      <c r="V552" s="46"/>
      <c r="W552" s="146"/>
    </row>
    <row r="553" spans="1:23" ht="15" customHeight="1">
      <c r="A553" s="143" t="str">
        <f t="shared" si="16"/>
        <v>AKH12345</v>
      </c>
      <c r="B553" s="144" t="s">
        <v>2902</v>
      </c>
      <c r="C553" s="143" t="s">
        <v>2903</v>
      </c>
      <c r="D553" s="105"/>
      <c r="E553" s="106"/>
      <c r="F553" s="105"/>
      <c r="G553" s="106"/>
      <c r="H553" s="175"/>
      <c r="I553" s="176" t="s">
        <v>847</v>
      </c>
      <c r="J553" s="176" t="s">
        <v>1965</v>
      </c>
      <c r="K553" s="176" t="s">
        <v>1235</v>
      </c>
      <c r="L553" s="145" t="s">
        <v>1806</v>
      </c>
      <c r="M553" s="45" t="str">
        <f t="shared" si="17"/>
        <v>OneCo Networks AS</v>
      </c>
      <c r="N553" s="40" t="str">
        <f ca="1">IFERROR(
VLOOKUP(BoM_Griptel[[#This Row],[Product code]],
IF(AND((BoQ!$N$3&lt;&gt;""),OR(BoM_Griptel[[#This Row],[Vendor]]="Griptel",BoM_Griptel[[#This Row],[Vendor]]="Solar")),INDIRECT(Aux!$A$1)),4,FALSE),"")</f>
        <v/>
      </c>
      <c r="O553" s="169" t="s">
        <v>1807</v>
      </c>
      <c r="P553" s="41" t="str">
        <f>IFERROR(IF(AND(BoM_Griptel[[#This Row],[Quantity]]&lt;&gt;"",BoM_Griptel[[#This Row],[Currency]]="NOK"),BoM_Griptel[[#This Row],[Quantity]]*BoM_Griptel[[#This Row],[Unit Price]],""),"")</f>
        <v/>
      </c>
      <c r="Q553" s="41" t="str">
        <f>IFERROR(IF(AND(BoM_Griptel[[#This Row],[ACT_Qty]]&lt;&gt;"",BoM_Griptel[[#This Row],[Currency]]="NOK"),BoM_Griptel[[#This Row],[ACT_Qty]]*BoM_Griptel[[#This Row],[Unit Price]],""),"")</f>
        <v/>
      </c>
      <c r="R553" s="41" t="str">
        <f>IFERROR(IF(AND(BoM_Griptel[[#This Row],[Quantity]]&lt;&gt;"",BoM_Griptel[[#This Row],[Currency]]="EUR"),BoM_Griptel[[#This Row],[Quantity]]*BoM_Griptel[[#This Row],[Unit Price]],""),"")</f>
        <v/>
      </c>
      <c r="S553" s="41" t="str">
        <f>IFERROR(IF(AND(BoM_Griptel[[#This Row],[ACT_Qty]]&lt;&gt;"",BoM_Griptel[[#This Row],[Currency]]="EUR"),BoM_Griptel[[#This Row],[ACT_Qty]]*BoM_Griptel[[#This Row],[Unit Price]],""),"")</f>
        <v/>
      </c>
      <c r="T553" s="185" t="s">
        <v>1802</v>
      </c>
      <c r="U553" s="45"/>
      <c r="V553" s="45"/>
      <c r="W553" s="143"/>
    </row>
    <row r="554" spans="1:23" ht="15" customHeight="1">
      <c r="A554" s="146" t="str">
        <f t="shared" si="16"/>
        <v>AKH12345</v>
      </c>
      <c r="B554" s="147" t="s">
        <v>2904</v>
      </c>
      <c r="C554" s="146" t="s">
        <v>2905</v>
      </c>
      <c r="D554" s="68"/>
      <c r="E554" s="89"/>
      <c r="F554" s="68"/>
      <c r="G554" s="89"/>
      <c r="H554" s="177"/>
      <c r="I554" s="178" t="s">
        <v>847</v>
      </c>
      <c r="J554" s="178" t="s">
        <v>1965</v>
      </c>
      <c r="K554" s="178" t="s">
        <v>1235</v>
      </c>
      <c r="L554" s="148" t="s">
        <v>1806</v>
      </c>
      <c r="M554" s="46" t="str">
        <f t="shared" si="17"/>
        <v>OneCo Networks AS</v>
      </c>
      <c r="N554" s="42" t="str">
        <f ca="1">IFERROR(
VLOOKUP(BoM_Griptel[[#This Row],[Product code]],
IF(AND((BoQ!$N$3&lt;&gt;""),OR(BoM_Griptel[[#This Row],[Vendor]]="Griptel",BoM_Griptel[[#This Row],[Vendor]]="Solar")),INDIRECT(Aux!$A$1)),4,FALSE),"")</f>
        <v/>
      </c>
      <c r="O554" s="170" t="s">
        <v>1807</v>
      </c>
      <c r="P554" s="43" t="str">
        <f>IFERROR(IF(AND(BoM_Griptel[[#This Row],[Quantity]]&lt;&gt;"",BoM_Griptel[[#This Row],[Currency]]="NOK"),BoM_Griptel[[#This Row],[Quantity]]*BoM_Griptel[[#This Row],[Unit Price]],""),"")</f>
        <v/>
      </c>
      <c r="Q554" s="43" t="str">
        <f>IFERROR(IF(AND(BoM_Griptel[[#This Row],[ACT_Qty]]&lt;&gt;"",BoM_Griptel[[#This Row],[Currency]]="NOK"),BoM_Griptel[[#This Row],[ACT_Qty]]*BoM_Griptel[[#This Row],[Unit Price]],""),"")</f>
        <v/>
      </c>
      <c r="R554" s="43" t="str">
        <f>IFERROR(IF(AND(BoM_Griptel[[#This Row],[Quantity]]&lt;&gt;"",BoM_Griptel[[#This Row],[Currency]]="EUR"),BoM_Griptel[[#This Row],[Quantity]]*BoM_Griptel[[#This Row],[Unit Price]],""),"")</f>
        <v/>
      </c>
      <c r="S554" s="43" t="str">
        <f>IFERROR(IF(AND(BoM_Griptel[[#This Row],[ACT_Qty]]&lt;&gt;"",BoM_Griptel[[#This Row],[Currency]]="EUR"),BoM_Griptel[[#This Row],[ACT_Qty]]*BoM_Griptel[[#This Row],[Unit Price]],""),"")</f>
        <v/>
      </c>
      <c r="T554" s="186" t="s">
        <v>1802</v>
      </c>
      <c r="U554" s="46"/>
      <c r="V554" s="46"/>
      <c r="W554" s="146"/>
    </row>
    <row r="555" spans="1:23" ht="15" customHeight="1">
      <c r="A555" s="143" t="str">
        <f t="shared" si="16"/>
        <v>AKH12345</v>
      </c>
      <c r="B555" s="144" t="s">
        <v>2906</v>
      </c>
      <c r="C555" s="143" t="s">
        <v>2907</v>
      </c>
      <c r="D555" s="105"/>
      <c r="E555" s="106"/>
      <c r="F555" s="105"/>
      <c r="G555" s="106"/>
      <c r="H555" s="175"/>
      <c r="I555" s="176" t="s">
        <v>847</v>
      </c>
      <c r="J555" s="176" t="s">
        <v>1965</v>
      </c>
      <c r="K555" s="176" t="s">
        <v>1235</v>
      </c>
      <c r="L555" s="145" t="s">
        <v>1806</v>
      </c>
      <c r="M555" s="45" t="str">
        <f t="shared" si="17"/>
        <v>OneCo Networks AS</v>
      </c>
      <c r="N555" s="40" t="str">
        <f ca="1">IFERROR(
VLOOKUP(BoM_Griptel[[#This Row],[Product code]],
IF(AND((BoQ!$N$3&lt;&gt;""),OR(BoM_Griptel[[#This Row],[Vendor]]="Griptel",BoM_Griptel[[#This Row],[Vendor]]="Solar")),INDIRECT(Aux!$A$1)),4,FALSE),"")</f>
        <v/>
      </c>
      <c r="O555" s="169" t="s">
        <v>1807</v>
      </c>
      <c r="P555" s="41" t="str">
        <f>IFERROR(IF(AND(BoM_Griptel[[#This Row],[Quantity]]&lt;&gt;"",BoM_Griptel[[#This Row],[Currency]]="NOK"),BoM_Griptel[[#This Row],[Quantity]]*BoM_Griptel[[#This Row],[Unit Price]],""),"")</f>
        <v/>
      </c>
      <c r="Q555" s="41" t="str">
        <f>IFERROR(IF(AND(BoM_Griptel[[#This Row],[ACT_Qty]]&lt;&gt;"",BoM_Griptel[[#This Row],[Currency]]="NOK"),BoM_Griptel[[#This Row],[ACT_Qty]]*BoM_Griptel[[#This Row],[Unit Price]],""),"")</f>
        <v/>
      </c>
      <c r="R555" s="41" t="str">
        <f>IFERROR(IF(AND(BoM_Griptel[[#This Row],[Quantity]]&lt;&gt;"",BoM_Griptel[[#This Row],[Currency]]="EUR"),BoM_Griptel[[#This Row],[Quantity]]*BoM_Griptel[[#This Row],[Unit Price]],""),"")</f>
        <v/>
      </c>
      <c r="S555" s="41" t="str">
        <f>IFERROR(IF(AND(BoM_Griptel[[#This Row],[ACT_Qty]]&lt;&gt;"",BoM_Griptel[[#This Row],[Currency]]="EUR"),BoM_Griptel[[#This Row],[ACT_Qty]]*BoM_Griptel[[#This Row],[Unit Price]],""),"")</f>
        <v/>
      </c>
      <c r="T555" s="185" t="s">
        <v>1802</v>
      </c>
      <c r="U555" s="45"/>
      <c r="V555" s="45"/>
      <c r="W555" s="143"/>
    </row>
    <row r="556" spans="1:23" ht="15" customHeight="1">
      <c r="A556" s="146" t="str">
        <f t="shared" si="16"/>
        <v>AKH12345</v>
      </c>
      <c r="B556" s="147" t="s">
        <v>2908</v>
      </c>
      <c r="C556" s="146" t="s">
        <v>2909</v>
      </c>
      <c r="D556" s="68"/>
      <c r="E556" s="89"/>
      <c r="F556" s="68"/>
      <c r="G556" s="89"/>
      <c r="H556" s="177"/>
      <c r="I556" s="178" t="s">
        <v>847</v>
      </c>
      <c r="J556" s="178" t="s">
        <v>1965</v>
      </c>
      <c r="K556" s="178" t="s">
        <v>1235</v>
      </c>
      <c r="L556" s="148" t="s">
        <v>1806</v>
      </c>
      <c r="M556" s="46" t="str">
        <f t="shared" si="17"/>
        <v>OneCo Networks AS</v>
      </c>
      <c r="N556" s="42" t="str">
        <f ca="1">IFERROR(
VLOOKUP(BoM_Griptel[[#This Row],[Product code]],
IF(AND((BoQ!$N$3&lt;&gt;""),OR(BoM_Griptel[[#This Row],[Vendor]]="Griptel",BoM_Griptel[[#This Row],[Vendor]]="Solar")),INDIRECT(Aux!$A$1)),4,FALSE),"")</f>
        <v/>
      </c>
      <c r="O556" s="170" t="s">
        <v>1807</v>
      </c>
      <c r="P556" s="43" t="str">
        <f>IFERROR(IF(AND(BoM_Griptel[[#This Row],[Quantity]]&lt;&gt;"",BoM_Griptel[[#This Row],[Currency]]="NOK"),BoM_Griptel[[#This Row],[Quantity]]*BoM_Griptel[[#This Row],[Unit Price]],""),"")</f>
        <v/>
      </c>
      <c r="Q556" s="43" t="str">
        <f>IFERROR(IF(AND(BoM_Griptel[[#This Row],[ACT_Qty]]&lt;&gt;"",BoM_Griptel[[#This Row],[Currency]]="NOK"),BoM_Griptel[[#This Row],[ACT_Qty]]*BoM_Griptel[[#This Row],[Unit Price]],""),"")</f>
        <v/>
      </c>
      <c r="R556" s="43" t="str">
        <f>IFERROR(IF(AND(BoM_Griptel[[#This Row],[Quantity]]&lt;&gt;"",BoM_Griptel[[#This Row],[Currency]]="EUR"),BoM_Griptel[[#This Row],[Quantity]]*BoM_Griptel[[#This Row],[Unit Price]],""),"")</f>
        <v/>
      </c>
      <c r="S556" s="43" t="str">
        <f>IFERROR(IF(AND(BoM_Griptel[[#This Row],[ACT_Qty]]&lt;&gt;"",BoM_Griptel[[#This Row],[Currency]]="EUR"),BoM_Griptel[[#This Row],[ACT_Qty]]*BoM_Griptel[[#This Row],[Unit Price]],""),"")</f>
        <v/>
      </c>
      <c r="T556" s="186" t="s">
        <v>1802</v>
      </c>
      <c r="U556" s="46"/>
      <c r="V556" s="46"/>
      <c r="W556" s="146"/>
    </row>
    <row r="557" spans="1:23" ht="15" customHeight="1">
      <c r="A557" s="143" t="str">
        <f t="shared" si="16"/>
        <v>AKH12345</v>
      </c>
      <c r="B557" s="144" t="s">
        <v>2910</v>
      </c>
      <c r="C557" s="143" t="s">
        <v>2911</v>
      </c>
      <c r="D557" s="105"/>
      <c r="E557" s="106"/>
      <c r="F557" s="105"/>
      <c r="G557" s="106"/>
      <c r="H557" s="175"/>
      <c r="I557" s="176" t="s">
        <v>847</v>
      </c>
      <c r="J557" s="176" t="s">
        <v>1965</v>
      </c>
      <c r="K557" s="176" t="s">
        <v>1235</v>
      </c>
      <c r="L557" s="145" t="s">
        <v>1806</v>
      </c>
      <c r="M557" s="45" t="str">
        <f t="shared" si="17"/>
        <v>OneCo Networks AS</v>
      </c>
      <c r="N557" s="40" t="str">
        <f ca="1">IFERROR(
VLOOKUP(BoM_Griptel[[#This Row],[Product code]],
IF(AND((BoQ!$N$3&lt;&gt;""),OR(BoM_Griptel[[#This Row],[Vendor]]="Griptel",BoM_Griptel[[#This Row],[Vendor]]="Solar")),INDIRECT(Aux!$A$1)),4,FALSE),"")</f>
        <v/>
      </c>
      <c r="O557" s="169" t="s">
        <v>1807</v>
      </c>
      <c r="P557" s="41" t="str">
        <f>IFERROR(IF(AND(BoM_Griptel[[#This Row],[Quantity]]&lt;&gt;"",BoM_Griptel[[#This Row],[Currency]]="NOK"),BoM_Griptel[[#This Row],[Quantity]]*BoM_Griptel[[#This Row],[Unit Price]],""),"")</f>
        <v/>
      </c>
      <c r="Q557" s="41" t="str">
        <f>IFERROR(IF(AND(BoM_Griptel[[#This Row],[ACT_Qty]]&lt;&gt;"",BoM_Griptel[[#This Row],[Currency]]="NOK"),BoM_Griptel[[#This Row],[ACT_Qty]]*BoM_Griptel[[#This Row],[Unit Price]],""),"")</f>
        <v/>
      </c>
      <c r="R557" s="41" t="str">
        <f>IFERROR(IF(AND(BoM_Griptel[[#This Row],[Quantity]]&lt;&gt;"",BoM_Griptel[[#This Row],[Currency]]="EUR"),BoM_Griptel[[#This Row],[Quantity]]*BoM_Griptel[[#This Row],[Unit Price]],""),"")</f>
        <v/>
      </c>
      <c r="S557" s="41" t="str">
        <f>IFERROR(IF(AND(BoM_Griptel[[#This Row],[ACT_Qty]]&lt;&gt;"",BoM_Griptel[[#This Row],[Currency]]="EUR"),BoM_Griptel[[#This Row],[ACT_Qty]]*BoM_Griptel[[#This Row],[Unit Price]],""),"")</f>
        <v/>
      </c>
      <c r="T557" s="185" t="s">
        <v>1802</v>
      </c>
      <c r="U557" s="45"/>
      <c r="V557" s="45"/>
      <c r="W557" s="143"/>
    </row>
    <row r="558" spans="1:23" ht="15" customHeight="1">
      <c r="A558" s="146" t="str">
        <f t="shared" si="16"/>
        <v>AKH12345</v>
      </c>
      <c r="B558" s="147" t="s">
        <v>2912</v>
      </c>
      <c r="C558" s="146" t="s">
        <v>2913</v>
      </c>
      <c r="D558" s="68"/>
      <c r="E558" s="89"/>
      <c r="F558" s="68"/>
      <c r="G558" s="89"/>
      <c r="H558" s="177"/>
      <c r="I558" s="178" t="s">
        <v>847</v>
      </c>
      <c r="J558" s="178" t="s">
        <v>1965</v>
      </c>
      <c r="K558" s="178" t="s">
        <v>1235</v>
      </c>
      <c r="L558" s="148" t="s">
        <v>1806</v>
      </c>
      <c r="M558" s="46" t="str">
        <f t="shared" si="17"/>
        <v>OneCo Networks AS</v>
      </c>
      <c r="N558" s="42" t="str">
        <f ca="1">IFERROR(
VLOOKUP(BoM_Griptel[[#This Row],[Product code]],
IF(AND((BoQ!$N$3&lt;&gt;""),OR(BoM_Griptel[[#This Row],[Vendor]]="Griptel",BoM_Griptel[[#This Row],[Vendor]]="Solar")),INDIRECT(Aux!$A$1)),4,FALSE),"")</f>
        <v/>
      </c>
      <c r="O558" s="170" t="s">
        <v>1807</v>
      </c>
      <c r="P558" s="43" t="str">
        <f>IFERROR(IF(AND(BoM_Griptel[[#This Row],[Quantity]]&lt;&gt;"",BoM_Griptel[[#This Row],[Currency]]="NOK"),BoM_Griptel[[#This Row],[Quantity]]*BoM_Griptel[[#This Row],[Unit Price]],""),"")</f>
        <v/>
      </c>
      <c r="Q558" s="43" t="str">
        <f>IFERROR(IF(AND(BoM_Griptel[[#This Row],[ACT_Qty]]&lt;&gt;"",BoM_Griptel[[#This Row],[Currency]]="NOK"),BoM_Griptel[[#This Row],[ACT_Qty]]*BoM_Griptel[[#This Row],[Unit Price]],""),"")</f>
        <v/>
      </c>
      <c r="R558" s="43" t="str">
        <f>IFERROR(IF(AND(BoM_Griptel[[#This Row],[Quantity]]&lt;&gt;"",BoM_Griptel[[#This Row],[Currency]]="EUR"),BoM_Griptel[[#This Row],[Quantity]]*BoM_Griptel[[#This Row],[Unit Price]],""),"")</f>
        <v/>
      </c>
      <c r="S558" s="43" t="str">
        <f>IFERROR(IF(AND(BoM_Griptel[[#This Row],[ACT_Qty]]&lt;&gt;"",BoM_Griptel[[#This Row],[Currency]]="EUR"),BoM_Griptel[[#This Row],[ACT_Qty]]*BoM_Griptel[[#This Row],[Unit Price]],""),"")</f>
        <v/>
      </c>
      <c r="T558" s="186" t="s">
        <v>1802</v>
      </c>
      <c r="U558" s="46"/>
      <c r="V558" s="46"/>
      <c r="W558" s="146"/>
    </row>
    <row r="559" spans="1:23" ht="15" customHeight="1">
      <c r="A559" s="143" t="str">
        <f t="shared" si="16"/>
        <v>AKH12345</v>
      </c>
      <c r="B559" s="144" t="s">
        <v>2914</v>
      </c>
      <c r="C559" s="143" t="s">
        <v>2915</v>
      </c>
      <c r="D559" s="105"/>
      <c r="E559" s="106"/>
      <c r="F559" s="105"/>
      <c r="G559" s="106"/>
      <c r="H559" s="175"/>
      <c r="I559" s="176" t="s">
        <v>847</v>
      </c>
      <c r="J559" s="176" t="s">
        <v>1965</v>
      </c>
      <c r="K559" s="176" t="s">
        <v>1235</v>
      </c>
      <c r="L559" s="145" t="s">
        <v>1806</v>
      </c>
      <c r="M559" s="45" t="str">
        <f t="shared" si="17"/>
        <v>OneCo Networks AS</v>
      </c>
      <c r="N559" s="40" t="str">
        <f ca="1">IFERROR(
VLOOKUP(BoM_Griptel[[#This Row],[Product code]],
IF(AND((BoQ!$N$3&lt;&gt;""),OR(BoM_Griptel[[#This Row],[Vendor]]="Griptel",BoM_Griptel[[#This Row],[Vendor]]="Solar")),INDIRECT(Aux!$A$1)),4,FALSE),"")</f>
        <v/>
      </c>
      <c r="O559" s="169" t="s">
        <v>1807</v>
      </c>
      <c r="P559" s="41" t="str">
        <f>IFERROR(IF(AND(BoM_Griptel[[#This Row],[Quantity]]&lt;&gt;"",BoM_Griptel[[#This Row],[Currency]]="NOK"),BoM_Griptel[[#This Row],[Quantity]]*BoM_Griptel[[#This Row],[Unit Price]],""),"")</f>
        <v/>
      </c>
      <c r="Q559" s="41" t="str">
        <f>IFERROR(IF(AND(BoM_Griptel[[#This Row],[ACT_Qty]]&lt;&gt;"",BoM_Griptel[[#This Row],[Currency]]="NOK"),BoM_Griptel[[#This Row],[ACT_Qty]]*BoM_Griptel[[#This Row],[Unit Price]],""),"")</f>
        <v/>
      </c>
      <c r="R559" s="41" t="str">
        <f>IFERROR(IF(AND(BoM_Griptel[[#This Row],[Quantity]]&lt;&gt;"",BoM_Griptel[[#This Row],[Currency]]="EUR"),BoM_Griptel[[#This Row],[Quantity]]*BoM_Griptel[[#This Row],[Unit Price]],""),"")</f>
        <v/>
      </c>
      <c r="S559" s="41" t="str">
        <f>IFERROR(IF(AND(BoM_Griptel[[#This Row],[ACT_Qty]]&lt;&gt;"",BoM_Griptel[[#This Row],[Currency]]="EUR"),BoM_Griptel[[#This Row],[ACT_Qty]]*BoM_Griptel[[#This Row],[Unit Price]],""),"")</f>
        <v/>
      </c>
      <c r="T559" s="185" t="s">
        <v>1802</v>
      </c>
      <c r="U559" s="45"/>
      <c r="V559" s="45"/>
      <c r="W559" s="143"/>
    </row>
    <row r="560" spans="1:23" ht="15" customHeight="1">
      <c r="A560" s="146" t="str">
        <f t="shared" si="16"/>
        <v>AKH12345</v>
      </c>
      <c r="B560" s="147" t="s">
        <v>2916</v>
      </c>
      <c r="C560" s="146" t="s">
        <v>2917</v>
      </c>
      <c r="D560" s="68"/>
      <c r="E560" s="89"/>
      <c r="F560" s="68"/>
      <c r="G560" s="89"/>
      <c r="H560" s="177"/>
      <c r="I560" s="178" t="s">
        <v>847</v>
      </c>
      <c r="J560" s="178" t="s">
        <v>1965</v>
      </c>
      <c r="K560" s="178" t="s">
        <v>1235</v>
      </c>
      <c r="L560" s="148" t="s">
        <v>1806</v>
      </c>
      <c r="M560" s="46" t="str">
        <f t="shared" si="17"/>
        <v>OneCo Networks AS</v>
      </c>
      <c r="N560" s="42" t="str">
        <f ca="1">IFERROR(
VLOOKUP(BoM_Griptel[[#This Row],[Product code]],
IF(AND((BoQ!$N$3&lt;&gt;""),OR(BoM_Griptel[[#This Row],[Vendor]]="Griptel",BoM_Griptel[[#This Row],[Vendor]]="Solar")),INDIRECT(Aux!$A$1)),4,FALSE),"")</f>
        <v/>
      </c>
      <c r="O560" s="170" t="s">
        <v>1807</v>
      </c>
      <c r="P560" s="43" t="str">
        <f>IFERROR(IF(AND(BoM_Griptel[[#This Row],[Quantity]]&lt;&gt;"",BoM_Griptel[[#This Row],[Currency]]="NOK"),BoM_Griptel[[#This Row],[Quantity]]*BoM_Griptel[[#This Row],[Unit Price]],""),"")</f>
        <v/>
      </c>
      <c r="Q560" s="43" t="str">
        <f>IFERROR(IF(AND(BoM_Griptel[[#This Row],[ACT_Qty]]&lt;&gt;"",BoM_Griptel[[#This Row],[Currency]]="NOK"),BoM_Griptel[[#This Row],[ACT_Qty]]*BoM_Griptel[[#This Row],[Unit Price]],""),"")</f>
        <v/>
      </c>
      <c r="R560" s="43" t="str">
        <f>IFERROR(IF(AND(BoM_Griptel[[#This Row],[Quantity]]&lt;&gt;"",BoM_Griptel[[#This Row],[Currency]]="EUR"),BoM_Griptel[[#This Row],[Quantity]]*BoM_Griptel[[#This Row],[Unit Price]],""),"")</f>
        <v/>
      </c>
      <c r="S560" s="43" t="str">
        <f>IFERROR(IF(AND(BoM_Griptel[[#This Row],[ACT_Qty]]&lt;&gt;"",BoM_Griptel[[#This Row],[Currency]]="EUR"),BoM_Griptel[[#This Row],[ACT_Qty]]*BoM_Griptel[[#This Row],[Unit Price]],""),"")</f>
        <v/>
      </c>
      <c r="T560" s="186" t="s">
        <v>1802</v>
      </c>
      <c r="U560" s="46"/>
      <c r="V560" s="46"/>
      <c r="W560" s="146"/>
    </row>
    <row r="561" spans="1:23" ht="15" customHeight="1">
      <c r="A561" s="143" t="str">
        <f t="shared" si="16"/>
        <v>AKH12345</v>
      </c>
      <c r="B561" s="144" t="s">
        <v>2918</v>
      </c>
      <c r="C561" s="143" t="s">
        <v>2919</v>
      </c>
      <c r="D561" s="105"/>
      <c r="E561" s="106"/>
      <c r="F561" s="105"/>
      <c r="G561" s="106"/>
      <c r="H561" s="175"/>
      <c r="I561" s="176" t="s">
        <v>847</v>
      </c>
      <c r="J561" s="176" t="s">
        <v>1965</v>
      </c>
      <c r="K561" s="176" t="s">
        <v>1235</v>
      </c>
      <c r="L561" s="145" t="s">
        <v>1806</v>
      </c>
      <c r="M561" s="45" t="str">
        <f t="shared" si="17"/>
        <v>OneCo Networks AS</v>
      </c>
      <c r="N561" s="40" t="str">
        <f ca="1">IFERROR(
VLOOKUP(BoM_Griptel[[#This Row],[Product code]],
IF(AND((BoQ!$N$3&lt;&gt;""),OR(BoM_Griptel[[#This Row],[Vendor]]="Griptel",BoM_Griptel[[#This Row],[Vendor]]="Solar")),INDIRECT(Aux!$A$1)),4,FALSE),"")</f>
        <v/>
      </c>
      <c r="O561" s="169" t="s">
        <v>1807</v>
      </c>
      <c r="P561" s="41" t="str">
        <f>IFERROR(IF(AND(BoM_Griptel[[#This Row],[Quantity]]&lt;&gt;"",BoM_Griptel[[#This Row],[Currency]]="NOK"),BoM_Griptel[[#This Row],[Quantity]]*BoM_Griptel[[#This Row],[Unit Price]],""),"")</f>
        <v/>
      </c>
      <c r="Q561" s="41" t="str">
        <f>IFERROR(IF(AND(BoM_Griptel[[#This Row],[ACT_Qty]]&lt;&gt;"",BoM_Griptel[[#This Row],[Currency]]="NOK"),BoM_Griptel[[#This Row],[ACT_Qty]]*BoM_Griptel[[#This Row],[Unit Price]],""),"")</f>
        <v/>
      </c>
      <c r="R561" s="41" t="str">
        <f>IFERROR(IF(AND(BoM_Griptel[[#This Row],[Quantity]]&lt;&gt;"",BoM_Griptel[[#This Row],[Currency]]="EUR"),BoM_Griptel[[#This Row],[Quantity]]*BoM_Griptel[[#This Row],[Unit Price]],""),"")</f>
        <v/>
      </c>
      <c r="S561" s="41" t="str">
        <f>IFERROR(IF(AND(BoM_Griptel[[#This Row],[ACT_Qty]]&lt;&gt;"",BoM_Griptel[[#This Row],[Currency]]="EUR"),BoM_Griptel[[#This Row],[ACT_Qty]]*BoM_Griptel[[#This Row],[Unit Price]],""),"")</f>
        <v/>
      </c>
      <c r="T561" s="185" t="s">
        <v>1802</v>
      </c>
      <c r="U561" s="45"/>
      <c r="V561" s="45"/>
      <c r="W561" s="143"/>
    </row>
    <row r="562" spans="1:23" ht="15" customHeight="1">
      <c r="A562" s="146" t="str">
        <f t="shared" si="16"/>
        <v>AKH12345</v>
      </c>
      <c r="B562" s="147" t="s">
        <v>2920</v>
      </c>
      <c r="C562" s="146" t="s">
        <v>2921</v>
      </c>
      <c r="D562" s="68"/>
      <c r="E562" s="89"/>
      <c r="F562" s="68"/>
      <c r="G562" s="89"/>
      <c r="H562" s="177"/>
      <c r="I562" s="178" t="s">
        <v>847</v>
      </c>
      <c r="J562" s="178" t="s">
        <v>1965</v>
      </c>
      <c r="K562" s="178" t="s">
        <v>1235</v>
      </c>
      <c r="L562" s="148" t="s">
        <v>1806</v>
      </c>
      <c r="M562" s="46" t="str">
        <f t="shared" si="17"/>
        <v>OneCo Networks AS</v>
      </c>
      <c r="N562" s="42" t="str">
        <f ca="1">IFERROR(
VLOOKUP(BoM_Griptel[[#This Row],[Product code]],
IF(AND((BoQ!$N$3&lt;&gt;""),OR(BoM_Griptel[[#This Row],[Vendor]]="Griptel",BoM_Griptel[[#This Row],[Vendor]]="Solar")),INDIRECT(Aux!$A$1)),4,FALSE),"")</f>
        <v/>
      </c>
      <c r="O562" s="170" t="s">
        <v>1807</v>
      </c>
      <c r="P562" s="43" t="str">
        <f>IFERROR(IF(AND(BoM_Griptel[[#This Row],[Quantity]]&lt;&gt;"",BoM_Griptel[[#This Row],[Currency]]="NOK"),BoM_Griptel[[#This Row],[Quantity]]*BoM_Griptel[[#This Row],[Unit Price]],""),"")</f>
        <v/>
      </c>
      <c r="Q562" s="43" t="str">
        <f>IFERROR(IF(AND(BoM_Griptel[[#This Row],[ACT_Qty]]&lt;&gt;"",BoM_Griptel[[#This Row],[Currency]]="NOK"),BoM_Griptel[[#This Row],[ACT_Qty]]*BoM_Griptel[[#This Row],[Unit Price]],""),"")</f>
        <v/>
      </c>
      <c r="R562" s="43" t="str">
        <f>IFERROR(IF(AND(BoM_Griptel[[#This Row],[Quantity]]&lt;&gt;"",BoM_Griptel[[#This Row],[Currency]]="EUR"),BoM_Griptel[[#This Row],[Quantity]]*BoM_Griptel[[#This Row],[Unit Price]],""),"")</f>
        <v/>
      </c>
      <c r="S562" s="43" t="str">
        <f>IFERROR(IF(AND(BoM_Griptel[[#This Row],[ACT_Qty]]&lt;&gt;"",BoM_Griptel[[#This Row],[Currency]]="EUR"),BoM_Griptel[[#This Row],[ACT_Qty]]*BoM_Griptel[[#This Row],[Unit Price]],""),"")</f>
        <v/>
      </c>
      <c r="T562" s="186" t="s">
        <v>1802</v>
      </c>
      <c r="U562" s="46"/>
      <c r="V562" s="46"/>
      <c r="W562" s="146"/>
    </row>
    <row r="563" spans="1:23" ht="15" customHeight="1">
      <c r="A563" s="143" t="str">
        <f t="shared" si="16"/>
        <v>AKH12345</v>
      </c>
      <c r="B563" s="144" t="s">
        <v>2922</v>
      </c>
      <c r="C563" s="143" t="s">
        <v>2923</v>
      </c>
      <c r="D563" s="105"/>
      <c r="E563" s="106"/>
      <c r="F563" s="105"/>
      <c r="G563" s="106"/>
      <c r="H563" s="175"/>
      <c r="I563" s="176" t="s">
        <v>847</v>
      </c>
      <c r="J563" s="176" t="s">
        <v>1965</v>
      </c>
      <c r="K563" s="176" t="s">
        <v>1235</v>
      </c>
      <c r="L563" s="145" t="s">
        <v>1806</v>
      </c>
      <c r="M563" s="45" t="str">
        <f t="shared" si="17"/>
        <v>OneCo Networks AS</v>
      </c>
      <c r="N563" s="40" t="str">
        <f ca="1">IFERROR(
VLOOKUP(BoM_Griptel[[#This Row],[Product code]],
IF(AND((BoQ!$N$3&lt;&gt;""),OR(BoM_Griptel[[#This Row],[Vendor]]="Griptel",BoM_Griptel[[#This Row],[Vendor]]="Solar")),INDIRECT(Aux!$A$1)),4,FALSE),"")</f>
        <v/>
      </c>
      <c r="O563" s="169" t="s">
        <v>1807</v>
      </c>
      <c r="P563" s="41" t="str">
        <f>IFERROR(IF(AND(BoM_Griptel[[#This Row],[Quantity]]&lt;&gt;"",BoM_Griptel[[#This Row],[Currency]]="NOK"),BoM_Griptel[[#This Row],[Quantity]]*BoM_Griptel[[#This Row],[Unit Price]],""),"")</f>
        <v/>
      </c>
      <c r="Q563" s="41" t="str">
        <f>IFERROR(IF(AND(BoM_Griptel[[#This Row],[ACT_Qty]]&lt;&gt;"",BoM_Griptel[[#This Row],[Currency]]="NOK"),BoM_Griptel[[#This Row],[ACT_Qty]]*BoM_Griptel[[#This Row],[Unit Price]],""),"")</f>
        <v/>
      </c>
      <c r="R563" s="41" t="str">
        <f>IFERROR(IF(AND(BoM_Griptel[[#This Row],[Quantity]]&lt;&gt;"",BoM_Griptel[[#This Row],[Currency]]="EUR"),BoM_Griptel[[#This Row],[Quantity]]*BoM_Griptel[[#This Row],[Unit Price]],""),"")</f>
        <v/>
      </c>
      <c r="S563" s="41" t="str">
        <f>IFERROR(IF(AND(BoM_Griptel[[#This Row],[ACT_Qty]]&lt;&gt;"",BoM_Griptel[[#This Row],[Currency]]="EUR"),BoM_Griptel[[#This Row],[ACT_Qty]]*BoM_Griptel[[#This Row],[Unit Price]],""),"")</f>
        <v/>
      </c>
      <c r="T563" s="185" t="s">
        <v>1802</v>
      </c>
      <c r="U563" s="45"/>
      <c r="V563" s="45"/>
      <c r="W563" s="143"/>
    </row>
    <row r="564" spans="1:23" ht="15" customHeight="1">
      <c r="A564" s="146" t="str">
        <f t="shared" si="16"/>
        <v>AKH12345</v>
      </c>
      <c r="B564" s="147" t="s">
        <v>2924</v>
      </c>
      <c r="C564" s="146" t="s">
        <v>2925</v>
      </c>
      <c r="D564" s="68"/>
      <c r="E564" s="89"/>
      <c r="F564" s="68"/>
      <c r="G564" s="89"/>
      <c r="H564" s="177"/>
      <c r="I564" s="178" t="s">
        <v>847</v>
      </c>
      <c r="J564" s="178" t="s">
        <v>1965</v>
      </c>
      <c r="K564" s="178" t="s">
        <v>1235</v>
      </c>
      <c r="L564" s="148" t="s">
        <v>1806</v>
      </c>
      <c r="M564" s="46" t="str">
        <f t="shared" si="17"/>
        <v>OneCo Networks AS</v>
      </c>
      <c r="N564" s="42" t="str">
        <f ca="1">IFERROR(
VLOOKUP(BoM_Griptel[[#This Row],[Product code]],
IF(AND((BoQ!$N$3&lt;&gt;""),OR(BoM_Griptel[[#This Row],[Vendor]]="Griptel",BoM_Griptel[[#This Row],[Vendor]]="Solar")),INDIRECT(Aux!$A$1)),4,FALSE),"")</f>
        <v/>
      </c>
      <c r="O564" s="170" t="s">
        <v>1807</v>
      </c>
      <c r="P564" s="43" t="str">
        <f>IFERROR(IF(AND(BoM_Griptel[[#This Row],[Quantity]]&lt;&gt;"",BoM_Griptel[[#This Row],[Currency]]="NOK"),BoM_Griptel[[#This Row],[Quantity]]*BoM_Griptel[[#This Row],[Unit Price]],""),"")</f>
        <v/>
      </c>
      <c r="Q564" s="43" t="str">
        <f>IFERROR(IF(AND(BoM_Griptel[[#This Row],[ACT_Qty]]&lt;&gt;"",BoM_Griptel[[#This Row],[Currency]]="NOK"),BoM_Griptel[[#This Row],[ACT_Qty]]*BoM_Griptel[[#This Row],[Unit Price]],""),"")</f>
        <v/>
      </c>
      <c r="R564" s="43" t="str">
        <f>IFERROR(IF(AND(BoM_Griptel[[#This Row],[Quantity]]&lt;&gt;"",BoM_Griptel[[#This Row],[Currency]]="EUR"),BoM_Griptel[[#This Row],[Quantity]]*BoM_Griptel[[#This Row],[Unit Price]],""),"")</f>
        <v/>
      </c>
      <c r="S564" s="43" t="str">
        <f>IFERROR(IF(AND(BoM_Griptel[[#This Row],[ACT_Qty]]&lt;&gt;"",BoM_Griptel[[#This Row],[Currency]]="EUR"),BoM_Griptel[[#This Row],[ACT_Qty]]*BoM_Griptel[[#This Row],[Unit Price]],""),"")</f>
        <v/>
      </c>
      <c r="T564" s="186" t="s">
        <v>1802</v>
      </c>
      <c r="U564" s="46"/>
      <c r="V564" s="46"/>
      <c r="W564" s="146"/>
    </row>
    <row r="565" spans="1:23" ht="15" customHeight="1">
      <c r="A565" s="143" t="str">
        <f t="shared" si="16"/>
        <v>AKH12345</v>
      </c>
      <c r="B565" s="144" t="s">
        <v>2926</v>
      </c>
      <c r="C565" s="143" t="s">
        <v>2927</v>
      </c>
      <c r="D565" s="105"/>
      <c r="E565" s="106"/>
      <c r="F565" s="105"/>
      <c r="G565" s="106"/>
      <c r="H565" s="175"/>
      <c r="I565" s="176" t="s">
        <v>847</v>
      </c>
      <c r="J565" s="176" t="s">
        <v>1965</v>
      </c>
      <c r="K565" s="176" t="s">
        <v>1235</v>
      </c>
      <c r="L565" s="145" t="s">
        <v>1806</v>
      </c>
      <c r="M565" s="45" t="str">
        <f t="shared" si="17"/>
        <v>OneCo Networks AS</v>
      </c>
      <c r="N565" s="40" t="str">
        <f ca="1">IFERROR(
VLOOKUP(BoM_Griptel[[#This Row],[Product code]],
IF(AND((BoQ!$N$3&lt;&gt;""),OR(BoM_Griptel[[#This Row],[Vendor]]="Griptel",BoM_Griptel[[#This Row],[Vendor]]="Solar")),INDIRECT(Aux!$A$1)),4,FALSE),"")</f>
        <v/>
      </c>
      <c r="O565" s="169" t="s">
        <v>1807</v>
      </c>
      <c r="P565" s="41" t="str">
        <f>IFERROR(IF(AND(BoM_Griptel[[#This Row],[Quantity]]&lt;&gt;"",BoM_Griptel[[#This Row],[Currency]]="NOK"),BoM_Griptel[[#This Row],[Quantity]]*BoM_Griptel[[#This Row],[Unit Price]],""),"")</f>
        <v/>
      </c>
      <c r="Q565" s="41" t="str">
        <f>IFERROR(IF(AND(BoM_Griptel[[#This Row],[ACT_Qty]]&lt;&gt;"",BoM_Griptel[[#This Row],[Currency]]="NOK"),BoM_Griptel[[#This Row],[ACT_Qty]]*BoM_Griptel[[#This Row],[Unit Price]],""),"")</f>
        <v/>
      </c>
      <c r="R565" s="41" t="str">
        <f>IFERROR(IF(AND(BoM_Griptel[[#This Row],[Quantity]]&lt;&gt;"",BoM_Griptel[[#This Row],[Currency]]="EUR"),BoM_Griptel[[#This Row],[Quantity]]*BoM_Griptel[[#This Row],[Unit Price]],""),"")</f>
        <v/>
      </c>
      <c r="S565" s="41" t="str">
        <f>IFERROR(IF(AND(BoM_Griptel[[#This Row],[ACT_Qty]]&lt;&gt;"",BoM_Griptel[[#This Row],[Currency]]="EUR"),BoM_Griptel[[#This Row],[ACT_Qty]]*BoM_Griptel[[#This Row],[Unit Price]],""),"")</f>
        <v/>
      </c>
      <c r="T565" s="185" t="s">
        <v>1802</v>
      </c>
      <c r="U565" s="45"/>
      <c r="V565" s="45"/>
      <c r="W565" s="143"/>
    </row>
    <row r="566" spans="1:23" ht="15" customHeight="1">
      <c r="A566" s="146" t="str">
        <f t="shared" si="16"/>
        <v>AKH12345</v>
      </c>
      <c r="B566" s="147" t="s">
        <v>2928</v>
      </c>
      <c r="C566" s="146" t="s">
        <v>2929</v>
      </c>
      <c r="D566" s="68"/>
      <c r="E566" s="89"/>
      <c r="F566" s="68"/>
      <c r="G566" s="89"/>
      <c r="H566" s="177"/>
      <c r="I566" s="178" t="s">
        <v>847</v>
      </c>
      <c r="J566" s="178" t="s">
        <v>1965</v>
      </c>
      <c r="K566" s="178" t="s">
        <v>1235</v>
      </c>
      <c r="L566" s="148" t="s">
        <v>1806</v>
      </c>
      <c r="M566" s="46" t="str">
        <f t="shared" si="17"/>
        <v>OneCo Networks AS</v>
      </c>
      <c r="N566" s="42" t="str">
        <f ca="1">IFERROR(
VLOOKUP(BoM_Griptel[[#This Row],[Product code]],
IF(AND((BoQ!$N$3&lt;&gt;""),OR(BoM_Griptel[[#This Row],[Vendor]]="Griptel",BoM_Griptel[[#This Row],[Vendor]]="Solar")),INDIRECT(Aux!$A$1)),4,FALSE),"")</f>
        <v/>
      </c>
      <c r="O566" s="170" t="s">
        <v>1807</v>
      </c>
      <c r="P566" s="43" t="str">
        <f>IFERROR(IF(AND(BoM_Griptel[[#This Row],[Quantity]]&lt;&gt;"",BoM_Griptel[[#This Row],[Currency]]="NOK"),BoM_Griptel[[#This Row],[Quantity]]*BoM_Griptel[[#This Row],[Unit Price]],""),"")</f>
        <v/>
      </c>
      <c r="Q566" s="43" t="str">
        <f>IFERROR(IF(AND(BoM_Griptel[[#This Row],[ACT_Qty]]&lt;&gt;"",BoM_Griptel[[#This Row],[Currency]]="NOK"),BoM_Griptel[[#This Row],[ACT_Qty]]*BoM_Griptel[[#This Row],[Unit Price]],""),"")</f>
        <v/>
      </c>
      <c r="R566" s="43" t="str">
        <f>IFERROR(IF(AND(BoM_Griptel[[#This Row],[Quantity]]&lt;&gt;"",BoM_Griptel[[#This Row],[Currency]]="EUR"),BoM_Griptel[[#This Row],[Quantity]]*BoM_Griptel[[#This Row],[Unit Price]],""),"")</f>
        <v/>
      </c>
      <c r="S566" s="43" t="str">
        <f>IFERROR(IF(AND(BoM_Griptel[[#This Row],[ACT_Qty]]&lt;&gt;"",BoM_Griptel[[#This Row],[Currency]]="EUR"),BoM_Griptel[[#This Row],[ACT_Qty]]*BoM_Griptel[[#This Row],[Unit Price]],""),"")</f>
        <v/>
      </c>
      <c r="T566" s="186" t="s">
        <v>1802</v>
      </c>
      <c r="U566" s="46"/>
      <c r="V566" s="46"/>
      <c r="W566" s="146"/>
    </row>
    <row r="567" spans="1:23" ht="15" customHeight="1">
      <c r="A567" s="143" t="str">
        <f t="shared" si="16"/>
        <v>AKH12345</v>
      </c>
      <c r="B567" s="144" t="s">
        <v>2930</v>
      </c>
      <c r="C567" s="143" t="s">
        <v>2931</v>
      </c>
      <c r="D567" s="105"/>
      <c r="E567" s="106"/>
      <c r="F567" s="105"/>
      <c r="G567" s="106"/>
      <c r="H567" s="175"/>
      <c r="I567" s="176" t="s">
        <v>847</v>
      </c>
      <c r="J567" s="176" t="s">
        <v>1965</v>
      </c>
      <c r="K567" s="176" t="s">
        <v>1235</v>
      </c>
      <c r="L567" s="145" t="s">
        <v>1806</v>
      </c>
      <c r="M567" s="45" t="str">
        <f t="shared" si="17"/>
        <v>OneCo Networks AS</v>
      </c>
      <c r="N567" s="40" t="str">
        <f ca="1">IFERROR(
VLOOKUP(BoM_Griptel[[#This Row],[Product code]],
IF(AND((BoQ!$N$3&lt;&gt;""),OR(BoM_Griptel[[#This Row],[Vendor]]="Griptel",BoM_Griptel[[#This Row],[Vendor]]="Solar")),INDIRECT(Aux!$A$1)),4,FALSE),"")</f>
        <v/>
      </c>
      <c r="O567" s="169" t="s">
        <v>1807</v>
      </c>
      <c r="P567" s="41" t="str">
        <f>IFERROR(IF(AND(BoM_Griptel[[#This Row],[Quantity]]&lt;&gt;"",BoM_Griptel[[#This Row],[Currency]]="NOK"),BoM_Griptel[[#This Row],[Quantity]]*BoM_Griptel[[#This Row],[Unit Price]],""),"")</f>
        <v/>
      </c>
      <c r="Q567" s="41" t="str">
        <f>IFERROR(IF(AND(BoM_Griptel[[#This Row],[ACT_Qty]]&lt;&gt;"",BoM_Griptel[[#This Row],[Currency]]="NOK"),BoM_Griptel[[#This Row],[ACT_Qty]]*BoM_Griptel[[#This Row],[Unit Price]],""),"")</f>
        <v/>
      </c>
      <c r="R567" s="41" t="str">
        <f>IFERROR(IF(AND(BoM_Griptel[[#This Row],[Quantity]]&lt;&gt;"",BoM_Griptel[[#This Row],[Currency]]="EUR"),BoM_Griptel[[#This Row],[Quantity]]*BoM_Griptel[[#This Row],[Unit Price]],""),"")</f>
        <v/>
      </c>
      <c r="S567" s="41" t="str">
        <f>IFERROR(IF(AND(BoM_Griptel[[#This Row],[ACT_Qty]]&lt;&gt;"",BoM_Griptel[[#This Row],[Currency]]="EUR"),BoM_Griptel[[#This Row],[ACT_Qty]]*BoM_Griptel[[#This Row],[Unit Price]],""),"")</f>
        <v/>
      </c>
      <c r="T567" s="185" t="s">
        <v>1802</v>
      </c>
      <c r="U567" s="45"/>
      <c r="V567" s="45"/>
      <c r="W567" s="143"/>
    </row>
    <row r="568" spans="1:23" ht="15" customHeight="1">
      <c r="A568" s="146" t="str">
        <f t="shared" si="16"/>
        <v>AKH12345</v>
      </c>
      <c r="B568" s="147" t="s">
        <v>2932</v>
      </c>
      <c r="C568" s="146" t="s">
        <v>2933</v>
      </c>
      <c r="D568" s="68"/>
      <c r="E568" s="89"/>
      <c r="F568" s="68"/>
      <c r="G568" s="89"/>
      <c r="H568" s="177"/>
      <c r="I568" s="178" t="s">
        <v>847</v>
      </c>
      <c r="J568" s="178" t="s">
        <v>1884</v>
      </c>
      <c r="K568" s="178" t="s">
        <v>1235</v>
      </c>
      <c r="L568" s="148" t="s">
        <v>1806</v>
      </c>
      <c r="M568" s="46" t="str">
        <f t="shared" si="17"/>
        <v>OneCo Networks AS</v>
      </c>
      <c r="N568" s="42" t="str">
        <f ca="1">IFERROR(
VLOOKUP(BoM_Griptel[[#This Row],[Product code]],
IF(AND((BoQ!$N$3&lt;&gt;""),OR(BoM_Griptel[[#This Row],[Vendor]]="Griptel",BoM_Griptel[[#This Row],[Vendor]]="Solar")),INDIRECT(Aux!$A$1)),4,FALSE),"")</f>
        <v/>
      </c>
      <c r="O568" s="170" t="s">
        <v>1807</v>
      </c>
      <c r="P568" s="43" t="str">
        <f>IFERROR(IF(AND(BoM_Griptel[[#This Row],[Quantity]]&lt;&gt;"",BoM_Griptel[[#This Row],[Currency]]="NOK"),BoM_Griptel[[#This Row],[Quantity]]*BoM_Griptel[[#This Row],[Unit Price]],""),"")</f>
        <v/>
      </c>
      <c r="Q568" s="43" t="str">
        <f>IFERROR(IF(AND(BoM_Griptel[[#This Row],[ACT_Qty]]&lt;&gt;"",BoM_Griptel[[#This Row],[Currency]]="NOK"),BoM_Griptel[[#This Row],[ACT_Qty]]*BoM_Griptel[[#This Row],[Unit Price]],""),"")</f>
        <v/>
      </c>
      <c r="R568" s="43" t="str">
        <f>IFERROR(IF(AND(BoM_Griptel[[#This Row],[Quantity]]&lt;&gt;"",BoM_Griptel[[#This Row],[Currency]]="EUR"),BoM_Griptel[[#This Row],[Quantity]]*BoM_Griptel[[#This Row],[Unit Price]],""),"")</f>
        <v/>
      </c>
      <c r="S568" s="43" t="str">
        <f>IFERROR(IF(AND(BoM_Griptel[[#This Row],[ACT_Qty]]&lt;&gt;"",BoM_Griptel[[#This Row],[Currency]]="EUR"),BoM_Griptel[[#This Row],[ACT_Qty]]*BoM_Griptel[[#This Row],[Unit Price]],""),"")</f>
        <v/>
      </c>
      <c r="T568" s="186" t="s">
        <v>1802</v>
      </c>
      <c r="U568" s="46"/>
      <c r="V568" s="46"/>
      <c r="W568" s="146"/>
    </row>
    <row r="569" spans="1:23" ht="15" customHeight="1">
      <c r="A569" s="143" t="str">
        <f t="shared" si="16"/>
        <v>AKH12345</v>
      </c>
      <c r="B569" s="144" t="s">
        <v>2934</v>
      </c>
      <c r="C569" s="143" t="s">
        <v>2935</v>
      </c>
      <c r="D569" s="105"/>
      <c r="E569" s="106"/>
      <c r="F569" s="105"/>
      <c r="G569" s="106"/>
      <c r="H569" s="175"/>
      <c r="I569" s="176" t="s">
        <v>847</v>
      </c>
      <c r="J569" s="176" t="s">
        <v>1905</v>
      </c>
      <c r="K569" s="176" t="s">
        <v>1235</v>
      </c>
      <c r="L569" s="145" t="s">
        <v>1806</v>
      </c>
      <c r="M569" s="45" t="str">
        <f t="shared" si="17"/>
        <v>OneCo Networks AS</v>
      </c>
      <c r="N569" s="40" t="str">
        <f ca="1">IFERROR(
VLOOKUP(BoM_Griptel[[#This Row],[Product code]],
IF(AND((BoQ!$N$3&lt;&gt;""),OR(BoM_Griptel[[#This Row],[Vendor]]="Griptel",BoM_Griptel[[#This Row],[Vendor]]="Solar")),INDIRECT(Aux!$A$1)),4,FALSE),"")</f>
        <v/>
      </c>
      <c r="O569" s="169" t="s">
        <v>1807</v>
      </c>
      <c r="P569" s="41" t="str">
        <f>IFERROR(IF(AND(BoM_Griptel[[#This Row],[Quantity]]&lt;&gt;"",BoM_Griptel[[#This Row],[Currency]]="NOK"),BoM_Griptel[[#This Row],[Quantity]]*BoM_Griptel[[#This Row],[Unit Price]],""),"")</f>
        <v/>
      </c>
      <c r="Q569" s="41" t="str">
        <f>IFERROR(IF(AND(BoM_Griptel[[#This Row],[ACT_Qty]]&lt;&gt;"",BoM_Griptel[[#This Row],[Currency]]="NOK"),BoM_Griptel[[#This Row],[ACT_Qty]]*BoM_Griptel[[#This Row],[Unit Price]],""),"")</f>
        <v/>
      </c>
      <c r="R569" s="41" t="str">
        <f>IFERROR(IF(AND(BoM_Griptel[[#This Row],[Quantity]]&lt;&gt;"",BoM_Griptel[[#This Row],[Currency]]="EUR"),BoM_Griptel[[#This Row],[Quantity]]*BoM_Griptel[[#This Row],[Unit Price]],""),"")</f>
        <v/>
      </c>
      <c r="S569" s="41" t="str">
        <f>IFERROR(IF(AND(BoM_Griptel[[#This Row],[ACT_Qty]]&lt;&gt;"",BoM_Griptel[[#This Row],[Currency]]="EUR"),BoM_Griptel[[#This Row],[ACT_Qty]]*BoM_Griptel[[#This Row],[Unit Price]],""),"")</f>
        <v/>
      </c>
      <c r="T569" s="185" t="s">
        <v>1802</v>
      </c>
      <c r="U569" s="45"/>
      <c r="V569" s="45"/>
      <c r="W569" s="143"/>
    </row>
    <row r="570" spans="1:23" ht="15" customHeight="1">
      <c r="A570" s="146" t="str">
        <f t="shared" si="16"/>
        <v>AKH12345</v>
      </c>
      <c r="B570" s="147" t="s">
        <v>2936</v>
      </c>
      <c r="C570" s="146" t="s">
        <v>2937</v>
      </c>
      <c r="D570" s="68"/>
      <c r="E570" s="89"/>
      <c r="F570" s="68"/>
      <c r="G570" s="89"/>
      <c r="H570" s="177"/>
      <c r="I570" s="178" t="s">
        <v>847</v>
      </c>
      <c r="J570" s="178" t="s">
        <v>1905</v>
      </c>
      <c r="K570" s="178" t="s">
        <v>1235</v>
      </c>
      <c r="L570" s="148" t="s">
        <v>1806</v>
      </c>
      <c r="M570" s="46" t="str">
        <f t="shared" si="17"/>
        <v>OneCo Networks AS</v>
      </c>
      <c r="N570" s="42" t="str">
        <f ca="1">IFERROR(
VLOOKUP(BoM_Griptel[[#This Row],[Product code]],
IF(AND((BoQ!$N$3&lt;&gt;""),OR(BoM_Griptel[[#This Row],[Vendor]]="Griptel",BoM_Griptel[[#This Row],[Vendor]]="Solar")),INDIRECT(Aux!$A$1)),4,FALSE),"")</f>
        <v/>
      </c>
      <c r="O570" s="170" t="s">
        <v>1807</v>
      </c>
      <c r="P570" s="43" t="str">
        <f>IFERROR(IF(AND(BoM_Griptel[[#This Row],[Quantity]]&lt;&gt;"",BoM_Griptel[[#This Row],[Currency]]="NOK"),BoM_Griptel[[#This Row],[Quantity]]*BoM_Griptel[[#This Row],[Unit Price]],""),"")</f>
        <v/>
      </c>
      <c r="Q570" s="43" t="str">
        <f>IFERROR(IF(AND(BoM_Griptel[[#This Row],[ACT_Qty]]&lt;&gt;"",BoM_Griptel[[#This Row],[Currency]]="NOK"),BoM_Griptel[[#This Row],[ACT_Qty]]*BoM_Griptel[[#This Row],[Unit Price]],""),"")</f>
        <v/>
      </c>
      <c r="R570" s="43" t="str">
        <f>IFERROR(IF(AND(BoM_Griptel[[#This Row],[Quantity]]&lt;&gt;"",BoM_Griptel[[#This Row],[Currency]]="EUR"),BoM_Griptel[[#This Row],[Quantity]]*BoM_Griptel[[#This Row],[Unit Price]],""),"")</f>
        <v/>
      </c>
      <c r="S570" s="43" t="str">
        <f>IFERROR(IF(AND(BoM_Griptel[[#This Row],[ACT_Qty]]&lt;&gt;"",BoM_Griptel[[#This Row],[Currency]]="EUR"),BoM_Griptel[[#This Row],[ACT_Qty]]*BoM_Griptel[[#This Row],[Unit Price]],""),"")</f>
        <v/>
      </c>
      <c r="T570" s="186" t="s">
        <v>1802</v>
      </c>
      <c r="U570" s="46"/>
      <c r="V570" s="46"/>
      <c r="W570" s="146"/>
    </row>
    <row r="571" spans="1:23" ht="15" customHeight="1">
      <c r="A571" s="143" t="str">
        <f t="shared" si="16"/>
        <v>AKH12345</v>
      </c>
      <c r="B571" s="144" t="s">
        <v>2938</v>
      </c>
      <c r="C571" s="143" t="s">
        <v>2939</v>
      </c>
      <c r="D571" s="105"/>
      <c r="E571" s="106"/>
      <c r="F571" s="105"/>
      <c r="G571" s="106"/>
      <c r="H571" s="175"/>
      <c r="I571" s="176" t="s">
        <v>847</v>
      </c>
      <c r="J571" s="176" t="s">
        <v>2940</v>
      </c>
      <c r="K571" s="176" t="s">
        <v>1235</v>
      </c>
      <c r="L571" s="145" t="s">
        <v>1806</v>
      </c>
      <c r="M571" s="45" t="str">
        <f t="shared" si="17"/>
        <v>OneCo Networks AS</v>
      </c>
      <c r="N571" s="40" t="str">
        <f ca="1">IFERROR(
VLOOKUP(BoM_Griptel[[#This Row],[Product code]],
IF(AND((BoQ!$N$3&lt;&gt;""),OR(BoM_Griptel[[#This Row],[Vendor]]="Griptel",BoM_Griptel[[#This Row],[Vendor]]="Solar")),INDIRECT(Aux!$A$1)),4,FALSE),"")</f>
        <v/>
      </c>
      <c r="O571" s="169" t="s">
        <v>1807</v>
      </c>
      <c r="P571" s="41" t="str">
        <f>IFERROR(IF(AND(BoM_Griptel[[#This Row],[Quantity]]&lt;&gt;"",BoM_Griptel[[#This Row],[Currency]]="NOK"),BoM_Griptel[[#This Row],[Quantity]]*BoM_Griptel[[#This Row],[Unit Price]],""),"")</f>
        <v/>
      </c>
      <c r="Q571" s="41" t="str">
        <f>IFERROR(IF(AND(BoM_Griptel[[#This Row],[ACT_Qty]]&lt;&gt;"",BoM_Griptel[[#This Row],[Currency]]="NOK"),BoM_Griptel[[#This Row],[ACT_Qty]]*BoM_Griptel[[#This Row],[Unit Price]],""),"")</f>
        <v/>
      </c>
      <c r="R571" s="41" t="str">
        <f>IFERROR(IF(AND(BoM_Griptel[[#This Row],[Quantity]]&lt;&gt;"",BoM_Griptel[[#This Row],[Currency]]="EUR"),BoM_Griptel[[#This Row],[Quantity]]*BoM_Griptel[[#This Row],[Unit Price]],""),"")</f>
        <v/>
      </c>
      <c r="S571" s="41" t="str">
        <f>IFERROR(IF(AND(BoM_Griptel[[#This Row],[ACT_Qty]]&lt;&gt;"",BoM_Griptel[[#This Row],[Currency]]="EUR"),BoM_Griptel[[#This Row],[ACT_Qty]]*BoM_Griptel[[#This Row],[Unit Price]],""),"")</f>
        <v/>
      </c>
      <c r="T571" s="185" t="s">
        <v>1802</v>
      </c>
      <c r="U571" s="45"/>
      <c r="V571" s="45"/>
      <c r="W571" s="143"/>
    </row>
    <row r="572" spans="1:23" ht="15" customHeight="1">
      <c r="A572" s="146" t="str">
        <f t="shared" si="16"/>
        <v>AKH12345</v>
      </c>
      <c r="B572" s="147" t="s">
        <v>2941</v>
      </c>
      <c r="C572" s="146" t="s">
        <v>2942</v>
      </c>
      <c r="D572" s="68"/>
      <c r="E572" s="89"/>
      <c r="F572" s="68"/>
      <c r="G572" s="89"/>
      <c r="H572" s="177"/>
      <c r="I572" s="178" t="s">
        <v>847</v>
      </c>
      <c r="J572" s="178" t="s">
        <v>2943</v>
      </c>
      <c r="K572" s="178" t="s">
        <v>1235</v>
      </c>
      <c r="L572" s="148" t="s">
        <v>1806</v>
      </c>
      <c r="M572" s="46" t="str">
        <f t="shared" si="17"/>
        <v>OneCo Networks AS</v>
      </c>
      <c r="N572" s="42" t="str">
        <f ca="1">IFERROR(
VLOOKUP(BoM_Griptel[[#This Row],[Product code]],
IF(AND((BoQ!$N$3&lt;&gt;""),OR(BoM_Griptel[[#This Row],[Vendor]]="Griptel",BoM_Griptel[[#This Row],[Vendor]]="Solar")),INDIRECT(Aux!$A$1)),4,FALSE),"")</f>
        <v/>
      </c>
      <c r="O572" s="170" t="s">
        <v>1807</v>
      </c>
      <c r="P572" s="43" t="str">
        <f>IFERROR(IF(AND(BoM_Griptel[[#This Row],[Quantity]]&lt;&gt;"",BoM_Griptel[[#This Row],[Currency]]="NOK"),BoM_Griptel[[#This Row],[Quantity]]*BoM_Griptel[[#This Row],[Unit Price]],""),"")</f>
        <v/>
      </c>
      <c r="Q572" s="43" t="str">
        <f>IFERROR(IF(AND(BoM_Griptel[[#This Row],[ACT_Qty]]&lt;&gt;"",BoM_Griptel[[#This Row],[Currency]]="NOK"),BoM_Griptel[[#This Row],[ACT_Qty]]*BoM_Griptel[[#This Row],[Unit Price]],""),"")</f>
        <v/>
      </c>
      <c r="R572" s="43" t="str">
        <f>IFERROR(IF(AND(BoM_Griptel[[#This Row],[Quantity]]&lt;&gt;"",BoM_Griptel[[#This Row],[Currency]]="EUR"),BoM_Griptel[[#This Row],[Quantity]]*BoM_Griptel[[#This Row],[Unit Price]],""),"")</f>
        <v/>
      </c>
      <c r="S572" s="43" t="str">
        <f>IFERROR(IF(AND(BoM_Griptel[[#This Row],[ACT_Qty]]&lt;&gt;"",BoM_Griptel[[#This Row],[Currency]]="EUR"),BoM_Griptel[[#This Row],[ACT_Qty]]*BoM_Griptel[[#This Row],[Unit Price]],""),"")</f>
        <v/>
      </c>
      <c r="T572" s="186" t="s">
        <v>1802</v>
      </c>
      <c r="U572" s="46"/>
      <c r="V572" s="46"/>
      <c r="W572" s="146"/>
    </row>
    <row r="573" spans="1:23" ht="15" customHeight="1">
      <c r="A573" s="143" t="str">
        <f t="shared" si="16"/>
        <v>AKH12345</v>
      </c>
      <c r="B573" s="144" t="s">
        <v>2944</v>
      </c>
      <c r="C573" s="143" t="s">
        <v>2945</v>
      </c>
      <c r="D573" s="105"/>
      <c r="E573" s="106"/>
      <c r="F573" s="105"/>
      <c r="G573" s="106"/>
      <c r="H573" s="175"/>
      <c r="I573" s="176" t="s">
        <v>847</v>
      </c>
      <c r="J573" s="176" t="s">
        <v>2940</v>
      </c>
      <c r="K573" s="176" t="s">
        <v>1235</v>
      </c>
      <c r="L573" s="145" t="s">
        <v>1806</v>
      </c>
      <c r="M573" s="45" t="str">
        <f t="shared" si="17"/>
        <v>OneCo Networks AS</v>
      </c>
      <c r="N573" s="40" t="str">
        <f ca="1">IFERROR(
VLOOKUP(BoM_Griptel[[#This Row],[Product code]],
IF(AND((BoQ!$N$3&lt;&gt;""),OR(BoM_Griptel[[#This Row],[Vendor]]="Griptel",BoM_Griptel[[#This Row],[Vendor]]="Solar")),INDIRECT(Aux!$A$1)),4,FALSE),"")</f>
        <v/>
      </c>
      <c r="O573" s="169" t="s">
        <v>1807</v>
      </c>
      <c r="P573" s="41" t="str">
        <f>IFERROR(IF(AND(BoM_Griptel[[#This Row],[Quantity]]&lt;&gt;"",BoM_Griptel[[#This Row],[Currency]]="NOK"),BoM_Griptel[[#This Row],[Quantity]]*BoM_Griptel[[#This Row],[Unit Price]],""),"")</f>
        <v/>
      </c>
      <c r="Q573" s="41" t="str">
        <f>IFERROR(IF(AND(BoM_Griptel[[#This Row],[ACT_Qty]]&lt;&gt;"",BoM_Griptel[[#This Row],[Currency]]="NOK"),BoM_Griptel[[#This Row],[ACT_Qty]]*BoM_Griptel[[#This Row],[Unit Price]],""),"")</f>
        <v/>
      </c>
      <c r="R573" s="41" t="str">
        <f>IFERROR(IF(AND(BoM_Griptel[[#This Row],[Quantity]]&lt;&gt;"",BoM_Griptel[[#This Row],[Currency]]="EUR"),BoM_Griptel[[#This Row],[Quantity]]*BoM_Griptel[[#This Row],[Unit Price]],""),"")</f>
        <v/>
      </c>
      <c r="S573" s="41" t="str">
        <f>IFERROR(IF(AND(BoM_Griptel[[#This Row],[ACT_Qty]]&lt;&gt;"",BoM_Griptel[[#This Row],[Currency]]="EUR"),BoM_Griptel[[#This Row],[ACT_Qty]]*BoM_Griptel[[#This Row],[Unit Price]],""),"")</f>
        <v/>
      </c>
      <c r="T573" s="185" t="s">
        <v>1802</v>
      </c>
      <c r="U573" s="45"/>
      <c r="V573" s="45"/>
      <c r="W573" s="143"/>
    </row>
    <row r="574" spans="1:23" ht="15" customHeight="1">
      <c r="A574" s="146" t="str">
        <f t="shared" si="16"/>
        <v>AKH12345</v>
      </c>
      <c r="B574" s="147" t="s">
        <v>2946</v>
      </c>
      <c r="C574" s="146" t="s">
        <v>2947</v>
      </c>
      <c r="D574" s="68"/>
      <c r="E574" s="89"/>
      <c r="F574" s="68"/>
      <c r="G574" s="89"/>
      <c r="H574" s="177"/>
      <c r="I574" s="178" t="s">
        <v>847</v>
      </c>
      <c r="J574" s="178" t="s">
        <v>2948</v>
      </c>
      <c r="K574" s="178" t="s">
        <v>1235</v>
      </c>
      <c r="L574" s="148" t="s">
        <v>1806</v>
      </c>
      <c r="M574" s="46" t="str">
        <f t="shared" si="17"/>
        <v>OneCo Networks AS</v>
      </c>
      <c r="N574" s="42" t="str">
        <f ca="1">IFERROR(
VLOOKUP(BoM_Griptel[[#This Row],[Product code]],
IF(AND((BoQ!$N$3&lt;&gt;""),OR(BoM_Griptel[[#This Row],[Vendor]]="Griptel",BoM_Griptel[[#This Row],[Vendor]]="Solar")),INDIRECT(Aux!$A$1)),4,FALSE),"")</f>
        <v/>
      </c>
      <c r="O574" s="170" t="s">
        <v>1807</v>
      </c>
      <c r="P574" s="43" t="str">
        <f>IFERROR(IF(AND(BoM_Griptel[[#This Row],[Quantity]]&lt;&gt;"",BoM_Griptel[[#This Row],[Currency]]="NOK"),BoM_Griptel[[#This Row],[Quantity]]*BoM_Griptel[[#This Row],[Unit Price]],""),"")</f>
        <v/>
      </c>
      <c r="Q574" s="43" t="str">
        <f>IFERROR(IF(AND(BoM_Griptel[[#This Row],[ACT_Qty]]&lt;&gt;"",BoM_Griptel[[#This Row],[Currency]]="NOK"),BoM_Griptel[[#This Row],[ACT_Qty]]*BoM_Griptel[[#This Row],[Unit Price]],""),"")</f>
        <v/>
      </c>
      <c r="R574" s="43" t="str">
        <f>IFERROR(IF(AND(BoM_Griptel[[#This Row],[Quantity]]&lt;&gt;"",BoM_Griptel[[#This Row],[Currency]]="EUR"),BoM_Griptel[[#This Row],[Quantity]]*BoM_Griptel[[#This Row],[Unit Price]],""),"")</f>
        <v/>
      </c>
      <c r="S574" s="43" t="str">
        <f>IFERROR(IF(AND(BoM_Griptel[[#This Row],[ACT_Qty]]&lt;&gt;"",BoM_Griptel[[#This Row],[Currency]]="EUR"),BoM_Griptel[[#This Row],[ACT_Qty]]*BoM_Griptel[[#This Row],[Unit Price]],""),"")</f>
        <v/>
      </c>
      <c r="T574" s="186" t="s">
        <v>1802</v>
      </c>
      <c r="U574" s="46"/>
      <c r="V574" s="46"/>
      <c r="W574" s="146"/>
    </row>
    <row r="575" spans="1:23" ht="15" customHeight="1">
      <c r="A575" s="143" t="str">
        <f t="shared" si="16"/>
        <v>AKH12345</v>
      </c>
      <c r="B575" s="144" t="s">
        <v>2949</v>
      </c>
      <c r="C575" s="143" t="s">
        <v>2950</v>
      </c>
      <c r="D575" s="105"/>
      <c r="E575" s="106"/>
      <c r="F575" s="105"/>
      <c r="G575" s="106"/>
      <c r="H575" s="175"/>
      <c r="I575" s="176" t="s">
        <v>847</v>
      </c>
      <c r="J575" s="176" t="s">
        <v>2951</v>
      </c>
      <c r="K575" s="176" t="s">
        <v>1235</v>
      </c>
      <c r="L575" s="145" t="s">
        <v>1806</v>
      </c>
      <c r="M575" s="45" t="str">
        <f t="shared" si="17"/>
        <v>OneCo Networks AS</v>
      </c>
      <c r="N575" s="40" t="str">
        <f ca="1">IFERROR(
VLOOKUP(BoM_Griptel[[#This Row],[Product code]],
IF(AND((BoQ!$N$3&lt;&gt;""),OR(BoM_Griptel[[#This Row],[Vendor]]="Griptel",BoM_Griptel[[#This Row],[Vendor]]="Solar")),INDIRECT(Aux!$A$1)),4,FALSE),"")</f>
        <v/>
      </c>
      <c r="O575" s="169" t="s">
        <v>1807</v>
      </c>
      <c r="P575" s="41" t="str">
        <f>IFERROR(IF(AND(BoM_Griptel[[#This Row],[Quantity]]&lt;&gt;"",BoM_Griptel[[#This Row],[Currency]]="NOK"),BoM_Griptel[[#This Row],[Quantity]]*BoM_Griptel[[#This Row],[Unit Price]],""),"")</f>
        <v/>
      </c>
      <c r="Q575" s="41" t="str">
        <f>IFERROR(IF(AND(BoM_Griptel[[#This Row],[ACT_Qty]]&lt;&gt;"",BoM_Griptel[[#This Row],[Currency]]="NOK"),BoM_Griptel[[#This Row],[ACT_Qty]]*BoM_Griptel[[#This Row],[Unit Price]],""),"")</f>
        <v/>
      </c>
      <c r="R575" s="41" t="str">
        <f>IFERROR(IF(AND(BoM_Griptel[[#This Row],[Quantity]]&lt;&gt;"",BoM_Griptel[[#This Row],[Currency]]="EUR"),BoM_Griptel[[#This Row],[Quantity]]*BoM_Griptel[[#This Row],[Unit Price]],""),"")</f>
        <v/>
      </c>
      <c r="S575" s="41" t="str">
        <f>IFERROR(IF(AND(BoM_Griptel[[#This Row],[ACT_Qty]]&lt;&gt;"",BoM_Griptel[[#This Row],[Currency]]="EUR"),BoM_Griptel[[#This Row],[ACT_Qty]]*BoM_Griptel[[#This Row],[Unit Price]],""),"")</f>
        <v/>
      </c>
      <c r="T575" s="185" t="s">
        <v>1802</v>
      </c>
      <c r="U575" s="45"/>
      <c r="V575" s="45"/>
      <c r="W575" s="143"/>
    </row>
    <row r="576" spans="1:23" ht="15" customHeight="1">
      <c r="A576" s="146" t="str">
        <f t="shared" si="16"/>
        <v>AKH12345</v>
      </c>
      <c r="B576" s="147" t="s">
        <v>2952</v>
      </c>
      <c r="C576" s="146" t="s">
        <v>2953</v>
      </c>
      <c r="D576" s="68"/>
      <c r="E576" s="89"/>
      <c r="F576" s="68"/>
      <c r="G576" s="89"/>
      <c r="H576" s="177"/>
      <c r="I576" s="178" t="s">
        <v>847</v>
      </c>
      <c r="J576" s="178" t="s">
        <v>2948</v>
      </c>
      <c r="K576" s="178" t="s">
        <v>1235</v>
      </c>
      <c r="L576" s="148" t="s">
        <v>1806</v>
      </c>
      <c r="M576" s="46" t="str">
        <f t="shared" si="17"/>
        <v>OneCo Networks AS</v>
      </c>
      <c r="N576" s="42" t="str">
        <f ca="1">IFERROR(
VLOOKUP(BoM_Griptel[[#This Row],[Product code]],
IF(AND((BoQ!$N$3&lt;&gt;""),OR(BoM_Griptel[[#This Row],[Vendor]]="Griptel",BoM_Griptel[[#This Row],[Vendor]]="Solar")),INDIRECT(Aux!$A$1)),4,FALSE),"")</f>
        <v/>
      </c>
      <c r="O576" s="170" t="s">
        <v>1807</v>
      </c>
      <c r="P576" s="43" t="str">
        <f>IFERROR(IF(AND(BoM_Griptel[[#This Row],[Quantity]]&lt;&gt;"",BoM_Griptel[[#This Row],[Currency]]="NOK"),BoM_Griptel[[#This Row],[Quantity]]*BoM_Griptel[[#This Row],[Unit Price]],""),"")</f>
        <v/>
      </c>
      <c r="Q576" s="43" t="str">
        <f>IFERROR(IF(AND(BoM_Griptel[[#This Row],[ACT_Qty]]&lt;&gt;"",BoM_Griptel[[#This Row],[Currency]]="NOK"),BoM_Griptel[[#This Row],[ACT_Qty]]*BoM_Griptel[[#This Row],[Unit Price]],""),"")</f>
        <v/>
      </c>
      <c r="R576" s="43" t="str">
        <f>IFERROR(IF(AND(BoM_Griptel[[#This Row],[Quantity]]&lt;&gt;"",BoM_Griptel[[#This Row],[Currency]]="EUR"),BoM_Griptel[[#This Row],[Quantity]]*BoM_Griptel[[#This Row],[Unit Price]],""),"")</f>
        <v/>
      </c>
      <c r="S576" s="43" t="str">
        <f>IFERROR(IF(AND(BoM_Griptel[[#This Row],[ACT_Qty]]&lt;&gt;"",BoM_Griptel[[#This Row],[Currency]]="EUR"),BoM_Griptel[[#This Row],[ACT_Qty]]*BoM_Griptel[[#This Row],[Unit Price]],""),"")</f>
        <v/>
      </c>
      <c r="T576" s="186" t="s">
        <v>1802</v>
      </c>
      <c r="U576" s="46"/>
      <c r="V576" s="46"/>
      <c r="W576" s="146"/>
    </row>
    <row r="577" spans="1:23" ht="15" customHeight="1">
      <c r="A577" s="143" t="str">
        <f t="shared" si="16"/>
        <v>AKH12345</v>
      </c>
      <c r="B577" s="144" t="s">
        <v>2954</v>
      </c>
      <c r="C577" s="143" t="s">
        <v>2955</v>
      </c>
      <c r="D577" s="105"/>
      <c r="E577" s="106"/>
      <c r="F577" s="105"/>
      <c r="G577" s="106"/>
      <c r="H577" s="175"/>
      <c r="I577" s="176" t="s">
        <v>847</v>
      </c>
      <c r="J577" s="176" t="s">
        <v>2943</v>
      </c>
      <c r="K577" s="176" t="s">
        <v>1235</v>
      </c>
      <c r="L577" s="145" t="s">
        <v>1806</v>
      </c>
      <c r="M577" s="45" t="str">
        <f t="shared" si="17"/>
        <v>OneCo Networks AS</v>
      </c>
      <c r="N577" s="40" t="str">
        <f ca="1">IFERROR(
VLOOKUP(BoM_Griptel[[#This Row],[Product code]],
IF(AND((BoQ!$N$3&lt;&gt;""),OR(BoM_Griptel[[#This Row],[Vendor]]="Griptel",BoM_Griptel[[#This Row],[Vendor]]="Solar")),INDIRECT(Aux!$A$1)),4,FALSE),"")</f>
        <v/>
      </c>
      <c r="O577" s="169" t="s">
        <v>1807</v>
      </c>
      <c r="P577" s="41" t="str">
        <f>IFERROR(IF(AND(BoM_Griptel[[#This Row],[Quantity]]&lt;&gt;"",BoM_Griptel[[#This Row],[Currency]]="NOK"),BoM_Griptel[[#This Row],[Quantity]]*BoM_Griptel[[#This Row],[Unit Price]],""),"")</f>
        <v/>
      </c>
      <c r="Q577" s="41" t="str">
        <f>IFERROR(IF(AND(BoM_Griptel[[#This Row],[ACT_Qty]]&lt;&gt;"",BoM_Griptel[[#This Row],[Currency]]="NOK"),BoM_Griptel[[#This Row],[ACT_Qty]]*BoM_Griptel[[#This Row],[Unit Price]],""),"")</f>
        <v/>
      </c>
      <c r="R577" s="41" t="str">
        <f>IFERROR(IF(AND(BoM_Griptel[[#This Row],[Quantity]]&lt;&gt;"",BoM_Griptel[[#This Row],[Currency]]="EUR"),BoM_Griptel[[#This Row],[Quantity]]*BoM_Griptel[[#This Row],[Unit Price]],""),"")</f>
        <v/>
      </c>
      <c r="S577" s="41" t="str">
        <f>IFERROR(IF(AND(BoM_Griptel[[#This Row],[ACT_Qty]]&lt;&gt;"",BoM_Griptel[[#This Row],[Currency]]="EUR"),BoM_Griptel[[#This Row],[ACT_Qty]]*BoM_Griptel[[#This Row],[Unit Price]],""),"")</f>
        <v/>
      </c>
      <c r="T577" s="185" t="s">
        <v>1802</v>
      </c>
      <c r="U577" s="45"/>
      <c r="V577" s="45"/>
      <c r="W577" s="143"/>
    </row>
    <row r="578" spans="1:23" ht="15" customHeight="1">
      <c r="A578" s="146" t="str">
        <f t="shared" si="16"/>
        <v>AKH12345</v>
      </c>
      <c r="B578" s="147" t="s">
        <v>2956</v>
      </c>
      <c r="C578" s="146" t="s">
        <v>2957</v>
      </c>
      <c r="D578" s="68"/>
      <c r="E578" s="89"/>
      <c r="F578" s="68"/>
      <c r="G578" s="89"/>
      <c r="H578" s="177"/>
      <c r="I578" s="178" t="s">
        <v>847</v>
      </c>
      <c r="J578" s="178" t="s">
        <v>2940</v>
      </c>
      <c r="K578" s="178" t="s">
        <v>1235</v>
      </c>
      <c r="L578" s="148" t="s">
        <v>1806</v>
      </c>
      <c r="M578" s="46" t="str">
        <f t="shared" si="17"/>
        <v>OneCo Networks AS</v>
      </c>
      <c r="N578" s="42" t="str">
        <f ca="1">IFERROR(
VLOOKUP(BoM_Griptel[[#This Row],[Product code]],
IF(AND((BoQ!$N$3&lt;&gt;""),OR(BoM_Griptel[[#This Row],[Vendor]]="Griptel",BoM_Griptel[[#This Row],[Vendor]]="Solar")),INDIRECT(Aux!$A$1)),4,FALSE),"")</f>
        <v/>
      </c>
      <c r="O578" s="170" t="s">
        <v>1807</v>
      </c>
      <c r="P578" s="43" t="str">
        <f>IFERROR(IF(AND(BoM_Griptel[[#This Row],[Quantity]]&lt;&gt;"",BoM_Griptel[[#This Row],[Currency]]="NOK"),BoM_Griptel[[#This Row],[Quantity]]*BoM_Griptel[[#This Row],[Unit Price]],""),"")</f>
        <v/>
      </c>
      <c r="Q578" s="43" t="str">
        <f>IFERROR(IF(AND(BoM_Griptel[[#This Row],[ACT_Qty]]&lt;&gt;"",BoM_Griptel[[#This Row],[Currency]]="NOK"),BoM_Griptel[[#This Row],[ACT_Qty]]*BoM_Griptel[[#This Row],[Unit Price]],""),"")</f>
        <v/>
      </c>
      <c r="R578" s="43" t="str">
        <f>IFERROR(IF(AND(BoM_Griptel[[#This Row],[Quantity]]&lt;&gt;"",BoM_Griptel[[#This Row],[Currency]]="EUR"),BoM_Griptel[[#This Row],[Quantity]]*BoM_Griptel[[#This Row],[Unit Price]],""),"")</f>
        <v/>
      </c>
      <c r="S578" s="43" t="str">
        <f>IFERROR(IF(AND(BoM_Griptel[[#This Row],[ACT_Qty]]&lt;&gt;"",BoM_Griptel[[#This Row],[Currency]]="EUR"),BoM_Griptel[[#This Row],[ACT_Qty]]*BoM_Griptel[[#This Row],[Unit Price]],""),"")</f>
        <v/>
      </c>
      <c r="T578" s="186" t="s">
        <v>1802</v>
      </c>
      <c r="U578" s="46"/>
      <c r="V578" s="46"/>
      <c r="W578" s="146"/>
    </row>
    <row r="579" spans="1:23" ht="15" customHeight="1">
      <c r="A579" s="143" t="str">
        <f t="shared" si="16"/>
        <v>AKH12345</v>
      </c>
      <c r="B579" s="144" t="s">
        <v>2958</v>
      </c>
      <c r="C579" s="143" t="s">
        <v>2959</v>
      </c>
      <c r="D579" s="105"/>
      <c r="E579" s="106"/>
      <c r="F579" s="105"/>
      <c r="G579" s="106"/>
      <c r="H579" s="175"/>
      <c r="I579" s="176" t="s">
        <v>847</v>
      </c>
      <c r="J579" s="176" t="s">
        <v>2940</v>
      </c>
      <c r="K579" s="176" t="s">
        <v>1235</v>
      </c>
      <c r="L579" s="145" t="s">
        <v>1806</v>
      </c>
      <c r="M579" s="45" t="str">
        <f t="shared" si="17"/>
        <v>OneCo Networks AS</v>
      </c>
      <c r="N579" s="40" t="str">
        <f ca="1">IFERROR(
VLOOKUP(BoM_Griptel[[#This Row],[Product code]],
IF(AND((BoQ!$N$3&lt;&gt;""),OR(BoM_Griptel[[#This Row],[Vendor]]="Griptel",BoM_Griptel[[#This Row],[Vendor]]="Solar")),INDIRECT(Aux!$A$1)),4,FALSE),"")</f>
        <v/>
      </c>
      <c r="O579" s="169" t="s">
        <v>1807</v>
      </c>
      <c r="P579" s="41" t="str">
        <f>IFERROR(IF(AND(BoM_Griptel[[#This Row],[Quantity]]&lt;&gt;"",BoM_Griptel[[#This Row],[Currency]]="NOK"),BoM_Griptel[[#This Row],[Quantity]]*BoM_Griptel[[#This Row],[Unit Price]],""),"")</f>
        <v/>
      </c>
      <c r="Q579" s="41" t="str">
        <f>IFERROR(IF(AND(BoM_Griptel[[#This Row],[ACT_Qty]]&lt;&gt;"",BoM_Griptel[[#This Row],[Currency]]="NOK"),BoM_Griptel[[#This Row],[ACT_Qty]]*BoM_Griptel[[#This Row],[Unit Price]],""),"")</f>
        <v/>
      </c>
      <c r="R579" s="41" t="str">
        <f>IFERROR(IF(AND(BoM_Griptel[[#This Row],[Quantity]]&lt;&gt;"",BoM_Griptel[[#This Row],[Currency]]="EUR"),BoM_Griptel[[#This Row],[Quantity]]*BoM_Griptel[[#This Row],[Unit Price]],""),"")</f>
        <v/>
      </c>
      <c r="S579" s="41" t="str">
        <f>IFERROR(IF(AND(BoM_Griptel[[#This Row],[ACT_Qty]]&lt;&gt;"",BoM_Griptel[[#This Row],[Currency]]="EUR"),BoM_Griptel[[#This Row],[ACT_Qty]]*BoM_Griptel[[#This Row],[Unit Price]],""),"")</f>
        <v/>
      </c>
      <c r="T579" s="185" t="s">
        <v>1802</v>
      </c>
      <c r="U579" s="45"/>
      <c r="V579" s="45"/>
      <c r="W579" s="143"/>
    </row>
    <row r="580" spans="1:23" ht="15" customHeight="1">
      <c r="A580" s="146" t="str">
        <f t="shared" si="16"/>
        <v>AKH12345</v>
      </c>
      <c r="B580" s="147" t="s">
        <v>2960</v>
      </c>
      <c r="C580" s="146" t="s">
        <v>2961</v>
      </c>
      <c r="D580" s="68"/>
      <c r="E580" s="89"/>
      <c r="F580" s="68"/>
      <c r="G580" s="89"/>
      <c r="H580" s="177"/>
      <c r="I580" s="178" t="s">
        <v>847</v>
      </c>
      <c r="J580" s="178" t="s">
        <v>2940</v>
      </c>
      <c r="K580" s="178" t="s">
        <v>1235</v>
      </c>
      <c r="L580" s="148" t="s">
        <v>1806</v>
      </c>
      <c r="M580" s="46" t="str">
        <f t="shared" si="17"/>
        <v>OneCo Networks AS</v>
      </c>
      <c r="N580" s="42" t="str">
        <f ca="1">IFERROR(
VLOOKUP(BoM_Griptel[[#This Row],[Product code]],
IF(AND((BoQ!$N$3&lt;&gt;""),OR(BoM_Griptel[[#This Row],[Vendor]]="Griptel",BoM_Griptel[[#This Row],[Vendor]]="Solar")),INDIRECT(Aux!$A$1)),4,FALSE),"")</f>
        <v/>
      </c>
      <c r="O580" s="170" t="s">
        <v>1807</v>
      </c>
      <c r="P580" s="43" t="str">
        <f>IFERROR(IF(AND(BoM_Griptel[[#This Row],[Quantity]]&lt;&gt;"",BoM_Griptel[[#This Row],[Currency]]="NOK"),BoM_Griptel[[#This Row],[Quantity]]*BoM_Griptel[[#This Row],[Unit Price]],""),"")</f>
        <v/>
      </c>
      <c r="Q580" s="43" t="str">
        <f>IFERROR(IF(AND(BoM_Griptel[[#This Row],[ACT_Qty]]&lt;&gt;"",BoM_Griptel[[#This Row],[Currency]]="NOK"),BoM_Griptel[[#This Row],[ACT_Qty]]*BoM_Griptel[[#This Row],[Unit Price]],""),"")</f>
        <v/>
      </c>
      <c r="R580" s="43" t="str">
        <f>IFERROR(IF(AND(BoM_Griptel[[#This Row],[Quantity]]&lt;&gt;"",BoM_Griptel[[#This Row],[Currency]]="EUR"),BoM_Griptel[[#This Row],[Quantity]]*BoM_Griptel[[#This Row],[Unit Price]],""),"")</f>
        <v/>
      </c>
      <c r="S580" s="43" t="str">
        <f>IFERROR(IF(AND(BoM_Griptel[[#This Row],[ACT_Qty]]&lt;&gt;"",BoM_Griptel[[#This Row],[Currency]]="EUR"),BoM_Griptel[[#This Row],[ACT_Qty]]*BoM_Griptel[[#This Row],[Unit Price]],""),"")</f>
        <v/>
      </c>
      <c r="T580" s="186" t="s">
        <v>1802</v>
      </c>
      <c r="U580" s="46"/>
      <c r="V580" s="46"/>
      <c r="W580" s="146"/>
    </row>
    <row r="581" spans="1:23" ht="15" customHeight="1">
      <c r="A581" s="143" t="str">
        <f t="shared" si="16"/>
        <v>AKH12345</v>
      </c>
      <c r="B581" s="144" t="s">
        <v>2962</v>
      </c>
      <c r="C581" s="143" t="s">
        <v>2963</v>
      </c>
      <c r="D581" s="105"/>
      <c r="E581" s="106"/>
      <c r="F581" s="105"/>
      <c r="G581" s="106"/>
      <c r="H581" s="175"/>
      <c r="I581" s="176" t="s">
        <v>847</v>
      </c>
      <c r="J581" s="176" t="s">
        <v>2948</v>
      </c>
      <c r="K581" s="176" t="s">
        <v>1235</v>
      </c>
      <c r="L581" s="145" t="s">
        <v>1806</v>
      </c>
      <c r="M581" s="45" t="str">
        <f t="shared" si="17"/>
        <v>OneCo Networks AS</v>
      </c>
      <c r="N581" s="40" t="str">
        <f ca="1">IFERROR(
VLOOKUP(BoM_Griptel[[#This Row],[Product code]],
IF(AND((BoQ!$N$3&lt;&gt;""),OR(BoM_Griptel[[#This Row],[Vendor]]="Griptel",BoM_Griptel[[#This Row],[Vendor]]="Solar")),INDIRECT(Aux!$A$1)),4,FALSE),"")</f>
        <v/>
      </c>
      <c r="O581" s="169" t="s">
        <v>1807</v>
      </c>
      <c r="P581" s="41" t="str">
        <f>IFERROR(IF(AND(BoM_Griptel[[#This Row],[Quantity]]&lt;&gt;"",BoM_Griptel[[#This Row],[Currency]]="NOK"),BoM_Griptel[[#This Row],[Quantity]]*BoM_Griptel[[#This Row],[Unit Price]],""),"")</f>
        <v/>
      </c>
      <c r="Q581" s="41" t="str">
        <f>IFERROR(IF(AND(BoM_Griptel[[#This Row],[ACT_Qty]]&lt;&gt;"",BoM_Griptel[[#This Row],[Currency]]="NOK"),BoM_Griptel[[#This Row],[ACT_Qty]]*BoM_Griptel[[#This Row],[Unit Price]],""),"")</f>
        <v/>
      </c>
      <c r="R581" s="41" t="str">
        <f>IFERROR(IF(AND(BoM_Griptel[[#This Row],[Quantity]]&lt;&gt;"",BoM_Griptel[[#This Row],[Currency]]="EUR"),BoM_Griptel[[#This Row],[Quantity]]*BoM_Griptel[[#This Row],[Unit Price]],""),"")</f>
        <v/>
      </c>
      <c r="S581" s="41" t="str">
        <f>IFERROR(IF(AND(BoM_Griptel[[#This Row],[ACT_Qty]]&lt;&gt;"",BoM_Griptel[[#This Row],[Currency]]="EUR"),BoM_Griptel[[#This Row],[ACT_Qty]]*BoM_Griptel[[#This Row],[Unit Price]],""),"")</f>
        <v/>
      </c>
      <c r="T581" s="185" t="s">
        <v>1802</v>
      </c>
      <c r="U581" s="45"/>
      <c r="V581" s="45"/>
      <c r="W581" s="143"/>
    </row>
    <row r="582" spans="1:23" ht="15" customHeight="1">
      <c r="A582" s="146" t="str">
        <f t="shared" si="16"/>
        <v>AKH12345</v>
      </c>
      <c r="B582" s="147" t="s">
        <v>2964</v>
      </c>
      <c r="C582" s="146" t="s">
        <v>2965</v>
      </c>
      <c r="D582" s="68"/>
      <c r="E582" s="89"/>
      <c r="F582" s="68"/>
      <c r="G582" s="89"/>
      <c r="H582" s="177"/>
      <c r="I582" s="178" t="s">
        <v>847</v>
      </c>
      <c r="J582" s="178" t="s">
        <v>2948</v>
      </c>
      <c r="K582" s="178" t="s">
        <v>1235</v>
      </c>
      <c r="L582" s="148" t="s">
        <v>1806</v>
      </c>
      <c r="M582" s="46" t="str">
        <f t="shared" si="17"/>
        <v>OneCo Networks AS</v>
      </c>
      <c r="N582" s="42" t="str">
        <f ca="1">IFERROR(
VLOOKUP(BoM_Griptel[[#This Row],[Product code]],
IF(AND((BoQ!$N$3&lt;&gt;""),OR(BoM_Griptel[[#This Row],[Vendor]]="Griptel",BoM_Griptel[[#This Row],[Vendor]]="Solar")),INDIRECT(Aux!$A$1)),4,FALSE),"")</f>
        <v/>
      </c>
      <c r="O582" s="170" t="s">
        <v>1807</v>
      </c>
      <c r="P582" s="43" t="str">
        <f>IFERROR(IF(AND(BoM_Griptel[[#This Row],[Quantity]]&lt;&gt;"",BoM_Griptel[[#This Row],[Currency]]="NOK"),BoM_Griptel[[#This Row],[Quantity]]*BoM_Griptel[[#This Row],[Unit Price]],""),"")</f>
        <v/>
      </c>
      <c r="Q582" s="43" t="str">
        <f>IFERROR(IF(AND(BoM_Griptel[[#This Row],[ACT_Qty]]&lt;&gt;"",BoM_Griptel[[#This Row],[Currency]]="NOK"),BoM_Griptel[[#This Row],[ACT_Qty]]*BoM_Griptel[[#This Row],[Unit Price]],""),"")</f>
        <v/>
      </c>
      <c r="R582" s="43" t="str">
        <f>IFERROR(IF(AND(BoM_Griptel[[#This Row],[Quantity]]&lt;&gt;"",BoM_Griptel[[#This Row],[Currency]]="EUR"),BoM_Griptel[[#This Row],[Quantity]]*BoM_Griptel[[#This Row],[Unit Price]],""),"")</f>
        <v/>
      </c>
      <c r="S582" s="43" t="str">
        <f>IFERROR(IF(AND(BoM_Griptel[[#This Row],[ACT_Qty]]&lt;&gt;"",BoM_Griptel[[#This Row],[Currency]]="EUR"),BoM_Griptel[[#This Row],[ACT_Qty]]*BoM_Griptel[[#This Row],[Unit Price]],""),"")</f>
        <v/>
      </c>
      <c r="T582" s="186" t="s">
        <v>1802</v>
      </c>
      <c r="U582" s="46"/>
      <c r="V582" s="46"/>
      <c r="W582" s="146"/>
    </row>
    <row r="583" spans="1:23" ht="15" customHeight="1">
      <c r="A583" s="143" t="str">
        <f t="shared" si="16"/>
        <v>AKH12345</v>
      </c>
      <c r="B583" s="144" t="s">
        <v>2966</v>
      </c>
      <c r="C583" s="143" t="s">
        <v>2967</v>
      </c>
      <c r="D583" s="105"/>
      <c r="E583" s="106"/>
      <c r="F583" s="105"/>
      <c r="G583" s="106"/>
      <c r="H583" s="175"/>
      <c r="I583" s="176" t="s">
        <v>847</v>
      </c>
      <c r="J583" s="176" t="s">
        <v>2951</v>
      </c>
      <c r="K583" s="176" t="s">
        <v>1235</v>
      </c>
      <c r="L583" s="145" t="s">
        <v>1806</v>
      </c>
      <c r="M583" s="45" t="str">
        <f t="shared" si="17"/>
        <v>OneCo Networks AS</v>
      </c>
      <c r="N583" s="40" t="str">
        <f ca="1">IFERROR(
VLOOKUP(BoM_Griptel[[#This Row],[Product code]],
IF(AND((BoQ!$N$3&lt;&gt;""),OR(BoM_Griptel[[#This Row],[Vendor]]="Griptel",BoM_Griptel[[#This Row],[Vendor]]="Solar")),INDIRECT(Aux!$A$1)),4,FALSE),"")</f>
        <v/>
      </c>
      <c r="O583" s="169" t="s">
        <v>1807</v>
      </c>
      <c r="P583" s="41" t="str">
        <f>IFERROR(IF(AND(BoM_Griptel[[#This Row],[Quantity]]&lt;&gt;"",BoM_Griptel[[#This Row],[Currency]]="NOK"),BoM_Griptel[[#This Row],[Quantity]]*BoM_Griptel[[#This Row],[Unit Price]],""),"")</f>
        <v/>
      </c>
      <c r="Q583" s="41" t="str">
        <f>IFERROR(IF(AND(BoM_Griptel[[#This Row],[ACT_Qty]]&lt;&gt;"",BoM_Griptel[[#This Row],[Currency]]="NOK"),BoM_Griptel[[#This Row],[ACT_Qty]]*BoM_Griptel[[#This Row],[Unit Price]],""),"")</f>
        <v/>
      </c>
      <c r="R583" s="41" t="str">
        <f>IFERROR(IF(AND(BoM_Griptel[[#This Row],[Quantity]]&lt;&gt;"",BoM_Griptel[[#This Row],[Currency]]="EUR"),BoM_Griptel[[#This Row],[Quantity]]*BoM_Griptel[[#This Row],[Unit Price]],""),"")</f>
        <v/>
      </c>
      <c r="S583" s="41" t="str">
        <f>IFERROR(IF(AND(BoM_Griptel[[#This Row],[ACT_Qty]]&lt;&gt;"",BoM_Griptel[[#This Row],[Currency]]="EUR"),BoM_Griptel[[#This Row],[ACT_Qty]]*BoM_Griptel[[#This Row],[Unit Price]],""),"")</f>
        <v/>
      </c>
      <c r="T583" s="185" t="s">
        <v>1802</v>
      </c>
      <c r="U583" s="45"/>
      <c r="V583" s="45"/>
      <c r="W583" s="143"/>
    </row>
    <row r="584" spans="1:23" ht="15" customHeight="1">
      <c r="A584" s="146" t="str">
        <f t="shared" si="16"/>
        <v>AKH12345</v>
      </c>
      <c r="B584" s="147" t="s">
        <v>2968</v>
      </c>
      <c r="C584" s="146" t="s">
        <v>2969</v>
      </c>
      <c r="D584" s="68"/>
      <c r="E584" s="89"/>
      <c r="F584" s="68"/>
      <c r="G584" s="89"/>
      <c r="H584" s="177"/>
      <c r="I584" s="178" t="s">
        <v>847</v>
      </c>
      <c r="J584" s="178" t="s">
        <v>2948</v>
      </c>
      <c r="K584" s="178" t="s">
        <v>1235</v>
      </c>
      <c r="L584" s="148" t="s">
        <v>1806</v>
      </c>
      <c r="M584" s="46" t="str">
        <f t="shared" si="17"/>
        <v>OneCo Networks AS</v>
      </c>
      <c r="N584" s="42" t="str">
        <f ca="1">IFERROR(
VLOOKUP(BoM_Griptel[[#This Row],[Product code]],
IF(AND((BoQ!$N$3&lt;&gt;""),OR(BoM_Griptel[[#This Row],[Vendor]]="Griptel",BoM_Griptel[[#This Row],[Vendor]]="Solar")),INDIRECT(Aux!$A$1)),4,FALSE),"")</f>
        <v/>
      </c>
      <c r="O584" s="170" t="s">
        <v>1807</v>
      </c>
      <c r="P584" s="43" t="str">
        <f>IFERROR(IF(AND(BoM_Griptel[[#This Row],[Quantity]]&lt;&gt;"",BoM_Griptel[[#This Row],[Currency]]="NOK"),BoM_Griptel[[#This Row],[Quantity]]*BoM_Griptel[[#This Row],[Unit Price]],""),"")</f>
        <v/>
      </c>
      <c r="Q584" s="43" t="str">
        <f>IFERROR(IF(AND(BoM_Griptel[[#This Row],[ACT_Qty]]&lt;&gt;"",BoM_Griptel[[#This Row],[Currency]]="NOK"),BoM_Griptel[[#This Row],[ACT_Qty]]*BoM_Griptel[[#This Row],[Unit Price]],""),"")</f>
        <v/>
      </c>
      <c r="R584" s="43" t="str">
        <f>IFERROR(IF(AND(BoM_Griptel[[#This Row],[Quantity]]&lt;&gt;"",BoM_Griptel[[#This Row],[Currency]]="EUR"),BoM_Griptel[[#This Row],[Quantity]]*BoM_Griptel[[#This Row],[Unit Price]],""),"")</f>
        <v/>
      </c>
      <c r="S584" s="43" t="str">
        <f>IFERROR(IF(AND(BoM_Griptel[[#This Row],[ACT_Qty]]&lt;&gt;"",BoM_Griptel[[#This Row],[Currency]]="EUR"),BoM_Griptel[[#This Row],[ACT_Qty]]*BoM_Griptel[[#This Row],[Unit Price]],""),"")</f>
        <v/>
      </c>
      <c r="T584" s="186" t="s">
        <v>1802</v>
      </c>
      <c r="U584" s="46"/>
      <c r="V584" s="46"/>
      <c r="W584" s="146"/>
    </row>
    <row r="585" spans="1:23" ht="15" customHeight="1">
      <c r="A585" s="143" t="str">
        <f t="shared" si="16"/>
        <v>AKH12345</v>
      </c>
      <c r="B585" s="144" t="s">
        <v>2970</v>
      </c>
      <c r="C585" s="143" t="s">
        <v>2971</v>
      </c>
      <c r="D585" s="105"/>
      <c r="E585" s="106"/>
      <c r="F585" s="105"/>
      <c r="G585" s="106"/>
      <c r="H585" s="175"/>
      <c r="I585" s="176" t="s">
        <v>847</v>
      </c>
      <c r="J585" s="176" t="s">
        <v>2948</v>
      </c>
      <c r="K585" s="176" t="s">
        <v>1235</v>
      </c>
      <c r="L585" s="145" t="s">
        <v>1806</v>
      </c>
      <c r="M585" s="45" t="str">
        <f t="shared" si="17"/>
        <v>OneCo Networks AS</v>
      </c>
      <c r="N585" s="40" t="str">
        <f ca="1">IFERROR(
VLOOKUP(BoM_Griptel[[#This Row],[Product code]],
IF(AND((BoQ!$N$3&lt;&gt;""),OR(BoM_Griptel[[#This Row],[Vendor]]="Griptel",BoM_Griptel[[#This Row],[Vendor]]="Solar")),INDIRECT(Aux!$A$1)),4,FALSE),"")</f>
        <v/>
      </c>
      <c r="O585" s="169" t="s">
        <v>1807</v>
      </c>
      <c r="P585" s="41" t="str">
        <f>IFERROR(IF(AND(BoM_Griptel[[#This Row],[Quantity]]&lt;&gt;"",BoM_Griptel[[#This Row],[Currency]]="NOK"),BoM_Griptel[[#This Row],[Quantity]]*BoM_Griptel[[#This Row],[Unit Price]],""),"")</f>
        <v/>
      </c>
      <c r="Q585" s="41" t="str">
        <f>IFERROR(IF(AND(BoM_Griptel[[#This Row],[ACT_Qty]]&lt;&gt;"",BoM_Griptel[[#This Row],[Currency]]="NOK"),BoM_Griptel[[#This Row],[ACT_Qty]]*BoM_Griptel[[#This Row],[Unit Price]],""),"")</f>
        <v/>
      </c>
      <c r="R585" s="41" t="str">
        <f>IFERROR(IF(AND(BoM_Griptel[[#This Row],[Quantity]]&lt;&gt;"",BoM_Griptel[[#This Row],[Currency]]="EUR"),BoM_Griptel[[#This Row],[Quantity]]*BoM_Griptel[[#This Row],[Unit Price]],""),"")</f>
        <v/>
      </c>
      <c r="S585" s="41" t="str">
        <f>IFERROR(IF(AND(BoM_Griptel[[#This Row],[ACT_Qty]]&lt;&gt;"",BoM_Griptel[[#This Row],[Currency]]="EUR"),BoM_Griptel[[#This Row],[ACT_Qty]]*BoM_Griptel[[#This Row],[Unit Price]],""),"")</f>
        <v/>
      </c>
      <c r="T585" s="185" t="s">
        <v>1802</v>
      </c>
      <c r="U585" s="45"/>
      <c r="V585" s="45"/>
      <c r="W585" s="143"/>
    </row>
    <row r="586" spans="1:23" ht="15" customHeight="1">
      <c r="A586" s="146" t="str">
        <f t="shared" si="16"/>
        <v>AKH12345</v>
      </c>
      <c r="B586" s="147" t="s">
        <v>2972</v>
      </c>
      <c r="C586" s="146" t="s">
        <v>2973</v>
      </c>
      <c r="D586" s="68"/>
      <c r="E586" s="89"/>
      <c r="F586" s="68"/>
      <c r="G586" s="89"/>
      <c r="H586" s="177"/>
      <c r="I586" s="178" t="s">
        <v>847</v>
      </c>
      <c r="J586" s="178" t="s">
        <v>2948</v>
      </c>
      <c r="K586" s="178" t="s">
        <v>1235</v>
      </c>
      <c r="L586" s="148" t="s">
        <v>1806</v>
      </c>
      <c r="M586" s="46" t="str">
        <f t="shared" si="17"/>
        <v>OneCo Networks AS</v>
      </c>
      <c r="N586" s="42" t="str">
        <f ca="1">IFERROR(
VLOOKUP(BoM_Griptel[[#This Row],[Product code]],
IF(AND((BoQ!$N$3&lt;&gt;""),OR(BoM_Griptel[[#This Row],[Vendor]]="Griptel",BoM_Griptel[[#This Row],[Vendor]]="Solar")),INDIRECT(Aux!$A$1)),4,FALSE),"")</f>
        <v/>
      </c>
      <c r="O586" s="170" t="s">
        <v>1807</v>
      </c>
      <c r="P586" s="43" t="str">
        <f>IFERROR(IF(AND(BoM_Griptel[[#This Row],[Quantity]]&lt;&gt;"",BoM_Griptel[[#This Row],[Currency]]="NOK"),BoM_Griptel[[#This Row],[Quantity]]*BoM_Griptel[[#This Row],[Unit Price]],""),"")</f>
        <v/>
      </c>
      <c r="Q586" s="43" t="str">
        <f>IFERROR(IF(AND(BoM_Griptel[[#This Row],[ACT_Qty]]&lt;&gt;"",BoM_Griptel[[#This Row],[Currency]]="NOK"),BoM_Griptel[[#This Row],[ACT_Qty]]*BoM_Griptel[[#This Row],[Unit Price]],""),"")</f>
        <v/>
      </c>
      <c r="R586" s="43" t="str">
        <f>IFERROR(IF(AND(BoM_Griptel[[#This Row],[Quantity]]&lt;&gt;"",BoM_Griptel[[#This Row],[Currency]]="EUR"),BoM_Griptel[[#This Row],[Quantity]]*BoM_Griptel[[#This Row],[Unit Price]],""),"")</f>
        <v/>
      </c>
      <c r="S586" s="43" t="str">
        <f>IFERROR(IF(AND(BoM_Griptel[[#This Row],[ACT_Qty]]&lt;&gt;"",BoM_Griptel[[#This Row],[Currency]]="EUR"),BoM_Griptel[[#This Row],[ACT_Qty]]*BoM_Griptel[[#This Row],[Unit Price]],""),"")</f>
        <v/>
      </c>
      <c r="T586" s="186" t="s">
        <v>1802</v>
      </c>
      <c r="U586" s="46"/>
      <c r="V586" s="46"/>
      <c r="W586" s="146"/>
    </row>
    <row r="587" spans="1:23" ht="15" customHeight="1">
      <c r="A587" s="143" t="str">
        <f t="shared" si="16"/>
        <v>AKH12345</v>
      </c>
      <c r="B587" s="144" t="s">
        <v>2974</v>
      </c>
      <c r="C587" s="143" t="s">
        <v>2975</v>
      </c>
      <c r="D587" s="105"/>
      <c r="E587" s="106"/>
      <c r="F587" s="105"/>
      <c r="G587" s="106"/>
      <c r="H587" s="175"/>
      <c r="I587" s="176" t="s">
        <v>847</v>
      </c>
      <c r="J587" s="176" t="s">
        <v>2948</v>
      </c>
      <c r="K587" s="176" t="s">
        <v>1235</v>
      </c>
      <c r="L587" s="145" t="s">
        <v>1806</v>
      </c>
      <c r="M587" s="45" t="str">
        <f t="shared" si="17"/>
        <v>OneCo Networks AS</v>
      </c>
      <c r="N587" s="40" t="str">
        <f ca="1">IFERROR(
VLOOKUP(BoM_Griptel[[#This Row],[Product code]],
IF(AND((BoQ!$N$3&lt;&gt;""),OR(BoM_Griptel[[#This Row],[Vendor]]="Griptel",BoM_Griptel[[#This Row],[Vendor]]="Solar")),INDIRECT(Aux!$A$1)),4,FALSE),"")</f>
        <v/>
      </c>
      <c r="O587" s="169" t="s">
        <v>1807</v>
      </c>
      <c r="P587" s="41" t="str">
        <f>IFERROR(IF(AND(BoM_Griptel[[#This Row],[Quantity]]&lt;&gt;"",BoM_Griptel[[#This Row],[Currency]]="NOK"),BoM_Griptel[[#This Row],[Quantity]]*BoM_Griptel[[#This Row],[Unit Price]],""),"")</f>
        <v/>
      </c>
      <c r="Q587" s="41" t="str">
        <f>IFERROR(IF(AND(BoM_Griptel[[#This Row],[ACT_Qty]]&lt;&gt;"",BoM_Griptel[[#This Row],[Currency]]="NOK"),BoM_Griptel[[#This Row],[ACT_Qty]]*BoM_Griptel[[#This Row],[Unit Price]],""),"")</f>
        <v/>
      </c>
      <c r="R587" s="41" t="str">
        <f>IFERROR(IF(AND(BoM_Griptel[[#This Row],[Quantity]]&lt;&gt;"",BoM_Griptel[[#This Row],[Currency]]="EUR"),BoM_Griptel[[#This Row],[Quantity]]*BoM_Griptel[[#This Row],[Unit Price]],""),"")</f>
        <v/>
      </c>
      <c r="S587" s="41" t="str">
        <f>IFERROR(IF(AND(BoM_Griptel[[#This Row],[ACT_Qty]]&lt;&gt;"",BoM_Griptel[[#This Row],[Currency]]="EUR"),BoM_Griptel[[#This Row],[ACT_Qty]]*BoM_Griptel[[#This Row],[Unit Price]],""),"")</f>
        <v/>
      </c>
      <c r="T587" s="185" t="s">
        <v>1802</v>
      </c>
      <c r="U587" s="45"/>
      <c r="V587" s="45"/>
      <c r="W587" s="143"/>
    </row>
    <row r="588" spans="1:23" ht="15" customHeight="1">
      <c r="A588" s="146" t="str">
        <f t="shared" si="16"/>
        <v>AKH12345</v>
      </c>
      <c r="B588" s="147" t="s">
        <v>2976</v>
      </c>
      <c r="C588" s="146" t="s">
        <v>2977</v>
      </c>
      <c r="D588" s="68"/>
      <c r="E588" s="89"/>
      <c r="F588" s="68"/>
      <c r="G588" s="89"/>
      <c r="H588" s="177"/>
      <c r="I588" s="178" t="s">
        <v>847</v>
      </c>
      <c r="J588" s="178" t="s">
        <v>2948</v>
      </c>
      <c r="K588" s="178" t="s">
        <v>1235</v>
      </c>
      <c r="L588" s="148" t="s">
        <v>1806</v>
      </c>
      <c r="M588" s="46" t="str">
        <f t="shared" si="17"/>
        <v>OneCo Networks AS</v>
      </c>
      <c r="N588" s="42" t="str">
        <f ca="1">IFERROR(
VLOOKUP(BoM_Griptel[[#This Row],[Product code]],
IF(AND((BoQ!$N$3&lt;&gt;""),OR(BoM_Griptel[[#This Row],[Vendor]]="Griptel",BoM_Griptel[[#This Row],[Vendor]]="Solar")),INDIRECT(Aux!$A$1)),4,FALSE),"")</f>
        <v/>
      </c>
      <c r="O588" s="170" t="s">
        <v>1807</v>
      </c>
      <c r="P588" s="43" t="str">
        <f>IFERROR(IF(AND(BoM_Griptel[[#This Row],[Quantity]]&lt;&gt;"",BoM_Griptel[[#This Row],[Currency]]="NOK"),BoM_Griptel[[#This Row],[Quantity]]*BoM_Griptel[[#This Row],[Unit Price]],""),"")</f>
        <v/>
      </c>
      <c r="Q588" s="43" t="str">
        <f>IFERROR(IF(AND(BoM_Griptel[[#This Row],[ACT_Qty]]&lt;&gt;"",BoM_Griptel[[#This Row],[Currency]]="NOK"),BoM_Griptel[[#This Row],[ACT_Qty]]*BoM_Griptel[[#This Row],[Unit Price]],""),"")</f>
        <v/>
      </c>
      <c r="R588" s="43" t="str">
        <f>IFERROR(IF(AND(BoM_Griptel[[#This Row],[Quantity]]&lt;&gt;"",BoM_Griptel[[#This Row],[Currency]]="EUR"),BoM_Griptel[[#This Row],[Quantity]]*BoM_Griptel[[#This Row],[Unit Price]],""),"")</f>
        <v/>
      </c>
      <c r="S588" s="43" t="str">
        <f>IFERROR(IF(AND(BoM_Griptel[[#This Row],[ACT_Qty]]&lt;&gt;"",BoM_Griptel[[#This Row],[Currency]]="EUR"),BoM_Griptel[[#This Row],[ACT_Qty]]*BoM_Griptel[[#This Row],[Unit Price]],""),"")</f>
        <v/>
      </c>
      <c r="T588" s="186" t="s">
        <v>1802</v>
      </c>
      <c r="U588" s="46"/>
      <c r="V588" s="46"/>
      <c r="W588" s="146"/>
    </row>
    <row r="589" spans="1:23" ht="15" customHeight="1">
      <c r="A589" s="143" t="str">
        <f t="shared" si="16"/>
        <v>AKH12345</v>
      </c>
      <c r="B589" s="144" t="s">
        <v>2978</v>
      </c>
      <c r="C589" s="143" t="s">
        <v>2979</v>
      </c>
      <c r="D589" s="105"/>
      <c r="E589" s="106"/>
      <c r="F589" s="105"/>
      <c r="G589" s="106"/>
      <c r="H589" s="175"/>
      <c r="I589" s="176" t="s">
        <v>847</v>
      </c>
      <c r="J589" s="176" t="s">
        <v>2951</v>
      </c>
      <c r="K589" s="176" t="s">
        <v>1235</v>
      </c>
      <c r="L589" s="145" t="s">
        <v>1806</v>
      </c>
      <c r="M589" s="45" t="str">
        <f t="shared" si="17"/>
        <v>OneCo Networks AS</v>
      </c>
      <c r="N589" s="40" t="str">
        <f ca="1">IFERROR(
VLOOKUP(BoM_Griptel[[#This Row],[Product code]],
IF(AND((BoQ!$N$3&lt;&gt;""),OR(BoM_Griptel[[#This Row],[Vendor]]="Griptel",BoM_Griptel[[#This Row],[Vendor]]="Solar")),INDIRECT(Aux!$A$1)),4,FALSE),"")</f>
        <v/>
      </c>
      <c r="O589" s="169" t="s">
        <v>1807</v>
      </c>
      <c r="P589" s="41" t="str">
        <f>IFERROR(IF(AND(BoM_Griptel[[#This Row],[Quantity]]&lt;&gt;"",BoM_Griptel[[#This Row],[Currency]]="NOK"),BoM_Griptel[[#This Row],[Quantity]]*BoM_Griptel[[#This Row],[Unit Price]],""),"")</f>
        <v/>
      </c>
      <c r="Q589" s="41" t="str">
        <f>IFERROR(IF(AND(BoM_Griptel[[#This Row],[ACT_Qty]]&lt;&gt;"",BoM_Griptel[[#This Row],[Currency]]="NOK"),BoM_Griptel[[#This Row],[ACT_Qty]]*BoM_Griptel[[#This Row],[Unit Price]],""),"")</f>
        <v/>
      </c>
      <c r="R589" s="41" t="str">
        <f>IFERROR(IF(AND(BoM_Griptel[[#This Row],[Quantity]]&lt;&gt;"",BoM_Griptel[[#This Row],[Currency]]="EUR"),BoM_Griptel[[#This Row],[Quantity]]*BoM_Griptel[[#This Row],[Unit Price]],""),"")</f>
        <v/>
      </c>
      <c r="S589" s="41" t="str">
        <f>IFERROR(IF(AND(BoM_Griptel[[#This Row],[ACT_Qty]]&lt;&gt;"",BoM_Griptel[[#This Row],[Currency]]="EUR"),BoM_Griptel[[#This Row],[ACT_Qty]]*BoM_Griptel[[#This Row],[Unit Price]],""),"")</f>
        <v/>
      </c>
      <c r="T589" s="185" t="s">
        <v>1802</v>
      </c>
      <c r="U589" s="45"/>
      <c r="V589" s="45"/>
      <c r="W589" s="143"/>
    </row>
    <row r="590" spans="1:23" ht="15" customHeight="1">
      <c r="A590" s="146" t="str">
        <f t="shared" ref="A590:A653" si="18">IF($C$4&lt;&gt;"",$C$4,"")</f>
        <v>AKH12345</v>
      </c>
      <c r="B590" s="147" t="s">
        <v>2980</v>
      </c>
      <c r="C590" s="146" t="s">
        <v>2981</v>
      </c>
      <c r="D590" s="68"/>
      <c r="E590" s="89"/>
      <c r="F590" s="68"/>
      <c r="G590" s="89"/>
      <c r="H590" s="177"/>
      <c r="I590" s="178" t="s">
        <v>847</v>
      </c>
      <c r="J590" s="178" t="s">
        <v>2948</v>
      </c>
      <c r="K590" s="178" t="s">
        <v>1235</v>
      </c>
      <c r="L590" s="148" t="s">
        <v>1806</v>
      </c>
      <c r="M590" s="46" t="str">
        <f t="shared" si="17"/>
        <v>OneCo Networks AS</v>
      </c>
      <c r="N590" s="42" t="str">
        <f ca="1">IFERROR(
VLOOKUP(BoM_Griptel[[#This Row],[Product code]],
IF(AND((BoQ!$N$3&lt;&gt;""),OR(BoM_Griptel[[#This Row],[Vendor]]="Griptel",BoM_Griptel[[#This Row],[Vendor]]="Solar")),INDIRECT(Aux!$A$1)),4,FALSE),"")</f>
        <v/>
      </c>
      <c r="O590" s="170" t="s">
        <v>1807</v>
      </c>
      <c r="P590" s="43" t="str">
        <f>IFERROR(IF(AND(BoM_Griptel[[#This Row],[Quantity]]&lt;&gt;"",BoM_Griptel[[#This Row],[Currency]]="NOK"),BoM_Griptel[[#This Row],[Quantity]]*BoM_Griptel[[#This Row],[Unit Price]],""),"")</f>
        <v/>
      </c>
      <c r="Q590" s="43" t="str">
        <f>IFERROR(IF(AND(BoM_Griptel[[#This Row],[ACT_Qty]]&lt;&gt;"",BoM_Griptel[[#This Row],[Currency]]="NOK"),BoM_Griptel[[#This Row],[ACT_Qty]]*BoM_Griptel[[#This Row],[Unit Price]],""),"")</f>
        <v/>
      </c>
      <c r="R590" s="43" t="str">
        <f>IFERROR(IF(AND(BoM_Griptel[[#This Row],[Quantity]]&lt;&gt;"",BoM_Griptel[[#This Row],[Currency]]="EUR"),BoM_Griptel[[#This Row],[Quantity]]*BoM_Griptel[[#This Row],[Unit Price]],""),"")</f>
        <v/>
      </c>
      <c r="S590" s="43" t="str">
        <f>IFERROR(IF(AND(BoM_Griptel[[#This Row],[ACT_Qty]]&lt;&gt;"",BoM_Griptel[[#This Row],[Currency]]="EUR"),BoM_Griptel[[#This Row],[ACT_Qty]]*BoM_Griptel[[#This Row],[Unit Price]],""),"")</f>
        <v/>
      </c>
      <c r="T590" s="186" t="s">
        <v>1802</v>
      </c>
      <c r="U590" s="46"/>
      <c r="V590" s="46"/>
      <c r="W590" s="146"/>
    </row>
    <row r="591" spans="1:23" ht="15" customHeight="1">
      <c r="A591" s="143" t="str">
        <f t="shared" si="18"/>
        <v>AKH12345</v>
      </c>
      <c r="B591" s="144" t="s">
        <v>2982</v>
      </c>
      <c r="C591" s="143" t="s">
        <v>2983</v>
      </c>
      <c r="D591" s="105"/>
      <c r="E591" s="106"/>
      <c r="F591" s="105"/>
      <c r="G591" s="106"/>
      <c r="H591" s="175"/>
      <c r="I591" s="176" t="s">
        <v>847</v>
      </c>
      <c r="J591" s="176" t="s">
        <v>2951</v>
      </c>
      <c r="K591" s="176" t="s">
        <v>1235</v>
      </c>
      <c r="L591" s="145" t="s">
        <v>1806</v>
      </c>
      <c r="M591" s="45" t="str">
        <f t="shared" si="17"/>
        <v>OneCo Networks AS</v>
      </c>
      <c r="N591" s="40" t="str">
        <f ca="1">IFERROR(
VLOOKUP(BoM_Griptel[[#This Row],[Product code]],
IF(AND((BoQ!$N$3&lt;&gt;""),OR(BoM_Griptel[[#This Row],[Vendor]]="Griptel",BoM_Griptel[[#This Row],[Vendor]]="Solar")),INDIRECT(Aux!$A$1)),4,FALSE),"")</f>
        <v/>
      </c>
      <c r="O591" s="169" t="s">
        <v>1807</v>
      </c>
      <c r="P591" s="41" t="str">
        <f>IFERROR(IF(AND(BoM_Griptel[[#This Row],[Quantity]]&lt;&gt;"",BoM_Griptel[[#This Row],[Currency]]="NOK"),BoM_Griptel[[#This Row],[Quantity]]*BoM_Griptel[[#This Row],[Unit Price]],""),"")</f>
        <v/>
      </c>
      <c r="Q591" s="41" t="str">
        <f>IFERROR(IF(AND(BoM_Griptel[[#This Row],[ACT_Qty]]&lt;&gt;"",BoM_Griptel[[#This Row],[Currency]]="NOK"),BoM_Griptel[[#This Row],[ACT_Qty]]*BoM_Griptel[[#This Row],[Unit Price]],""),"")</f>
        <v/>
      </c>
      <c r="R591" s="41" t="str">
        <f>IFERROR(IF(AND(BoM_Griptel[[#This Row],[Quantity]]&lt;&gt;"",BoM_Griptel[[#This Row],[Currency]]="EUR"),BoM_Griptel[[#This Row],[Quantity]]*BoM_Griptel[[#This Row],[Unit Price]],""),"")</f>
        <v/>
      </c>
      <c r="S591" s="41" t="str">
        <f>IFERROR(IF(AND(BoM_Griptel[[#This Row],[ACT_Qty]]&lt;&gt;"",BoM_Griptel[[#This Row],[Currency]]="EUR"),BoM_Griptel[[#This Row],[ACT_Qty]]*BoM_Griptel[[#This Row],[Unit Price]],""),"")</f>
        <v/>
      </c>
      <c r="T591" s="185" t="s">
        <v>1802</v>
      </c>
      <c r="U591" s="45"/>
      <c r="V591" s="45"/>
      <c r="W591" s="143"/>
    </row>
    <row r="592" spans="1:23" ht="15" customHeight="1">
      <c r="A592" s="146" t="str">
        <f t="shared" si="18"/>
        <v>AKH12345</v>
      </c>
      <c r="B592" s="147" t="s">
        <v>2984</v>
      </c>
      <c r="C592" s="146" t="s">
        <v>2985</v>
      </c>
      <c r="D592" s="68"/>
      <c r="E592" s="89"/>
      <c r="F592" s="68"/>
      <c r="G592" s="89"/>
      <c r="H592" s="177"/>
      <c r="I592" s="178" t="s">
        <v>847</v>
      </c>
      <c r="J592" s="178" t="s">
        <v>2951</v>
      </c>
      <c r="K592" s="178" t="s">
        <v>1235</v>
      </c>
      <c r="L592" s="148" t="s">
        <v>1806</v>
      </c>
      <c r="M592" s="46" t="str">
        <f t="shared" si="17"/>
        <v>OneCo Networks AS</v>
      </c>
      <c r="N592" s="42" t="str">
        <f ca="1">IFERROR(
VLOOKUP(BoM_Griptel[[#This Row],[Product code]],
IF(AND((BoQ!$N$3&lt;&gt;""),OR(BoM_Griptel[[#This Row],[Vendor]]="Griptel",BoM_Griptel[[#This Row],[Vendor]]="Solar")),INDIRECT(Aux!$A$1)),4,FALSE),"")</f>
        <v/>
      </c>
      <c r="O592" s="170" t="s">
        <v>1807</v>
      </c>
      <c r="P592" s="43" t="str">
        <f>IFERROR(IF(AND(BoM_Griptel[[#This Row],[Quantity]]&lt;&gt;"",BoM_Griptel[[#This Row],[Currency]]="NOK"),BoM_Griptel[[#This Row],[Quantity]]*BoM_Griptel[[#This Row],[Unit Price]],""),"")</f>
        <v/>
      </c>
      <c r="Q592" s="43" t="str">
        <f>IFERROR(IF(AND(BoM_Griptel[[#This Row],[ACT_Qty]]&lt;&gt;"",BoM_Griptel[[#This Row],[Currency]]="NOK"),BoM_Griptel[[#This Row],[ACT_Qty]]*BoM_Griptel[[#This Row],[Unit Price]],""),"")</f>
        <v/>
      </c>
      <c r="R592" s="43" t="str">
        <f>IFERROR(IF(AND(BoM_Griptel[[#This Row],[Quantity]]&lt;&gt;"",BoM_Griptel[[#This Row],[Currency]]="EUR"),BoM_Griptel[[#This Row],[Quantity]]*BoM_Griptel[[#This Row],[Unit Price]],""),"")</f>
        <v/>
      </c>
      <c r="S592" s="43" t="str">
        <f>IFERROR(IF(AND(BoM_Griptel[[#This Row],[ACT_Qty]]&lt;&gt;"",BoM_Griptel[[#This Row],[Currency]]="EUR"),BoM_Griptel[[#This Row],[ACT_Qty]]*BoM_Griptel[[#This Row],[Unit Price]],""),"")</f>
        <v/>
      </c>
      <c r="T592" s="186" t="s">
        <v>1802</v>
      </c>
      <c r="U592" s="46"/>
      <c r="V592" s="46"/>
      <c r="W592" s="146"/>
    </row>
    <row r="593" spans="1:23" ht="15" customHeight="1">
      <c r="A593" s="143" t="str">
        <f t="shared" si="18"/>
        <v>AKH12345</v>
      </c>
      <c r="B593" s="144" t="s">
        <v>2986</v>
      </c>
      <c r="C593" s="143" t="s">
        <v>2987</v>
      </c>
      <c r="D593" s="105"/>
      <c r="E593" s="106"/>
      <c r="F593" s="105"/>
      <c r="G593" s="106"/>
      <c r="H593" s="175"/>
      <c r="I593" s="176" t="s">
        <v>847</v>
      </c>
      <c r="J593" s="176" t="s">
        <v>2951</v>
      </c>
      <c r="K593" s="176" t="s">
        <v>1235</v>
      </c>
      <c r="L593" s="145" t="s">
        <v>1806</v>
      </c>
      <c r="M593" s="45" t="str">
        <f t="shared" si="17"/>
        <v>OneCo Networks AS</v>
      </c>
      <c r="N593" s="40" t="str">
        <f ca="1">IFERROR(
VLOOKUP(BoM_Griptel[[#This Row],[Product code]],
IF(AND((BoQ!$N$3&lt;&gt;""),OR(BoM_Griptel[[#This Row],[Vendor]]="Griptel",BoM_Griptel[[#This Row],[Vendor]]="Solar")),INDIRECT(Aux!$A$1)),4,FALSE),"")</f>
        <v/>
      </c>
      <c r="O593" s="169" t="s">
        <v>1807</v>
      </c>
      <c r="P593" s="41" t="str">
        <f>IFERROR(IF(AND(BoM_Griptel[[#This Row],[Quantity]]&lt;&gt;"",BoM_Griptel[[#This Row],[Currency]]="NOK"),BoM_Griptel[[#This Row],[Quantity]]*BoM_Griptel[[#This Row],[Unit Price]],""),"")</f>
        <v/>
      </c>
      <c r="Q593" s="41" t="str">
        <f>IFERROR(IF(AND(BoM_Griptel[[#This Row],[ACT_Qty]]&lt;&gt;"",BoM_Griptel[[#This Row],[Currency]]="NOK"),BoM_Griptel[[#This Row],[ACT_Qty]]*BoM_Griptel[[#This Row],[Unit Price]],""),"")</f>
        <v/>
      </c>
      <c r="R593" s="41" t="str">
        <f>IFERROR(IF(AND(BoM_Griptel[[#This Row],[Quantity]]&lt;&gt;"",BoM_Griptel[[#This Row],[Currency]]="EUR"),BoM_Griptel[[#This Row],[Quantity]]*BoM_Griptel[[#This Row],[Unit Price]],""),"")</f>
        <v/>
      </c>
      <c r="S593" s="41" t="str">
        <f>IFERROR(IF(AND(BoM_Griptel[[#This Row],[ACT_Qty]]&lt;&gt;"",BoM_Griptel[[#This Row],[Currency]]="EUR"),BoM_Griptel[[#This Row],[ACT_Qty]]*BoM_Griptel[[#This Row],[Unit Price]],""),"")</f>
        <v/>
      </c>
      <c r="T593" s="185" t="s">
        <v>1802</v>
      </c>
      <c r="U593" s="45"/>
      <c r="V593" s="45"/>
      <c r="W593" s="143"/>
    </row>
    <row r="594" spans="1:23" ht="15" customHeight="1">
      <c r="A594" s="146" t="str">
        <f t="shared" si="18"/>
        <v>AKH12345</v>
      </c>
      <c r="B594" s="147" t="s">
        <v>2988</v>
      </c>
      <c r="C594" s="146" t="s">
        <v>2989</v>
      </c>
      <c r="D594" s="68"/>
      <c r="E594" s="89"/>
      <c r="F594" s="68"/>
      <c r="G594" s="89"/>
      <c r="H594" s="177"/>
      <c r="I594" s="178" t="s">
        <v>847</v>
      </c>
      <c r="J594" s="178" t="s">
        <v>2951</v>
      </c>
      <c r="K594" s="178" t="s">
        <v>1235</v>
      </c>
      <c r="L594" s="148" t="s">
        <v>1806</v>
      </c>
      <c r="M594" s="46" t="str">
        <f t="shared" si="17"/>
        <v>OneCo Networks AS</v>
      </c>
      <c r="N594" s="42" t="str">
        <f ca="1">IFERROR(
VLOOKUP(BoM_Griptel[[#This Row],[Product code]],
IF(AND((BoQ!$N$3&lt;&gt;""),OR(BoM_Griptel[[#This Row],[Vendor]]="Griptel",BoM_Griptel[[#This Row],[Vendor]]="Solar")),INDIRECT(Aux!$A$1)),4,FALSE),"")</f>
        <v/>
      </c>
      <c r="O594" s="170" t="s">
        <v>1807</v>
      </c>
      <c r="P594" s="43" t="str">
        <f>IFERROR(IF(AND(BoM_Griptel[[#This Row],[Quantity]]&lt;&gt;"",BoM_Griptel[[#This Row],[Currency]]="NOK"),BoM_Griptel[[#This Row],[Quantity]]*BoM_Griptel[[#This Row],[Unit Price]],""),"")</f>
        <v/>
      </c>
      <c r="Q594" s="43" t="str">
        <f>IFERROR(IF(AND(BoM_Griptel[[#This Row],[ACT_Qty]]&lt;&gt;"",BoM_Griptel[[#This Row],[Currency]]="NOK"),BoM_Griptel[[#This Row],[ACT_Qty]]*BoM_Griptel[[#This Row],[Unit Price]],""),"")</f>
        <v/>
      </c>
      <c r="R594" s="43" t="str">
        <f>IFERROR(IF(AND(BoM_Griptel[[#This Row],[Quantity]]&lt;&gt;"",BoM_Griptel[[#This Row],[Currency]]="EUR"),BoM_Griptel[[#This Row],[Quantity]]*BoM_Griptel[[#This Row],[Unit Price]],""),"")</f>
        <v/>
      </c>
      <c r="S594" s="43" t="str">
        <f>IFERROR(IF(AND(BoM_Griptel[[#This Row],[ACT_Qty]]&lt;&gt;"",BoM_Griptel[[#This Row],[Currency]]="EUR"),BoM_Griptel[[#This Row],[ACT_Qty]]*BoM_Griptel[[#This Row],[Unit Price]],""),"")</f>
        <v/>
      </c>
      <c r="T594" s="186" t="s">
        <v>1802</v>
      </c>
      <c r="U594" s="46"/>
      <c r="V594" s="46"/>
      <c r="W594" s="146"/>
    </row>
    <row r="595" spans="1:23" ht="15" customHeight="1">
      <c r="A595" s="143" t="str">
        <f t="shared" si="18"/>
        <v>AKH12345</v>
      </c>
      <c r="B595" s="144" t="s">
        <v>2990</v>
      </c>
      <c r="C595" s="143" t="s">
        <v>2991</v>
      </c>
      <c r="D595" s="105"/>
      <c r="E595" s="106"/>
      <c r="F595" s="105"/>
      <c r="G595" s="106"/>
      <c r="H595" s="175"/>
      <c r="I595" s="176" t="s">
        <v>847</v>
      </c>
      <c r="J595" s="176" t="s">
        <v>2948</v>
      </c>
      <c r="K595" s="176" t="s">
        <v>1235</v>
      </c>
      <c r="L595" s="145" t="s">
        <v>1806</v>
      </c>
      <c r="M595" s="45" t="str">
        <f t="shared" ref="M595:M658" si="19">IF($C$3&lt;&gt;"",$C$3,"")</f>
        <v>OneCo Networks AS</v>
      </c>
      <c r="N595" s="40" t="str">
        <f ca="1">IFERROR(
VLOOKUP(BoM_Griptel[[#This Row],[Product code]],
IF(AND((BoQ!$N$3&lt;&gt;""),OR(BoM_Griptel[[#This Row],[Vendor]]="Griptel",BoM_Griptel[[#This Row],[Vendor]]="Solar")),INDIRECT(Aux!$A$1)),4,FALSE),"")</f>
        <v/>
      </c>
      <c r="O595" s="169" t="s">
        <v>1807</v>
      </c>
      <c r="P595" s="41" t="str">
        <f>IFERROR(IF(AND(BoM_Griptel[[#This Row],[Quantity]]&lt;&gt;"",BoM_Griptel[[#This Row],[Currency]]="NOK"),BoM_Griptel[[#This Row],[Quantity]]*BoM_Griptel[[#This Row],[Unit Price]],""),"")</f>
        <v/>
      </c>
      <c r="Q595" s="41" t="str">
        <f>IFERROR(IF(AND(BoM_Griptel[[#This Row],[ACT_Qty]]&lt;&gt;"",BoM_Griptel[[#This Row],[Currency]]="NOK"),BoM_Griptel[[#This Row],[ACT_Qty]]*BoM_Griptel[[#This Row],[Unit Price]],""),"")</f>
        <v/>
      </c>
      <c r="R595" s="41" t="str">
        <f>IFERROR(IF(AND(BoM_Griptel[[#This Row],[Quantity]]&lt;&gt;"",BoM_Griptel[[#This Row],[Currency]]="EUR"),BoM_Griptel[[#This Row],[Quantity]]*BoM_Griptel[[#This Row],[Unit Price]],""),"")</f>
        <v/>
      </c>
      <c r="S595" s="41" t="str">
        <f>IFERROR(IF(AND(BoM_Griptel[[#This Row],[ACT_Qty]]&lt;&gt;"",BoM_Griptel[[#This Row],[Currency]]="EUR"),BoM_Griptel[[#This Row],[ACT_Qty]]*BoM_Griptel[[#This Row],[Unit Price]],""),"")</f>
        <v/>
      </c>
      <c r="T595" s="185" t="s">
        <v>1802</v>
      </c>
      <c r="U595" s="45"/>
      <c r="V595" s="45"/>
      <c r="W595" s="143"/>
    </row>
    <row r="596" spans="1:23" ht="15" customHeight="1">
      <c r="A596" s="146" t="str">
        <f t="shared" si="18"/>
        <v>AKH12345</v>
      </c>
      <c r="B596" s="147" t="s">
        <v>2992</v>
      </c>
      <c r="C596" s="146" t="s">
        <v>2993</v>
      </c>
      <c r="D596" s="68"/>
      <c r="E596" s="89"/>
      <c r="F596" s="68"/>
      <c r="G596" s="89"/>
      <c r="H596" s="177"/>
      <c r="I596" s="178" t="s">
        <v>847</v>
      </c>
      <c r="J596" s="178" t="s">
        <v>2948</v>
      </c>
      <c r="K596" s="178" t="s">
        <v>1235</v>
      </c>
      <c r="L596" s="148" t="s">
        <v>1806</v>
      </c>
      <c r="M596" s="46" t="str">
        <f t="shared" si="19"/>
        <v>OneCo Networks AS</v>
      </c>
      <c r="N596" s="42" t="str">
        <f ca="1">IFERROR(
VLOOKUP(BoM_Griptel[[#This Row],[Product code]],
IF(AND((BoQ!$N$3&lt;&gt;""),OR(BoM_Griptel[[#This Row],[Vendor]]="Griptel",BoM_Griptel[[#This Row],[Vendor]]="Solar")),INDIRECT(Aux!$A$1)),4,FALSE),"")</f>
        <v/>
      </c>
      <c r="O596" s="170" t="s">
        <v>1807</v>
      </c>
      <c r="P596" s="43" t="str">
        <f>IFERROR(IF(AND(BoM_Griptel[[#This Row],[Quantity]]&lt;&gt;"",BoM_Griptel[[#This Row],[Currency]]="NOK"),BoM_Griptel[[#This Row],[Quantity]]*BoM_Griptel[[#This Row],[Unit Price]],""),"")</f>
        <v/>
      </c>
      <c r="Q596" s="43" t="str">
        <f>IFERROR(IF(AND(BoM_Griptel[[#This Row],[ACT_Qty]]&lt;&gt;"",BoM_Griptel[[#This Row],[Currency]]="NOK"),BoM_Griptel[[#This Row],[ACT_Qty]]*BoM_Griptel[[#This Row],[Unit Price]],""),"")</f>
        <v/>
      </c>
      <c r="R596" s="43" t="str">
        <f>IFERROR(IF(AND(BoM_Griptel[[#This Row],[Quantity]]&lt;&gt;"",BoM_Griptel[[#This Row],[Currency]]="EUR"),BoM_Griptel[[#This Row],[Quantity]]*BoM_Griptel[[#This Row],[Unit Price]],""),"")</f>
        <v/>
      </c>
      <c r="S596" s="43" t="str">
        <f>IFERROR(IF(AND(BoM_Griptel[[#This Row],[ACT_Qty]]&lt;&gt;"",BoM_Griptel[[#This Row],[Currency]]="EUR"),BoM_Griptel[[#This Row],[ACT_Qty]]*BoM_Griptel[[#This Row],[Unit Price]],""),"")</f>
        <v/>
      </c>
      <c r="T596" s="186" t="s">
        <v>1802</v>
      </c>
      <c r="U596" s="46"/>
      <c r="V596" s="46"/>
      <c r="W596" s="146"/>
    </row>
    <row r="597" spans="1:23" ht="15" customHeight="1">
      <c r="A597" s="143" t="str">
        <f t="shared" si="18"/>
        <v>AKH12345</v>
      </c>
      <c r="B597" s="144" t="s">
        <v>2994</v>
      </c>
      <c r="C597" s="143" t="s">
        <v>2995</v>
      </c>
      <c r="D597" s="105"/>
      <c r="E597" s="106"/>
      <c r="F597" s="105"/>
      <c r="G597" s="106"/>
      <c r="H597" s="175"/>
      <c r="I597" s="176" t="s">
        <v>847</v>
      </c>
      <c r="J597" s="176" t="s">
        <v>2951</v>
      </c>
      <c r="K597" s="176" t="s">
        <v>1235</v>
      </c>
      <c r="L597" s="145" t="s">
        <v>1806</v>
      </c>
      <c r="M597" s="45" t="str">
        <f t="shared" si="19"/>
        <v>OneCo Networks AS</v>
      </c>
      <c r="N597" s="40" t="str">
        <f ca="1">IFERROR(
VLOOKUP(BoM_Griptel[[#This Row],[Product code]],
IF(AND((BoQ!$N$3&lt;&gt;""),OR(BoM_Griptel[[#This Row],[Vendor]]="Griptel",BoM_Griptel[[#This Row],[Vendor]]="Solar")),INDIRECT(Aux!$A$1)),4,FALSE),"")</f>
        <v/>
      </c>
      <c r="O597" s="169" t="s">
        <v>1807</v>
      </c>
      <c r="P597" s="41" t="str">
        <f>IFERROR(IF(AND(BoM_Griptel[[#This Row],[Quantity]]&lt;&gt;"",BoM_Griptel[[#This Row],[Currency]]="NOK"),BoM_Griptel[[#This Row],[Quantity]]*BoM_Griptel[[#This Row],[Unit Price]],""),"")</f>
        <v/>
      </c>
      <c r="Q597" s="41" t="str">
        <f>IFERROR(IF(AND(BoM_Griptel[[#This Row],[ACT_Qty]]&lt;&gt;"",BoM_Griptel[[#This Row],[Currency]]="NOK"),BoM_Griptel[[#This Row],[ACT_Qty]]*BoM_Griptel[[#This Row],[Unit Price]],""),"")</f>
        <v/>
      </c>
      <c r="R597" s="41" t="str">
        <f>IFERROR(IF(AND(BoM_Griptel[[#This Row],[Quantity]]&lt;&gt;"",BoM_Griptel[[#This Row],[Currency]]="EUR"),BoM_Griptel[[#This Row],[Quantity]]*BoM_Griptel[[#This Row],[Unit Price]],""),"")</f>
        <v/>
      </c>
      <c r="S597" s="41" t="str">
        <f>IFERROR(IF(AND(BoM_Griptel[[#This Row],[ACT_Qty]]&lt;&gt;"",BoM_Griptel[[#This Row],[Currency]]="EUR"),BoM_Griptel[[#This Row],[ACT_Qty]]*BoM_Griptel[[#This Row],[Unit Price]],""),"")</f>
        <v/>
      </c>
      <c r="T597" s="185" t="s">
        <v>1802</v>
      </c>
      <c r="U597" s="45"/>
      <c r="V597" s="45"/>
      <c r="W597" s="143"/>
    </row>
    <row r="598" spans="1:23" ht="15" customHeight="1">
      <c r="A598" s="146" t="str">
        <f t="shared" si="18"/>
        <v>AKH12345</v>
      </c>
      <c r="B598" s="147" t="s">
        <v>2996</v>
      </c>
      <c r="C598" s="146" t="s">
        <v>2997</v>
      </c>
      <c r="D598" s="68"/>
      <c r="E598" s="89"/>
      <c r="F598" s="68"/>
      <c r="G598" s="89"/>
      <c r="H598" s="177"/>
      <c r="I598" s="178" t="s">
        <v>847</v>
      </c>
      <c r="J598" s="178" t="s">
        <v>2948</v>
      </c>
      <c r="K598" s="178" t="s">
        <v>1235</v>
      </c>
      <c r="L598" s="148" t="s">
        <v>1806</v>
      </c>
      <c r="M598" s="46" t="str">
        <f t="shared" si="19"/>
        <v>OneCo Networks AS</v>
      </c>
      <c r="N598" s="42" t="str">
        <f ca="1">IFERROR(
VLOOKUP(BoM_Griptel[[#This Row],[Product code]],
IF(AND((BoQ!$N$3&lt;&gt;""),OR(BoM_Griptel[[#This Row],[Vendor]]="Griptel",BoM_Griptel[[#This Row],[Vendor]]="Solar")),INDIRECT(Aux!$A$1)),4,FALSE),"")</f>
        <v/>
      </c>
      <c r="O598" s="170" t="s">
        <v>1807</v>
      </c>
      <c r="P598" s="43" t="str">
        <f>IFERROR(IF(AND(BoM_Griptel[[#This Row],[Quantity]]&lt;&gt;"",BoM_Griptel[[#This Row],[Currency]]="NOK"),BoM_Griptel[[#This Row],[Quantity]]*BoM_Griptel[[#This Row],[Unit Price]],""),"")</f>
        <v/>
      </c>
      <c r="Q598" s="43" t="str">
        <f>IFERROR(IF(AND(BoM_Griptel[[#This Row],[ACT_Qty]]&lt;&gt;"",BoM_Griptel[[#This Row],[Currency]]="NOK"),BoM_Griptel[[#This Row],[ACT_Qty]]*BoM_Griptel[[#This Row],[Unit Price]],""),"")</f>
        <v/>
      </c>
      <c r="R598" s="43" t="str">
        <f>IFERROR(IF(AND(BoM_Griptel[[#This Row],[Quantity]]&lt;&gt;"",BoM_Griptel[[#This Row],[Currency]]="EUR"),BoM_Griptel[[#This Row],[Quantity]]*BoM_Griptel[[#This Row],[Unit Price]],""),"")</f>
        <v/>
      </c>
      <c r="S598" s="43" t="str">
        <f>IFERROR(IF(AND(BoM_Griptel[[#This Row],[ACT_Qty]]&lt;&gt;"",BoM_Griptel[[#This Row],[Currency]]="EUR"),BoM_Griptel[[#This Row],[ACT_Qty]]*BoM_Griptel[[#This Row],[Unit Price]],""),"")</f>
        <v/>
      </c>
      <c r="T598" s="186" t="s">
        <v>1802</v>
      </c>
      <c r="U598" s="46"/>
      <c r="V598" s="46"/>
      <c r="W598" s="146"/>
    </row>
    <row r="599" spans="1:23" ht="15" customHeight="1">
      <c r="A599" s="143" t="str">
        <f t="shared" si="18"/>
        <v>AKH12345</v>
      </c>
      <c r="B599" s="144" t="s">
        <v>2998</v>
      </c>
      <c r="C599" s="143" t="s">
        <v>2999</v>
      </c>
      <c r="D599" s="105"/>
      <c r="E599" s="106"/>
      <c r="F599" s="105"/>
      <c r="G599" s="106"/>
      <c r="H599" s="175"/>
      <c r="I599" s="176" t="s">
        <v>847</v>
      </c>
      <c r="J599" s="176" t="s">
        <v>2948</v>
      </c>
      <c r="K599" s="176" t="s">
        <v>1235</v>
      </c>
      <c r="L599" s="145" t="s">
        <v>1806</v>
      </c>
      <c r="M599" s="45" t="str">
        <f t="shared" si="19"/>
        <v>OneCo Networks AS</v>
      </c>
      <c r="N599" s="40" t="str">
        <f ca="1">IFERROR(
VLOOKUP(BoM_Griptel[[#This Row],[Product code]],
IF(AND((BoQ!$N$3&lt;&gt;""),OR(BoM_Griptel[[#This Row],[Vendor]]="Griptel",BoM_Griptel[[#This Row],[Vendor]]="Solar")),INDIRECT(Aux!$A$1)),4,FALSE),"")</f>
        <v/>
      </c>
      <c r="O599" s="169" t="s">
        <v>1807</v>
      </c>
      <c r="P599" s="41" t="str">
        <f>IFERROR(IF(AND(BoM_Griptel[[#This Row],[Quantity]]&lt;&gt;"",BoM_Griptel[[#This Row],[Currency]]="NOK"),BoM_Griptel[[#This Row],[Quantity]]*BoM_Griptel[[#This Row],[Unit Price]],""),"")</f>
        <v/>
      </c>
      <c r="Q599" s="41" t="str">
        <f>IFERROR(IF(AND(BoM_Griptel[[#This Row],[ACT_Qty]]&lt;&gt;"",BoM_Griptel[[#This Row],[Currency]]="NOK"),BoM_Griptel[[#This Row],[ACT_Qty]]*BoM_Griptel[[#This Row],[Unit Price]],""),"")</f>
        <v/>
      </c>
      <c r="R599" s="41" t="str">
        <f>IFERROR(IF(AND(BoM_Griptel[[#This Row],[Quantity]]&lt;&gt;"",BoM_Griptel[[#This Row],[Currency]]="EUR"),BoM_Griptel[[#This Row],[Quantity]]*BoM_Griptel[[#This Row],[Unit Price]],""),"")</f>
        <v/>
      </c>
      <c r="S599" s="41" t="str">
        <f>IFERROR(IF(AND(BoM_Griptel[[#This Row],[ACT_Qty]]&lt;&gt;"",BoM_Griptel[[#This Row],[Currency]]="EUR"),BoM_Griptel[[#This Row],[ACT_Qty]]*BoM_Griptel[[#This Row],[Unit Price]],""),"")</f>
        <v/>
      </c>
      <c r="T599" s="185" t="s">
        <v>1802</v>
      </c>
      <c r="U599" s="45"/>
      <c r="V599" s="45"/>
      <c r="W599" s="143"/>
    </row>
    <row r="600" spans="1:23" ht="15" customHeight="1">
      <c r="A600" s="146" t="str">
        <f t="shared" si="18"/>
        <v>AKH12345</v>
      </c>
      <c r="B600" s="147" t="s">
        <v>3000</v>
      </c>
      <c r="C600" s="146" t="s">
        <v>3001</v>
      </c>
      <c r="D600" s="68"/>
      <c r="E600" s="89"/>
      <c r="F600" s="68"/>
      <c r="G600" s="89"/>
      <c r="H600" s="177"/>
      <c r="I600" s="178" t="s">
        <v>847</v>
      </c>
      <c r="J600" s="178" t="s">
        <v>2940</v>
      </c>
      <c r="K600" s="178" t="s">
        <v>1235</v>
      </c>
      <c r="L600" s="148" t="s">
        <v>1806</v>
      </c>
      <c r="M600" s="46" t="str">
        <f t="shared" si="19"/>
        <v>OneCo Networks AS</v>
      </c>
      <c r="N600" s="42" t="str">
        <f ca="1">IFERROR(
VLOOKUP(BoM_Griptel[[#This Row],[Product code]],
IF(AND((BoQ!$N$3&lt;&gt;""),OR(BoM_Griptel[[#This Row],[Vendor]]="Griptel",BoM_Griptel[[#This Row],[Vendor]]="Solar")),INDIRECT(Aux!$A$1)),4,FALSE),"")</f>
        <v/>
      </c>
      <c r="O600" s="170" t="s">
        <v>1807</v>
      </c>
      <c r="P600" s="43" t="str">
        <f>IFERROR(IF(AND(BoM_Griptel[[#This Row],[Quantity]]&lt;&gt;"",BoM_Griptel[[#This Row],[Currency]]="NOK"),BoM_Griptel[[#This Row],[Quantity]]*BoM_Griptel[[#This Row],[Unit Price]],""),"")</f>
        <v/>
      </c>
      <c r="Q600" s="43" t="str">
        <f>IFERROR(IF(AND(BoM_Griptel[[#This Row],[ACT_Qty]]&lt;&gt;"",BoM_Griptel[[#This Row],[Currency]]="NOK"),BoM_Griptel[[#This Row],[ACT_Qty]]*BoM_Griptel[[#This Row],[Unit Price]],""),"")</f>
        <v/>
      </c>
      <c r="R600" s="43" t="str">
        <f>IFERROR(IF(AND(BoM_Griptel[[#This Row],[Quantity]]&lt;&gt;"",BoM_Griptel[[#This Row],[Currency]]="EUR"),BoM_Griptel[[#This Row],[Quantity]]*BoM_Griptel[[#This Row],[Unit Price]],""),"")</f>
        <v/>
      </c>
      <c r="S600" s="43" t="str">
        <f>IFERROR(IF(AND(BoM_Griptel[[#This Row],[ACT_Qty]]&lt;&gt;"",BoM_Griptel[[#This Row],[Currency]]="EUR"),BoM_Griptel[[#This Row],[ACT_Qty]]*BoM_Griptel[[#This Row],[Unit Price]],""),"")</f>
        <v/>
      </c>
      <c r="T600" s="186" t="s">
        <v>1802</v>
      </c>
      <c r="U600" s="46"/>
      <c r="V600" s="46"/>
      <c r="W600" s="146"/>
    </row>
    <row r="601" spans="1:23" ht="15" customHeight="1">
      <c r="A601" s="143" t="str">
        <f t="shared" si="18"/>
        <v>AKH12345</v>
      </c>
      <c r="B601" s="144" t="s">
        <v>3002</v>
      </c>
      <c r="C601" s="143" t="s">
        <v>3003</v>
      </c>
      <c r="D601" s="105"/>
      <c r="E601" s="106"/>
      <c r="F601" s="105"/>
      <c r="G601" s="106"/>
      <c r="H601" s="175"/>
      <c r="I601" s="176" t="s">
        <v>847</v>
      </c>
      <c r="J601" s="176" t="s">
        <v>2943</v>
      </c>
      <c r="K601" s="176" t="s">
        <v>1235</v>
      </c>
      <c r="L601" s="145" t="s">
        <v>1806</v>
      </c>
      <c r="M601" s="45" t="str">
        <f t="shared" si="19"/>
        <v>OneCo Networks AS</v>
      </c>
      <c r="N601" s="40" t="str">
        <f ca="1">IFERROR(
VLOOKUP(BoM_Griptel[[#This Row],[Product code]],
IF(AND((BoQ!$N$3&lt;&gt;""),OR(BoM_Griptel[[#This Row],[Vendor]]="Griptel",BoM_Griptel[[#This Row],[Vendor]]="Solar")),INDIRECT(Aux!$A$1)),4,FALSE),"")</f>
        <v/>
      </c>
      <c r="O601" s="169" t="s">
        <v>1807</v>
      </c>
      <c r="P601" s="41" t="str">
        <f>IFERROR(IF(AND(BoM_Griptel[[#This Row],[Quantity]]&lt;&gt;"",BoM_Griptel[[#This Row],[Currency]]="NOK"),BoM_Griptel[[#This Row],[Quantity]]*BoM_Griptel[[#This Row],[Unit Price]],""),"")</f>
        <v/>
      </c>
      <c r="Q601" s="41" t="str">
        <f>IFERROR(IF(AND(BoM_Griptel[[#This Row],[ACT_Qty]]&lt;&gt;"",BoM_Griptel[[#This Row],[Currency]]="NOK"),BoM_Griptel[[#This Row],[ACT_Qty]]*BoM_Griptel[[#This Row],[Unit Price]],""),"")</f>
        <v/>
      </c>
      <c r="R601" s="41" t="str">
        <f>IFERROR(IF(AND(BoM_Griptel[[#This Row],[Quantity]]&lt;&gt;"",BoM_Griptel[[#This Row],[Currency]]="EUR"),BoM_Griptel[[#This Row],[Quantity]]*BoM_Griptel[[#This Row],[Unit Price]],""),"")</f>
        <v/>
      </c>
      <c r="S601" s="41" t="str">
        <f>IFERROR(IF(AND(BoM_Griptel[[#This Row],[ACT_Qty]]&lt;&gt;"",BoM_Griptel[[#This Row],[Currency]]="EUR"),BoM_Griptel[[#This Row],[ACT_Qty]]*BoM_Griptel[[#This Row],[Unit Price]],""),"")</f>
        <v/>
      </c>
      <c r="T601" s="185" t="s">
        <v>1802</v>
      </c>
      <c r="U601" s="45"/>
      <c r="V601" s="45"/>
      <c r="W601" s="143"/>
    </row>
    <row r="602" spans="1:23" ht="15" customHeight="1">
      <c r="A602" s="146" t="str">
        <f t="shared" si="18"/>
        <v>AKH12345</v>
      </c>
      <c r="B602" s="147" t="s">
        <v>3004</v>
      </c>
      <c r="C602" s="146" t="s">
        <v>3005</v>
      </c>
      <c r="D602" s="68"/>
      <c r="E602" s="89"/>
      <c r="F602" s="68"/>
      <c r="G602" s="89"/>
      <c r="H602" s="177"/>
      <c r="I602" s="178" t="s">
        <v>847</v>
      </c>
      <c r="J602" s="178" t="s">
        <v>2940</v>
      </c>
      <c r="K602" s="178" t="s">
        <v>1235</v>
      </c>
      <c r="L602" s="148" t="s">
        <v>1806</v>
      </c>
      <c r="M602" s="46" t="str">
        <f t="shared" si="19"/>
        <v>OneCo Networks AS</v>
      </c>
      <c r="N602" s="42" t="str">
        <f ca="1">IFERROR(
VLOOKUP(BoM_Griptel[[#This Row],[Product code]],
IF(AND((BoQ!$N$3&lt;&gt;""),OR(BoM_Griptel[[#This Row],[Vendor]]="Griptel",BoM_Griptel[[#This Row],[Vendor]]="Solar")),INDIRECT(Aux!$A$1)),4,FALSE),"")</f>
        <v/>
      </c>
      <c r="O602" s="170" t="s">
        <v>1807</v>
      </c>
      <c r="P602" s="43" t="str">
        <f>IFERROR(IF(AND(BoM_Griptel[[#This Row],[Quantity]]&lt;&gt;"",BoM_Griptel[[#This Row],[Currency]]="NOK"),BoM_Griptel[[#This Row],[Quantity]]*BoM_Griptel[[#This Row],[Unit Price]],""),"")</f>
        <v/>
      </c>
      <c r="Q602" s="43" t="str">
        <f>IFERROR(IF(AND(BoM_Griptel[[#This Row],[ACT_Qty]]&lt;&gt;"",BoM_Griptel[[#This Row],[Currency]]="NOK"),BoM_Griptel[[#This Row],[ACT_Qty]]*BoM_Griptel[[#This Row],[Unit Price]],""),"")</f>
        <v/>
      </c>
      <c r="R602" s="43" t="str">
        <f>IFERROR(IF(AND(BoM_Griptel[[#This Row],[Quantity]]&lt;&gt;"",BoM_Griptel[[#This Row],[Currency]]="EUR"),BoM_Griptel[[#This Row],[Quantity]]*BoM_Griptel[[#This Row],[Unit Price]],""),"")</f>
        <v/>
      </c>
      <c r="S602" s="43" t="str">
        <f>IFERROR(IF(AND(BoM_Griptel[[#This Row],[ACT_Qty]]&lt;&gt;"",BoM_Griptel[[#This Row],[Currency]]="EUR"),BoM_Griptel[[#This Row],[ACT_Qty]]*BoM_Griptel[[#This Row],[Unit Price]],""),"")</f>
        <v/>
      </c>
      <c r="T602" s="186" t="s">
        <v>1802</v>
      </c>
      <c r="U602" s="46"/>
      <c r="V602" s="46"/>
      <c r="W602" s="146"/>
    </row>
    <row r="603" spans="1:23" ht="15" customHeight="1">
      <c r="A603" s="143" t="str">
        <f t="shared" si="18"/>
        <v>AKH12345</v>
      </c>
      <c r="B603" s="144" t="s">
        <v>3006</v>
      </c>
      <c r="C603" s="143" t="s">
        <v>3007</v>
      </c>
      <c r="D603" s="105"/>
      <c r="E603" s="106"/>
      <c r="F603" s="105"/>
      <c r="G603" s="106"/>
      <c r="H603" s="175"/>
      <c r="I603" s="176" t="s">
        <v>847</v>
      </c>
      <c r="J603" s="176" t="s">
        <v>2948</v>
      </c>
      <c r="K603" s="176" t="s">
        <v>1235</v>
      </c>
      <c r="L603" s="145" t="s">
        <v>1806</v>
      </c>
      <c r="M603" s="45" t="str">
        <f t="shared" si="19"/>
        <v>OneCo Networks AS</v>
      </c>
      <c r="N603" s="40" t="str">
        <f ca="1">IFERROR(
VLOOKUP(BoM_Griptel[[#This Row],[Product code]],
IF(AND((BoQ!$N$3&lt;&gt;""),OR(BoM_Griptel[[#This Row],[Vendor]]="Griptel",BoM_Griptel[[#This Row],[Vendor]]="Solar")),INDIRECT(Aux!$A$1)),4,FALSE),"")</f>
        <v/>
      </c>
      <c r="O603" s="169" t="s">
        <v>1807</v>
      </c>
      <c r="P603" s="41" t="str">
        <f>IFERROR(IF(AND(BoM_Griptel[[#This Row],[Quantity]]&lt;&gt;"",BoM_Griptel[[#This Row],[Currency]]="NOK"),BoM_Griptel[[#This Row],[Quantity]]*BoM_Griptel[[#This Row],[Unit Price]],""),"")</f>
        <v/>
      </c>
      <c r="Q603" s="41" t="str">
        <f>IFERROR(IF(AND(BoM_Griptel[[#This Row],[ACT_Qty]]&lt;&gt;"",BoM_Griptel[[#This Row],[Currency]]="NOK"),BoM_Griptel[[#This Row],[ACT_Qty]]*BoM_Griptel[[#This Row],[Unit Price]],""),"")</f>
        <v/>
      </c>
      <c r="R603" s="41" t="str">
        <f>IFERROR(IF(AND(BoM_Griptel[[#This Row],[Quantity]]&lt;&gt;"",BoM_Griptel[[#This Row],[Currency]]="EUR"),BoM_Griptel[[#This Row],[Quantity]]*BoM_Griptel[[#This Row],[Unit Price]],""),"")</f>
        <v/>
      </c>
      <c r="S603" s="41" t="str">
        <f>IFERROR(IF(AND(BoM_Griptel[[#This Row],[ACT_Qty]]&lt;&gt;"",BoM_Griptel[[#This Row],[Currency]]="EUR"),BoM_Griptel[[#This Row],[ACT_Qty]]*BoM_Griptel[[#This Row],[Unit Price]],""),"")</f>
        <v/>
      </c>
      <c r="T603" s="185" t="s">
        <v>1802</v>
      </c>
      <c r="U603" s="45"/>
      <c r="V603" s="45"/>
      <c r="W603" s="143"/>
    </row>
    <row r="604" spans="1:23" ht="15" customHeight="1">
      <c r="A604" s="146" t="str">
        <f t="shared" si="18"/>
        <v>AKH12345</v>
      </c>
      <c r="B604" s="147" t="s">
        <v>3008</v>
      </c>
      <c r="C604" s="146" t="s">
        <v>3009</v>
      </c>
      <c r="D604" s="68"/>
      <c r="E604" s="89"/>
      <c r="F604" s="68"/>
      <c r="G604" s="89"/>
      <c r="H604" s="177"/>
      <c r="I604" s="178" t="s">
        <v>847</v>
      </c>
      <c r="J604" s="178" t="s">
        <v>2951</v>
      </c>
      <c r="K604" s="178" t="s">
        <v>1235</v>
      </c>
      <c r="L604" s="148" t="s">
        <v>1806</v>
      </c>
      <c r="M604" s="46" t="str">
        <f t="shared" si="19"/>
        <v>OneCo Networks AS</v>
      </c>
      <c r="N604" s="42" t="str">
        <f ca="1">IFERROR(
VLOOKUP(BoM_Griptel[[#This Row],[Product code]],
IF(AND((BoQ!$N$3&lt;&gt;""),OR(BoM_Griptel[[#This Row],[Vendor]]="Griptel",BoM_Griptel[[#This Row],[Vendor]]="Solar")),INDIRECT(Aux!$A$1)),4,FALSE),"")</f>
        <v/>
      </c>
      <c r="O604" s="170" t="s">
        <v>1807</v>
      </c>
      <c r="P604" s="43" t="str">
        <f>IFERROR(IF(AND(BoM_Griptel[[#This Row],[Quantity]]&lt;&gt;"",BoM_Griptel[[#This Row],[Currency]]="NOK"),BoM_Griptel[[#This Row],[Quantity]]*BoM_Griptel[[#This Row],[Unit Price]],""),"")</f>
        <v/>
      </c>
      <c r="Q604" s="43" t="str">
        <f>IFERROR(IF(AND(BoM_Griptel[[#This Row],[ACT_Qty]]&lt;&gt;"",BoM_Griptel[[#This Row],[Currency]]="NOK"),BoM_Griptel[[#This Row],[ACT_Qty]]*BoM_Griptel[[#This Row],[Unit Price]],""),"")</f>
        <v/>
      </c>
      <c r="R604" s="43" t="str">
        <f>IFERROR(IF(AND(BoM_Griptel[[#This Row],[Quantity]]&lt;&gt;"",BoM_Griptel[[#This Row],[Currency]]="EUR"),BoM_Griptel[[#This Row],[Quantity]]*BoM_Griptel[[#This Row],[Unit Price]],""),"")</f>
        <v/>
      </c>
      <c r="S604" s="43" t="str">
        <f>IFERROR(IF(AND(BoM_Griptel[[#This Row],[ACT_Qty]]&lt;&gt;"",BoM_Griptel[[#This Row],[Currency]]="EUR"),BoM_Griptel[[#This Row],[ACT_Qty]]*BoM_Griptel[[#This Row],[Unit Price]],""),"")</f>
        <v/>
      </c>
      <c r="T604" s="186" t="s">
        <v>1802</v>
      </c>
      <c r="U604" s="46"/>
      <c r="V604" s="46"/>
      <c r="W604" s="146"/>
    </row>
    <row r="605" spans="1:23" ht="15" customHeight="1">
      <c r="A605" s="143" t="str">
        <f t="shared" si="18"/>
        <v>AKH12345</v>
      </c>
      <c r="B605" s="144" t="s">
        <v>3010</v>
      </c>
      <c r="C605" s="143" t="s">
        <v>3011</v>
      </c>
      <c r="D605" s="105"/>
      <c r="E605" s="106"/>
      <c r="F605" s="105"/>
      <c r="G605" s="106"/>
      <c r="H605" s="175"/>
      <c r="I605" s="176" t="s">
        <v>847</v>
      </c>
      <c r="J605" s="176" t="s">
        <v>2948</v>
      </c>
      <c r="K605" s="176" t="s">
        <v>1235</v>
      </c>
      <c r="L605" s="145" t="s">
        <v>1806</v>
      </c>
      <c r="M605" s="45" t="str">
        <f t="shared" si="19"/>
        <v>OneCo Networks AS</v>
      </c>
      <c r="N605" s="40" t="str">
        <f ca="1">IFERROR(
VLOOKUP(BoM_Griptel[[#This Row],[Product code]],
IF(AND((BoQ!$N$3&lt;&gt;""),OR(BoM_Griptel[[#This Row],[Vendor]]="Griptel",BoM_Griptel[[#This Row],[Vendor]]="Solar")),INDIRECT(Aux!$A$1)),4,FALSE),"")</f>
        <v/>
      </c>
      <c r="O605" s="169" t="s">
        <v>1807</v>
      </c>
      <c r="P605" s="41" t="str">
        <f>IFERROR(IF(AND(BoM_Griptel[[#This Row],[Quantity]]&lt;&gt;"",BoM_Griptel[[#This Row],[Currency]]="NOK"),BoM_Griptel[[#This Row],[Quantity]]*BoM_Griptel[[#This Row],[Unit Price]],""),"")</f>
        <v/>
      </c>
      <c r="Q605" s="41" t="str">
        <f>IFERROR(IF(AND(BoM_Griptel[[#This Row],[ACT_Qty]]&lt;&gt;"",BoM_Griptel[[#This Row],[Currency]]="NOK"),BoM_Griptel[[#This Row],[ACT_Qty]]*BoM_Griptel[[#This Row],[Unit Price]],""),"")</f>
        <v/>
      </c>
      <c r="R605" s="41" t="str">
        <f>IFERROR(IF(AND(BoM_Griptel[[#This Row],[Quantity]]&lt;&gt;"",BoM_Griptel[[#This Row],[Currency]]="EUR"),BoM_Griptel[[#This Row],[Quantity]]*BoM_Griptel[[#This Row],[Unit Price]],""),"")</f>
        <v/>
      </c>
      <c r="S605" s="41" t="str">
        <f>IFERROR(IF(AND(BoM_Griptel[[#This Row],[ACT_Qty]]&lt;&gt;"",BoM_Griptel[[#This Row],[Currency]]="EUR"),BoM_Griptel[[#This Row],[ACT_Qty]]*BoM_Griptel[[#This Row],[Unit Price]],""),"")</f>
        <v/>
      </c>
      <c r="T605" s="185" t="s">
        <v>1802</v>
      </c>
      <c r="U605" s="45"/>
      <c r="V605" s="45"/>
      <c r="W605" s="143"/>
    </row>
    <row r="606" spans="1:23" ht="15" customHeight="1">
      <c r="A606" s="146" t="str">
        <f t="shared" si="18"/>
        <v>AKH12345</v>
      </c>
      <c r="B606" s="147" t="s">
        <v>3012</v>
      </c>
      <c r="C606" s="146" t="s">
        <v>3013</v>
      </c>
      <c r="D606" s="68"/>
      <c r="E606" s="89"/>
      <c r="F606" s="68"/>
      <c r="G606" s="89"/>
      <c r="H606" s="177"/>
      <c r="I606" s="178" t="s">
        <v>847</v>
      </c>
      <c r="J606" s="178" t="s">
        <v>2951</v>
      </c>
      <c r="K606" s="178" t="s">
        <v>1235</v>
      </c>
      <c r="L606" s="148" t="s">
        <v>1806</v>
      </c>
      <c r="M606" s="46" t="str">
        <f t="shared" si="19"/>
        <v>OneCo Networks AS</v>
      </c>
      <c r="N606" s="42" t="str">
        <f ca="1">IFERROR(
VLOOKUP(BoM_Griptel[[#This Row],[Product code]],
IF(AND((BoQ!$N$3&lt;&gt;""),OR(BoM_Griptel[[#This Row],[Vendor]]="Griptel",BoM_Griptel[[#This Row],[Vendor]]="Solar")),INDIRECT(Aux!$A$1)),4,FALSE),"")</f>
        <v/>
      </c>
      <c r="O606" s="170" t="s">
        <v>1807</v>
      </c>
      <c r="P606" s="43" t="str">
        <f>IFERROR(IF(AND(BoM_Griptel[[#This Row],[Quantity]]&lt;&gt;"",BoM_Griptel[[#This Row],[Currency]]="NOK"),BoM_Griptel[[#This Row],[Quantity]]*BoM_Griptel[[#This Row],[Unit Price]],""),"")</f>
        <v/>
      </c>
      <c r="Q606" s="43" t="str">
        <f>IFERROR(IF(AND(BoM_Griptel[[#This Row],[ACT_Qty]]&lt;&gt;"",BoM_Griptel[[#This Row],[Currency]]="NOK"),BoM_Griptel[[#This Row],[ACT_Qty]]*BoM_Griptel[[#This Row],[Unit Price]],""),"")</f>
        <v/>
      </c>
      <c r="R606" s="43" t="str">
        <f>IFERROR(IF(AND(BoM_Griptel[[#This Row],[Quantity]]&lt;&gt;"",BoM_Griptel[[#This Row],[Currency]]="EUR"),BoM_Griptel[[#This Row],[Quantity]]*BoM_Griptel[[#This Row],[Unit Price]],""),"")</f>
        <v/>
      </c>
      <c r="S606" s="43" t="str">
        <f>IFERROR(IF(AND(BoM_Griptel[[#This Row],[ACT_Qty]]&lt;&gt;"",BoM_Griptel[[#This Row],[Currency]]="EUR"),BoM_Griptel[[#This Row],[ACT_Qty]]*BoM_Griptel[[#This Row],[Unit Price]],""),"")</f>
        <v/>
      </c>
      <c r="T606" s="186" t="s">
        <v>1802</v>
      </c>
      <c r="U606" s="46"/>
      <c r="V606" s="46"/>
      <c r="W606" s="146"/>
    </row>
    <row r="607" spans="1:23" ht="15" customHeight="1">
      <c r="A607" s="143" t="str">
        <f t="shared" si="18"/>
        <v>AKH12345</v>
      </c>
      <c r="B607" s="144" t="s">
        <v>3014</v>
      </c>
      <c r="C607" s="143" t="s">
        <v>3015</v>
      </c>
      <c r="D607" s="105"/>
      <c r="E607" s="106"/>
      <c r="F607" s="105"/>
      <c r="G607" s="106"/>
      <c r="H607" s="175"/>
      <c r="I607" s="176" t="s">
        <v>847</v>
      </c>
      <c r="J607" s="176" t="s">
        <v>2948</v>
      </c>
      <c r="K607" s="176" t="s">
        <v>1235</v>
      </c>
      <c r="L607" s="145" t="s">
        <v>1806</v>
      </c>
      <c r="M607" s="45" t="str">
        <f t="shared" si="19"/>
        <v>OneCo Networks AS</v>
      </c>
      <c r="N607" s="40" t="str">
        <f ca="1">IFERROR(
VLOOKUP(BoM_Griptel[[#This Row],[Product code]],
IF(AND((BoQ!$N$3&lt;&gt;""),OR(BoM_Griptel[[#This Row],[Vendor]]="Griptel",BoM_Griptel[[#This Row],[Vendor]]="Solar")),INDIRECT(Aux!$A$1)),4,FALSE),"")</f>
        <v/>
      </c>
      <c r="O607" s="169" t="s">
        <v>1807</v>
      </c>
      <c r="P607" s="41" t="str">
        <f>IFERROR(IF(AND(BoM_Griptel[[#This Row],[Quantity]]&lt;&gt;"",BoM_Griptel[[#This Row],[Currency]]="NOK"),BoM_Griptel[[#This Row],[Quantity]]*BoM_Griptel[[#This Row],[Unit Price]],""),"")</f>
        <v/>
      </c>
      <c r="Q607" s="41" t="str">
        <f>IFERROR(IF(AND(BoM_Griptel[[#This Row],[ACT_Qty]]&lt;&gt;"",BoM_Griptel[[#This Row],[Currency]]="NOK"),BoM_Griptel[[#This Row],[ACT_Qty]]*BoM_Griptel[[#This Row],[Unit Price]],""),"")</f>
        <v/>
      </c>
      <c r="R607" s="41" t="str">
        <f>IFERROR(IF(AND(BoM_Griptel[[#This Row],[Quantity]]&lt;&gt;"",BoM_Griptel[[#This Row],[Currency]]="EUR"),BoM_Griptel[[#This Row],[Quantity]]*BoM_Griptel[[#This Row],[Unit Price]],""),"")</f>
        <v/>
      </c>
      <c r="S607" s="41" t="str">
        <f>IFERROR(IF(AND(BoM_Griptel[[#This Row],[ACT_Qty]]&lt;&gt;"",BoM_Griptel[[#This Row],[Currency]]="EUR"),BoM_Griptel[[#This Row],[ACT_Qty]]*BoM_Griptel[[#This Row],[Unit Price]],""),"")</f>
        <v/>
      </c>
      <c r="T607" s="185" t="s">
        <v>1802</v>
      </c>
      <c r="U607" s="45"/>
      <c r="V607" s="45"/>
      <c r="W607" s="143"/>
    </row>
    <row r="608" spans="1:23" ht="15" customHeight="1">
      <c r="A608" s="146" t="str">
        <f t="shared" si="18"/>
        <v>AKH12345</v>
      </c>
      <c r="B608" s="147" t="s">
        <v>3016</v>
      </c>
      <c r="C608" s="146" t="s">
        <v>3017</v>
      </c>
      <c r="D608" s="68"/>
      <c r="E608" s="89"/>
      <c r="F608" s="68"/>
      <c r="G608" s="89"/>
      <c r="H608" s="177"/>
      <c r="I608" s="178" t="s">
        <v>847</v>
      </c>
      <c r="J608" s="178" t="s">
        <v>2951</v>
      </c>
      <c r="K608" s="178" t="s">
        <v>1235</v>
      </c>
      <c r="L608" s="148" t="s">
        <v>1806</v>
      </c>
      <c r="M608" s="46" t="str">
        <f t="shared" si="19"/>
        <v>OneCo Networks AS</v>
      </c>
      <c r="N608" s="42" t="str">
        <f ca="1">IFERROR(
VLOOKUP(BoM_Griptel[[#This Row],[Product code]],
IF(AND((BoQ!$N$3&lt;&gt;""),OR(BoM_Griptel[[#This Row],[Vendor]]="Griptel",BoM_Griptel[[#This Row],[Vendor]]="Solar")),INDIRECT(Aux!$A$1)),4,FALSE),"")</f>
        <v/>
      </c>
      <c r="O608" s="170" t="s">
        <v>1807</v>
      </c>
      <c r="P608" s="43" t="str">
        <f>IFERROR(IF(AND(BoM_Griptel[[#This Row],[Quantity]]&lt;&gt;"",BoM_Griptel[[#This Row],[Currency]]="NOK"),BoM_Griptel[[#This Row],[Quantity]]*BoM_Griptel[[#This Row],[Unit Price]],""),"")</f>
        <v/>
      </c>
      <c r="Q608" s="43" t="str">
        <f>IFERROR(IF(AND(BoM_Griptel[[#This Row],[ACT_Qty]]&lt;&gt;"",BoM_Griptel[[#This Row],[Currency]]="NOK"),BoM_Griptel[[#This Row],[ACT_Qty]]*BoM_Griptel[[#This Row],[Unit Price]],""),"")</f>
        <v/>
      </c>
      <c r="R608" s="43" t="str">
        <f>IFERROR(IF(AND(BoM_Griptel[[#This Row],[Quantity]]&lt;&gt;"",BoM_Griptel[[#This Row],[Currency]]="EUR"),BoM_Griptel[[#This Row],[Quantity]]*BoM_Griptel[[#This Row],[Unit Price]],""),"")</f>
        <v/>
      </c>
      <c r="S608" s="43" t="str">
        <f>IFERROR(IF(AND(BoM_Griptel[[#This Row],[ACT_Qty]]&lt;&gt;"",BoM_Griptel[[#This Row],[Currency]]="EUR"),BoM_Griptel[[#This Row],[ACT_Qty]]*BoM_Griptel[[#This Row],[Unit Price]],""),"")</f>
        <v/>
      </c>
      <c r="T608" s="186" t="s">
        <v>1802</v>
      </c>
      <c r="U608" s="46"/>
      <c r="V608" s="46"/>
      <c r="W608" s="146"/>
    </row>
    <row r="609" spans="1:23" ht="15" customHeight="1">
      <c r="A609" s="143" t="str">
        <f t="shared" si="18"/>
        <v>AKH12345</v>
      </c>
      <c r="B609" s="144" t="s">
        <v>3018</v>
      </c>
      <c r="C609" s="143" t="s">
        <v>3019</v>
      </c>
      <c r="D609" s="105"/>
      <c r="E609" s="106"/>
      <c r="F609" s="105"/>
      <c r="G609" s="106"/>
      <c r="H609" s="175"/>
      <c r="I609" s="176" t="s">
        <v>847</v>
      </c>
      <c r="J609" s="176" t="s">
        <v>2951</v>
      </c>
      <c r="K609" s="176" t="s">
        <v>1235</v>
      </c>
      <c r="L609" s="145" t="s">
        <v>1806</v>
      </c>
      <c r="M609" s="45" t="str">
        <f t="shared" si="19"/>
        <v>OneCo Networks AS</v>
      </c>
      <c r="N609" s="40" t="str">
        <f ca="1">IFERROR(
VLOOKUP(BoM_Griptel[[#This Row],[Product code]],
IF(AND((BoQ!$N$3&lt;&gt;""),OR(BoM_Griptel[[#This Row],[Vendor]]="Griptel",BoM_Griptel[[#This Row],[Vendor]]="Solar")),INDIRECT(Aux!$A$1)),4,FALSE),"")</f>
        <v/>
      </c>
      <c r="O609" s="169" t="s">
        <v>1807</v>
      </c>
      <c r="P609" s="41" t="str">
        <f>IFERROR(IF(AND(BoM_Griptel[[#This Row],[Quantity]]&lt;&gt;"",BoM_Griptel[[#This Row],[Currency]]="NOK"),BoM_Griptel[[#This Row],[Quantity]]*BoM_Griptel[[#This Row],[Unit Price]],""),"")</f>
        <v/>
      </c>
      <c r="Q609" s="41" t="str">
        <f>IFERROR(IF(AND(BoM_Griptel[[#This Row],[ACT_Qty]]&lt;&gt;"",BoM_Griptel[[#This Row],[Currency]]="NOK"),BoM_Griptel[[#This Row],[ACT_Qty]]*BoM_Griptel[[#This Row],[Unit Price]],""),"")</f>
        <v/>
      </c>
      <c r="R609" s="41" t="str">
        <f>IFERROR(IF(AND(BoM_Griptel[[#This Row],[Quantity]]&lt;&gt;"",BoM_Griptel[[#This Row],[Currency]]="EUR"),BoM_Griptel[[#This Row],[Quantity]]*BoM_Griptel[[#This Row],[Unit Price]],""),"")</f>
        <v/>
      </c>
      <c r="S609" s="41" t="str">
        <f>IFERROR(IF(AND(BoM_Griptel[[#This Row],[ACT_Qty]]&lt;&gt;"",BoM_Griptel[[#This Row],[Currency]]="EUR"),BoM_Griptel[[#This Row],[ACT_Qty]]*BoM_Griptel[[#This Row],[Unit Price]],""),"")</f>
        <v/>
      </c>
      <c r="T609" s="185" t="s">
        <v>1802</v>
      </c>
      <c r="U609" s="45"/>
      <c r="V609" s="45"/>
      <c r="W609" s="143"/>
    </row>
    <row r="610" spans="1:23" ht="15" customHeight="1">
      <c r="A610" s="146" t="str">
        <f t="shared" si="18"/>
        <v>AKH12345</v>
      </c>
      <c r="B610" s="147" t="s">
        <v>3020</v>
      </c>
      <c r="C610" s="146" t="s">
        <v>3021</v>
      </c>
      <c r="D610" s="68"/>
      <c r="E610" s="89"/>
      <c r="F610" s="68"/>
      <c r="G610" s="89"/>
      <c r="H610" s="177"/>
      <c r="I610" s="178" t="s">
        <v>847</v>
      </c>
      <c r="J610" s="178" t="s">
        <v>2948</v>
      </c>
      <c r="K610" s="178" t="s">
        <v>1235</v>
      </c>
      <c r="L610" s="148" t="s">
        <v>1806</v>
      </c>
      <c r="M610" s="46" t="str">
        <f t="shared" si="19"/>
        <v>OneCo Networks AS</v>
      </c>
      <c r="N610" s="42" t="str">
        <f ca="1">IFERROR(
VLOOKUP(BoM_Griptel[[#This Row],[Product code]],
IF(AND((BoQ!$N$3&lt;&gt;""),OR(BoM_Griptel[[#This Row],[Vendor]]="Griptel",BoM_Griptel[[#This Row],[Vendor]]="Solar")),INDIRECT(Aux!$A$1)),4,FALSE),"")</f>
        <v/>
      </c>
      <c r="O610" s="170" t="s">
        <v>1807</v>
      </c>
      <c r="P610" s="43" t="str">
        <f>IFERROR(IF(AND(BoM_Griptel[[#This Row],[Quantity]]&lt;&gt;"",BoM_Griptel[[#This Row],[Currency]]="NOK"),BoM_Griptel[[#This Row],[Quantity]]*BoM_Griptel[[#This Row],[Unit Price]],""),"")</f>
        <v/>
      </c>
      <c r="Q610" s="43" t="str">
        <f>IFERROR(IF(AND(BoM_Griptel[[#This Row],[ACT_Qty]]&lt;&gt;"",BoM_Griptel[[#This Row],[Currency]]="NOK"),BoM_Griptel[[#This Row],[ACT_Qty]]*BoM_Griptel[[#This Row],[Unit Price]],""),"")</f>
        <v/>
      </c>
      <c r="R610" s="43" t="str">
        <f>IFERROR(IF(AND(BoM_Griptel[[#This Row],[Quantity]]&lt;&gt;"",BoM_Griptel[[#This Row],[Currency]]="EUR"),BoM_Griptel[[#This Row],[Quantity]]*BoM_Griptel[[#This Row],[Unit Price]],""),"")</f>
        <v/>
      </c>
      <c r="S610" s="43" t="str">
        <f>IFERROR(IF(AND(BoM_Griptel[[#This Row],[ACT_Qty]]&lt;&gt;"",BoM_Griptel[[#This Row],[Currency]]="EUR"),BoM_Griptel[[#This Row],[ACT_Qty]]*BoM_Griptel[[#This Row],[Unit Price]],""),"")</f>
        <v/>
      </c>
      <c r="T610" s="186" t="s">
        <v>1802</v>
      </c>
      <c r="U610" s="46"/>
      <c r="V610" s="46"/>
      <c r="W610" s="146"/>
    </row>
    <row r="611" spans="1:23" ht="15" customHeight="1">
      <c r="A611" s="143" t="str">
        <f t="shared" si="18"/>
        <v>AKH12345</v>
      </c>
      <c r="B611" s="144" t="s">
        <v>3022</v>
      </c>
      <c r="C611" s="143" t="s">
        <v>3023</v>
      </c>
      <c r="D611" s="105"/>
      <c r="E611" s="106"/>
      <c r="F611" s="105"/>
      <c r="G611" s="106"/>
      <c r="H611" s="175"/>
      <c r="I611" s="176" t="s">
        <v>847</v>
      </c>
      <c r="J611" s="176" t="s">
        <v>2951</v>
      </c>
      <c r="K611" s="176" t="s">
        <v>1235</v>
      </c>
      <c r="L611" s="145" t="s">
        <v>1806</v>
      </c>
      <c r="M611" s="45" t="str">
        <f t="shared" si="19"/>
        <v>OneCo Networks AS</v>
      </c>
      <c r="N611" s="40" t="str">
        <f ca="1">IFERROR(
VLOOKUP(BoM_Griptel[[#This Row],[Product code]],
IF(AND((BoQ!$N$3&lt;&gt;""),OR(BoM_Griptel[[#This Row],[Vendor]]="Griptel",BoM_Griptel[[#This Row],[Vendor]]="Solar")),INDIRECT(Aux!$A$1)),4,FALSE),"")</f>
        <v/>
      </c>
      <c r="O611" s="169" t="s">
        <v>1807</v>
      </c>
      <c r="P611" s="41" t="str">
        <f>IFERROR(IF(AND(BoM_Griptel[[#This Row],[Quantity]]&lt;&gt;"",BoM_Griptel[[#This Row],[Currency]]="NOK"),BoM_Griptel[[#This Row],[Quantity]]*BoM_Griptel[[#This Row],[Unit Price]],""),"")</f>
        <v/>
      </c>
      <c r="Q611" s="41" t="str">
        <f>IFERROR(IF(AND(BoM_Griptel[[#This Row],[ACT_Qty]]&lt;&gt;"",BoM_Griptel[[#This Row],[Currency]]="NOK"),BoM_Griptel[[#This Row],[ACT_Qty]]*BoM_Griptel[[#This Row],[Unit Price]],""),"")</f>
        <v/>
      </c>
      <c r="R611" s="41" t="str">
        <f>IFERROR(IF(AND(BoM_Griptel[[#This Row],[Quantity]]&lt;&gt;"",BoM_Griptel[[#This Row],[Currency]]="EUR"),BoM_Griptel[[#This Row],[Quantity]]*BoM_Griptel[[#This Row],[Unit Price]],""),"")</f>
        <v/>
      </c>
      <c r="S611" s="41" t="str">
        <f>IFERROR(IF(AND(BoM_Griptel[[#This Row],[ACT_Qty]]&lt;&gt;"",BoM_Griptel[[#This Row],[Currency]]="EUR"),BoM_Griptel[[#This Row],[ACT_Qty]]*BoM_Griptel[[#This Row],[Unit Price]],""),"")</f>
        <v/>
      </c>
      <c r="T611" s="185" t="s">
        <v>1802</v>
      </c>
      <c r="U611" s="45"/>
      <c r="V611" s="45"/>
      <c r="W611" s="143"/>
    </row>
    <row r="612" spans="1:23" ht="15" customHeight="1">
      <c r="A612" s="146" t="str">
        <f t="shared" si="18"/>
        <v>AKH12345</v>
      </c>
      <c r="B612" s="147" t="s">
        <v>3024</v>
      </c>
      <c r="C612" s="146" t="s">
        <v>3025</v>
      </c>
      <c r="D612" s="68"/>
      <c r="E612" s="89"/>
      <c r="F612" s="68"/>
      <c r="G612" s="89"/>
      <c r="H612" s="177"/>
      <c r="I612" s="178" t="s">
        <v>847</v>
      </c>
      <c r="J612" s="178" t="s">
        <v>3026</v>
      </c>
      <c r="K612" s="178" t="s">
        <v>1235</v>
      </c>
      <c r="L612" s="148" t="s">
        <v>1806</v>
      </c>
      <c r="M612" s="46" t="str">
        <f t="shared" si="19"/>
        <v>OneCo Networks AS</v>
      </c>
      <c r="N612" s="42" t="str">
        <f ca="1">IFERROR(
VLOOKUP(BoM_Griptel[[#This Row],[Product code]],
IF(AND((BoQ!$N$3&lt;&gt;""),OR(BoM_Griptel[[#This Row],[Vendor]]="Griptel",BoM_Griptel[[#This Row],[Vendor]]="Solar")),INDIRECT(Aux!$A$1)),4,FALSE),"")</f>
        <v/>
      </c>
      <c r="O612" s="170" t="s">
        <v>1807</v>
      </c>
      <c r="P612" s="43" t="str">
        <f>IFERROR(IF(AND(BoM_Griptel[[#This Row],[Quantity]]&lt;&gt;"",BoM_Griptel[[#This Row],[Currency]]="NOK"),BoM_Griptel[[#This Row],[Quantity]]*BoM_Griptel[[#This Row],[Unit Price]],""),"")</f>
        <v/>
      </c>
      <c r="Q612" s="43" t="str">
        <f>IFERROR(IF(AND(BoM_Griptel[[#This Row],[ACT_Qty]]&lt;&gt;"",BoM_Griptel[[#This Row],[Currency]]="NOK"),BoM_Griptel[[#This Row],[ACT_Qty]]*BoM_Griptel[[#This Row],[Unit Price]],""),"")</f>
        <v/>
      </c>
      <c r="R612" s="43" t="str">
        <f>IFERROR(IF(AND(BoM_Griptel[[#This Row],[Quantity]]&lt;&gt;"",BoM_Griptel[[#This Row],[Currency]]="EUR"),BoM_Griptel[[#This Row],[Quantity]]*BoM_Griptel[[#This Row],[Unit Price]],""),"")</f>
        <v/>
      </c>
      <c r="S612" s="43" t="str">
        <f>IFERROR(IF(AND(BoM_Griptel[[#This Row],[ACT_Qty]]&lt;&gt;"",BoM_Griptel[[#This Row],[Currency]]="EUR"),BoM_Griptel[[#This Row],[ACT_Qty]]*BoM_Griptel[[#This Row],[Unit Price]],""),"")</f>
        <v/>
      </c>
      <c r="T612" s="186" t="s">
        <v>1802</v>
      </c>
      <c r="U612" s="46"/>
      <c r="V612" s="46"/>
      <c r="W612" s="146"/>
    </row>
    <row r="613" spans="1:23" ht="15" customHeight="1">
      <c r="A613" s="143" t="str">
        <f t="shared" si="18"/>
        <v>AKH12345</v>
      </c>
      <c r="B613" s="144" t="s">
        <v>3027</v>
      </c>
      <c r="C613" s="143" t="s">
        <v>3028</v>
      </c>
      <c r="D613" s="105"/>
      <c r="E613" s="106"/>
      <c r="F613" s="105"/>
      <c r="G613" s="106"/>
      <c r="H613" s="175"/>
      <c r="I613" s="176" t="s">
        <v>847</v>
      </c>
      <c r="J613" s="176" t="s">
        <v>2943</v>
      </c>
      <c r="K613" s="176" t="s">
        <v>1235</v>
      </c>
      <c r="L613" s="145" t="s">
        <v>1806</v>
      </c>
      <c r="M613" s="45" t="str">
        <f t="shared" si="19"/>
        <v>OneCo Networks AS</v>
      </c>
      <c r="N613" s="40" t="str">
        <f ca="1">IFERROR(
VLOOKUP(BoM_Griptel[[#This Row],[Product code]],
IF(AND((BoQ!$N$3&lt;&gt;""),OR(BoM_Griptel[[#This Row],[Vendor]]="Griptel",BoM_Griptel[[#This Row],[Vendor]]="Solar")),INDIRECT(Aux!$A$1)),4,FALSE),"")</f>
        <v/>
      </c>
      <c r="O613" s="169" t="s">
        <v>1807</v>
      </c>
      <c r="P613" s="41" t="str">
        <f>IFERROR(IF(AND(BoM_Griptel[[#This Row],[Quantity]]&lt;&gt;"",BoM_Griptel[[#This Row],[Currency]]="NOK"),BoM_Griptel[[#This Row],[Quantity]]*BoM_Griptel[[#This Row],[Unit Price]],""),"")</f>
        <v/>
      </c>
      <c r="Q613" s="41" t="str">
        <f>IFERROR(IF(AND(BoM_Griptel[[#This Row],[ACT_Qty]]&lt;&gt;"",BoM_Griptel[[#This Row],[Currency]]="NOK"),BoM_Griptel[[#This Row],[ACT_Qty]]*BoM_Griptel[[#This Row],[Unit Price]],""),"")</f>
        <v/>
      </c>
      <c r="R613" s="41" t="str">
        <f>IFERROR(IF(AND(BoM_Griptel[[#This Row],[Quantity]]&lt;&gt;"",BoM_Griptel[[#This Row],[Currency]]="EUR"),BoM_Griptel[[#This Row],[Quantity]]*BoM_Griptel[[#This Row],[Unit Price]],""),"")</f>
        <v/>
      </c>
      <c r="S613" s="41" t="str">
        <f>IFERROR(IF(AND(BoM_Griptel[[#This Row],[ACT_Qty]]&lt;&gt;"",BoM_Griptel[[#This Row],[Currency]]="EUR"),BoM_Griptel[[#This Row],[ACT_Qty]]*BoM_Griptel[[#This Row],[Unit Price]],""),"")</f>
        <v/>
      </c>
      <c r="T613" s="185" t="s">
        <v>1802</v>
      </c>
      <c r="U613" s="45"/>
      <c r="V613" s="45"/>
      <c r="W613" s="143"/>
    </row>
    <row r="614" spans="1:23" ht="15" customHeight="1">
      <c r="A614" s="146" t="str">
        <f t="shared" si="18"/>
        <v>AKH12345</v>
      </c>
      <c r="B614" s="147" t="s">
        <v>3029</v>
      </c>
      <c r="C614" s="146" t="s">
        <v>3030</v>
      </c>
      <c r="D614" s="68"/>
      <c r="E614" s="89"/>
      <c r="F614" s="68"/>
      <c r="G614" s="89"/>
      <c r="H614" s="177"/>
      <c r="I614" s="178" t="s">
        <v>847</v>
      </c>
      <c r="J614" s="178" t="s">
        <v>3031</v>
      </c>
      <c r="K614" s="178" t="s">
        <v>1235</v>
      </c>
      <c r="L614" s="148" t="s">
        <v>1806</v>
      </c>
      <c r="M614" s="46" t="str">
        <f t="shared" si="19"/>
        <v>OneCo Networks AS</v>
      </c>
      <c r="N614" s="42" t="str">
        <f ca="1">IFERROR(
VLOOKUP(BoM_Griptel[[#This Row],[Product code]],
IF(AND((BoQ!$N$3&lt;&gt;""),OR(BoM_Griptel[[#This Row],[Vendor]]="Griptel",BoM_Griptel[[#This Row],[Vendor]]="Solar")),INDIRECT(Aux!$A$1)),4,FALSE),"")</f>
        <v/>
      </c>
      <c r="O614" s="170" t="s">
        <v>1807</v>
      </c>
      <c r="P614" s="43" t="str">
        <f>IFERROR(IF(AND(BoM_Griptel[[#This Row],[Quantity]]&lt;&gt;"",BoM_Griptel[[#This Row],[Currency]]="NOK"),BoM_Griptel[[#This Row],[Quantity]]*BoM_Griptel[[#This Row],[Unit Price]],""),"")</f>
        <v/>
      </c>
      <c r="Q614" s="43" t="str">
        <f>IFERROR(IF(AND(BoM_Griptel[[#This Row],[ACT_Qty]]&lt;&gt;"",BoM_Griptel[[#This Row],[Currency]]="NOK"),BoM_Griptel[[#This Row],[ACT_Qty]]*BoM_Griptel[[#This Row],[Unit Price]],""),"")</f>
        <v/>
      </c>
      <c r="R614" s="43" t="str">
        <f>IFERROR(IF(AND(BoM_Griptel[[#This Row],[Quantity]]&lt;&gt;"",BoM_Griptel[[#This Row],[Currency]]="EUR"),BoM_Griptel[[#This Row],[Quantity]]*BoM_Griptel[[#This Row],[Unit Price]],""),"")</f>
        <v/>
      </c>
      <c r="S614" s="43" t="str">
        <f>IFERROR(IF(AND(BoM_Griptel[[#This Row],[ACT_Qty]]&lt;&gt;"",BoM_Griptel[[#This Row],[Currency]]="EUR"),BoM_Griptel[[#This Row],[ACT_Qty]]*BoM_Griptel[[#This Row],[Unit Price]],""),"")</f>
        <v/>
      </c>
      <c r="T614" s="186" t="s">
        <v>1802</v>
      </c>
      <c r="U614" s="46"/>
      <c r="V614" s="46"/>
      <c r="W614" s="146"/>
    </row>
    <row r="615" spans="1:23" ht="15" customHeight="1">
      <c r="A615" s="143" t="str">
        <f t="shared" si="18"/>
        <v>AKH12345</v>
      </c>
      <c r="B615" s="144" t="s">
        <v>3032</v>
      </c>
      <c r="C615" s="143" t="s">
        <v>3033</v>
      </c>
      <c r="D615" s="105"/>
      <c r="E615" s="106"/>
      <c r="F615" s="105"/>
      <c r="G615" s="106"/>
      <c r="H615" s="175"/>
      <c r="I615" s="176" t="s">
        <v>847</v>
      </c>
      <c r="J615" s="176" t="s">
        <v>2951</v>
      </c>
      <c r="K615" s="176" t="s">
        <v>1235</v>
      </c>
      <c r="L615" s="145" t="s">
        <v>1806</v>
      </c>
      <c r="M615" s="45" t="str">
        <f t="shared" si="19"/>
        <v>OneCo Networks AS</v>
      </c>
      <c r="N615" s="40" t="str">
        <f ca="1">IFERROR(
VLOOKUP(BoM_Griptel[[#This Row],[Product code]],
IF(AND((BoQ!$N$3&lt;&gt;""),OR(BoM_Griptel[[#This Row],[Vendor]]="Griptel",BoM_Griptel[[#This Row],[Vendor]]="Solar")),INDIRECT(Aux!$A$1)),4,FALSE),"")</f>
        <v/>
      </c>
      <c r="O615" s="169" t="s">
        <v>1807</v>
      </c>
      <c r="P615" s="41" t="str">
        <f>IFERROR(IF(AND(BoM_Griptel[[#This Row],[Quantity]]&lt;&gt;"",BoM_Griptel[[#This Row],[Currency]]="NOK"),BoM_Griptel[[#This Row],[Quantity]]*BoM_Griptel[[#This Row],[Unit Price]],""),"")</f>
        <v/>
      </c>
      <c r="Q615" s="41" t="str">
        <f>IFERROR(IF(AND(BoM_Griptel[[#This Row],[ACT_Qty]]&lt;&gt;"",BoM_Griptel[[#This Row],[Currency]]="NOK"),BoM_Griptel[[#This Row],[ACT_Qty]]*BoM_Griptel[[#This Row],[Unit Price]],""),"")</f>
        <v/>
      </c>
      <c r="R615" s="41" t="str">
        <f>IFERROR(IF(AND(BoM_Griptel[[#This Row],[Quantity]]&lt;&gt;"",BoM_Griptel[[#This Row],[Currency]]="EUR"),BoM_Griptel[[#This Row],[Quantity]]*BoM_Griptel[[#This Row],[Unit Price]],""),"")</f>
        <v/>
      </c>
      <c r="S615" s="41" t="str">
        <f>IFERROR(IF(AND(BoM_Griptel[[#This Row],[ACT_Qty]]&lt;&gt;"",BoM_Griptel[[#This Row],[Currency]]="EUR"),BoM_Griptel[[#This Row],[ACT_Qty]]*BoM_Griptel[[#This Row],[Unit Price]],""),"")</f>
        <v/>
      </c>
      <c r="T615" s="185" t="s">
        <v>1802</v>
      </c>
      <c r="U615" s="45"/>
      <c r="V615" s="45"/>
      <c r="W615" s="143"/>
    </row>
    <row r="616" spans="1:23" ht="15" customHeight="1">
      <c r="A616" s="146" t="str">
        <f t="shared" si="18"/>
        <v>AKH12345</v>
      </c>
      <c r="B616" s="147" t="s">
        <v>3034</v>
      </c>
      <c r="C616" s="146" t="s">
        <v>3035</v>
      </c>
      <c r="D616" s="68"/>
      <c r="E616" s="89"/>
      <c r="F616" s="68"/>
      <c r="G616" s="89"/>
      <c r="H616" s="177"/>
      <c r="I616" s="178" t="s">
        <v>847</v>
      </c>
      <c r="J616" s="178" t="s">
        <v>2951</v>
      </c>
      <c r="K616" s="178" t="s">
        <v>1235</v>
      </c>
      <c r="L616" s="148" t="s">
        <v>1806</v>
      </c>
      <c r="M616" s="46" t="str">
        <f t="shared" si="19"/>
        <v>OneCo Networks AS</v>
      </c>
      <c r="N616" s="42" t="str">
        <f ca="1">IFERROR(
VLOOKUP(BoM_Griptel[[#This Row],[Product code]],
IF(AND((BoQ!$N$3&lt;&gt;""),OR(BoM_Griptel[[#This Row],[Vendor]]="Griptel",BoM_Griptel[[#This Row],[Vendor]]="Solar")),INDIRECT(Aux!$A$1)),4,FALSE),"")</f>
        <v/>
      </c>
      <c r="O616" s="170" t="s">
        <v>1807</v>
      </c>
      <c r="P616" s="43" t="str">
        <f>IFERROR(IF(AND(BoM_Griptel[[#This Row],[Quantity]]&lt;&gt;"",BoM_Griptel[[#This Row],[Currency]]="NOK"),BoM_Griptel[[#This Row],[Quantity]]*BoM_Griptel[[#This Row],[Unit Price]],""),"")</f>
        <v/>
      </c>
      <c r="Q616" s="43" t="str">
        <f>IFERROR(IF(AND(BoM_Griptel[[#This Row],[ACT_Qty]]&lt;&gt;"",BoM_Griptel[[#This Row],[Currency]]="NOK"),BoM_Griptel[[#This Row],[ACT_Qty]]*BoM_Griptel[[#This Row],[Unit Price]],""),"")</f>
        <v/>
      </c>
      <c r="R616" s="43" t="str">
        <f>IFERROR(IF(AND(BoM_Griptel[[#This Row],[Quantity]]&lt;&gt;"",BoM_Griptel[[#This Row],[Currency]]="EUR"),BoM_Griptel[[#This Row],[Quantity]]*BoM_Griptel[[#This Row],[Unit Price]],""),"")</f>
        <v/>
      </c>
      <c r="S616" s="43" t="str">
        <f>IFERROR(IF(AND(BoM_Griptel[[#This Row],[ACT_Qty]]&lt;&gt;"",BoM_Griptel[[#This Row],[Currency]]="EUR"),BoM_Griptel[[#This Row],[ACT_Qty]]*BoM_Griptel[[#This Row],[Unit Price]],""),"")</f>
        <v/>
      </c>
      <c r="T616" s="186" t="s">
        <v>1802</v>
      </c>
      <c r="U616" s="46"/>
      <c r="V616" s="46"/>
      <c r="W616" s="146"/>
    </row>
    <row r="617" spans="1:23" ht="15" customHeight="1">
      <c r="A617" s="143" t="str">
        <f t="shared" si="18"/>
        <v>AKH12345</v>
      </c>
      <c r="B617" s="144" t="s">
        <v>3036</v>
      </c>
      <c r="C617" s="143" t="s">
        <v>3037</v>
      </c>
      <c r="D617" s="105"/>
      <c r="E617" s="106"/>
      <c r="F617" s="105"/>
      <c r="G617" s="106"/>
      <c r="H617" s="175"/>
      <c r="I617" s="176" t="s">
        <v>847</v>
      </c>
      <c r="J617" s="176" t="s">
        <v>2951</v>
      </c>
      <c r="K617" s="176" t="s">
        <v>1235</v>
      </c>
      <c r="L617" s="145" t="s">
        <v>1806</v>
      </c>
      <c r="M617" s="45" t="str">
        <f t="shared" si="19"/>
        <v>OneCo Networks AS</v>
      </c>
      <c r="N617" s="40" t="str">
        <f ca="1">IFERROR(
VLOOKUP(BoM_Griptel[[#This Row],[Product code]],
IF(AND((BoQ!$N$3&lt;&gt;""),OR(BoM_Griptel[[#This Row],[Vendor]]="Griptel",BoM_Griptel[[#This Row],[Vendor]]="Solar")),INDIRECT(Aux!$A$1)),4,FALSE),"")</f>
        <v/>
      </c>
      <c r="O617" s="169" t="s">
        <v>1807</v>
      </c>
      <c r="P617" s="41" t="str">
        <f>IFERROR(IF(AND(BoM_Griptel[[#This Row],[Quantity]]&lt;&gt;"",BoM_Griptel[[#This Row],[Currency]]="NOK"),BoM_Griptel[[#This Row],[Quantity]]*BoM_Griptel[[#This Row],[Unit Price]],""),"")</f>
        <v/>
      </c>
      <c r="Q617" s="41" t="str">
        <f>IFERROR(IF(AND(BoM_Griptel[[#This Row],[ACT_Qty]]&lt;&gt;"",BoM_Griptel[[#This Row],[Currency]]="NOK"),BoM_Griptel[[#This Row],[ACT_Qty]]*BoM_Griptel[[#This Row],[Unit Price]],""),"")</f>
        <v/>
      </c>
      <c r="R617" s="41" t="str">
        <f>IFERROR(IF(AND(BoM_Griptel[[#This Row],[Quantity]]&lt;&gt;"",BoM_Griptel[[#This Row],[Currency]]="EUR"),BoM_Griptel[[#This Row],[Quantity]]*BoM_Griptel[[#This Row],[Unit Price]],""),"")</f>
        <v/>
      </c>
      <c r="S617" s="41" t="str">
        <f>IFERROR(IF(AND(BoM_Griptel[[#This Row],[ACT_Qty]]&lt;&gt;"",BoM_Griptel[[#This Row],[Currency]]="EUR"),BoM_Griptel[[#This Row],[ACT_Qty]]*BoM_Griptel[[#This Row],[Unit Price]],""),"")</f>
        <v/>
      </c>
      <c r="T617" s="185" t="s">
        <v>1802</v>
      </c>
      <c r="U617" s="45"/>
      <c r="V617" s="45"/>
      <c r="W617" s="143"/>
    </row>
    <row r="618" spans="1:23" ht="15" customHeight="1">
      <c r="A618" s="146" t="str">
        <f t="shared" si="18"/>
        <v>AKH12345</v>
      </c>
      <c r="B618" s="147" t="s">
        <v>3038</v>
      </c>
      <c r="C618" s="146" t="s">
        <v>3039</v>
      </c>
      <c r="D618" s="68"/>
      <c r="E618" s="89"/>
      <c r="F618" s="68"/>
      <c r="G618" s="89"/>
      <c r="H618" s="177"/>
      <c r="I618" s="178" t="s">
        <v>847</v>
      </c>
      <c r="J618" s="178" t="s">
        <v>2951</v>
      </c>
      <c r="K618" s="178" t="s">
        <v>1235</v>
      </c>
      <c r="L618" s="148" t="s">
        <v>1806</v>
      </c>
      <c r="M618" s="46" t="str">
        <f t="shared" si="19"/>
        <v>OneCo Networks AS</v>
      </c>
      <c r="N618" s="42" t="str">
        <f ca="1">IFERROR(
VLOOKUP(BoM_Griptel[[#This Row],[Product code]],
IF(AND((BoQ!$N$3&lt;&gt;""),OR(BoM_Griptel[[#This Row],[Vendor]]="Griptel",BoM_Griptel[[#This Row],[Vendor]]="Solar")),INDIRECT(Aux!$A$1)),4,FALSE),"")</f>
        <v/>
      </c>
      <c r="O618" s="170" t="s">
        <v>1807</v>
      </c>
      <c r="P618" s="43" t="str">
        <f>IFERROR(IF(AND(BoM_Griptel[[#This Row],[Quantity]]&lt;&gt;"",BoM_Griptel[[#This Row],[Currency]]="NOK"),BoM_Griptel[[#This Row],[Quantity]]*BoM_Griptel[[#This Row],[Unit Price]],""),"")</f>
        <v/>
      </c>
      <c r="Q618" s="43" t="str">
        <f>IFERROR(IF(AND(BoM_Griptel[[#This Row],[ACT_Qty]]&lt;&gt;"",BoM_Griptel[[#This Row],[Currency]]="NOK"),BoM_Griptel[[#This Row],[ACT_Qty]]*BoM_Griptel[[#This Row],[Unit Price]],""),"")</f>
        <v/>
      </c>
      <c r="R618" s="43" t="str">
        <f>IFERROR(IF(AND(BoM_Griptel[[#This Row],[Quantity]]&lt;&gt;"",BoM_Griptel[[#This Row],[Currency]]="EUR"),BoM_Griptel[[#This Row],[Quantity]]*BoM_Griptel[[#This Row],[Unit Price]],""),"")</f>
        <v/>
      </c>
      <c r="S618" s="43" t="str">
        <f>IFERROR(IF(AND(BoM_Griptel[[#This Row],[ACT_Qty]]&lt;&gt;"",BoM_Griptel[[#This Row],[Currency]]="EUR"),BoM_Griptel[[#This Row],[ACT_Qty]]*BoM_Griptel[[#This Row],[Unit Price]],""),"")</f>
        <v/>
      </c>
      <c r="T618" s="186" t="s">
        <v>1802</v>
      </c>
      <c r="U618" s="46"/>
      <c r="V618" s="46"/>
      <c r="W618" s="146"/>
    </row>
    <row r="619" spans="1:23" ht="15" customHeight="1">
      <c r="A619" s="143" t="str">
        <f t="shared" si="18"/>
        <v>AKH12345</v>
      </c>
      <c r="B619" s="144" t="s">
        <v>3040</v>
      </c>
      <c r="C619" s="143" t="s">
        <v>3041</v>
      </c>
      <c r="D619" s="105"/>
      <c r="E619" s="106"/>
      <c r="F619" s="105"/>
      <c r="G619" s="106"/>
      <c r="H619" s="175"/>
      <c r="I619" s="176" t="s">
        <v>847</v>
      </c>
      <c r="J619" s="176" t="s">
        <v>2632</v>
      </c>
      <c r="K619" s="176" t="s">
        <v>1235</v>
      </c>
      <c r="L619" s="145" t="s">
        <v>1806</v>
      </c>
      <c r="M619" s="45" t="str">
        <f t="shared" si="19"/>
        <v>OneCo Networks AS</v>
      </c>
      <c r="N619" s="40" t="str">
        <f ca="1">IFERROR(
VLOOKUP(BoM_Griptel[[#This Row],[Product code]],
IF(AND((BoQ!$N$3&lt;&gt;""),OR(BoM_Griptel[[#This Row],[Vendor]]="Griptel",BoM_Griptel[[#This Row],[Vendor]]="Solar")),INDIRECT(Aux!$A$1)),4,FALSE),"")</f>
        <v/>
      </c>
      <c r="O619" s="169" t="s">
        <v>1807</v>
      </c>
      <c r="P619" s="41" t="str">
        <f>IFERROR(IF(AND(BoM_Griptel[[#This Row],[Quantity]]&lt;&gt;"",BoM_Griptel[[#This Row],[Currency]]="NOK"),BoM_Griptel[[#This Row],[Quantity]]*BoM_Griptel[[#This Row],[Unit Price]],""),"")</f>
        <v/>
      </c>
      <c r="Q619" s="41" t="str">
        <f>IFERROR(IF(AND(BoM_Griptel[[#This Row],[ACT_Qty]]&lt;&gt;"",BoM_Griptel[[#This Row],[Currency]]="NOK"),BoM_Griptel[[#This Row],[ACT_Qty]]*BoM_Griptel[[#This Row],[Unit Price]],""),"")</f>
        <v/>
      </c>
      <c r="R619" s="41" t="str">
        <f>IFERROR(IF(AND(BoM_Griptel[[#This Row],[Quantity]]&lt;&gt;"",BoM_Griptel[[#This Row],[Currency]]="EUR"),BoM_Griptel[[#This Row],[Quantity]]*BoM_Griptel[[#This Row],[Unit Price]],""),"")</f>
        <v/>
      </c>
      <c r="S619" s="41" t="str">
        <f>IFERROR(IF(AND(BoM_Griptel[[#This Row],[ACT_Qty]]&lt;&gt;"",BoM_Griptel[[#This Row],[Currency]]="EUR"),BoM_Griptel[[#This Row],[ACT_Qty]]*BoM_Griptel[[#This Row],[Unit Price]],""),"")</f>
        <v/>
      </c>
      <c r="T619" s="185" t="s">
        <v>1802</v>
      </c>
      <c r="U619" s="45"/>
      <c r="V619" s="45"/>
      <c r="W619" s="143"/>
    </row>
    <row r="620" spans="1:23" ht="15" customHeight="1">
      <c r="A620" s="146" t="str">
        <f t="shared" si="18"/>
        <v>AKH12345</v>
      </c>
      <c r="B620" s="147" t="s">
        <v>3042</v>
      </c>
      <c r="C620" s="146" t="s">
        <v>3043</v>
      </c>
      <c r="D620" s="68"/>
      <c r="E620" s="89"/>
      <c r="F620" s="68"/>
      <c r="G620" s="89"/>
      <c r="H620" s="177"/>
      <c r="I620" s="178" t="s">
        <v>847</v>
      </c>
      <c r="J620" s="178" t="s">
        <v>2951</v>
      </c>
      <c r="K620" s="178" t="s">
        <v>1235</v>
      </c>
      <c r="L620" s="148" t="s">
        <v>1806</v>
      </c>
      <c r="M620" s="46" t="str">
        <f t="shared" si="19"/>
        <v>OneCo Networks AS</v>
      </c>
      <c r="N620" s="42" t="str">
        <f ca="1">IFERROR(
VLOOKUP(BoM_Griptel[[#This Row],[Product code]],
IF(AND((BoQ!$N$3&lt;&gt;""),OR(BoM_Griptel[[#This Row],[Vendor]]="Griptel",BoM_Griptel[[#This Row],[Vendor]]="Solar")),INDIRECT(Aux!$A$1)),4,FALSE),"")</f>
        <v/>
      </c>
      <c r="O620" s="170" t="s">
        <v>1807</v>
      </c>
      <c r="P620" s="43" t="str">
        <f>IFERROR(IF(AND(BoM_Griptel[[#This Row],[Quantity]]&lt;&gt;"",BoM_Griptel[[#This Row],[Currency]]="NOK"),BoM_Griptel[[#This Row],[Quantity]]*BoM_Griptel[[#This Row],[Unit Price]],""),"")</f>
        <v/>
      </c>
      <c r="Q620" s="43" t="str">
        <f>IFERROR(IF(AND(BoM_Griptel[[#This Row],[ACT_Qty]]&lt;&gt;"",BoM_Griptel[[#This Row],[Currency]]="NOK"),BoM_Griptel[[#This Row],[ACT_Qty]]*BoM_Griptel[[#This Row],[Unit Price]],""),"")</f>
        <v/>
      </c>
      <c r="R620" s="43" t="str">
        <f>IFERROR(IF(AND(BoM_Griptel[[#This Row],[Quantity]]&lt;&gt;"",BoM_Griptel[[#This Row],[Currency]]="EUR"),BoM_Griptel[[#This Row],[Quantity]]*BoM_Griptel[[#This Row],[Unit Price]],""),"")</f>
        <v/>
      </c>
      <c r="S620" s="43" t="str">
        <f>IFERROR(IF(AND(BoM_Griptel[[#This Row],[ACT_Qty]]&lt;&gt;"",BoM_Griptel[[#This Row],[Currency]]="EUR"),BoM_Griptel[[#This Row],[ACT_Qty]]*BoM_Griptel[[#This Row],[Unit Price]],""),"")</f>
        <v/>
      </c>
      <c r="T620" s="186" t="s">
        <v>1802</v>
      </c>
      <c r="U620" s="46"/>
      <c r="V620" s="46"/>
      <c r="W620" s="146"/>
    </row>
    <row r="621" spans="1:23" ht="15" customHeight="1">
      <c r="A621" s="143" t="str">
        <f t="shared" si="18"/>
        <v>AKH12345</v>
      </c>
      <c r="B621" s="144" t="s">
        <v>3044</v>
      </c>
      <c r="C621" s="143" t="s">
        <v>3044</v>
      </c>
      <c r="D621" s="105"/>
      <c r="E621" s="106"/>
      <c r="F621" s="105"/>
      <c r="G621" s="106"/>
      <c r="H621" s="175"/>
      <c r="I621" s="176" t="s">
        <v>847</v>
      </c>
      <c r="J621" s="176" t="s">
        <v>2951</v>
      </c>
      <c r="K621" s="176" t="s">
        <v>1235</v>
      </c>
      <c r="L621" s="145" t="s">
        <v>1806</v>
      </c>
      <c r="M621" s="45" t="str">
        <f t="shared" si="19"/>
        <v>OneCo Networks AS</v>
      </c>
      <c r="N621" s="40" t="str">
        <f ca="1">IFERROR(
VLOOKUP(BoM_Griptel[[#This Row],[Product code]],
IF(AND((BoQ!$N$3&lt;&gt;""),OR(BoM_Griptel[[#This Row],[Vendor]]="Griptel",BoM_Griptel[[#This Row],[Vendor]]="Solar")),INDIRECT(Aux!$A$1)),4,FALSE),"")</f>
        <v/>
      </c>
      <c r="O621" s="169" t="s">
        <v>1807</v>
      </c>
      <c r="P621" s="41" t="str">
        <f>IFERROR(IF(AND(BoM_Griptel[[#This Row],[Quantity]]&lt;&gt;"",BoM_Griptel[[#This Row],[Currency]]="NOK"),BoM_Griptel[[#This Row],[Quantity]]*BoM_Griptel[[#This Row],[Unit Price]],""),"")</f>
        <v/>
      </c>
      <c r="Q621" s="41" t="str">
        <f>IFERROR(IF(AND(BoM_Griptel[[#This Row],[ACT_Qty]]&lt;&gt;"",BoM_Griptel[[#This Row],[Currency]]="NOK"),BoM_Griptel[[#This Row],[ACT_Qty]]*BoM_Griptel[[#This Row],[Unit Price]],""),"")</f>
        <v/>
      </c>
      <c r="R621" s="41" t="str">
        <f>IFERROR(IF(AND(BoM_Griptel[[#This Row],[Quantity]]&lt;&gt;"",BoM_Griptel[[#This Row],[Currency]]="EUR"),BoM_Griptel[[#This Row],[Quantity]]*BoM_Griptel[[#This Row],[Unit Price]],""),"")</f>
        <v/>
      </c>
      <c r="S621" s="41" t="str">
        <f>IFERROR(IF(AND(BoM_Griptel[[#This Row],[ACT_Qty]]&lt;&gt;"",BoM_Griptel[[#This Row],[Currency]]="EUR"),BoM_Griptel[[#This Row],[ACT_Qty]]*BoM_Griptel[[#This Row],[Unit Price]],""),"")</f>
        <v/>
      </c>
      <c r="T621" s="185" t="s">
        <v>1802</v>
      </c>
      <c r="U621" s="45"/>
      <c r="V621" s="45"/>
      <c r="W621" s="143"/>
    </row>
    <row r="622" spans="1:23" ht="15" customHeight="1">
      <c r="A622" s="146" t="str">
        <f t="shared" si="18"/>
        <v>AKH12345</v>
      </c>
      <c r="B622" s="147" t="s">
        <v>3045</v>
      </c>
      <c r="C622" s="146" t="s">
        <v>3046</v>
      </c>
      <c r="D622" s="68"/>
      <c r="E622" s="89"/>
      <c r="F622" s="68"/>
      <c r="G622" s="89"/>
      <c r="H622" s="177"/>
      <c r="I622" s="178" t="s">
        <v>847</v>
      </c>
      <c r="J622" s="178" t="s">
        <v>835</v>
      </c>
      <c r="K622" s="178" t="s">
        <v>1235</v>
      </c>
      <c r="L622" s="148" t="s">
        <v>1806</v>
      </c>
      <c r="M622" s="46" t="str">
        <f t="shared" si="19"/>
        <v>OneCo Networks AS</v>
      </c>
      <c r="N622" s="42" t="str">
        <f ca="1">IFERROR(
VLOOKUP(BoM_Griptel[[#This Row],[Product code]],
IF(AND((BoQ!$N$3&lt;&gt;""),OR(BoM_Griptel[[#This Row],[Vendor]]="Griptel",BoM_Griptel[[#This Row],[Vendor]]="Solar")),INDIRECT(Aux!$A$1)),4,FALSE),"")</f>
        <v/>
      </c>
      <c r="O622" s="170" t="s">
        <v>1807</v>
      </c>
      <c r="P622" s="43" t="str">
        <f>IFERROR(IF(AND(BoM_Griptel[[#This Row],[Quantity]]&lt;&gt;"",BoM_Griptel[[#This Row],[Currency]]="NOK"),BoM_Griptel[[#This Row],[Quantity]]*BoM_Griptel[[#This Row],[Unit Price]],""),"")</f>
        <v/>
      </c>
      <c r="Q622" s="43" t="str">
        <f>IFERROR(IF(AND(BoM_Griptel[[#This Row],[ACT_Qty]]&lt;&gt;"",BoM_Griptel[[#This Row],[Currency]]="NOK"),BoM_Griptel[[#This Row],[ACT_Qty]]*BoM_Griptel[[#This Row],[Unit Price]],""),"")</f>
        <v/>
      </c>
      <c r="R622" s="43" t="str">
        <f>IFERROR(IF(AND(BoM_Griptel[[#This Row],[Quantity]]&lt;&gt;"",BoM_Griptel[[#This Row],[Currency]]="EUR"),BoM_Griptel[[#This Row],[Quantity]]*BoM_Griptel[[#This Row],[Unit Price]],""),"")</f>
        <v/>
      </c>
      <c r="S622" s="43" t="str">
        <f>IFERROR(IF(AND(BoM_Griptel[[#This Row],[ACT_Qty]]&lt;&gt;"",BoM_Griptel[[#This Row],[Currency]]="EUR"),BoM_Griptel[[#This Row],[ACT_Qty]]*BoM_Griptel[[#This Row],[Unit Price]],""),"")</f>
        <v/>
      </c>
      <c r="T622" s="186" t="s">
        <v>1802</v>
      </c>
      <c r="U622" s="46"/>
      <c r="V622" s="46"/>
      <c r="W622" s="146"/>
    </row>
    <row r="623" spans="1:23" ht="15" customHeight="1">
      <c r="A623" s="143" t="str">
        <f t="shared" si="18"/>
        <v>AKH12345</v>
      </c>
      <c r="B623" s="144" t="s">
        <v>3047</v>
      </c>
      <c r="C623" s="143" t="s">
        <v>3048</v>
      </c>
      <c r="D623" s="105"/>
      <c r="E623" s="106"/>
      <c r="F623" s="105"/>
      <c r="G623" s="106"/>
      <c r="H623" s="175"/>
      <c r="I623" s="176" t="s">
        <v>847</v>
      </c>
      <c r="J623" s="176" t="s">
        <v>835</v>
      </c>
      <c r="K623" s="176" t="s">
        <v>1235</v>
      </c>
      <c r="L623" s="145" t="s">
        <v>1806</v>
      </c>
      <c r="M623" s="45" t="str">
        <f t="shared" si="19"/>
        <v>OneCo Networks AS</v>
      </c>
      <c r="N623" s="40" t="str">
        <f ca="1">IFERROR(
VLOOKUP(BoM_Griptel[[#This Row],[Product code]],
IF(AND((BoQ!$N$3&lt;&gt;""),OR(BoM_Griptel[[#This Row],[Vendor]]="Griptel",BoM_Griptel[[#This Row],[Vendor]]="Solar")),INDIRECT(Aux!$A$1)),4,FALSE),"")</f>
        <v/>
      </c>
      <c r="O623" s="169" t="s">
        <v>1807</v>
      </c>
      <c r="P623" s="41" t="str">
        <f>IFERROR(IF(AND(BoM_Griptel[[#This Row],[Quantity]]&lt;&gt;"",BoM_Griptel[[#This Row],[Currency]]="NOK"),BoM_Griptel[[#This Row],[Quantity]]*BoM_Griptel[[#This Row],[Unit Price]],""),"")</f>
        <v/>
      </c>
      <c r="Q623" s="41" t="str">
        <f>IFERROR(IF(AND(BoM_Griptel[[#This Row],[ACT_Qty]]&lt;&gt;"",BoM_Griptel[[#This Row],[Currency]]="NOK"),BoM_Griptel[[#This Row],[ACT_Qty]]*BoM_Griptel[[#This Row],[Unit Price]],""),"")</f>
        <v/>
      </c>
      <c r="R623" s="41" t="str">
        <f>IFERROR(IF(AND(BoM_Griptel[[#This Row],[Quantity]]&lt;&gt;"",BoM_Griptel[[#This Row],[Currency]]="EUR"),BoM_Griptel[[#This Row],[Quantity]]*BoM_Griptel[[#This Row],[Unit Price]],""),"")</f>
        <v/>
      </c>
      <c r="S623" s="41" t="str">
        <f>IFERROR(IF(AND(BoM_Griptel[[#This Row],[ACT_Qty]]&lt;&gt;"",BoM_Griptel[[#This Row],[Currency]]="EUR"),BoM_Griptel[[#This Row],[ACT_Qty]]*BoM_Griptel[[#This Row],[Unit Price]],""),"")</f>
        <v/>
      </c>
      <c r="T623" s="185" t="s">
        <v>1802</v>
      </c>
      <c r="U623" s="45"/>
      <c r="V623" s="45"/>
      <c r="W623" s="143"/>
    </row>
    <row r="624" spans="1:23" ht="15" customHeight="1">
      <c r="A624" s="146" t="str">
        <f t="shared" si="18"/>
        <v>AKH12345</v>
      </c>
      <c r="B624" s="147" t="s">
        <v>3049</v>
      </c>
      <c r="C624" s="146" t="s">
        <v>3050</v>
      </c>
      <c r="D624" s="68"/>
      <c r="E624" s="89"/>
      <c r="F624" s="68"/>
      <c r="G624" s="89"/>
      <c r="H624" s="177"/>
      <c r="I624" s="178" t="s">
        <v>847</v>
      </c>
      <c r="J624" s="178" t="s">
        <v>835</v>
      </c>
      <c r="K624" s="178" t="s">
        <v>1235</v>
      </c>
      <c r="L624" s="148" t="s">
        <v>1806</v>
      </c>
      <c r="M624" s="46" t="str">
        <f t="shared" si="19"/>
        <v>OneCo Networks AS</v>
      </c>
      <c r="N624" s="42" t="str">
        <f ca="1">IFERROR(
VLOOKUP(BoM_Griptel[[#This Row],[Product code]],
IF(AND((BoQ!$N$3&lt;&gt;""),OR(BoM_Griptel[[#This Row],[Vendor]]="Griptel",BoM_Griptel[[#This Row],[Vendor]]="Solar")),INDIRECT(Aux!$A$1)),4,FALSE),"")</f>
        <v/>
      </c>
      <c r="O624" s="170" t="s">
        <v>1807</v>
      </c>
      <c r="P624" s="43" t="str">
        <f>IFERROR(IF(AND(BoM_Griptel[[#This Row],[Quantity]]&lt;&gt;"",BoM_Griptel[[#This Row],[Currency]]="NOK"),BoM_Griptel[[#This Row],[Quantity]]*BoM_Griptel[[#This Row],[Unit Price]],""),"")</f>
        <v/>
      </c>
      <c r="Q624" s="43" t="str">
        <f>IFERROR(IF(AND(BoM_Griptel[[#This Row],[ACT_Qty]]&lt;&gt;"",BoM_Griptel[[#This Row],[Currency]]="NOK"),BoM_Griptel[[#This Row],[ACT_Qty]]*BoM_Griptel[[#This Row],[Unit Price]],""),"")</f>
        <v/>
      </c>
      <c r="R624" s="43" t="str">
        <f>IFERROR(IF(AND(BoM_Griptel[[#This Row],[Quantity]]&lt;&gt;"",BoM_Griptel[[#This Row],[Currency]]="EUR"),BoM_Griptel[[#This Row],[Quantity]]*BoM_Griptel[[#This Row],[Unit Price]],""),"")</f>
        <v/>
      </c>
      <c r="S624" s="43" t="str">
        <f>IFERROR(IF(AND(BoM_Griptel[[#This Row],[ACT_Qty]]&lt;&gt;"",BoM_Griptel[[#This Row],[Currency]]="EUR"),BoM_Griptel[[#This Row],[ACT_Qty]]*BoM_Griptel[[#This Row],[Unit Price]],""),"")</f>
        <v/>
      </c>
      <c r="T624" s="186" t="s">
        <v>1802</v>
      </c>
      <c r="U624" s="46"/>
      <c r="V624" s="46"/>
      <c r="W624" s="146"/>
    </row>
    <row r="625" spans="1:23" ht="15" customHeight="1">
      <c r="A625" s="143" t="str">
        <f t="shared" si="18"/>
        <v>AKH12345</v>
      </c>
      <c r="B625" s="144" t="s">
        <v>3051</v>
      </c>
      <c r="C625" s="143" t="s">
        <v>3052</v>
      </c>
      <c r="D625" s="105"/>
      <c r="E625" s="106"/>
      <c r="F625" s="105"/>
      <c r="G625" s="106"/>
      <c r="H625" s="175"/>
      <c r="I625" s="176" t="s">
        <v>847</v>
      </c>
      <c r="J625" s="176" t="s">
        <v>835</v>
      </c>
      <c r="K625" s="176" t="s">
        <v>1235</v>
      </c>
      <c r="L625" s="145" t="s">
        <v>1806</v>
      </c>
      <c r="M625" s="45" t="str">
        <f t="shared" si="19"/>
        <v>OneCo Networks AS</v>
      </c>
      <c r="N625" s="40" t="str">
        <f ca="1">IFERROR(
VLOOKUP(BoM_Griptel[[#This Row],[Product code]],
IF(AND((BoQ!$N$3&lt;&gt;""),OR(BoM_Griptel[[#This Row],[Vendor]]="Griptel",BoM_Griptel[[#This Row],[Vendor]]="Solar")),INDIRECT(Aux!$A$1)),4,FALSE),"")</f>
        <v/>
      </c>
      <c r="O625" s="169" t="s">
        <v>1807</v>
      </c>
      <c r="P625" s="41" t="str">
        <f>IFERROR(IF(AND(BoM_Griptel[[#This Row],[Quantity]]&lt;&gt;"",BoM_Griptel[[#This Row],[Currency]]="NOK"),BoM_Griptel[[#This Row],[Quantity]]*BoM_Griptel[[#This Row],[Unit Price]],""),"")</f>
        <v/>
      </c>
      <c r="Q625" s="41" t="str">
        <f>IFERROR(IF(AND(BoM_Griptel[[#This Row],[ACT_Qty]]&lt;&gt;"",BoM_Griptel[[#This Row],[Currency]]="NOK"),BoM_Griptel[[#This Row],[ACT_Qty]]*BoM_Griptel[[#This Row],[Unit Price]],""),"")</f>
        <v/>
      </c>
      <c r="R625" s="41" t="str">
        <f>IFERROR(IF(AND(BoM_Griptel[[#This Row],[Quantity]]&lt;&gt;"",BoM_Griptel[[#This Row],[Currency]]="EUR"),BoM_Griptel[[#This Row],[Quantity]]*BoM_Griptel[[#This Row],[Unit Price]],""),"")</f>
        <v/>
      </c>
      <c r="S625" s="41" t="str">
        <f>IFERROR(IF(AND(BoM_Griptel[[#This Row],[ACT_Qty]]&lt;&gt;"",BoM_Griptel[[#This Row],[Currency]]="EUR"),BoM_Griptel[[#This Row],[ACT_Qty]]*BoM_Griptel[[#This Row],[Unit Price]],""),"")</f>
        <v/>
      </c>
      <c r="T625" s="185" t="s">
        <v>1802</v>
      </c>
      <c r="U625" s="45"/>
      <c r="V625" s="45"/>
      <c r="W625" s="143"/>
    </row>
    <row r="626" spans="1:23" ht="15" customHeight="1">
      <c r="A626" s="146" t="str">
        <f t="shared" si="18"/>
        <v>AKH12345</v>
      </c>
      <c r="B626" s="147" t="s">
        <v>3053</v>
      </c>
      <c r="C626" s="146" t="s">
        <v>3054</v>
      </c>
      <c r="D626" s="68"/>
      <c r="E626" s="89"/>
      <c r="F626" s="68"/>
      <c r="G626" s="89"/>
      <c r="H626" s="177"/>
      <c r="I626" s="178" t="s">
        <v>847</v>
      </c>
      <c r="J626" s="178" t="s">
        <v>835</v>
      </c>
      <c r="K626" s="178" t="s">
        <v>1235</v>
      </c>
      <c r="L626" s="148" t="s">
        <v>1806</v>
      </c>
      <c r="M626" s="46" t="str">
        <f t="shared" si="19"/>
        <v>OneCo Networks AS</v>
      </c>
      <c r="N626" s="42" t="str">
        <f ca="1">IFERROR(
VLOOKUP(BoM_Griptel[[#This Row],[Product code]],
IF(AND((BoQ!$N$3&lt;&gt;""),OR(BoM_Griptel[[#This Row],[Vendor]]="Griptel",BoM_Griptel[[#This Row],[Vendor]]="Solar")),INDIRECT(Aux!$A$1)),4,FALSE),"")</f>
        <v/>
      </c>
      <c r="O626" s="170" t="s">
        <v>1807</v>
      </c>
      <c r="P626" s="43" t="str">
        <f>IFERROR(IF(AND(BoM_Griptel[[#This Row],[Quantity]]&lt;&gt;"",BoM_Griptel[[#This Row],[Currency]]="NOK"),BoM_Griptel[[#This Row],[Quantity]]*BoM_Griptel[[#This Row],[Unit Price]],""),"")</f>
        <v/>
      </c>
      <c r="Q626" s="43" t="str">
        <f>IFERROR(IF(AND(BoM_Griptel[[#This Row],[ACT_Qty]]&lt;&gt;"",BoM_Griptel[[#This Row],[Currency]]="NOK"),BoM_Griptel[[#This Row],[ACT_Qty]]*BoM_Griptel[[#This Row],[Unit Price]],""),"")</f>
        <v/>
      </c>
      <c r="R626" s="43" t="str">
        <f>IFERROR(IF(AND(BoM_Griptel[[#This Row],[Quantity]]&lt;&gt;"",BoM_Griptel[[#This Row],[Currency]]="EUR"),BoM_Griptel[[#This Row],[Quantity]]*BoM_Griptel[[#This Row],[Unit Price]],""),"")</f>
        <v/>
      </c>
      <c r="S626" s="43" t="str">
        <f>IFERROR(IF(AND(BoM_Griptel[[#This Row],[ACT_Qty]]&lt;&gt;"",BoM_Griptel[[#This Row],[Currency]]="EUR"),BoM_Griptel[[#This Row],[ACT_Qty]]*BoM_Griptel[[#This Row],[Unit Price]],""),"")</f>
        <v/>
      </c>
      <c r="T626" s="186" t="s">
        <v>1802</v>
      </c>
      <c r="U626" s="46"/>
      <c r="V626" s="46"/>
      <c r="W626" s="146"/>
    </row>
    <row r="627" spans="1:23" ht="15" customHeight="1">
      <c r="A627" s="143" t="str">
        <f t="shared" si="18"/>
        <v>AKH12345</v>
      </c>
      <c r="B627" s="144" t="s">
        <v>3055</v>
      </c>
      <c r="C627" s="143" t="s">
        <v>3056</v>
      </c>
      <c r="D627" s="105"/>
      <c r="E627" s="106"/>
      <c r="F627" s="105"/>
      <c r="G627" s="106"/>
      <c r="H627" s="175"/>
      <c r="I627" s="176" t="s">
        <v>847</v>
      </c>
      <c r="J627" s="176" t="s">
        <v>835</v>
      </c>
      <c r="K627" s="176" t="s">
        <v>1235</v>
      </c>
      <c r="L627" s="145" t="s">
        <v>1806</v>
      </c>
      <c r="M627" s="45" t="str">
        <f t="shared" si="19"/>
        <v>OneCo Networks AS</v>
      </c>
      <c r="N627" s="40" t="str">
        <f ca="1">IFERROR(
VLOOKUP(BoM_Griptel[[#This Row],[Product code]],
IF(AND((BoQ!$N$3&lt;&gt;""),OR(BoM_Griptel[[#This Row],[Vendor]]="Griptel",BoM_Griptel[[#This Row],[Vendor]]="Solar")),INDIRECT(Aux!$A$1)),4,FALSE),"")</f>
        <v/>
      </c>
      <c r="O627" s="169" t="s">
        <v>1807</v>
      </c>
      <c r="P627" s="41" t="str">
        <f>IFERROR(IF(AND(BoM_Griptel[[#This Row],[Quantity]]&lt;&gt;"",BoM_Griptel[[#This Row],[Currency]]="NOK"),BoM_Griptel[[#This Row],[Quantity]]*BoM_Griptel[[#This Row],[Unit Price]],""),"")</f>
        <v/>
      </c>
      <c r="Q627" s="41" t="str">
        <f>IFERROR(IF(AND(BoM_Griptel[[#This Row],[ACT_Qty]]&lt;&gt;"",BoM_Griptel[[#This Row],[Currency]]="NOK"),BoM_Griptel[[#This Row],[ACT_Qty]]*BoM_Griptel[[#This Row],[Unit Price]],""),"")</f>
        <v/>
      </c>
      <c r="R627" s="41" t="str">
        <f>IFERROR(IF(AND(BoM_Griptel[[#This Row],[Quantity]]&lt;&gt;"",BoM_Griptel[[#This Row],[Currency]]="EUR"),BoM_Griptel[[#This Row],[Quantity]]*BoM_Griptel[[#This Row],[Unit Price]],""),"")</f>
        <v/>
      </c>
      <c r="S627" s="41" t="str">
        <f>IFERROR(IF(AND(BoM_Griptel[[#This Row],[ACT_Qty]]&lt;&gt;"",BoM_Griptel[[#This Row],[Currency]]="EUR"),BoM_Griptel[[#This Row],[ACT_Qty]]*BoM_Griptel[[#This Row],[Unit Price]],""),"")</f>
        <v/>
      </c>
      <c r="T627" s="185" t="s">
        <v>1802</v>
      </c>
      <c r="U627" s="45"/>
      <c r="V627" s="45"/>
      <c r="W627" s="143"/>
    </row>
    <row r="628" spans="1:23" ht="15" customHeight="1">
      <c r="A628" s="146" t="str">
        <f t="shared" si="18"/>
        <v>AKH12345</v>
      </c>
      <c r="B628" s="147" t="s">
        <v>3057</v>
      </c>
      <c r="C628" s="146" t="s">
        <v>3058</v>
      </c>
      <c r="D628" s="68"/>
      <c r="E628" s="89"/>
      <c r="F628" s="68"/>
      <c r="G628" s="89"/>
      <c r="H628" s="177"/>
      <c r="I628" s="178" t="s">
        <v>847</v>
      </c>
      <c r="J628" s="178" t="s">
        <v>835</v>
      </c>
      <c r="K628" s="178" t="s">
        <v>1235</v>
      </c>
      <c r="L628" s="148" t="s">
        <v>1806</v>
      </c>
      <c r="M628" s="46" t="str">
        <f t="shared" si="19"/>
        <v>OneCo Networks AS</v>
      </c>
      <c r="N628" s="42" t="str">
        <f ca="1">IFERROR(
VLOOKUP(BoM_Griptel[[#This Row],[Product code]],
IF(AND((BoQ!$N$3&lt;&gt;""),OR(BoM_Griptel[[#This Row],[Vendor]]="Griptel",BoM_Griptel[[#This Row],[Vendor]]="Solar")),INDIRECT(Aux!$A$1)),4,FALSE),"")</f>
        <v/>
      </c>
      <c r="O628" s="170" t="s">
        <v>1807</v>
      </c>
      <c r="P628" s="43" t="str">
        <f>IFERROR(IF(AND(BoM_Griptel[[#This Row],[Quantity]]&lt;&gt;"",BoM_Griptel[[#This Row],[Currency]]="NOK"),BoM_Griptel[[#This Row],[Quantity]]*BoM_Griptel[[#This Row],[Unit Price]],""),"")</f>
        <v/>
      </c>
      <c r="Q628" s="43" t="str">
        <f>IFERROR(IF(AND(BoM_Griptel[[#This Row],[ACT_Qty]]&lt;&gt;"",BoM_Griptel[[#This Row],[Currency]]="NOK"),BoM_Griptel[[#This Row],[ACT_Qty]]*BoM_Griptel[[#This Row],[Unit Price]],""),"")</f>
        <v/>
      </c>
      <c r="R628" s="43" t="str">
        <f>IFERROR(IF(AND(BoM_Griptel[[#This Row],[Quantity]]&lt;&gt;"",BoM_Griptel[[#This Row],[Currency]]="EUR"),BoM_Griptel[[#This Row],[Quantity]]*BoM_Griptel[[#This Row],[Unit Price]],""),"")</f>
        <v/>
      </c>
      <c r="S628" s="43" t="str">
        <f>IFERROR(IF(AND(BoM_Griptel[[#This Row],[ACT_Qty]]&lt;&gt;"",BoM_Griptel[[#This Row],[Currency]]="EUR"),BoM_Griptel[[#This Row],[ACT_Qty]]*BoM_Griptel[[#This Row],[Unit Price]],""),"")</f>
        <v/>
      </c>
      <c r="T628" s="186" t="s">
        <v>1802</v>
      </c>
      <c r="U628" s="46"/>
      <c r="V628" s="46"/>
      <c r="W628" s="146"/>
    </row>
    <row r="629" spans="1:23" ht="15" customHeight="1">
      <c r="A629" s="143" t="str">
        <f t="shared" si="18"/>
        <v>AKH12345</v>
      </c>
      <c r="B629" s="144" t="s">
        <v>3059</v>
      </c>
      <c r="C629" s="143" t="s">
        <v>3060</v>
      </c>
      <c r="D629" s="105"/>
      <c r="E629" s="106"/>
      <c r="F629" s="105"/>
      <c r="G629" s="106"/>
      <c r="H629" s="175"/>
      <c r="I629" s="176" t="s">
        <v>847</v>
      </c>
      <c r="J629" s="176" t="s">
        <v>835</v>
      </c>
      <c r="K629" s="176" t="s">
        <v>1235</v>
      </c>
      <c r="L629" s="145" t="s">
        <v>1806</v>
      </c>
      <c r="M629" s="45" t="str">
        <f t="shared" si="19"/>
        <v>OneCo Networks AS</v>
      </c>
      <c r="N629" s="40" t="str">
        <f ca="1">IFERROR(
VLOOKUP(BoM_Griptel[[#This Row],[Product code]],
IF(AND((BoQ!$N$3&lt;&gt;""),OR(BoM_Griptel[[#This Row],[Vendor]]="Griptel",BoM_Griptel[[#This Row],[Vendor]]="Solar")),INDIRECT(Aux!$A$1)),4,FALSE),"")</f>
        <v/>
      </c>
      <c r="O629" s="169" t="s">
        <v>1807</v>
      </c>
      <c r="P629" s="41" t="str">
        <f>IFERROR(IF(AND(BoM_Griptel[[#This Row],[Quantity]]&lt;&gt;"",BoM_Griptel[[#This Row],[Currency]]="NOK"),BoM_Griptel[[#This Row],[Quantity]]*BoM_Griptel[[#This Row],[Unit Price]],""),"")</f>
        <v/>
      </c>
      <c r="Q629" s="41" t="str">
        <f>IFERROR(IF(AND(BoM_Griptel[[#This Row],[ACT_Qty]]&lt;&gt;"",BoM_Griptel[[#This Row],[Currency]]="NOK"),BoM_Griptel[[#This Row],[ACT_Qty]]*BoM_Griptel[[#This Row],[Unit Price]],""),"")</f>
        <v/>
      </c>
      <c r="R629" s="41" t="str">
        <f>IFERROR(IF(AND(BoM_Griptel[[#This Row],[Quantity]]&lt;&gt;"",BoM_Griptel[[#This Row],[Currency]]="EUR"),BoM_Griptel[[#This Row],[Quantity]]*BoM_Griptel[[#This Row],[Unit Price]],""),"")</f>
        <v/>
      </c>
      <c r="S629" s="41" t="str">
        <f>IFERROR(IF(AND(BoM_Griptel[[#This Row],[ACT_Qty]]&lt;&gt;"",BoM_Griptel[[#This Row],[Currency]]="EUR"),BoM_Griptel[[#This Row],[ACT_Qty]]*BoM_Griptel[[#This Row],[Unit Price]],""),"")</f>
        <v/>
      </c>
      <c r="T629" s="185" t="s">
        <v>1802</v>
      </c>
      <c r="U629" s="45"/>
      <c r="V629" s="45"/>
      <c r="W629" s="143"/>
    </row>
    <row r="630" spans="1:23" ht="15" customHeight="1">
      <c r="A630" s="146" t="str">
        <f t="shared" si="18"/>
        <v>AKH12345</v>
      </c>
      <c r="B630" s="147" t="s">
        <v>3061</v>
      </c>
      <c r="C630" s="146" t="s">
        <v>3062</v>
      </c>
      <c r="D630" s="68"/>
      <c r="E630" s="89"/>
      <c r="F630" s="68"/>
      <c r="G630" s="89"/>
      <c r="H630" s="177"/>
      <c r="I630" s="178" t="s">
        <v>847</v>
      </c>
      <c r="J630" s="178" t="s">
        <v>835</v>
      </c>
      <c r="K630" s="178" t="s">
        <v>1235</v>
      </c>
      <c r="L630" s="148" t="s">
        <v>1806</v>
      </c>
      <c r="M630" s="46" t="str">
        <f t="shared" si="19"/>
        <v>OneCo Networks AS</v>
      </c>
      <c r="N630" s="42" t="str">
        <f ca="1">IFERROR(
VLOOKUP(BoM_Griptel[[#This Row],[Product code]],
IF(AND((BoQ!$N$3&lt;&gt;""),OR(BoM_Griptel[[#This Row],[Vendor]]="Griptel",BoM_Griptel[[#This Row],[Vendor]]="Solar")),INDIRECT(Aux!$A$1)),4,FALSE),"")</f>
        <v/>
      </c>
      <c r="O630" s="170" t="s">
        <v>1807</v>
      </c>
      <c r="P630" s="43" t="str">
        <f>IFERROR(IF(AND(BoM_Griptel[[#This Row],[Quantity]]&lt;&gt;"",BoM_Griptel[[#This Row],[Currency]]="NOK"),BoM_Griptel[[#This Row],[Quantity]]*BoM_Griptel[[#This Row],[Unit Price]],""),"")</f>
        <v/>
      </c>
      <c r="Q630" s="43" t="str">
        <f>IFERROR(IF(AND(BoM_Griptel[[#This Row],[ACT_Qty]]&lt;&gt;"",BoM_Griptel[[#This Row],[Currency]]="NOK"),BoM_Griptel[[#This Row],[ACT_Qty]]*BoM_Griptel[[#This Row],[Unit Price]],""),"")</f>
        <v/>
      </c>
      <c r="R630" s="43" t="str">
        <f>IFERROR(IF(AND(BoM_Griptel[[#This Row],[Quantity]]&lt;&gt;"",BoM_Griptel[[#This Row],[Currency]]="EUR"),BoM_Griptel[[#This Row],[Quantity]]*BoM_Griptel[[#This Row],[Unit Price]],""),"")</f>
        <v/>
      </c>
      <c r="S630" s="43" t="str">
        <f>IFERROR(IF(AND(BoM_Griptel[[#This Row],[ACT_Qty]]&lt;&gt;"",BoM_Griptel[[#This Row],[Currency]]="EUR"),BoM_Griptel[[#This Row],[ACT_Qty]]*BoM_Griptel[[#This Row],[Unit Price]],""),"")</f>
        <v/>
      </c>
      <c r="T630" s="186" t="s">
        <v>1802</v>
      </c>
      <c r="U630" s="46"/>
      <c r="V630" s="46"/>
      <c r="W630" s="146"/>
    </row>
    <row r="631" spans="1:23" ht="15" customHeight="1">
      <c r="A631" s="143" t="str">
        <f t="shared" si="18"/>
        <v>AKH12345</v>
      </c>
      <c r="B631" s="144" t="s">
        <v>3063</v>
      </c>
      <c r="C631" s="143" t="s">
        <v>3064</v>
      </c>
      <c r="D631" s="105"/>
      <c r="E631" s="106"/>
      <c r="F631" s="105"/>
      <c r="G631" s="106"/>
      <c r="H631" s="175"/>
      <c r="I631" s="176" t="s">
        <v>847</v>
      </c>
      <c r="J631" s="176" t="s">
        <v>835</v>
      </c>
      <c r="K631" s="176" t="s">
        <v>1235</v>
      </c>
      <c r="L631" s="145" t="s">
        <v>1806</v>
      </c>
      <c r="M631" s="45" t="str">
        <f t="shared" si="19"/>
        <v>OneCo Networks AS</v>
      </c>
      <c r="N631" s="40" t="str">
        <f ca="1">IFERROR(
VLOOKUP(BoM_Griptel[[#This Row],[Product code]],
IF(AND((BoQ!$N$3&lt;&gt;""),OR(BoM_Griptel[[#This Row],[Vendor]]="Griptel",BoM_Griptel[[#This Row],[Vendor]]="Solar")),INDIRECT(Aux!$A$1)),4,FALSE),"")</f>
        <v/>
      </c>
      <c r="O631" s="169" t="s">
        <v>1807</v>
      </c>
      <c r="P631" s="41" t="str">
        <f>IFERROR(IF(AND(BoM_Griptel[[#This Row],[Quantity]]&lt;&gt;"",BoM_Griptel[[#This Row],[Currency]]="NOK"),BoM_Griptel[[#This Row],[Quantity]]*BoM_Griptel[[#This Row],[Unit Price]],""),"")</f>
        <v/>
      </c>
      <c r="Q631" s="41" t="str">
        <f>IFERROR(IF(AND(BoM_Griptel[[#This Row],[ACT_Qty]]&lt;&gt;"",BoM_Griptel[[#This Row],[Currency]]="NOK"),BoM_Griptel[[#This Row],[ACT_Qty]]*BoM_Griptel[[#This Row],[Unit Price]],""),"")</f>
        <v/>
      </c>
      <c r="R631" s="41" t="str">
        <f>IFERROR(IF(AND(BoM_Griptel[[#This Row],[Quantity]]&lt;&gt;"",BoM_Griptel[[#This Row],[Currency]]="EUR"),BoM_Griptel[[#This Row],[Quantity]]*BoM_Griptel[[#This Row],[Unit Price]],""),"")</f>
        <v/>
      </c>
      <c r="S631" s="41" t="str">
        <f>IFERROR(IF(AND(BoM_Griptel[[#This Row],[ACT_Qty]]&lt;&gt;"",BoM_Griptel[[#This Row],[Currency]]="EUR"),BoM_Griptel[[#This Row],[ACT_Qty]]*BoM_Griptel[[#This Row],[Unit Price]],""),"")</f>
        <v/>
      </c>
      <c r="T631" s="185" t="s">
        <v>1802</v>
      </c>
      <c r="U631" s="45"/>
      <c r="V631" s="45"/>
      <c r="W631" s="143"/>
    </row>
    <row r="632" spans="1:23" ht="15" customHeight="1">
      <c r="A632" s="146" t="str">
        <f t="shared" si="18"/>
        <v>AKH12345</v>
      </c>
      <c r="B632" s="147" t="s">
        <v>3065</v>
      </c>
      <c r="C632" s="146" t="s">
        <v>3066</v>
      </c>
      <c r="D632" s="68"/>
      <c r="E632" s="89"/>
      <c r="F632" s="68"/>
      <c r="G632" s="89"/>
      <c r="H632" s="177"/>
      <c r="I632" s="178" t="s">
        <v>847</v>
      </c>
      <c r="J632" s="178" t="s">
        <v>835</v>
      </c>
      <c r="K632" s="178" t="s">
        <v>1235</v>
      </c>
      <c r="L632" s="148" t="s">
        <v>1806</v>
      </c>
      <c r="M632" s="46" t="str">
        <f t="shared" si="19"/>
        <v>OneCo Networks AS</v>
      </c>
      <c r="N632" s="42" t="str">
        <f ca="1">IFERROR(
VLOOKUP(BoM_Griptel[[#This Row],[Product code]],
IF(AND((BoQ!$N$3&lt;&gt;""),OR(BoM_Griptel[[#This Row],[Vendor]]="Griptel",BoM_Griptel[[#This Row],[Vendor]]="Solar")),INDIRECT(Aux!$A$1)),4,FALSE),"")</f>
        <v/>
      </c>
      <c r="O632" s="170" t="s">
        <v>1807</v>
      </c>
      <c r="P632" s="43" t="str">
        <f>IFERROR(IF(AND(BoM_Griptel[[#This Row],[Quantity]]&lt;&gt;"",BoM_Griptel[[#This Row],[Currency]]="NOK"),BoM_Griptel[[#This Row],[Quantity]]*BoM_Griptel[[#This Row],[Unit Price]],""),"")</f>
        <v/>
      </c>
      <c r="Q632" s="43" t="str">
        <f>IFERROR(IF(AND(BoM_Griptel[[#This Row],[ACT_Qty]]&lt;&gt;"",BoM_Griptel[[#This Row],[Currency]]="NOK"),BoM_Griptel[[#This Row],[ACT_Qty]]*BoM_Griptel[[#This Row],[Unit Price]],""),"")</f>
        <v/>
      </c>
      <c r="R632" s="43" t="str">
        <f>IFERROR(IF(AND(BoM_Griptel[[#This Row],[Quantity]]&lt;&gt;"",BoM_Griptel[[#This Row],[Currency]]="EUR"),BoM_Griptel[[#This Row],[Quantity]]*BoM_Griptel[[#This Row],[Unit Price]],""),"")</f>
        <v/>
      </c>
      <c r="S632" s="43" t="str">
        <f>IFERROR(IF(AND(BoM_Griptel[[#This Row],[ACT_Qty]]&lt;&gt;"",BoM_Griptel[[#This Row],[Currency]]="EUR"),BoM_Griptel[[#This Row],[ACT_Qty]]*BoM_Griptel[[#This Row],[Unit Price]],""),"")</f>
        <v/>
      </c>
      <c r="T632" s="186" t="s">
        <v>1802</v>
      </c>
      <c r="U632" s="46"/>
      <c r="V632" s="46"/>
      <c r="W632" s="146"/>
    </row>
    <row r="633" spans="1:23" ht="15" customHeight="1">
      <c r="A633" s="143" t="str">
        <f t="shared" si="18"/>
        <v>AKH12345</v>
      </c>
      <c r="B633" s="144" t="s">
        <v>3067</v>
      </c>
      <c r="C633" s="143" t="s">
        <v>3068</v>
      </c>
      <c r="D633" s="105"/>
      <c r="E633" s="106"/>
      <c r="F633" s="105"/>
      <c r="G633" s="106"/>
      <c r="H633" s="175"/>
      <c r="I633" s="176" t="s">
        <v>847</v>
      </c>
      <c r="J633" s="176" t="s">
        <v>835</v>
      </c>
      <c r="K633" s="176" t="s">
        <v>1235</v>
      </c>
      <c r="L633" s="145" t="s">
        <v>1806</v>
      </c>
      <c r="M633" s="45" t="str">
        <f t="shared" si="19"/>
        <v>OneCo Networks AS</v>
      </c>
      <c r="N633" s="40" t="str">
        <f ca="1">IFERROR(
VLOOKUP(BoM_Griptel[[#This Row],[Product code]],
IF(AND((BoQ!$N$3&lt;&gt;""),OR(BoM_Griptel[[#This Row],[Vendor]]="Griptel",BoM_Griptel[[#This Row],[Vendor]]="Solar")),INDIRECT(Aux!$A$1)),4,FALSE),"")</f>
        <v/>
      </c>
      <c r="O633" s="169" t="s">
        <v>1807</v>
      </c>
      <c r="P633" s="41" t="str">
        <f>IFERROR(IF(AND(BoM_Griptel[[#This Row],[Quantity]]&lt;&gt;"",BoM_Griptel[[#This Row],[Currency]]="NOK"),BoM_Griptel[[#This Row],[Quantity]]*BoM_Griptel[[#This Row],[Unit Price]],""),"")</f>
        <v/>
      </c>
      <c r="Q633" s="41" t="str">
        <f>IFERROR(IF(AND(BoM_Griptel[[#This Row],[ACT_Qty]]&lt;&gt;"",BoM_Griptel[[#This Row],[Currency]]="NOK"),BoM_Griptel[[#This Row],[ACT_Qty]]*BoM_Griptel[[#This Row],[Unit Price]],""),"")</f>
        <v/>
      </c>
      <c r="R633" s="41" t="str">
        <f>IFERROR(IF(AND(BoM_Griptel[[#This Row],[Quantity]]&lt;&gt;"",BoM_Griptel[[#This Row],[Currency]]="EUR"),BoM_Griptel[[#This Row],[Quantity]]*BoM_Griptel[[#This Row],[Unit Price]],""),"")</f>
        <v/>
      </c>
      <c r="S633" s="41" t="str">
        <f>IFERROR(IF(AND(BoM_Griptel[[#This Row],[ACT_Qty]]&lt;&gt;"",BoM_Griptel[[#This Row],[Currency]]="EUR"),BoM_Griptel[[#This Row],[ACT_Qty]]*BoM_Griptel[[#This Row],[Unit Price]],""),"")</f>
        <v/>
      </c>
      <c r="T633" s="185" t="s">
        <v>1802</v>
      </c>
      <c r="U633" s="45"/>
      <c r="V633" s="45"/>
      <c r="W633" s="143"/>
    </row>
    <row r="634" spans="1:23" ht="15" customHeight="1">
      <c r="A634" s="146" t="str">
        <f t="shared" si="18"/>
        <v>AKH12345</v>
      </c>
      <c r="B634" s="147" t="s">
        <v>3069</v>
      </c>
      <c r="C634" s="146" t="s">
        <v>3070</v>
      </c>
      <c r="D634" s="68"/>
      <c r="E634" s="89"/>
      <c r="F634" s="68"/>
      <c r="G634" s="89"/>
      <c r="H634" s="177"/>
      <c r="I634" s="178" t="s">
        <v>847</v>
      </c>
      <c r="J634" s="178" t="s">
        <v>835</v>
      </c>
      <c r="K634" s="178" t="s">
        <v>1235</v>
      </c>
      <c r="L634" s="148" t="s">
        <v>1806</v>
      </c>
      <c r="M634" s="46" t="str">
        <f t="shared" si="19"/>
        <v>OneCo Networks AS</v>
      </c>
      <c r="N634" s="42" t="str">
        <f ca="1">IFERROR(
VLOOKUP(BoM_Griptel[[#This Row],[Product code]],
IF(AND((BoQ!$N$3&lt;&gt;""),OR(BoM_Griptel[[#This Row],[Vendor]]="Griptel",BoM_Griptel[[#This Row],[Vendor]]="Solar")),INDIRECT(Aux!$A$1)),4,FALSE),"")</f>
        <v/>
      </c>
      <c r="O634" s="170" t="s">
        <v>1807</v>
      </c>
      <c r="P634" s="43" t="str">
        <f>IFERROR(IF(AND(BoM_Griptel[[#This Row],[Quantity]]&lt;&gt;"",BoM_Griptel[[#This Row],[Currency]]="NOK"),BoM_Griptel[[#This Row],[Quantity]]*BoM_Griptel[[#This Row],[Unit Price]],""),"")</f>
        <v/>
      </c>
      <c r="Q634" s="43" t="str">
        <f>IFERROR(IF(AND(BoM_Griptel[[#This Row],[ACT_Qty]]&lt;&gt;"",BoM_Griptel[[#This Row],[Currency]]="NOK"),BoM_Griptel[[#This Row],[ACT_Qty]]*BoM_Griptel[[#This Row],[Unit Price]],""),"")</f>
        <v/>
      </c>
      <c r="R634" s="43" t="str">
        <f>IFERROR(IF(AND(BoM_Griptel[[#This Row],[Quantity]]&lt;&gt;"",BoM_Griptel[[#This Row],[Currency]]="EUR"),BoM_Griptel[[#This Row],[Quantity]]*BoM_Griptel[[#This Row],[Unit Price]],""),"")</f>
        <v/>
      </c>
      <c r="S634" s="43" t="str">
        <f>IFERROR(IF(AND(BoM_Griptel[[#This Row],[ACT_Qty]]&lt;&gt;"",BoM_Griptel[[#This Row],[Currency]]="EUR"),BoM_Griptel[[#This Row],[ACT_Qty]]*BoM_Griptel[[#This Row],[Unit Price]],""),"")</f>
        <v/>
      </c>
      <c r="T634" s="186" t="s">
        <v>1802</v>
      </c>
      <c r="U634" s="46"/>
      <c r="V634" s="46"/>
      <c r="W634" s="146"/>
    </row>
    <row r="635" spans="1:23" ht="15" customHeight="1">
      <c r="A635" s="143" t="str">
        <f t="shared" si="18"/>
        <v>AKH12345</v>
      </c>
      <c r="B635" s="144" t="s">
        <v>3071</v>
      </c>
      <c r="C635" s="143" t="s">
        <v>3072</v>
      </c>
      <c r="D635" s="105"/>
      <c r="E635" s="106"/>
      <c r="F635" s="105"/>
      <c r="G635" s="106"/>
      <c r="H635" s="175"/>
      <c r="I635" s="176" t="s">
        <v>847</v>
      </c>
      <c r="J635" s="176" t="s">
        <v>835</v>
      </c>
      <c r="K635" s="176" t="s">
        <v>1235</v>
      </c>
      <c r="L635" s="145" t="s">
        <v>1806</v>
      </c>
      <c r="M635" s="45" t="str">
        <f t="shared" si="19"/>
        <v>OneCo Networks AS</v>
      </c>
      <c r="N635" s="40" t="str">
        <f ca="1">IFERROR(
VLOOKUP(BoM_Griptel[[#This Row],[Product code]],
IF(AND((BoQ!$N$3&lt;&gt;""),OR(BoM_Griptel[[#This Row],[Vendor]]="Griptel",BoM_Griptel[[#This Row],[Vendor]]="Solar")),INDIRECT(Aux!$A$1)),4,FALSE),"")</f>
        <v/>
      </c>
      <c r="O635" s="169" t="s">
        <v>1807</v>
      </c>
      <c r="P635" s="41" t="str">
        <f>IFERROR(IF(AND(BoM_Griptel[[#This Row],[Quantity]]&lt;&gt;"",BoM_Griptel[[#This Row],[Currency]]="NOK"),BoM_Griptel[[#This Row],[Quantity]]*BoM_Griptel[[#This Row],[Unit Price]],""),"")</f>
        <v/>
      </c>
      <c r="Q635" s="41" t="str">
        <f>IFERROR(IF(AND(BoM_Griptel[[#This Row],[ACT_Qty]]&lt;&gt;"",BoM_Griptel[[#This Row],[Currency]]="NOK"),BoM_Griptel[[#This Row],[ACT_Qty]]*BoM_Griptel[[#This Row],[Unit Price]],""),"")</f>
        <v/>
      </c>
      <c r="R635" s="41" t="str">
        <f>IFERROR(IF(AND(BoM_Griptel[[#This Row],[Quantity]]&lt;&gt;"",BoM_Griptel[[#This Row],[Currency]]="EUR"),BoM_Griptel[[#This Row],[Quantity]]*BoM_Griptel[[#This Row],[Unit Price]],""),"")</f>
        <v/>
      </c>
      <c r="S635" s="41" t="str">
        <f>IFERROR(IF(AND(BoM_Griptel[[#This Row],[ACT_Qty]]&lt;&gt;"",BoM_Griptel[[#This Row],[Currency]]="EUR"),BoM_Griptel[[#This Row],[ACT_Qty]]*BoM_Griptel[[#This Row],[Unit Price]],""),"")</f>
        <v/>
      </c>
      <c r="T635" s="185" t="s">
        <v>1802</v>
      </c>
      <c r="U635" s="45"/>
      <c r="V635" s="45"/>
      <c r="W635" s="143"/>
    </row>
    <row r="636" spans="1:23" ht="15" customHeight="1">
      <c r="A636" s="146" t="str">
        <f t="shared" si="18"/>
        <v>AKH12345</v>
      </c>
      <c r="B636" s="147" t="s">
        <v>3073</v>
      </c>
      <c r="C636" s="146" t="s">
        <v>3074</v>
      </c>
      <c r="D636" s="68"/>
      <c r="E636" s="89"/>
      <c r="F636" s="68"/>
      <c r="G636" s="89"/>
      <c r="H636" s="177"/>
      <c r="I636" s="178" t="s">
        <v>847</v>
      </c>
      <c r="J636" s="178" t="s">
        <v>835</v>
      </c>
      <c r="K636" s="178" t="s">
        <v>1235</v>
      </c>
      <c r="L636" s="148" t="s">
        <v>1806</v>
      </c>
      <c r="M636" s="46" t="str">
        <f t="shared" si="19"/>
        <v>OneCo Networks AS</v>
      </c>
      <c r="N636" s="42" t="str">
        <f ca="1">IFERROR(
VLOOKUP(BoM_Griptel[[#This Row],[Product code]],
IF(AND((BoQ!$N$3&lt;&gt;""),OR(BoM_Griptel[[#This Row],[Vendor]]="Griptel",BoM_Griptel[[#This Row],[Vendor]]="Solar")),INDIRECT(Aux!$A$1)),4,FALSE),"")</f>
        <v/>
      </c>
      <c r="O636" s="170" t="s">
        <v>1807</v>
      </c>
      <c r="P636" s="43" t="str">
        <f>IFERROR(IF(AND(BoM_Griptel[[#This Row],[Quantity]]&lt;&gt;"",BoM_Griptel[[#This Row],[Currency]]="NOK"),BoM_Griptel[[#This Row],[Quantity]]*BoM_Griptel[[#This Row],[Unit Price]],""),"")</f>
        <v/>
      </c>
      <c r="Q636" s="43" t="str">
        <f>IFERROR(IF(AND(BoM_Griptel[[#This Row],[ACT_Qty]]&lt;&gt;"",BoM_Griptel[[#This Row],[Currency]]="NOK"),BoM_Griptel[[#This Row],[ACT_Qty]]*BoM_Griptel[[#This Row],[Unit Price]],""),"")</f>
        <v/>
      </c>
      <c r="R636" s="43" t="str">
        <f>IFERROR(IF(AND(BoM_Griptel[[#This Row],[Quantity]]&lt;&gt;"",BoM_Griptel[[#This Row],[Currency]]="EUR"),BoM_Griptel[[#This Row],[Quantity]]*BoM_Griptel[[#This Row],[Unit Price]],""),"")</f>
        <v/>
      </c>
      <c r="S636" s="43" t="str">
        <f>IFERROR(IF(AND(BoM_Griptel[[#This Row],[ACT_Qty]]&lt;&gt;"",BoM_Griptel[[#This Row],[Currency]]="EUR"),BoM_Griptel[[#This Row],[ACT_Qty]]*BoM_Griptel[[#This Row],[Unit Price]],""),"")</f>
        <v/>
      </c>
      <c r="T636" s="186" t="s">
        <v>1802</v>
      </c>
      <c r="U636" s="46"/>
      <c r="V636" s="46"/>
      <c r="W636" s="146"/>
    </row>
    <row r="637" spans="1:23" ht="15" customHeight="1">
      <c r="A637" s="143" t="str">
        <f t="shared" si="18"/>
        <v>AKH12345</v>
      </c>
      <c r="B637" s="144" t="s">
        <v>3075</v>
      </c>
      <c r="C637" s="143" t="s">
        <v>3076</v>
      </c>
      <c r="D637" s="105"/>
      <c r="E637" s="106"/>
      <c r="F637" s="105"/>
      <c r="G637" s="106"/>
      <c r="H637" s="175"/>
      <c r="I637" s="176" t="s">
        <v>847</v>
      </c>
      <c r="J637" s="176" t="s">
        <v>835</v>
      </c>
      <c r="K637" s="176" t="s">
        <v>1235</v>
      </c>
      <c r="L637" s="145" t="s">
        <v>1806</v>
      </c>
      <c r="M637" s="45" t="str">
        <f t="shared" si="19"/>
        <v>OneCo Networks AS</v>
      </c>
      <c r="N637" s="40" t="str">
        <f ca="1">IFERROR(
VLOOKUP(BoM_Griptel[[#This Row],[Product code]],
IF(AND((BoQ!$N$3&lt;&gt;""),OR(BoM_Griptel[[#This Row],[Vendor]]="Griptel",BoM_Griptel[[#This Row],[Vendor]]="Solar")),INDIRECT(Aux!$A$1)),4,FALSE),"")</f>
        <v/>
      </c>
      <c r="O637" s="169" t="s">
        <v>1807</v>
      </c>
      <c r="P637" s="41" t="str">
        <f>IFERROR(IF(AND(BoM_Griptel[[#This Row],[Quantity]]&lt;&gt;"",BoM_Griptel[[#This Row],[Currency]]="NOK"),BoM_Griptel[[#This Row],[Quantity]]*BoM_Griptel[[#This Row],[Unit Price]],""),"")</f>
        <v/>
      </c>
      <c r="Q637" s="41" t="str">
        <f>IFERROR(IF(AND(BoM_Griptel[[#This Row],[ACT_Qty]]&lt;&gt;"",BoM_Griptel[[#This Row],[Currency]]="NOK"),BoM_Griptel[[#This Row],[ACT_Qty]]*BoM_Griptel[[#This Row],[Unit Price]],""),"")</f>
        <v/>
      </c>
      <c r="R637" s="41" t="str">
        <f>IFERROR(IF(AND(BoM_Griptel[[#This Row],[Quantity]]&lt;&gt;"",BoM_Griptel[[#This Row],[Currency]]="EUR"),BoM_Griptel[[#This Row],[Quantity]]*BoM_Griptel[[#This Row],[Unit Price]],""),"")</f>
        <v/>
      </c>
      <c r="S637" s="41" t="str">
        <f>IFERROR(IF(AND(BoM_Griptel[[#This Row],[ACT_Qty]]&lt;&gt;"",BoM_Griptel[[#This Row],[Currency]]="EUR"),BoM_Griptel[[#This Row],[ACT_Qty]]*BoM_Griptel[[#This Row],[Unit Price]],""),"")</f>
        <v/>
      </c>
      <c r="T637" s="185" t="s">
        <v>1802</v>
      </c>
      <c r="U637" s="45"/>
      <c r="V637" s="45"/>
      <c r="W637" s="143"/>
    </row>
    <row r="638" spans="1:23" ht="15" customHeight="1">
      <c r="A638" s="146" t="str">
        <f t="shared" si="18"/>
        <v>AKH12345</v>
      </c>
      <c r="B638" s="147" t="s">
        <v>3077</v>
      </c>
      <c r="C638" s="146" t="s">
        <v>3078</v>
      </c>
      <c r="D638" s="68"/>
      <c r="E638" s="89"/>
      <c r="F638" s="68"/>
      <c r="G638" s="89"/>
      <c r="H638" s="177"/>
      <c r="I638" s="178" t="s">
        <v>847</v>
      </c>
      <c r="J638" s="178" t="s">
        <v>1805</v>
      </c>
      <c r="K638" s="178" t="s">
        <v>1235</v>
      </c>
      <c r="L638" s="148" t="s">
        <v>1806</v>
      </c>
      <c r="M638" s="46" t="str">
        <f t="shared" si="19"/>
        <v>OneCo Networks AS</v>
      </c>
      <c r="N638" s="42" t="str">
        <f ca="1">IFERROR(
VLOOKUP(BoM_Griptel[[#This Row],[Product code]],
IF(AND((BoQ!$N$3&lt;&gt;""),OR(BoM_Griptel[[#This Row],[Vendor]]="Griptel",BoM_Griptel[[#This Row],[Vendor]]="Solar")),INDIRECT(Aux!$A$1)),4,FALSE),"")</f>
        <v/>
      </c>
      <c r="O638" s="170" t="s">
        <v>1807</v>
      </c>
      <c r="P638" s="43" t="str">
        <f>IFERROR(IF(AND(BoM_Griptel[[#This Row],[Quantity]]&lt;&gt;"",BoM_Griptel[[#This Row],[Currency]]="NOK"),BoM_Griptel[[#This Row],[Quantity]]*BoM_Griptel[[#This Row],[Unit Price]],""),"")</f>
        <v/>
      </c>
      <c r="Q638" s="43" t="str">
        <f>IFERROR(IF(AND(BoM_Griptel[[#This Row],[ACT_Qty]]&lt;&gt;"",BoM_Griptel[[#This Row],[Currency]]="NOK"),BoM_Griptel[[#This Row],[ACT_Qty]]*BoM_Griptel[[#This Row],[Unit Price]],""),"")</f>
        <v/>
      </c>
      <c r="R638" s="43" t="str">
        <f>IFERROR(IF(AND(BoM_Griptel[[#This Row],[Quantity]]&lt;&gt;"",BoM_Griptel[[#This Row],[Currency]]="EUR"),BoM_Griptel[[#This Row],[Quantity]]*BoM_Griptel[[#This Row],[Unit Price]],""),"")</f>
        <v/>
      </c>
      <c r="S638" s="43" t="str">
        <f>IFERROR(IF(AND(BoM_Griptel[[#This Row],[ACT_Qty]]&lt;&gt;"",BoM_Griptel[[#This Row],[Currency]]="EUR"),BoM_Griptel[[#This Row],[ACT_Qty]]*BoM_Griptel[[#This Row],[Unit Price]],""),"")</f>
        <v/>
      </c>
      <c r="T638" s="186" t="s">
        <v>1802</v>
      </c>
      <c r="U638" s="46"/>
      <c r="V638" s="46"/>
      <c r="W638" s="146"/>
    </row>
    <row r="639" spans="1:23" ht="15" customHeight="1">
      <c r="A639" s="143" t="str">
        <f t="shared" si="18"/>
        <v>AKH12345</v>
      </c>
      <c r="B639" s="144" t="s">
        <v>3079</v>
      </c>
      <c r="C639" s="143" t="s">
        <v>3080</v>
      </c>
      <c r="D639" s="105"/>
      <c r="E639" s="106"/>
      <c r="F639" s="105"/>
      <c r="G639" s="106"/>
      <c r="H639" s="175"/>
      <c r="I639" s="176" t="s">
        <v>847</v>
      </c>
      <c r="J639" s="176" t="s">
        <v>835</v>
      </c>
      <c r="K639" s="176" t="s">
        <v>1235</v>
      </c>
      <c r="L639" s="145" t="s">
        <v>1806</v>
      </c>
      <c r="M639" s="45" t="str">
        <f t="shared" si="19"/>
        <v>OneCo Networks AS</v>
      </c>
      <c r="N639" s="40" t="str">
        <f ca="1">IFERROR(
VLOOKUP(BoM_Griptel[[#This Row],[Product code]],
IF(AND((BoQ!$N$3&lt;&gt;""),OR(BoM_Griptel[[#This Row],[Vendor]]="Griptel",BoM_Griptel[[#This Row],[Vendor]]="Solar")),INDIRECT(Aux!$A$1)),4,FALSE),"")</f>
        <v/>
      </c>
      <c r="O639" s="169" t="s">
        <v>1807</v>
      </c>
      <c r="P639" s="41" t="str">
        <f>IFERROR(IF(AND(BoM_Griptel[[#This Row],[Quantity]]&lt;&gt;"",BoM_Griptel[[#This Row],[Currency]]="NOK"),BoM_Griptel[[#This Row],[Quantity]]*BoM_Griptel[[#This Row],[Unit Price]],""),"")</f>
        <v/>
      </c>
      <c r="Q639" s="41" t="str">
        <f>IFERROR(IF(AND(BoM_Griptel[[#This Row],[ACT_Qty]]&lt;&gt;"",BoM_Griptel[[#This Row],[Currency]]="NOK"),BoM_Griptel[[#This Row],[ACT_Qty]]*BoM_Griptel[[#This Row],[Unit Price]],""),"")</f>
        <v/>
      </c>
      <c r="R639" s="41" t="str">
        <f>IFERROR(IF(AND(BoM_Griptel[[#This Row],[Quantity]]&lt;&gt;"",BoM_Griptel[[#This Row],[Currency]]="EUR"),BoM_Griptel[[#This Row],[Quantity]]*BoM_Griptel[[#This Row],[Unit Price]],""),"")</f>
        <v/>
      </c>
      <c r="S639" s="41" t="str">
        <f>IFERROR(IF(AND(BoM_Griptel[[#This Row],[ACT_Qty]]&lt;&gt;"",BoM_Griptel[[#This Row],[Currency]]="EUR"),BoM_Griptel[[#This Row],[ACT_Qty]]*BoM_Griptel[[#This Row],[Unit Price]],""),"")</f>
        <v/>
      </c>
      <c r="T639" s="185" t="s">
        <v>1802</v>
      </c>
      <c r="U639" s="45"/>
      <c r="V639" s="45"/>
      <c r="W639" s="143"/>
    </row>
    <row r="640" spans="1:23" ht="15" customHeight="1">
      <c r="A640" s="146" t="str">
        <f t="shared" si="18"/>
        <v>AKH12345</v>
      </c>
      <c r="B640" s="147" t="s">
        <v>3081</v>
      </c>
      <c r="C640" s="146" t="s">
        <v>3082</v>
      </c>
      <c r="D640" s="68"/>
      <c r="E640" s="89"/>
      <c r="F640" s="68"/>
      <c r="G640" s="89"/>
      <c r="H640" s="177"/>
      <c r="I640" s="178" t="s">
        <v>847</v>
      </c>
      <c r="J640" s="178" t="s">
        <v>1805</v>
      </c>
      <c r="K640" s="178" t="s">
        <v>1235</v>
      </c>
      <c r="L640" s="148" t="s">
        <v>1806</v>
      </c>
      <c r="M640" s="46" t="str">
        <f t="shared" si="19"/>
        <v>OneCo Networks AS</v>
      </c>
      <c r="N640" s="42" t="str">
        <f ca="1">IFERROR(
VLOOKUP(BoM_Griptel[[#This Row],[Product code]],
IF(AND((BoQ!$N$3&lt;&gt;""),OR(BoM_Griptel[[#This Row],[Vendor]]="Griptel",BoM_Griptel[[#This Row],[Vendor]]="Solar")),INDIRECT(Aux!$A$1)),4,FALSE),"")</f>
        <v/>
      </c>
      <c r="O640" s="170" t="s">
        <v>1807</v>
      </c>
      <c r="P640" s="43" t="str">
        <f>IFERROR(IF(AND(BoM_Griptel[[#This Row],[Quantity]]&lt;&gt;"",BoM_Griptel[[#This Row],[Currency]]="NOK"),BoM_Griptel[[#This Row],[Quantity]]*BoM_Griptel[[#This Row],[Unit Price]],""),"")</f>
        <v/>
      </c>
      <c r="Q640" s="43" t="str">
        <f>IFERROR(IF(AND(BoM_Griptel[[#This Row],[ACT_Qty]]&lt;&gt;"",BoM_Griptel[[#This Row],[Currency]]="NOK"),BoM_Griptel[[#This Row],[ACT_Qty]]*BoM_Griptel[[#This Row],[Unit Price]],""),"")</f>
        <v/>
      </c>
      <c r="R640" s="43" t="str">
        <f>IFERROR(IF(AND(BoM_Griptel[[#This Row],[Quantity]]&lt;&gt;"",BoM_Griptel[[#This Row],[Currency]]="EUR"),BoM_Griptel[[#This Row],[Quantity]]*BoM_Griptel[[#This Row],[Unit Price]],""),"")</f>
        <v/>
      </c>
      <c r="S640" s="43" t="str">
        <f>IFERROR(IF(AND(BoM_Griptel[[#This Row],[ACT_Qty]]&lt;&gt;"",BoM_Griptel[[#This Row],[Currency]]="EUR"),BoM_Griptel[[#This Row],[ACT_Qty]]*BoM_Griptel[[#This Row],[Unit Price]],""),"")</f>
        <v/>
      </c>
      <c r="T640" s="186" t="s">
        <v>1802</v>
      </c>
      <c r="U640" s="46"/>
      <c r="V640" s="46"/>
      <c r="W640" s="146"/>
    </row>
    <row r="641" spans="1:23" ht="15" customHeight="1">
      <c r="A641" s="143" t="str">
        <f t="shared" si="18"/>
        <v>AKH12345</v>
      </c>
      <c r="B641" s="144" t="s">
        <v>3083</v>
      </c>
      <c r="C641" s="143" t="s">
        <v>3084</v>
      </c>
      <c r="D641" s="105"/>
      <c r="E641" s="106"/>
      <c r="F641" s="105"/>
      <c r="G641" s="106"/>
      <c r="H641" s="175"/>
      <c r="I641" s="176" t="s">
        <v>847</v>
      </c>
      <c r="J641" s="176" t="s">
        <v>1805</v>
      </c>
      <c r="K641" s="176" t="s">
        <v>1235</v>
      </c>
      <c r="L641" s="145" t="s">
        <v>1806</v>
      </c>
      <c r="M641" s="45" t="str">
        <f t="shared" si="19"/>
        <v>OneCo Networks AS</v>
      </c>
      <c r="N641" s="40" t="str">
        <f ca="1">IFERROR(
VLOOKUP(BoM_Griptel[[#This Row],[Product code]],
IF(AND((BoQ!$N$3&lt;&gt;""),OR(BoM_Griptel[[#This Row],[Vendor]]="Griptel",BoM_Griptel[[#This Row],[Vendor]]="Solar")),INDIRECT(Aux!$A$1)),4,FALSE),"")</f>
        <v/>
      </c>
      <c r="O641" s="169" t="s">
        <v>1807</v>
      </c>
      <c r="P641" s="41" t="str">
        <f>IFERROR(IF(AND(BoM_Griptel[[#This Row],[Quantity]]&lt;&gt;"",BoM_Griptel[[#This Row],[Currency]]="NOK"),BoM_Griptel[[#This Row],[Quantity]]*BoM_Griptel[[#This Row],[Unit Price]],""),"")</f>
        <v/>
      </c>
      <c r="Q641" s="41" t="str">
        <f>IFERROR(IF(AND(BoM_Griptel[[#This Row],[ACT_Qty]]&lt;&gt;"",BoM_Griptel[[#This Row],[Currency]]="NOK"),BoM_Griptel[[#This Row],[ACT_Qty]]*BoM_Griptel[[#This Row],[Unit Price]],""),"")</f>
        <v/>
      </c>
      <c r="R641" s="41" t="str">
        <f>IFERROR(IF(AND(BoM_Griptel[[#This Row],[Quantity]]&lt;&gt;"",BoM_Griptel[[#This Row],[Currency]]="EUR"),BoM_Griptel[[#This Row],[Quantity]]*BoM_Griptel[[#This Row],[Unit Price]],""),"")</f>
        <v/>
      </c>
      <c r="S641" s="41" t="str">
        <f>IFERROR(IF(AND(BoM_Griptel[[#This Row],[ACT_Qty]]&lt;&gt;"",BoM_Griptel[[#This Row],[Currency]]="EUR"),BoM_Griptel[[#This Row],[ACT_Qty]]*BoM_Griptel[[#This Row],[Unit Price]],""),"")</f>
        <v/>
      </c>
      <c r="T641" s="185" t="s">
        <v>1802</v>
      </c>
      <c r="U641" s="45"/>
      <c r="V641" s="45"/>
      <c r="W641" s="143"/>
    </row>
    <row r="642" spans="1:23" ht="15" customHeight="1">
      <c r="A642" s="146" t="str">
        <f t="shared" si="18"/>
        <v>AKH12345</v>
      </c>
      <c r="B642" s="147" t="s">
        <v>3085</v>
      </c>
      <c r="C642" s="146" t="s">
        <v>3086</v>
      </c>
      <c r="D642" s="68"/>
      <c r="E642" s="89"/>
      <c r="F642" s="68"/>
      <c r="G642" s="89"/>
      <c r="H642" s="177"/>
      <c r="I642" s="178" t="s">
        <v>847</v>
      </c>
      <c r="J642" s="178" t="s">
        <v>1805</v>
      </c>
      <c r="K642" s="178" t="s">
        <v>1235</v>
      </c>
      <c r="L642" s="148" t="s">
        <v>1806</v>
      </c>
      <c r="M642" s="46" t="str">
        <f t="shared" si="19"/>
        <v>OneCo Networks AS</v>
      </c>
      <c r="N642" s="42" t="str">
        <f ca="1">IFERROR(
VLOOKUP(BoM_Griptel[[#This Row],[Product code]],
IF(AND((BoQ!$N$3&lt;&gt;""),OR(BoM_Griptel[[#This Row],[Vendor]]="Griptel",BoM_Griptel[[#This Row],[Vendor]]="Solar")),INDIRECT(Aux!$A$1)),4,FALSE),"")</f>
        <v/>
      </c>
      <c r="O642" s="170" t="s">
        <v>1807</v>
      </c>
      <c r="P642" s="43" t="str">
        <f>IFERROR(IF(AND(BoM_Griptel[[#This Row],[Quantity]]&lt;&gt;"",BoM_Griptel[[#This Row],[Currency]]="NOK"),BoM_Griptel[[#This Row],[Quantity]]*BoM_Griptel[[#This Row],[Unit Price]],""),"")</f>
        <v/>
      </c>
      <c r="Q642" s="43" t="str">
        <f>IFERROR(IF(AND(BoM_Griptel[[#This Row],[ACT_Qty]]&lt;&gt;"",BoM_Griptel[[#This Row],[Currency]]="NOK"),BoM_Griptel[[#This Row],[ACT_Qty]]*BoM_Griptel[[#This Row],[Unit Price]],""),"")</f>
        <v/>
      </c>
      <c r="R642" s="43" t="str">
        <f>IFERROR(IF(AND(BoM_Griptel[[#This Row],[Quantity]]&lt;&gt;"",BoM_Griptel[[#This Row],[Currency]]="EUR"),BoM_Griptel[[#This Row],[Quantity]]*BoM_Griptel[[#This Row],[Unit Price]],""),"")</f>
        <v/>
      </c>
      <c r="S642" s="43" t="str">
        <f>IFERROR(IF(AND(BoM_Griptel[[#This Row],[ACT_Qty]]&lt;&gt;"",BoM_Griptel[[#This Row],[Currency]]="EUR"),BoM_Griptel[[#This Row],[ACT_Qty]]*BoM_Griptel[[#This Row],[Unit Price]],""),"")</f>
        <v/>
      </c>
      <c r="T642" s="186" t="s">
        <v>1802</v>
      </c>
      <c r="U642" s="46"/>
      <c r="V642" s="46"/>
      <c r="W642" s="146"/>
    </row>
    <row r="643" spans="1:23" ht="15" customHeight="1">
      <c r="A643" s="143" t="str">
        <f t="shared" si="18"/>
        <v>AKH12345</v>
      </c>
      <c r="B643" s="144" t="s">
        <v>3087</v>
      </c>
      <c r="C643" s="143" t="s">
        <v>3088</v>
      </c>
      <c r="D643" s="105"/>
      <c r="E643" s="106"/>
      <c r="F643" s="105"/>
      <c r="G643" s="106"/>
      <c r="H643" s="175"/>
      <c r="I643" s="176" t="s">
        <v>847</v>
      </c>
      <c r="J643" s="176" t="s">
        <v>1965</v>
      </c>
      <c r="K643" s="176" t="s">
        <v>1235</v>
      </c>
      <c r="L643" s="145" t="s">
        <v>1806</v>
      </c>
      <c r="M643" s="45" t="str">
        <f t="shared" si="19"/>
        <v>OneCo Networks AS</v>
      </c>
      <c r="N643" s="40" t="str">
        <f ca="1">IFERROR(
VLOOKUP(BoM_Griptel[[#This Row],[Product code]],
IF(AND((BoQ!$N$3&lt;&gt;""),OR(BoM_Griptel[[#This Row],[Vendor]]="Griptel",BoM_Griptel[[#This Row],[Vendor]]="Solar")),INDIRECT(Aux!$A$1)),4,FALSE),"")</f>
        <v/>
      </c>
      <c r="O643" s="169" t="s">
        <v>1807</v>
      </c>
      <c r="P643" s="41" t="str">
        <f>IFERROR(IF(AND(BoM_Griptel[[#This Row],[Quantity]]&lt;&gt;"",BoM_Griptel[[#This Row],[Currency]]="NOK"),BoM_Griptel[[#This Row],[Quantity]]*BoM_Griptel[[#This Row],[Unit Price]],""),"")</f>
        <v/>
      </c>
      <c r="Q643" s="41" t="str">
        <f>IFERROR(IF(AND(BoM_Griptel[[#This Row],[ACT_Qty]]&lt;&gt;"",BoM_Griptel[[#This Row],[Currency]]="NOK"),BoM_Griptel[[#This Row],[ACT_Qty]]*BoM_Griptel[[#This Row],[Unit Price]],""),"")</f>
        <v/>
      </c>
      <c r="R643" s="41" t="str">
        <f>IFERROR(IF(AND(BoM_Griptel[[#This Row],[Quantity]]&lt;&gt;"",BoM_Griptel[[#This Row],[Currency]]="EUR"),BoM_Griptel[[#This Row],[Quantity]]*BoM_Griptel[[#This Row],[Unit Price]],""),"")</f>
        <v/>
      </c>
      <c r="S643" s="41" t="str">
        <f>IFERROR(IF(AND(BoM_Griptel[[#This Row],[ACT_Qty]]&lt;&gt;"",BoM_Griptel[[#This Row],[Currency]]="EUR"),BoM_Griptel[[#This Row],[ACT_Qty]]*BoM_Griptel[[#This Row],[Unit Price]],""),"")</f>
        <v/>
      </c>
      <c r="T643" s="185" t="s">
        <v>1802</v>
      </c>
      <c r="U643" s="45"/>
      <c r="V643" s="45"/>
      <c r="W643" s="143"/>
    </row>
    <row r="644" spans="1:23" ht="15" customHeight="1">
      <c r="A644" s="146" t="str">
        <f t="shared" si="18"/>
        <v>AKH12345</v>
      </c>
      <c r="B644" s="147" t="s">
        <v>3089</v>
      </c>
      <c r="C644" s="146" t="s">
        <v>3090</v>
      </c>
      <c r="D644" s="68"/>
      <c r="E644" s="89"/>
      <c r="F644" s="68"/>
      <c r="G644" s="89"/>
      <c r="H644" s="177"/>
      <c r="I644" s="178" t="s">
        <v>847</v>
      </c>
      <c r="J644" s="178" t="s">
        <v>1965</v>
      </c>
      <c r="K644" s="178" t="s">
        <v>1235</v>
      </c>
      <c r="L644" s="148" t="s">
        <v>1806</v>
      </c>
      <c r="M644" s="46" t="str">
        <f t="shared" si="19"/>
        <v>OneCo Networks AS</v>
      </c>
      <c r="N644" s="42" t="str">
        <f ca="1">IFERROR(
VLOOKUP(BoM_Griptel[[#This Row],[Product code]],
IF(AND((BoQ!$N$3&lt;&gt;""),OR(BoM_Griptel[[#This Row],[Vendor]]="Griptel",BoM_Griptel[[#This Row],[Vendor]]="Solar")),INDIRECT(Aux!$A$1)),4,FALSE),"")</f>
        <v/>
      </c>
      <c r="O644" s="170" t="s">
        <v>1807</v>
      </c>
      <c r="P644" s="43" t="str">
        <f>IFERROR(IF(AND(BoM_Griptel[[#This Row],[Quantity]]&lt;&gt;"",BoM_Griptel[[#This Row],[Currency]]="NOK"),BoM_Griptel[[#This Row],[Quantity]]*BoM_Griptel[[#This Row],[Unit Price]],""),"")</f>
        <v/>
      </c>
      <c r="Q644" s="43" t="str">
        <f>IFERROR(IF(AND(BoM_Griptel[[#This Row],[ACT_Qty]]&lt;&gt;"",BoM_Griptel[[#This Row],[Currency]]="NOK"),BoM_Griptel[[#This Row],[ACT_Qty]]*BoM_Griptel[[#This Row],[Unit Price]],""),"")</f>
        <v/>
      </c>
      <c r="R644" s="43" t="str">
        <f>IFERROR(IF(AND(BoM_Griptel[[#This Row],[Quantity]]&lt;&gt;"",BoM_Griptel[[#This Row],[Currency]]="EUR"),BoM_Griptel[[#This Row],[Quantity]]*BoM_Griptel[[#This Row],[Unit Price]],""),"")</f>
        <v/>
      </c>
      <c r="S644" s="43" t="str">
        <f>IFERROR(IF(AND(BoM_Griptel[[#This Row],[ACT_Qty]]&lt;&gt;"",BoM_Griptel[[#This Row],[Currency]]="EUR"),BoM_Griptel[[#This Row],[ACT_Qty]]*BoM_Griptel[[#This Row],[Unit Price]],""),"")</f>
        <v/>
      </c>
      <c r="T644" s="186" t="s">
        <v>1802</v>
      </c>
      <c r="U644" s="46"/>
      <c r="V644" s="46"/>
      <c r="W644" s="146"/>
    </row>
    <row r="645" spans="1:23" ht="15" customHeight="1">
      <c r="A645" s="143" t="str">
        <f t="shared" si="18"/>
        <v>AKH12345</v>
      </c>
      <c r="B645" s="144" t="s">
        <v>3091</v>
      </c>
      <c r="C645" s="143" t="s">
        <v>3092</v>
      </c>
      <c r="D645" s="105"/>
      <c r="E645" s="106"/>
      <c r="F645" s="105"/>
      <c r="G645" s="106"/>
      <c r="H645" s="175"/>
      <c r="I645" s="176" t="s">
        <v>847</v>
      </c>
      <c r="J645" s="176" t="s">
        <v>1965</v>
      </c>
      <c r="K645" s="176" t="s">
        <v>1235</v>
      </c>
      <c r="L645" s="145" t="s">
        <v>1806</v>
      </c>
      <c r="M645" s="45" t="str">
        <f t="shared" si="19"/>
        <v>OneCo Networks AS</v>
      </c>
      <c r="N645" s="40" t="str">
        <f ca="1">IFERROR(
VLOOKUP(BoM_Griptel[[#This Row],[Product code]],
IF(AND((BoQ!$N$3&lt;&gt;""),OR(BoM_Griptel[[#This Row],[Vendor]]="Griptel",BoM_Griptel[[#This Row],[Vendor]]="Solar")),INDIRECT(Aux!$A$1)),4,FALSE),"")</f>
        <v/>
      </c>
      <c r="O645" s="169" t="s">
        <v>1807</v>
      </c>
      <c r="P645" s="41" t="str">
        <f>IFERROR(IF(AND(BoM_Griptel[[#This Row],[Quantity]]&lt;&gt;"",BoM_Griptel[[#This Row],[Currency]]="NOK"),BoM_Griptel[[#This Row],[Quantity]]*BoM_Griptel[[#This Row],[Unit Price]],""),"")</f>
        <v/>
      </c>
      <c r="Q645" s="41" t="str">
        <f>IFERROR(IF(AND(BoM_Griptel[[#This Row],[ACT_Qty]]&lt;&gt;"",BoM_Griptel[[#This Row],[Currency]]="NOK"),BoM_Griptel[[#This Row],[ACT_Qty]]*BoM_Griptel[[#This Row],[Unit Price]],""),"")</f>
        <v/>
      </c>
      <c r="R645" s="41" t="str">
        <f>IFERROR(IF(AND(BoM_Griptel[[#This Row],[Quantity]]&lt;&gt;"",BoM_Griptel[[#This Row],[Currency]]="EUR"),BoM_Griptel[[#This Row],[Quantity]]*BoM_Griptel[[#This Row],[Unit Price]],""),"")</f>
        <v/>
      </c>
      <c r="S645" s="41" t="str">
        <f>IFERROR(IF(AND(BoM_Griptel[[#This Row],[ACT_Qty]]&lt;&gt;"",BoM_Griptel[[#This Row],[Currency]]="EUR"),BoM_Griptel[[#This Row],[ACT_Qty]]*BoM_Griptel[[#This Row],[Unit Price]],""),"")</f>
        <v/>
      </c>
      <c r="T645" s="185" t="s">
        <v>1802</v>
      </c>
      <c r="U645" s="45"/>
      <c r="V645" s="45"/>
      <c r="W645" s="143"/>
    </row>
    <row r="646" spans="1:23" ht="15" customHeight="1">
      <c r="A646" s="146" t="str">
        <f t="shared" si="18"/>
        <v>AKH12345</v>
      </c>
      <c r="B646" s="147" t="s">
        <v>3093</v>
      </c>
      <c r="C646" s="146" t="s">
        <v>3094</v>
      </c>
      <c r="D646" s="68"/>
      <c r="E646" s="89"/>
      <c r="F646" s="68"/>
      <c r="G646" s="89"/>
      <c r="H646" s="177"/>
      <c r="I646" s="178" t="s">
        <v>847</v>
      </c>
      <c r="J646" s="178" t="s">
        <v>1965</v>
      </c>
      <c r="K646" s="178" t="s">
        <v>1235</v>
      </c>
      <c r="L646" s="148" t="s">
        <v>1806</v>
      </c>
      <c r="M646" s="46" t="str">
        <f t="shared" si="19"/>
        <v>OneCo Networks AS</v>
      </c>
      <c r="N646" s="42" t="str">
        <f ca="1">IFERROR(
VLOOKUP(BoM_Griptel[[#This Row],[Product code]],
IF(AND((BoQ!$N$3&lt;&gt;""),OR(BoM_Griptel[[#This Row],[Vendor]]="Griptel",BoM_Griptel[[#This Row],[Vendor]]="Solar")),INDIRECT(Aux!$A$1)),4,FALSE),"")</f>
        <v/>
      </c>
      <c r="O646" s="170" t="s">
        <v>1807</v>
      </c>
      <c r="P646" s="43" t="str">
        <f>IFERROR(IF(AND(BoM_Griptel[[#This Row],[Quantity]]&lt;&gt;"",BoM_Griptel[[#This Row],[Currency]]="NOK"),BoM_Griptel[[#This Row],[Quantity]]*BoM_Griptel[[#This Row],[Unit Price]],""),"")</f>
        <v/>
      </c>
      <c r="Q646" s="43" t="str">
        <f>IFERROR(IF(AND(BoM_Griptel[[#This Row],[ACT_Qty]]&lt;&gt;"",BoM_Griptel[[#This Row],[Currency]]="NOK"),BoM_Griptel[[#This Row],[ACT_Qty]]*BoM_Griptel[[#This Row],[Unit Price]],""),"")</f>
        <v/>
      </c>
      <c r="R646" s="43" t="str">
        <f>IFERROR(IF(AND(BoM_Griptel[[#This Row],[Quantity]]&lt;&gt;"",BoM_Griptel[[#This Row],[Currency]]="EUR"),BoM_Griptel[[#This Row],[Quantity]]*BoM_Griptel[[#This Row],[Unit Price]],""),"")</f>
        <v/>
      </c>
      <c r="S646" s="43" t="str">
        <f>IFERROR(IF(AND(BoM_Griptel[[#This Row],[ACT_Qty]]&lt;&gt;"",BoM_Griptel[[#This Row],[Currency]]="EUR"),BoM_Griptel[[#This Row],[ACT_Qty]]*BoM_Griptel[[#This Row],[Unit Price]],""),"")</f>
        <v/>
      </c>
      <c r="T646" s="186" t="s">
        <v>1802</v>
      </c>
      <c r="U646" s="46"/>
      <c r="V646" s="46"/>
      <c r="W646" s="146"/>
    </row>
    <row r="647" spans="1:23" ht="15" customHeight="1">
      <c r="A647" s="143" t="str">
        <f t="shared" si="18"/>
        <v>AKH12345</v>
      </c>
      <c r="B647" s="144" t="s">
        <v>3095</v>
      </c>
      <c r="C647" s="143" t="s">
        <v>3094</v>
      </c>
      <c r="D647" s="105"/>
      <c r="E647" s="106"/>
      <c r="F647" s="105"/>
      <c r="G647" s="106"/>
      <c r="H647" s="175"/>
      <c r="I647" s="176" t="s">
        <v>847</v>
      </c>
      <c r="J647" s="176" t="s">
        <v>1965</v>
      </c>
      <c r="K647" s="176" t="s">
        <v>1235</v>
      </c>
      <c r="L647" s="145" t="s">
        <v>1806</v>
      </c>
      <c r="M647" s="45" t="str">
        <f t="shared" si="19"/>
        <v>OneCo Networks AS</v>
      </c>
      <c r="N647" s="40" t="str">
        <f ca="1">IFERROR(
VLOOKUP(BoM_Griptel[[#This Row],[Product code]],
IF(AND((BoQ!$N$3&lt;&gt;""),OR(BoM_Griptel[[#This Row],[Vendor]]="Griptel",BoM_Griptel[[#This Row],[Vendor]]="Solar")),INDIRECT(Aux!$A$1)),4,FALSE),"")</f>
        <v/>
      </c>
      <c r="O647" s="169" t="s">
        <v>1807</v>
      </c>
      <c r="P647" s="41" t="str">
        <f>IFERROR(IF(AND(BoM_Griptel[[#This Row],[Quantity]]&lt;&gt;"",BoM_Griptel[[#This Row],[Currency]]="NOK"),BoM_Griptel[[#This Row],[Quantity]]*BoM_Griptel[[#This Row],[Unit Price]],""),"")</f>
        <v/>
      </c>
      <c r="Q647" s="41" t="str">
        <f>IFERROR(IF(AND(BoM_Griptel[[#This Row],[ACT_Qty]]&lt;&gt;"",BoM_Griptel[[#This Row],[Currency]]="NOK"),BoM_Griptel[[#This Row],[ACT_Qty]]*BoM_Griptel[[#This Row],[Unit Price]],""),"")</f>
        <v/>
      </c>
      <c r="R647" s="41" t="str">
        <f>IFERROR(IF(AND(BoM_Griptel[[#This Row],[Quantity]]&lt;&gt;"",BoM_Griptel[[#This Row],[Currency]]="EUR"),BoM_Griptel[[#This Row],[Quantity]]*BoM_Griptel[[#This Row],[Unit Price]],""),"")</f>
        <v/>
      </c>
      <c r="S647" s="41" t="str">
        <f>IFERROR(IF(AND(BoM_Griptel[[#This Row],[ACT_Qty]]&lt;&gt;"",BoM_Griptel[[#This Row],[Currency]]="EUR"),BoM_Griptel[[#This Row],[ACT_Qty]]*BoM_Griptel[[#This Row],[Unit Price]],""),"")</f>
        <v/>
      </c>
      <c r="T647" s="185" t="s">
        <v>1802</v>
      </c>
      <c r="U647" s="45"/>
      <c r="V647" s="45"/>
      <c r="W647" s="143"/>
    </row>
    <row r="648" spans="1:23" ht="15" customHeight="1">
      <c r="A648" s="146" t="str">
        <f t="shared" si="18"/>
        <v>AKH12345</v>
      </c>
      <c r="B648" s="147" t="s">
        <v>3096</v>
      </c>
      <c r="C648" s="146" t="s">
        <v>3097</v>
      </c>
      <c r="D648" s="68"/>
      <c r="E648" s="89"/>
      <c r="F648" s="68"/>
      <c r="G648" s="89"/>
      <c r="H648" s="177"/>
      <c r="I648" s="178" t="s">
        <v>847</v>
      </c>
      <c r="J648" s="178" t="s">
        <v>1965</v>
      </c>
      <c r="K648" s="178" t="s">
        <v>1235</v>
      </c>
      <c r="L648" s="148" t="s">
        <v>1806</v>
      </c>
      <c r="M648" s="46" t="str">
        <f t="shared" si="19"/>
        <v>OneCo Networks AS</v>
      </c>
      <c r="N648" s="42" t="str">
        <f ca="1">IFERROR(
VLOOKUP(BoM_Griptel[[#This Row],[Product code]],
IF(AND((BoQ!$N$3&lt;&gt;""),OR(BoM_Griptel[[#This Row],[Vendor]]="Griptel",BoM_Griptel[[#This Row],[Vendor]]="Solar")),INDIRECT(Aux!$A$1)),4,FALSE),"")</f>
        <v/>
      </c>
      <c r="O648" s="170" t="s">
        <v>1807</v>
      </c>
      <c r="P648" s="43" t="str">
        <f>IFERROR(IF(AND(BoM_Griptel[[#This Row],[Quantity]]&lt;&gt;"",BoM_Griptel[[#This Row],[Currency]]="NOK"),BoM_Griptel[[#This Row],[Quantity]]*BoM_Griptel[[#This Row],[Unit Price]],""),"")</f>
        <v/>
      </c>
      <c r="Q648" s="43" t="str">
        <f>IFERROR(IF(AND(BoM_Griptel[[#This Row],[ACT_Qty]]&lt;&gt;"",BoM_Griptel[[#This Row],[Currency]]="NOK"),BoM_Griptel[[#This Row],[ACT_Qty]]*BoM_Griptel[[#This Row],[Unit Price]],""),"")</f>
        <v/>
      </c>
      <c r="R648" s="43" t="str">
        <f>IFERROR(IF(AND(BoM_Griptel[[#This Row],[Quantity]]&lt;&gt;"",BoM_Griptel[[#This Row],[Currency]]="EUR"),BoM_Griptel[[#This Row],[Quantity]]*BoM_Griptel[[#This Row],[Unit Price]],""),"")</f>
        <v/>
      </c>
      <c r="S648" s="43" t="str">
        <f>IFERROR(IF(AND(BoM_Griptel[[#This Row],[ACT_Qty]]&lt;&gt;"",BoM_Griptel[[#This Row],[Currency]]="EUR"),BoM_Griptel[[#This Row],[ACT_Qty]]*BoM_Griptel[[#This Row],[Unit Price]],""),"")</f>
        <v/>
      </c>
      <c r="T648" s="186" t="s">
        <v>1802</v>
      </c>
      <c r="U648" s="46"/>
      <c r="V648" s="46"/>
      <c r="W648" s="146"/>
    </row>
    <row r="649" spans="1:23" ht="15" customHeight="1">
      <c r="A649" s="143" t="str">
        <f t="shared" si="18"/>
        <v>AKH12345</v>
      </c>
      <c r="B649" s="144" t="s">
        <v>3098</v>
      </c>
      <c r="C649" s="143" t="s">
        <v>3099</v>
      </c>
      <c r="D649" s="105"/>
      <c r="E649" s="106"/>
      <c r="F649" s="105"/>
      <c r="G649" s="106"/>
      <c r="H649" s="175"/>
      <c r="I649" s="176" t="s">
        <v>847</v>
      </c>
      <c r="J649" s="176" t="s">
        <v>1965</v>
      </c>
      <c r="K649" s="176" t="s">
        <v>1235</v>
      </c>
      <c r="L649" s="145" t="s">
        <v>1806</v>
      </c>
      <c r="M649" s="45" t="str">
        <f t="shared" si="19"/>
        <v>OneCo Networks AS</v>
      </c>
      <c r="N649" s="40" t="str">
        <f ca="1">IFERROR(
VLOOKUP(BoM_Griptel[[#This Row],[Product code]],
IF(AND((BoQ!$N$3&lt;&gt;""),OR(BoM_Griptel[[#This Row],[Vendor]]="Griptel",BoM_Griptel[[#This Row],[Vendor]]="Solar")),INDIRECT(Aux!$A$1)),4,FALSE),"")</f>
        <v/>
      </c>
      <c r="O649" s="169" t="s">
        <v>1807</v>
      </c>
      <c r="P649" s="41" t="str">
        <f>IFERROR(IF(AND(BoM_Griptel[[#This Row],[Quantity]]&lt;&gt;"",BoM_Griptel[[#This Row],[Currency]]="NOK"),BoM_Griptel[[#This Row],[Quantity]]*BoM_Griptel[[#This Row],[Unit Price]],""),"")</f>
        <v/>
      </c>
      <c r="Q649" s="41" t="str">
        <f>IFERROR(IF(AND(BoM_Griptel[[#This Row],[ACT_Qty]]&lt;&gt;"",BoM_Griptel[[#This Row],[Currency]]="NOK"),BoM_Griptel[[#This Row],[ACT_Qty]]*BoM_Griptel[[#This Row],[Unit Price]],""),"")</f>
        <v/>
      </c>
      <c r="R649" s="41" t="str">
        <f>IFERROR(IF(AND(BoM_Griptel[[#This Row],[Quantity]]&lt;&gt;"",BoM_Griptel[[#This Row],[Currency]]="EUR"),BoM_Griptel[[#This Row],[Quantity]]*BoM_Griptel[[#This Row],[Unit Price]],""),"")</f>
        <v/>
      </c>
      <c r="S649" s="41" t="str">
        <f>IFERROR(IF(AND(BoM_Griptel[[#This Row],[ACT_Qty]]&lt;&gt;"",BoM_Griptel[[#This Row],[Currency]]="EUR"),BoM_Griptel[[#This Row],[ACT_Qty]]*BoM_Griptel[[#This Row],[Unit Price]],""),"")</f>
        <v/>
      </c>
      <c r="T649" s="185" t="s">
        <v>1802</v>
      </c>
      <c r="U649" s="45"/>
      <c r="V649" s="45"/>
      <c r="W649" s="143"/>
    </row>
    <row r="650" spans="1:23" ht="15" customHeight="1">
      <c r="A650" s="146" t="str">
        <f t="shared" si="18"/>
        <v>AKH12345</v>
      </c>
      <c r="B650" s="147" t="s">
        <v>3100</v>
      </c>
      <c r="C650" s="146" t="s">
        <v>3101</v>
      </c>
      <c r="D650" s="68"/>
      <c r="E650" s="89"/>
      <c r="F650" s="68"/>
      <c r="G650" s="89"/>
      <c r="H650" s="177"/>
      <c r="I650" s="178" t="s">
        <v>847</v>
      </c>
      <c r="J650" s="178" t="s">
        <v>746</v>
      </c>
      <c r="K650" s="178" t="s">
        <v>1235</v>
      </c>
      <c r="L650" s="148" t="s">
        <v>1806</v>
      </c>
      <c r="M650" s="46" t="str">
        <f t="shared" si="19"/>
        <v>OneCo Networks AS</v>
      </c>
      <c r="N650" s="42" t="str">
        <f ca="1">IFERROR(
VLOOKUP(BoM_Griptel[[#This Row],[Product code]],
IF(AND((BoQ!$N$3&lt;&gt;""),OR(BoM_Griptel[[#This Row],[Vendor]]="Griptel",BoM_Griptel[[#This Row],[Vendor]]="Solar")),INDIRECT(Aux!$A$1)),4,FALSE),"")</f>
        <v/>
      </c>
      <c r="O650" s="170" t="s">
        <v>1807</v>
      </c>
      <c r="P650" s="43" t="str">
        <f>IFERROR(IF(AND(BoM_Griptel[[#This Row],[Quantity]]&lt;&gt;"",BoM_Griptel[[#This Row],[Currency]]="NOK"),BoM_Griptel[[#This Row],[Quantity]]*BoM_Griptel[[#This Row],[Unit Price]],""),"")</f>
        <v/>
      </c>
      <c r="Q650" s="43" t="str">
        <f>IFERROR(IF(AND(BoM_Griptel[[#This Row],[ACT_Qty]]&lt;&gt;"",BoM_Griptel[[#This Row],[Currency]]="NOK"),BoM_Griptel[[#This Row],[ACT_Qty]]*BoM_Griptel[[#This Row],[Unit Price]],""),"")</f>
        <v/>
      </c>
      <c r="R650" s="43" t="str">
        <f>IFERROR(IF(AND(BoM_Griptel[[#This Row],[Quantity]]&lt;&gt;"",BoM_Griptel[[#This Row],[Currency]]="EUR"),BoM_Griptel[[#This Row],[Quantity]]*BoM_Griptel[[#This Row],[Unit Price]],""),"")</f>
        <v/>
      </c>
      <c r="S650" s="43" t="str">
        <f>IFERROR(IF(AND(BoM_Griptel[[#This Row],[ACT_Qty]]&lt;&gt;"",BoM_Griptel[[#This Row],[Currency]]="EUR"),BoM_Griptel[[#This Row],[ACT_Qty]]*BoM_Griptel[[#This Row],[Unit Price]],""),"")</f>
        <v/>
      </c>
      <c r="T650" s="186" t="s">
        <v>1802</v>
      </c>
      <c r="U650" s="46"/>
      <c r="V650" s="46"/>
      <c r="W650" s="146"/>
    </row>
    <row r="651" spans="1:23" ht="15" customHeight="1">
      <c r="A651" s="143" t="str">
        <f t="shared" si="18"/>
        <v>AKH12345</v>
      </c>
      <c r="B651" s="144" t="s">
        <v>3102</v>
      </c>
      <c r="C651" s="143" t="s">
        <v>3103</v>
      </c>
      <c r="D651" s="105"/>
      <c r="E651" s="106"/>
      <c r="F651" s="105"/>
      <c r="G651" s="106"/>
      <c r="H651" s="175"/>
      <c r="I651" s="176" t="s">
        <v>847</v>
      </c>
      <c r="J651" s="176" t="s">
        <v>746</v>
      </c>
      <c r="K651" s="176" t="s">
        <v>1235</v>
      </c>
      <c r="L651" s="145" t="s">
        <v>1806</v>
      </c>
      <c r="M651" s="45" t="str">
        <f t="shared" si="19"/>
        <v>OneCo Networks AS</v>
      </c>
      <c r="N651" s="40" t="str">
        <f ca="1">IFERROR(
VLOOKUP(BoM_Griptel[[#This Row],[Product code]],
IF(AND((BoQ!$N$3&lt;&gt;""),OR(BoM_Griptel[[#This Row],[Vendor]]="Griptel",BoM_Griptel[[#This Row],[Vendor]]="Solar")),INDIRECT(Aux!$A$1)),4,FALSE),"")</f>
        <v/>
      </c>
      <c r="O651" s="169" t="s">
        <v>1807</v>
      </c>
      <c r="P651" s="41" t="str">
        <f>IFERROR(IF(AND(BoM_Griptel[[#This Row],[Quantity]]&lt;&gt;"",BoM_Griptel[[#This Row],[Currency]]="NOK"),BoM_Griptel[[#This Row],[Quantity]]*BoM_Griptel[[#This Row],[Unit Price]],""),"")</f>
        <v/>
      </c>
      <c r="Q651" s="41" t="str">
        <f>IFERROR(IF(AND(BoM_Griptel[[#This Row],[ACT_Qty]]&lt;&gt;"",BoM_Griptel[[#This Row],[Currency]]="NOK"),BoM_Griptel[[#This Row],[ACT_Qty]]*BoM_Griptel[[#This Row],[Unit Price]],""),"")</f>
        <v/>
      </c>
      <c r="R651" s="41" t="str">
        <f>IFERROR(IF(AND(BoM_Griptel[[#This Row],[Quantity]]&lt;&gt;"",BoM_Griptel[[#This Row],[Currency]]="EUR"),BoM_Griptel[[#This Row],[Quantity]]*BoM_Griptel[[#This Row],[Unit Price]],""),"")</f>
        <v/>
      </c>
      <c r="S651" s="41" t="str">
        <f>IFERROR(IF(AND(BoM_Griptel[[#This Row],[ACT_Qty]]&lt;&gt;"",BoM_Griptel[[#This Row],[Currency]]="EUR"),BoM_Griptel[[#This Row],[ACT_Qty]]*BoM_Griptel[[#This Row],[Unit Price]],""),"")</f>
        <v/>
      </c>
      <c r="T651" s="185" t="s">
        <v>1802</v>
      </c>
      <c r="U651" s="45"/>
      <c r="V651" s="45"/>
      <c r="W651" s="143"/>
    </row>
    <row r="652" spans="1:23" ht="15" customHeight="1">
      <c r="A652" s="146" t="str">
        <f t="shared" si="18"/>
        <v>AKH12345</v>
      </c>
      <c r="B652" s="147" t="s">
        <v>3104</v>
      </c>
      <c r="C652" s="146" t="s">
        <v>3105</v>
      </c>
      <c r="D652" s="68"/>
      <c r="E652" s="89"/>
      <c r="F652" s="68"/>
      <c r="G652" s="89"/>
      <c r="H652" s="177"/>
      <c r="I652" s="178" t="s">
        <v>847</v>
      </c>
      <c r="J652" s="178" t="s">
        <v>746</v>
      </c>
      <c r="K652" s="178" t="s">
        <v>1235</v>
      </c>
      <c r="L652" s="148" t="s">
        <v>1806</v>
      </c>
      <c r="M652" s="46" t="str">
        <f t="shared" si="19"/>
        <v>OneCo Networks AS</v>
      </c>
      <c r="N652" s="42" t="str">
        <f ca="1">IFERROR(
VLOOKUP(BoM_Griptel[[#This Row],[Product code]],
IF(AND((BoQ!$N$3&lt;&gt;""),OR(BoM_Griptel[[#This Row],[Vendor]]="Griptel",BoM_Griptel[[#This Row],[Vendor]]="Solar")),INDIRECT(Aux!$A$1)),4,FALSE),"")</f>
        <v/>
      </c>
      <c r="O652" s="170" t="s">
        <v>1807</v>
      </c>
      <c r="P652" s="43" t="str">
        <f>IFERROR(IF(AND(BoM_Griptel[[#This Row],[Quantity]]&lt;&gt;"",BoM_Griptel[[#This Row],[Currency]]="NOK"),BoM_Griptel[[#This Row],[Quantity]]*BoM_Griptel[[#This Row],[Unit Price]],""),"")</f>
        <v/>
      </c>
      <c r="Q652" s="43" t="str">
        <f>IFERROR(IF(AND(BoM_Griptel[[#This Row],[ACT_Qty]]&lt;&gt;"",BoM_Griptel[[#This Row],[Currency]]="NOK"),BoM_Griptel[[#This Row],[ACT_Qty]]*BoM_Griptel[[#This Row],[Unit Price]],""),"")</f>
        <v/>
      </c>
      <c r="R652" s="43" t="str">
        <f>IFERROR(IF(AND(BoM_Griptel[[#This Row],[Quantity]]&lt;&gt;"",BoM_Griptel[[#This Row],[Currency]]="EUR"),BoM_Griptel[[#This Row],[Quantity]]*BoM_Griptel[[#This Row],[Unit Price]],""),"")</f>
        <v/>
      </c>
      <c r="S652" s="43" t="str">
        <f>IFERROR(IF(AND(BoM_Griptel[[#This Row],[ACT_Qty]]&lt;&gt;"",BoM_Griptel[[#This Row],[Currency]]="EUR"),BoM_Griptel[[#This Row],[ACT_Qty]]*BoM_Griptel[[#This Row],[Unit Price]],""),"")</f>
        <v/>
      </c>
      <c r="T652" s="186" t="s">
        <v>1802</v>
      </c>
      <c r="U652" s="46"/>
      <c r="V652" s="46"/>
      <c r="W652" s="146"/>
    </row>
    <row r="653" spans="1:23" ht="15" customHeight="1">
      <c r="A653" s="143" t="str">
        <f t="shared" si="18"/>
        <v>AKH12345</v>
      </c>
      <c r="B653" s="144" t="s">
        <v>3106</v>
      </c>
      <c r="C653" s="143" t="s">
        <v>3107</v>
      </c>
      <c r="D653" s="105"/>
      <c r="E653" s="106"/>
      <c r="F653" s="105"/>
      <c r="G653" s="106"/>
      <c r="H653" s="175"/>
      <c r="I653" s="176" t="s">
        <v>847</v>
      </c>
      <c r="J653" s="176" t="s">
        <v>746</v>
      </c>
      <c r="K653" s="176" t="s">
        <v>1235</v>
      </c>
      <c r="L653" s="145" t="s">
        <v>1806</v>
      </c>
      <c r="M653" s="45" t="str">
        <f t="shared" si="19"/>
        <v>OneCo Networks AS</v>
      </c>
      <c r="N653" s="40" t="str">
        <f ca="1">IFERROR(
VLOOKUP(BoM_Griptel[[#This Row],[Product code]],
IF(AND((BoQ!$N$3&lt;&gt;""),OR(BoM_Griptel[[#This Row],[Vendor]]="Griptel",BoM_Griptel[[#This Row],[Vendor]]="Solar")),INDIRECT(Aux!$A$1)),4,FALSE),"")</f>
        <v/>
      </c>
      <c r="O653" s="169" t="s">
        <v>1807</v>
      </c>
      <c r="P653" s="41" t="str">
        <f>IFERROR(IF(AND(BoM_Griptel[[#This Row],[Quantity]]&lt;&gt;"",BoM_Griptel[[#This Row],[Currency]]="NOK"),BoM_Griptel[[#This Row],[Quantity]]*BoM_Griptel[[#This Row],[Unit Price]],""),"")</f>
        <v/>
      </c>
      <c r="Q653" s="41" t="str">
        <f>IFERROR(IF(AND(BoM_Griptel[[#This Row],[ACT_Qty]]&lt;&gt;"",BoM_Griptel[[#This Row],[Currency]]="NOK"),BoM_Griptel[[#This Row],[ACT_Qty]]*BoM_Griptel[[#This Row],[Unit Price]],""),"")</f>
        <v/>
      </c>
      <c r="R653" s="41" t="str">
        <f>IFERROR(IF(AND(BoM_Griptel[[#This Row],[Quantity]]&lt;&gt;"",BoM_Griptel[[#This Row],[Currency]]="EUR"),BoM_Griptel[[#This Row],[Quantity]]*BoM_Griptel[[#This Row],[Unit Price]],""),"")</f>
        <v/>
      </c>
      <c r="S653" s="41" t="str">
        <f>IFERROR(IF(AND(BoM_Griptel[[#This Row],[ACT_Qty]]&lt;&gt;"",BoM_Griptel[[#This Row],[Currency]]="EUR"),BoM_Griptel[[#This Row],[ACT_Qty]]*BoM_Griptel[[#This Row],[Unit Price]],""),"")</f>
        <v/>
      </c>
      <c r="T653" s="185" t="s">
        <v>1802</v>
      </c>
      <c r="U653" s="45"/>
      <c r="V653" s="45"/>
      <c r="W653" s="143"/>
    </row>
    <row r="654" spans="1:23" ht="15" customHeight="1">
      <c r="A654" s="146" t="str">
        <f t="shared" ref="A654:A718" si="20">IF($C$4&lt;&gt;"",$C$4,"")</f>
        <v>AKH12345</v>
      </c>
      <c r="B654" s="147" t="s">
        <v>3108</v>
      </c>
      <c r="C654" s="146" t="s">
        <v>3109</v>
      </c>
      <c r="D654" s="68"/>
      <c r="E654" s="89"/>
      <c r="F654" s="68"/>
      <c r="G654" s="89"/>
      <c r="H654" s="177"/>
      <c r="I654" s="178" t="s">
        <v>847</v>
      </c>
      <c r="J654" s="178" t="s">
        <v>746</v>
      </c>
      <c r="K654" s="178" t="s">
        <v>1235</v>
      </c>
      <c r="L654" s="148" t="s">
        <v>1806</v>
      </c>
      <c r="M654" s="46" t="str">
        <f t="shared" si="19"/>
        <v>OneCo Networks AS</v>
      </c>
      <c r="N654" s="42" t="str">
        <f ca="1">IFERROR(
VLOOKUP(BoM_Griptel[[#This Row],[Product code]],
IF(AND((BoQ!$N$3&lt;&gt;""),OR(BoM_Griptel[[#This Row],[Vendor]]="Griptel",BoM_Griptel[[#This Row],[Vendor]]="Solar")),INDIRECT(Aux!$A$1)),4,FALSE),"")</f>
        <v/>
      </c>
      <c r="O654" s="170" t="s">
        <v>1807</v>
      </c>
      <c r="P654" s="43" t="str">
        <f>IFERROR(IF(AND(BoM_Griptel[[#This Row],[Quantity]]&lt;&gt;"",BoM_Griptel[[#This Row],[Currency]]="NOK"),BoM_Griptel[[#This Row],[Quantity]]*BoM_Griptel[[#This Row],[Unit Price]],""),"")</f>
        <v/>
      </c>
      <c r="Q654" s="43" t="str">
        <f>IFERROR(IF(AND(BoM_Griptel[[#This Row],[ACT_Qty]]&lt;&gt;"",BoM_Griptel[[#This Row],[Currency]]="NOK"),BoM_Griptel[[#This Row],[ACT_Qty]]*BoM_Griptel[[#This Row],[Unit Price]],""),"")</f>
        <v/>
      </c>
      <c r="R654" s="43" t="str">
        <f>IFERROR(IF(AND(BoM_Griptel[[#This Row],[Quantity]]&lt;&gt;"",BoM_Griptel[[#This Row],[Currency]]="EUR"),BoM_Griptel[[#This Row],[Quantity]]*BoM_Griptel[[#This Row],[Unit Price]],""),"")</f>
        <v/>
      </c>
      <c r="S654" s="43" t="str">
        <f>IFERROR(IF(AND(BoM_Griptel[[#This Row],[ACT_Qty]]&lt;&gt;"",BoM_Griptel[[#This Row],[Currency]]="EUR"),BoM_Griptel[[#This Row],[ACT_Qty]]*BoM_Griptel[[#This Row],[Unit Price]],""),"")</f>
        <v/>
      </c>
      <c r="T654" s="186" t="s">
        <v>1802</v>
      </c>
      <c r="U654" s="46"/>
      <c r="V654" s="46"/>
      <c r="W654" s="146"/>
    </row>
    <row r="655" spans="1:23" ht="15" customHeight="1">
      <c r="A655" s="143" t="str">
        <f t="shared" si="20"/>
        <v>AKH12345</v>
      </c>
      <c r="B655" s="144" t="s">
        <v>3110</v>
      </c>
      <c r="C655" s="143" t="s">
        <v>3111</v>
      </c>
      <c r="D655" s="105"/>
      <c r="E655" s="106"/>
      <c r="F655" s="105"/>
      <c r="G655" s="106"/>
      <c r="H655" s="175"/>
      <c r="I655" s="176" t="s">
        <v>847</v>
      </c>
      <c r="J655" s="176" t="s">
        <v>746</v>
      </c>
      <c r="K655" s="176" t="s">
        <v>1235</v>
      </c>
      <c r="L655" s="145" t="s">
        <v>1806</v>
      </c>
      <c r="M655" s="45" t="str">
        <f t="shared" si="19"/>
        <v>OneCo Networks AS</v>
      </c>
      <c r="N655" s="40" t="str">
        <f ca="1">IFERROR(
VLOOKUP(BoM_Griptel[[#This Row],[Product code]],
IF(AND((BoQ!$N$3&lt;&gt;""),OR(BoM_Griptel[[#This Row],[Vendor]]="Griptel",BoM_Griptel[[#This Row],[Vendor]]="Solar")),INDIRECT(Aux!$A$1)),4,FALSE),"")</f>
        <v/>
      </c>
      <c r="O655" s="169" t="s">
        <v>1807</v>
      </c>
      <c r="P655" s="41" t="str">
        <f>IFERROR(IF(AND(BoM_Griptel[[#This Row],[Quantity]]&lt;&gt;"",BoM_Griptel[[#This Row],[Currency]]="NOK"),BoM_Griptel[[#This Row],[Quantity]]*BoM_Griptel[[#This Row],[Unit Price]],""),"")</f>
        <v/>
      </c>
      <c r="Q655" s="41" t="str">
        <f>IFERROR(IF(AND(BoM_Griptel[[#This Row],[ACT_Qty]]&lt;&gt;"",BoM_Griptel[[#This Row],[Currency]]="NOK"),BoM_Griptel[[#This Row],[ACT_Qty]]*BoM_Griptel[[#This Row],[Unit Price]],""),"")</f>
        <v/>
      </c>
      <c r="R655" s="41" t="str">
        <f>IFERROR(IF(AND(BoM_Griptel[[#This Row],[Quantity]]&lt;&gt;"",BoM_Griptel[[#This Row],[Currency]]="EUR"),BoM_Griptel[[#This Row],[Quantity]]*BoM_Griptel[[#This Row],[Unit Price]],""),"")</f>
        <v/>
      </c>
      <c r="S655" s="41" t="str">
        <f>IFERROR(IF(AND(BoM_Griptel[[#This Row],[ACT_Qty]]&lt;&gt;"",BoM_Griptel[[#This Row],[Currency]]="EUR"),BoM_Griptel[[#This Row],[ACT_Qty]]*BoM_Griptel[[#This Row],[Unit Price]],""),"")</f>
        <v/>
      </c>
      <c r="T655" s="185" t="s">
        <v>1802</v>
      </c>
      <c r="U655" s="45"/>
      <c r="V655" s="45"/>
      <c r="W655" s="143"/>
    </row>
    <row r="656" spans="1:23" ht="15" customHeight="1">
      <c r="A656" s="146" t="str">
        <f t="shared" si="20"/>
        <v>AKH12345</v>
      </c>
      <c r="B656" s="147" t="s">
        <v>3112</v>
      </c>
      <c r="C656" s="146" t="s">
        <v>3113</v>
      </c>
      <c r="D656" s="68"/>
      <c r="E656" s="89"/>
      <c r="F656" s="68"/>
      <c r="G656" s="89"/>
      <c r="H656" s="177"/>
      <c r="I656" s="178" t="s">
        <v>847</v>
      </c>
      <c r="J656" s="178" t="s">
        <v>746</v>
      </c>
      <c r="K656" s="178" t="s">
        <v>1235</v>
      </c>
      <c r="L656" s="148" t="s">
        <v>1806</v>
      </c>
      <c r="M656" s="46" t="str">
        <f t="shared" si="19"/>
        <v>OneCo Networks AS</v>
      </c>
      <c r="N656" s="42" t="str">
        <f ca="1">IFERROR(
VLOOKUP(BoM_Griptel[[#This Row],[Product code]],
IF(AND((BoQ!$N$3&lt;&gt;""),OR(BoM_Griptel[[#This Row],[Vendor]]="Griptel",BoM_Griptel[[#This Row],[Vendor]]="Solar")),INDIRECT(Aux!$A$1)),4,FALSE),"")</f>
        <v/>
      </c>
      <c r="O656" s="170" t="s">
        <v>1807</v>
      </c>
      <c r="P656" s="43" t="str">
        <f>IFERROR(IF(AND(BoM_Griptel[[#This Row],[Quantity]]&lt;&gt;"",BoM_Griptel[[#This Row],[Currency]]="NOK"),BoM_Griptel[[#This Row],[Quantity]]*BoM_Griptel[[#This Row],[Unit Price]],""),"")</f>
        <v/>
      </c>
      <c r="Q656" s="43" t="str">
        <f>IFERROR(IF(AND(BoM_Griptel[[#This Row],[ACT_Qty]]&lt;&gt;"",BoM_Griptel[[#This Row],[Currency]]="NOK"),BoM_Griptel[[#This Row],[ACT_Qty]]*BoM_Griptel[[#This Row],[Unit Price]],""),"")</f>
        <v/>
      </c>
      <c r="R656" s="43" t="str">
        <f>IFERROR(IF(AND(BoM_Griptel[[#This Row],[Quantity]]&lt;&gt;"",BoM_Griptel[[#This Row],[Currency]]="EUR"),BoM_Griptel[[#This Row],[Quantity]]*BoM_Griptel[[#This Row],[Unit Price]],""),"")</f>
        <v/>
      </c>
      <c r="S656" s="43" t="str">
        <f>IFERROR(IF(AND(BoM_Griptel[[#This Row],[ACT_Qty]]&lt;&gt;"",BoM_Griptel[[#This Row],[Currency]]="EUR"),BoM_Griptel[[#This Row],[ACT_Qty]]*BoM_Griptel[[#This Row],[Unit Price]],""),"")</f>
        <v/>
      </c>
      <c r="T656" s="186" t="s">
        <v>1802</v>
      </c>
      <c r="U656" s="46"/>
      <c r="V656" s="46"/>
      <c r="W656" s="146"/>
    </row>
    <row r="657" spans="1:23" ht="15" customHeight="1">
      <c r="A657" s="143" t="str">
        <f t="shared" si="20"/>
        <v>AKH12345</v>
      </c>
      <c r="B657" s="144" t="s">
        <v>3114</v>
      </c>
      <c r="C657" s="143" t="s">
        <v>3115</v>
      </c>
      <c r="D657" s="105"/>
      <c r="E657" s="106"/>
      <c r="F657" s="105"/>
      <c r="G657" s="106"/>
      <c r="H657" s="175"/>
      <c r="I657" s="176" t="s">
        <v>847</v>
      </c>
      <c r="J657" s="176" t="s">
        <v>2718</v>
      </c>
      <c r="K657" s="176" t="s">
        <v>1235</v>
      </c>
      <c r="L657" s="145" t="s">
        <v>1806</v>
      </c>
      <c r="M657" s="45" t="str">
        <f t="shared" si="19"/>
        <v>OneCo Networks AS</v>
      </c>
      <c r="N657" s="40" t="str">
        <f ca="1">IFERROR(
VLOOKUP(BoM_Griptel[[#This Row],[Product code]],
IF(AND((BoQ!$N$3&lt;&gt;""),OR(BoM_Griptel[[#This Row],[Vendor]]="Griptel",BoM_Griptel[[#This Row],[Vendor]]="Solar")),INDIRECT(Aux!$A$1)),4,FALSE),"")</f>
        <v/>
      </c>
      <c r="O657" s="169" t="s">
        <v>1807</v>
      </c>
      <c r="P657" s="41" t="str">
        <f>IFERROR(IF(AND(BoM_Griptel[[#This Row],[Quantity]]&lt;&gt;"",BoM_Griptel[[#This Row],[Currency]]="NOK"),BoM_Griptel[[#This Row],[Quantity]]*BoM_Griptel[[#This Row],[Unit Price]],""),"")</f>
        <v/>
      </c>
      <c r="Q657" s="41" t="str">
        <f>IFERROR(IF(AND(BoM_Griptel[[#This Row],[ACT_Qty]]&lt;&gt;"",BoM_Griptel[[#This Row],[Currency]]="NOK"),BoM_Griptel[[#This Row],[ACT_Qty]]*BoM_Griptel[[#This Row],[Unit Price]],""),"")</f>
        <v/>
      </c>
      <c r="R657" s="41" t="str">
        <f>IFERROR(IF(AND(BoM_Griptel[[#This Row],[Quantity]]&lt;&gt;"",BoM_Griptel[[#This Row],[Currency]]="EUR"),BoM_Griptel[[#This Row],[Quantity]]*BoM_Griptel[[#This Row],[Unit Price]],""),"")</f>
        <v/>
      </c>
      <c r="S657" s="41" t="str">
        <f>IFERROR(IF(AND(BoM_Griptel[[#This Row],[ACT_Qty]]&lt;&gt;"",BoM_Griptel[[#This Row],[Currency]]="EUR"),BoM_Griptel[[#This Row],[ACT_Qty]]*BoM_Griptel[[#This Row],[Unit Price]],""),"")</f>
        <v/>
      </c>
      <c r="T657" s="185" t="s">
        <v>1802</v>
      </c>
      <c r="U657" s="45"/>
      <c r="V657" s="45"/>
      <c r="W657" s="143"/>
    </row>
    <row r="658" spans="1:23" ht="15" customHeight="1">
      <c r="A658" s="146" t="str">
        <f t="shared" si="20"/>
        <v>AKH12345</v>
      </c>
      <c r="B658" s="147" t="s">
        <v>3116</v>
      </c>
      <c r="C658" s="146" t="s">
        <v>3117</v>
      </c>
      <c r="D658" s="68"/>
      <c r="E658" s="89"/>
      <c r="F658" s="68"/>
      <c r="G658" s="89"/>
      <c r="H658" s="177"/>
      <c r="I658" s="178" t="s">
        <v>847</v>
      </c>
      <c r="J658" s="178" t="s">
        <v>2718</v>
      </c>
      <c r="K658" s="178" t="s">
        <v>1235</v>
      </c>
      <c r="L658" s="148" t="s">
        <v>1806</v>
      </c>
      <c r="M658" s="46" t="str">
        <f t="shared" si="19"/>
        <v>OneCo Networks AS</v>
      </c>
      <c r="N658" s="42" t="str">
        <f ca="1">IFERROR(
VLOOKUP(BoM_Griptel[[#This Row],[Product code]],
IF(AND((BoQ!$N$3&lt;&gt;""),OR(BoM_Griptel[[#This Row],[Vendor]]="Griptel",BoM_Griptel[[#This Row],[Vendor]]="Solar")),INDIRECT(Aux!$A$1)),4,FALSE),"")</f>
        <v/>
      </c>
      <c r="O658" s="170" t="s">
        <v>1807</v>
      </c>
      <c r="P658" s="43" t="str">
        <f>IFERROR(IF(AND(BoM_Griptel[[#This Row],[Quantity]]&lt;&gt;"",BoM_Griptel[[#This Row],[Currency]]="NOK"),BoM_Griptel[[#This Row],[Quantity]]*BoM_Griptel[[#This Row],[Unit Price]],""),"")</f>
        <v/>
      </c>
      <c r="Q658" s="43" t="str">
        <f>IFERROR(IF(AND(BoM_Griptel[[#This Row],[ACT_Qty]]&lt;&gt;"",BoM_Griptel[[#This Row],[Currency]]="NOK"),BoM_Griptel[[#This Row],[ACT_Qty]]*BoM_Griptel[[#This Row],[Unit Price]],""),"")</f>
        <v/>
      </c>
      <c r="R658" s="43" t="str">
        <f>IFERROR(IF(AND(BoM_Griptel[[#This Row],[Quantity]]&lt;&gt;"",BoM_Griptel[[#This Row],[Currency]]="EUR"),BoM_Griptel[[#This Row],[Quantity]]*BoM_Griptel[[#This Row],[Unit Price]],""),"")</f>
        <v/>
      </c>
      <c r="S658" s="43" t="str">
        <f>IFERROR(IF(AND(BoM_Griptel[[#This Row],[ACT_Qty]]&lt;&gt;"",BoM_Griptel[[#This Row],[Currency]]="EUR"),BoM_Griptel[[#This Row],[ACT_Qty]]*BoM_Griptel[[#This Row],[Unit Price]],""),"")</f>
        <v/>
      </c>
      <c r="T658" s="186" t="s">
        <v>1802</v>
      </c>
      <c r="U658" s="46"/>
      <c r="V658" s="46"/>
      <c r="W658" s="146"/>
    </row>
    <row r="659" spans="1:23" ht="15" customHeight="1">
      <c r="A659" s="143" t="str">
        <f t="shared" si="20"/>
        <v>AKH12345</v>
      </c>
      <c r="B659" s="144" t="s">
        <v>3118</v>
      </c>
      <c r="C659" s="143" t="s">
        <v>3119</v>
      </c>
      <c r="D659" s="105"/>
      <c r="E659" s="106"/>
      <c r="F659" s="105"/>
      <c r="G659" s="106"/>
      <c r="H659" s="175"/>
      <c r="I659" s="176" t="s">
        <v>847</v>
      </c>
      <c r="J659" s="176" t="s">
        <v>2718</v>
      </c>
      <c r="K659" s="176" t="s">
        <v>1235</v>
      </c>
      <c r="L659" s="145" t="s">
        <v>1806</v>
      </c>
      <c r="M659" s="45" t="str">
        <f t="shared" ref="M659:M723" si="21">IF($C$3&lt;&gt;"",$C$3,"")</f>
        <v>OneCo Networks AS</v>
      </c>
      <c r="N659" s="40" t="str">
        <f ca="1">IFERROR(
VLOOKUP(BoM_Griptel[[#This Row],[Product code]],
IF(AND((BoQ!$N$3&lt;&gt;""),OR(BoM_Griptel[[#This Row],[Vendor]]="Griptel",BoM_Griptel[[#This Row],[Vendor]]="Solar")),INDIRECT(Aux!$A$1)),4,FALSE),"")</f>
        <v/>
      </c>
      <c r="O659" s="169" t="s">
        <v>1807</v>
      </c>
      <c r="P659" s="41" t="str">
        <f>IFERROR(IF(AND(BoM_Griptel[[#This Row],[Quantity]]&lt;&gt;"",BoM_Griptel[[#This Row],[Currency]]="NOK"),BoM_Griptel[[#This Row],[Quantity]]*BoM_Griptel[[#This Row],[Unit Price]],""),"")</f>
        <v/>
      </c>
      <c r="Q659" s="41" t="str">
        <f>IFERROR(IF(AND(BoM_Griptel[[#This Row],[ACT_Qty]]&lt;&gt;"",BoM_Griptel[[#This Row],[Currency]]="NOK"),BoM_Griptel[[#This Row],[ACT_Qty]]*BoM_Griptel[[#This Row],[Unit Price]],""),"")</f>
        <v/>
      </c>
      <c r="R659" s="41" t="str">
        <f>IFERROR(IF(AND(BoM_Griptel[[#This Row],[Quantity]]&lt;&gt;"",BoM_Griptel[[#This Row],[Currency]]="EUR"),BoM_Griptel[[#This Row],[Quantity]]*BoM_Griptel[[#This Row],[Unit Price]],""),"")</f>
        <v/>
      </c>
      <c r="S659" s="41" t="str">
        <f>IFERROR(IF(AND(BoM_Griptel[[#This Row],[ACT_Qty]]&lt;&gt;"",BoM_Griptel[[#This Row],[Currency]]="EUR"),BoM_Griptel[[#This Row],[ACT_Qty]]*BoM_Griptel[[#This Row],[Unit Price]],""),"")</f>
        <v/>
      </c>
      <c r="T659" s="185" t="s">
        <v>1802</v>
      </c>
      <c r="U659" s="45"/>
      <c r="V659" s="45"/>
      <c r="W659" s="143"/>
    </row>
    <row r="660" spans="1:23" ht="15" customHeight="1">
      <c r="A660" s="146" t="str">
        <f t="shared" si="20"/>
        <v>AKH12345</v>
      </c>
      <c r="B660" s="147" t="s">
        <v>3120</v>
      </c>
      <c r="C660" s="146" t="s">
        <v>3121</v>
      </c>
      <c r="D660" s="68"/>
      <c r="E660" s="89"/>
      <c r="F660" s="68"/>
      <c r="G660" s="89"/>
      <c r="H660" s="177"/>
      <c r="I660" s="178" t="s">
        <v>847</v>
      </c>
      <c r="J660" s="178" t="s">
        <v>2718</v>
      </c>
      <c r="K660" s="178" t="s">
        <v>1235</v>
      </c>
      <c r="L660" s="148" t="s">
        <v>1806</v>
      </c>
      <c r="M660" s="46" t="str">
        <f t="shared" si="21"/>
        <v>OneCo Networks AS</v>
      </c>
      <c r="N660" s="42" t="str">
        <f ca="1">IFERROR(
VLOOKUP(BoM_Griptel[[#This Row],[Product code]],
IF(AND((BoQ!$N$3&lt;&gt;""),OR(BoM_Griptel[[#This Row],[Vendor]]="Griptel",BoM_Griptel[[#This Row],[Vendor]]="Solar")),INDIRECT(Aux!$A$1)),4,FALSE),"")</f>
        <v/>
      </c>
      <c r="O660" s="170" t="s">
        <v>1807</v>
      </c>
      <c r="P660" s="43" t="str">
        <f>IFERROR(IF(AND(BoM_Griptel[[#This Row],[Quantity]]&lt;&gt;"",BoM_Griptel[[#This Row],[Currency]]="NOK"),BoM_Griptel[[#This Row],[Quantity]]*BoM_Griptel[[#This Row],[Unit Price]],""),"")</f>
        <v/>
      </c>
      <c r="Q660" s="43" t="str">
        <f>IFERROR(IF(AND(BoM_Griptel[[#This Row],[ACT_Qty]]&lt;&gt;"",BoM_Griptel[[#This Row],[Currency]]="NOK"),BoM_Griptel[[#This Row],[ACT_Qty]]*BoM_Griptel[[#This Row],[Unit Price]],""),"")</f>
        <v/>
      </c>
      <c r="R660" s="43" t="str">
        <f>IFERROR(IF(AND(BoM_Griptel[[#This Row],[Quantity]]&lt;&gt;"",BoM_Griptel[[#This Row],[Currency]]="EUR"),BoM_Griptel[[#This Row],[Quantity]]*BoM_Griptel[[#This Row],[Unit Price]],""),"")</f>
        <v/>
      </c>
      <c r="S660" s="43" t="str">
        <f>IFERROR(IF(AND(BoM_Griptel[[#This Row],[ACT_Qty]]&lt;&gt;"",BoM_Griptel[[#This Row],[Currency]]="EUR"),BoM_Griptel[[#This Row],[ACT_Qty]]*BoM_Griptel[[#This Row],[Unit Price]],""),"")</f>
        <v/>
      </c>
      <c r="T660" s="186" t="s">
        <v>1802</v>
      </c>
      <c r="U660" s="46"/>
      <c r="V660" s="46"/>
      <c r="W660" s="146"/>
    </row>
    <row r="661" spans="1:23" ht="15" customHeight="1">
      <c r="A661" s="143" t="str">
        <f t="shared" si="20"/>
        <v>AKH12345</v>
      </c>
      <c r="B661" s="144" t="s">
        <v>3122</v>
      </c>
      <c r="C661" s="143" t="s">
        <v>3123</v>
      </c>
      <c r="D661" s="105"/>
      <c r="E661" s="106"/>
      <c r="F661" s="105"/>
      <c r="G661" s="106"/>
      <c r="H661" s="175"/>
      <c r="I661" s="176" t="s">
        <v>847</v>
      </c>
      <c r="J661" s="176" t="s">
        <v>1805</v>
      </c>
      <c r="K661" s="176" t="s">
        <v>1235</v>
      </c>
      <c r="L661" s="145" t="s">
        <v>1806</v>
      </c>
      <c r="M661" s="45" t="str">
        <f t="shared" si="21"/>
        <v>OneCo Networks AS</v>
      </c>
      <c r="N661" s="40" t="str">
        <f ca="1">IFERROR(
VLOOKUP(BoM_Griptel[[#This Row],[Product code]],
IF(AND((BoQ!$N$3&lt;&gt;""),OR(BoM_Griptel[[#This Row],[Vendor]]="Griptel",BoM_Griptel[[#This Row],[Vendor]]="Solar")),INDIRECT(Aux!$A$1)),4,FALSE),"")</f>
        <v/>
      </c>
      <c r="O661" s="169" t="s">
        <v>1807</v>
      </c>
      <c r="P661" s="41" t="str">
        <f>IFERROR(IF(AND(BoM_Griptel[[#This Row],[Quantity]]&lt;&gt;"",BoM_Griptel[[#This Row],[Currency]]="NOK"),BoM_Griptel[[#This Row],[Quantity]]*BoM_Griptel[[#This Row],[Unit Price]],""),"")</f>
        <v/>
      </c>
      <c r="Q661" s="41" t="str">
        <f>IFERROR(IF(AND(BoM_Griptel[[#This Row],[ACT_Qty]]&lt;&gt;"",BoM_Griptel[[#This Row],[Currency]]="NOK"),BoM_Griptel[[#This Row],[ACT_Qty]]*BoM_Griptel[[#This Row],[Unit Price]],""),"")</f>
        <v/>
      </c>
      <c r="R661" s="41" t="str">
        <f>IFERROR(IF(AND(BoM_Griptel[[#This Row],[Quantity]]&lt;&gt;"",BoM_Griptel[[#This Row],[Currency]]="EUR"),BoM_Griptel[[#This Row],[Quantity]]*BoM_Griptel[[#This Row],[Unit Price]],""),"")</f>
        <v/>
      </c>
      <c r="S661" s="41" t="str">
        <f>IFERROR(IF(AND(BoM_Griptel[[#This Row],[ACT_Qty]]&lt;&gt;"",BoM_Griptel[[#This Row],[Currency]]="EUR"),BoM_Griptel[[#This Row],[ACT_Qty]]*BoM_Griptel[[#This Row],[Unit Price]],""),"")</f>
        <v/>
      </c>
      <c r="T661" s="185" t="s">
        <v>1802</v>
      </c>
      <c r="U661" s="45"/>
      <c r="V661" s="45"/>
      <c r="W661" s="143"/>
    </row>
    <row r="662" spans="1:23" ht="15" customHeight="1">
      <c r="A662" s="146" t="str">
        <f t="shared" si="20"/>
        <v>AKH12345</v>
      </c>
      <c r="B662" s="147" t="s">
        <v>3124</v>
      </c>
      <c r="C662" s="146" t="s">
        <v>3125</v>
      </c>
      <c r="D662" s="68"/>
      <c r="E662" s="89"/>
      <c r="F662" s="68"/>
      <c r="G662" s="89"/>
      <c r="H662" s="177"/>
      <c r="I662" s="178" t="s">
        <v>847</v>
      </c>
      <c r="J662" s="178" t="s">
        <v>746</v>
      </c>
      <c r="K662" s="178" t="s">
        <v>1235</v>
      </c>
      <c r="L662" s="148" t="s">
        <v>1806</v>
      </c>
      <c r="M662" s="46" t="str">
        <f t="shared" si="21"/>
        <v>OneCo Networks AS</v>
      </c>
      <c r="N662" s="42" t="str">
        <f ca="1">IFERROR(
VLOOKUP(BoM_Griptel[[#This Row],[Product code]],
IF(AND((BoQ!$N$3&lt;&gt;""),OR(BoM_Griptel[[#This Row],[Vendor]]="Griptel",BoM_Griptel[[#This Row],[Vendor]]="Solar")),INDIRECT(Aux!$A$1)),4,FALSE),"")</f>
        <v/>
      </c>
      <c r="O662" s="170" t="s">
        <v>1807</v>
      </c>
      <c r="P662" s="43" t="str">
        <f>IFERROR(IF(AND(BoM_Griptel[[#This Row],[Quantity]]&lt;&gt;"",BoM_Griptel[[#This Row],[Currency]]="NOK"),BoM_Griptel[[#This Row],[Quantity]]*BoM_Griptel[[#This Row],[Unit Price]],""),"")</f>
        <v/>
      </c>
      <c r="Q662" s="43" t="str">
        <f>IFERROR(IF(AND(BoM_Griptel[[#This Row],[ACT_Qty]]&lt;&gt;"",BoM_Griptel[[#This Row],[Currency]]="NOK"),BoM_Griptel[[#This Row],[ACT_Qty]]*BoM_Griptel[[#This Row],[Unit Price]],""),"")</f>
        <v/>
      </c>
      <c r="R662" s="43" t="str">
        <f>IFERROR(IF(AND(BoM_Griptel[[#This Row],[Quantity]]&lt;&gt;"",BoM_Griptel[[#This Row],[Currency]]="EUR"),BoM_Griptel[[#This Row],[Quantity]]*BoM_Griptel[[#This Row],[Unit Price]],""),"")</f>
        <v/>
      </c>
      <c r="S662" s="43" t="str">
        <f>IFERROR(IF(AND(BoM_Griptel[[#This Row],[ACT_Qty]]&lt;&gt;"",BoM_Griptel[[#This Row],[Currency]]="EUR"),BoM_Griptel[[#This Row],[ACT_Qty]]*BoM_Griptel[[#This Row],[Unit Price]],""),"")</f>
        <v/>
      </c>
      <c r="T662" s="186" t="s">
        <v>1802</v>
      </c>
      <c r="U662" s="46"/>
      <c r="V662" s="46"/>
      <c r="W662" s="146"/>
    </row>
    <row r="663" spans="1:23" ht="15" customHeight="1">
      <c r="A663" s="143" t="str">
        <f t="shared" si="20"/>
        <v>AKH12345</v>
      </c>
      <c r="B663" s="144" t="s">
        <v>3126</v>
      </c>
      <c r="C663" s="143" t="s">
        <v>3127</v>
      </c>
      <c r="D663" s="105"/>
      <c r="E663" s="106"/>
      <c r="F663" s="105"/>
      <c r="G663" s="106"/>
      <c r="H663" s="175"/>
      <c r="I663" s="176" t="s">
        <v>847</v>
      </c>
      <c r="J663" s="176" t="s">
        <v>746</v>
      </c>
      <c r="K663" s="176" t="s">
        <v>1235</v>
      </c>
      <c r="L663" s="145" t="s">
        <v>1806</v>
      </c>
      <c r="M663" s="45" t="str">
        <f>IF($C$3&lt;&gt;"",$C$3,"")</f>
        <v>OneCo Networks AS</v>
      </c>
      <c r="N663" s="40" t="str">
        <f ca="1">IFERROR(
VLOOKUP(BoM_Griptel[[#This Row],[Product code]],
IF(AND((BoQ!$N$3&lt;&gt;""),OR(BoM_Griptel[[#This Row],[Vendor]]="Griptel",BoM_Griptel[[#This Row],[Vendor]]="Solar")),INDIRECT(Aux!$A$1)),4,FALSE),"")</f>
        <v/>
      </c>
      <c r="O663" s="169" t="s">
        <v>1807</v>
      </c>
      <c r="P663" s="41" t="str">
        <f>IFERROR(IF(AND(BoM_Griptel[[#This Row],[Quantity]]&lt;&gt;"",BoM_Griptel[[#This Row],[Currency]]="NOK"),BoM_Griptel[[#This Row],[Quantity]]*BoM_Griptel[[#This Row],[Unit Price]],""),"")</f>
        <v/>
      </c>
      <c r="Q663" s="41" t="str">
        <f>IFERROR(IF(AND(BoM_Griptel[[#This Row],[ACT_Qty]]&lt;&gt;"",BoM_Griptel[[#This Row],[Currency]]="NOK"),BoM_Griptel[[#This Row],[ACT_Qty]]*BoM_Griptel[[#This Row],[Unit Price]],""),"")</f>
        <v/>
      </c>
      <c r="R663" s="41" t="str">
        <f>IFERROR(IF(AND(BoM_Griptel[[#This Row],[Quantity]]&lt;&gt;"",BoM_Griptel[[#This Row],[Currency]]="EUR"),BoM_Griptel[[#This Row],[Quantity]]*BoM_Griptel[[#This Row],[Unit Price]],""),"")</f>
        <v/>
      </c>
      <c r="S663" s="41" t="str">
        <f>IFERROR(IF(AND(BoM_Griptel[[#This Row],[ACT_Qty]]&lt;&gt;"",BoM_Griptel[[#This Row],[Currency]]="EUR"),BoM_Griptel[[#This Row],[ACT_Qty]]*BoM_Griptel[[#This Row],[Unit Price]],""),"")</f>
        <v/>
      </c>
      <c r="T663" s="185" t="s">
        <v>1802</v>
      </c>
      <c r="U663" s="45"/>
      <c r="V663" s="45"/>
      <c r="W663" s="143"/>
    </row>
    <row r="664" spans="1:23" ht="15" customHeight="1">
      <c r="A664" s="146" t="str">
        <f t="shared" si="20"/>
        <v>AKH12345</v>
      </c>
      <c r="B664" s="147" t="s">
        <v>3128</v>
      </c>
      <c r="C664" s="146" t="s">
        <v>3129</v>
      </c>
      <c r="D664" s="68"/>
      <c r="E664" s="89"/>
      <c r="F664" s="68"/>
      <c r="G664" s="89"/>
      <c r="H664" s="177"/>
      <c r="I664" s="178" t="s">
        <v>847</v>
      </c>
      <c r="J664" s="178" t="s">
        <v>1859</v>
      </c>
      <c r="K664" s="178" t="s">
        <v>1235</v>
      </c>
      <c r="L664" s="148" t="s">
        <v>1806</v>
      </c>
      <c r="M664" s="46" t="str">
        <f>IF($C$3&lt;&gt;"",$C$3,"")</f>
        <v>OneCo Networks AS</v>
      </c>
      <c r="N664" s="42" t="str">
        <f ca="1">IFERROR(
VLOOKUP(BoM_Griptel[[#This Row],[Product code]],
IF(AND((BoQ!$N$3&lt;&gt;""),OR(BoM_Griptel[[#This Row],[Vendor]]="Griptel",BoM_Griptel[[#This Row],[Vendor]]="Solar")),INDIRECT(Aux!$A$1)),4,FALSE),"")</f>
        <v/>
      </c>
      <c r="O664" s="170" t="s">
        <v>1807</v>
      </c>
      <c r="P664" s="43" t="str">
        <f>IFERROR(IF(AND(BoM_Griptel[[#This Row],[Quantity]]&lt;&gt;"",BoM_Griptel[[#This Row],[Currency]]="NOK"),BoM_Griptel[[#This Row],[Quantity]]*BoM_Griptel[[#This Row],[Unit Price]],""),"")</f>
        <v/>
      </c>
      <c r="Q664" s="43" t="str">
        <f>IFERROR(IF(AND(BoM_Griptel[[#This Row],[ACT_Qty]]&lt;&gt;"",BoM_Griptel[[#This Row],[Currency]]="NOK"),BoM_Griptel[[#This Row],[ACT_Qty]]*BoM_Griptel[[#This Row],[Unit Price]],""),"")</f>
        <v/>
      </c>
      <c r="R664" s="43" t="str">
        <f>IFERROR(IF(AND(BoM_Griptel[[#This Row],[Quantity]]&lt;&gt;"",BoM_Griptel[[#This Row],[Currency]]="EUR"),BoM_Griptel[[#This Row],[Quantity]]*BoM_Griptel[[#This Row],[Unit Price]],""),"")</f>
        <v/>
      </c>
      <c r="S664" s="43" t="str">
        <f>IFERROR(IF(AND(BoM_Griptel[[#This Row],[ACT_Qty]]&lt;&gt;"",BoM_Griptel[[#This Row],[Currency]]="EUR"),BoM_Griptel[[#This Row],[ACT_Qty]]*BoM_Griptel[[#This Row],[Unit Price]],""),"")</f>
        <v/>
      </c>
      <c r="T664" s="186"/>
      <c r="U664" s="46"/>
      <c r="V664" s="46"/>
      <c r="W664" s="146"/>
    </row>
    <row r="665" spans="1:23" ht="15" customHeight="1">
      <c r="A665" s="143" t="str">
        <f t="shared" si="20"/>
        <v>AKH12345</v>
      </c>
      <c r="B665" s="144" t="s">
        <v>3130</v>
      </c>
      <c r="C665" s="143" t="s">
        <v>3131</v>
      </c>
      <c r="D665" s="105"/>
      <c r="E665" s="106"/>
      <c r="F665" s="105"/>
      <c r="G665" s="106"/>
      <c r="H665" s="175"/>
      <c r="I665" s="176" t="s">
        <v>847</v>
      </c>
      <c r="J665" s="176" t="s">
        <v>2074</v>
      </c>
      <c r="K665" s="176" t="s">
        <v>1235</v>
      </c>
      <c r="L665" s="145" t="s">
        <v>1806</v>
      </c>
      <c r="M665" s="45" t="str">
        <f t="shared" si="21"/>
        <v>OneCo Networks AS</v>
      </c>
      <c r="N665" s="40" t="str">
        <f ca="1">IFERROR(
VLOOKUP(BoM_Griptel[[#This Row],[Product code]],
IF(AND((BoQ!$N$3&lt;&gt;""),OR(BoM_Griptel[[#This Row],[Vendor]]="Griptel",BoM_Griptel[[#This Row],[Vendor]]="Solar")),INDIRECT(Aux!$A$1)),4,FALSE),"")</f>
        <v/>
      </c>
      <c r="O665" s="169" t="s">
        <v>1807</v>
      </c>
      <c r="P665" s="41" t="str">
        <f>IFERROR(IF(AND(BoM_Griptel[[#This Row],[Quantity]]&lt;&gt;"",BoM_Griptel[[#This Row],[Currency]]="NOK"),BoM_Griptel[[#This Row],[Quantity]]*BoM_Griptel[[#This Row],[Unit Price]],""),"")</f>
        <v/>
      </c>
      <c r="Q665" s="41" t="str">
        <f>IFERROR(IF(AND(BoM_Griptel[[#This Row],[ACT_Qty]]&lt;&gt;"",BoM_Griptel[[#This Row],[Currency]]="NOK"),BoM_Griptel[[#This Row],[ACT_Qty]]*BoM_Griptel[[#This Row],[Unit Price]],""),"")</f>
        <v/>
      </c>
      <c r="R665" s="41" t="str">
        <f>IFERROR(IF(AND(BoM_Griptel[[#This Row],[Quantity]]&lt;&gt;"",BoM_Griptel[[#This Row],[Currency]]="EUR"),BoM_Griptel[[#This Row],[Quantity]]*BoM_Griptel[[#This Row],[Unit Price]],""),"")</f>
        <v/>
      </c>
      <c r="S665" s="41" t="str">
        <f>IFERROR(IF(AND(BoM_Griptel[[#This Row],[ACT_Qty]]&lt;&gt;"",BoM_Griptel[[#This Row],[Currency]]="EUR"),BoM_Griptel[[#This Row],[ACT_Qty]]*BoM_Griptel[[#This Row],[Unit Price]],""),"")</f>
        <v/>
      </c>
      <c r="T665" s="185" t="s">
        <v>1802</v>
      </c>
      <c r="U665" s="45"/>
      <c r="V665" s="45"/>
      <c r="W665" s="143"/>
    </row>
    <row r="666" spans="1:23" ht="15" customHeight="1">
      <c r="A666" s="146" t="str">
        <f t="shared" si="20"/>
        <v>AKH12345</v>
      </c>
      <c r="B666" s="147" t="s">
        <v>3132</v>
      </c>
      <c r="C666" s="146" t="s">
        <v>3133</v>
      </c>
      <c r="D666" s="68"/>
      <c r="E666" s="89"/>
      <c r="F666" s="68"/>
      <c r="G666" s="89"/>
      <c r="H666" s="177"/>
      <c r="I666" s="178" t="s">
        <v>847</v>
      </c>
      <c r="J666" s="178" t="s">
        <v>2074</v>
      </c>
      <c r="K666" s="178" t="s">
        <v>1235</v>
      </c>
      <c r="L666" s="148" t="s">
        <v>1806</v>
      </c>
      <c r="M666" s="46" t="str">
        <f t="shared" si="21"/>
        <v>OneCo Networks AS</v>
      </c>
      <c r="N666" s="42" t="str">
        <f ca="1">IFERROR(
VLOOKUP(BoM_Griptel[[#This Row],[Product code]],
IF(AND((BoQ!$N$3&lt;&gt;""),OR(BoM_Griptel[[#This Row],[Vendor]]="Griptel",BoM_Griptel[[#This Row],[Vendor]]="Solar")),INDIRECT(Aux!$A$1)),4,FALSE),"")</f>
        <v/>
      </c>
      <c r="O666" s="170" t="s">
        <v>1807</v>
      </c>
      <c r="P666" s="43" t="str">
        <f>IFERROR(IF(AND(BoM_Griptel[[#This Row],[Quantity]]&lt;&gt;"",BoM_Griptel[[#This Row],[Currency]]="NOK"),BoM_Griptel[[#This Row],[Quantity]]*BoM_Griptel[[#This Row],[Unit Price]],""),"")</f>
        <v/>
      </c>
      <c r="Q666" s="43" t="str">
        <f>IFERROR(IF(AND(BoM_Griptel[[#This Row],[ACT_Qty]]&lt;&gt;"",BoM_Griptel[[#This Row],[Currency]]="NOK"),BoM_Griptel[[#This Row],[ACT_Qty]]*BoM_Griptel[[#This Row],[Unit Price]],""),"")</f>
        <v/>
      </c>
      <c r="R666" s="43" t="str">
        <f>IFERROR(IF(AND(BoM_Griptel[[#This Row],[Quantity]]&lt;&gt;"",BoM_Griptel[[#This Row],[Currency]]="EUR"),BoM_Griptel[[#This Row],[Quantity]]*BoM_Griptel[[#This Row],[Unit Price]],""),"")</f>
        <v/>
      </c>
      <c r="S666" s="43" t="str">
        <f>IFERROR(IF(AND(BoM_Griptel[[#This Row],[ACT_Qty]]&lt;&gt;"",BoM_Griptel[[#This Row],[Currency]]="EUR"),BoM_Griptel[[#This Row],[ACT_Qty]]*BoM_Griptel[[#This Row],[Unit Price]],""),"")</f>
        <v/>
      </c>
      <c r="T666" s="186" t="s">
        <v>1802</v>
      </c>
      <c r="U666" s="46"/>
      <c r="V666" s="46"/>
      <c r="W666" s="146"/>
    </row>
    <row r="667" spans="1:23" ht="15" customHeight="1">
      <c r="A667" s="143" t="str">
        <f t="shared" si="20"/>
        <v>AKH12345</v>
      </c>
      <c r="B667" s="144" t="s">
        <v>3134</v>
      </c>
      <c r="C667" s="143" t="s">
        <v>3135</v>
      </c>
      <c r="D667" s="105"/>
      <c r="E667" s="106"/>
      <c r="F667" s="105"/>
      <c r="G667" s="106"/>
      <c r="H667" s="175"/>
      <c r="I667" s="176" t="s">
        <v>847</v>
      </c>
      <c r="J667" s="176" t="s">
        <v>2074</v>
      </c>
      <c r="K667" s="176" t="s">
        <v>1235</v>
      </c>
      <c r="L667" s="145" t="s">
        <v>1806</v>
      </c>
      <c r="M667" s="45" t="str">
        <f t="shared" si="21"/>
        <v>OneCo Networks AS</v>
      </c>
      <c r="N667" s="40" t="str">
        <f ca="1">IFERROR(
VLOOKUP(BoM_Griptel[[#This Row],[Product code]],
IF(AND((BoQ!$N$3&lt;&gt;""),OR(BoM_Griptel[[#This Row],[Vendor]]="Griptel",BoM_Griptel[[#This Row],[Vendor]]="Solar")),INDIRECT(Aux!$A$1)),4,FALSE),"")</f>
        <v/>
      </c>
      <c r="O667" s="169" t="s">
        <v>1807</v>
      </c>
      <c r="P667" s="41" t="str">
        <f>IFERROR(IF(AND(BoM_Griptel[[#This Row],[Quantity]]&lt;&gt;"",BoM_Griptel[[#This Row],[Currency]]="NOK"),BoM_Griptel[[#This Row],[Quantity]]*BoM_Griptel[[#This Row],[Unit Price]],""),"")</f>
        <v/>
      </c>
      <c r="Q667" s="41" t="str">
        <f>IFERROR(IF(AND(BoM_Griptel[[#This Row],[ACT_Qty]]&lt;&gt;"",BoM_Griptel[[#This Row],[Currency]]="NOK"),BoM_Griptel[[#This Row],[ACT_Qty]]*BoM_Griptel[[#This Row],[Unit Price]],""),"")</f>
        <v/>
      </c>
      <c r="R667" s="41" t="str">
        <f>IFERROR(IF(AND(BoM_Griptel[[#This Row],[Quantity]]&lt;&gt;"",BoM_Griptel[[#This Row],[Currency]]="EUR"),BoM_Griptel[[#This Row],[Quantity]]*BoM_Griptel[[#This Row],[Unit Price]],""),"")</f>
        <v/>
      </c>
      <c r="S667" s="41" t="str">
        <f>IFERROR(IF(AND(BoM_Griptel[[#This Row],[ACT_Qty]]&lt;&gt;"",BoM_Griptel[[#This Row],[Currency]]="EUR"),BoM_Griptel[[#This Row],[ACT_Qty]]*BoM_Griptel[[#This Row],[Unit Price]],""),"")</f>
        <v/>
      </c>
      <c r="T667" s="185" t="s">
        <v>1802</v>
      </c>
      <c r="U667" s="45"/>
      <c r="V667" s="45"/>
      <c r="W667" s="143"/>
    </row>
    <row r="668" spans="1:23" ht="15" customHeight="1">
      <c r="A668" s="146" t="str">
        <f t="shared" si="20"/>
        <v>AKH12345</v>
      </c>
      <c r="B668" s="147" t="s">
        <v>3136</v>
      </c>
      <c r="C668" s="146" t="s">
        <v>3137</v>
      </c>
      <c r="D668" s="68"/>
      <c r="E668" s="89"/>
      <c r="F668" s="68"/>
      <c r="G668" s="89"/>
      <c r="H668" s="177"/>
      <c r="I668" s="178" t="s">
        <v>847</v>
      </c>
      <c r="J668" s="178" t="s">
        <v>2074</v>
      </c>
      <c r="K668" s="178" t="s">
        <v>1235</v>
      </c>
      <c r="L668" s="148" t="s">
        <v>1806</v>
      </c>
      <c r="M668" s="46" t="str">
        <f t="shared" si="21"/>
        <v>OneCo Networks AS</v>
      </c>
      <c r="N668" s="42" t="str">
        <f ca="1">IFERROR(
VLOOKUP(BoM_Griptel[[#This Row],[Product code]],
IF(AND((BoQ!$N$3&lt;&gt;""),OR(BoM_Griptel[[#This Row],[Vendor]]="Griptel",BoM_Griptel[[#This Row],[Vendor]]="Solar")),INDIRECT(Aux!$A$1)),4,FALSE),"")</f>
        <v/>
      </c>
      <c r="O668" s="170" t="s">
        <v>1807</v>
      </c>
      <c r="P668" s="43" t="str">
        <f>IFERROR(IF(AND(BoM_Griptel[[#This Row],[Quantity]]&lt;&gt;"",BoM_Griptel[[#This Row],[Currency]]="NOK"),BoM_Griptel[[#This Row],[Quantity]]*BoM_Griptel[[#This Row],[Unit Price]],""),"")</f>
        <v/>
      </c>
      <c r="Q668" s="43" t="str">
        <f>IFERROR(IF(AND(BoM_Griptel[[#This Row],[ACT_Qty]]&lt;&gt;"",BoM_Griptel[[#This Row],[Currency]]="NOK"),BoM_Griptel[[#This Row],[ACT_Qty]]*BoM_Griptel[[#This Row],[Unit Price]],""),"")</f>
        <v/>
      </c>
      <c r="R668" s="43" t="str">
        <f>IFERROR(IF(AND(BoM_Griptel[[#This Row],[Quantity]]&lt;&gt;"",BoM_Griptel[[#This Row],[Currency]]="EUR"),BoM_Griptel[[#This Row],[Quantity]]*BoM_Griptel[[#This Row],[Unit Price]],""),"")</f>
        <v/>
      </c>
      <c r="S668" s="43" t="str">
        <f>IFERROR(IF(AND(BoM_Griptel[[#This Row],[ACT_Qty]]&lt;&gt;"",BoM_Griptel[[#This Row],[Currency]]="EUR"),BoM_Griptel[[#This Row],[ACT_Qty]]*BoM_Griptel[[#This Row],[Unit Price]],""),"")</f>
        <v/>
      </c>
      <c r="T668" s="186" t="s">
        <v>1802</v>
      </c>
      <c r="U668" s="46"/>
      <c r="V668" s="46"/>
      <c r="W668" s="146"/>
    </row>
    <row r="669" spans="1:23" ht="15" customHeight="1">
      <c r="A669" s="143" t="str">
        <f t="shared" si="20"/>
        <v>AKH12345</v>
      </c>
      <c r="B669" s="144" t="s">
        <v>3138</v>
      </c>
      <c r="C669" s="143" t="s">
        <v>3139</v>
      </c>
      <c r="D669" s="105"/>
      <c r="E669" s="106"/>
      <c r="F669" s="105"/>
      <c r="G669" s="106"/>
      <c r="H669" s="175"/>
      <c r="I669" s="176" t="s">
        <v>847</v>
      </c>
      <c r="J669" s="176" t="s">
        <v>2074</v>
      </c>
      <c r="K669" s="176" t="s">
        <v>1235</v>
      </c>
      <c r="L669" s="145" t="s">
        <v>1806</v>
      </c>
      <c r="M669" s="45" t="str">
        <f t="shared" si="21"/>
        <v>OneCo Networks AS</v>
      </c>
      <c r="N669" s="40" t="str">
        <f ca="1">IFERROR(
VLOOKUP(BoM_Griptel[[#This Row],[Product code]],
IF(AND((BoQ!$N$3&lt;&gt;""),OR(BoM_Griptel[[#This Row],[Vendor]]="Griptel",BoM_Griptel[[#This Row],[Vendor]]="Solar")),INDIRECT(Aux!$A$1)),4,FALSE),"")</f>
        <v/>
      </c>
      <c r="O669" s="169" t="s">
        <v>1807</v>
      </c>
      <c r="P669" s="41" t="str">
        <f>IFERROR(IF(AND(BoM_Griptel[[#This Row],[Quantity]]&lt;&gt;"",BoM_Griptel[[#This Row],[Currency]]="NOK"),BoM_Griptel[[#This Row],[Quantity]]*BoM_Griptel[[#This Row],[Unit Price]],""),"")</f>
        <v/>
      </c>
      <c r="Q669" s="41" t="str">
        <f>IFERROR(IF(AND(BoM_Griptel[[#This Row],[ACT_Qty]]&lt;&gt;"",BoM_Griptel[[#This Row],[Currency]]="NOK"),BoM_Griptel[[#This Row],[ACT_Qty]]*BoM_Griptel[[#This Row],[Unit Price]],""),"")</f>
        <v/>
      </c>
      <c r="R669" s="41" t="str">
        <f>IFERROR(IF(AND(BoM_Griptel[[#This Row],[Quantity]]&lt;&gt;"",BoM_Griptel[[#This Row],[Currency]]="EUR"),BoM_Griptel[[#This Row],[Quantity]]*BoM_Griptel[[#This Row],[Unit Price]],""),"")</f>
        <v/>
      </c>
      <c r="S669" s="41" t="str">
        <f>IFERROR(IF(AND(BoM_Griptel[[#This Row],[ACT_Qty]]&lt;&gt;"",BoM_Griptel[[#This Row],[Currency]]="EUR"),BoM_Griptel[[#This Row],[ACT_Qty]]*BoM_Griptel[[#This Row],[Unit Price]],""),"")</f>
        <v/>
      </c>
      <c r="T669" s="185" t="s">
        <v>1802</v>
      </c>
      <c r="U669" s="45"/>
      <c r="V669" s="45"/>
      <c r="W669" s="143"/>
    </row>
    <row r="670" spans="1:23" ht="15" customHeight="1">
      <c r="A670" s="146" t="str">
        <f t="shared" si="20"/>
        <v>AKH12345</v>
      </c>
      <c r="B670" s="147" t="s">
        <v>3140</v>
      </c>
      <c r="C670" s="146" t="s">
        <v>3141</v>
      </c>
      <c r="D670" s="68"/>
      <c r="E670" s="89"/>
      <c r="F670" s="68"/>
      <c r="G670" s="89"/>
      <c r="H670" s="177"/>
      <c r="I670" s="178" t="s">
        <v>847</v>
      </c>
      <c r="J670" s="178" t="s">
        <v>2074</v>
      </c>
      <c r="K670" s="178" t="s">
        <v>1235</v>
      </c>
      <c r="L670" s="148" t="s">
        <v>1806</v>
      </c>
      <c r="M670" s="46" t="str">
        <f t="shared" si="21"/>
        <v>OneCo Networks AS</v>
      </c>
      <c r="N670" s="42" t="str">
        <f ca="1">IFERROR(
VLOOKUP(BoM_Griptel[[#This Row],[Product code]],
IF(AND((BoQ!$N$3&lt;&gt;""),OR(BoM_Griptel[[#This Row],[Vendor]]="Griptel",BoM_Griptel[[#This Row],[Vendor]]="Solar")),INDIRECT(Aux!$A$1)),4,FALSE),"")</f>
        <v/>
      </c>
      <c r="O670" s="170" t="s">
        <v>1807</v>
      </c>
      <c r="P670" s="43" t="str">
        <f>IFERROR(IF(AND(BoM_Griptel[[#This Row],[Quantity]]&lt;&gt;"",BoM_Griptel[[#This Row],[Currency]]="NOK"),BoM_Griptel[[#This Row],[Quantity]]*BoM_Griptel[[#This Row],[Unit Price]],""),"")</f>
        <v/>
      </c>
      <c r="Q670" s="43" t="str">
        <f>IFERROR(IF(AND(BoM_Griptel[[#This Row],[ACT_Qty]]&lt;&gt;"",BoM_Griptel[[#This Row],[Currency]]="NOK"),BoM_Griptel[[#This Row],[ACT_Qty]]*BoM_Griptel[[#This Row],[Unit Price]],""),"")</f>
        <v/>
      </c>
      <c r="R670" s="43" t="str">
        <f>IFERROR(IF(AND(BoM_Griptel[[#This Row],[Quantity]]&lt;&gt;"",BoM_Griptel[[#This Row],[Currency]]="EUR"),BoM_Griptel[[#This Row],[Quantity]]*BoM_Griptel[[#This Row],[Unit Price]],""),"")</f>
        <v/>
      </c>
      <c r="S670" s="43" t="str">
        <f>IFERROR(IF(AND(BoM_Griptel[[#This Row],[ACT_Qty]]&lt;&gt;"",BoM_Griptel[[#This Row],[Currency]]="EUR"),BoM_Griptel[[#This Row],[ACT_Qty]]*BoM_Griptel[[#This Row],[Unit Price]],""),"")</f>
        <v/>
      </c>
      <c r="T670" s="186" t="s">
        <v>1802</v>
      </c>
      <c r="U670" s="46"/>
      <c r="V670" s="46"/>
      <c r="W670" s="146"/>
    </row>
    <row r="671" spans="1:23" ht="15" customHeight="1">
      <c r="A671" s="143" t="str">
        <f t="shared" si="20"/>
        <v>AKH12345</v>
      </c>
      <c r="B671" s="144" t="s">
        <v>3142</v>
      </c>
      <c r="C671" s="143" t="s">
        <v>3143</v>
      </c>
      <c r="D671" s="105"/>
      <c r="E671" s="106"/>
      <c r="F671" s="105"/>
      <c r="G671" s="106"/>
      <c r="H671" s="175"/>
      <c r="I671" s="176" t="s">
        <v>847</v>
      </c>
      <c r="J671" s="176" t="s">
        <v>1862</v>
      </c>
      <c r="K671" s="176" t="s">
        <v>1235</v>
      </c>
      <c r="L671" s="145" t="s">
        <v>1806</v>
      </c>
      <c r="M671" s="45" t="str">
        <f t="shared" si="21"/>
        <v>OneCo Networks AS</v>
      </c>
      <c r="N671" s="40" t="str">
        <f ca="1">IFERROR(
VLOOKUP(BoM_Griptel[[#This Row],[Product code]],
IF(AND((BoQ!$N$3&lt;&gt;""),OR(BoM_Griptel[[#This Row],[Vendor]]="Griptel",BoM_Griptel[[#This Row],[Vendor]]="Solar")),INDIRECT(Aux!$A$1)),4,FALSE),"")</f>
        <v/>
      </c>
      <c r="O671" s="169" t="s">
        <v>1807</v>
      </c>
      <c r="P671" s="41" t="str">
        <f>IFERROR(IF(AND(BoM_Griptel[[#This Row],[Quantity]]&lt;&gt;"",BoM_Griptel[[#This Row],[Currency]]="NOK"),BoM_Griptel[[#This Row],[Quantity]]*BoM_Griptel[[#This Row],[Unit Price]],""),"")</f>
        <v/>
      </c>
      <c r="Q671" s="41" t="str">
        <f>IFERROR(IF(AND(BoM_Griptel[[#This Row],[ACT_Qty]]&lt;&gt;"",BoM_Griptel[[#This Row],[Currency]]="NOK"),BoM_Griptel[[#This Row],[ACT_Qty]]*BoM_Griptel[[#This Row],[Unit Price]],""),"")</f>
        <v/>
      </c>
      <c r="R671" s="41" t="str">
        <f>IFERROR(IF(AND(BoM_Griptel[[#This Row],[Quantity]]&lt;&gt;"",BoM_Griptel[[#This Row],[Currency]]="EUR"),BoM_Griptel[[#This Row],[Quantity]]*BoM_Griptel[[#This Row],[Unit Price]],""),"")</f>
        <v/>
      </c>
      <c r="S671" s="41" t="str">
        <f>IFERROR(IF(AND(BoM_Griptel[[#This Row],[ACT_Qty]]&lt;&gt;"",BoM_Griptel[[#This Row],[Currency]]="EUR"),BoM_Griptel[[#This Row],[ACT_Qty]]*BoM_Griptel[[#This Row],[Unit Price]],""),"")</f>
        <v/>
      </c>
      <c r="T671" s="185" t="s">
        <v>1802</v>
      </c>
      <c r="U671" s="45"/>
      <c r="V671" s="45"/>
      <c r="W671" s="143"/>
    </row>
    <row r="672" spans="1:23" ht="15" customHeight="1">
      <c r="A672" s="146" t="str">
        <f t="shared" si="20"/>
        <v>AKH12345</v>
      </c>
      <c r="B672" s="147" t="s">
        <v>3144</v>
      </c>
      <c r="C672" s="146" t="s">
        <v>3145</v>
      </c>
      <c r="D672" s="68"/>
      <c r="E672" s="89"/>
      <c r="F672" s="68"/>
      <c r="G672" s="89"/>
      <c r="H672" s="177"/>
      <c r="I672" s="178" t="s">
        <v>847</v>
      </c>
      <c r="J672" s="178" t="s">
        <v>1862</v>
      </c>
      <c r="K672" s="178" t="s">
        <v>1235</v>
      </c>
      <c r="L672" s="148" t="s">
        <v>1806</v>
      </c>
      <c r="M672" s="46" t="str">
        <f t="shared" si="21"/>
        <v>OneCo Networks AS</v>
      </c>
      <c r="N672" s="42" t="str">
        <f ca="1">IFERROR(
VLOOKUP(BoM_Griptel[[#This Row],[Product code]],
IF(AND((BoQ!$N$3&lt;&gt;""),OR(BoM_Griptel[[#This Row],[Vendor]]="Griptel",BoM_Griptel[[#This Row],[Vendor]]="Solar")),INDIRECT(Aux!$A$1)),4,FALSE),"")</f>
        <v/>
      </c>
      <c r="O672" s="170" t="s">
        <v>1807</v>
      </c>
      <c r="P672" s="43" t="str">
        <f>IFERROR(IF(AND(BoM_Griptel[[#This Row],[Quantity]]&lt;&gt;"",BoM_Griptel[[#This Row],[Currency]]="NOK"),BoM_Griptel[[#This Row],[Quantity]]*BoM_Griptel[[#This Row],[Unit Price]],""),"")</f>
        <v/>
      </c>
      <c r="Q672" s="43" t="str">
        <f>IFERROR(IF(AND(BoM_Griptel[[#This Row],[ACT_Qty]]&lt;&gt;"",BoM_Griptel[[#This Row],[Currency]]="NOK"),BoM_Griptel[[#This Row],[ACT_Qty]]*BoM_Griptel[[#This Row],[Unit Price]],""),"")</f>
        <v/>
      </c>
      <c r="R672" s="43" t="str">
        <f>IFERROR(IF(AND(BoM_Griptel[[#This Row],[Quantity]]&lt;&gt;"",BoM_Griptel[[#This Row],[Currency]]="EUR"),BoM_Griptel[[#This Row],[Quantity]]*BoM_Griptel[[#This Row],[Unit Price]],""),"")</f>
        <v/>
      </c>
      <c r="S672" s="43" t="str">
        <f>IFERROR(IF(AND(BoM_Griptel[[#This Row],[ACT_Qty]]&lt;&gt;"",BoM_Griptel[[#This Row],[Currency]]="EUR"),BoM_Griptel[[#This Row],[ACT_Qty]]*BoM_Griptel[[#This Row],[Unit Price]],""),"")</f>
        <v/>
      </c>
      <c r="T672" s="186" t="s">
        <v>1802</v>
      </c>
      <c r="U672" s="46"/>
      <c r="V672" s="46"/>
      <c r="W672" s="146"/>
    </row>
    <row r="673" spans="1:23" ht="15" customHeight="1">
      <c r="A673" s="143" t="str">
        <f t="shared" si="20"/>
        <v>AKH12345</v>
      </c>
      <c r="B673" s="144" t="s">
        <v>3146</v>
      </c>
      <c r="C673" s="143" t="s">
        <v>3147</v>
      </c>
      <c r="D673" s="105"/>
      <c r="E673" s="106"/>
      <c r="F673" s="105"/>
      <c r="G673" s="106"/>
      <c r="H673" s="175"/>
      <c r="I673" s="176" t="s">
        <v>847</v>
      </c>
      <c r="J673" s="176" t="s">
        <v>1862</v>
      </c>
      <c r="K673" s="176" t="s">
        <v>1235</v>
      </c>
      <c r="L673" s="145" t="s">
        <v>1806</v>
      </c>
      <c r="M673" s="45" t="str">
        <f t="shared" si="21"/>
        <v>OneCo Networks AS</v>
      </c>
      <c r="N673" s="40" t="str">
        <f ca="1">IFERROR(
VLOOKUP(BoM_Griptel[[#This Row],[Product code]],
IF(AND((BoQ!$N$3&lt;&gt;""),OR(BoM_Griptel[[#This Row],[Vendor]]="Griptel",BoM_Griptel[[#This Row],[Vendor]]="Solar")),INDIRECT(Aux!$A$1)),4,FALSE),"")</f>
        <v/>
      </c>
      <c r="O673" s="169" t="s">
        <v>1807</v>
      </c>
      <c r="P673" s="41" t="str">
        <f>IFERROR(IF(AND(BoM_Griptel[[#This Row],[Quantity]]&lt;&gt;"",BoM_Griptel[[#This Row],[Currency]]="NOK"),BoM_Griptel[[#This Row],[Quantity]]*BoM_Griptel[[#This Row],[Unit Price]],""),"")</f>
        <v/>
      </c>
      <c r="Q673" s="41" t="str">
        <f>IFERROR(IF(AND(BoM_Griptel[[#This Row],[ACT_Qty]]&lt;&gt;"",BoM_Griptel[[#This Row],[Currency]]="NOK"),BoM_Griptel[[#This Row],[ACT_Qty]]*BoM_Griptel[[#This Row],[Unit Price]],""),"")</f>
        <v/>
      </c>
      <c r="R673" s="41" t="str">
        <f>IFERROR(IF(AND(BoM_Griptel[[#This Row],[Quantity]]&lt;&gt;"",BoM_Griptel[[#This Row],[Currency]]="EUR"),BoM_Griptel[[#This Row],[Quantity]]*BoM_Griptel[[#This Row],[Unit Price]],""),"")</f>
        <v/>
      </c>
      <c r="S673" s="41" t="str">
        <f>IFERROR(IF(AND(BoM_Griptel[[#This Row],[ACT_Qty]]&lt;&gt;"",BoM_Griptel[[#This Row],[Currency]]="EUR"),BoM_Griptel[[#This Row],[ACT_Qty]]*BoM_Griptel[[#This Row],[Unit Price]],""),"")</f>
        <v/>
      </c>
      <c r="T673" s="185" t="s">
        <v>1802</v>
      </c>
      <c r="U673" s="45"/>
      <c r="V673" s="45"/>
      <c r="W673" s="143"/>
    </row>
    <row r="674" spans="1:23" ht="15" customHeight="1">
      <c r="A674" s="146" t="str">
        <f t="shared" si="20"/>
        <v>AKH12345</v>
      </c>
      <c r="B674" s="147" t="s">
        <v>3148</v>
      </c>
      <c r="C674" s="146" t="s">
        <v>3149</v>
      </c>
      <c r="D674" s="68"/>
      <c r="E674" s="89"/>
      <c r="F674" s="68"/>
      <c r="G674" s="89"/>
      <c r="H674" s="177"/>
      <c r="I674" s="178" t="s">
        <v>847</v>
      </c>
      <c r="J674" s="178" t="s">
        <v>1862</v>
      </c>
      <c r="K674" s="178" t="s">
        <v>1235</v>
      </c>
      <c r="L674" s="148" t="s">
        <v>1806</v>
      </c>
      <c r="M674" s="46" t="str">
        <f t="shared" si="21"/>
        <v>OneCo Networks AS</v>
      </c>
      <c r="N674" s="42" t="str">
        <f ca="1">IFERROR(
VLOOKUP(BoM_Griptel[[#This Row],[Product code]],
IF(AND((BoQ!$N$3&lt;&gt;""),OR(BoM_Griptel[[#This Row],[Vendor]]="Griptel",BoM_Griptel[[#This Row],[Vendor]]="Solar")),INDIRECT(Aux!$A$1)),4,FALSE),"")</f>
        <v/>
      </c>
      <c r="O674" s="170" t="s">
        <v>1807</v>
      </c>
      <c r="P674" s="43" t="str">
        <f>IFERROR(IF(AND(BoM_Griptel[[#This Row],[Quantity]]&lt;&gt;"",BoM_Griptel[[#This Row],[Currency]]="NOK"),BoM_Griptel[[#This Row],[Quantity]]*BoM_Griptel[[#This Row],[Unit Price]],""),"")</f>
        <v/>
      </c>
      <c r="Q674" s="43" t="str">
        <f>IFERROR(IF(AND(BoM_Griptel[[#This Row],[ACT_Qty]]&lt;&gt;"",BoM_Griptel[[#This Row],[Currency]]="NOK"),BoM_Griptel[[#This Row],[ACT_Qty]]*BoM_Griptel[[#This Row],[Unit Price]],""),"")</f>
        <v/>
      </c>
      <c r="R674" s="43" t="str">
        <f>IFERROR(IF(AND(BoM_Griptel[[#This Row],[Quantity]]&lt;&gt;"",BoM_Griptel[[#This Row],[Currency]]="EUR"),BoM_Griptel[[#This Row],[Quantity]]*BoM_Griptel[[#This Row],[Unit Price]],""),"")</f>
        <v/>
      </c>
      <c r="S674" s="43" t="str">
        <f>IFERROR(IF(AND(BoM_Griptel[[#This Row],[ACT_Qty]]&lt;&gt;"",BoM_Griptel[[#This Row],[Currency]]="EUR"),BoM_Griptel[[#This Row],[ACT_Qty]]*BoM_Griptel[[#This Row],[Unit Price]],""),"")</f>
        <v/>
      </c>
      <c r="T674" s="186" t="s">
        <v>1802</v>
      </c>
      <c r="U674" s="46"/>
      <c r="V674" s="46"/>
      <c r="W674" s="146"/>
    </row>
    <row r="675" spans="1:23" ht="15" customHeight="1">
      <c r="A675" s="143" t="str">
        <f t="shared" si="20"/>
        <v>AKH12345</v>
      </c>
      <c r="B675" s="144" t="s">
        <v>3150</v>
      </c>
      <c r="C675" s="143" t="s">
        <v>3151</v>
      </c>
      <c r="D675" s="105"/>
      <c r="E675" s="106"/>
      <c r="F675" s="105"/>
      <c r="G675" s="106"/>
      <c r="H675" s="175"/>
      <c r="I675" s="176" t="s">
        <v>847</v>
      </c>
      <c r="J675" s="176" t="s">
        <v>1862</v>
      </c>
      <c r="K675" s="176" t="s">
        <v>1235</v>
      </c>
      <c r="L675" s="145" t="s">
        <v>1806</v>
      </c>
      <c r="M675" s="45" t="str">
        <f t="shared" si="21"/>
        <v>OneCo Networks AS</v>
      </c>
      <c r="N675" s="40" t="str">
        <f ca="1">IFERROR(
VLOOKUP(BoM_Griptel[[#This Row],[Product code]],
IF(AND((BoQ!$N$3&lt;&gt;""),OR(BoM_Griptel[[#This Row],[Vendor]]="Griptel",BoM_Griptel[[#This Row],[Vendor]]="Solar")),INDIRECT(Aux!$A$1)),4,FALSE),"")</f>
        <v/>
      </c>
      <c r="O675" s="169" t="s">
        <v>1807</v>
      </c>
      <c r="P675" s="41" t="str">
        <f>IFERROR(IF(AND(BoM_Griptel[[#This Row],[Quantity]]&lt;&gt;"",BoM_Griptel[[#This Row],[Currency]]="NOK"),BoM_Griptel[[#This Row],[Quantity]]*BoM_Griptel[[#This Row],[Unit Price]],""),"")</f>
        <v/>
      </c>
      <c r="Q675" s="41" t="str">
        <f>IFERROR(IF(AND(BoM_Griptel[[#This Row],[ACT_Qty]]&lt;&gt;"",BoM_Griptel[[#This Row],[Currency]]="NOK"),BoM_Griptel[[#This Row],[ACT_Qty]]*BoM_Griptel[[#This Row],[Unit Price]],""),"")</f>
        <v/>
      </c>
      <c r="R675" s="41" t="str">
        <f>IFERROR(IF(AND(BoM_Griptel[[#This Row],[Quantity]]&lt;&gt;"",BoM_Griptel[[#This Row],[Currency]]="EUR"),BoM_Griptel[[#This Row],[Quantity]]*BoM_Griptel[[#This Row],[Unit Price]],""),"")</f>
        <v/>
      </c>
      <c r="S675" s="41" t="str">
        <f>IFERROR(IF(AND(BoM_Griptel[[#This Row],[ACT_Qty]]&lt;&gt;"",BoM_Griptel[[#This Row],[Currency]]="EUR"),BoM_Griptel[[#This Row],[ACT_Qty]]*BoM_Griptel[[#This Row],[Unit Price]],""),"")</f>
        <v/>
      </c>
      <c r="T675" s="185" t="s">
        <v>1802</v>
      </c>
      <c r="U675" s="45"/>
      <c r="V675" s="45"/>
      <c r="W675" s="143"/>
    </row>
    <row r="676" spans="1:23" ht="15" customHeight="1">
      <c r="A676" s="146" t="str">
        <f t="shared" si="20"/>
        <v>AKH12345</v>
      </c>
      <c r="B676" s="147" t="s">
        <v>3152</v>
      </c>
      <c r="C676" s="146" t="s">
        <v>3153</v>
      </c>
      <c r="D676" s="68"/>
      <c r="E676" s="89"/>
      <c r="F676" s="68"/>
      <c r="G676" s="89"/>
      <c r="H676" s="177"/>
      <c r="I676" s="178" t="s">
        <v>847</v>
      </c>
      <c r="J676" s="178" t="s">
        <v>1965</v>
      </c>
      <c r="K676" s="178" t="s">
        <v>1235</v>
      </c>
      <c r="L676" s="148" t="s">
        <v>1806</v>
      </c>
      <c r="M676" s="46" t="str">
        <f t="shared" si="21"/>
        <v>OneCo Networks AS</v>
      </c>
      <c r="N676" s="42" t="str">
        <f ca="1">IFERROR(
VLOOKUP(BoM_Griptel[[#This Row],[Product code]],
IF(AND((BoQ!$N$3&lt;&gt;""),OR(BoM_Griptel[[#This Row],[Vendor]]="Griptel",BoM_Griptel[[#This Row],[Vendor]]="Solar")),INDIRECT(Aux!$A$1)),4,FALSE),"")</f>
        <v/>
      </c>
      <c r="O676" s="170" t="s">
        <v>1807</v>
      </c>
      <c r="P676" s="43" t="str">
        <f>IFERROR(IF(AND(BoM_Griptel[[#This Row],[Quantity]]&lt;&gt;"",BoM_Griptel[[#This Row],[Currency]]="NOK"),BoM_Griptel[[#This Row],[Quantity]]*BoM_Griptel[[#This Row],[Unit Price]],""),"")</f>
        <v/>
      </c>
      <c r="Q676" s="43" t="str">
        <f>IFERROR(IF(AND(BoM_Griptel[[#This Row],[ACT_Qty]]&lt;&gt;"",BoM_Griptel[[#This Row],[Currency]]="NOK"),BoM_Griptel[[#This Row],[ACT_Qty]]*BoM_Griptel[[#This Row],[Unit Price]],""),"")</f>
        <v/>
      </c>
      <c r="R676" s="43" t="str">
        <f>IFERROR(IF(AND(BoM_Griptel[[#This Row],[Quantity]]&lt;&gt;"",BoM_Griptel[[#This Row],[Currency]]="EUR"),BoM_Griptel[[#This Row],[Quantity]]*BoM_Griptel[[#This Row],[Unit Price]],""),"")</f>
        <v/>
      </c>
      <c r="S676" s="43" t="str">
        <f>IFERROR(IF(AND(BoM_Griptel[[#This Row],[ACT_Qty]]&lt;&gt;"",BoM_Griptel[[#This Row],[Currency]]="EUR"),BoM_Griptel[[#This Row],[ACT_Qty]]*BoM_Griptel[[#This Row],[Unit Price]],""),"")</f>
        <v/>
      </c>
      <c r="T676" s="186" t="s">
        <v>1802</v>
      </c>
      <c r="U676" s="46"/>
      <c r="V676" s="46"/>
      <c r="W676" s="146"/>
    </row>
    <row r="677" spans="1:23" ht="15" customHeight="1">
      <c r="A677" s="143" t="str">
        <f t="shared" si="20"/>
        <v>AKH12345</v>
      </c>
      <c r="B677" s="144" t="s">
        <v>3154</v>
      </c>
      <c r="C677" s="143" t="s">
        <v>3155</v>
      </c>
      <c r="D677" s="105"/>
      <c r="E677" s="106"/>
      <c r="F677" s="105"/>
      <c r="G677" s="106"/>
      <c r="H677" s="175"/>
      <c r="I677" s="176" t="s">
        <v>847</v>
      </c>
      <c r="J677" s="176" t="s">
        <v>746</v>
      </c>
      <c r="K677" s="176" t="s">
        <v>1235</v>
      </c>
      <c r="L677" s="145" t="s">
        <v>1806</v>
      </c>
      <c r="M677" s="45" t="str">
        <f t="shared" si="21"/>
        <v>OneCo Networks AS</v>
      </c>
      <c r="N677" s="40" t="str">
        <f ca="1">IFERROR(
VLOOKUP(BoM_Griptel[[#This Row],[Product code]],
IF(AND((BoQ!$N$3&lt;&gt;""),OR(BoM_Griptel[[#This Row],[Vendor]]="Griptel",BoM_Griptel[[#This Row],[Vendor]]="Solar")),INDIRECT(Aux!$A$1)),4,FALSE),"")</f>
        <v/>
      </c>
      <c r="O677" s="169" t="s">
        <v>1807</v>
      </c>
      <c r="P677" s="41" t="str">
        <f>IFERROR(IF(AND(BoM_Griptel[[#This Row],[Quantity]]&lt;&gt;"",BoM_Griptel[[#This Row],[Currency]]="NOK"),BoM_Griptel[[#This Row],[Quantity]]*BoM_Griptel[[#This Row],[Unit Price]],""),"")</f>
        <v/>
      </c>
      <c r="Q677" s="41" t="str">
        <f>IFERROR(IF(AND(BoM_Griptel[[#This Row],[ACT_Qty]]&lt;&gt;"",BoM_Griptel[[#This Row],[Currency]]="NOK"),BoM_Griptel[[#This Row],[ACT_Qty]]*BoM_Griptel[[#This Row],[Unit Price]],""),"")</f>
        <v/>
      </c>
      <c r="R677" s="41" t="str">
        <f>IFERROR(IF(AND(BoM_Griptel[[#This Row],[Quantity]]&lt;&gt;"",BoM_Griptel[[#This Row],[Currency]]="EUR"),BoM_Griptel[[#This Row],[Quantity]]*BoM_Griptel[[#This Row],[Unit Price]],""),"")</f>
        <v/>
      </c>
      <c r="S677" s="41" t="str">
        <f>IFERROR(IF(AND(BoM_Griptel[[#This Row],[ACT_Qty]]&lt;&gt;"",BoM_Griptel[[#This Row],[Currency]]="EUR"),BoM_Griptel[[#This Row],[ACT_Qty]]*BoM_Griptel[[#This Row],[Unit Price]],""),"")</f>
        <v/>
      </c>
      <c r="T677" s="185" t="s">
        <v>1802</v>
      </c>
      <c r="U677" s="45"/>
      <c r="V677" s="45"/>
      <c r="W677" s="143"/>
    </row>
    <row r="678" spans="1:23" ht="15" customHeight="1">
      <c r="A678" s="146" t="str">
        <f t="shared" si="20"/>
        <v>AKH12345</v>
      </c>
      <c r="B678" s="147" t="s">
        <v>3156</v>
      </c>
      <c r="C678" s="146" t="s">
        <v>3157</v>
      </c>
      <c r="D678" s="68"/>
      <c r="E678" s="89"/>
      <c r="F678" s="68"/>
      <c r="G678" s="89"/>
      <c r="H678" s="177"/>
      <c r="I678" s="178" t="s">
        <v>847</v>
      </c>
      <c r="J678" s="178" t="s">
        <v>3158</v>
      </c>
      <c r="K678" s="178" t="s">
        <v>1235</v>
      </c>
      <c r="L678" s="148" t="s">
        <v>1806</v>
      </c>
      <c r="M678" s="46" t="str">
        <f t="shared" si="21"/>
        <v>OneCo Networks AS</v>
      </c>
      <c r="N678" s="42" t="str">
        <f ca="1">IFERROR(
VLOOKUP(BoM_Griptel[[#This Row],[Product code]],
IF(AND((BoQ!$N$3&lt;&gt;""),OR(BoM_Griptel[[#This Row],[Vendor]]="Griptel",BoM_Griptel[[#This Row],[Vendor]]="Solar")),INDIRECT(Aux!$A$1)),4,FALSE),"")</f>
        <v/>
      </c>
      <c r="O678" s="170" t="s">
        <v>1807</v>
      </c>
      <c r="P678" s="43" t="str">
        <f>IFERROR(IF(AND(BoM_Griptel[[#This Row],[Quantity]]&lt;&gt;"",BoM_Griptel[[#This Row],[Currency]]="NOK"),BoM_Griptel[[#This Row],[Quantity]]*BoM_Griptel[[#This Row],[Unit Price]],""),"")</f>
        <v/>
      </c>
      <c r="Q678" s="43" t="str">
        <f>IFERROR(IF(AND(BoM_Griptel[[#This Row],[ACT_Qty]]&lt;&gt;"",BoM_Griptel[[#This Row],[Currency]]="NOK"),BoM_Griptel[[#This Row],[ACT_Qty]]*BoM_Griptel[[#This Row],[Unit Price]],""),"")</f>
        <v/>
      </c>
      <c r="R678" s="43" t="str">
        <f>IFERROR(IF(AND(BoM_Griptel[[#This Row],[Quantity]]&lt;&gt;"",BoM_Griptel[[#This Row],[Currency]]="EUR"),BoM_Griptel[[#This Row],[Quantity]]*BoM_Griptel[[#This Row],[Unit Price]],""),"")</f>
        <v/>
      </c>
      <c r="S678" s="43" t="str">
        <f>IFERROR(IF(AND(BoM_Griptel[[#This Row],[ACT_Qty]]&lt;&gt;"",BoM_Griptel[[#This Row],[Currency]]="EUR"),BoM_Griptel[[#This Row],[ACT_Qty]]*BoM_Griptel[[#This Row],[Unit Price]],""),"")</f>
        <v/>
      </c>
      <c r="T678" s="186" t="s">
        <v>1802</v>
      </c>
      <c r="U678" s="46"/>
      <c r="V678" s="46"/>
      <c r="W678" s="146"/>
    </row>
    <row r="679" spans="1:23" ht="15" customHeight="1">
      <c r="A679" s="143" t="str">
        <f t="shared" si="20"/>
        <v>AKH12345</v>
      </c>
      <c r="B679" s="144" t="s">
        <v>3159</v>
      </c>
      <c r="C679" s="143" t="s">
        <v>3160</v>
      </c>
      <c r="D679" s="105"/>
      <c r="E679" s="106"/>
      <c r="F679" s="105"/>
      <c r="G679" s="106"/>
      <c r="H679" s="175"/>
      <c r="I679" s="176" t="s">
        <v>847</v>
      </c>
      <c r="J679" s="176" t="s">
        <v>3158</v>
      </c>
      <c r="K679" s="176" t="s">
        <v>1235</v>
      </c>
      <c r="L679" s="145" t="s">
        <v>1806</v>
      </c>
      <c r="M679" s="45" t="str">
        <f t="shared" si="21"/>
        <v>OneCo Networks AS</v>
      </c>
      <c r="N679" s="40" t="str">
        <f ca="1">IFERROR(
VLOOKUP(BoM_Griptel[[#This Row],[Product code]],
IF(AND((BoQ!$N$3&lt;&gt;""),OR(BoM_Griptel[[#This Row],[Vendor]]="Griptel",BoM_Griptel[[#This Row],[Vendor]]="Solar")),INDIRECT(Aux!$A$1)),4,FALSE),"")</f>
        <v/>
      </c>
      <c r="O679" s="169" t="s">
        <v>1807</v>
      </c>
      <c r="P679" s="41" t="str">
        <f>IFERROR(IF(AND(BoM_Griptel[[#This Row],[Quantity]]&lt;&gt;"",BoM_Griptel[[#This Row],[Currency]]="NOK"),BoM_Griptel[[#This Row],[Quantity]]*BoM_Griptel[[#This Row],[Unit Price]],""),"")</f>
        <v/>
      </c>
      <c r="Q679" s="41" t="str">
        <f>IFERROR(IF(AND(BoM_Griptel[[#This Row],[ACT_Qty]]&lt;&gt;"",BoM_Griptel[[#This Row],[Currency]]="NOK"),BoM_Griptel[[#This Row],[ACT_Qty]]*BoM_Griptel[[#This Row],[Unit Price]],""),"")</f>
        <v/>
      </c>
      <c r="R679" s="41" t="str">
        <f>IFERROR(IF(AND(BoM_Griptel[[#This Row],[Quantity]]&lt;&gt;"",BoM_Griptel[[#This Row],[Currency]]="EUR"),BoM_Griptel[[#This Row],[Quantity]]*BoM_Griptel[[#This Row],[Unit Price]],""),"")</f>
        <v/>
      </c>
      <c r="S679" s="41" t="str">
        <f>IFERROR(IF(AND(BoM_Griptel[[#This Row],[ACT_Qty]]&lt;&gt;"",BoM_Griptel[[#This Row],[Currency]]="EUR"),BoM_Griptel[[#This Row],[ACT_Qty]]*BoM_Griptel[[#This Row],[Unit Price]],""),"")</f>
        <v/>
      </c>
      <c r="T679" s="185" t="s">
        <v>1802</v>
      </c>
      <c r="U679" s="45"/>
      <c r="V679" s="45"/>
      <c r="W679" s="143"/>
    </row>
    <row r="680" spans="1:23" ht="15" customHeight="1">
      <c r="A680" s="146" t="str">
        <f t="shared" si="20"/>
        <v>AKH12345</v>
      </c>
      <c r="B680" s="147" t="s">
        <v>3161</v>
      </c>
      <c r="C680" s="146" t="s">
        <v>3162</v>
      </c>
      <c r="D680" s="68"/>
      <c r="E680" s="89"/>
      <c r="F680" s="68"/>
      <c r="G680" s="89"/>
      <c r="H680" s="177"/>
      <c r="I680" s="178" t="s">
        <v>847</v>
      </c>
      <c r="J680" s="178" t="s">
        <v>3158</v>
      </c>
      <c r="K680" s="178" t="s">
        <v>1235</v>
      </c>
      <c r="L680" s="148" t="s">
        <v>1806</v>
      </c>
      <c r="M680" s="46" t="str">
        <f t="shared" si="21"/>
        <v>OneCo Networks AS</v>
      </c>
      <c r="N680" s="42" t="str">
        <f ca="1">IFERROR(
VLOOKUP(BoM_Griptel[[#This Row],[Product code]],
IF(AND((BoQ!$N$3&lt;&gt;""),OR(BoM_Griptel[[#This Row],[Vendor]]="Griptel",BoM_Griptel[[#This Row],[Vendor]]="Solar")),INDIRECT(Aux!$A$1)),4,FALSE),"")</f>
        <v/>
      </c>
      <c r="O680" s="170" t="s">
        <v>1807</v>
      </c>
      <c r="P680" s="43" t="str">
        <f>IFERROR(IF(AND(BoM_Griptel[[#This Row],[Quantity]]&lt;&gt;"",BoM_Griptel[[#This Row],[Currency]]="NOK"),BoM_Griptel[[#This Row],[Quantity]]*BoM_Griptel[[#This Row],[Unit Price]],""),"")</f>
        <v/>
      </c>
      <c r="Q680" s="43" t="str">
        <f>IFERROR(IF(AND(BoM_Griptel[[#This Row],[ACT_Qty]]&lt;&gt;"",BoM_Griptel[[#This Row],[Currency]]="NOK"),BoM_Griptel[[#This Row],[ACT_Qty]]*BoM_Griptel[[#This Row],[Unit Price]],""),"")</f>
        <v/>
      </c>
      <c r="R680" s="43" t="str">
        <f>IFERROR(IF(AND(BoM_Griptel[[#This Row],[Quantity]]&lt;&gt;"",BoM_Griptel[[#This Row],[Currency]]="EUR"),BoM_Griptel[[#This Row],[Quantity]]*BoM_Griptel[[#This Row],[Unit Price]],""),"")</f>
        <v/>
      </c>
      <c r="S680" s="43" t="str">
        <f>IFERROR(IF(AND(BoM_Griptel[[#This Row],[ACT_Qty]]&lt;&gt;"",BoM_Griptel[[#This Row],[Currency]]="EUR"),BoM_Griptel[[#This Row],[ACT_Qty]]*BoM_Griptel[[#This Row],[Unit Price]],""),"")</f>
        <v/>
      </c>
      <c r="T680" s="186" t="s">
        <v>1802</v>
      </c>
      <c r="U680" s="46"/>
      <c r="V680" s="46"/>
      <c r="W680" s="146"/>
    </row>
    <row r="681" spans="1:23" ht="15" customHeight="1">
      <c r="A681" s="143" t="str">
        <f t="shared" si="20"/>
        <v>AKH12345</v>
      </c>
      <c r="B681" s="144" t="s">
        <v>3163</v>
      </c>
      <c r="C681" s="143" t="s">
        <v>3164</v>
      </c>
      <c r="D681" s="105"/>
      <c r="E681" s="106"/>
      <c r="F681" s="105"/>
      <c r="G681" s="106"/>
      <c r="H681" s="175"/>
      <c r="I681" s="176" t="s">
        <v>847</v>
      </c>
      <c r="J681" s="176" t="s">
        <v>3158</v>
      </c>
      <c r="K681" s="176" t="s">
        <v>1235</v>
      </c>
      <c r="L681" s="145" t="s">
        <v>1806</v>
      </c>
      <c r="M681" s="45" t="str">
        <f t="shared" si="21"/>
        <v>OneCo Networks AS</v>
      </c>
      <c r="N681" s="40" t="str">
        <f ca="1">IFERROR(
VLOOKUP(BoM_Griptel[[#This Row],[Product code]],
IF(AND((BoQ!$N$3&lt;&gt;""),OR(BoM_Griptel[[#This Row],[Vendor]]="Griptel",BoM_Griptel[[#This Row],[Vendor]]="Solar")),INDIRECT(Aux!$A$1)),4,FALSE),"")</f>
        <v/>
      </c>
      <c r="O681" s="169" t="s">
        <v>1807</v>
      </c>
      <c r="P681" s="41" t="str">
        <f>IFERROR(IF(AND(BoM_Griptel[[#This Row],[Quantity]]&lt;&gt;"",BoM_Griptel[[#This Row],[Currency]]="NOK"),BoM_Griptel[[#This Row],[Quantity]]*BoM_Griptel[[#This Row],[Unit Price]],""),"")</f>
        <v/>
      </c>
      <c r="Q681" s="41" t="str">
        <f>IFERROR(IF(AND(BoM_Griptel[[#This Row],[ACT_Qty]]&lt;&gt;"",BoM_Griptel[[#This Row],[Currency]]="NOK"),BoM_Griptel[[#This Row],[ACT_Qty]]*BoM_Griptel[[#This Row],[Unit Price]],""),"")</f>
        <v/>
      </c>
      <c r="R681" s="41" t="str">
        <f>IFERROR(IF(AND(BoM_Griptel[[#This Row],[Quantity]]&lt;&gt;"",BoM_Griptel[[#This Row],[Currency]]="EUR"),BoM_Griptel[[#This Row],[Quantity]]*BoM_Griptel[[#This Row],[Unit Price]],""),"")</f>
        <v/>
      </c>
      <c r="S681" s="41" t="str">
        <f>IFERROR(IF(AND(BoM_Griptel[[#This Row],[ACT_Qty]]&lt;&gt;"",BoM_Griptel[[#This Row],[Currency]]="EUR"),BoM_Griptel[[#This Row],[ACT_Qty]]*BoM_Griptel[[#This Row],[Unit Price]],""),"")</f>
        <v/>
      </c>
      <c r="T681" s="185" t="s">
        <v>1802</v>
      </c>
      <c r="U681" s="45"/>
      <c r="V681" s="45"/>
      <c r="W681" s="143"/>
    </row>
    <row r="682" spans="1:23" ht="15" customHeight="1">
      <c r="A682" s="146" t="str">
        <f t="shared" si="20"/>
        <v>AKH12345</v>
      </c>
      <c r="B682" s="147" t="s">
        <v>3165</v>
      </c>
      <c r="C682" s="146" t="s">
        <v>3166</v>
      </c>
      <c r="D682" s="68"/>
      <c r="E682" s="89"/>
      <c r="F682" s="68"/>
      <c r="G682" s="89"/>
      <c r="H682" s="177"/>
      <c r="I682" s="178" t="s">
        <v>847</v>
      </c>
      <c r="J682" s="178" t="s">
        <v>3158</v>
      </c>
      <c r="K682" s="178" t="s">
        <v>1235</v>
      </c>
      <c r="L682" s="148" t="s">
        <v>1806</v>
      </c>
      <c r="M682" s="46" t="str">
        <f t="shared" si="21"/>
        <v>OneCo Networks AS</v>
      </c>
      <c r="N682" s="42" t="str">
        <f ca="1">IFERROR(
VLOOKUP(BoM_Griptel[[#This Row],[Product code]],
IF(AND((BoQ!$N$3&lt;&gt;""),OR(BoM_Griptel[[#This Row],[Vendor]]="Griptel",BoM_Griptel[[#This Row],[Vendor]]="Solar")),INDIRECT(Aux!$A$1)),4,FALSE),"")</f>
        <v/>
      </c>
      <c r="O682" s="170" t="s">
        <v>1807</v>
      </c>
      <c r="P682" s="43" t="str">
        <f>IFERROR(IF(AND(BoM_Griptel[[#This Row],[Quantity]]&lt;&gt;"",BoM_Griptel[[#This Row],[Currency]]="NOK"),BoM_Griptel[[#This Row],[Quantity]]*BoM_Griptel[[#This Row],[Unit Price]],""),"")</f>
        <v/>
      </c>
      <c r="Q682" s="43" t="str">
        <f>IFERROR(IF(AND(BoM_Griptel[[#This Row],[ACT_Qty]]&lt;&gt;"",BoM_Griptel[[#This Row],[Currency]]="NOK"),BoM_Griptel[[#This Row],[ACT_Qty]]*BoM_Griptel[[#This Row],[Unit Price]],""),"")</f>
        <v/>
      </c>
      <c r="R682" s="43" t="str">
        <f>IFERROR(IF(AND(BoM_Griptel[[#This Row],[Quantity]]&lt;&gt;"",BoM_Griptel[[#This Row],[Currency]]="EUR"),BoM_Griptel[[#This Row],[Quantity]]*BoM_Griptel[[#This Row],[Unit Price]],""),"")</f>
        <v/>
      </c>
      <c r="S682" s="43" t="str">
        <f>IFERROR(IF(AND(BoM_Griptel[[#This Row],[ACT_Qty]]&lt;&gt;"",BoM_Griptel[[#This Row],[Currency]]="EUR"),BoM_Griptel[[#This Row],[ACT_Qty]]*BoM_Griptel[[#This Row],[Unit Price]],""),"")</f>
        <v/>
      </c>
      <c r="T682" s="186" t="s">
        <v>1802</v>
      </c>
      <c r="U682" s="46"/>
      <c r="V682" s="46"/>
      <c r="W682" s="146"/>
    </row>
    <row r="683" spans="1:23" ht="15" customHeight="1">
      <c r="A683" s="143" t="str">
        <f t="shared" si="20"/>
        <v>AKH12345</v>
      </c>
      <c r="B683" s="144" t="s">
        <v>3167</v>
      </c>
      <c r="C683" s="143" t="s">
        <v>3168</v>
      </c>
      <c r="D683" s="105"/>
      <c r="E683" s="106"/>
      <c r="F683" s="105"/>
      <c r="G683" s="106"/>
      <c r="H683" s="175"/>
      <c r="I683" s="176" t="s">
        <v>847</v>
      </c>
      <c r="J683" s="176" t="s">
        <v>3158</v>
      </c>
      <c r="K683" s="176" t="s">
        <v>1235</v>
      </c>
      <c r="L683" s="145" t="s">
        <v>1806</v>
      </c>
      <c r="M683" s="45" t="str">
        <f t="shared" si="21"/>
        <v>OneCo Networks AS</v>
      </c>
      <c r="N683" s="40" t="str">
        <f ca="1">IFERROR(
VLOOKUP(BoM_Griptel[[#This Row],[Product code]],
IF(AND((BoQ!$N$3&lt;&gt;""),OR(BoM_Griptel[[#This Row],[Vendor]]="Griptel",BoM_Griptel[[#This Row],[Vendor]]="Solar")),INDIRECT(Aux!$A$1)),4,FALSE),"")</f>
        <v/>
      </c>
      <c r="O683" s="169" t="s">
        <v>1807</v>
      </c>
      <c r="P683" s="41" t="str">
        <f>IFERROR(IF(AND(BoM_Griptel[[#This Row],[Quantity]]&lt;&gt;"",BoM_Griptel[[#This Row],[Currency]]="NOK"),BoM_Griptel[[#This Row],[Quantity]]*BoM_Griptel[[#This Row],[Unit Price]],""),"")</f>
        <v/>
      </c>
      <c r="Q683" s="41" t="str">
        <f>IFERROR(IF(AND(BoM_Griptel[[#This Row],[ACT_Qty]]&lt;&gt;"",BoM_Griptel[[#This Row],[Currency]]="NOK"),BoM_Griptel[[#This Row],[ACT_Qty]]*BoM_Griptel[[#This Row],[Unit Price]],""),"")</f>
        <v/>
      </c>
      <c r="R683" s="41" t="str">
        <f>IFERROR(IF(AND(BoM_Griptel[[#This Row],[Quantity]]&lt;&gt;"",BoM_Griptel[[#This Row],[Currency]]="EUR"),BoM_Griptel[[#This Row],[Quantity]]*BoM_Griptel[[#This Row],[Unit Price]],""),"")</f>
        <v/>
      </c>
      <c r="S683" s="41" t="str">
        <f>IFERROR(IF(AND(BoM_Griptel[[#This Row],[ACT_Qty]]&lt;&gt;"",BoM_Griptel[[#This Row],[Currency]]="EUR"),BoM_Griptel[[#This Row],[ACT_Qty]]*BoM_Griptel[[#This Row],[Unit Price]],""),"")</f>
        <v/>
      </c>
      <c r="T683" s="185" t="s">
        <v>1802</v>
      </c>
      <c r="U683" s="45"/>
      <c r="V683" s="45"/>
      <c r="W683" s="143"/>
    </row>
    <row r="684" spans="1:23" ht="15" customHeight="1">
      <c r="A684" s="146" t="str">
        <f t="shared" si="20"/>
        <v>AKH12345</v>
      </c>
      <c r="B684" s="147" t="s">
        <v>3169</v>
      </c>
      <c r="C684" s="146" t="s">
        <v>3170</v>
      </c>
      <c r="D684" s="68"/>
      <c r="E684" s="89"/>
      <c r="F684" s="68"/>
      <c r="G684" s="89"/>
      <c r="H684" s="177"/>
      <c r="I684" s="178" t="s">
        <v>847</v>
      </c>
      <c r="J684" s="178" t="s">
        <v>3158</v>
      </c>
      <c r="K684" s="178" t="s">
        <v>1235</v>
      </c>
      <c r="L684" s="148" t="s">
        <v>1806</v>
      </c>
      <c r="M684" s="46" t="str">
        <f t="shared" si="21"/>
        <v>OneCo Networks AS</v>
      </c>
      <c r="N684" s="42" t="str">
        <f ca="1">IFERROR(
VLOOKUP(BoM_Griptel[[#This Row],[Product code]],
IF(AND((BoQ!$N$3&lt;&gt;""),OR(BoM_Griptel[[#This Row],[Vendor]]="Griptel",BoM_Griptel[[#This Row],[Vendor]]="Solar")),INDIRECT(Aux!$A$1)),4,FALSE),"")</f>
        <v/>
      </c>
      <c r="O684" s="170" t="s">
        <v>1807</v>
      </c>
      <c r="P684" s="43" t="str">
        <f>IFERROR(IF(AND(BoM_Griptel[[#This Row],[Quantity]]&lt;&gt;"",BoM_Griptel[[#This Row],[Currency]]="NOK"),BoM_Griptel[[#This Row],[Quantity]]*BoM_Griptel[[#This Row],[Unit Price]],""),"")</f>
        <v/>
      </c>
      <c r="Q684" s="43" t="str">
        <f>IFERROR(IF(AND(BoM_Griptel[[#This Row],[ACT_Qty]]&lt;&gt;"",BoM_Griptel[[#This Row],[Currency]]="NOK"),BoM_Griptel[[#This Row],[ACT_Qty]]*BoM_Griptel[[#This Row],[Unit Price]],""),"")</f>
        <v/>
      </c>
      <c r="R684" s="43" t="str">
        <f>IFERROR(IF(AND(BoM_Griptel[[#This Row],[Quantity]]&lt;&gt;"",BoM_Griptel[[#This Row],[Currency]]="EUR"),BoM_Griptel[[#This Row],[Quantity]]*BoM_Griptel[[#This Row],[Unit Price]],""),"")</f>
        <v/>
      </c>
      <c r="S684" s="43" t="str">
        <f>IFERROR(IF(AND(BoM_Griptel[[#This Row],[ACT_Qty]]&lt;&gt;"",BoM_Griptel[[#This Row],[Currency]]="EUR"),BoM_Griptel[[#This Row],[ACT_Qty]]*BoM_Griptel[[#This Row],[Unit Price]],""),"")</f>
        <v/>
      </c>
      <c r="T684" s="186" t="s">
        <v>1802</v>
      </c>
      <c r="U684" s="46"/>
      <c r="V684" s="46"/>
      <c r="W684" s="146"/>
    </row>
    <row r="685" spans="1:23" ht="15" customHeight="1">
      <c r="A685" s="143" t="str">
        <f t="shared" si="20"/>
        <v>AKH12345</v>
      </c>
      <c r="B685" s="144" t="s">
        <v>3171</v>
      </c>
      <c r="C685" s="143" t="s">
        <v>3172</v>
      </c>
      <c r="D685" s="105"/>
      <c r="E685" s="106"/>
      <c r="F685" s="105"/>
      <c r="G685" s="106"/>
      <c r="H685" s="175"/>
      <c r="I685" s="176" t="s">
        <v>847</v>
      </c>
      <c r="J685" s="176" t="s">
        <v>3158</v>
      </c>
      <c r="K685" s="176" t="s">
        <v>1235</v>
      </c>
      <c r="L685" s="145" t="s">
        <v>1806</v>
      </c>
      <c r="M685" s="45" t="str">
        <f t="shared" si="21"/>
        <v>OneCo Networks AS</v>
      </c>
      <c r="N685" s="40" t="str">
        <f ca="1">IFERROR(
VLOOKUP(BoM_Griptel[[#This Row],[Product code]],
IF(AND((BoQ!$N$3&lt;&gt;""),OR(BoM_Griptel[[#This Row],[Vendor]]="Griptel",BoM_Griptel[[#This Row],[Vendor]]="Solar")),INDIRECT(Aux!$A$1)),4,FALSE),"")</f>
        <v/>
      </c>
      <c r="O685" s="169" t="s">
        <v>1807</v>
      </c>
      <c r="P685" s="41" t="str">
        <f>IFERROR(IF(AND(BoM_Griptel[[#This Row],[Quantity]]&lt;&gt;"",BoM_Griptel[[#This Row],[Currency]]="NOK"),BoM_Griptel[[#This Row],[Quantity]]*BoM_Griptel[[#This Row],[Unit Price]],""),"")</f>
        <v/>
      </c>
      <c r="Q685" s="41" t="str">
        <f>IFERROR(IF(AND(BoM_Griptel[[#This Row],[ACT_Qty]]&lt;&gt;"",BoM_Griptel[[#This Row],[Currency]]="NOK"),BoM_Griptel[[#This Row],[ACT_Qty]]*BoM_Griptel[[#This Row],[Unit Price]],""),"")</f>
        <v/>
      </c>
      <c r="R685" s="41" t="str">
        <f>IFERROR(IF(AND(BoM_Griptel[[#This Row],[Quantity]]&lt;&gt;"",BoM_Griptel[[#This Row],[Currency]]="EUR"),BoM_Griptel[[#This Row],[Quantity]]*BoM_Griptel[[#This Row],[Unit Price]],""),"")</f>
        <v/>
      </c>
      <c r="S685" s="41" t="str">
        <f>IFERROR(IF(AND(BoM_Griptel[[#This Row],[ACT_Qty]]&lt;&gt;"",BoM_Griptel[[#This Row],[Currency]]="EUR"),BoM_Griptel[[#This Row],[ACT_Qty]]*BoM_Griptel[[#This Row],[Unit Price]],""),"")</f>
        <v/>
      </c>
      <c r="T685" s="185" t="s">
        <v>1802</v>
      </c>
      <c r="U685" s="45"/>
      <c r="V685" s="45"/>
      <c r="W685" s="143"/>
    </row>
    <row r="686" spans="1:23" ht="15" customHeight="1">
      <c r="A686" s="146" t="str">
        <f t="shared" si="20"/>
        <v>AKH12345</v>
      </c>
      <c r="B686" s="147" t="s">
        <v>3173</v>
      </c>
      <c r="C686" s="146" t="s">
        <v>3174</v>
      </c>
      <c r="D686" s="68"/>
      <c r="E686" s="89"/>
      <c r="F686" s="68"/>
      <c r="G686" s="89"/>
      <c r="H686" s="177"/>
      <c r="I686" s="178" t="s">
        <v>847</v>
      </c>
      <c r="J686" s="178" t="s">
        <v>3158</v>
      </c>
      <c r="K686" s="178" t="s">
        <v>1235</v>
      </c>
      <c r="L686" s="148" t="s">
        <v>1806</v>
      </c>
      <c r="M686" s="46" t="str">
        <f t="shared" si="21"/>
        <v>OneCo Networks AS</v>
      </c>
      <c r="N686" s="42" t="str">
        <f ca="1">IFERROR(
VLOOKUP(BoM_Griptel[[#This Row],[Product code]],
IF(AND((BoQ!$N$3&lt;&gt;""),OR(BoM_Griptel[[#This Row],[Vendor]]="Griptel",BoM_Griptel[[#This Row],[Vendor]]="Solar")),INDIRECT(Aux!$A$1)),4,FALSE),"")</f>
        <v/>
      </c>
      <c r="O686" s="170" t="s">
        <v>1807</v>
      </c>
      <c r="P686" s="43" t="str">
        <f>IFERROR(IF(AND(BoM_Griptel[[#This Row],[Quantity]]&lt;&gt;"",BoM_Griptel[[#This Row],[Currency]]="NOK"),BoM_Griptel[[#This Row],[Quantity]]*BoM_Griptel[[#This Row],[Unit Price]],""),"")</f>
        <v/>
      </c>
      <c r="Q686" s="43" t="str">
        <f>IFERROR(IF(AND(BoM_Griptel[[#This Row],[ACT_Qty]]&lt;&gt;"",BoM_Griptel[[#This Row],[Currency]]="NOK"),BoM_Griptel[[#This Row],[ACT_Qty]]*BoM_Griptel[[#This Row],[Unit Price]],""),"")</f>
        <v/>
      </c>
      <c r="R686" s="43" t="str">
        <f>IFERROR(IF(AND(BoM_Griptel[[#This Row],[Quantity]]&lt;&gt;"",BoM_Griptel[[#This Row],[Currency]]="EUR"),BoM_Griptel[[#This Row],[Quantity]]*BoM_Griptel[[#This Row],[Unit Price]],""),"")</f>
        <v/>
      </c>
      <c r="S686" s="43" t="str">
        <f>IFERROR(IF(AND(BoM_Griptel[[#This Row],[ACT_Qty]]&lt;&gt;"",BoM_Griptel[[#This Row],[Currency]]="EUR"),BoM_Griptel[[#This Row],[ACT_Qty]]*BoM_Griptel[[#This Row],[Unit Price]],""),"")</f>
        <v/>
      </c>
      <c r="T686" s="186" t="s">
        <v>1802</v>
      </c>
      <c r="U686" s="46"/>
      <c r="V686" s="46"/>
      <c r="W686" s="146"/>
    </row>
    <row r="687" spans="1:23" ht="15" customHeight="1">
      <c r="A687" s="143" t="str">
        <f t="shared" si="20"/>
        <v>AKH12345</v>
      </c>
      <c r="B687" s="144" t="s">
        <v>3175</v>
      </c>
      <c r="C687" s="143" t="s">
        <v>3176</v>
      </c>
      <c r="D687" s="105"/>
      <c r="E687" s="106"/>
      <c r="F687" s="105"/>
      <c r="G687" s="106"/>
      <c r="H687" s="175"/>
      <c r="I687" s="176" t="s">
        <v>847</v>
      </c>
      <c r="J687" s="176" t="s">
        <v>3158</v>
      </c>
      <c r="K687" s="176" t="s">
        <v>1235</v>
      </c>
      <c r="L687" s="145" t="s">
        <v>1806</v>
      </c>
      <c r="M687" s="45" t="str">
        <f t="shared" si="21"/>
        <v>OneCo Networks AS</v>
      </c>
      <c r="N687" s="40" t="str">
        <f ca="1">IFERROR(
VLOOKUP(BoM_Griptel[[#This Row],[Product code]],
IF(AND((BoQ!$N$3&lt;&gt;""),OR(BoM_Griptel[[#This Row],[Vendor]]="Griptel",BoM_Griptel[[#This Row],[Vendor]]="Solar")),INDIRECT(Aux!$A$1)),4,FALSE),"")</f>
        <v/>
      </c>
      <c r="O687" s="169" t="s">
        <v>1807</v>
      </c>
      <c r="P687" s="41" t="str">
        <f>IFERROR(IF(AND(BoM_Griptel[[#This Row],[Quantity]]&lt;&gt;"",BoM_Griptel[[#This Row],[Currency]]="NOK"),BoM_Griptel[[#This Row],[Quantity]]*BoM_Griptel[[#This Row],[Unit Price]],""),"")</f>
        <v/>
      </c>
      <c r="Q687" s="41" t="str">
        <f>IFERROR(IF(AND(BoM_Griptel[[#This Row],[ACT_Qty]]&lt;&gt;"",BoM_Griptel[[#This Row],[Currency]]="NOK"),BoM_Griptel[[#This Row],[ACT_Qty]]*BoM_Griptel[[#This Row],[Unit Price]],""),"")</f>
        <v/>
      </c>
      <c r="R687" s="41" t="str">
        <f>IFERROR(IF(AND(BoM_Griptel[[#This Row],[Quantity]]&lt;&gt;"",BoM_Griptel[[#This Row],[Currency]]="EUR"),BoM_Griptel[[#This Row],[Quantity]]*BoM_Griptel[[#This Row],[Unit Price]],""),"")</f>
        <v/>
      </c>
      <c r="S687" s="41" t="str">
        <f>IFERROR(IF(AND(BoM_Griptel[[#This Row],[ACT_Qty]]&lt;&gt;"",BoM_Griptel[[#This Row],[Currency]]="EUR"),BoM_Griptel[[#This Row],[ACT_Qty]]*BoM_Griptel[[#This Row],[Unit Price]],""),"")</f>
        <v/>
      </c>
      <c r="T687" s="185" t="s">
        <v>1802</v>
      </c>
      <c r="U687" s="45"/>
      <c r="V687" s="45"/>
      <c r="W687" s="143"/>
    </row>
    <row r="688" spans="1:23" ht="15" customHeight="1">
      <c r="A688" s="146" t="str">
        <f t="shared" si="20"/>
        <v>AKH12345</v>
      </c>
      <c r="B688" s="147" t="s">
        <v>3177</v>
      </c>
      <c r="C688" s="146" t="s">
        <v>3178</v>
      </c>
      <c r="D688" s="68"/>
      <c r="E688" s="89"/>
      <c r="F688" s="68"/>
      <c r="G688" s="89"/>
      <c r="H688" s="177"/>
      <c r="I688" s="178" t="s">
        <v>847</v>
      </c>
      <c r="J688" s="178" t="s">
        <v>3158</v>
      </c>
      <c r="K688" s="178" t="s">
        <v>1235</v>
      </c>
      <c r="L688" s="148" t="s">
        <v>1806</v>
      </c>
      <c r="M688" s="46" t="str">
        <f t="shared" si="21"/>
        <v>OneCo Networks AS</v>
      </c>
      <c r="N688" s="42" t="str">
        <f ca="1">IFERROR(
VLOOKUP(BoM_Griptel[[#This Row],[Product code]],
IF(AND((BoQ!$N$3&lt;&gt;""),OR(BoM_Griptel[[#This Row],[Vendor]]="Griptel",BoM_Griptel[[#This Row],[Vendor]]="Solar")),INDIRECT(Aux!$A$1)),4,FALSE),"")</f>
        <v/>
      </c>
      <c r="O688" s="170" t="s">
        <v>1807</v>
      </c>
      <c r="P688" s="43" t="str">
        <f>IFERROR(IF(AND(BoM_Griptel[[#This Row],[Quantity]]&lt;&gt;"",BoM_Griptel[[#This Row],[Currency]]="NOK"),BoM_Griptel[[#This Row],[Quantity]]*BoM_Griptel[[#This Row],[Unit Price]],""),"")</f>
        <v/>
      </c>
      <c r="Q688" s="43" t="str">
        <f>IFERROR(IF(AND(BoM_Griptel[[#This Row],[ACT_Qty]]&lt;&gt;"",BoM_Griptel[[#This Row],[Currency]]="NOK"),BoM_Griptel[[#This Row],[ACT_Qty]]*BoM_Griptel[[#This Row],[Unit Price]],""),"")</f>
        <v/>
      </c>
      <c r="R688" s="43" t="str">
        <f>IFERROR(IF(AND(BoM_Griptel[[#This Row],[Quantity]]&lt;&gt;"",BoM_Griptel[[#This Row],[Currency]]="EUR"),BoM_Griptel[[#This Row],[Quantity]]*BoM_Griptel[[#This Row],[Unit Price]],""),"")</f>
        <v/>
      </c>
      <c r="S688" s="43" t="str">
        <f>IFERROR(IF(AND(BoM_Griptel[[#This Row],[ACT_Qty]]&lt;&gt;"",BoM_Griptel[[#This Row],[Currency]]="EUR"),BoM_Griptel[[#This Row],[ACT_Qty]]*BoM_Griptel[[#This Row],[Unit Price]],""),"")</f>
        <v/>
      </c>
      <c r="T688" s="186" t="s">
        <v>1802</v>
      </c>
      <c r="U688" s="46"/>
      <c r="V688" s="46"/>
      <c r="W688" s="146"/>
    </row>
    <row r="689" spans="1:23" ht="15" customHeight="1">
      <c r="A689" s="143" t="str">
        <f t="shared" si="20"/>
        <v>AKH12345</v>
      </c>
      <c r="B689" s="144" t="s">
        <v>3179</v>
      </c>
      <c r="C689" s="143" t="s">
        <v>3180</v>
      </c>
      <c r="D689" s="105"/>
      <c r="E689" s="106"/>
      <c r="F689" s="105"/>
      <c r="G689" s="106"/>
      <c r="H689" s="175"/>
      <c r="I689" s="176" t="s">
        <v>847</v>
      </c>
      <c r="J689" s="176" t="s">
        <v>835</v>
      </c>
      <c r="K689" s="176" t="s">
        <v>1235</v>
      </c>
      <c r="L689" s="145" t="s">
        <v>1806</v>
      </c>
      <c r="M689" s="45" t="str">
        <f t="shared" si="21"/>
        <v>OneCo Networks AS</v>
      </c>
      <c r="N689" s="40" t="str">
        <f ca="1">IFERROR(
VLOOKUP(BoM_Griptel[[#This Row],[Product code]],
IF(AND((BoQ!$N$3&lt;&gt;""),OR(BoM_Griptel[[#This Row],[Vendor]]="Griptel",BoM_Griptel[[#This Row],[Vendor]]="Solar")),INDIRECT(Aux!$A$1)),4,FALSE),"")</f>
        <v/>
      </c>
      <c r="O689" s="169" t="s">
        <v>1807</v>
      </c>
      <c r="P689" s="41" t="str">
        <f>IFERROR(IF(AND(BoM_Griptel[[#This Row],[Quantity]]&lt;&gt;"",BoM_Griptel[[#This Row],[Currency]]="NOK"),BoM_Griptel[[#This Row],[Quantity]]*BoM_Griptel[[#This Row],[Unit Price]],""),"")</f>
        <v/>
      </c>
      <c r="Q689" s="41" t="str">
        <f>IFERROR(IF(AND(BoM_Griptel[[#This Row],[ACT_Qty]]&lt;&gt;"",BoM_Griptel[[#This Row],[Currency]]="NOK"),BoM_Griptel[[#This Row],[ACT_Qty]]*BoM_Griptel[[#This Row],[Unit Price]],""),"")</f>
        <v/>
      </c>
      <c r="R689" s="41" t="str">
        <f>IFERROR(IF(AND(BoM_Griptel[[#This Row],[Quantity]]&lt;&gt;"",BoM_Griptel[[#This Row],[Currency]]="EUR"),BoM_Griptel[[#This Row],[Quantity]]*BoM_Griptel[[#This Row],[Unit Price]],""),"")</f>
        <v/>
      </c>
      <c r="S689" s="41" t="str">
        <f>IFERROR(IF(AND(BoM_Griptel[[#This Row],[ACT_Qty]]&lt;&gt;"",BoM_Griptel[[#This Row],[Currency]]="EUR"),BoM_Griptel[[#This Row],[ACT_Qty]]*BoM_Griptel[[#This Row],[Unit Price]],""),"")</f>
        <v/>
      </c>
      <c r="T689" s="185" t="s">
        <v>1802</v>
      </c>
      <c r="U689" s="45"/>
      <c r="V689" s="45"/>
      <c r="W689" s="143"/>
    </row>
    <row r="690" spans="1:23" ht="15" customHeight="1">
      <c r="A690" s="146" t="str">
        <f t="shared" si="20"/>
        <v>AKH12345</v>
      </c>
      <c r="B690" s="147" t="s">
        <v>3181</v>
      </c>
      <c r="C690" s="146" t="s">
        <v>3182</v>
      </c>
      <c r="D690" s="68"/>
      <c r="E690" s="89"/>
      <c r="F690" s="68"/>
      <c r="G690" s="89"/>
      <c r="H690" s="177"/>
      <c r="I690" s="178" t="s">
        <v>847</v>
      </c>
      <c r="J690" s="178" t="s">
        <v>835</v>
      </c>
      <c r="K690" s="178" t="s">
        <v>1235</v>
      </c>
      <c r="L690" s="148" t="s">
        <v>1806</v>
      </c>
      <c r="M690" s="46" t="str">
        <f t="shared" si="21"/>
        <v>OneCo Networks AS</v>
      </c>
      <c r="N690" s="42" t="str">
        <f ca="1">IFERROR(
VLOOKUP(BoM_Griptel[[#This Row],[Product code]],
IF(AND((BoQ!$N$3&lt;&gt;""),OR(BoM_Griptel[[#This Row],[Vendor]]="Griptel",BoM_Griptel[[#This Row],[Vendor]]="Solar")),INDIRECT(Aux!$A$1)),4,FALSE),"")</f>
        <v/>
      </c>
      <c r="O690" s="170" t="s">
        <v>1807</v>
      </c>
      <c r="P690" s="43" t="str">
        <f>IFERROR(IF(AND(BoM_Griptel[[#This Row],[Quantity]]&lt;&gt;"",BoM_Griptel[[#This Row],[Currency]]="NOK"),BoM_Griptel[[#This Row],[Quantity]]*BoM_Griptel[[#This Row],[Unit Price]],""),"")</f>
        <v/>
      </c>
      <c r="Q690" s="43" t="str">
        <f>IFERROR(IF(AND(BoM_Griptel[[#This Row],[ACT_Qty]]&lt;&gt;"",BoM_Griptel[[#This Row],[Currency]]="NOK"),BoM_Griptel[[#This Row],[ACT_Qty]]*BoM_Griptel[[#This Row],[Unit Price]],""),"")</f>
        <v/>
      </c>
      <c r="R690" s="43" t="str">
        <f>IFERROR(IF(AND(BoM_Griptel[[#This Row],[Quantity]]&lt;&gt;"",BoM_Griptel[[#This Row],[Currency]]="EUR"),BoM_Griptel[[#This Row],[Quantity]]*BoM_Griptel[[#This Row],[Unit Price]],""),"")</f>
        <v/>
      </c>
      <c r="S690" s="43" t="str">
        <f>IFERROR(IF(AND(BoM_Griptel[[#This Row],[ACT_Qty]]&lt;&gt;"",BoM_Griptel[[#This Row],[Currency]]="EUR"),BoM_Griptel[[#This Row],[ACT_Qty]]*BoM_Griptel[[#This Row],[Unit Price]],""),"")</f>
        <v/>
      </c>
      <c r="T690" s="186" t="s">
        <v>1802</v>
      </c>
      <c r="U690" s="46"/>
      <c r="V690" s="46"/>
      <c r="W690" s="146"/>
    </row>
    <row r="691" spans="1:23" ht="15" customHeight="1">
      <c r="A691" s="143" t="str">
        <f t="shared" si="20"/>
        <v>AKH12345</v>
      </c>
      <c r="B691" s="144" t="s">
        <v>3183</v>
      </c>
      <c r="C691" s="143" t="s">
        <v>3184</v>
      </c>
      <c r="D691" s="105"/>
      <c r="E691" s="106"/>
      <c r="F691" s="105"/>
      <c r="G691" s="106"/>
      <c r="H691" s="175"/>
      <c r="I691" s="176" t="s">
        <v>847</v>
      </c>
      <c r="J691" s="176" t="s">
        <v>835</v>
      </c>
      <c r="K691" s="176" t="s">
        <v>1235</v>
      </c>
      <c r="L691" s="145" t="s">
        <v>1806</v>
      </c>
      <c r="M691" s="45" t="str">
        <f t="shared" si="21"/>
        <v>OneCo Networks AS</v>
      </c>
      <c r="N691" s="40" t="str">
        <f ca="1">IFERROR(
VLOOKUP(BoM_Griptel[[#This Row],[Product code]],
IF(AND((BoQ!$N$3&lt;&gt;""),OR(BoM_Griptel[[#This Row],[Vendor]]="Griptel",BoM_Griptel[[#This Row],[Vendor]]="Solar")),INDIRECT(Aux!$A$1)),4,FALSE),"")</f>
        <v/>
      </c>
      <c r="O691" s="169" t="s">
        <v>1807</v>
      </c>
      <c r="P691" s="41" t="str">
        <f>IFERROR(IF(AND(BoM_Griptel[[#This Row],[Quantity]]&lt;&gt;"",BoM_Griptel[[#This Row],[Currency]]="NOK"),BoM_Griptel[[#This Row],[Quantity]]*BoM_Griptel[[#This Row],[Unit Price]],""),"")</f>
        <v/>
      </c>
      <c r="Q691" s="41" t="str">
        <f>IFERROR(IF(AND(BoM_Griptel[[#This Row],[ACT_Qty]]&lt;&gt;"",BoM_Griptel[[#This Row],[Currency]]="NOK"),BoM_Griptel[[#This Row],[ACT_Qty]]*BoM_Griptel[[#This Row],[Unit Price]],""),"")</f>
        <v/>
      </c>
      <c r="R691" s="41" t="str">
        <f>IFERROR(IF(AND(BoM_Griptel[[#This Row],[Quantity]]&lt;&gt;"",BoM_Griptel[[#This Row],[Currency]]="EUR"),BoM_Griptel[[#This Row],[Quantity]]*BoM_Griptel[[#This Row],[Unit Price]],""),"")</f>
        <v/>
      </c>
      <c r="S691" s="41" t="str">
        <f>IFERROR(IF(AND(BoM_Griptel[[#This Row],[ACT_Qty]]&lt;&gt;"",BoM_Griptel[[#This Row],[Currency]]="EUR"),BoM_Griptel[[#This Row],[ACT_Qty]]*BoM_Griptel[[#This Row],[Unit Price]],""),"")</f>
        <v/>
      </c>
      <c r="T691" s="185" t="s">
        <v>1802</v>
      </c>
      <c r="U691" s="45"/>
      <c r="V691" s="45"/>
      <c r="W691" s="143"/>
    </row>
    <row r="692" spans="1:23" ht="15" customHeight="1">
      <c r="A692" s="146" t="str">
        <f t="shared" si="20"/>
        <v>AKH12345</v>
      </c>
      <c r="B692" s="147" t="s">
        <v>3185</v>
      </c>
      <c r="C692" s="146" t="s">
        <v>3186</v>
      </c>
      <c r="D692" s="68"/>
      <c r="E692" s="89"/>
      <c r="F692" s="68"/>
      <c r="G692" s="89"/>
      <c r="H692" s="177"/>
      <c r="I692" s="178" t="s">
        <v>847</v>
      </c>
      <c r="J692" s="178" t="s">
        <v>835</v>
      </c>
      <c r="K692" s="178" t="s">
        <v>1235</v>
      </c>
      <c r="L692" s="148" t="s">
        <v>1806</v>
      </c>
      <c r="M692" s="46" t="str">
        <f t="shared" si="21"/>
        <v>OneCo Networks AS</v>
      </c>
      <c r="N692" s="42" t="str">
        <f ca="1">IFERROR(
VLOOKUP(BoM_Griptel[[#This Row],[Product code]],
IF(AND((BoQ!$N$3&lt;&gt;""),OR(BoM_Griptel[[#This Row],[Vendor]]="Griptel",BoM_Griptel[[#This Row],[Vendor]]="Solar")),INDIRECT(Aux!$A$1)),4,FALSE),"")</f>
        <v/>
      </c>
      <c r="O692" s="170" t="s">
        <v>1807</v>
      </c>
      <c r="P692" s="43" t="str">
        <f>IFERROR(IF(AND(BoM_Griptel[[#This Row],[Quantity]]&lt;&gt;"",BoM_Griptel[[#This Row],[Currency]]="NOK"),BoM_Griptel[[#This Row],[Quantity]]*BoM_Griptel[[#This Row],[Unit Price]],""),"")</f>
        <v/>
      </c>
      <c r="Q692" s="43" t="str">
        <f>IFERROR(IF(AND(BoM_Griptel[[#This Row],[ACT_Qty]]&lt;&gt;"",BoM_Griptel[[#This Row],[Currency]]="NOK"),BoM_Griptel[[#This Row],[ACT_Qty]]*BoM_Griptel[[#This Row],[Unit Price]],""),"")</f>
        <v/>
      </c>
      <c r="R692" s="43" t="str">
        <f>IFERROR(IF(AND(BoM_Griptel[[#This Row],[Quantity]]&lt;&gt;"",BoM_Griptel[[#This Row],[Currency]]="EUR"),BoM_Griptel[[#This Row],[Quantity]]*BoM_Griptel[[#This Row],[Unit Price]],""),"")</f>
        <v/>
      </c>
      <c r="S692" s="43" t="str">
        <f>IFERROR(IF(AND(BoM_Griptel[[#This Row],[ACT_Qty]]&lt;&gt;"",BoM_Griptel[[#This Row],[Currency]]="EUR"),BoM_Griptel[[#This Row],[ACT_Qty]]*BoM_Griptel[[#This Row],[Unit Price]],""),"")</f>
        <v/>
      </c>
      <c r="T692" s="186" t="s">
        <v>1802</v>
      </c>
      <c r="U692" s="46"/>
      <c r="V692" s="46"/>
      <c r="W692" s="146"/>
    </row>
    <row r="693" spans="1:23" ht="15" customHeight="1">
      <c r="A693" s="143" t="str">
        <f t="shared" si="20"/>
        <v>AKH12345</v>
      </c>
      <c r="B693" s="144" t="s">
        <v>3187</v>
      </c>
      <c r="C693" s="143" t="s">
        <v>3188</v>
      </c>
      <c r="D693" s="105"/>
      <c r="E693" s="106"/>
      <c r="F693" s="105"/>
      <c r="G693" s="106"/>
      <c r="H693" s="175"/>
      <c r="I693" s="176" t="s">
        <v>847</v>
      </c>
      <c r="J693" s="176" t="s">
        <v>835</v>
      </c>
      <c r="K693" s="176" t="s">
        <v>1235</v>
      </c>
      <c r="L693" s="145" t="s">
        <v>1806</v>
      </c>
      <c r="M693" s="45" t="str">
        <f t="shared" si="21"/>
        <v>OneCo Networks AS</v>
      </c>
      <c r="N693" s="40" t="str">
        <f ca="1">IFERROR(
VLOOKUP(BoM_Griptel[[#This Row],[Product code]],
IF(AND((BoQ!$N$3&lt;&gt;""),OR(BoM_Griptel[[#This Row],[Vendor]]="Griptel",BoM_Griptel[[#This Row],[Vendor]]="Solar")),INDIRECT(Aux!$A$1)),4,FALSE),"")</f>
        <v/>
      </c>
      <c r="O693" s="169" t="s">
        <v>1807</v>
      </c>
      <c r="P693" s="41" t="str">
        <f>IFERROR(IF(AND(BoM_Griptel[[#This Row],[Quantity]]&lt;&gt;"",BoM_Griptel[[#This Row],[Currency]]="NOK"),BoM_Griptel[[#This Row],[Quantity]]*BoM_Griptel[[#This Row],[Unit Price]],""),"")</f>
        <v/>
      </c>
      <c r="Q693" s="41" t="str">
        <f>IFERROR(IF(AND(BoM_Griptel[[#This Row],[ACT_Qty]]&lt;&gt;"",BoM_Griptel[[#This Row],[Currency]]="NOK"),BoM_Griptel[[#This Row],[ACT_Qty]]*BoM_Griptel[[#This Row],[Unit Price]],""),"")</f>
        <v/>
      </c>
      <c r="R693" s="41" t="str">
        <f>IFERROR(IF(AND(BoM_Griptel[[#This Row],[Quantity]]&lt;&gt;"",BoM_Griptel[[#This Row],[Currency]]="EUR"),BoM_Griptel[[#This Row],[Quantity]]*BoM_Griptel[[#This Row],[Unit Price]],""),"")</f>
        <v/>
      </c>
      <c r="S693" s="41" t="str">
        <f>IFERROR(IF(AND(BoM_Griptel[[#This Row],[ACT_Qty]]&lt;&gt;"",BoM_Griptel[[#This Row],[Currency]]="EUR"),BoM_Griptel[[#This Row],[ACT_Qty]]*BoM_Griptel[[#This Row],[Unit Price]],""),"")</f>
        <v/>
      </c>
      <c r="T693" s="185" t="s">
        <v>1802</v>
      </c>
      <c r="U693" s="45"/>
      <c r="V693" s="45"/>
      <c r="W693" s="143"/>
    </row>
    <row r="694" spans="1:23" ht="15" customHeight="1">
      <c r="A694" s="146" t="str">
        <f t="shared" si="20"/>
        <v>AKH12345</v>
      </c>
      <c r="B694" s="147" t="s">
        <v>3189</v>
      </c>
      <c r="C694" s="146" t="s">
        <v>3190</v>
      </c>
      <c r="D694" s="68"/>
      <c r="E694" s="89"/>
      <c r="F694" s="68"/>
      <c r="G694" s="89"/>
      <c r="H694" s="177"/>
      <c r="I694" s="178" t="s">
        <v>847</v>
      </c>
      <c r="J694" s="178" t="s">
        <v>835</v>
      </c>
      <c r="K694" s="178" t="s">
        <v>1235</v>
      </c>
      <c r="L694" s="148" t="s">
        <v>1806</v>
      </c>
      <c r="M694" s="46" t="str">
        <f t="shared" si="21"/>
        <v>OneCo Networks AS</v>
      </c>
      <c r="N694" s="42" t="str">
        <f ca="1">IFERROR(
VLOOKUP(BoM_Griptel[[#This Row],[Product code]],
IF(AND((BoQ!$N$3&lt;&gt;""),OR(BoM_Griptel[[#This Row],[Vendor]]="Griptel",BoM_Griptel[[#This Row],[Vendor]]="Solar")),INDIRECT(Aux!$A$1)),4,FALSE),"")</f>
        <v/>
      </c>
      <c r="O694" s="170" t="s">
        <v>1807</v>
      </c>
      <c r="P694" s="43" t="str">
        <f>IFERROR(IF(AND(BoM_Griptel[[#This Row],[Quantity]]&lt;&gt;"",BoM_Griptel[[#This Row],[Currency]]="NOK"),BoM_Griptel[[#This Row],[Quantity]]*BoM_Griptel[[#This Row],[Unit Price]],""),"")</f>
        <v/>
      </c>
      <c r="Q694" s="43" t="str">
        <f>IFERROR(IF(AND(BoM_Griptel[[#This Row],[ACT_Qty]]&lt;&gt;"",BoM_Griptel[[#This Row],[Currency]]="NOK"),BoM_Griptel[[#This Row],[ACT_Qty]]*BoM_Griptel[[#This Row],[Unit Price]],""),"")</f>
        <v/>
      </c>
      <c r="R694" s="43" t="str">
        <f>IFERROR(IF(AND(BoM_Griptel[[#This Row],[Quantity]]&lt;&gt;"",BoM_Griptel[[#This Row],[Currency]]="EUR"),BoM_Griptel[[#This Row],[Quantity]]*BoM_Griptel[[#This Row],[Unit Price]],""),"")</f>
        <v/>
      </c>
      <c r="S694" s="43" t="str">
        <f>IFERROR(IF(AND(BoM_Griptel[[#This Row],[ACT_Qty]]&lt;&gt;"",BoM_Griptel[[#This Row],[Currency]]="EUR"),BoM_Griptel[[#This Row],[ACT_Qty]]*BoM_Griptel[[#This Row],[Unit Price]],""),"")</f>
        <v/>
      </c>
      <c r="T694" s="186" t="s">
        <v>1802</v>
      </c>
      <c r="U694" s="46"/>
      <c r="V694" s="46"/>
      <c r="W694" s="146"/>
    </row>
    <row r="695" spans="1:23" ht="15" customHeight="1">
      <c r="A695" s="143" t="str">
        <f t="shared" si="20"/>
        <v>AKH12345</v>
      </c>
      <c r="B695" s="144" t="s">
        <v>3191</v>
      </c>
      <c r="C695" s="143" t="s">
        <v>3192</v>
      </c>
      <c r="D695" s="105"/>
      <c r="E695" s="106"/>
      <c r="F695" s="105"/>
      <c r="G695" s="106"/>
      <c r="H695" s="175"/>
      <c r="I695" s="176" t="s">
        <v>847</v>
      </c>
      <c r="J695" s="176" t="s">
        <v>835</v>
      </c>
      <c r="K695" s="176" t="s">
        <v>1235</v>
      </c>
      <c r="L695" s="145" t="s">
        <v>1806</v>
      </c>
      <c r="M695" s="45" t="str">
        <f t="shared" si="21"/>
        <v>OneCo Networks AS</v>
      </c>
      <c r="N695" s="40" t="str">
        <f ca="1">IFERROR(
VLOOKUP(BoM_Griptel[[#This Row],[Product code]],
IF(AND((BoQ!$N$3&lt;&gt;""),OR(BoM_Griptel[[#This Row],[Vendor]]="Griptel",BoM_Griptel[[#This Row],[Vendor]]="Solar")),INDIRECT(Aux!$A$1)),4,FALSE),"")</f>
        <v/>
      </c>
      <c r="O695" s="169" t="s">
        <v>1807</v>
      </c>
      <c r="P695" s="41" t="str">
        <f>IFERROR(IF(AND(BoM_Griptel[[#This Row],[Quantity]]&lt;&gt;"",BoM_Griptel[[#This Row],[Currency]]="NOK"),BoM_Griptel[[#This Row],[Quantity]]*BoM_Griptel[[#This Row],[Unit Price]],""),"")</f>
        <v/>
      </c>
      <c r="Q695" s="41" t="str">
        <f>IFERROR(IF(AND(BoM_Griptel[[#This Row],[ACT_Qty]]&lt;&gt;"",BoM_Griptel[[#This Row],[Currency]]="NOK"),BoM_Griptel[[#This Row],[ACT_Qty]]*BoM_Griptel[[#This Row],[Unit Price]],""),"")</f>
        <v/>
      </c>
      <c r="R695" s="41" t="str">
        <f>IFERROR(IF(AND(BoM_Griptel[[#This Row],[Quantity]]&lt;&gt;"",BoM_Griptel[[#This Row],[Currency]]="EUR"),BoM_Griptel[[#This Row],[Quantity]]*BoM_Griptel[[#This Row],[Unit Price]],""),"")</f>
        <v/>
      </c>
      <c r="S695" s="41" t="str">
        <f>IFERROR(IF(AND(BoM_Griptel[[#This Row],[ACT_Qty]]&lt;&gt;"",BoM_Griptel[[#This Row],[Currency]]="EUR"),BoM_Griptel[[#This Row],[ACT_Qty]]*BoM_Griptel[[#This Row],[Unit Price]],""),"")</f>
        <v/>
      </c>
      <c r="T695" s="185" t="s">
        <v>1802</v>
      </c>
      <c r="U695" s="45"/>
      <c r="V695" s="45"/>
      <c r="W695" s="143"/>
    </row>
    <row r="696" spans="1:23" ht="15" customHeight="1">
      <c r="A696" s="146" t="str">
        <f t="shared" si="20"/>
        <v>AKH12345</v>
      </c>
      <c r="B696" s="147" t="s">
        <v>3193</v>
      </c>
      <c r="C696" s="146" t="s">
        <v>3194</v>
      </c>
      <c r="D696" s="68"/>
      <c r="E696" s="89"/>
      <c r="F696" s="68"/>
      <c r="G696" s="89"/>
      <c r="H696" s="177"/>
      <c r="I696" s="178" t="s">
        <v>847</v>
      </c>
      <c r="J696" s="178" t="s">
        <v>835</v>
      </c>
      <c r="K696" s="178" t="s">
        <v>1235</v>
      </c>
      <c r="L696" s="148" t="s">
        <v>1806</v>
      </c>
      <c r="M696" s="46" t="str">
        <f t="shared" si="21"/>
        <v>OneCo Networks AS</v>
      </c>
      <c r="N696" s="42" t="str">
        <f ca="1">IFERROR(
VLOOKUP(BoM_Griptel[[#This Row],[Product code]],
IF(AND((BoQ!$N$3&lt;&gt;""),OR(BoM_Griptel[[#This Row],[Vendor]]="Griptel",BoM_Griptel[[#This Row],[Vendor]]="Solar")),INDIRECT(Aux!$A$1)),4,FALSE),"")</f>
        <v/>
      </c>
      <c r="O696" s="170" t="s">
        <v>1807</v>
      </c>
      <c r="P696" s="43" t="str">
        <f>IFERROR(IF(AND(BoM_Griptel[[#This Row],[Quantity]]&lt;&gt;"",BoM_Griptel[[#This Row],[Currency]]="NOK"),BoM_Griptel[[#This Row],[Quantity]]*BoM_Griptel[[#This Row],[Unit Price]],""),"")</f>
        <v/>
      </c>
      <c r="Q696" s="43" t="str">
        <f>IFERROR(IF(AND(BoM_Griptel[[#This Row],[ACT_Qty]]&lt;&gt;"",BoM_Griptel[[#This Row],[Currency]]="NOK"),BoM_Griptel[[#This Row],[ACT_Qty]]*BoM_Griptel[[#This Row],[Unit Price]],""),"")</f>
        <v/>
      </c>
      <c r="R696" s="43" t="str">
        <f>IFERROR(IF(AND(BoM_Griptel[[#This Row],[Quantity]]&lt;&gt;"",BoM_Griptel[[#This Row],[Currency]]="EUR"),BoM_Griptel[[#This Row],[Quantity]]*BoM_Griptel[[#This Row],[Unit Price]],""),"")</f>
        <v/>
      </c>
      <c r="S696" s="43" t="str">
        <f>IFERROR(IF(AND(BoM_Griptel[[#This Row],[ACT_Qty]]&lt;&gt;"",BoM_Griptel[[#This Row],[Currency]]="EUR"),BoM_Griptel[[#This Row],[ACT_Qty]]*BoM_Griptel[[#This Row],[Unit Price]],""),"")</f>
        <v/>
      </c>
      <c r="T696" s="186" t="s">
        <v>1802</v>
      </c>
      <c r="U696" s="46"/>
      <c r="V696" s="46"/>
      <c r="W696" s="146"/>
    </row>
    <row r="697" spans="1:23" ht="15" customHeight="1">
      <c r="A697" s="143" t="str">
        <f t="shared" si="20"/>
        <v>AKH12345</v>
      </c>
      <c r="B697" s="144" t="s">
        <v>3195</v>
      </c>
      <c r="C697" s="143" t="s">
        <v>3196</v>
      </c>
      <c r="D697" s="105"/>
      <c r="E697" s="106"/>
      <c r="F697" s="105"/>
      <c r="G697" s="106"/>
      <c r="H697" s="175"/>
      <c r="I697" s="176" t="s">
        <v>847</v>
      </c>
      <c r="J697" s="176" t="s">
        <v>835</v>
      </c>
      <c r="K697" s="176" t="s">
        <v>1235</v>
      </c>
      <c r="L697" s="145" t="s">
        <v>1806</v>
      </c>
      <c r="M697" s="45" t="str">
        <f t="shared" si="21"/>
        <v>OneCo Networks AS</v>
      </c>
      <c r="N697" s="40" t="str">
        <f ca="1">IFERROR(
VLOOKUP(BoM_Griptel[[#This Row],[Product code]],
IF(AND((BoQ!$N$3&lt;&gt;""),OR(BoM_Griptel[[#This Row],[Vendor]]="Griptel",BoM_Griptel[[#This Row],[Vendor]]="Solar")),INDIRECT(Aux!$A$1)),4,FALSE),"")</f>
        <v/>
      </c>
      <c r="O697" s="169" t="s">
        <v>1807</v>
      </c>
      <c r="P697" s="41" t="str">
        <f>IFERROR(IF(AND(BoM_Griptel[[#This Row],[Quantity]]&lt;&gt;"",BoM_Griptel[[#This Row],[Currency]]="NOK"),BoM_Griptel[[#This Row],[Quantity]]*BoM_Griptel[[#This Row],[Unit Price]],""),"")</f>
        <v/>
      </c>
      <c r="Q697" s="41" t="str">
        <f>IFERROR(IF(AND(BoM_Griptel[[#This Row],[ACT_Qty]]&lt;&gt;"",BoM_Griptel[[#This Row],[Currency]]="NOK"),BoM_Griptel[[#This Row],[ACT_Qty]]*BoM_Griptel[[#This Row],[Unit Price]],""),"")</f>
        <v/>
      </c>
      <c r="R697" s="41" t="str">
        <f>IFERROR(IF(AND(BoM_Griptel[[#This Row],[Quantity]]&lt;&gt;"",BoM_Griptel[[#This Row],[Currency]]="EUR"),BoM_Griptel[[#This Row],[Quantity]]*BoM_Griptel[[#This Row],[Unit Price]],""),"")</f>
        <v/>
      </c>
      <c r="S697" s="41" t="str">
        <f>IFERROR(IF(AND(BoM_Griptel[[#This Row],[ACT_Qty]]&lt;&gt;"",BoM_Griptel[[#This Row],[Currency]]="EUR"),BoM_Griptel[[#This Row],[ACT_Qty]]*BoM_Griptel[[#This Row],[Unit Price]],""),"")</f>
        <v/>
      </c>
      <c r="T697" s="185" t="s">
        <v>1802</v>
      </c>
      <c r="U697" s="45"/>
      <c r="V697" s="45"/>
      <c r="W697" s="143"/>
    </row>
    <row r="698" spans="1:23" ht="15" customHeight="1">
      <c r="A698" s="146" t="str">
        <f t="shared" si="20"/>
        <v>AKH12345</v>
      </c>
      <c r="B698" s="147" t="s">
        <v>3197</v>
      </c>
      <c r="C698" s="146" t="s">
        <v>3198</v>
      </c>
      <c r="D698" s="68"/>
      <c r="E698" s="89"/>
      <c r="F698" s="68"/>
      <c r="G698" s="89"/>
      <c r="H698" s="177"/>
      <c r="I698" s="178" t="s">
        <v>847</v>
      </c>
      <c r="J698" s="178" t="s">
        <v>835</v>
      </c>
      <c r="K698" s="178" t="s">
        <v>1235</v>
      </c>
      <c r="L698" s="148" t="s">
        <v>1806</v>
      </c>
      <c r="M698" s="46" t="str">
        <f t="shared" si="21"/>
        <v>OneCo Networks AS</v>
      </c>
      <c r="N698" s="42" t="str">
        <f ca="1">IFERROR(
VLOOKUP(BoM_Griptel[[#This Row],[Product code]],
IF(AND((BoQ!$N$3&lt;&gt;""),OR(BoM_Griptel[[#This Row],[Vendor]]="Griptel",BoM_Griptel[[#This Row],[Vendor]]="Solar")),INDIRECT(Aux!$A$1)),4,FALSE),"")</f>
        <v/>
      </c>
      <c r="O698" s="170" t="s">
        <v>1807</v>
      </c>
      <c r="P698" s="43" t="str">
        <f>IFERROR(IF(AND(BoM_Griptel[[#This Row],[Quantity]]&lt;&gt;"",BoM_Griptel[[#This Row],[Currency]]="NOK"),BoM_Griptel[[#This Row],[Quantity]]*BoM_Griptel[[#This Row],[Unit Price]],""),"")</f>
        <v/>
      </c>
      <c r="Q698" s="43" t="str">
        <f>IFERROR(IF(AND(BoM_Griptel[[#This Row],[ACT_Qty]]&lt;&gt;"",BoM_Griptel[[#This Row],[Currency]]="NOK"),BoM_Griptel[[#This Row],[ACT_Qty]]*BoM_Griptel[[#This Row],[Unit Price]],""),"")</f>
        <v/>
      </c>
      <c r="R698" s="43" t="str">
        <f>IFERROR(IF(AND(BoM_Griptel[[#This Row],[Quantity]]&lt;&gt;"",BoM_Griptel[[#This Row],[Currency]]="EUR"),BoM_Griptel[[#This Row],[Quantity]]*BoM_Griptel[[#This Row],[Unit Price]],""),"")</f>
        <v/>
      </c>
      <c r="S698" s="43" t="str">
        <f>IFERROR(IF(AND(BoM_Griptel[[#This Row],[ACT_Qty]]&lt;&gt;"",BoM_Griptel[[#This Row],[Currency]]="EUR"),BoM_Griptel[[#This Row],[ACT_Qty]]*BoM_Griptel[[#This Row],[Unit Price]],""),"")</f>
        <v/>
      </c>
      <c r="T698" s="186" t="s">
        <v>1802</v>
      </c>
      <c r="U698" s="46"/>
      <c r="V698" s="46"/>
      <c r="W698" s="146"/>
    </row>
    <row r="699" spans="1:23" ht="15" customHeight="1">
      <c r="A699" s="143" t="str">
        <f t="shared" si="20"/>
        <v>AKH12345</v>
      </c>
      <c r="B699" s="144" t="s">
        <v>3199</v>
      </c>
      <c r="C699" s="143" t="s">
        <v>3200</v>
      </c>
      <c r="D699" s="105"/>
      <c r="E699" s="106"/>
      <c r="F699" s="105"/>
      <c r="G699" s="106"/>
      <c r="H699" s="175"/>
      <c r="I699" s="176" t="s">
        <v>847</v>
      </c>
      <c r="J699" s="176" t="s">
        <v>835</v>
      </c>
      <c r="K699" s="176" t="s">
        <v>1235</v>
      </c>
      <c r="L699" s="145" t="s">
        <v>1806</v>
      </c>
      <c r="M699" s="45" t="str">
        <f t="shared" si="21"/>
        <v>OneCo Networks AS</v>
      </c>
      <c r="N699" s="40" t="str">
        <f ca="1">IFERROR(
VLOOKUP(BoM_Griptel[[#This Row],[Product code]],
IF(AND((BoQ!$N$3&lt;&gt;""),OR(BoM_Griptel[[#This Row],[Vendor]]="Griptel",BoM_Griptel[[#This Row],[Vendor]]="Solar")),INDIRECT(Aux!$A$1)),4,FALSE),"")</f>
        <v/>
      </c>
      <c r="O699" s="169" t="s">
        <v>1807</v>
      </c>
      <c r="P699" s="41" t="str">
        <f>IFERROR(IF(AND(BoM_Griptel[[#This Row],[Quantity]]&lt;&gt;"",BoM_Griptel[[#This Row],[Currency]]="NOK"),BoM_Griptel[[#This Row],[Quantity]]*BoM_Griptel[[#This Row],[Unit Price]],""),"")</f>
        <v/>
      </c>
      <c r="Q699" s="41" t="str">
        <f>IFERROR(IF(AND(BoM_Griptel[[#This Row],[ACT_Qty]]&lt;&gt;"",BoM_Griptel[[#This Row],[Currency]]="NOK"),BoM_Griptel[[#This Row],[ACT_Qty]]*BoM_Griptel[[#This Row],[Unit Price]],""),"")</f>
        <v/>
      </c>
      <c r="R699" s="41" t="str">
        <f>IFERROR(IF(AND(BoM_Griptel[[#This Row],[Quantity]]&lt;&gt;"",BoM_Griptel[[#This Row],[Currency]]="EUR"),BoM_Griptel[[#This Row],[Quantity]]*BoM_Griptel[[#This Row],[Unit Price]],""),"")</f>
        <v/>
      </c>
      <c r="S699" s="41" t="str">
        <f>IFERROR(IF(AND(BoM_Griptel[[#This Row],[ACT_Qty]]&lt;&gt;"",BoM_Griptel[[#This Row],[Currency]]="EUR"),BoM_Griptel[[#This Row],[ACT_Qty]]*BoM_Griptel[[#This Row],[Unit Price]],""),"")</f>
        <v/>
      </c>
      <c r="T699" s="185" t="s">
        <v>1802</v>
      </c>
      <c r="U699" s="45"/>
      <c r="V699" s="45"/>
      <c r="W699" s="143"/>
    </row>
    <row r="700" spans="1:23" ht="15" customHeight="1">
      <c r="A700" s="146" t="str">
        <f t="shared" si="20"/>
        <v>AKH12345</v>
      </c>
      <c r="B700" s="147" t="s">
        <v>3201</v>
      </c>
      <c r="C700" s="146" t="s">
        <v>3202</v>
      </c>
      <c r="D700" s="68"/>
      <c r="E700" s="89"/>
      <c r="F700" s="68"/>
      <c r="G700" s="89"/>
      <c r="H700" s="177"/>
      <c r="I700" s="178" t="s">
        <v>847</v>
      </c>
      <c r="J700" s="178" t="s">
        <v>835</v>
      </c>
      <c r="K700" s="178" t="s">
        <v>1235</v>
      </c>
      <c r="L700" s="148" t="s">
        <v>1806</v>
      </c>
      <c r="M700" s="46" t="str">
        <f t="shared" si="21"/>
        <v>OneCo Networks AS</v>
      </c>
      <c r="N700" s="42" t="str">
        <f ca="1">IFERROR(
VLOOKUP(BoM_Griptel[[#This Row],[Product code]],
IF(AND((BoQ!$N$3&lt;&gt;""),OR(BoM_Griptel[[#This Row],[Vendor]]="Griptel",BoM_Griptel[[#This Row],[Vendor]]="Solar")),INDIRECT(Aux!$A$1)),4,FALSE),"")</f>
        <v/>
      </c>
      <c r="O700" s="170" t="s">
        <v>1807</v>
      </c>
      <c r="P700" s="43" t="str">
        <f>IFERROR(IF(AND(BoM_Griptel[[#This Row],[Quantity]]&lt;&gt;"",BoM_Griptel[[#This Row],[Currency]]="NOK"),BoM_Griptel[[#This Row],[Quantity]]*BoM_Griptel[[#This Row],[Unit Price]],""),"")</f>
        <v/>
      </c>
      <c r="Q700" s="43" t="str">
        <f>IFERROR(IF(AND(BoM_Griptel[[#This Row],[ACT_Qty]]&lt;&gt;"",BoM_Griptel[[#This Row],[Currency]]="NOK"),BoM_Griptel[[#This Row],[ACT_Qty]]*BoM_Griptel[[#This Row],[Unit Price]],""),"")</f>
        <v/>
      </c>
      <c r="R700" s="43" t="str">
        <f>IFERROR(IF(AND(BoM_Griptel[[#This Row],[Quantity]]&lt;&gt;"",BoM_Griptel[[#This Row],[Currency]]="EUR"),BoM_Griptel[[#This Row],[Quantity]]*BoM_Griptel[[#This Row],[Unit Price]],""),"")</f>
        <v/>
      </c>
      <c r="S700" s="43" t="str">
        <f>IFERROR(IF(AND(BoM_Griptel[[#This Row],[ACT_Qty]]&lt;&gt;"",BoM_Griptel[[#This Row],[Currency]]="EUR"),BoM_Griptel[[#This Row],[ACT_Qty]]*BoM_Griptel[[#This Row],[Unit Price]],""),"")</f>
        <v/>
      </c>
      <c r="T700" s="186" t="s">
        <v>1802</v>
      </c>
      <c r="U700" s="46"/>
      <c r="V700" s="46"/>
      <c r="W700" s="146"/>
    </row>
    <row r="701" spans="1:23" ht="15" customHeight="1">
      <c r="A701" s="143" t="str">
        <f t="shared" si="20"/>
        <v>AKH12345</v>
      </c>
      <c r="B701" s="144" t="s">
        <v>3203</v>
      </c>
      <c r="C701" s="143" t="s">
        <v>3204</v>
      </c>
      <c r="D701" s="105"/>
      <c r="E701" s="106"/>
      <c r="F701" s="105"/>
      <c r="G701" s="106"/>
      <c r="H701" s="175"/>
      <c r="I701" s="176" t="s">
        <v>847</v>
      </c>
      <c r="J701" s="176" t="s">
        <v>835</v>
      </c>
      <c r="K701" s="176" t="s">
        <v>1235</v>
      </c>
      <c r="L701" s="145" t="s">
        <v>1806</v>
      </c>
      <c r="M701" s="45" t="str">
        <f t="shared" si="21"/>
        <v>OneCo Networks AS</v>
      </c>
      <c r="N701" s="40" t="str">
        <f ca="1">IFERROR(
VLOOKUP(BoM_Griptel[[#This Row],[Product code]],
IF(AND((BoQ!$N$3&lt;&gt;""),OR(BoM_Griptel[[#This Row],[Vendor]]="Griptel",BoM_Griptel[[#This Row],[Vendor]]="Solar")),INDIRECT(Aux!$A$1)),4,FALSE),"")</f>
        <v/>
      </c>
      <c r="O701" s="169" t="s">
        <v>1807</v>
      </c>
      <c r="P701" s="41" t="str">
        <f>IFERROR(IF(AND(BoM_Griptel[[#This Row],[Quantity]]&lt;&gt;"",BoM_Griptel[[#This Row],[Currency]]="NOK"),BoM_Griptel[[#This Row],[Quantity]]*BoM_Griptel[[#This Row],[Unit Price]],""),"")</f>
        <v/>
      </c>
      <c r="Q701" s="41" t="str">
        <f>IFERROR(IF(AND(BoM_Griptel[[#This Row],[ACT_Qty]]&lt;&gt;"",BoM_Griptel[[#This Row],[Currency]]="NOK"),BoM_Griptel[[#This Row],[ACT_Qty]]*BoM_Griptel[[#This Row],[Unit Price]],""),"")</f>
        <v/>
      </c>
      <c r="R701" s="41" t="str">
        <f>IFERROR(IF(AND(BoM_Griptel[[#This Row],[Quantity]]&lt;&gt;"",BoM_Griptel[[#This Row],[Currency]]="EUR"),BoM_Griptel[[#This Row],[Quantity]]*BoM_Griptel[[#This Row],[Unit Price]],""),"")</f>
        <v/>
      </c>
      <c r="S701" s="41" t="str">
        <f>IFERROR(IF(AND(BoM_Griptel[[#This Row],[ACT_Qty]]&lt;&gt;"",BoM_Griptel[[#This Row],[Currency]]="EUR"),BoM_Griptel[[#This Row],[ACT_Qty]]*BoM_Griptel[[#This Row],[Unit Price]],""),"")</f>
        <v/>
      </c>
      <c r="T701" s="185" t="s">
        <v>1802</v>
      </c>
      <c r="U701" s="45"/>
      <c r="V701" s="45"/>
      <c r="W701" s="143"/>
    </row>
    <row r="702" spans="1:23" ht="15" customHeight="1">
      <c r="A702" s="146" t="str">
        <f t="shared" si="20"/>
        <v>AKH12345</v>
      </c>
      <c r="B702" s="147" t="s">
        <v>3205</v>
      </c>
      <c r="C702" s="146" t="s">
        <v>3206</v>
      </c>
      <c r="D702" s="68"/>
      <c r="E702" s="89"/>
      <c r="F702" s="68"/>
      <c r="G702" s="89"/>
      <c r="H702" s="177"/>
      <c r="I702" s="178" t="s">
        <v>847</v>
      </c>
      <c r="J702" s="178" t="s">
        <v>835</v>
      </c>
      <c r="K702" s="178" t="s">
        <v>1235</v>
      </c>
      <c r="L702" s="148" t="s">
        <v>1806</v>
      </c>
      <c r="M702" s="46" t="str">
        <f t="shared" si="21"/>
        <v>OneCo Networks AS</v>
      </c>
      <c r="N702" s="42" t="str">
        <f ca="1">IFERROR(
VLOOKUP(BoM_Griptel[[#This Row],[Product code]],
IF(AND((BoQ!$N$3&lt;&gt;""),OR(BoM_Griptel[[#This Row],[Vendor]]="Griptel",BoM_Griptel[[#This Row],[Vendor]]="Solar")),INDIRECT(Aux!$A$1)),4,FALSE),"")</f>
        <v/>
      </c>
      <c r="O702" s="170" t="s">
        <v>1807</v>
      </c>
      <c r="P702" s="43" t="str">
        <f>IFERROR(IF(AND(BoM_Griptel[[#This Row],[Quantity]]&lt;&gt;"",BoM_Griptel[[#This Row],[Currency]]="NOK"),BoM_Griptel[[#This Row],[Quantity]]*BoM_Griptel[[#This Row],[Unit Price]],""),"")</f>
        <v/>
      </c>
      <c r="Q702" s="43" t="str">
        <f>IFERROR(IF(AND(BoM_Griptel[[#This Row],[ACT_Qty]]&lt;&gt;"",BoM_Griptel[[#This Row],[Currency]]="NOK"),BoM_Griptel[[#This Row],[ACT_Qty]]*BoM_Griptel[[#This Row],[Unit Price]],""),"")</f>
        <v/>
      </c>
      <c r="R702" s="43" t="str">
        <f>IFERROR(IF(AND(BoM_Griptel[[#This Row],[Quantity]]&lt;&gt;"",BoM_Griptel[[#This Row],[Currency]]="EUR"),BoM_Griptel[[#This Row],[Quantity]]*BoM_Griptel[[#This Row],[Unit Price]],""),"")</f>
        <v/>
      </c>
      <c r="S702" s="43" t="str">
        <f>IFERROR(IF(AND(BoM_Griptel[[#This Row],[ACT_Qty]]&lt;&gt;"",BoM_Griptel[[#This Row],[Currency]]="EUR"),BoM_Griptel[[#This Row],[ACT_Qty]]*BoM_Griptel[[#This Row],[Unit Price]],""),"")</f>
        <v/>
      </c>
      <c r="T702" s="186" t="s">
        <v>1802</v>
      </c>
      <c r="U702" s="46"/>
      <c r="V702" s="46"/>
      <c r="W702" s="146"/>
    </row>
    <row r="703" spans="1:23" ht="15" customHeight="1">
      <c r="A703" s="143" t="str">
        <f t="shared" si="20"/>
        <v>AKH12345</v>
      </c>
      <c r="B703" s="144" t="s">
        <v>3207</v>
      </c>
      <c r="C703" s="143" t="s">
        <v>3208</v>
      </c>
      <c r="D703" s="105"/>
      <c r="E703" s="106"/>
      <c r="F703" s="105"/>
      <c r="G703" s="106"/>
      <c r="H703" s="175"/>
      <c r="I703" s="176" t="s">
        <v>847</v>
      </c>
      <c r="J703" s="176" t="s">
        <v>835</v>
      </c>
      <c r="K703" s="176" t="s">
        <v>1235</v>
      </c>
      <c r="L703" s="145" t="s">
        <v>1806</v>
      </c>
      <c r="M703" s="45" t="str">
        <f t="shared" si="21"/>
        <v>OneCo Networks AS</v>
      </c>
      <c r="N703" s="40" t="str">
        <f ca="1">IFERROR(
VLOOKUP(BoM_Griptel[[#This Row],[Product code]],
IF(AND((BoQ!$N$3&lt;&gt;""),OR(BoM_Griptel[[#This Row],[Vendor]]="Griptel",BoM_Griptel[[#This Row],[Vendor]]="Solar")),INDIRECT(Aux!$A$1)),4,FALSE),"")</f>
        <v/>
      </c>
      <c r="O703" s="169" t="s">
        <v>1807</v>
      </c>
      <c r="P703" s="41" t="str">
        <f>IFERROR(IF(AND(BoM_Griptel[[#This Row],[Quantity]]&lt;&gt;"",BoM_Griptel[[#This Row],[Currency]]="NOK"),BoM_Griptel[[#This Row],[Quantity]]*BoM_Griptel[[#This Row],[Unit Price]],""),"")</f>
        <v/>
      </c>
      <c r="Q703" s="41" t="str">
        <f>IFERROR(IF(AND(BoM_Griptel[[#This Row],[ACT_Qty]]&lt;&gt;"",BoM_Griptel[[#This Row],[Currency]]="NOK"),BoM_Griptel[[#This Row],[ACT_Qty]]*BoM_Griptel[[#This Row],[Unit Price]],""),"")</f>
        <v/>
      </c>
      <c r="R703" s="41" t="str">
        <f>IFERROR(IF(AND(BoM_Griptel[[#This Row],[Quantity]]&lt;&gt;"",BoM_Griptel[[#This Row],[Currency]]="EUR"),BoM_Griptel[[#This Row],[Quantity]]*BoM_Griptel[[#This Row],[Unit Price]],""),"")</f>
        <v/>
      </c>
      <c r="S703" s="41" t="str">
        <f>IFERROR(IF(AND(BoM_Griptel[[#This Row],[ACT_Qty]]&lt;&gt;"",BoM_Griptel[[#This Row],[Currency]]="EUR"),BoM_Griptel[[#This Row],[ACT_Qty]]*BoM_Griptel[[#This Row],[Unit Price]],""),"")</f>
        <v/>
      </c>
      <c r="T703" s="185" t="s">
        <v>1802</v>
      </c>
      <c r="U703" s="45"/>
      <c r="V703" s="45"/>
      <c r="W703" s="143"/>
    </row>
    <row r="704" spans="1:23" ht="15" customHeight="1">
      <c r="A704" s="146" t="str">
        <f t="shared" si="20"/>
        <v>AKH12345</v>
      </c>
      <c r="B704" s="147" t="s">
        <v>3209</v>
      </c>
      <c r="C704" s="146" t="s">
        <v>3210</v>
      </c>
      <c r="D704" s="68"/>
      <c r="E704" s="89"/>
      <c r="F704" s="68"/>
      <c r="G704" s="89"/>
      <c r="H704" s="177"/>
      <c r="I704" s="178" t="s">
        <v>847</v>
      </c>
      <c r="J704" s="178" t="s">
        <v>835</v>
      </c>
      <c r="K704" s="178" t="s">
        <v>1235</v>
      </c>
      <c r="L704" s="148" t="s">
        <v>1806</v>
      </c>
      <c r="M704" s="46" t="str">
        <f t="shared" si="21"/>
        <v>OneCo Networks AS</v>
      </c>
      <c r="N704" s="42" t="str">
        <f ca="1">IFERROR(
VLOOKUP(BoM_Griptel[[#This Row],[Product code]],
IF(AND((BoQ!$N$3&lt;&gt;""),OR(BoM_Griptel[[#This Row],[Vendor]]="Griptel",BoM_Griptel[[#This Row],[Vendor]]="Solar")),INDIRECT(Aux!$A$1)),4,FALSE),"")</f>
        <v/>
      </c>
      <c r="O704" s="170" t="s">
        <v>1807</v>
      </c>
      <c r="P704" s="43" t="str">
        <f>IFERROR(IF(AND(BoM_Griptel[[#This Row],[Quantity]]&lt;&gt;"",BoM_Griptel[[#This Row],[Currency]]="NOK"),BoM_Griptel[[#This Row],[Quantity]]*BoM_Griptel[[#This Row],[Unit Price]],""),"")</f>
        <v/>
      </c>
      <c r="Q704" s="43" t="str">
        <f>IFERROR(IF(AND(BoM_Griptel[[#This Row],[ACT_Qty]]&lt;&gt;"",BoM_Griptel[[#This Row],[Currency]]="NOK"),BoM_Griptel[[#This Row],[ACT_Qty]]*BoM_Griptel[[#This Row],[Unit Price]],""),"")</f>
        <v/>
      </c>
      <c r="R704" s="43" t="str">
        <f>IFERROR(IF(AND(BoM_Griptel[[#This Row],[Quantity]]&lt;&gt;"",BoM_Griptel[[#This Row],[Currency]]="EUR"),BoM_Griptel[[#This Row],[Quantity]]*BoM_Griptel[[#This Row],[Unit Price]],""),"")</f>
        <v/>
      </c>
      <c r="S704" s="43" t="str">
        <f>IFERROR(IF(AND(BoM_Griptel[[#This Row],[ACT_Qty]]&lt;&gt;"",BoM_Griptel[[#This Row],[Currency]]="EUR"),BoM_Griptel[[#This Row],[ACT_Qty]]*BoM_Griptel[[#This Row],[Unit Price]],""),"")</f>
        <v/>
      </c>
      <c r="T704" s="186" t="s">
        <v>1802</v>
      </c>
      <c r="U704" s="46"/>
      <c r="V704" s="46"/>
      <c r="W704" s="146"/>
    </row>
    <row r="705" spans="1:23" ht="15" customHeight="1">
      <c r="A705" s="143" t="str">
        <f t="shared" si="20"/>
        <v>AKH12345</v>
      </c>
      <c r="B705" s="144" t="s">
        <v>3211</v>
      </c>
      <c r="C705" s="143" t="s">
        <v>3212</v>
      </c>
      <c r="D705" s="105"/>
      <c r="E705" s="106"/>
      <c r="F705" s="105"/>
      <c r="G705" s="106"/>
      <c r="H705" s="175"/>
      <c r="I705" s="176" t="s">
        <v>847</v>
      </c>
      <c r="J705" s="176" t="s">
        <v>835</v>
      </c>
      <c r="K705" s="176" t="s">
        <v>1235</v>
      </c>
      <c r="L705" s="145" t="s">
        <v>1806</v>
      </c>
      <c r="M705" s="45" t="str">
        <f t="shared" si="21"/>
        <v>OneCo Networks AS</v>
      </c>
      <c r="N705" s="40" t="str">
        <f ca="1">IFERROR(
VLOOKUP(BoM_Griptel[[#This Row],[Product code]],
IF(AND((BoQ!$N$3&lt;&gt;""),OR(BoM_Griptel[[#This Row],[Vendor]]="Griptel",BoM_Griptel[[#This Row],[Vendor]]="Solar")),INDIRECT(Aux!$A$1)),4,FALSE),"")</f>
        <v/>
      </c>
      <c r="O705" s="169" t="s">
        <v>1807</v>
      </c>
      <c r="P705" s="41" t="str">
        <f>IFERROR(IF(AND(BoM_Griptel[[#This Row],[Quantity]]&lt;&gt;"",BoM_Griptel[[#This Row],[Currency]]="NOK"),BoM_Griptel[[#This Row],[Quantity]]*BoM_Griptel[[#This Row],[Unit Price]],""),"")</f>
        <v/>
      </c>
      <c r="Q705" s="41" t="str">
        <f>IFERROR(IF(AND(BoM_Griptel[[#This Row],[ACT_Qty]]&lt;&gt;"",BoM_Griptel[[#This Row],[Currency]]="NOK"),BoM_Griptel[[#This Row],[ACT_Qty]]*BoM_Griptel[[#This Row],[Unit Price]],""),"")</f>
        <v/>
      </c>
      <c r="R705" s="41" t="str">
        <f>IFERROR(IF(AND(BoM_Griptel[[#This Row],[Quantity]]&lt;&gt;"",BoM_Griptel[[#This Row],[Currency]]="EUR"),BoM_Griptel[[#This Row],[Quantity]]*BoM_Griptel[[#This Row],[Unit Price]],""),"")</f>
        <v/>
      </c>
      <c r="S705" s="41" t="str">
        <f>IFERROR(IF(AND(BoM_Griptel[[#This Row],[ACT_Qty]]&lt;&gt;"",BoM_Griptel[[#This Row],[Currency]]="EUR"),BoM_Griptel[[#This Row],[ACT_Qty]]*BoM_Griptel[[#This Row],[Unit Price]],""),"")</f>
        <v/>
      </c>
      <c r="T705" s="185" t="s">
        <v>1802</v>
      </c>
      <c r="U705" s="45"/>
      <c r="V705" s="45"/>
      <c r="W705" s="143"/>
    </row>
    <row r="706" spans="1:23" ht="15" customHeight="1">
      <c r="A706" s="146" t="str">
        <f t="shared" si="20"/>
        <v>AKH12345</v>
      </c>
      <c r="B706" s="147" t="s">
        <v>3213</v>
      </c>
      <c r="C706" s="146" t="s">
        <v>3214</v>
      </c>
      <c r="D706" s="68"/>
      <c r="E706" s="89"/>
      <c r="F706" s="68"/>
      <c r="G706" s="89"/>
      <c r="H706" s="177"/>
      <c r="I706" s="178" t="s">
        <v>847</v>
      </c>
      <c r="J706" s="178" t="s">
        <v>835</v>
      </c>
      <c r="K706" s="178" t="s">
        <v>1235</v>
      </c>
      <c r="L706" s="148" t="s">
        <v>1806</v>
      </c>
      <c r="M706" s="46" t="str">
        <f t="shared" si="21"/>
        <v>OneCo Networks AS</v>
      </c>
      <c r="N706" s="42" t="str">
        <f ca="1">IFERROR(
VLOOKUP(BoM_Griptel[[#This Row],[Product code]],
IF(AND((BoQ!$N$3&lt;&gt;""),OR(BoM_Griptel[[#This Row],[Vendor]]="Griptel",BoM_Griptel[[#This Row],[Vendor]]="Solar")),INDIRECT(Aux!$A$1)),4,FALSE),"")</f>
        <v/>
      </c>
      <c r="O706" s="170" t="s">
        <v>1807</v>
      </c>
      <c r="P706" s="43" t="str">
        <f>IFERROR(IF(AND(BoM_Griptel[[#This Row],[Quantity]]&lt;&gt;"",BoM_Griptel[[#This Row],[Currency]]="NOK"),BoM_Griptel[[#This Row],[Quantity]]*BoM_Griptel[[#This Row],[Unit Price]],""),"")</f>
        <v/>
      </c>
      <c r="Q706" s="43" t="str">
        <f>IFERROR(IF(AND(BoM_Griptel[[#This Row],[ACT_Qty]]&lt;&gt;"",BoM_Griptel[[#This Row],[Currency]]="NOK"),BoM_Griptel[[#This Row],[ACT_Qty]]*BoM_Griptel[[#This Row],[Unit Price]],""),"")</f>
        <v/>
      </c>
      <c r="R706" s="43" t="str">
        <f>IFERROR(IF(AND(BoM_Griptel[[#This Row],[Quantity]]&lt;&gt;"",BoM_Griptel[[#This Row],[Currency]]="EUR"),BoM_Griptel[[#This Row],[Quantity]]*BoM_Griptel[[#This Row],[Unit Price]],""),"")</f>
        <v/>
      </c>
      <c r="S706" s="43" t="str">
        <f>IFERROR(IF(AND(BoM_Griptel[[#This Row],[ACT_Qty]]&lt;&gt;"",BoM_Griptel[[#This Row],[Currency]]="EUR"),BoM_Griptel[[#This Row],[ACT_Qty]]*BoM_Griptel[[#This Row],[Unit Price]],""),"")</f>
        <v/>
      </c>
      <c r="T706" s="186" t="s">
        <v>1802</v>
      </c>
      <c r="U706" s="46"/>
      <c r="V706" s="46"/>
      <c r="W706" s="146"/>
    </row>
    <row r="707" spans="1:23" ht="15" customHeight="1">
      <c r="A707" s="143" t="str">
        <f t="shared" si="20"/>
        <v>AKH12345</v>
      </c>
      <c r="B707" s="144" t="s">
        <v>3215</v>
      </c>
      <c r="C707" s="143" t="s">
        <v>3216</v>
      </c>
      <c r="D707" s="105"/>
      <c r="E707" s="106"/>
      <c r="F707" s="105"/>
      <c r="G707" s="106"/>
      <c r="H707" s="175"/>
      <c r="I707" s="176" t="s">
        <v>847</v>
      </c>
      <c r="J707" s="176" t="s">
        <v>835</v>
      </c>
      <c r="K707" s="176" t="s">
        <v>1235</v>
      </c>
      <c r="L707" s="145" t="s">
        <v>1806</v>
      </c>
      <c r="M707" s="45" t="str">
        <f t="shared" si="21"/>
        <v>OneCo Networks AS</v>
      </c>
      <c r="N707" s="40" t="str">
        <f ca="1">IFERROR(
VLOOKUP(BoM_Griptel[[#This Row],[Product code]],
IF(AND((BoQ!$N$3&lt;&gt;""),OR(BoM_Griptel[[#This Row],[Vendor]]="Griptel",BoM_Griptel[[#This Row],[Vendor]]="Solar")),INDIRECT(Aux!$A$1)),4,FALSE),"")</f>
        <v/>
      </c>
      <c r="O707" s="169" t="s">
        <v>1807</v>
      </c>
      <c r="P707" s="41" t="str">
        <f>IFERROR(IF(AND(BoM_Griptel[[#This Row],[Quantity]]&lt;&gt;"",BoM_Griptel[[#This Row],[Currency]]="NOK"),BoM_Griptel[[#This Row],[Quantity]]*BoM_Griptel[[#This Row],[Unit Price]],""),"")</f>
        <v/>
      </c>
      <c r="Q707" s="41" t="str">
        <f>IFERROR(IF(AND(BoM_Griptel[[#This Row],[ACT_Qty]]&lt;&gt;"",BoM_Griptel[[#This Row],[Currency]]="NOK"),BoM_Griptel[[#This Row],[ACT_Qty]]*BoM_Griptel[[#This Row],[Unit Price]],""),"")</f>
        <v/>
      </c>
      <c r="R707" s="41" t="str">
        <f>IFERROR(IF(AND(BoM_Griptel[[#This Row],[Quantity]]&lt;&gt;"",BoM_Griptel[[#This Row],[Currency]]="EUR"),BoM_Griptel[[#This Row],[Quantity]]*BoM_Griptel[[#This Row],[Unit Price]],""),"")</f>
        <v/>
      </c>
      <c r="S707" s="41" t="str">
        <f>IFERROR(IF(AND(BoM_Griptel[[#This Row],[ACT_Qty]]&lt;&gt;"",BoM_Griptel[[#This Row],[Currency]]="EUR"),BoM_Griptel[[#This Row],[ACT_Qty]]*BoM_Griptel[[#This Row],[Unit Price]],""),"")</f>
        <v/>
      </c>
      <c r="T707" s="185" t="s">
        <v>1802</v>
      </c>
      <c r="U707" s="45"/>
      <c r="V707" s="45"/>
      <c r="W707" s="143"/>
    </row>
    <row r="708" spans="1:23" ht="15" customHeight="1">
      <c r="A708" s="146" t="str">
        <f t="shared" si="20"/>
        <v>AKH12345</v>
      </c>
      <c r="B708" s="147" t="s">
        <v>3217</v>
      </c>
      <c r="C708" s="146" t="s">
        <v>3218</v>
      </c>
      <c r="D708" s="68"/>
      <c r="E708" s="89"/>
      <c r="F708" s="68"/>
      <c r="G708" s="89"/>
      <c r="H708" s="177"/>
      <c r="I708" s="178" t="s">
        <v>847</v>
      </c>
      <c r="J708" s="178" t="s">
        <v>835</v>
      </c>
      <c r="K708" s="178" t="s">
        <v>1235</v>
      </c>
      <c r="L708" s="148" t="s">
        <v>1806</v>
      </c>
      <c r="M708" s="46" t="str">
        <f t="shared" si="21"/>
        <v>OneCo Networks AS</v>
      </c>
      <c r="N708" s="42" t="str">
        <f ca="1">IFERROR(
VLOOKUP(BoM_Griptel[[#This Row],[Product code]],
IF(AND((BoQ!$N$3&lt;&gt;""),OR(BoM_Griptel[[#This Row],[Vendor]]="Griptel",BoM_Griptel[[#This Row],[Vendor]]="Solar")),INDIRECT(Aux!$A$1)),4,FALSE),"")</f>
        <v/>
      </c>
      <c r="O708" s="170" t="s">
        <v>1807</v>
      </c>
      <c r="P708" s="43" t="str">
        <f>IFERROR(IF(AND(BoM_Griptel[[#This Row],[Quantity]]&lt;&gt;"",BoM_Griptel[[#This Row],[Currency]]="NOK"),BoM_Griptel[[#This Row],[Quantity]]*BoM_Griptel[[#This Row],[Unit Price]],""),"")</f>
        <v/>
      </c>
      <c r="Q708" s="43" t="str">
        <f>IFERROR(IF(AND(BoM_Griptel[[#This Row],[ACT_Qty]]&lt;&gt;"",BoM_Griptel[[#This Row],[Currency]]="NOK"),BoM_Griptel[[#This Row],[ACT_Qty]]*BoM_Griptel[[#This Row],[Unit Price]],""),"")</f>
        <v/>
      </c>
      <c r="R708" s="43" t="str">
        <f>IFERROR(IF(AND(BoM_Griptel[[#This Row],[Quantity]]&lt;&gt;"",BoM_Griptel[[#This Row],[Currency]]="EUR"),BoM_Griptel[[#This Row],[Quantity]]*BoM_Griptel[[#This Row],[Unit Price]],""),"")</f>
        <v/>
      </c>
      <c r="S708" s="43" t="str">
        <f>IFERROR(IF(AND(BoM_Griptel[[#This Row],[ACT_Qty]]&lt;&gt;"",BoM_Griptel[[#This Row],[Currency]]="EUR"),BoM_Griptel[[#This Row],[ACT_Qty]]*BoM_Griptel[[#This Row],[Unit Price]],""),"")</f>
        <v/>
      </c>
      <c r="T708" s="186" t="s">
        <v>1802</v>
      </c>
      <c r="U708" s="46"/>
      <c r="V708" s="46"/>
      <c r="W708" s="146"/>
    </row>
    <row r="709" spans="1:23" ht="15" customHeight="1">
      <c r="A709" s="143" t="str">
        <f t="shared" si="20"/>
        <v>AKH12345</v>
      </c>
      <c r="B709" s="144" t="s">
        <v>3219</v>
      </c>
      <c r="C709" s="143" t="s">
        <v>3220</v>
      </c>
      <c r="D709" s="105"/>
      <c r="E709" s="106"/>
      <c r="F709" s="105"/>
      <c r="G709" s="106"/>
      <c r="H709" s="175"/>
      <c r="I709" s="176" t="s">
        <v>847</v>
      </c>
      <c r="J709" s="176" t="s">
        <v>835</v>
      </c>
      <c r="K709" s="176" t="s">
        <v>1235</v>
      </c>
      <c r="L709" s="145" t="s">
        <v>1806</v>
      </c>
      <c r="M709" s="45" t="str">
        <f t="shared" si="21"/>
        <v>OneCo Networks AS</v>
      </c>
      <c r="N709" s="40" t="str">
        <f ca="1">IFERROR(
VLOOKUP(BoM_Griptel[[#This Row],[Product code]],
IF(AND((BoQ!$N$3&lt;&gt;""),OR(BoM_Griptel[[#This Row],[Vendor]]="Griptel",BoM_Griptel[[#This Row],[Vendor]]="Solar")),INDIRECT(Aux!$A$1)),4,FALSE),"")</f>
        <v/>
      </c>
      <c r="O709" s="169" t="s">
        <v>1807</v>
      </c>
      <c r="P709" s="41" t="str">
        <f>IFERROR(IF(AND(BoM_Griptel[[#This Row],[Quantity]]&lt;&gt;"",BoM_Griptel[[#This Row],[Currency]]="NOK"),BoM_Griptel[[#This Row],[Quantity]]*BoM_Griptel[[#This Row],[Unit Price]],""),"")</f>
        <v/>
      </c>
      <c r="Q709" s="41" t="str">
        <f>IFERROR(IF(AND(BoM_Griptel[[#This Row],[ACT_Qty]]&lt;&gt;"",BoM_Griptel[[#This Row],[Currency]]="NOK"),BoM_Griptel[[#This Row],[ACT_Qty]]*BoM_Griptel[[#This Row],[Unit Price]],""),"")</f>
        <v/>
      </c>
      <c r="R709" s="41" t="str">
        <f>IFERROR(IF(AND(BoM_Griptel[[#This Row],[Quantity]]&lt;&gt;"",BoM_Griptel[[#This Row],[Currency]]="EUR"),BoM_Griptel[[#This Row],[Quantity]]*BoM_Griptel[[#This Row],[Unit Price]],""),"")</f>
        <v/>
      </c>
      <c r="S709" s="41" t="str">
        <f>IFERROR(IF(AND(BoM_Griptel[[#This Row],[ACT_Qty]]&lt;&gt;"",BoM_Griptel[[#This Row],[Currency]]="EUR"),BoM_Griptel[[#This Row],[ACT_Qty]]*BoM_Griptel[[#This Row],[Unit Price]],""),"")</f>
        <v/>
      </c>
      <c r="T709" s="185" t="s">
        <v>1802</v>
      </c>
      <c r="U709" s="45"/>
      <c r="V709" s="45"/>
      <c r="W709" s="143"/>
    </row>
    <row r="710" spans="1:23" ht="15" customHeight="1">
      <c r="A710" s="146" t="str">
        <f t="shared" si="20"/>
        <v>AKH12345</v>
      </c>
      <c r="B710" s="147" t="s">
        <v>3221</v>
      </c>
      <c r="C710" s="146" t="s">
        <v>3222</v>
      </c>
      <c r="D710" s="68"/>
      <c r="E710" s="89"/>
      <c r="F710" s="68"/>
      <c r="G710" s="89"/>
      <c r="H710" s="177"/>
      <c r="I710" s="178" t="s">
        <v>847</v>
      </c>
      <c r="J710" s="178" t="s">
        <v>835</v>
      </c>
      <c r="K710" s="178" t="s">
        <v>1235</v>
      </c>
      <c r="L710" s="148" t="s">
        <v>1806</v>
      </c>
      <c r="M710" s="46" t="str">
        <f t="shared" si="21"/>
        <v>OneCo Networks AS</v>
      </c>
      <c r="N710" s="42" t="str">
        <f ca="1">IFERROR(
VLOOKUP(BoM_Griptel[[#This Row],[Product code]],
IF(AND((BoQ!$N$3&lt;&gt;""),OR(BoM_Griptel[[#This Row],[Vendor]]="Griptel",BoM_Griptel[[#This Row],[Vendor]]="Solar")),INDIRECT(Aux!$A$1)),4,FALSE),"")</f>
        <v/>
      </c>
      <c r="O710" s="170" t="s">
        <v>1807</v>
      </c>
      <c r="P710" s="43" t="str">
        <f>IFERROR(IF(AND(BoM_Griptel[[#This Row],[Quantity]]&lt;&gt;"",BoM_Griptel[[#This Row],[Currency]]="NOK"),BoM_Griptel[[#This Row],[Quantity]]*BoM_Griptel[[#This Row],[Unit Price]],""),"")</f>
        <v/>
      </c>
      <c r="Q710" s="43" t="str">
        <f>IFERROR(IF(AND(BoM_Griptel[[#This Row],[ACT_Qty]]&lt;&gt;"",BoM_Griptel[[#This Row],[Currency]]="NOK"),BoM_Griptel[[#This Row],[ACT_Qty]]*BoM_Griptel[[#This Row],[Unit Price]],""),"")</f>
        <v/>
      </c>
      <c r="R710" s="43" t="str">
        <f>IFERROR(IF(AND(BoM_Griptel[[#This Row],[Quantity]]&lt;&gt;"",BoM_Griptel[[#This Row],[Currency]]="EUR"),BoM_Griptel[[#This Row],[Quantity]]*BoM_Griptel[[#This Row],[Unit Price]],""),"")</f>
        <v/>
      </c>
      <c r="S710" s="43" t="str">
        <f>IFERROR(IF(AND(BoM_Griptel[[#This Row],[ACT_Qty]]&lt;&gt;"",BoM_Griptel[[#This Row],[Currency]]="EUR"),BoM_Griptel[[#This Row],[ACT_Qty]]*BoM_Griptel[[#This Row],[Unit Price]],""),"")</f>
        <v/>
      </c>
      <c r="T710" s="186" t="s">
        <v>1802</v>
      </c>
      <c r="U710" s="46"/>
      <c r="V710" s="46"/>
      <c r="W710" s="146"/>
    </row>
    <row r="711" spans="1:23" ht="15" customHeight="1">
      <c r="A711" s="143" t="str">
        <f t="shared" si="20"/>
        <v>AKH12345</v>
      </c>
      <c r="B711" s="144" t="s">
        <v>3223</v>
      </c>
      <c r="C711" s="143" t="s">
        <v>3224</v>
      </c>
      <c r="D711" s="105"/>
      <c r="E711" s="106"/>
      <c r="F711" s="105"/>
      <c r="G711" s="106"/>
      <c r="H711" s="175"/>
      <c r="I711" s="176" t="s">
        <v>847</v>
      </c>
      <c r="J711" s="176" t="s">
        <v>835</v>
      </c>
      <c r="K711" s="176" t="s">
        <v>1235</v>
      </c>
      <c r="L711" s="145" t="s">
        <v>1806</v>
      </c>
      <c r="M711" s="45" t="str">
        <f t="shared" si="21"/>
        <v>OneCo Networks AS</v>
      </c>
      <c r="N711" s="40" t="str">
        <f ca="1">IFERROR(
VLOOKUP(BoM_Griptel[[#This Row],[Product code]],
IF(AND((BoQ!$N$3&lt;&gt;""),OR(BoM_Griptel[[#This Row],[Vendor]]="Griptel",BoM_Griptel[[#This Row],[Vendor]]="Solar")),INDIRECT(Aux!$A$1)),4,FALSE),"")</f>
        <v/>
      </c>
      <c r="O711" s="169" t="s">
        <v>1807</v>
      </c>
      <c r="P711" s="41" t="str">
        <f>IFERROR(IF(AND(BoM_Griptel[[#This Row],[Quantity]]&lt;&gt;"",BoM_Griptel[[#This Row],[Currency]]="NOK"),BoM_Griptel[[#This Row],[Quantity]]*BoM_Griptel[[#This Row],[Unit Price]],""),"")</f>
        <v/>
      </c>
      <c r="Q711" s="41" t="str">
        <f>IFERROR(IF(AND(BoM_Griptel[[#This Row],[ACT_Qty]]&lt;&gt;"",BoM_Griptel[[#This Row],[Currency]]="NOK"),BoM_Griptel[[#This Row],[ACT_Qty]]*BoM_Griptel[[#This Row],[Unit Price]],""),"")</f>
        <v/>
      </c>
      <c r="R711" s="41" t="str">
        <f>IFERROR(IF(AND(BoM_Griptel[[#This Row],[Quantity]]&lt;&gt;"",BoM_Griptel[[#This Row],[Currency]]="EUR"),BoM_Griptel[[#This Row],[Quantity]]*BoM_Griptel[[#This Row],[Unit Price]],""),"")</f>
        <v/>
      </c>
      <c r="S711" s="41" t="str">
        <f>IFERROR(IF(AND(BoM_Griptel[[#This Row],[ACT_Qty]]&lt;&gt;"",BoM_Griptel[[#This Row],[Currency]]="EUR"),BoM_Griptel[[#This Row],[ACT_Qty]]*BoM_Griptel[[#This Row],[Unit Price]],""),"")</f>
        <v/>
      </c>
      <c r="T711" s="185" t="s">
        <v>1802</v>
      </c>
      <c r="U711" s="45"/>
      <c r="V711" s="45"/>
      <c r="W711" s="143"/>
    </row>
    <row r="712" spans="1:23" ht="15" customHeight="1">
      <c r="A712" s="146" t="str">
        <f t="shared" si="20"/>
        <v>AKH12345</v>
      </c>
      <c r="B712" s="147" t="s">
        <v>3225</v>
      </c>
      <c r="C712" s="146" t="s">
        <v>3226</v>
      </c>
      <c r="D712" s="68"/>
      <c r="E712" s="89"/>
      <c r="F712" s="68"/>
      <c r="G712" s="89"/>
      <c r="H712" s="177"/>
      <c r="I712" s="178" t="s">
        <v>847</v>
      </c>
      <c r="J712" s="178" t="s">
        <v>835</v>
      </c>
      <c r="K712" s="178" t="s">
        <v>1235</v>
      </c>
      <c r="L712" s="148" t="s">
        <v>1806</v>
      </c>
      <c r="M712" s="46" t="str">
        <f t="shared" si="21"/>
        <v>OneCo Networks AS</v>
      </c>
      <c r="N712" s="42" t="str">
        <f ca="1">IFERROR(
VLOOKUP(BoM_Griptel[[#This Row],[Product code]],
IF(AND((BoQ!$N$3&lt;&gt;""),OR(BoM_Griptel[[#This Row],[Vendor]]="Griptel",BoM_Griptel[[#This Row],[Vendor]]="Solar")),INDIRECT(Aux!$A$1)),4,FALSE),"")</f>
        <v/>
      </c>
      <c r="O712" s="170" t="s">
        <v>1807</v>
      </c>
      <c r="P712" s="43" t="str">
        <f>IFERROR(IF(AND(BoM_Griptel[[#This Row],[Quantity]]&lt;&gt;"",BoM_Griptel[[#This Row],[Currency]]="NOK"),BoM_Griptel[[#This Row],[Quantity]]*BoM_Griptel[[#This Row],[Unit Price]],""),"")</f>
        <v/>
      </c>
      <c r="Q712" s="43" t="str">
        <f>IFERROR(IF(AND(BoM_Griptel[[#This Row],[ACT_Qty]]&lt;&gt;"",BoM_Griptel[[#This Row],[Currency]]="NOK"),BoM_Griptel[[#This Row],[ACT_Qty]]*BoM_Griptel[[#This Row],[Unit Price]],""),"")</f>
        <v/>
      </c>
      <c r="R712" s="43" t="str">
        <f>IFERROR(IF(AND(BoM_Griptel[[#This Row],[Quantity]]&lt;&gt;"",BoM_Griptel[[#This Row],[Currency]]="EUR"),BoM_Griptel[[#This Row],[Quantity]]*BoM_Griptel[[#This Row],[Unit Price]],""),"")</f>
        <v/>
      </c>
      <c r="S712" s="43" t="str">
        <f>IFERROR(IF(AND(BoM_Griptel[[#This Row],[ACT_Qty]]&lt;&gt;"",BoM_Griptel[[#This Row],[Currency]]="EUR"),BoM_Griptel[[#This Row],[ACT_Qty]]*BoM_Griptel[[#This Row],[Unit Price]],""),"")</f>
        <v/>
      </c>
      <c r="T712" s="186" t="s">
        <v>1802</v>
      </c>
      <c r="U712" s="46"/>
      <c r="V712" s="46"/>
      <c r="W712" s="146"/>
    </row>
    <row r="713" spans="1:23" ht="15" customHeight="1">
      <c r="A713" s="143" t="str">
        <f t="shared" si="20"/>
        <v>AKH12345</v>
      </c>
      <c r="B713" s="144" t="s">
        <v>3227</v>
      </c>
      <c r="C713" s="143" t="s">
        <v>3228</v>
      </c>
      <c r="D713" s="105"/>
      <c r="E713" s="106"/>
      <c r="F713" s="105"/>
      <c r="G713" s="106"/>
      <c r="H713" s="175"/>
      <c r="I713" s="176" t="s">
        <v>847</v>
      </c>
      <c r="J713" s="176" t="s">
        <v>835</v>
      </c>
      <c r="K713" s="176" t="s">
        <v>1235</v>
      </c>
      <c r="L713" s="145" t="s">
        <v>1806</v>
      </c>
      <c r="M713" s="45" t="str">
        <f t="shared" si="21"/>
        <v>OneCo Networks AS</v>
      </c>
      <c r="N713" s="40" t="str">
        <f ca="1">IFERROR(
VLOOKUP(BoM_Griptel[[#This Row],[Product code]],
IF(AND((BoQ!$N$3&lt;&gt;""),OR(BoM_Griptel[[#This Row],[Vendor]]="Griptel",BoM_Griptel[[#This Row],[Vendor]]="Solar")),INDIRECT(Aux!$A$1)),4,FALSE),"")</f>
        <v/>
      </c>
      <c r="O713" s="169" t="s">
        <v>1807</v>
      </c>
      <c r="P713" s="41" t="str">
        <f>IFERROR(IF(AND(BoM_Griptel[[#This Row],[Quantity]]&lt;&gt;"",BoM_Griptel[[#This Row],[Currency]]="NOK"),BoM_Griptel[[#This Row],[Quantity]]*BoM_Griptel[[#This Row],[Unit Price]],""),"")</f>
        <v/>
      </c>
      <c r="Q713" s="41" t="str">
        <f>IFERROR(IF(AND(BoM_Griptel[[#This Row],[ACT_Qty]]&lt;&gt;"",BoM_Griptel[[#This Row],[Currency]]="NOK"),BoM_Griptel[[#This Row],[ACT_Qty]]*BoM_Griptel[[#This Row],[Unit Price]],""),"")</f>
        <v/>
      </c>
      <c r="R713" s="41" t="str">
        <f>IFERROR(IF(AND(BoM_Griptel[[#This Row],[Quantity]]&lt;&gt;"",BoM_Griptel[[#This Row],[Currency]]="EUR"),BoM_Griptel[[#This Row],[Quantity]]*BoM_Griptel[[#This Row],[Unit Price]],""),"")</f>
        <v/>
      </c>
      <c r="S713" s="41" t="str">
        <f>IFERROR(IF(AND(BoM_Griptel[[#This Row],[ACT_Qty]]&lt;&gt;"",BoM_Griptel[[#This Row],[Currency]]="EUR"),BoM_Griptel[[#This Row],[ACT_Qty]]*BoM_Griptel[[#This Row],[Unit Price]],""),"")</f>
        <v/>
      </c>
      <c r="T713" s="185" t="s">
        <v>1802</v>
      </c>
      <c r="U713" s="45"/>
      <c r="V713" s="45"/>
      <c r="W713" s="143"/>
    </row>
    <row r="714" spans="1:23" ht="15" customHeight="1">
      <c r="A714" s="146" t="str">
        <f t="shared" si="20"/>
        <v>AKH12345</v>
      </c>
      <c r="B714" s="147" t="s">
        <v>3229</v>
      </c>
      <c r="C714" s="146" t="s">
        <v>3230</v>
      </c>
      <c r="D714" s="68"/>
      <c r="E714" s="89"/>
      <c r="F714" s="68"/>
      <c r="G714" s="89"/>
      <c r="H714" s="177"/>
      <c r="I714" s="178" t="s">
        <v>847</v>
      </c>
      <c r="J714" s="178" t="s">
        <v>835</v>
      </c>
      <c r="K714" s="178" t="s">
        <v>1235</v>
      </c>
      <c r="L714" s="148" t="s">
        <v>1806</v>
      </c>
      <c r="M714" s="46" t="str">
        <f t="shared" si="21"/>
        <v>OneCo Networks AS</v>
      </c>
      <c r="N714" s="42" t="str">
        <f ca="1">IFERROR(
VLOOKUP(BoM_Griptel[[#This Row],[Product code]],
IF(AND((BoQ!$N$3&lt;&gt;""),OR(BoM_Griptel[[#This Row],[Vendor]]="Griptel",BoM_Griptel[[#This Row],[Vendor]]="Solar")),INDIRECT(Aux!$A$1)),4,FALSE),"")</f>
        <v/>
      </c>
      <c r="O714" s="170" t="s">
        <v>1807</v>
      </c>
      <c r="P714" s="43" t="str">
        <f>IFERROR(IF(AND(BoM_Griptel[[#This Row],[Quantity]]&lt;&gt;"",BoM_Griptel[[#This Row],[Currency]]="NOK"),BoM_Griptel[[#This Row],[Quantity]]*BoM_Griptel[[#This Row],[Unit Price]],""),"")</f>
        <v/>
      </c>
      <c r="Q714" s="43" t="str">
        <f>IFERROR(IF(AND(BoM_Griptel[[#This Row],[ACT_Qty]]&lt;&gt;"",BoM_Griptel[[#This Row],[Currency]]="NOK"),BoM_Griptel[[#This Row],[ACT_Qty]]*BoM_Griptel[[#This Row],[Unit Price]],""),"")</f>
        <v/>
      </c>
      <c r="R714" s="43" t="str">
        <f>IFERROR(IF(AND(BoM_Griptel[[#This Row],[Quantity]]&lt;&gt;"",BoM_Griptel[[#This Row],[Currency]]="EUR"),BoM_Griptel[[#This Row],[Quantity]]*BoM_Griptel[[#This Row],[Unit Price]],""),"")</f>
        <v/>
      </c>
      <c r="S714" s="43" t="str">
        <f>IFERROR(IF(AND(BoM_Griptel[[#This Row],[ACT_Qty]]&lt;&gt;"",BoM_Griptel[[#This Row],[Currency]]="EUR"),BoM_Griptel[[#This Row],[ACT_Qty]]*BoM_Griptel[[#This Row],[Unit Price]],""),"")</f>
        <v/>
      </c>
      <c r="T714" s="186" t="s">
        <v>1802</v>
      </c>
      <c r="U714" s="46"/>
      <c r="V714" s="46"/>
      <c r="W714" s="146"/>
    </row>
    <row r="715" spans="1:23" ht="15" customHeight="1">
      <c r="A715" s="143" t="str">
        <f t="shared" si="20"/>
        <v>AKH12345</v>
      </c>
      <c r="B715" s="144" t="s">
        <v>3231</v>
      </c>
      <c r="C715" s="143" t="s">
        <v>3232</v>
      </c>
      <c r="D715" s="105"/>
      <c r="E715" s="106"/>
      <c r="F715" s="105"/>
      <c r="G715" s="106"/>
      <c r="H715" s="175"/>
      <c r="I715" s="176" t="s">
        <v>847</v>
      </c>
      <c r="J715" s="176" t="s">
        <v>835</v>
      </c>
      <c r="K715" s="176" t="s">
        <v>1235</v>
      </c>
      <c r="L715" s="145" t="s">
        <v>1806</v>
      </c>
      <c r="M715" s="45" t="str">
        <f t="shared" si="21"/>
        <v>OneCo Networks AS</v>
      </c>
      <c r="N715" s="40" t="str">
        <f ca="1">IFERROR(
VLOOKUP(BoM_Griptel[[#This Row],[Product code]],
IF(AND((BoQ!$N$3&lt;&gt;""),OR(BoM_Griptel[[#This Row],[Vendor]]="Griptel",BoM_Griptel[[#This Row],[Vendor]]="Solar")),INDIRECT(Aux!$A$1)),4,FALSE),"")</f>
        <v/>
      </c>
      <c r="O715" s="169" t="s">
        <v>1807</v>
      </c>
      <c r="P715" s="41" t="str">
        <f>IFERROR(IF(AND(BoM_Griptel[[#This Row],[Quantity]]&lt;&gt;"",BoM_Griptel[[#This Row],[Currency]]="NOK"),BoM_Griptel[[#This Row],[Quantity]]*BoM_Griptel[[#This Row],[Unit Price]],""),"")</f>
        <v/>
      </c>
      <c r="Q715" s="41" t="str">
        <f>IFERROR(IF(AND(BoM_Griptel[[#This Row],[ACT_Qty]]&lt;&gt;"",BoM_Griptel[[#This Row],[Currency]]="NOK"),BoM_Griptel[[#This Row],[ACT_Qty]]*BoM_Griptel[[#This Row],[Unit Price]],""),"")</f>
        <v/>
      </c>
      <c r="R715" s="41" t="str">
        <f>IFERROR(IF(AND(BoM_Griptel[[#This Row],[Quantity]]&lt;&gt;"",BoM_Griptel[[#This Row],[Currency]]="EUR"),BoM_Griptel[[#This Row],[Quantity]]*BoM_Griptel[[#This Row],[Unit Price]],""),"")</f>
        <v/>
      </c>
      <c r="S715" s="41" t="str">
        <f>IFERROR(IF(AND(BoM_Griptel[[#This Row],[ACT_Qty]]&lt;&gt;"",BoM_Griptel[[#This Row],[Currency]]="EUR"),BoM_Griptel[[#This Row],[ACT_Qty]]*BoM_Griptel[[#This Row],[Unit Price]],""),"")</f>
        <v/>
      </c>
      <c r="T715" s="185" t="s">
        <v>1802</v>
      </c>
      <c r="U715" s="45"/>
      <c r="V715" s="45"/>
      <c r="W715" s="143"/>
    </row>
    <row r="716" spans="1:23" ht="15" customHeight="1">
      <c r="A716" s="146" t="str">
        <f t="shared" si="20"/>
        <v>AKH12345</v>
      </c>
      <c r="B716" s="147" t="s">
        <v>3233</v>
      </c>
      <c r="C716" s="146" t="s">
        <v>3234</v>
      </c>
      <c r="D716" s="68"/>
      <c r="E716" s="89"/>
      <c r="F716" s="68"/>
      <c r="G716" s="89"/>
      <c r="H716" s="177"/>
      <c r="I716" s="178" t="s">
        <v>847</v>
      </c>
      <c r="J716" s="178" t="s">
        <v>835</v>
      </c>
      <c r="K716" s="178" t="s">
        <v>1235</v>
      </c>
      <c r="L716" s="148" t="s">
        <v>1806</v>
      </c>
      <c r="M716" s="46" t="str">
        <f t="shared" si="21"/>
        <v>OneCo Networks AS</v>
      </c>
      <c r="N716" s="42" t="str">
        <f ca="1">IFERROR(
VLOOKUP(BoM_Griptel[[#This Row],[Product code]],
IF(AND((BoQ!$N$3&lt;&gt;""),OR(BoM_Griptel[[#This Row],[Vendor]]="Griptel",BoM_Griptel[[#This Row],[Vendor]]="Solar")),INDIRECT(Aux!$A$1)),4,FALSE),"")</f>
        <v/>
      </c>
      <c r="O716" s="170" t="s">
        <v>1807</v>
      </c>
      <c r="P716" s="43" t="str">
        <f>IFERROR(IF(AND(BoM_Griptel[[#This Row],[Quantity]]&lt;&gt;"",BoM_Griptel[[#This Row],[Currency]]="NOK"),BoM_Griptel[[#This Row],[Quantity]]*BoM_Griptel[[#This Row],[Unit Price]],""),"")</f>
        <v/>
      </c>
      <c r="Q716" s="43" t="str">
        <f>IFERROR(IF(AND(BoM_Griptel[[#This Row],[ACT_Qty]]&lt;&gt;"",BoM_Griptel[[#This Row],[Currency]]="NOK"),BoM_Griptel[[#This Row],[ACT_Qty]]*BoM_Griptel[[#This Row],[Unit Price]],""),"")</f>
        <v/>
      </c>
      <c r="R716" s="43" t="str">
        <f>IFERROR(IF(AND(BoM_Griptel[[#This Row],[Quantity]]&lt;&gt;"",BoM_Griptel[[#This Row],[Currency]]="EUR"),BoM_Griptel[[#This Row],[Quantity]]*BoM_Griptel[[#This Row],[Unit Price]],""),"")</f>
        <v/>
      </c>
      <c r="S716" s="43" t="str">
        <f>IFERROR(IF(AND(BoM_Griptel[[#This Row],[ACT_Qty]]&lt;&gt;"",BoM_Griptel[[#This Row],[Currency]]="EUR"),BoM_Griptel[[#This Row],[ACT_Qty]]*BoM_Griptel[[#This Row],[Unit Price]],""),"")</f>
        <v/>
      </c>
      <c r="T716" s="186" t="s">
        <v>1802</v>
      </c>
      <c r="U716" s="46"/>
      <c r="V716" s="46"/>
      <c r="W716" s="146"/>
    </row>
    <row r="717" spans="1:23" ht="15" customHeight="1">
      <c r="A717" s="143" t="str">
        <f t="shared" si="20"/>
        <v>AKH12345</v>
      </c>
      <c r="B717" s="144" t="s">
        <v>3235</v>
      </c>
      <c r="C717" s="143" t="s">
        <v>3236</v>
      </c>
      <c r="D717" s="105"/>
      <c r="E717" s="106"/>
      <c r="F717" s="105"/>
      <c r="G717" s="106"/>
      <c r="H717" s="175"/>
      <c r="I717" s="176" t="s">
        <v>847</v>
      </c>
      <c r="J717" s="176" t="s">
        <v>835</v>
      </c>
      <c r="K717" s="176" t="s">
        <v>1235</v>
      </c>
      <c r="L717" s="145" t="s">
        <v>1806</v>
      </c>
      <c r="M717" s="45" t="str">
        <f t="shared" si="21"/>
        <v>OneCo Networks AS</v>
      </c>
      <c r="N717" s="40" t="str">
        <f ca="1">IFERROR(
VLOOKUP(BoM_Griptel[[#This Row],[Product code]],
IF(AND((BoQ!$N$3&lt;&gt;""),OR(BoM_Griptel[[#This Row],[Vendor]]="Griptel",BoM_Griptel[[#This Row],[Vendor]]="Solar")),INDIRECT(Aux!$A$1)),4,FALSE),"")</f>
        <v/>
      </c>
      <c r="O717" s="169" t="s">
        <v>1807</v>
      </c>
      <c r="P717" s="41" t="str">
        <f>IFERROR(IF(AND(BoM_Griptel[[#This Row],[Quantity]]&lt;&gt;"",BoM_Griptel[[#This Row],[Currency]]="NOK"),BoM_Griptel[[#This Row],[Quantity]]*BoM_Griptel[[#This Row],[Unit Price]],""),"")</f>
        <v/>
      </c>
      <c r="Q717" s="41" t="str">
        <f>IFERROR(IF(AND(BoM_Griptel[[#This Row],[ACT_Qty]]&lt;&gt;"",BoM_Griptel[[#This Row],[Currency]]="NOK"),BoM_Griptel[[#This Row],[ACT_Qty]]*BoM_Griptel[[#This Row],[Unit Price]],""),"")</f>
        <v/>
      </c>
      <c r="R717" s="41" t="str">
        <f>IFERROR(IF(AND(BoM_Griptel[[#This Row],[Quantity]]&lt;&gt;"",BoM_Griptel[[#This Row],[Currency]]="EUR"),BoM_Griptel[[#This Row],[Quantity]]*BoM_Griptel[[#This Row],[Unit Price]],""),"")</f>
        <v/>
      </c>
      <c r="S717" s="41" t="str">
        <f>IFERROR(IF(AND(BoM_Griptel[[#This Row],[ACT_Qty]]&lt;&gt;"",BoM_Griptel[[#This Row],[Currency]]="EUR"),BoM_Griptel[[#This Row],[ACT_Qty]]*BoM_Griptel[[#This Row],[Unit Price]],""),"")</f>
        <v/>
      </c>
      <c r="T717" s="185" t="s">
        <v>1802</v>
      </c>
      <c r="U717" s="45"/>
      <c r="V717" s="45"/>
      <c r="W717" s="143"/>
    </row>
    <row r="718" spans="1:23" ht="15" customHeight="1">
      <c r="A718" s="146" t="str">
        <f t="shared" si="20"/>
        <v>AKH12345</v>
      </c>
      <c r="B718" s="147" t="s">
        <v>3237</v>
      </c>
      <c r="C718" s="146" t="s">
        <v>3238</v>
      </c>
      <c r="D718" s="68"/>
      <c r="E718" s="89"/>
      <c r="F718" s="68"/>
      <c r="G718" s="89"/>
      <c r="H718" s="177"/>
      <c r="I718" s="178" t="s">
        <v>847</v>
      </c>
      <c r="J718" s="178" t="s">
        <v>835</v>
      </c>
      <c r="K718" s="178" t="s">
        <v>1235</v>
      </c>
      <c r="L718" s="148" t="s">
        <v>1806</v>
      </c>
      <c r="M718" s="46" t="str">
        <f t="shared" si="21"/>
        <v>OneCo Networks AS</v>
      </c>
      <c r="N718" s="42" t="str">
        <f ca="1">IFERROR(
VLOOKUP(BoM_Griptel[[#This Row],[Product code]],
IF(AND((BoQ!$N$3&lt;&gt;""),OR(BoM_Griptel[[#This Row],[Vendor]]="Griptel",BoM_Griptel[[#This Row],[Vendor]]="Solar")),INDIRECT(Aux!$A$1)),4,FALSE),"")</f>
        <v/>
      </c>
      <c r="O718" s="170" t="s">
        <v>1807</v>
      </c>
      <c r="P718" s="43" t="str">
        <f>IFERROR(IF(AND(BoM_Griptel[[#This Row],[Quantity]]&lt;&gt;"",BoM_Griptel[[#This Row],[Currency]]="NOK"),BoM_Griptel[[#This Row],[Quantity]]*BoM_Griptel[[#This Row],[Unit Price]],""),"")</f>
        <v/>
      </c>
      <c r="Q718" s="43" t="str">
        <f>IFERROR(IF(AND(BoM_Griptel[[#This Row],[ACT_Qty]]&lt;&gt;"",BoM_Griptel[[#This Row],[Currency]]="NOK"),BoM_Griptel[[#This Row],[ACT_Qty]]*BoM_Griptel[[#This Row],[Unit Price]],""),"")</f>
        <v/>
      </c>
      <c r="R718" s="43" t="str">
        <f>IFERROR(IF(AND(BoM_Griptel[[#This Row],[Quantity]]&lt;&gt;"",BoM_Griptel[[#This Row],[Currency]]="EUR"),BoM_Griptel[[#This Row],[Quantity]]*BoM_Griptel[[#This Row],[Unit Price]],""),"")</f>
        <v/>
      </c>
      <c r="S718" s="43" t="str">
        <f>IFERROR(IF(AND(BoM_Griptel[[#This Row],[ACT_Qty]]&lt;&gt;"",BoM_Griptel[[#This Row],[Currency]]="EUR"),BoM_Griptel[[#This Row],[ACT_Qty]]*BoM_Griptel[[#This Row],[Unit Price]],""),"")</f>
        <v/>
      </c>
      <c r="T718" s="186" t="s">
        <v>1802</v>
      </c>
      <c r="U718" s="46"/>
      <c r="V718" s="46"/>
      <c r="W718" s="146"/>
    </row>
    <row r="719" spans="1:23" ht="15" customHeight="1">
      <c r="A719" s="143" t="str">
        <f t="shared" ref="A719:A782" si="22">IF($C$4&lt;&gt;"",$C$4,"")</f>
        <v>AKH12345</v>
      </c>
      <c r="B719" s="144" t="s">
        <v>3239</v>
      </c>
      <c r="C719" s="143" t="s">
        <v>3240</v>
      </c>
      <c r="D719" s="105"/>
      <c r="E719" s="106"/>
      <c r="F719" s="105"/>
      <c r="G719" s="106"/>
      <c r="H719" s="175"/>
      <c r="I719" s="176" t="s">
        <v>847</v>
      </c>
      <c r="J719" s="176" t="s">
        <v>835</v>
      </c>
      <c r="K719" s="176" t="s">
        <v>1235</v>
      </c>
      <c r="L719" s="145" t="s">
        <v>1806</v>
      </c>
      <c r="M719" s="45" t="str">
        <f t="shared" si="21"/>
        <v>OneCo Networks AS</v>
      </c>
      <c r="N719" s="40" t="str">
        <f ca="1">IFERROR(
VLOOKUP(BoM_Griptel[[#This Row],[Product code]],
IF(AND((BoQ!$N$3&lt;&gt;""),OR(BoM_Griptel[[#This Row],[Vendor]]="Griptel",BoM_Griptel[[#This Row],[Vendor]]="Solar")),INDIRECT(Aux!$A$1)),4,FALSE),"")</f>
        <v/>
      </c>
      <c r="O719" s="169" t="s">
        <v>1807</v>
      </c>
      <c r="P719" s="41" t="str">
        <f>IFERROR(IF(AND(BoM_Griptel[[#This Row],[Quantity]]&lt;&gt;"",BoM_Griptel[[#This Row],[Currency]]="NOK"),BoM_Griptel[[#This Row],[Quantity]]*BoM_Griptel[[#This Row],[Unit Price]],""),"")</f>
        <v/>
      </c>
      <c r="Q719" s="41" t="str">
        <f>IFERROR(IF(AND(BoM_Griptel[[#This Row],[ACT_Qty]]&lt;&gt;"",BoM_Griptel[[#This Row],[Currency]]="NOK"),BoM_Griptel[[#This Row],[ACT_Qty]]*BoM_Griptel[[#This Row],[Unit Price]],""),"")</f>
        <v/>
      </c>
      <c r="R719" s="41" t="str">
        <f>IFERROR(IF(AND(BoM_Griptel[[#This Row],[Quantity]]&lt;&gt;"",BoM_Griptel[[#This Row],[Currency]]="EUR"),BoM_Griptel[[#This Row],[Quantity]]*BoM_Griptel[[#This Row],[Unit Price]],""),"")</f>
        <v/>
      </c>
      <c r="S719" s="41" t="str">
        <f>IFERROR(IF(AND(BoM_Griptel[[#This Row],[ACT_Qty]]&lt;&gt;"",BoM_Griptel[[#This Row],[Currency]]="EUR"),BoM_Griptel[[#This Row],[ACT_Qty]]*BoM_Griptel[[#This Row],[Unit Price]],""),"")</f>
        <v/>
      </c>
      <c r="T719" s="185" t="s">
        <v>1802</v>
      </c>
      <c r="U719" s="45"/>
      <c r="V719" s="45"/>
      <c r="W719" s="143"/>
    </row>
    <row r="720" spans="1:23" ht="15" customHeight="1">
      <c r="A720" s="146" t="str">
        <f t="shared" si="22"/>
        <v>AKH12345</v>
      </c>
      <c r="B720" s="147" t="s">
        <v>3241</v>
      </c>
      <c r="C720" s="146" t="s">
        <v>3242</v>
      </c>
      <c r="D720" s="68"/>
      <c r="E720" s="89"/>
      <c r="F720" s="68"/>
      <c r="G720" s="89"/>
      <c r="H720" s="177"/>
      <c r="I720" s="178" t="s">
        <v>847</v>
      </c>
      <c r="J720" s="178" t="s">
        <v>835</v>
      </c>
      <c r="K720" s="178" t="s">
        <v>1235</v>
      </c>
      <c r="L720" s="148" t="s">
        <v>1806</v>
      </c>
      <c r="M720" s="46" t="str">
        <f t="shared" si="21"/>
        <v>OneCo Networks AS</v>
      </c>
      <c r="N720" s="42" t="str">
        <f ca="1">IFERROR(
VLOOKUP(BoM_Griptel[[#This Row],[Product code]],
IF(AND((BoQ!$N$3&lt;&gt;""),OR(BoM_Griptel[[#This Row],[Vendor]]="Griptel",BoM_Griptel[[#This Row],[Vendor]]="Solar")),INDIRECT(Aux!$A$1)),4,FALSE),"")</f>
        <v/>
      </c>
      <c r="O720" s="170" t="s">
        <v>1807</v>
      </c>
      <c r="P720" s="43" t="str">
        <f>IFERROR(IF(AND(BoM_Griptel[[#This Row],[Quantity]]&lt;&gt;"",BoM_Griptel[[#This Row],[Currency]]="NOK"),BoM_Griptel[[#This Row],[Quantity]]*BoM_Griptel[[#This Row],[Unit Price]],""),"")</f>
        <v/>
      </c>
      <c r="Q720" s="43" t="str">
        <f>IFERROR(IF(AND(BoM_Griptel[[#This Row],[ACT_Qty]]&lt;&gt;"",BoM_Griptel[[#This Row],[Currency]]="NOK"),BoM_Griptel[[#This Row],[ACT_Qty]]*BoM_Griptel[[#This Row],[Unit Price]],""),"")</f>
        <v/>
      </c>
      <c r="R720" s="43" t="str">
        <f>IFERROR(IF(AND(BoM_Griptel[[#This Row],[Quantity]]&lt;&gt;"",BoM_Griptel[[#This Row],[Currency]]="EUR"),BoM_Griptel[[#This Row],[Quantity]]*BoM_Griptel[[#This Row],[Unit Price]],""),"")</f>
        <v/>
      </c>
      <c r="S720" s="43" t="str">
        <f>IFERROR(IF(AND(BoM_Griptel[[#This Row],[ACT_Qty]]&lt;&gt;"",BoM_Griptel[[#This Row],[Currency]]="EUR"),BoM_Griptel[[#This Row],[ACT_Qty]]*BoM_Griptel[[#This Row],[Unit Price]],""),"")</f>
        <v/>
      </c>
      <c r="T720" s="186" t="s">
        <v>1802</v>
      </c>
      <c r="U720" s="46"/>
      <c r="V720" s="46"/>
      <c r="W720" s="146"/>
    </row>
    <row r="721" spans="1:23" ht="15" customHeight="1">
      <c r="A721" s="143" t="str">
        <f t="shared" si="22"/>
        <v>AKH12345</v>
      </c>
      <c r="B721" s="144" t="s">
        <v>3243</v>
      </c>
      <c r="C721" s="143" t="s">
        <v>3244</v>
      </c>
      <c r="D721" s="105"/>
      <c r="E721" s="106"/>
      <c r="F721" s="105"/>
      <c r="G721" s="106"/>
      <c r="H721" s="175"/>
      <c r="I721" s="176" t="s">
        <v>847</v>
      </c>
      <c r="J721" s="176" t="s">
        <v>835</v>
      </c>
      <c r="K721" s="176" t="s">
        <v>1235</v>
      </c>
      <c r="L721" s="145" t="s">
        <v>1806</v>
      </c>
      <c r="M721" s="45" t="str">
        <f t="shared" si="21"/>
        <v>OneCo Networks AS</v>
      </c>
      <c r="N721" s="40" t="str">
        <f ca="1">IFERROR(
VLOOKUP(BoM_Griptel[[#This Row],[Product code]],
IF(AND((BoQ!$N$3&lt;&gt;""),OR(BoM_Griptel[[#This Row],[Vendor]]="Griptel",BoM_Griptel[[#This Row],[Vendor]]="Solar")),INDIRECT(Aux!$A$1)),4,FALSE),"")</f>
        <v/>
      </c>
      <c r="O721" s="169" t="s">
        <v>1807</v>
      </c>
      <c r="P721" s="41" t="str">
        <f>IFERROR(IF(AND(BoM_Griptel[[#This Row],[Quantity]]&lt;&gt;"",BoM_Griptel[[#This Row],[Currency]]="NOK"),BoM_Griptel[[#This Row],[Quantity]]*BoM_Griptel[[#This Row],[Unit Price]],""),"")</f>
        <v/>
      </c>
      <c r="Q721" s="41" t="str">
        <f>IFERROR(IF(AND(BoM_Griptel[[#This Row],[ACT_Qty]]&lt;&gt;"",BoM_Griptel[[#This Row],[Currency]]="NOK"),BoM_Griptel[[#This Row],[ACT_Qty]]*BoM_Griptel[[#This Row],[Unit Price]],""),"")</f>
        <v/>
      </c>
      <c r="R721" s="41" t="str">
        <f>IFERROR(IF(AND(BoM_Griptel[[#This Row],[Quantity]]&lt;&gt;"",BoM_Griptel[[#This Row],[Currency]]="EUR"),BoM_Griptel[[#This Row],[Quantity]]*BoM_Griptel[[#This Row],[Unit Price]],""),"")</f>
        <v/>
      </c>
      <c r="S721" s="41" t="str">
        <f>IFERROR(IF(AND(BoM_Griptel[[#This Row],[ACT_Qty]]&lt;&gt;"",BoM_Griptel[[#This Row],[Currency]]="EUR"),BoM_Griptel[[#This Row],[ACT_Qty]]*BoM_Griptel[[#This Row],[Unit Price]],""),"")</f>
        <v/>
      </c>
      <c r="T721" s="185" t="s">
        <v>1802</v>
      </c>
      <c r="U721" s="45"/>
      <c r="V721" s="45"/>
      <c r="W721" s="143"/>
    </row>
    <row r="722" spans="1:23" ht="15" customHeight="1">
      <c r="A722" s="146" t="str">
        <f t="shared" si="22"/>
        <v>AKH12345</v>
      </c>
      <c r="B722" s="147" t="s">
        <v>3245</v>
      </c>
      <c r="C722" s="146" t="s">
        <v>3246</v>
      </c>
      <c r="D722" s="68"/>
      <c r="E722" s="89"/>
      <c r="F722" s="68"/>
      <c r="G722" s="89"/>
      <c r="H722" s="177"/>
      <c r="I722" s="178" t="s">
        <v>847</v>
      </c>
      <c r="J722" s="178" t="s">
        <v>835</v>
      </c>
      <c r="K722" s="178" t="s">
        <v>1235</v>
      </c>
      <c r="L722" s="148" t="s">
        <v>1806</v>
      </c>
      <c r="M722" s="46" t="str">
        <f t="shared" si="21"/>
        <v>OneCo Networks AS</v>
      </c>
      <c r="N722" s="42" t="str">
        <f ca="1">IFERROR(
VLOOKUP(BoM_Griptel[[#This Row],[Product code]],
IF(AND((BoQ!$N$3&lt;&gt;""),OR(BoM_Griptel[[#This Row],[Vendor]]="Griptel",BoM_Griptel[[#This Row],[Vendor]]="Solar")),INDIRECT(Aux!$A$1)),4,FALSE),"")</f>
        <v/>
      </c>
      <c r="O722" s="170" t="s">
        <v>1807</v>
      </c>
      <c r="P722" s="43" t="str">
        <f>IFERROR(IF(AND(BoM_Griptel[[#This Row],[Quantity]]&lt;&gt;"",BoM_Griptel[[#This Row],[Currency]]="NOK"),BoM_Griptel[[#This Row],[Quantity]]*BoM_Griptel[[#This Row],[Unit Price]],""),"")</f>
        <v/>
      </c>
      <c r="Q722" s="43" t="str">
        <f>IFERROR(IF(AND(BoM_Griptel[[#This Row],[ACT_Qty]]&lt;&gt;"",BoM_Griptel[[#This Row],[Currency]]="NOK"),BoM_Griptel[[#This Row],[ACT_Qty]]*BoM_Griptel[[#This Row],[Unit Price]],""),"")</f>
        <v/>
      </c>
      <c r="R722" s="43" t="str">
        <f>IFERROR(IF(AND(BoM_Griptel[[#This Row],[Quantity]]&lt;&gt;"",BoM_Griptel[[#This Row],[Currency]]="EUR"),BoM_Griptel[[#This Row],[Quantity]]*BoM_Griptel[[#This Row],[Unit Price]],""),"")</f>
        <v/>
      </c>
      <c r="S722" s="43" t="str">
        <f>IFERROR(IF(AND(BoM_Griptel[[#This Row],[ACT_Qty]]&lt;&gt;"",BoM_Griptel[[#This Row],[Currency]]="EUR"),BoM_Griptel[[#This Row],[ACT_Qty]]*BoM_Griptel[[#This Row],[Unit Price]],""),"")</f>
        <v/>
      </c>
      <c r="T722" s="186" t="s">
        <v>1802</v>
      </c>
      <c r="U722" s="46"/>
      <c r="V722" s="46"/>
      <c r="W722" s="146"/>
    </row>
    <row r="723" spans="1:23" ht="15" customHeight="1">
      <c r="A723" s="143" t="str">
        <f t="shared" si="22"/>
        <v>AKH12345</v>
      </c>
      <c r="B723" s="144" t="s">
        <v>3247</v>
      </c>
      <c r="C723" s="143" t="s">
        <v>3248</v>
      </c>
      <c r="D723" s="105"/>
      <c r="E723" s="106"/>
      <c r="F723" s="105"/>
      <c r="G723" s="106"/>
      <c r="H723" s="175"/>
      <c r="I723" s="176" t="s">
        <v>847</v>
      </c>
      <c r="J723" s="176" t="s">
        <v>835</v>
      </c>
      <c r="K723" s="176" t="s">
        <v>1235</v>
      </c>
      <c r="L723" s="145" t="s">
        <v>1806</v>
      </c>
      <c r="M723" s="45" t="str">
        <f t="shared" si="21"/>
        <v>OneCo Networks AS</v>
      </c>
      <c r="N723" s="40" t="str">
        <f ca="1">IFERROR(
VLOOKUP(BoM_Griptel[[#This Row],[Product code]],
IF(AND((BoQ!$N$3&lt;&gt;""),OR(BoM_Griptel[[#This Row],[Vendor]]="Griptel",BoM_Griptel[[#This Row],[Vendor]]="Solar")),INDIRECT(Aux!$A$1)),4,FALSE),"")</f>
        <v/>
      </c>
      <c r="O723" s="169" t="s">
        <v>1807</v>
      </c>
      <c r="P723" s="41" t="str">
        <f>IFERROR(IF(AND(BoM_Griptel[[#This Row],[Quantity]]&lt;&gt;"",BoM_Griptel[[#This Row],[Currency]]="NOK"),BoM_Griptel[[#This Row],[Quantity]]*BoM_Griptel[[#This Row],[Unit Price]],""),"")</f>
        <v/>
      </c>
      <c r="Q723" s="41" t="str">
        <f>IFERROR(IF(AND(BoM_Griptel[[#This Row],[ACT_Qty]]&lt;&gt;"",BoM_Griptel[[#This Row],[Currency]]="NOK"),BoM_Griptel[[#This Row],[ACT_Qty]]*BoM_Griptel[[#This Row],[Unit Price]],""),"")</f>
        <v/>
      </c>
      <c r="R723" s="41" t="str">
        <f>IFERROR(IF(AND(BoM_Griptel[[#This Row],[Quantity]]&lt;&gt;"",BoM_Griptel[[#This Row],[Currency]]="EUR"),BoM_Griptel[[#This Row],[Quantity]]*BoM_Griptel[[#This Row],[Unit Price]],""),"")</f>
        <v/>
      </c>
      <c r="S723" s="41" t="str">
        <f>IFERROR(IF(AND(BoM_Griptel[[#This Row],[ACT_Qty]]&lt;&gt;"",BoM_Griptel[[#This Row],[Currency]]="EUR"),BoM_Griptel[[#This Row],[ACT_Qty]]*BoM_Griptel[[#This Row],[Unit Price]],""),"")</f>
        <v/>
      </c>
      <c r="T723" s="185" t="s">
        <v>1802</v>
      </c>
      <c r="U723" s="45"/>
      <c r="V723" s="45"/>
      <c r="W723" s="143"/>
    </row>
    <row r="724" spans="1:23" ht="15" customHeight="1">
      <c r="A724" s="146" t="str">
        <f t="shared" si="22"/>
        <v>AKH12345</v>
      </c>
      <c r="B724" s="147" t="s">
        <v>3249</v>
      </c>
      <c r="C724" s="146" t="s">
        <v>3250</v>
      </c>
      <c r="D724" s="68"/>
      <c r="E724" s="89"/>
      <c r="F724" s="68"/>
      <c r="G724" s="89"/>
      <c r="H724" s="177"/>
      <c r="I724" s="178" t="s">
        <v>847</v>
      </c>
      <c r="J724" s="178" t="s">
        <v>835</v>
      </c>
      <c r="K724" s="178" t="s">
        <v>1235</v>
      </c>
      <c r="L724" s="148" t="s">
        <v>1806</v>
      </c>
      <c r="M724" s="46" t="str">
        <f t="shared" ref="M724:M787" si="23">IF($C$3&lt;&gt;"",$C$3,"")</f>
        <v>OneCo Networks AS</v>
      </c>
      <c r="N724" s="42" t="str">
        <f ca="1">IFERROR(
VLOOKUP(BoM_Griptel[[#This Row],[Product code]],
IF(AND((BoQ!$N$3&lt;&gt;""),OR(BoM_Griptel[[#This Row],[Vendor]]="Griptel",BoM_Griptel[[#This Row],[Vendor]]="Solar")),INDIRECT(Aux!$A$1)),4,FALSE),"")</f>
        <v/>
      </c>
      <c r="O724" s="170" t="s">
        <v>1807</v>
      </c>
      <c r="P724" s="43" t="str">
        <f>IFERROR(IF(AND(BoM_Griptel[[#This Row],[Quantity]]&lt;&gt;"",BoM_Griptel[[#This Row],[Currency]]="NOK"),BoM_Griptel[[#This Row],[Quantity]]*BoM_Griptel[[#This Row],[Unit Price]],""),"")</f>
        <v/>
      </c>
      <c r="Q724" s="43" t="str">
        <f>IFERROR(IF(AND(BoM_Griptel[[#This Row],[ACT_Qty]]&lt;&gt;"",BoM_Griptel[[#This Row],[Currency]]="NOK"),BoM_Griptel[[#This Row],[ACT_Qty]]*BoM_Griptel[[#This Row],[Unit Price]],""),"")</f>
        <v/>
      </c>
      <c r="R724" s="43" t="str">
        <f>IFERROR(IF(AND(BoM_Griptel[[#This Row],[Quantity]]&lt;&gt;"",BoM_Griptel[[#This Row],[Currency]]="EUR"),BoM_Griptel[[#This Row],[Quantity]]*BoM_Griptel[[#This Row],[Unit Price]],""),"")</f>
        <v/>
      </c>
      <c r="S724" s="43" t="str">
        <f>IFERROR(IF(AND(BoM_Griptel[[#This Row],[ACT_Qty]]&lt;&gt;"",BoM_Griptel[[#This Row],[Currency]]="EUR"),BoM_Griptel[[#This Row],[ACT_Qty]]*BoM_Griptel[[#This Row],[Unit Price]],""),"")</f>
        <v/>
      </c>
      <c r="T724" s="186" t="s">
        <v>1802</v>
      </c>
      <c r="U724" s="46"/>
      <c r="V724" s="46"/>
      <c r="W724" s="146"/>
    </row>
    <row r="725" spans="1:23" ht="15" customHeight="1">
      <c r="A725" s="143" t="str">
        <f t="shared" si="22"/>
        <v>AKH12345</v>
      </c>
      <c r="B725" s="144" t="s">
        <v>3251</v>
      </c>
      <c r="C725" s="143" t="s">
        <v>3252</v>
      </c>
      <c r="D725" s="105"/>
      <c r="E725" s="106"/>
      <c r="F725" s="105"/>
      <c r="G725" s="106"/>
      <c r="H725" s="175"/>
      <c r="I725" s="176" t="s">
        <v>847</v>
      </c>
      <c r="J725" s="176" t="s">
        <v>835</v>
      </c>
      <c r="K725" s="176" t="s">
        <v>1235</v>
      </c>
      <c r="L725" s="145" t="s">
        <v>1806</v>
      </c>
      <c r="M725" s="45" t="str">
        <f t="shared" si="23"/>
        <v>OneCo Networks AS</v>
      </c>
      <c r="N725" s="40" t="str">
        <f ca="1">IFERROR(
VLOOKUP(BoM_Griptel[[#This Row],[Product code]],
IF(AND((BoQ!$N$3&lt;&gt;""),OR(BoM_Griptel[[#This Row],[Vendor]]="Griptel",BoM_Griptel[[#This Row],[Vendor]]="Solar")),INDIRECT(Aux!$A$1)),4,FALSE),"")</f>
        <v/>
      </c>
      <c r="O725" s="169" t="s">
        <v>1807</v>
      </c>
      <c r="P725" s="41" t="str">
        <f>IFERROR(IF(AND(BoM_Griptel[[#This Row],[Quantity]]&lt;&gt;"",BoM_Griptel[[#This Row],[Currency]]="NOK"),BoM_Griptel[[#This Row],[Quantity]]*BoM_Griptel[[#This Row],[Unit Price]],""),"")</f>
        <v/>
      </c>
      <c r="Q725" s="41" t="str">
        <f>IFERROR(IF(AND(BoM_Griptel[[#This Row],[ACT_Qty]]&lt;&gt;"",BoM_Griptel[[#This Row],[Currency]]="NOK"),BoM_Griptel[[#This Row],[ACT_Qty]]*BoM_Griptel[[#This Row],[Unit Price]],""),"")</f>
        <v/>
      </c>
      <c r="R725" s="41" t="str">
        <f>IFERROR(IF(AND(BoM_Griptel[[#This Row],[Quantity]]&lt;&gt;"",BoM_Griptel[[#This Row],[Currency]]="EUR"),BoM_Griptel[[#This Row],[Quantity]]*BoM_Griptel[[#This Row],[Unit Price]],""),"")</f>
        <v/>
      </c>
      <c r="S725" s="41" t="str">
        <f>IFERROR(IF(AND(BoM_Griptel[[#This Row],[ACT_Qty]]&lt;&gt;"",BoM_Griptel[[#This Row],[Currency]]="EUR"),BoM_Griptel[[#This Row],[ACT_Qty]]*BoM_Griptel[[#This Row],[Unit Price]],""),"")</f>
        <v/>
      </c>
      <c r="T725" s="185" t="s">
        <v>1802</v>
      </c>
      <c r="U725" s="45"/>
      <c r="V725" s="45"/>
      <c r="W725" s="143"/>
    </row>
    <row r="726" spans="1:23" ht="15" customHeight="1">
      <c r="A726" s="146" t="str">
        <f t="shared" si="22"/>
        <v>AKH12345</v>
      </c>
      <c r="B726" s="147" t="s">
        <v>3253</v>
      </c>
      <c r="C726" s="146" t="s">
        <v>3254</v>
      </c>
      <c r="D726" s="68"/>
      <c r="E726" s="89"/>
      <c r="F726" s="68"/>
      <c r="G726" s="89"/>
      <c r="H726" s="177"/>
      <c r="I726" s="178" t="s">
        <v>847</v>
      </c>
      <c r="J726" s="178" t="s">
        <v>835</v>
      </c>
      <c r="K726" s="178" t="s">
        <v>1235</v>
      </c>
      <c r="L726" s="148" t="s">
        <v>1806</v>
      </c>
      <c r="M726" s="46" t="str">
        <f t="shared" si="23"/>
        <v>OneCo Networks AS</v>
      </c>
      <c r="N726" s="42" t="str">
        <f ca="1">IFERROR(
VLOOKUP(BoM_Griptel[[#This Row],[Product code]],
IF(AND((BoQ!$N$3&lt;&gt;""),OR(BoM_Griptel[[#This Row],[Vendor]]="Griptel",BoM_Griptel[[#This Row],[Vendor]]="Solar")),INDIRECT(Aux!$A$1)),4,FALSE),"")</f>
        <v/>
      </c>
      <c r="O726" s="170" t="s">
        <v>1807</v>
      </c>
      <c r="P726" s="43" t="str">
        <f>IFERROR(IF(AND(BoM_Griptel[[#This Row],[Quantity]]&lt;&gt;"",BoM_Griptel[[#This Row],[Currency]]="NOK"),BoM_Griptel[[#This Row],[Quantity]]*BoM_Griptel[[#This Row],[Unit Price]],""),"")</f>
        <v/>
      </c>
      <c r="Q726" s="43" t="str">
        <f>IFERROR(IF(AND(BoM_Griptel[[#This Row],[ACT_Qty]]&lt;&gt;"",BoM_Griptel[[#This Row],[Currency]]="NOK"),BoM_Griptel[[#This Row],[ACT_Qty]]*BoM_Griptel[[#This Row],[Unit Price]],""),"")</f>
        <v/>
      </c>
      <c r="R726" s="43" t="str">
        <f>IFERROR(IF(AND(BoM_Griptel[[#This Row],[Quantity]]&lt;&gt;"",BoM_Griptel[[#This Row],[Currency]]="EUR"),BoM_Griptel[[#This Row],[Quantity]]*BoM_Griptel[[#This Row],[Unit Price]],""),"")</f>
        <v/>
      </c>
      <c r="S726" s="43" t="str">
        <f>IFERROR(IF(AND(BoM_Griptel[[#This Row],[ACT_Qty]]&lt;&gt;"",BoM_Griptel[[#This Row],[Currency]]="EUR"),BoM_Griptel[[#This Row],[ACT_Qty]]*BoM_Griptel[[#This Row],[Unit Price]],""),"")</f>
        <v/>
      </c>
      <c r="T726" s="186" t="s">
        <v>1802</v>
      </c>
      <c r="U726" s="46"/>
      <c r="V726" s="46"/>
      <c r="W726" s="146"/>
    </row>
    <row r="727" spans="1:23" ht="15" customHeight="1">
      <c r="A727" s="143" t="str">
        <f t="shared" si="22"/>
        <v>AKH12345</v>
      </c>
      <c r="B727" s="144" t="s">
        <v>3255</v>
      </c>
      <c r="C727" s="143" t="s">
        <v>3256</v>
      </c>
      <c r="D727" s="105"/>
      <c r="E727" s="106"/>
      <c r="F727" s="105"/>
      <c r="G727" s="106"/>
      <c r="H727" s="175"/>
      <c r="I727" s="176" t="s">
        <v>847</v>
      </c>
      <c r="J727" s="176" t="s">
        <v>835</v>
      </c>
      <c r="K727" s="176" t="s">
        <v>1235</v>
      </c>
      <c r="L727" s="145" t="s">
        <v>1806</v>
      </c>
      <c r="M727" s="45" t="str">
        <f t="shared" si="23"/>
        <v>OneCo Networks AS</v>
      </c>
      <c r="N727" s="40" t="str">
        <f ca="1">IFERROR(
VLOOKUP(BoM_Griptel[[#This Row],[Product code]],
IF(AND((BoQ!$N$3&lt;&gt;""),OR(BoM_Griptel[[#This Row],[Vendor]]="Griptel",BoM_Griptel[[#This Row],[Vendor]]="Solar")),INDIRECT(Aux!$A$1)),4,FALSE),"")</f>
        <v/>
      </c>
      <c r="O727" s="169" t="s">
        <v>1807</v>
      </c>
      <c r="P727" s="41" t="str">
        <f>IFERROR(IF(AND(BoM_Griptel[[#This Row],[Quantity]]&lt;&gt;"",BoM_Griptel[[#This Row],[Currency]]="NOK"),BoM_Griptel[[#This Row],[Quantity]]*BoM_Griptel[[#This Row],[Unit Price]],""),"")</f>
        <v/>
      </c>
      <c r="Q727" s="41" t="str">
        <f>IFERROR(IF(AND(BoM_Griptel[[#This Row],[ACT_Qty]]&lt;&gt;"",BoM_Griptel[[#This Row],[Currency]]="NOK"),BoM_Griptel[[#This Row],[ACT_Qty]]*BoM_Griptel[[#This Row],[Unit Price]],""),"")</f>
        <v/>
      </c>
      <c r="R727" s="41" t="str">
        <f>IFERROR(IF(AND(BoM_Griptel[[#This Row],[Quantity]]&lt;&gt;"",BoM_Griptel[[#This Row],[Currency]]="EUR"),BoM_Griptel[[#This Row],[Quantity]]*BoM_Griptel[[#This Row],[Unit Price]],""),"")</f>
        <v/>
      </c>
      <c r="S727" s="41" t="str">
        <f>IFERROR(IF(AND(BoM_Griptel[[#This Row],[ACT_Qty]]&lt;&gt;"",BoM_Griptel[[#This Row],[Currency]]="EUR"),BoM_Griptel[[#This Row],[ACT_Qty]]*BoM_Griptel[[#This Row],[Unit Price]],""),"")</f>
        <v/>
      </c>
      <c r="T727" s="185" t="s">
        <v>1802</v>
      </c>
      <c r="U727" s="45"/>
      <c r="V727" s="45"/>
      <c r="W727" s="143"/>
    </row>
    <row r="728" spans="1:23" ht="15" customHeight="1">
      <c r="A728" s="146" t="str">
        <f t="shared" si="22"/>
        <v>AKH12345</v>
      </c>
      <c r="B728" s="147" t="s">
        <v>3257</v>
      </c>
      <c r="C728" s="146" t="s">
        <v>3258</v>
      </c>
      <c r="D728" s="68"/>
      <c r="E728" s="89"/>
      <c r="F728" s="68"/>
      <c r="G728" s="89"/>
      <c r="H728" s="177"/>
      <c r="I728" s="178" t="s">
        <v>847</v>
      </c>
      <c r="J728" s="178" t="s">
        <v>835</v>
      </c>
      <c r="K728" s="178" t="s">
        <v>1235</v>
      </c>
      <c r="L728" s="148" t="s">
        <v>1806</v>
      </c>
      <c r="M728" s="46" t="str">
        <f t="shared" si="23"/>
        <v>OneCo Networks AS</v>
      </c>
      <c r="N728" s="42" t="str">
        <f ca="1">IFERROR(
VLOOKUP(BoM_Griptel[[#This Row],[Product code]],
IF(AND((BoQ!$N$3&lt;&gt;""),OR(BoM_Griptel[[#This Row],[Vendor]]="Griptel",BoM_Griptel[[#This Row],[Vendor]]="Solar")),INDIRECT(Aux!$A$1)),4,FALSE),"")</f>
        <v/>
      </c>
      <c r="O728" s="170" t="s">
        <v>1807</v>
      </c>
      <c r="P728" s="43" t="str">
        <f>IFERROR(IF(AND(BoM_Griptel[[#This Row],[Quantity]]&lt;&gt;"",BoM_Griptel[[#This Row],[Currency]]="NOK"),BoM_Griptel[[#This Row],[Quantity]]*BoM_Griptel[[#This Row],[Unit Price]],""),"")</f>
        <v/>
      </c>
      <c r="Q728" s="43" t="str">
        <f>IFERROR(IF(AND(BoM_Griptel[[#This Row],[ACT_Qty]]&lt;&gt;"",BoM_Griptel[[#This Row],[Currency]]="NOK"),BoM_Griptel[[#This Row],[ACT_Qty]]*BoM_Griptel[[#This Row],[Unit Price]],""),"")</f>
        <v/>
      </c>
      <c r="R728" s="43" t="str">
        <f>IFERROR(IF(AND(BoM_Griptel[[#This Row],[Quantity]]&lt;&gt;"",BoM_Griptel[[#This Row],[Currency]]="EUR"),BoM_Griptel[[#This Row],[Quantity]]*BoM_Griptel[[#This Row],[Unit Price]],""),"")</f>
        <v/>
      </c>
      <c r="S728" s="43" t="str">
        <f>IFERROR(IF(AND(BoM_Griptel[[#This Row],[ACT_Qty]]&lt;&gt;"",BoM_Griptel[[#This Row],[Currency]]="EUR"),BoM_Griptel[[#This Row],[ACT_Qty]]*BoM_Griptel[[#This Row],[Unit Price]],""),"")</f>
        <v/>
      </c>
      <c r="T728" s="186" t="s">
        <v>1802</v>
      </c>
      <c r="U728" s="46"/>
      <c r="V728" s="46"/>
      <c r="W728" s="146"/>
    </row>
    <row r="729" spans="1:23" ht="15" customHeight="1">
      <c r="A729" s="143" t="str">
        <f t="shared" si="22"/>
        <v>AKH12345</v>
      </c>
      <c r="B729" s="144" t="s">
        <v>3259</v>
      </c>
      <c r="C729" s="143" t="s">
        <v>3260</v>
      </c>
      <c r="D729" s="105"/>
      <c r="E729" s="106"/>
      <c r="F729" s="105"/>
      <c r="G729" s="106"/>
      <c r="H729" s="175"/>
      <c r="I729" s="176" t="s">
        <v>847</v>
      </c>
      <c r="J729" s="176" t="s">
        <v>835</v>
      </c>
      <c r="K729" s="176" t="s">
        <v>1235</v>
      </c>
      <c r="L729" s="145" t="s">
        <v>1806</v>
      </c>
      <c r="M729" s="45" t="str">
        <f t="shared" si="23"/>
        <v>OneCo Networks AS</v>
      </c>
      <c r="N729" s="40" t="str">
        <f ca="1">IFERROR(
VLOOKUP(BoM_Griptel[[#This Row],[Product code]],
IF(AND((BoQ!$N$3&lt;&gt;""),OR(BoM_Griptel[[#This Row],[Vendor]]="Griptel",BoM_Griptel[[#This Row],[Vendor]]="Solar")),INDIRECT(Aux!$A$1)),4,FALSE),"")</f>
        <v/>
      </c>
      <c r="O729" s="169" t="s">
        <v>1807</v>
      </c>
      <c r="P729" s="41" t="str">
        <f>IFERROR(IF(AND(BoM_Griptel[[#This Row],[Quantity]]&lt;&gt;"",BoM_Griptel[[#This Row],[Currency]]="NOK"),BoM_Griptel[[#This Row],[Quantity]]*BoM_Griptel[[#This Row],[Unit Price]],""),"")</f>
        <v/>
      </c>
      <c r="Q729" s="41" t="str">
        <f>IFERROR(IF(AND(BoM_Griptel[[#This Row],[ACT_Qty]]&lt;&gt;"",BoM_Griptel[[#This Row],[Currency]]="NOK"),BoM_Griptel[[#This Row],[ACT_Qty]]*BoM_Griptel[[#This Row],[Unit Price]],""),"")</f>
        <v/>
      </c>
      <c r="R729" s="41" t="str">
        <f>IFERROR(IF(AND(BoM_Griptel[[#This Row],[Quantity]]&lt;&gt;"",BoM_Griptel[[#This Row],[Currency]]="EUR"),BoM_Griptel[[#This Row],[Quantity]]*BoM_Griptel[[#This Row],[Unit Price]],""),"")</f>
        <v/>
      </c>
      <c r="S729" s="41" t="str">
        <f>IFERROR(IF(AND(BoM_Griptel[[#This Row],[ACT_Qty]]&lt;&gt;"",BoM_Griptel[[#This Row],[Currency]]="EUR"),BoM_Griptel[[#This Row],[ACT_Qty]]*BoM_Griptel[[#This Row],[Unit Price]],""),"")</f>
        <v/>
      </c>
      <c r="T729" s="185" t="s">
        <v>1802</v>
      </c>
      <c r="U729" s="45"/>
      <c r="V729" s="45"/>
      <c r="W729" s="143"/>
    </row>
    <row r="730" spans="1:23" ht="15" customHeight="1">
      <c r="A730" s="146" t="str">
        <f t="shared" si="22"/>
        <v>AKH12345</v>
      </c>
      <c r="B730" s="147" t="s">
        <v>3261</v>
      </c>
      <c r="C730" s="146" t="s">
        <v>3262</v>
      </c>
      <c r="D730" s="68"/>
      <c r="E730" s="89"/>
      <c r="F730" s="68"/>
      <c r="G730" s="89"/>
      <c r="H730" s="177"/>
      <c r="I730" s="178" t="s">
        <v>847</v>
      </c>
      <c r="J730" s="178" t="s">
        <v>835</v>
      </c>
      <c r="K730" s="178" t="s">
        <v>1235</v>
      </c>
      <c r="L730" s="148" t="s">
        <v>1806</v>
      </c>
      <c r="M730" s="46" t="str">
        <f t="shared" si="23"/>
        <v>OneCo Networks AS</v>
      </c>
      <c r="N730" s="42" t="str">
        <f ca="1">IFERROR(
VLOOKUP(BoM_Griptel[[#This Row],[Product code]],
IF(AND((BoQ!$N$3&lt;&gt;""),OR(BoM_Griptel[[#This Row],[Vendor]]="Griptel",BoM_Griptel[[#This Row],[Vendor]]="Solar")),INDIRECT(Aux!$A$1)),4,FALSE),"")</f>
        <v/>
      </c>
      <c r="O730" s="170" t="s">
        <v>1807</v>
      </c>
      <c r="P730" s="43" t="str">
        <f>IFERROR(IF(AND(BoM_Griptel[[#This Row],[Quantity]]&lt;&gt;"",BoM_Griptel[[#This Row],[Currency]]="NOK"),BoM_Griptel[[#This Row],[Quantity]]*BoM_Griptel[[#This Row],[Unit Price]],""),"")</f>
        <v/>
      </c>
      <c r="Q730" s="43" t="str">
        <f>IFERROR(IF(AND(BoM_Griptel[[#This Row],[ACT_Qty]]&lt;&gt;"",BoM_Griptel[[#This Row],[Currency]]="NOK"),BoM_Griptel[[#This Row],[ACT_Qty]]*BoM_Griptel[[#This Row],[Unit Price]],""),"")</f>
        <v/>
      </c>
      <c r="R730" s="43" t="str">
        <f>IFERROR(IF(AND(BoM_Griptel[[#This Row],[Quantity]]&lt;&gt;"",BoM_Griptel[[#This Row],[Currency]]="EUR"),BoM_Griptel[[#This Row],[Quantity]]*BoM_Griptel[[#This Row],[Unit Price]],""),"")</f>
        <v/>
      </c>
      <c r="S730" s="43" t="str">
        <f>IFERROR(IF(AND(BoM_Griptel[[#This Row],[ACT_Qty]]&lt;&gt;"",BoM_Griptel[[#This Row],[Currency]]="EUR"),BoM_Griptel[[#This Row],[ACT_Qty]]*BoM_Griptel[[#This Row],[Unit Price]],""),"")</f>
        <v/>
      </c>
      <c r="T730" s="186" t="s">
        <v>1802</v>
      </c>
      <c r="U730" s="46"/>
      <c r="V730" s="46"/>
      <c r="W730" s="146"/>
    </row>
    <row r="731" spans="1:23" ht="15" customHeight="1">
      <c r="A731" s="143" t="str">
        <f t="shared" si="22"/>
        <v>AKH12345</v>
      </c>
      <c r="B731" s="144" t="s">
        <v>3263</v>
      </c>
      <c r="C731" s="143" t="s">
        <v>3264</v>
      </c>
      <c r="D731" s="105"/>
      <c r="E731" s="106"/>
      <c r="F731" s="105"/>
      <c r="G731" s="106"/>
      <c r="H731" s="175"/>
      <c r="I731" s="176" t="s">
        <v>847</v>
      </c>
      <c r="J731" s="176" t="s">
        <v>835</v>
      </c>
      <c r="K731" s="176" t="s">
        <v>1235</v>
      </c>
      <c r="L731" s="145" t="s">
        <v>1806</v>
      </c>
      <c r="M731" s="45" t="str">
        <f t="shared" si="23"/>
        <v>OneCo Networks AS</v>
      </c>
      <c r="N731" s="40" t="str">
        <f ca="1">IFERROR(
VLOOKUP(BoM_Griptel[[#This Row],[Product code]],
IF(AND((BoQ!$N$3&lt;&gt;""),OR(BoM_Griptel[[#This Row],[Vendor]]="Griptel",BoM_Griptel[[#This Row],[Vendor]]="Solar")),INDIRECT(Aux!$A$1)),4,FALSE),"")</f>
        <v/>
      </c>
      <c r="O731" s="169" t="s">
        <v>1807</v>
      </c>
      <c r="P731" s="41" t="str">
        <f>IFERROR(IF(AND(BoM_Griptel[[#This Row],[Quantity]]&lt;&gt;"",BoM_Griptel[[#This Row],[Currency]]="NOK"),BoM_Griptel[[#This Row],[Quantity]]*BoM_Griptel[[#This Row],[Unit Price]],""),"")</f>
        <v/>
      </c>
      <c r="Q731" s="41" t="str">
        <f>IFERROR(IF(AND(BoM_Griptel[[#This Row],[ACT_Qty]]&lt;&gt;"",BoM_Griptel[[#This Row],[Currency]]="NOK"),BoM_Griptel[[#This Row],[ACT_Qty]]*BoM_Griptel[[#This Row],[Unit Price]],""),"")</f>
        <v/>
      </c>
      <c r="R731" s="41" t="str">
        <f>IFERROR(IF(AND(BoM_Griptel[[#This Row],[Quantity]]&lt;&gt;"",BoM_Griptel[[#This Row],[Currency]]="EUR"),BoM_Griptel[[#This Row],[Quantity]]*BoM_Griptel[[#This Row],[Unit Price]],""),"")</f>
        <v/>
      </c>
      <c r="S731" s="41" t="str">
        <f>IFERROR(IF(AND(BoM_Griptel[[#This Row],[ACT_Qty]]&lt;&gt;"",BoM_Griptel[[#This Row],[Currency]]="EUR"),BoM_Griptel[[#This Row],[ACT_Qty]]*BoM_Griptel[[#This Row],[Unit Price]],""),"")</f>
        <v/>
      </c>
      <c r="T731" s="185" t="s">
        <v>1802</v>
      </c>
      <c r="U731" s="45"/>
      <c r="V731" s="45"/>
      <c r="W731" s="143"/>
    </row>
    <row r="732" spans="1:23" ht="15" customHeight="1">
      <c r="A732" s="146" t="str">
        <f t="shared" si="22"/>
        <v>AKH12345</v>
      </c>
      <c r="B732" s="147" t="s">
        <v>3265</v>
      </c>
      <c r="C732" s="146" t="s">
        <v>3266</v>
      </c>
      <c r="D732" s="68"/>
      <c r="E732" s="89"/>
      <c r="F732" s="68"/>
      <c r="G732" s="89"/>
      <c r="H732" s="177"/>
      <c r="I732" s="178" t="s">
        <v>847</v>
      </c>
      <c r="J732" s="178" t="s">
        <v>835</v>
      </c>
      <c r="K732" s="178" t="s">
        <v>1235</v>
      </c>
      <c r="L732" s="148" t="s">
        <v>1806</v>
      </c>
      <c r="M732" s="46" t="str">
        <f t="shared" si="23"/>
        <v>OneCo Networks AS</v>
      </c>
      <c r="N732" s="42" t="str">
        <f ca="1">IFERROR(
VLOOKUP(BoM_Griptel[[#This Row],[Product code]],
IF(AND((BoQ!$N$3&lt;&gt;""),OR(BoM_Griptel[[#This Row],[Vendor]]="Griptel",BoM_Griptel[[#This Row],[Vendor]]="Solar")),INDIRECT(Aux!$A$1)),4,FALSE),"")</f>
        <v/>
      </c>
      <c r="O732" s="170" t="s">
        <v>1807</v>
      </c>
      <c r="P732" s="43" t="str">
        <f>IFERROR(IF(AND(BoM_Griptel[[#This Row],[Quantity]]&lt;&gt;"",BoM_Griptel[[#This Row],[Currency]]="NOK"),BoM_Griptel[[#This Row],[Quantity]]*BoM_Griptel[[#This Row],[Unit Price]],""),"")</f>
        <v/>
      </c>
      <c r="Q732" s="43" t="str">
        <f>IFERROR(IF(AND(BoM_Griptel[[#This Row],[ACT_Qty]]&lt;&gt;"",BoM_Griptel[[#This Row],[Currency]]="NOK"),BoM_Griptel[[#This Row],[ACT_Qty]]*BoM_Griptel[[#This Row],[Unit Price]],""),"")</f>
        <v/>
      </c>
      <c r="R732" s="43" t="str">
        <f>IFERROR(IF(AND(BoM_Griptel[[#This Row],[Quantity]]&lt;&gt;"",BoM_Griptel[[#This Row],[Currency]]="EUR"),BoM_Griptel[[#This Row],[Quantity]]*BoM_Griptel[[#This Row],[Unit Price]],""),"")</f>
        <v/>
      </c>
      <c r="S732" s="43" t="str">
        <f>IFERROR(IF(AND(BoM_Griptel[[#This Row],[ACT_Qty]]&lt;&gt;"",BoM_Griptel[[#This Row],[Currency]]="EUR"),BoM_Griptel[[#This Row],[ACT_Qty]]*BoM_Griptel[[#This Row],[Unit Price]],""),"")</f>
        <v/>
      </c>
      <c r="T732" s="186" t="s">
        <v>1802</v>
      </c>
      <c r="U732" s="46"/>
      <c r="V732" s="46"/>
      <c r="W732" s="146"/>
    </row>
    <row r="733" spans="1:23" ht="15" customHeight="1">
      <c r="A733" s="143" t="str">
        <f t="shared" si="22"/>
        <v>AKH12345</v>
      </c>
      <c r="B733" s="144" t="s">
        <v>3267</v>
      </c>
      <c r="C733" s="143" t="s">
        <v>3268</v>
      </c>
      <c r="D733" s="105"/>
      <c r="E733" s="106"/>
      <c r="F733" s="105"/>
      <c r="G733" s="106"/>
      <c r="H733" s="175"/>
      <c r="I733" s="176" t="s">
        <v>847</v>
      </c>
      <c r="J733" s="176" t="s">
        <v>835</v>
      </c>
      <c r="K733" s="176" t="s">
        <v>1235</v>
      </c>
      <c r="L733" s="145" t="s">
        <v>1806</v>
      </c>
      <c r="M733" s="45" t="str">
        <f t="shared" si="23"/>
        <v>OneCo Networks AS</v>
      </c>
      <c r="N733" s="40" t="str">
        <f ca="1">IFERROR(
VLOOKUP(BoM_Griptel[[#This Row],[Product code]],
IF(AND((BoQ!$N$3&lt;&gt;""),OR(BoM_Griptel[[#This Row],[Vendor]]="Griptel",BoM_Griptel[[#This Row],[Vendor]]="Solar")),INDIRECT(Aux!$A$1)),4,FALSE),"")</f>
        <v/>
      </c>
      <c r="O733" s="169" t="s">
        <v>1807</v>
      </c>
      <c r="P733" s="41" t="str">
        <f>IFERROR(IF(AND(BoM_Griptel[[#This Row],[Quantity]]&lt;&gt;"",BoM_Griptel[[#This Row],[Currency]]="NOK"),BoM_Griptel[[#This Row],[Quantity]]*BoM_Griptel[[#This Row],[Unit Price]],""),"")</f>
        <v/>
      </c>
      <c r="Q733" s="41" t="str">
        <f>IFERROR(IF(AND(BoM_Griptel[[#This Row],[ACT_Qty]]&lt;&gt;"",BoM_Griptel[[#This Row],[Currency]]="NOK"),BoM_Griptel[[#This Row],[ACT_Qty]]*BoM_Griptel[[#This Row],[Unit Price]],""),"")</f>
        <v/>
      </c>
      <c r="R733" s="41" t="str">
        <f>IFERROR(IF(AND(BoM_Griptel[[#This Row],[Quantity]]&lt;&gt;"",BoM_Griptel[[#This Row],[Currency]]="EUR"),BoM_Griptel[[#This Row],[Quantity]]*BoM_Griptel[[#This Row],[Unit Price]],""),"")</f>
        <v/>
      </c>
      <c r="S733" s="41" t="str">
        <f>IFERROR(IF(AND(BoM_Griptel[[#This Row],[ACT_Qty]]&lt;&gt;"",BoM_Griptel[[#This Row],[Currency]]="EUR"),BoM_Griptel[[#This Row],[ACT_Qty]]*BoM_Griptel[[#This Row],[Unit Price]],""),"")</f>
        <v/>
      </c>
      <c r="T733" s="185" t="s">
        <v>1802</v>
      </c>
      <c r="U733" s="45"/>
      <c r="V733" s="45"/>
      <c r="W733" s="143"/>
    </row>
    <row r="734" spans="1:23" ht="15" customHeight="1">
      <c r="A734" s="146" t="str">
        <f t="shared" si="22"/>
        <v>AKH12345</v>
      </c>
      <c r="B734" s="147" t="s">
        <v>3269</v>
      </c>
      <c r="C734" s="146" t="s">
        <v>3270</v>
      </c>
      <c r="D734" s="68"/>
      <c r="E734" s="89"/>
      <c r="F734" s="68"/>
      <c r="G734" s="89"/>
      <c r="H734" s="177"/>
      <c r="I734" s="178" t="s">
        <v>847</v>
      </c>
      <c r="J734" s="178" t="s">
        <v>3158</v>
      </c>
      <c r="K734" s="178" t="s">
        <v>1235</v>
      </c>
      <c r="L734" s="148" t="s">
        <v>1806</v>
      </c>
      <c r="M734" s="46" t="str">
        <f t="shared" si="23"/>
        <v>OneCo Networks AS</v>
      </c>
      <c r="N734" s="42" t="str">
        <f ca="1">IFERROR(
VLOOKUP(BoM_Griptel[[#This Row],[Product code]],
IF(AND((BoQ!$N$3&lt;&gt;""),OR(BoM_Griptel[[#This Row],[Vendor]]="Griptel",BoM_Griptel[[#This Row],[Vendor]]="Solar")),INDIRECT(Aux!$A$1)),4,FALSE),"")</f>
        <v/>
      </c>
      <c r="O734" s="170" t="s">
        <v>1807</v>
      </c>
      <c r="P734" s="43" t="str">
        <f>IFERROR(IF(AND(BoM_Griptel[[#This Row],[Quantity]]&lt;&gt;"",BoM_Griptel[[#This Row],[Currency]]="NOK"),BoM_Griptel[[#This Row],[Quantity]]*BoM_Griptel[[#This Row],[Unit Price]],""),"")</f>
        <v/>
      </c>
      <c r="Q734" s="43" t="str">
        <f>IFERROR(IF(AND(BoM_Griptel[[#This Row],[ACT_Qty]]&lt;&gt;"",BoM_Griptel[[#This Row],[Currency]]="NOK"),BoM_Griptel[[#This Row],[ACT_Qty]]*BoM_Griptel[[#This Row],[Unit Price]],""),"")</f>
        <v/>
      </c>
      <c r="R734" s="43" t="str">
        <f>IFERROR(IF(AND(BoM_Griptel[[#This Row],[Quantity]]&lt;&gt;"",BoM_Griptel[[#This Row],[Currency]]="EUR"),BoM_Griptel[[#This Row],[Quantity]]*BoM_Griptel[[#This Row],[Unit Price]],""),"")</f>
        <v/>
      </c>
      <c r="S734" s="43" t="str">
        <f>IFERROR(IF(AND(BoM_Griptel[[#This Row],[ACT_Qty]]&lt;&gt;"",BoM_Griptel[[#This Row],[Currency]]="EUR"),BoM_Griptel[[#This Row],[ACT_Qty]]*BoM_Griptel[[#This Row],[Unit Price]],""),"")</f>
        <v/>
      </c>
      <c r="T734" s="186" t="s">
        <v>1802</v>
      </c>
      <c r="U734" s="46"/>
      <c r="V734" s="46"/>
      <c r="W734" s="146"/>
    </row>
    <row r="735" spans="1:23" ht="15" customHeight="1">
      <c r="A735" s="143" t="str">
        <f t="shared" si="22"/>
        <v>AKH12345</v>
      </c>
      <c r="B735" s="144" t="s">
        <v>3271</v>
      </c>
      <c r="C735" s="143" t="s">
        <v>3272</v>
      </c>
      <c r="D735" s="105"/>
      <c r="E735" s="106"/>
      <c r="F735" s="105"/>
      <c r="G735" s="106"/>
      <c r="H735" s="175"/>
      <c r="I735" s="176" t="s">
        <v>847</v>
      </c>
      <c r="J735" s="176" t="s">
        <v>3158</v>
      </c>
      <c r="K735" s="176" t="s">
        <v>1235</v>
      </c>
      <c r="L735" s="145" t="s">
        <v>1806</v>
      </c>
      <c r="M735" s="45" t="str">
        <f t="shared" si="23"/>
        <v>OneCo Networks AS</v>
      </c>
      <c r="N735" s="40" t="str">
        <f ca="1">IFERROR(
VLOOKUP(BoM_Griptel[[#This Row],[Product code]],
IF(AND((BoQ!$N$3&lt;&gt;""),OR(BoM_Griptel[[#This Row],[Vendor]]="Griptel",BoM_Griptel[[#This Row],[Vendor]]="Solar")),INDIRECT(Aux!$A$1)),4,FALSE),"")</f>
        <v/>
      </c>
      <c r="O735" s="169" t="s">
        <v>1807</v>
      </c>
      <c r="P735" s="41" t="str">
        <f>IFERROR(IF(AND(BoM_Griptel[[#This Row],[Quantity]]&lt;&gt;"",BoM_Griptel[[#This Row],[Currency]]="NOK"),BoM_Griptel[[#This Row],[Quantity]]*BoM_Griptel[[#This Row],[Unit Price]],""),"")</f>
        <v/>
      </c>
      <c r="Q735" s="41" t="str">
        <f>IFERROR(IF(AND(BoM_Griptel[[#This Row],[ACT_Qty]]&lt;&gt;"",BoM_Griptel[[#This Row],[Currency]]="NOK"),BoM_Griptel[[#This Row],[ACT_Qty]]*BoM_Griptel[[#This Row],[Unit Price]],""),"")</f>
        <v/>
      </c>
      <c r="R735" s="41" t="str">
        <f>IFERROR(IF(AND(BoM_Griptel[[#This Row],[Quantity]]&lt;&gt;"",BoM_Griptel[[#This Row],[Currency]]="EUR"),BoM_Griptel[[#This Row],[Quantity]]*BoM_Griptel[[#This Row],[Unit Price]],""),"")</f>
        <v/>
      </c>
      <c r="S735" s="41" t="str">
        <f>IFERROR(IF(AND(BoM_Griptel[[#This Row],[ACT_Qty]]&lt;&gt;"",BoM_Griptel[[#This Row],[Currency]]="EUR"),BoM_Griptel[[#This Row],[ACT_Qty]]*BoM_Griptel[[#This Row],[Unit Price]],""),"")</f>
        <v/>
      </c>
      <c r="T735" s="185" t="s">
        <v>1802</v>
      </c>
      <c r="U735" s="45"/>
      <c r="V735" s="45"/>
      <c r="W735" s="143"/>
    </row>
    <row r="736" spans="1:23" ht="15" customHeight="1">
      <c r="A736" s="146" t="str">
        <f t="shared" si="22"/>
        <v>AKH12345</v>
      </c>
      <c r="B736" s="147" t="s">
        <v>3273</v>
      </c>
      <c r="C736" s="146" t="s">
        <v>3274</v>
      </c>
      <c r="D736" s="68"/>
      <c r="E736" s="89"/>
      <c r="F736" s="68"/>
      <c r="G736" s="89"/>
      <c r="H736" s="177"/>
      <c r="I736" s="178" t="s">
        <v>847</v>
      </c>
      <c r="J736" s="178" t="s">
        <v>3158</v>
      </c>
      <c r="K736" s="178" t="s">
        <v>1235</v>
      </c>
      <c r="L736" s="148" t="s">
        <v>1806</v>
      </c>
      <c r="M736" s="46" t="str">
        <f t="shared" si="23"/>
        <v>OneCo Networks AS</v>
      </c>
      <c r="N736" s="42" t="str">
        <f ca="1">IFERROR(
VLOOKUP(BoM_Griptel[[#This Row],[Product code]],
IF(AND((BoQ!$N$3&lt;&gt;""),OR(BoM_Griptel[[#This Row],[Vendor]]="Griptel",BoM_Griptel[[#This Row],[Vendor]]="Solar")),INDIRECT(Aux!$A$1)),4,FALSE),"")</f>
        <v/>
      </c>
      <c r="O736" s="170" t="s">
        <v>1807</v>
      </c>
      <c r="P736" s="43" t="str">
        <f>IFERROR(IF(AND(BoM_Griptel[[#This Row],[Quantity]]&lt;&gt;"",BoM_Griptel[[#This Row],[Currency]]="NOK"),BoM_Griptel[[#This Row],[Quantity]]*BoM_Griptel[[#This Row],[Unit Price]],""),"")</f>
        <v/>
      </c>
      <c r="Q736" s="43" t="str">
        <f>IFERROR(IF(AND(BoM_Griptel[[#This Row],[ACT_Qty]]&lt;&gt;"",BoM_Griptel[[#This Row],[Currency]]="NOK"),BoM_Griptel[[#This Row],[ACT_Qty]]*BoM_Griptel[[#This Row],[Unit Price]],""),"")</f>
        <v/>
      </c>
      <c r="R736" s="43" t="str">
        <f>IFERROR(IF(AND(BoM_Griptel[[#This Row],[Quantity]]&lt;&gt;"",BoM_Griptel[[#This Row],[Currency]]="EUR"),BoM_Griptel[[#This Row],[Quantity]]*BoM_Griptel[[#This Row],[Unit Price]],""),"")</f>
        <v/>
      </c>
      <c r="S736" s="43" t="str">
        <f>IFERROR(IF(AND(BoM_Griptel[[#This Row],[ACT_Qty]]&lt;&gt;"",BoM_Griptel[[#This Row],[Currency]]="EUR"),BoM_Griptel[[#This Row],[ACT_Qty]]*BoM_Griptel[[#This Row],[Unit Price]],""),"")</f>
        <v/>
      </c>
      <c r="T736" s="186" t="s">
        <v>1802</v>
      </c>
      <c r="U736" s="46"/>
      <c r="V736" s="46"/>
      <c r="W736" s="146"/>
    </row>
    <row r="737" spans="1:23" ht="15" customHeight="1">
      <c r="A737" s="143" t="str">
        <f t="shared" si="22"/>
        <v>AKH12345</v>
      </c>
      <c r="B737" s="144" t="s">
        <v>3275</v>
      </c>
      <c r="C737" s="143" t="s">
        <v>3276</v>
      </c>
      <c r="D737" s="105"/>
      <c r="E737" s="106"/>
      <c r="F737" s="105"/>
      <c r="G737" s="106"/>
      <c r="H737" s="175"/>
      <c r="I737" s="176" t="s">
        <v>847</v>
      </c>
      <c r="J737" s="176" t="s">
        <v>3158</v>
      </c>
      <c r="K737" s="176" t="s">
        <v>1235</v>
      </c>
      <c r="L737" s="145" t="s">
        <v>1806</v>
      </c>
      <c r="M737" s="45" t="str">
        <f t="shared" si="23"/>
        <v>OneCo Networks AS</v>
      </c>
      <c r="N737" s="40" t="str">
        <f ca="1">IFERROR(
VLOOKUP(BoM_Griptel[[#This Row],[Product code]],
IF(AND((BoQ!$N$3&lt;&gt;""),OR(BoM_Griptel[[#This Row],[Vendor]]="Griptel",BoM_Griptel[[#This Row],[Vendor]]="Solar")),INDIRECT(Aux!$A$1)),4,FALSE),"")</f>
        <v/>
      </c>
      <c r="O737" s="169" t="s">
        <v>1807</v>
      </c>
      <c r="P737" s="41" t="str">
        <f>IFERROR(IF(AND(BoM_Griptel[[#This Row],[Quantity]]&lt;&gt;"",BoM_Griptel[[#This Row],[Currency]]="NOK"),BoM_Griptel[[#This Row],[Quantity]]*BoM_Griptel[[#This Row],[Unit Price]],""),"")</f>
        <v/>
      </c>
      <c r="Q737" s="41" t="str">
        <f>IFERROR(IF(AND(BoM_Griptel[[#This Row],[ACT_Qty]]&lt;&gt;"",BoM_Griptel[[#This Row],[Currency]]="NOK"),BoM_Griptel[[#This Row],[ACT_Qty]]*BoM_Griptel[[#This Row],[Unit Price]],""),"")</f>
        <v/>
      </c>
      <c r="R737" s="41" t="str">
        <f>IFERROR(IF(AND(BoM_Griptel[[#This Row],[Quantity]]&lt;&gt;"",BoM_Griptel[[#This Row],[Currency]]="EUR"),BoM_Griptel[[#This Row],[Quantity]]*BoM_Griptel[[#This Row],[Unit Price]],""),"")</f>
        <v/>
      </c>
      <c r="S737" s="41" t="str">
        <f>IFERROR(IF(AND(BoM_Griptel[[#This Row],[ACT_Qty]]&lt;&gt;"",BoM_Griptel[[#This Row],[Currency]]="EUR"),BoM_Griptel[[#This Row],[ACT_Qty]]*BoM_Griptel[[#This Row],[Unit Price]],""),"")</f>
        <v/>
      </c>
      <c r="T737" s="185" t="s">
        <v>1802</v>
      </c>
      <c r="U737" s="45"/>
      <c r="V737" s="45"/>
      <c r="W737" s="143"/>
    </row>
    <row r="738" spans="1:23" ht="15" customHeight="1">
      <c r="A738" s="146" t="str">
        <f t="shared" si="22"/>
        <v>AKH12345</v>
      </c>
      <c r="B738" s="147" t="s">
        <v>3277</v>
      </c>
      <c r="C738" s="146" t="s">
        <v>3278</v>
      </c>
      <c r="D738" s="68"/>
      <c r="E738" s="89"/>
      <c r="F738" s="68"/>
      <c r="G738" s="89"/>
      <c r="H738" s="177"/>
      <c r="I738" s="178" t="s">
        <v>847</v>
      </c>
      <c r="J738" s="178" t="s">
        <v>3158</v>
      </c>
      <c r="K738" s="178" t="s">
        <v>1235</v>
      </c>
      <c r="L738" s="148" t="s">
        <v>1806</v>
      </c>
      <c r="M738" s="46" t="str">
        <f t="shared" si="23"/>
        <v>OneCo Networks AS</v>
      </c>
      <c r="N738" s="42" t="str">
        <f ca="1">IFERROR(
VLOOKUP(BoM_Griptel[[#This Row],[Product code]],
IF(AND((BoQ!$N$3&lt;&gt;""),OR(BoM_Griptel[[#This Row],[Vendor]]="Griptel",BoM_Griptel[[#This Row],[Vendor]]="Solar")),INDIRECT(Aux!$A$1)),4,FALSE),"")</f>
        <v/>
      </c>
      <c r="O738" s="170" t="s">
        <v>1807</v>
      </c>
      <c r="P738" s="43" t="str">
        <f>IFERROR(IF(AND(BoM_Griptel[[#This Row],[Quantity]]&lt;&gt;"",BoM_Griptel[[#This Row],[Currency]]="NOK"),BoM_Griptel[[#This Row],[Quantity]]*BoM_Griptel[[#This Row],[Unit Price]],""),"")</f>
        <v/>
      </c>
      <c r="Q738" s="43" t="str">
        <f>IFERROR(IF(AND(BoM_Griptel[[#This Row],[ACT_Qty]]&lt;&gt;"",BoM_Griptel[[#This Row],[Currency]]="NOK"),BoM_Griptel[[#This Row],[ACT_Qty]]*BoM_Griptel[[#This Row],[Unit Price]],""),"")</f>
        <v/>
      </c>
      <c r="R738" s="43" t="str">
        <f>IFERROR(IF(AND(BoM_Griptel[[#This Row],[Quantity]]&lt;&gt;"",BoM_Griptel[[#This Row],[Currency]]="EUR"),BoM_Griptel[[#This Row],[Quantity]]*BoM_Griptel[[#This Row],[Unit Price]],""),"")</f>
        <v/>
      </c>
      <c r="S738" s="43" t="str">
        <f>IFERROR(IF(AND(BoM_Griptel[[#This Row],[ACT_Qty]]&lt;&gt;"",BoM_Griptel[[#This Row],[Currency]]="EUR"),BoM_Griptel[[#This Row],[ACT_Qty]]*BoM_Griptel[[#This Row],[Unit Price]],""),"")</f>
        <v/>
      </c>
      <c r="T738" s="186" t="s">
        <v>1802</v>
      </c>
      <c r="U738" s="46"/>
      <c r="V738" s="46"/>
      <c r="W738" s="146"/>
    </row>
    <row r="739" spans="1:23" ht="15" customHeight="1">
      <c r="A739" s="143" t="str">
        <f t="shared" si="22"/>
        <v>AKH12345</v>
      </c>
      <c r="B739" s="144" t="s">
        <v>3279</v>
      </c>
      <c r="C739" s="143" t="s">
        <v>3280</v>
      </c>
      <c r="D739" s="105"/>
      <c r="E739" s="106"/>
      <c r="F739" s="105"/>
      <c r="G739" s="106"/>
      <c r="H739" s="175"/>
      <c r="I739" s="176" t="s">
        <v>847</v>
      </c>
      <c r="J739" s="176" t="s">
        <v>3158</v>
      </c>
      <c r="K739" s="176" t="s">
        <v>1235</v>
      </c>
      <c r="L739" s="145" t="s">
        <v>1806</v>
      </c>
      <c r="M739" s="45" t="str">
        <f t="shared" si="23"/>
        <v>OneCo Networks AS</v>
      </c>
      <c r="N739" s="40" t="str">
        <f ca="1">IFERROR(
VLOOKUP(BoM_Griptel[[#This Row],[Product code]],
IF(AND((BoQ!$N$3&lt;&gt;""),OR(BoM_Griptel[[#This Row],[Vendor]]="Griptel",BoM_Griptel[[#This Row],[Vendor]]="Solar")),INDIRECT(Aux!$A$1)),4,FALSE),"")</f>
        <v/>
      </c>
      <c r="O739" s="169" t="s">
        <v>1807</v>
      </c>
      <c r="P739" s="41" t="str">
        <f>IFERROR(IF(AND(BoM_Griptel[[#This Row],[Quantity]]&lt;&gt;"",BoM_Griptel[[#This Row],[Currency]]="NOK"),BoM_Griptel[[#This Row],[Quantity]]*BoM_Griptel[[#This Row],[Unit Price]],""),"")</f>
        <v/>
      </c>
      <c r="Q739" s="41" t="str">
        <f>IFERROR(IF(AND(BoM_Griptel[[#This Row],[ACT_Qty]]&lt;&gt;"",BoM_Griptel[[#This Row],[Currency]]="NOK"),BoM_Griptel[[#This Row],[ACT_Qty]]*BoM_Griptel[[#This Row],[Unit Price]],""),"")</f>
        <v/>
      </c>
      <c r="R739" s="41" t="str">
        <f>IFERROR(IF(AND(BoM_Griptel[[#This Row],[Quantity]]&lt;&gt;"",BoM_Griptel[[#This Row],[Currency]]="EUR"),BoM_Griptel[[#This Row],[Quantity]]*BoM_Griptel[[#This Row],[Unit Price]],""),"")</f>
        <v/>
      </c>
      <c r="S739" s="41" t="str">
        <f>IFERROR(IF(AND(BoM_Griptel[[#This Row],[ACT_Qty]]&lt;&gt;"",BoM_Griptel[[#This Row],[Currency]]="EUR"),BoM_Griptel[[#This Row],[ACT_Qty]]*BoM_Griptel[[#This Row],[Unit Price]],""),"")</f>
        <v/>
      </c>
      <c r="T739" s="185" t="s">
        <v>1802</v>
      </c>
      <c r="U739" s="45"/>
      <c r="V739" s="45"/>
      <c r="W739" s="143"/>
    </row>
    <row r="740" spans="1:23" ht="15" customHeight="1">
      <c r="A740" s="146" t="str">
        <f t="shared" si="22"/>
        <v>AKH12345</v>
      </c>
      <c r="B740" s="147" t="s">
        <v>3281</v>
      </c>
      <c r="C740" s="146" t="s">
        <v>3282</v>
      </c>
      <c r="D740" s="68"/>
      <c r="E740" s="89"/>
      <c r="F740" s="68"/>
      <c r="G740" s="89"/>
      <c r="H740" s="177"/>
      <c r="I740" s="178" t="s">
        <v>847</v>
      </c>
      <c r="J740" s="178" t="s">
        <v>3158</v>
      </c>
      <c r="K740" s="178" t="s">
        <v>1235</v>
      </c>
      <c r="L740" s="148" t="s">
        <v>1806</v>
      </c>
      <c r="M740" s="46" t="str">
        <f t="shared" si="23"/>
        <v>OneCo Networks AS</v>
      </c>
      <c r="N740" s="42" t="str">
        <f ca="1">IFERROR(
VLOOKUP(BoM_Griptel[[#This Row],[Product code]],
IF(AND((BoQ!$N$3&lt;&gt;""),OR(BoM_Griptel[[#This Row],[Vendor]]="Griptel",BoM_Griptel[[#This Row],[Vendor]]="Solar")),INDIRECT(Aux!$A$1)),4,FALSE),"")</f>
        <v/>
      </c>
      <c r="O740" s="170" t="s">
        <v>1807</v>
      </c>
      <c r="P740" s="43" t="str">
        <f>IFERROR(IF(AND(BoM_Griptel[[#This Row],[Quantity]]&lt;&gt;"",BoM_Griptel[[#This Row],[Currency]]="NOK"),BoM_Griptel[[#This Row],[Quantity]]*BoM_Griptel[[#This Row],[Unit Price]],""),"")</f>
        <v/>
      </c>
      <c r="Q740" s="43" t="str">
        <f>IFERROR(IF(AND(BoM_Griptel[[#This Row],[ACT_Qty]]&lt;&gt;"",BoM_Griptel[[#This Row],[Currency]]="NOK"),BoM_Griptel[[#This Row],[ACT_Qty]]*BoM_Griptel[[#This Row],[Unit Price]],""),"")</f>
        <v/>
      </c>
      <c r="R740" s="43" t="str">
        <f>IFERROR(IF(AND(BoM_Griptel[[#This Row],[Quantity]]&lt;&gt;"",BoM_Griptel[[#This Row],[Currency]]="EUR"),BoM_Griptel[[#This Row],[Quantity]]*BoM_Griptel[[#This Row],[Unit Price]],""),"")</f>
        <v/>
      </c>
      <c r="S740" s="43" t="str">
        <f>IFERROR(IF(AND(BoM_Griptel[[#This Row],[ACT_Qty]]&lt;&gt;"",BoM_Griptel[[#This Row],[Currency]]="EUR"),BoM_Griptel[[#This Row],[ACT_Qty]]*BoM_Griptel[[#This Row],[Unit Price]],""),"")</f>
        <v/>
      </c>
      <c r="T740" s="186" t="s">
        <v>1802</v>
      </c>
      <c r="U740" s="46"/>
      <c r="V740" s="46"/>
      <c r="W740" s="146"/>
    </row>
    <row r="741" spans="1:23" ht="15" customHeight="1">
      <c r="A741" s="143" t="str">
        <f t="shared" si="22"/>
        <v>AKH12345</v>
      </c>
      <c r="B741" s="144" t="s">
        <v>3283</v>
      </c>
      <c r="C741" s="143" t="s">
        <v>3284</v>
      </c>
      <c r="D741" s="105"/>
      <c r="E741" s="106"/>
      <c r="F741" s="105"/>
      <c r="G741" s="106"/>
      <c r="H741" s="175"/>
      <c r="I741" s="176" t="s">
        <v>847</v>
      </c>
      <c r="J741" s="176" t="s">
        <v>3158</v>
      </c>
      <c r="K741" s="176" t="s">
        <v>1235</v>
      </c>
      <c r="L741" s="145" t="s">
        <v>1806</v>
      </c>
      <c r="M741" s="45" t="str">
        <f t="shared" si="23"/>
        <v>OneCo Networks AS</v>
      </c>
      <c r="N741" s="40" t="str">
        <f ca="1">IFERROR(
VLOOKUP(BoM_Griptel[[#This Row],[Product code]],
IF(AND((BoQ!$N$3&lt;&gt;""),OR(BoM_Griptel[[#This Row],[Vendor]]="Griptel",BoM_Griptel[[#This Row],[Vendor]]="Solar")),INDIRECT(Aux!$A$1)),4,FALSE),"")</f>
        <v/>
      </c>
      <c r="O741" s="169" t="s">
        <v>1807</v>
      </c>
      <c r="P741" s="41" t="str">
        <f>IFERROR(IF(AND(BoM_Griptel[[#This Row],[Quantity]]&lt;&gt;"",BoM_Griptel[[#This Row],[Currency]]="NOK"),BoM_Griptel[[#This Row],[Quantity]]*BoM_Griptel[[#This Row],[Unit Price]],""),"")</f>
        <v/>
      </c>
      <c r="Q741" s="41" t="str">
        <f>IFERROR(IF(AND(BoM_Griptel[[#This Row],[ACT_Qty]]&lt;&gt;"",BoM_Griptel[[#This Row],[Currency]]="NOK"),BoM_Griptel[[#This Row],[ACT_Qty]]*BoM_Griptel[[#This Row],[Unit Price]],""),"")</f>
        <v/>
      </c>
      <c r="R741" s="41" t="str">
        <f>IFERROR(IF(AND(BoM_Griptel[[#This Row],[Quantity]]&lt;&gt;"",BoM_Griptel[[#This Row],[Currency]]="EUR"),BoM_Griptel[[#This Row],[Quantity]]*BoM_Griptel[[#This Row],[Unit Price]],""),"")</f>
        <v/>
      </c>
      <c r="S741" s="41" t="str">
        <f>IFERROR(IF(AND(BoM_Griptel[[#This Row],[ACT_Qty]]&lt;&gt;"",BoM_Griptel[[#This Row],[Currency]]="EUR"),BoM_Griptel[[#This Row],[ACT_Qty]]*BoM_Griptel[[#This Row],[Unit Price]],""),"")</f>
        <v/>
      </c>
      <c r="T741" s="185" t="s">
        <v>1802</v>
      </c>
      <c r="U741" s="45"/>
      <c r="V741" s="45"/>
      <c r="W741" s="143"/>
    </row>
    <row r="742" spans="1:23" ht="15" customHeight="1">
      <c r="A742" s="146" t="str">
        <f t="shared" si="22"/>
        <v>AKH12345</v>
      </c>
      <c r="B742" s="147" t="s">
        <v>3285</v>
      </c>
      <c r="C742" s="146" t="s">
        <v>3286</v>
      </c>
      <c r="D742" s="68"/>
      <c r="E742" s="89"/>
      <c r="F742" s="68"/>
      <c r="G742" s="89"/>
      <c r="H742" s="177"/>
      <c r="I742" s="178" t="s">
        <v>847</v>
      </c>
      <c r="J742" s="178" t="s">
        <v>3158</v>
      </c>
      <c r="K742" s="178" t="s">
        <v>1235</v>
      </c>
      <c r="L742" s="148" t="s">
        <v>1806</v>
      </c>
      <c r="M742" s="46" t="str">
        <f t="shared" si="23"/>
        <v>OneCo Networks AS</v>
      </c>
      <c r="N742" s="42" t="str">
        <f ca="1">IFERROR(
VLOOKUP(BoM_Griptel[[#This Row],[Product code]],
IF(AND((BoQ!$N$3&lt;&gt;""),OR(BoM_Griptel[[#This Row],[Vendor]]="Griptel",BoM_Griptel[[#This Row],[Vendor]]="Solar")),INDIRECT(Aux!$A$1)),4,FALSE),"")</f>
        <v/>
      </c>
      <c r="O742" s="170" t="s">
        <v>1807</v>
      </c>
      <c r="P742" s="43" t="str">
        <f>IFERROR(IF(AND(BoM_Griptel[[#This Row],[Quantity]]&lt;&gt;"",BoM_Griptel[[#This Row],[Currency]]="NOK"),BoM_Griptel[[#This Row],[Quantity]]*BoM_Griptel[[#This Row],[Unit Price]],""),"")</f>
        <v/>
      </c>
      <c r="Q742" s="43" t="str">
        <f>IFERROR(IF(AND(BoM_Griptel[[#This Row],[ACT_Qty]]&lt;&gt;"",BoM_Griptel[[#This Row],[Currency]]="NOK"),BoM_Griptel[[#This Row],[ACT_Qty]]*BoM_Griptel[[#This Row],[Unit Price]],""),"")</f>
        <v/>
      </c>
      <c r="R742" s="43" t="str">
        <f>IFERROR(IF(AND(BoM_Griptel[[#This Row],[Quantity]]&lt;&gt;"",BoM_Griptel[[#This Row],[Currency]]="EUR"),BoM_Griptel[[#This Row],[Quantity]]*BoM_Griptel[[#This Row],[Unit Price]],""),"")</f>
        <v/>
      </c>
      <c r="S742" s="43" t="str">
        <f>IFERROR(IF(AND(BoM_Griptel[[#This Row],[ACT_Qty]]&lt;&gt;"",BoM_Griptel[[#This Row],[Currency]]="EUR"),BoM_Griptel[[#This Row],[ACT_Qty]]*BoM_Griptel[[#This Row],[Unit Price]],""),"")</f>
        <v/>
      </c>
      <c r="T742" s="186" t="s">
        <v>1802</v>
      </c>
      <c r="U742" s="46"/>
      <c r="V742" s="46"/>
      <c r="W742" s="146"/>
    </row>
    <row r="743" spans="1:23" ht="15" customHeight="1">
      <c r="A743" s="143" t="str">
        <f t="shared" si="22"/>
        <v>AKH12345</v>
      </c>
      <c r="B743" s="144" t="s">
        <v>3287</v>
      </c>
      <c r="C743" s="143" t="s">
        <v>3288</v>
      </c>
      <c r="D743" s="105"/>
      <c r="E743" s="106"/>
      <c r="F743" s="105"/>
      <c r="G743" s="106"/>
      <c r="H743" s="175"/>
      <c r="I743" s="176" t="s">
        <v>847</v>
      </c>
      <c r="J743" s="176" t="s">
        <v>1844</v>
      </c>
      <c r="K743" s="176" t="s">
        <v>1235</v>
      </c>
      <c r="L743" s="145" t="s">
        <v>1806</v>
      </c>
      <c r="M743" s="45" t="str">
        <f t="shared" si="23"/>
        <v>OneCo Networks AS</v>
      </c>
      <c r="N743" s="40" t="str">
        <f ca="1">IFERROR(
VLOOKUP(BoM_Griptel[[#This Row],[Product code]],
IF(AND((BoQ!$N$3&lt;&gt;""),OR(BoM_Griptel[[#This Row],[Vendor]]="Griptel",BoM_Griptel[[#This Row],[Vendor]]="Solar")),INDIRECT(Aux!$A$1)),4,FALSE),"")</f>
        <v/>
      </c>
      <c r="O743" s="169" t="s">
        <v>1807</v>
      </c>
      <c r="P743" s="41" t="str">
        <f>IFERROR(IF(AND(BoM_Griptel[[#This Row],[Quantity]]&lt;&gt;"",BoM_Griptel[[#This Row],[Currency]]="NOK"),BoM_Griptel[[#This Row],[Quantity]]*BoM_Griptel[[#This Row],[Unit Price]],""),"")</f>
        <v/>
      </c>
      <c r="Q743" s="41" t="str">
        <f>IFERROR(IF(AND(BoM_Griptel[[#This Row],[ACT_Qty]]&lt;&gt;"",BoM_Griptel[[#This Row],[Currency]]="NOK"),BoM_Griptel[[#This Row],[ACT_Qty]]*BoM_Griptel[[#This Row],[Unit Price]],""),"")</f>
        <v/>
      </c>
      <c r="R743" s="41" t="str">
        <f>IFERROR(IF(AND(BoM_Griptel[[#This Row],[Quantity]]&lt;&gt;"",BoM_Griptel[[#This Row],[Currency]]="EUR"),BoM_Griptel[[#This Row],[Quantity]]*BoM_Griptel[[#This Row],[Unit Price]],""),"")</f>
        <v/>
      </c>
      <c r="S743" s="41" t="str">
        <f>IFERROR(IF(AND(BoM_Griptel[[#This Row],[ACT_Qty]]&lt;&gt;"",BoM_Griptel[[#This Row],[Currency]]="EUR"),BoM_Griptel[[#This Row],[ACT_Qty]]*BoM_Griptel[[#This Row],[Unit Price]],""),"")</f>
        <v/>
      </c>
      <c r="T743" s="185" t="s">
        <v>1802</v>
      </c>
      <c r="U743" s="45"/>
      <c r="V743" s="45"/>
      <c r="W743" s="143"/>
    </row>
    <row r="744" spans="1:23" ht="15" customHeight="1">
      <c r="A744" s="146" t="str">
        <f t="shared" si="22"/>
        <v>AKH12345</v>
      </c>
      <c r="B744" s="147" t="s">
        <v>3289</v>
      </c>
      <c r="C744" s="146" t="s">
        <v>3290</v>
      </c>
      <c r="D744" s="68"/>
      <c r="E744" s="89"/>
      <c r="F744" s="68"/>
      <c r="G744" s="89"/>
      <c r="H744" s="177"/>
      <c r="I744" s="178" t="s">
        <v>847</v>
      </c>
      <c r="J744" s="178" t="s">
        <v>1844</v>
      </c>
      <c r="K744" s="178" t="s">
        <v>1235</v>
      </c>
      <c r="L744" s="148" t="s">
        <v>1806</v>
      </c>
      <c r="M744" s="46" t="str">
        <f t="shared" si="23"/>
        <v>OneCo Networks AS</v>
      </c>
      <c r="N744" s="42" t="str">
        <f ca="1">IFERROR(
VLOOKUP(BoM_Griptel[[#This Row],[Product code]],
IF(AND((BoQ!$N$3&lt;&gt;""),OR(BoM_Griptel[[#This Row],[Vendor]]="Griptel",BoM_Griptel[[#This Row],[Vendor]]="Solar")),INDIRECT(Aux!$A$1)),4,FALSE),"")</f>
        <v/>
      </c>
      <c r="O744" s="170" t="s">
        <v>1807</v>
      </c>
      <c r="P744" s="43" t="str">
        <f>IFERROR(IF(AND(BoM_Griptel[[#This Row],[Quantity]]&lt;&gt;"",BoM_Griptel[[#This Row],[Currency]]="NOK"),BoM_Griptel[[#This Row],[Quantity]]*BoM_Griptel[[#This Row],[Unit Price]],""),"")</f>
        <v/>
      </c>
      <c r="Q744" s="43" t="str">
        <f>IFERROR(IF(AND(BoM_Griptel[[#This Row],[ACT_Qty]]&lt;&gt;"",BoM_Griptel[[#This Row],[Currency]]="NOK"),BoM_Griptel[[#This Row],[ACT_Qty]]*BoM_Griptel[[#This Row],[Unit Price]],""),"")</f>
        <v/>
      </c>
      <c r="R744" s="43" t="str">
        <f>IFERROR(IF(AND(BoM_Griptel[[#This Row],[Quantity]]&lt;&gt;"",BoM_Griptel[[#This Row],[Currency]]="EUR"),BoM_Griptel[[#This Row],[Quantity]]*BoM_Griptel[[#This Row],[Unit Price]],""),"")</f>
        <v/>
      </c>
      <c r="S744" s="43" t="str">
        <f>IFERROR(IF(AND(BoM_Griptel[[#This Row],[ACT_Qty]]&lt;&gt;"",BoM_Griptel[[#This Row],[Currency]]="EUR"),BoM_Griptel[[#This Row],[ACT_Qty]]*BoM_Griptel[[#This Row],[Unit Price]],""),"")</f>
        <v/>
      </c>
      <c r="T744" s="186" t="s">
        <v>1802</v>
      </c>
      <c r="U744" s="46"/>
      <c r="V744" s="46"/>
      <c r="W744" s="146"/>
    </row>
    <row r="745" spans="1:23" ht="15" customHeight="1">
      <c r="A745" s="143" t="str">
        <f t="shared" si="22"/>
        <v>AKH12345</v>
      </c>
      <c r="B745" s="144" t="s">
        <v>3291</v>
      </c>
      <c r="C745" s="143" t="s">
        <v>3292</v>
      </c>
      <c r="D745" s="105"/>
      <c r="E745" s="106"/>
      <c r="F745" s="105"/>
      <c r="G745" s="106"/>
      <c r="H745" s="175"/>
      <c r="I745" s="176" t="s">
        <v>847</v>
      </c>
      <c r="J745" s="176" t="s">
        <v>1844</v>
      </c>
      <c r="K745" s="176" t="s">
        <v>1235</v>
      </c>
      <c r="L745" s="145" t="s">
        <v>1806</v>
      </c>
      <c r="M745" s="45" t="str">
        <f t="shared" si="23"/>
        <v>OneCo Networks AS</v>
      </c>
      <c r="N745" s="40" t="str">
        <f ca="1">IFERROR(
VLOOKUP(BoM_Griptel[[#This Row],[Product code]],
IF(AND((BoQ!$N$3&lt;&gt;""),OR(BoM_Griptel[[#This Row],[Vendor]]="Griptel",BoM_Griptel[[#This Row],[Vendor]]="Solar")),INDIRECT(Aux!$A$1)),4,FALSE),"")</f>
        <v/>
      </c>
      <c r="O745" s="169" t="s">
        <v>1807</v>
      </c>
      <c r="P745" s="41" t="str">
        <f>IFERROR(IF(AND(BoM_Griptel[[#This Row],[Quantity]]&lt;&gt;"",BoM_Griptel[[#This Row],[Currency]]="NOK"),BoM_Griptel[[#This Row],[Quantity]]*BoM_Griptel[[#This Row],[Unit Price]],""),"")</f>
        <v/>
      </c>
      <c r="Q745" s="41" t="str">
        <f>IFERROR(IF(AND(BoM_Griptel[[#This Row],[ACT_Qty]]&lt;&gt;"",BoM_Griptel[[#This Row],[Currency]]="NOK"),BoM_Griptel[[#This Row],[ACT_Qty]]*BoM_Griptel[[#This Row],[Unit Price]],""),"")</f>
        <v/>
      </c>
      <c r="R745" s="41" t="str">
        <f>IFERROR(IF(AND(BoM_Griptel[[#This Row],[Quantity]]&lt;&gt;"",BoM_Griptel[[#This Row],[Currency]]="EUR"),BoM_Griptel[[#This Row],[Quantity]]*BoM_Griptel[[#This Row],[Unit Price]],""),"")</f>
        <v/>
      </c>
      <c r="S745" s="41" t="str">
        <f>IFERROR(IF(AND(BoM_Griptel[[#This Row],[ACT_Qty]]&lt;&gt;"",BoM_Griptel[[#This Row],[Currency]]="EUR"),BoM_Griptel[[#This Row],[ACT_Qty]]*BoM_Griptel[[#This Row],[Unit Price]],""),"")</f>
        <v/>
      </c>
      <c r="T745" s="185" t="s">
        <v>1802</v>
      </c>
      <c r="U745" s="45"/>
      <c r="V745" s="45"/>
      <c r="W745" s="143"/>
    </row>
    <row r="746" spans="1:23" ht="15" customHeight="1">
      <c r="A746" s="146" t="str">
        <f t="shared" si="22"/>
        <v>AKH12345</v>
      </c>
      <c r="B746" s="147" t="s">
        <v>3293</v>
      </c>
      <c r="C746" s="146" t="s">
        <v>3294</v>
      </c>
      <c r="D746" s="68"/>
      <c r="E746" s="89"/>
      <c r="F746" s="68"/>
      <c r="G746" s="89"/>
      <c r="H746" s="177"/>
      <c r="I746" s="178" t="s">
        <v>847</v>
      </c>
      <c r="J746" s="178" t="s">
        <v>1844</v>
      </c>
      <c r="K746" s="178" t="s">
        <v>1235</v>
      </c>
      <c r="L746" s="148" t="s">
        <v>1806</v>
      </c>
      <c r="M746" s="46" t="str">
        <f t="shared" si="23"/>
        <v>OneCo Networks AS</v>
      </c>
      <c r="N746" s="42" t="str">
        <f ca="1">IFERROR(
VLOOKUP(BoM_Griptel[[#This Row],[Product code]],
IF(AND((BoQ!$N$3&lt;&gt;""),OR(BoM_Griptel[[#This Row],[Vendor]]="Griptel",BoM_Griptel[[#This Row],[Vendor]]="Solar")),INDIRECT(Aux!$A$1)),4,FALSE),"")</f>
        <v/>
      </c>
      <c r="O746" s="170" t="s">
        <v>1807</v>
      </c>
      <c r="P746" s="43" t="str">
        <f>IFERROR(IF(AND(BoM_Griptel[[#This Row],[Quantity]]&lt;&gt;"",BoM_Griptel[[#This Row],[Currency]]="NOK"),BoM_Griptel[[#This Row],[Quantity]]*BoM_Griptel[[#This Row],[Unit Price]],""),"")</f>
        <v/>
      </c>
      <c r="Q746" s="43" t="str">
        <f>IFERROR(IF(AND(BoM_Griptel[[#This Row],[ACT_Qty]]&lt;&gt;"",BoM_Griptel[[#This Row],[Currency]]="NOK"),BoM_Griptel[[#This Row],[ACT_Qty]]*BoM_Griptel[[#This Row],[Unit Price]],""),"")</f>
        <v/>
      </c>
      <c r="R746" s="43" t="str">
        <f>IFERROR(IF(AND(BoM_Griptel[[#This Row],[Quantity]]&lt;&gt;"",BoM_Griptel[[#This Row],[Currency]]="EUR"),BoM_Griptel[[#This Row],[Quantity]]*BoM_Griptel[[#This Row],[Unit Price]],""),"")</f>
        <v/>
      </c>
      <c r="S746" s="43" t="str">
        <f>IFERROR(IF(AND(BoM_Griptel[[#This Row],[ACT_Qty]]&lt;&gt;"",BoM_Griptel[[#This Row],[Currency]]="EUR"),BoM_Griptel[[#This Row],[ACT_Qty]]*BoM_Griptel[[#This Row],[Unit Price]],""),"")</f>
        <v/>
      </c>
      <c r="T746" s="186" t="s">
        <v>1802</v>
      </c>
      <c r="U746" s="46"/>
      <c r="V746" s="46"/>
      <c r="W746" s="146"/>
    </row>
    <row r="747" spans="1:23" ht="15" customHeight="1">
      <c r="A747" s="143" t="str">
        <f t="shared" si="22"/>
        <v>AKH12345</v>
      </c>
      <c r="B747" s="144" t="s">
        <v>3295</v>
      </c>
      <c r="C747" s="143" t="s">
        <v>3296</v>
      </c>
      <c r="D747" s="105"/>
      <c r="E747" s="106"/>
      <c r="F747" s="105"/>
      <c r="G747" s="106"/>
      <c r="H747" s="175"/>
      <c r="I747" s="176" t="s">
        <v>847</v>
      </c>
      <c r="J747" s="176" t="s">
        <v>2948</v>
      </c>
      <c r="K747" s="176" t="s">
        <v>1235</v>
      </c>
      <c r="L747" s="145" t="s">
        <v>1806</v>
      </c>
      <c r="M747" s="45" t="str">
        <f t="shared" si="23"/>
        <v>OneCo Networks AS</v>
      </c>
      <c r="N747" s="40" t="str">
        <f ca="1">IFERROR(
VLOOKUP(BoM_Griptel[[#This Row],[Product code]],
IF(AND((BoQ!$N$3&lt;&gt;""),OR(BoM_Griptel[[#This Row],[Vendor]]="Griptel",BoM_Griptel[[#This Row],[Vendor]]="Solar")),INDIRECT(Aux!$A$1)),4,FALSE),"")</f>
        <v/>
      </c>
      <c r="O747" s="169" t="s">
        <v>1807</v>
      </c>
      <c r="P747" s="41" t="str">
        <f>IFERROR(IF(AND(BoM_Griptel[[#This Row],[Quantity]]&lt;&gt;"",BoM_Griptel[[#This Row],[Currency]]="NOK"),BoM_Griptel[[#This Row],[Quantity]]*BoM_Griptel[[#This Row],[Unit Price]],""),"")</f>
        <v/>
      </c>
      <c r="Q747" s="41" t="str">
        <f>IFERROR(IF(AND(BoM_Griptel[[#This Row],[ACT_Qty]]&lt;&gt;"",BoM_Griptel[[#This Row],[Currency]]="NOK"),BoM_Griptel[[#This Row],[ACT_Qty]]*BoM_Griptel[[#This Row],[Unit Price]],""),"")</f>
        <v/>
      </c>
      <c r="R747" s="41" t="str">
        <f>IFERROR(IF(AND(BoM_Griptel[[#This Row],[Quantity]]&lt;&gt;"",BoM_Griptel[[#This Row],[Currency]]="EUR"),BoM_Griptel[[#This Row],[Quantity]]*BoM_Griptel[[#This Row],[Unit Price]],""),"")</f>
        <v/>
      </c>
      <c r="S747" s="41" t="str">
        <f>IFERROR(IF(AND(BoM_Griptel[[#This Row],[ACT_Qty]]&lt;&gt;"",BoM_Griptel[[#This Row],[Currency]]="EUR"),BoM_Griptel[[#This Row],[ACT_Qty]]*BoM_Griptel[[#This Row],[Unit Price]],""),"")</f>
        <v/>
      </c>
      <c r="T747" s="185" t="s">
        <v>1802</v>
      </c>
      <c r="U747" s="45"/>
      <c r="V747" s="45"/>
      <c r="W747" s="143"/>
    </row>
    <row r="748" spans="1:23" ht="15" customHeight="1">
      <c r="A748" s="146" t="str">
        <f t="shared" si="22"/>
        <v>AKH12345</v>
      </c>
      <c r="B748" s="147" t="s">
        <v>3297</v>
      </c>
      <c r="C748" s="146" t="s">
        <v>3298</v>
      </c>
      <c r="D748" s="68"/>
      <c r="E748" s="89"/>
      <c r="F748" s="68"/>
      <c r="G748" s="89"/>
      <c r="H748" s="177"/>
      <c r="I748" s="178" t="s">
        <v>847</v>
      </c>
      <c r="J748" s="178" t="s">
        <v>2948</v>
      </c>
      <c r="K748" s="178" t="s">
        <v>1235</v>
      </c>
      <c r="L748" s="148" t="s">
        <v>1806</v>
      </c>
      <c r="M748" s="46" t="str">
        <f t="shared" si="23"/>
        <v>OneCo Networks AS</v>
      </c>
      <c r="N748" s="42" t="str">
        <f ca="1">IFERROR(
VLOOKUP(BoM_Griptel[[#This Row],[Product code]],
IF(AND((BoQ!$N$3&lt;&gt;""),OR(BoM_Griptel[[#This Row],[Vendor]]="Griptel",BoM_Griptel[[#This Row],[Vendor]]="Solar")),INDIRECT(Aux!$A$1)),4,FALSE),"")</f>
        <v/>
      </c>
      <c r="O748" s="170" t="s">
        <v>1807</v>
      </c>
      <c r="P748" s="43" t="str">
        <f>IFERROR(IF(AND(BoM_Griptel[[#This Row],[Quantity]]&lt;&gt;"",BoM_Griptel[[#This Row],[Currency]]="NOK"),BoM_Griptel[[#This Row],[Quantity]]*BoM_Griptel[[#This Row],[Unit Price]],""),"")</f>
        <v/>
      </c>
      <c r="Q748" s="43" t="str">
        <f>IFERROR(IF(AND(BoM_Griptel[[#This Row],[ACT_Qty]]&lt;&gt;"",BoM_Griptel[[#This Row],[Currency]]="NOK"),BoM_Griptel[[#This Row],[ACT_Qty]]*BoM_Griptel[[#This Row],[Unit Price]],""),"")</f>
        <v/>
      </c>
      <c r="R748" s="43" t="str">
        <f>IFERROR(IF(AND(BoM_Griptel[[#This Row],[Quantity]]&lt;&gt;"",BoM_Griptel[[#This Row],[Currency]]="EUR"),BoM_Griptel[[#This Row],[Quantity]]*BoM_Griptel[[#This Row],[Unit Price]],""),"")</f>
        <v/>
      </c>
      <c r="S748" s="43" t="str">
        <f>IFERROR(IF(AND(BoM_Griptel[[#This Row],[ACT_Qty]]&lt;&gt;"",BoM_Griptel[[#This Row],[Currency]]="EUR"),BoM_Griptel[[#This Row],[ACT_Qty]]*BoM_Griptel[[#This Row],[Unit Price]],""),"")</f>
        <v/>
      </c>
      <c r="T748" s="186" t="s">
        <v>1802</v>
      </c>
      <c r="U748" s="46"/>
      <c r="V748" s="46"/>
      <c r="W748" s="146"/>
    </row>
    <row r="749" spans="1:23" ht="15" customHeight="1">
      <c r="A749" s="143" t="str">
        <f t="shared" si="22"/>
        <v>AKH12345</v>
      </c>
      <c r="B749" s="144" t="s">
        <v>3299</v>
      </c>
      <c r="C749" s="143" t="s">
        <v>3300</v>
      </c>
      <c r="D749" s="105"/>
      <c r="E749" s="106"/>
      <c r="F749" s="105"/>
      <c r="G749" s="106"/>
      <c r="H749" s="175"/>
      <c r="I749" s="176" t="s">
        <v>847</v>
      </c>
      <c r="J749" s="176" t="s">
        <v>3026</v>
      </c>
      <c r="K749" s="176" t="s">
        <v>1235</v>
      </c>
      <c r="L749" s="145" t="s">
        <v>1806</v>
      </c>
      <c r="M749" s="45" t="str">
        <f t="shared" si="23"/>
        <v>OneCo Networks AS</v>
      </c>
      <c r="N749" s="40" t="str">
        <f ca="1">IFERROR(
VLOOKUP(BoM_Griptel[[#This Row],[Product code]],
IF(AND((BoQ!$N$3&lt;&gt;""),OR(BoM_Griptel[[#This Row],[Vendor]]="Griptel",BoM_Griptel[[#This Row],[Vendor]]="Solar")),INDIRECT(Aux!$A$1)),4,FALSE),"")</f>
        <v/>
      </c>
      <c r="O749" s="169" t="s">
        <v>1807</v>
      </c>
      <c r="P749" s="41" t="str">
        <f>IFERROR(IF(AND(BoM_Griptel[[#This Row],[Quantity]]&lt;&gt;"",BoM_Griptel[[#This Row],[Currency]]="NOK"),BoM_Griptel[[#This Row],[Quantity]]*BoM_Griptel[[#This Row],[Unit Price]],""),"")</f>
        <v/>
      </c>
      <c r="Q749" s="41" t="str">
        <f>IFERROR(IF(AND(BoM_Griptel[[#This Row],[ACT_Qty]]&lt;&gt;"",BoM_Griptel[[#This Row],[Currency]]="NOK"),BoM_Griptel[[#This Row],[ACT_Qty]]*BoM_Griptel[[#This Row],[Unit Price]],""),"")</f>
        <v/>
      </c>
      <c r="R749" s="41" t="str">
        <f>IFERROR(IF(AND(BoM_Griptel[[#This Row],[Quantity]]&lt;&gt;"",BoM_Griptel[[#This Row],[Currency]]="EUR"),BoM_Griptel[[#This Row],[Quantity]]*BoM_Griptel[[#This Row],[Unit Price]],""),"")</f>
        <v/>
      </c>
      <c r="S749" s="41" t="str">
        <f>IFERROR(IF(AND(BoM_Griptel[[#This Row],[ACT_Qty]]&lt;&gt;"",BoM_Griptel[[#This Row],[Currency]]="EUR"),BoM_Griptel[[#This Row],[ACT_Qty]]*BoM_Griptel[[#This Row],[Unit Price]],""),"")</f>
        <v/>
      </c>
      <c r="T749" s="185" t="s">
        <v>1802</v>
      </c>
      <c r="U749" s="45"/>
      <c r="V749" s="45"/>
      <c r="W749" s="143"/>
    </row>
    <row r="750" spans="1:23" ht="15" customHeight="1">
      <c r="A750" s="146" t="str">
        <f t="shared" si="22"/>
        <v>AKH12345</v>
      </c>
      <c r="B750" s="147" t="s">
        <v>3301</v>
      </c>
      <c r="C750" s="146" t="s">
        <v>3302</v>
      </c>
      <c r="D750" s="68"/>
      <c r="E750" s="89"/>
      <c r="F750" s="68"/>
      <c r="G750" s="89"/>
      <c r="H750" s="177"/>
      <c r="I750" s="178" t="s">
        <v>847</v>
      </c>
      <c r="J750" s="178" t="s">
        <v>1965</v>
      </c>
      <c r="K750" s="178" t="s">
        <v>1235</v>
      </c>
      <c r="L750" s="148" t="s">
        <v>1806</v>
      </c>
      <c r="M750" s="46" t="str">
        <f t="shared" si="23"/>
        <v>OneCo Networks AS</v>
      </c>
      <c r="N750" s="42" t="str">
        <f ca="1">IFERROR(
VLOOKUP(BoM_Griptel[[#This Row],[Product code]],
IF(AND((BoQ!$N$3&lt;&gt;""),OR(BoM_Griptel[[#This Row],[Vendor]]="Griptel",BoM_Griptel[[#This Row],[Vendor]]="Solar")),INDIRECT(Aux!$A$1)),4,FALSE),"")</f>
        <v/>
      </c>
      <c r="O750" s="170" t="s">
        <v>1807</v>
      </c>
      <c r="P750" s="43" t="str">
        <f>IFERROR(IF(AND(BoM_Griptel[[#This Row],[Quantity]]&lt;&gt;"",BoM_Griptel[[#This Row],[Currency]]="NOK"),BoM_Griptel[[#This Row],[Quantity]]*BoM_Griptel[[#This Row],[Unit Price]],""),"")</f>
        <v/>
      </c>
      <c r="Q750" s="43" t="str">
        <f>IFERROR(IF(AND(BoM_Griptel[[#This Row],[ACT_Qty]]&lt;&gt;"",BoM_Griptel[[#This Row],[Currency]]="NOK"),BoM_Griptel[[#This Row],[ACT_Qty]]*BoM_Griptel[[#This Row],[Unit Price]],""),"")</f>
        <v/>
      </c>
      <c r="R750" s="43" t="str">
        <f>IFERROR(IF(AND(BoM_Griptel[[#This Row],[Quantity]]&lt;&gt;"",BoM_Griptel[[#This Row],[Currency]]="EUR"),BoM_Griptel[[#This Row],[Quantity]]*BoM_Griptel[[#This Row],[Unit Price]],""),"")</f>
        <v/>
      </c>
      <c r="S750" s="43" t="str">
        <f>IFERROR(IF(AND(BoM_Griptel[[#This Row],[ACT_Qty]]&lt;&gt;"",BoM_Griptel[[#This Row],[Currency]]="EUR"),BoM_Griptel[[#This Row],[ACT_Qty]]*BoM_Griptel[[#This Row],[Unit Price]],""),"")</f>
        <v/>
      </c>
      <c r="T750" s="186" t="s">
        <v>1802</v>
      </c>
      <c r="U750" s="46"/>
      <c r="V750" s="46"/>
      <c r="W750" s="146"/>
    </row>
    <row r="751" spans="1:23" ht="15" customHeight="1">
      <c r="A751" s="143" t="str">
        <f t="shared" si="22"/>
        <v>AKH12345</v>
      </c>
      <c r="B751" s="144" t="s">
        <v>3303</v>
      </c>
      <c r="C751" s="143" t="s">
        <v>3304</v>
      </c>
      <c r="D751" s="105"/>
      <c r="E751" s="106"/>
      <c r="F751" s="105"/>
      <c r="G751" s="106"/>
      <c r="H751" s="175"/>
      <c r="I751" s="176" t="s">
        <v>847</v>
      </c>
      <c r="J751" s="176" t="s">
        <v>1862</v>
      </c>
      <c r="K751" s="176" t="s">
        <v>1235</v>
      </c>
      <c r="L751" s="145" t="s">
        <v>1806</v>
      </c>
      <c r="M751" s="45" t="str">
        <f t="shared" si="23"/>
        <v>OneCo Networks AS</v>
      </c>
      <c r="N751" s="40" t="str">
        <f ca="1">IFERROR(
VLOOKUP(BoM_Griptel[[#This Row],[Product code]],
IF(AND((BoQ!$N$3&lt;&gt;""),OR(BoM_Griptel[[#This Row],[Vendor]]="Griptel",BoM_Griptel[[#This Row],[Vendor]]="Solar")),INDIRECT(Aux!$A$1)),4,FALSE),"")</f>
        <v/>
      </c>
      <c r="O751" s="169" t="s">
        <v>1807</v>
      </c>
      <c r="P751" s="41" t="str">
        <f>IFERROR(IF(AND(BoM_Griptel[[#This Row],[Quantity]]&lt;&gt;"",BoM_Griptel[[#This Row],[Currency]]="NOK"),BoM_Griptel[[#This Row],[Quantity]]*BoM_Griptel[[#This Row],[Unit Price]],""),"")</f>
        <v/>
      </c>
      <c r="Q751" s="41" t="str">
        <f>IFERROR(IF(AND(BoM_Griptel[[#This Row],[ACT_Qty]]&lt;&gt;"",BoM_Griptel[[#This Row],[Currency]]="NOK"),BoM_Griptel[[#This Row],[ACT_Qty]]*BoM_Griptel[[#This Row],[Unit Price]],""),"")</f>
        <v/>
      </c>
      <c r="R751" s="41" t="str">
        <f>IFERROR(IF(AND(BoM_Griptel[[#This Row],[Quantity]]&lt;&gt;"",BoM_Griptel[[#This Row],[Currency]]="EUR"),BoM_Griptel[[#This Row],[Quantity]]*BoM_Griptel[[#This Row],[Unit Price]],""),"")</f>
        <v/>
      </c>
      <c r="S751" s="41" t="str">
        <f>IFERROR(IF(AND(BoM_Griptel[[#This Row],[ACT_Qty]]&lt;&gt;"",BoM_Griptel[[#This Row],[Currency]]="EUR"),BoM_Griptel[[#This Row],[ACT_Qty]]*BoM_Griptel[[#This Row],[Unit Price]],""),"")</f>
        <v/>
      </c>
      <c r="T751" s="185" t="s">
        <v>1802</v>
      </c>
      <c r="U751" s="45"/>
      <c r="V751" s="45"/>
      <c r="W751" s="143"/>
    </row>
    <row r="752" spans="1:23" ht="15" customHeight="1">
      <c r="A752" s="146" t="str">
        <f t="shared" si="22"/>
        <v>AKH12345</v>
      </c>
      <c r="B752" s="147" t="s">
        <v>3305</v>
      </c>
      <c r="C752" s="146" t="s">
        <v>3306</v>
      </c>
      <c r="D752" s="68"/>
      <c r="E752" s="89"/>
      <c r="F752" s="68"/>
      <c r="G752" s="89"/>
      <c r="H752" s="177"/>
      <c r="I752" s="178" t="s">
        <v>847</v>
      </c>
      <c r="J752" s="178" t="s">
        <v>2251</v>
      </c>
      <c r="K752" s="178" t="s">
        <v>1235</v>
      </c>
      <c r="L752" s="148" t="s">
        <v>1806</v>
      </c>
      <c r="M752" s="46" t="str">
        <f t="shared" si="23"/>
        <v>OneCo Networks AS</v>
      </c>
      <c r="N752" s="42" t="str">
        <f ca="1">IFERROR(
VLOOKUP(BoM_Griptel[[#This Row],[Product code]],
IF(AND((BoQ!$N$3&lt;&gt;""),OR(BoM_Griptel[[#This Row],[Vendor]]="Griptel",BoM_Griptel[[#This Row],[Vendor]]="Solar")),INDIRECT(Aux!$A$1)),4,FALSE),"")</f>
        <v/>
      </c>
      <c r="O752" s="170" t="s">
        <v>1807</v>
      </c>
      <c r="P752" s="43" t="str">
        <f>IFERROR(IF(AND(BoM_Griptel[[#This Row],[Quantity]]&lt;&gt;"",BoM_Griptel[[#This Row],[Currency]]="NOK"),BoM_Griptel[[#This Row],[Quantity]]*BoM_Griptel[[#This Row],[Unit Price]],""),"")</f>
        <v/>
      </c>
      <c r="Q752" s="43" t="str">
        <f>IFERROR(IF(AND(BoM_Griptel[[#This Row],[ACT_Qty]]&lt;&gt;"",BoM_Griptel[[#This Row],[Currency]]="NOK"),BoM_Griptel[[#This Row],[ACT_Qty]]*BoM_Griptel[[#This Row],[Unit Price]],""),"")</f>
        <v/>
      </c>
      <c r="R752" s="43" t="str">
        <f>IFERROR(IF(AND(BoM_Griptel[[#This Row],[Quantity]]&lt;&gt;"",BoM_Griptel[[#This Row],[Currency]]="EUR"),BoM_Griptel[[#This Row],[Quantity]]*BoM_Griptel[[#This Row],[Unit Price]],""),"")</f>
        <v/>
      </c>
      <c r="S752" s="43" t="str">
        <f>IFERROR(IF(AND(BoM_Griptel[[#This Row],[ACT_Qty]]&lt;&gt;"",BoM_Griptel[[#This Row],[Currency]]="EUR"),BoM_Griptel[[#This Row],[ACT_Qty]]*BoM_Griptel[[#This Row],[Unit Price]],""),"")</f>
        <v/>
      </c>
      <c r="T752" s="186" t="s">
        <v>1802</v>
      </c>
      <c r="U752" s="46"/>
      <c r="V752" s="46"/>
      <c r="W752" s="146"/>
    </row>
    <row r="753" spans="1:23" ht="15" customHeight="1">
      <c r="A753" s="143" t="str">
        <f t="shared" si="22"/>
        <v>AKH12345</v>
      </c>
      <c r="B753" s="144" t="s">
        <v>3307</v>
      </c>
      <c r="C753" s="143" t="s">
        <v>3308</v>
      </c>
      <c r="D753" s="105"/>
      <c r="E753" s="106"/>
      <c r="F753" s="105"/>
      <c r="G753" s="106"/>
      <c r="H753" s="175"/>
      <c r="I753" s="176" t="s">
        <v>847</v>
      </c>
      <c r="J753" s="176" t="s">
        <v>2251</v>
      </c>
      <c r="K753" s="176" t="s">
        <v>1235</v>
      </c>
      <c r="L753" s="145" t="s">
        <v>1806</v>
      </c>
      <c r="M753" s="45" t="str">
        <f t="shared" si="23"/>
        <v>OneCo Networks AS</v>
      </c>
      <c r="N753" s="40" t="str">
        <f ca="1">IFERROR(
VLOOKUP(BoM_Griptel[[#This Row],[Product code]],
IF(AND((BoQ!$N$3&lt;&gt;""),OR(BoM_Griptel[[#This Row],[Vendor]]="Griptel",BoM_Griptel[[#This Row],[Vendor]]="Solar")),INDIRECT(Aux!$A$1)),4,FALSE),"")</f>
        <v/>
      </c>
      <c r="O753" s="169" t="s">
        <v>1807</v>
      </c>
      <c r="P753" s="41" t="str">
        <f>IFERROR(IF(AND(BoM_Griptel[[#This Row],[Quantity]]&lt;&gt;"",BoM_Griptel[[#This Row],[Currency]]="NOK"),BoM_Griptel[[#This Row],[Quantity]]*BoM_Griptel[[#This Row],[Unit Price]],""),"")</f>
        <v/>
      </c>
      <c r="Q753" s="41" t="str">
        <f>IFERROR(IF(AND(BoM_Griptel[[#This Row],[ACT_Qty]]&lt;&gt;"",BoM_Griptel[[#This Row],[Currency]]="NOK"),BoM_Griptel[[#This Row],[ACT_Qty]]*BoM_Griptel[[#This Row],[Unit Price]],""),"")</f>
        <v/>
      </c>
      <c r="R753" s="41" t="str">
        <f>IFERROR(IF(AND(BoM_Griptel[[#This Row],[Quantity]]&lt;&gt;"",BoM_Griptel[[#This Row],[Currency]]="EUR"),BoM_Griptel[[#This Row],[Quantity]]*BoM_Griptel[[#This Row],[Unit Price]],""),"")</f>
        <v/>
      </c>
      <c r="S753" s="41" t="str">
        <f>IFERROR(IF(AND(BoM_Griptel[[#This Row],[ACT_Qty]]&lt;&gt;"",BoM_Griptel[[#This Row],[Currency]]="EUR"),BoM_Griptel[[#This Row],[ACT_Qty]]*BoM_Griptel[[#This Row],[Unit Price]],""),"")</f>
        <v/>
      </c>
      <c r="T753" s="185" t="s">
        <v>1802</v>
      </c>
      <c r="U753" s="45"/>
      <c r="V753" s="45"/>
      <c r="W753" s="143"/>
    </row>
    <row r="754" spans="1:23" ht="15" customHeight="1">
      <c r="A754" s="146" t="str">
        <f t="shared" si="22"/>
        <v>AKH12345</v>
      </c>
      <c r="B754" s="147" t="s">
        <v>3309</v>
      </c>
      <c r="C754" s="146" t="s">
        <v>3310</v>
      </c>
      <c r="D754" s="68"/>
      <c r="E754" s="89"/>
      <c r="F754" s="68"/>
      <c r="G754" s="89"/>
      <c r="H754" s="177"/>
      <c r="I754" s="178" t="s">
        <v>847</v>
      </c>
      <c r="J754" s="178" t="s">
        <v>2251</v>
      </c>
      <c r="K754" s="178" t="s">
        <v>1235</v>
      </c>
      <c r="L754" s="148" t="s">
        <v>1806</v>
      </c>
      <c r="M754" s="46" t="str">
        <f t="shared" si="23"/>
        <v>OneCo Networks AS</v>
      </c>
      <c r="N754" s="42" t="str">
        <f ca="1">IFERROR(
VLOOKUP(BoM_Griptel[[#This Row],[Product code]],
IF(AND((BoQ!$N$3&lt;&gt;""),OR(BoM_Griptel[[#This Row],[Vendor]]="Griptel",BoM_Griptel[[#This Row],[Vendor]]="Solar")),INDIRECT(Aux!$A$1)),4,FALSE),"")</f>
        <v/>
      </c>
      <c r="O754" s="170" t="s">
        <v>1807</v>
      </c>
      <c r="P754" s="43" t="str">
        <f>IFERROR(IF(AND(BoM_Griptel[[#This Row],[Quantity]]&lt;&gt;"",BoM_Griptel[[#This Row],[Currency]]="NOK"),BoM_Griptel[[#This Row],[Quantity]]*BoM_Griptel[[#This Row],[Unit Price]],""),"")</f>
        <v/>
      </c>
      <c r="Q754" s="43" t="str">
        <f>IFERROR(IF(AND(BoM_Griptel[[#This Row],[ACT_Qty]]&lt;&gt;"",BoM_Griptel[[#This Row],[Currency]]="NOK"),BoM_Griptel[[#This Row],[ACT_Qty]]*BoM_Griptel[[#This Row],[Unit Price]],""),"")</f>
        <v/>
      </c>
      <c r="R754" s="43" t="str">
        <f>IFERROR(IF(AND(BoM_Griptel[[#This Row],[Quantity]]&lt;&gt;"",BoM_Griptel[[#This Row],[Currency]]="EUR"),BoM_Griptel[[#This Row],[Quantity]]*BoM_Griptel[[#This Row],[Unit Price]],""),"")</f>
        <v/>
      </c>
      <c r="S754" s="43" t="str">
        <f>IFERROR(IF(AND(BoM_Griptel[[#This Row],[ACT_Qty]]&lt;&gt;"",BoM_Griptel[[#This Row],[Currency]]="EUR"),BoM_Griptel[[#This Row],[ACT_Qty]]*BoM_Griptel[[#This Row],[Unit Price]],""),"")</f>
        <v/>
      </c>
      <c r="T754" s="186" t="s">
        <v>1802</v>
      </c>
      <c r="U754" s="46"/>
      <c r="V754" s="46"/>
      <c r="W754" s="146"/>
    </row>
    <row r="755" spans="1:23" ht="15" customHeight="1">
      <c r="A755" s="143" t="str">
        <f t="shared" si="22"/>
        <v>AKH12345</v>
      </c>
      <c r="B755" s="144" t="s">
        <v>3311</v>
      </c>
      <c r="C755" s="143" t="s">
        <v>3312</v>
      </c>
      <c r="D755" s="105"/>
      <c r="E755" s="106"/>
      <c r="F755" s="105"/>
      <c r="G755" s="106"/>
      <c r="H755" s="175"/>
      <c r="I755" s="176" t="s">
        <v>847</v>
      </c>
      <c r="J755" s="176" t="s">
        <v>2251</v>
      </c>
      <c r="K755" s="176" t="s">
        <v>1235</v>
      </c>
      <c r="L755" s="145" t="s">
        <v>1806</v>
      </c>
      <c r="M755" s="45" t="str">
        <f t="shared" si="23"/>
        <v>OneCo Networks AS</v>
      </c>
      <c r="N755" s="40" t="str">
        <f ca="1">IFERROR(
VLOOKUP(BoM_Griptel[[#This Row],[Product code]],
IF(AND((BoQ!$N$3&lt;&gt;""),OR(BoM_Griptel[[#This Row],[Vendor]]="Griptel",BoM_Griptel[[#This Row],[Vendor]]="Solar")),INDIRECT(Aux!$A$1)),4,FALSE),"")</f>
        <v/>
      </c>
      <c r="O755" s="169" t="s">
        <v>1807</v>
      </c>
      <c r="P755" s="41" t="str">
        <f>IFERROR(IF(AND(BoM_Griptel[[#This Row],[Quantity]]&lt;&gt;"",BoM_Griptel[[#This Row],[Currency]]="NOK"),BoM_Griptel[[#This Row],[Quantity]]*BoM_Griptel[[#This Row],[Unit Price]],""),"")</f>
        <v/>
      </c>
      <c r="Q755" s="41" t="str">
        <f>IFERROR(IF(AND(BoM_Griptel[[#This Row],[ACT_Qty]]&lt;&gt;"",BoM_Griptel[[#This Row],[Currency]]="NOK"),BoM_Griptel[[#This Row],[ACT_Qty]]*BoM_Griptel[[#This Row],[Unit Price]],""),"")</f>
        <v/>
      </c>
      <c r="R755" s="41" t="str">
        <f>IFERROR(IF(AND(BoM_Griptel[[#This Row],[Quantity]]&lt;&gt;"",BoM_Griptel[[#This Row],[Currency]]="EUR"),BoM_Griptel[[#This Row],[Quantity]]*BoM_Griptel[[#This Row],[Unit Price]],""),"")</f>
        <v/>
      </c>
      <c r="S755" s="41" t="str">
        <f>IFERROR(IF(AND(BoM_Griptel[[#This Row],[ACT_Qty]]&lt;&gt;"",BoM_Griptel[[#This Row],[Currency]]="EUR"),BoM_Griptel[[#This Row],[ACT_Qty]]*BoM_Griptel[[#This Row],[Unit Price]],""),"")</f>
        <v/>
      </c>
      <c r="T755" s="185" t="s">
        <v>1802</v>
      </c>
      <c r="U755" s="45"/>
      <c r="V755" s="45"/>
      <c r="W755" s="143"/>
    </row>
    <row r="756" spans="1:23" ht="15" customHeight="1">
      <c r="A756" s="146" t="str">
        <f t="shared" si="22"/>
        <v>AKH12345</v>
      </c>
      <c r="B756" s="147" t="s">
        <v>3313</v>
      </c>
      <c r="C756" s="146" t="s">
        <v>3314</v>
      </c>
      <c r="D756" s="68"/>
      <c r="E756" s="89"/>
      <c r="F756" s="68"/>
      <c r="G756" s="89"/>
      <c r="H756" s="177"/>
      <c r="I756" s="178" t="s">
        <v>847</v>
      </c>
      <c r="J756" s="178" t="s">
        <v>2251</v>
      </c>
      <c r="K756" s="178" t="s">
        <v>1235</v>
      </c>
      <c r="L756" s="148" t="s">
        <v>1806</v>
      </c>
      <c r="M756" s="46" t="str">
        <f t="shared" si="23"/>
        <v>OneCo Networks AS</v>
      </c>
      <c r="N756" s="42" t="str">
        <f ca="1">IFERROR(
VLOOKUP(BoM_Griptel[[#This Row],[Product code]],
IF(AND((BoQ!$N$3&lt;&gt;""),OR(BoM_Griptel[[#This Row],[Vendor]]="Griptel",BoM_Griptel[[#This Row],[Vendor]]="Solar")),INDIRECT(Aux!$A$1)),4,FALSE),"")</f>
        <v/>
      </c>
      <c r="O756" s="170" t="s">
        <v>1807</v>
      </c>
      <c r="P756" s="43" t="str">
        <f>IFERROR(IF(AND(BoM_Griptel[[#This Row],[Quantity]]&lt;&gt;"",BoM_Griptel[[#This Row],[Currency]]="NOK"),BoM_Griptel[[#This Row],[Quantity]]*BoM_Griptel[[#This Row],[Unit Price]],""),"")</f>
        <v/>
      </c>
      <c r="Q756" s="43" t="str">
        <f>IFERROR(IF(AND(BoM_Griptel[[#This Row],[ACT_Qty]]&lt;&gt;"",BoM_Griptel[[#This Row],[Currency]]="NOK"),BoM_Griptel[[#This Row],[ACT_Qty]]*BoM_Griptel[[#This Row],[Unit Price]],""),"")</f>
        <v/>
      </c>
      <c r="R756" s="43" t="str">
        <f>IFERROR(IF(AND(BoM_Griptel[[#This Row],[Quantity]]&lt;&gt;"",BoM_Griptel[[#This Row],[Currency]]="EUR"),BoM_Griptel[[#This Row],[Quantity]]*BoM_Griptel[[#This Row],[Unit Price]],""),"")</f>
        <v/>
      </c>
      <c r="S756" s="43" t="str">
        <f>IFERROR(IF(AND(BoM_Griptel[[#This Row],[ACT_Qty]]&lt;&gt;"",BoM_Griptel[[#This Row],[Currency]]="EUR"),BoM_Griptel[[#This Row],[ACT_Qty]]*BoM_Griptel[[#This Row],[Unit Price]],""),"")</f>
        <v/>
      </c>
      <c r="T756" s="186" t="s">
        <v>1802</v>
      </c>
      <c r="U756" s="46"/>
      <c r="V756" s="46"/>
      <c r="W756" s="146"/>
    </row>
    <row r="757" spans="1:23" ht="15" customHeight="1">
      <c r="A757" s="143" t="str">
        <f t="shared" si="22"/>
        <v>AKH12345</v>
      </c>
      <c r="B757" s="144" t="s">
        <v>3315</v>
      </c>
      <c r="C757" s="143" t="s">
        <v>3316</v>
      </c>
      <c r="D757" s="105"/>
      <c r="E757" s="106"/>
      <c r="F757" s="105"/>
      <c r="G757" s="106"/>
      <c r="H757" s="175"/>
      <c r="I757" s="176" t="s">
        <v>847</v>
      </c>
      <c r="J757" s="176" t="s">
        <v>2251</v>
      </c>
      <c r="K757" s="176" t="s">
        <v>1235</v>
      </c>
      <c r="L757" s="145" t="s">
        <v>1806</v>
      </c>
      <c r="M757" s="45" t="str">
        <f t="shared" si="23"/>
        <v>OneCo Networks AS</v>
      </c>
      <c r="N757" s="40" t="str">
        <f ca="1">IFERROR(
VLOOKUP(BoM_Griptel[[#This Row],[Product code]],
IF(AND((BoQ!$N$3&lt;&gt;""),OR(BoM_Griptel[[#This Row],[Vendor]]="Griptel",BoM_Griptel[[#This Row],[Vendor]]="Solar")),INDIRECT(Aux!$A$1)),4,FALSE),"")</f>
        <v/>
      </c>
      <c r="O757" s="169" t="s">
        <v>1807</v>
      </c>
      <c r="P757" s="41" t="str">
        <f>IFERROR(IF(AND(BoM_Griptel[[#This Row],[Quantity]]&lt;&gt;"",BoM_Griptel[[#This Row],[Currency]]="NOK"),BoM_Griptel[[#This Row],[Quantity]]*BoM_Griptel[[#This Row],[Unit Price]],""),"")</f>
        <v/>
      </c>
      <c r="Q757" s="41" t="str">
        <f>IFERROR(IF(AND(BoM_Griptel[[#This Row],[ACT_Qty]]&lt;&gt;"",BoM_Griptel[[#This Row],[Currency]]="NOK"),BoM_Griptel[[#This Row],[ACT_Qty]]*BoM_Griptel[[#This Row],[Unit Price]],""),"")</f>
        <v/>
      </c>
      <c r="R757" s="41" t="str">
        <f>IFERROR(IF(AND(BoM_Griptel[[#This Row],[Quantity]]&lt;&gt;"",BoM_Griptel[[#This Row],[Currency]]="EUR"),BoM_Griptel[[#This Row],[Quantity]]*BoM_Griptel[[#This Row],[Unit Price]],""),"")</f>
        <v/>
      </c>
      <c r="S757" s="41" t="str">
        <f>IFERROR(IF(AND(BoM_Griptel[[#This Row],[ACT_Qty]]&lt;&gt;"",BoM_Griptel[[#This Row],[Currency]]="EUR"),BoM_Griptel[[#This Row],[ACT_Qty]]*BoM_Griptel[[#This Row],[Unit Price]],""),"")</f>
        <v/>
      </c>
      <c r="T757" s="185" t="s">
        <v>1802</v>
      </c>
      <c r="U757" s="45"/>
      <c r="V757" s="45"/>
      <c r="W757" s="143"/>
    </row>
    <row r="758" spans="1:23" ht="15" customHeight="1">
      <c r="A758" s="146" t="str">
        <f t="shared" si="22"/>
        <v>AKH12345</v>
      </c>
      <c r="B758" s="147" t="s">
        <v>3317</v>
      </c>
      <c r="C758" s="146" t="s">
        <v>3318</v>
      </c>
      <c r="D758" s="68"/>
      <c r="E758" s="89"/>
      <c r="F758" s="68"/>
      <c r="G758" s="89"/>
      <c r="H758" s="177"/>
      <c r="I758" s="178" t="s">
        <v>847</v>
      </c>
      <c r="J758" s="178" t="s">
        <v>746</v>
      </c>
      <c r="K758" s="178" t="s">
        <v>1235</v>
      </c>
      <c r="L758" s="148" t="s">
        <v>1806</v>
      </c>
      <c r="M758" s="46" t="str">
        <f t="shared" si="23"/>
        <v>OneCo Networks AS</v>
      </c>
      <c r="N758" s="42" t="str">
        <f ca="1">IFERROR(
VLOOKUP(BoM_Griptel[[#This Row],[Product code]],
IF(AND((BoQ!$N$3&lt;&gt;""),OR(BoM_Griptel[[#This Row],[Vendor]]="Griptel",BoM_Griptel[[#This Row],[Vendor]]="Solar")),INDIRECT(Aux!$A$1)),4,FALSE),"")</f>
        <v/>
      </c>
      <c r="O758" s="170" t="s">
        <v>1807</v>
      </c>
      <c r="P758" s="43" t="str">
        <f>IFERROR(IF(AND(BoM_Griptel[[#This Row],[Quantity]]&lt;&gt;"",BoM_Griptel[[#This Row],[Currency]]="NOK"),BoM_Griptel[[#This Row],[Quantity]]*BoM_Griptel[[#This Row],[Unit Price]],""),"")</f>
        <v/>
      </c>
      <c r="Q758" s="43" t="str">
        <f>IFERROR(IF(AND(BoM_Griptel[[#This Row],[ACT_Qty]]&lt;&gt;"",BoM_Griptel[[#This Row],[Currency]]="NOK"),BoM_Griptel[[#This Row],[ACT_Qty]]*BoM_Griptel[[#This Row],[Unit Price]],""),"")</f>
        <v/>
      </c>
      <c r="R758" s="43" t="str">
        <f>IFERROR(IF(AND(BoM_Griptel[[#This Row],[Quantity]]&lt;&gt;"",BoM_Griptel[[#This Row],[Currency]]="EUR"),BoM_Griptel[[#This Row],[Quantity]]*BoM_Griptel[[#This Row],[Unit Price]],""),"")</f>
        <v/>
      </c>
      <c r="S758" s="43" t="str">
        <f>IFERROR(IF(AND(BoM_Griptel[[#This Row],[ACT_Qty]]&lt;&gt;"",BoM_Griptel[[#This Row],[Currency]]="EUR"),BoM_Griptel[[#This Row],[ACT_Qty]]*BoM_Griptel[[#This Row],[Unit Price]],""),"")</f>
        <v/>
      </c>
      <c r="T758" s="186" t="s">
        <v>1802</v>
      </c>
      <c r="U758" s="46"/>
      <c r="V758" s="46"/>
      <c r="W758" s="146"/>
    </row>
    <row r="759" spans="1:23" ht="15" customHeight="1">
      <c r="A759" s="143" t="str">
        <f t="shared" si="22"/>
        <v>AKH12345</v>
      </c>
      <c r="B759" s="144" t="s">
        <v>3319</v>
      </c>
      <c r="C759" s="143" t="s">
        <v>3320</v>
      </c>
      <c r="D759" s="105"/>
      <c r="E759" s="106"/>
      <c r="F759" s="105"/>
      <c r="G759" s="106"/>
      <c r="H759" s="175"/>
      <c r="I759" s="176" t="s">
        <v>847</v>
      </c>
      <c r="J759" s="176" t="s">
        <v>746</v>
      </c>
      <c r="K759" s="176" t="s">
        <v>1235</v>
      </c>
      <c r="L759" s="145" t="s">
        <v>1806</v>
      </c>
      <c r="M759" s="45" t="str">
        <f t="shared" si="23"/>
        <v>OneCo Networks AS</v>
      </c>
      <c r="N759" s="40" t="str">
        <f ca="1">IFERROR(
VLOOKUP(BoM_Griptel[[#This Row],[Product code]],
IF(AND((BoQ!$N$3&lt;&gt;""),OR(BoM_Griptel[[#This Row],[Vendor]]="Griptel",BoM_Griptel[[#This Row],[Vendor]]="Solar")),INDIRECT(Aux!$A$1)),4,FALSE),"")</f>
        <v/>
      </c>
      <c r="O759" s="169" t="s">
        <v>1807</v>
      </c>
      <c r="P759" s="41" t="str">
        <f>IFERROR(IF(AND(BoM_Griptel[[#This Row],[Quantity]]&lt;&gt;"",BoM_Griptel[[#This Row],[Currency]]="NOK"),BoM_Griptel[[#This Row],[Quantity]]*BoM_Griptel[[#This Row],[Unit Price]],""),"")</f>
        <v/>
      </c>
      <c r="Q759" s="41" t="str">
        <f>IFERROR(IF(AND(BoM_Griptel[[#This Row],[ACT_Qty]]&lt;&gt;"",BoM_Griptel[[#This Row],[Currency]]="NOK"),BoM_Griptel[[#This Row],[ACT_Qty]]*BoM_Griptel[[#This Row],[Unit Price]],""),"")</f>
        <v/>
      </c>
      <c r="R759" s="41" t="str">
        <f>IFERROR(IF(AND(BoM_Griptel[[#This Row],[Quantity]]&lt;&gt;"",BoM_Griptel[[#This Row],[Currency]]="EUR"),BoM_Griptel[[#This Row],[Quantity]]*BoM_Griptel[[#This Row],[Unit Price]],""),"")</f>
        <v/>
      </c>
      <c r="S759" s="41" t="str">
        <f>IFERROR(IF(AND(BoM_Griptel[[#This Row],[ACT_Qty]]&lt;&gt;"",BoM_Griptel[[#This Row],[Currency]]="EUR"),BoM_Griptel[[#This Row],[ACT_Qty]]*BoM_Griptel[[#This Row],[Unit Price]],""),"")</f>
        <v/>
      </c>
      <c r="T759" s="185" t="s">
        <v>1802</v>
      </c>
      <c r="U759" s="45"/>
      <c r="V759" s="45"/>
      <c r="W759" s="143"/>
    </row>
    <row r="760" spans="1:23">
      <c r="A760" s="143" t="str">
        <f t="shared" si="22"/>
        <v>AKH12345</v>
      </c>
      <c r="B760" s="155" t="s">
        <v>3321</v>
      </c>
      <c r="C760" s="92" t="s">
        <v>3322</v>
      </c>
      <c r="D760" s="68"/>
      <c r="E760" s="94"/>
      <c r="F760" s="93"/>
      <c r="G760" s="94"/>
      <c r="H760" s="95"/>
      <c r="I760" s="95"/>
      <c r="J760" s="95"/>
      <c r="K760" s="95"/>
      <c r="L760" s="148" t="s">
        <v>1806</v>
      </c>
      <c r="M760" s="46" t="str">
        <f t="shared" si="23"/>
        <v>OneCo Networks AS</v>
      </c>
      <c r="N760" s="42" t="str">
        <f ca="1">IFERROR(
VLOOKUP(BoM_Griptel[[#This Row],[Product code]],
IF(AND((BoQ!$N$3&lt;&gt;""),OR(BoM_Griptel[[#This Row],[Vendor]]="Griptel",BoM_Griptel[[#This Row],[Vendor]]="Solar")),INDIRECT(Aux!$A$1)),4,FALSE),"")</f>
        <v/>
      </c>
      <c r="O760" s="170" t="s">
        <v>1807</v>
      </c>
      <c r="P760" s="43" t="str">
        <f>IFERROR(IF(AND(BoM_Griptel[[#This Row],[Quantity]]&lt;&gt;"",BoM_Griptel[[#This Row],[Currency]]="NOK"),BoM_Griptel[[#This Row],[Quantity]]*BoM_Griptel[[#This Row],[Unit Price]],""),"")</f>
        <v/>
      </c>
      <c r="Q760" s="43" t="str">
        <f>IFERROR(IF(AND(BoM_Griptel[[#This Row],[ACT_Qty]]&lt;&gt;"",BoM_Griptel[[#This Row],[Currency]]="NOK"),BoM_Griptel[[#This Row],[ACT_Qty]]*BoM_Griptel[[#This Row],[Unit Price]],""),"")</f>
        <v/>
      </c>
      <c r="R760" s="43" t="str">
        <f>IFERROR(IF(AND(BoM_Griptel[[#This Row],[Quantity]]&lt;&gt;"",BoM_Griptel[[#This Row],[Currency]]="EUR"),BoM_Griptel[[#This Row],[Quantity]]*BoM_Griptel[[#This Row],[Unit Price]],""),"")</f>
        <v/>
      </c>
      <c r="S760" s="43" t="str">
        <f>IFERROR(IF(AND(BoM_Griptel[[#This Row],[ACT_Qty]]&lt;&gt;"",BoM_Griptel[[#This Row],[Currency]]="EUR"),BoM_Griptel[[#This Row],[ACT_Qty]]*BoM_Griptel[[#This Row],[Unit Price]],""),"")</f>
        <v/>
      </c>
      <c r="T760" s="186" t="s">
        <v>1802</v>
      </c>
      <c r="U760" s="46"/>
      <c r="V760" s="46"/>
      <c r="W760" s="46"/>
    </row>
    <row r="761" spans="1:23">
      <c r="A761" s="146" t="str">
        <f t="shared" si="22"/>
        <v>AKH12345</v>
      </c>
      <c r="B761" s="156"/>
      <c r="C761" s="114"/>
      <c r="D761" s="105"/>
      <c r="E761" s="116"/>
      <c r="F761" s="115"/>
      <c r="G761" s="116"/>
      <c r="H761" s="117"/>
      <c r="I761" s="118"/>
      <c r="J761" s="117"/>
      <c r="K761" s="117"/>
      <c r="L761" s="145" t="s">
        <v>1806</v>
      </c>
      <c r="M761" s="45" t="str">
        <f t="shared" si="23"/>
        <v>OneCo Networks AS</v>
      </c>
      <c r="N761" s="40" t="str">
        <f ca="1">IFERROR(
VLOOKUP(BoM_Griptel[[#This Row],[Product code]],
IF(AND((BoQ!$N$3&lt;&gt;""),OR(BoM_Griptel[[#This Row],[Vendor]]="Griptel",BoM_Griptel[[#This Row],[Vendor]]="Solar")),INDIRECT(Aux!$A$1)),4,FALSE),"")</f>
        <v/>
      </c>
      <c r="O761" s="169" t="s">
        <v>1807</v>
      </c>
      <c r="P761" s="41" t="str">
        <f>IFERROR(IF(AND(BoM_Griptel[[#This Row],[Quantity]]&lt;&gt;"",BoM_Griptel[[#This Row],[Currency]]="NOK"),BoM_Griptel[[#This Row],[Quantity]]*BoM_Griptel[[#This Row],[Unit Price]],""),"")</f>
        <v/>
      </c>
      <c r="Q761" s="41" t="str">
        <f>IFERROR(IF(AND(BoM_Griptel[[#This Row],[ACT_Qty]]&lt;&gt;"",BoM_Griptel[[#This Row],[Currency]]="NOK"),BoM_Griptel[[#This Row],[ACT_Qty]]*BoM_Griptel[[#This Row],[Unit Price]],""),"")</f>
        <v/>
      </c>
      <c r="R761" s="41" t="str">
        <f>IFERROR(IF(AND(BoM_Griptel[[#This Row],[Quantity]]&lt;&gt;"",BoM_Griptel[[#This Row],[Currency]]="EUR"),BoM_Griptel[[#This Row],[Quantity]]*BoM_Griptel[[#This Row],[Unit Price]],""),"")</f>
        <v/>
      </c>
      <c r="S761" s="41" t="str">
        <f>IFERROR(IF(AND(BoM_Griptel[[#This Row],[ACT_Qty]]&lt;&gt;"",BoM_Griptel[[#This Row],[Currency]]="EUR"),BoM_Griptel[[#This Row],[ACT_Qty]]*BoM_Griptel[[#This Row],[Unit Price]],""),"")</f>
        <v/>
      </c>
      <c r="T761" s="185" t="s">
        <v>1802</v>
      </c>
      <c r="U761" s="45"/>
      <c r="V761" s="45"/>
      <c r="W761" s="45"/>
    </row>
    <row r="762" spans="1:23">
      <c r="A762" s="143" t="str">
        <f t="shared" si="22"/>
        <v>AKH12345</v>
      </c>
      <c r="B762" s="155"/>
      <c r="C762" s="92"/>
      <c r="D762" s="68"/>
      <c r="E762" s="94"/>
      <c r="F762" s="93"/>
      <c r="G762" s="94"/>
      <c r="H762" s="95"/>
      <c r="I762" s="97"/>
      <c r="J762" s="95"/>
      <c r="K762" s="95"/>
      <c r="L762" s="148" t="s">
        <v>1806</v>
      </c>
      <c r="M762" s="46" t="str">
        <f t="shared" si="23"/>
        <v>OneCo Networks AS</v>
      </c>
      <c r="N762" s="42" t="str">
        <f ca="1">IFERROR(
VLOOKUP(BoM_Griptel[[#This Row],[Product code]],
IF(AND((BoQ!$N$3&lt;&gt;""),OR(BoM_Griptel[[#This Row],[Vendor]]="Griptel",BoM_Griptel[[#This Row],[Vendor]]="Solar")),INDIRECT(Aux!$A$1)),4,FALSE),"")</f>
        <v/>
      </c>
      <c r="O762" s="170" t="s">
        <v>1807</v>
      </c>
      <c r="P762" s="43" t="str">
        <f>IFERROR(IF(AND(BoM_Griptel[[#This Row],[Quantity]]&lt;&gt;"",BoM_Griptel[[#This Row],[Currency]]="NOK"),BoM_Griptel[[#This Row],[Quantity]]*BoM_Griptel[[#This Row],[Unit Price]],""),"")</f>
        <v/>
      </c>
      <c r="Q762" s="43" t="str">
        <f>IFERROR(IF(AND(BoM_Griptel[[#This Row],[ACT_Qty]]&lt;&gt;"",BoM_Griptel[[#This Row],[Currency]]="NOK"),BoM_Griptel[[#This Row],[ACT_Qty]]*BoM_Griptel[[#This Row],[Unit Price]],""),"")</f>
        <v/>
      </c>
      <c r="R762" s="43" t="str">
        <f>IFERROR(IF(AND(BoM_Griptel[[#This Row],[Quantity]]&lt;&gt;"",BoM_Griptel[[#This Row],[Currency]]="EUR"),BoM_Griptel[[#This Row],[Quantity]]*BoM_Griptel[[#This Row],[Unit Price]],""),"")</f>
        <v/>
      </c>
      <c r="S762" s="43" t="str">
        <f>IFERROR(IF(AND(BoM_Griptel[[#This Row],[ACT_Qty]]&lt;&gt;"",BoM_Griptel[[#This Row],[Currency]]="EUR"),BoM_Griptel[[#This Row],[ACT_Qty]]*BoM_Griptel[[#This Row],[Unit Price]],""),"")</f>
        <v/>
      </c>
      <c r="T762" s="186" t="s">
        <v>1802</v>
      </c>
      <c r="U762" s="46"/>
      <c r="V762" s="46"/>
      <c r="W762" s="46"/>
    </row>
    <row r="763" spans="1:23">
      <c r="A763" s="146" t="str">
        <f t="shared" si="22"/>
        <v>AKH12345</v>
      </c>
      <c r="B763" s="156"/>
      <c r="C763" s="114"/>
      <c r="D763" s="105"/>
      <c r="E763" s="116"/>
      <c r="F763" s="115"/>
      <c r="G763" s="116"/>
      <c r="H763" s="117"/>
      <c r="I763" s="118"/>
      <c r="J763" s="117"/>
      <c r="K763" s="117"/>
      <c r="L763" s="145" t="s">
        <v>1806</v>
      </c>
      <c r="M763" s="45" t="str">
        <f t="shared" si="23"/>
        <v>OneCo Networks AS</v>
      </c>
      <c r="N763" s="40" t="str">
        <f ca="1">IFERROR(
VLOOKUP(BoM_Griptel[[#This Row],[Product code]],
IF(AND((BoQ!$N$3&lt;&gt;""),OR(BoM_Griptel[[#This Row],[Vendor]]="Griptel",BoM_Griptel[[#This Row],[Vendor]]="Solar")),INDIRECT(Aux!$A$1)),4,FALSE),"")</f>
        <v/>
      </c>
      <c r="O763" s="169" t="s">
        <v>1807</v>
      </c>
      <c r="P763" s="41" t="str">
        <f>IFERROR(IF(AND(BoM_Griptel[[#This Row],[Quantity]]&lt;&gt;"",BoM_Griptel[[#This Row],[Currency]]="NOK"),BoM_Griptel[[#This Row],[Quantity]]*BoM_Griptel[[#This Row],[Unit Price]],""),"")</f>
        <v/>
      </c>
      <c r="Q763" s="41" t="str">
        <f>IFERROR(IF(AND(BoM_Griptel[[#This Row],[ACT_Qty]]&lt;&gt;"",BoM_Griptel[[#This Row],[Currency]]="NOK"),BoM_Griptel[[#This Row],[ACT_Qty]]*BoM_Griptel[[#This Row],[Unit Price]],""),"")</f>
        <v/>
      </c>
      <c r="R763" s="41" t="str">
        <f>IFERROR(IF(AND(BoM_Griptel[[#This Row],[Quantity]]&lt;&gt;"",BoM_Griptel[[#This Row],[Currency]]="EUR"),BoM_Griptel[[#This Row],[Quantity]]*BoM_Griptel[[#This Row],[Unit Price]],""),"")</f>
        <v/>
      </c>
      <c r="S763" s="41" t="str">
        <f>IFERROR(IF(AND(BoM_Griptel[[#This Row],[ACT_Qty]]&lt;&gt;"",BoM_Griptel[[#This Row],[Currency]]="EUR"),BoM_Griptel[[#This Row],[ACT_Qty]]*BoM_Griptel[[#This Row],[Unit Price]],""),"")</f>
        <v/>
      </c>
      <c r="T763" s="185" t="s">
        <v>1802</v>
      </c>
      <c r="U763" s="45"/>
      <c r="V763" s="45"/>
      <c r="W763" s="45"/>
    </row>
    <row r="764" spans="1:23">
      <c r="A764" s="143" t="str">
        <f t="shared" si="22"/>
        <v>AKH12345</v>
      </c>
      <c r="B764" s="155"/>
      <c r="C764" s="92"/>
      <c r="D764" s="68"/>
      <c r="E764" s="94"/>
      <c r="F764" s="93"/>
      <c r="G764" s="94"/>
      <c r="H764" s="95"/>
      <c r="I764" s="97"/>
      <c r="J764" s="95"/>
      <c r="K764" s="95"/>
      <c r="L764" s="148" t="s">
        <v>1806</v>
      </c>
      <c r="M764" s="46" t="str">
        <f t="shared" si="23"/>
        <v>OneCo Networks AS</v>
      </c>
      <c r="N764" s="42" t="str">
        <f ca="1">IFERROR(
VLOOKUP(BoM_Griptel[[#This Row],[Product code]],
IF(AND((BoQ!$N$3&lt;&gt;""),OR(BoM_Griptel[[#This Row],[Vendor]]="Griptel",BoM_Griptel[[#This Row],[Vendor]]="Solar")),INDIRECT(Aux!$A$1)),4,FALSE),"")</f>
        <v/>
      </c>
      <c r="O764" s="170" t="s">
        <v>1807</v>
      </c>
      <c r="P764" s="43" t="str">
        <f>IFERROR(IF(AND(BoM_Griptel[[#This Row],[Quantity]]&lt;&gt;"",BoM_Griptel[[#This Row],[Currency]]="NOK"),BoM_Griptel[[#This Row],[Quantity]]*BoM_Griptel[[#This Row],[Unit Price]],""),"")</f>
        <v/>
      </c>
      <c r="Q764" s="43" t="str">
        <f>IFERROR(IF(AND(BoM_Griptel[[#This Row],[ACT_Qty]]&lt;&gt;"",BoM_Griptel[[#This Row],[Currency]]="NOK"),BoM_Griptel[[#This Row],[ACT_Qty]]*BoM_Griptel[[#This Row],[Unit Price]],""),"")</f>
        <v/>
      </c>
      <c r="R764" s="43" t="str">
        <f>IFERROR(IF(AND(BoM_Griptel[[#This Row],[Quantity]]&lt;&gt;"",BoM_Griptel[[#This Row],[Currency]]="EUR"),BoM_Griptel[[#This Row],[Quantity]]*BoM_Griptel[[#This Row],[Unit Price]],""),"")</f>
        <v/>
      </c>
      <c r="S764" s="43" t="str">
        <f>IFERROR(IF(AND(BoM_Griptel[[#This Row],[ACT_Qty]]&lt;&gt;"",BoM_Griptel[[#This Row],[Currency]]="EUR"),BoM_Griptel[[#This Row],[ACT_Qty]]*BoM_Griptel[[#This Row],[Unit Price]],""),"")</f>
        <v/>
      </c>
      <c r="T764" s="186" t="s">
        <v>1802</v>
      </c>
      <c r="U764" s="46"/>
      <c r="V764" s="46"/>
      <c r="W764" s="46"/>
    </row>
    <row r="765" spans="1:23">
      <c r="A765" s="146" t="str">
        <f t="shared" si="22"/>
        <v>AKH12345</v>
      </c>
      <c r="B765" s="156"/>
      <c r="C765" s="114"/>
      <c r="D765" s="105"/>
      <c r="E765" s="116"/>
      <c r="F765" s="115"/>
      <c r="G765" s="116"/>
      <c r="H765" s="117"/>
      <c r="I765" s="118"/>
      <c r="J765" s="117"/>
      <c r="K765" s="117"/>
      <c r="L765" s="145" t="s">
        <v>1806</v>
      </c>
      <c r="M765" s="45" t="str">
        <f t="shared" si="23"/>
        <v>OneCo Networks AS</v>
      </c>
      <c r="N765" s="40" t="str">
        <f ca="1">IFERROR(
VLOOKUP(BoM_Griptel[[#This Row],[Product code]],
IF(AND((BoQ!$N$3&lt;&gt;""),OR(BoM_Griptel[[#This Row],[Vendor]]="Griptel",BoM_Griptel[[#This Row],[Vendor]]="Solar")),INDIRECT(Aux!$A$1)),4,FALSE),"")</f>
        <v/>
      </c>
      <c r="O765" s="169" t="s">
        <v>1807</v>
      </c>
      <c r="P765" s="41" t="str">
        <f>IFERROR(IF(AND(BoM_Griptel[[#This Row],[Quantity]]&lt;&gt;"",BoM_Griptel[[#This Row],[Currency]]="NOK"),BoM_Griptel[[#This Row],[Quantity]]*BoM_Griptel[[#This Row],[Unit Price]],""),"")</f>
        <v/>
      </c>
      <c r="Q765" s="41" t="str">
        <f>IFERROR(IF(AND(BoM_Griptel[[#This Row],[ACT_Qty]]&lt;&gt;"",BoM_Griptel[[#This Row],[Currency]]="NOK"),BoM_Griptel[[#This Row],[ACT_Qty]]*BoM_Griptel[[#This Row],[Unit Price]],""),"")</f>
        <v/>
      </c>
      <c r="R765" s="41" t="str">
        <f>IFERROR(IF(AND(BoM_Griptel[[#This Row],[Quantity]]&lt;&gt;"",BoM_Griptel[[#This Row],[Currency]]="EUR"),BoM_Griptel[[#This Row],[Quantity]]*BoM_Griptel[[#This Row],[Unit Price]],""),"")</f>
        <v/>
      </c>
      <c r="S765" s="41" t="str">
        <f>IFERROR(IF(AND(BoM_Griptel[[#This Row],[ACT_Qty]]&lt;&gt;"",BoM_Griptel[[#This Row],[Currency]]="EUR"),BoM_Griptel[[#This Row],[ACT_Qty]]*BoM_Griptel[[#This Row],[Unit Price]],""),"")</f>
        <v/>
      </c>
      <c r="T765" s="185" t="s">
        <v>1802</v>
      </c>
      <c r="U765" s="45"/>
      <c r="V765" s="45"/>
      <c r="W765" s="45"/>
    </row>
    <row r="766" spans="1:23">
      <c r="A766" s="143" t="str">
        <f t="shared" si="22"/>
        <v>AKH12345</v>
      </c>
      <c r="B766" s="155"/>
      <c r="C766" s="92"/>
      <c r="D766" s="68"/>
      <c r="E766" s="94"/>
      <c r="F766" s="93"/>
      <c r="G766" s="94"/>
      <c r="H766" s="95"/>
      <c r="I766" s="97"/>
      <c r="J766" s="95"/>
      <c r="K766" s="95"/>
      <c r="L766" s="148" t="s">
        <v>1806</v>
      </c>
      <c r="M766" s="46" t="str">
        <f t="shared" si="23"/>
        <v>OneCo Networks AS</v>
      </c>
      <c r="N766" s="42" t="str">
        <f ca="1">IFERROR(
VLOOKUP(BoM_Griptel[[#This Row],[Product code]],
IF(AND((BoQ!$N$3&lt;&gt;""),OR(BoM_Griptel[[#This Row],[Vendor]]="Griptel",BoM_Griptel[[#This Row],[Vendor]]="Solar")),INDIRECT(Aux!$A$1)),4,FALSE),"")</f>
        <v/>
      </c>
      <c r="O766" s="170" t="s">
        <v>1807</v>
      </c>
      <c r="P766" s="43" t="str">
        <f>IFERROR(IF(AND(BoM_Griptel[[#This Row],[Quantity]]&lt;&gt;"",BoM_Griptel[[#This Row],[Currency]]="NOK"),BoM_Griptel[[#This Row],[Quantity]]*BoM_Griptel[[#This Row],[Unit Price]],""),"")</f>
        <v/>
      </c>
      <c r="Q766" s="43" t="str">
        <f>IFERROR(IF(AND(BoM_Griptel[[#This Row],[ACT_Qty]]&lt;&gt;"",BoM_Griptel[[#This Row],[Currency]]="NOK"),BoM_Griptel[[#This Row],[ACT_Qty]]*BoM_Griptel[[#This Row],[Unit Price]],""),"")</f>
        <v/>
      </c>
      <c r="R766" s="43" t="str">
        <f>IFERROR(IF(AND(BoM_Griptel[[#This Row],[Quantity]]&lt;&gt;"",BoM_Griptel[[#This Row],[Currency]]="EUR"),BoM_Griptel[[#This Row],[Quantity]]*BoM_Griptel[[#This Row],[Unit Price]],""),"")</f>
        <v/>
      </c>
      <c r="S766" s="43" t="str">
        <f>IFERROR(IF(AND(BoM_Griptel[[#This Row],[ACT_Qty]]&lt;&gt;"",BoM_Griptel[[#This Row],[Currency]]="EUR"),BoM_Griptel[[#This Row],[ACT_Qty]]*BoM_Griptel[[#This Row],[Unit Price]],""),"")</f>
        <v/>
      </c>
      <c r="T766" s="186" t="s">
        <v>1802</v>
      </c>
      <c r="U766" s="46"/>
      <c r="V766" s="46"/>
      <c r="W766" s="46"/>
    </row>
    <row r="767" spans="1:23" s="47" customFormat="1">
      <c r="A767" s="146" t="str">
        <f t="shared" si="22"/>
        <v>AKH12345</v>
      </c>
      <c r="B767" s="156"/>
      <c r="C767" s="114"/>
      <c r="D767" s="105"/>
      <c r="E767" s="116"/>
      <c r="F767" s="115"/>
      <c r="G767" s="116"/>
      <c r="H767" s="117"/>
      <c r="I767" s="118"/>
      <c r="J767" s="117"/>
      <c r="K767" s="117"/>
      <c r="L767" s="145" t="s">
        <v>1806</v>
      </c>
      <c r="M767" s="45" t="str">
        <f t="shared" si="23"/>
        <v>OneCo Networks AS</v>
      </c>
      <c r="N767" s="40" t="str">
        <f ca="1">IFERROR(
VLOOKUP(BoM_Griptel[[#This Row],[Product code]],
IF(AND((BoQ!$N$3&lt;&gt;""),OR(BoM_Griptel[[#This Row],[Vendor]]="Griptel",BoM_Griptel[[#This Row],[Vendor]]="Solar")),INDIRECT(Aux!$A$1)),4,FALSE),"")</f>
        <v/>
      </c>
      <c r="O767" s="169" t="s">
        <v>1807</v>
      </c>
      <c r="P767" s="41" t="str">
        <f>IFERROR(IF(AND(BoM_Griptel[[#This Row],[Quantity]]&lt;&gt;"",BoM_Griptel[[#This Row],[Currency]]="NOK"),BoM_Griptel[[#This Row],[Quantity]]*BoM_Griptel[[#This Row],[Unit Price]],""),"")</f>
        <v/>
      </c>
      <c r="Q767" s="41" t="str">
        <f>IFERROR(IF(AND(BoM_Griptel[[#This Row],[ACT_Qty]]&lt;&gt;"",BoM_Griptel[[#This Row],[Currency]]="NOK"),BoM_Griptel[[#This Row],[ACT_Qty]]*BoM_Griptel[[#This Row],[Unit Price]],""),"")</f>
        <v/>
      </c>
      <c r="R767" s="41" t="str">
        <f>IFERROR(IF(AND(BoM_Griptel[[#This Row],[Quantity]]&lt;&gt;"",BoM_Griptel[[#This Row],[Currency]]="EUR"),BoM_Griptel[[#This Row],[Quantity]]*BoM_Griptel[[#This Row],[Unit Price]],""),"")</f>
        <v/>
      </c>
      <c r="S767" s="41" t="str">
        <f>IFERROR(IF(AND(BoM_Griptel[[#This Row],[ACT_Qty]]&lt;&gt;"",BoM_Griptel[[#This Row],[Currency]]="EUR"),BoM_Griptel[[#This Row],[ACT_Qty]]*BoM_Griptel[[#This Row],[Unit Price]],""),"")</f>
        <v/>
      </c>
      <c r="T767" s="185" t="s">
        <v>1802</v>
      </c>
      <c r="U767" s="45"/>
      <c r="V767" s="45"/>
      <c r="W767" s="45"/>
    </row>
    <row r="768" spans="1:23" s="47" customFormat="1">
      <c r="A768" s="146" t="str">
        <f t="shared" si="22"/>
        <v>AKH12345</v>
      </c>
      <c r="B768" s="157"/>
      <c r="C768" s="81"/>
      <c r="D768" s="68"/>
      <c r="E768" s="90"/>
      <c r="F768" s="73"/>
      <c r="G768" s="90"/>
      <c r="H768" s="82"/>
      <c r="I768" s="83"/>
      <c r="J768" s="82"/>
      <c r="K768" s="82"/>
      <c r="L768" s="148" t="s">
        <v>1806</v>
      </c>
      <c r="M768" s="46" t="str">
        <f t="shared" si="23"/>
        <v>OneCo Networks AS</v>
      </c>
      <c r="N768" s="42" t="str">
        <f ca="1">IFERROR(
VLOOKUP(BoM_Griptel[[#This Row],[Product code]],
IF(AND((BoQ!$N$3&lt;&gt;""),OR(BoM_Griptel[[#This Row],[Vendor]]="Griptel",BoM_Griptel[[#This Row],[Vendor]]="Solar")),INDIRECT(Aux!$A$1)),4,FALSE),"")</f>
        <v/>
      </c>
      <c r="O768" s="170" t="s">
        <v>1807</v>
      </c>
      <c r="P768" s="43" t="str">
        <f>IFERROR(IF(AND(BoM_Griptel[[#This Row],[Quantity]]&lt;&gt;"",BoM_Griptel[[#This Row],[Currency]]="NOK"),BoM_Griptel[[#This Row],[Quantity]]*BoM_Griptel[[#This Row],[Unit Price]],""),"")</f>
        <v/>
      </c>
      <c r="Q768" s="43" t="str">
        <f>IFERROR(IF(AND(BoM_Griptel[[#This Row],[ACT_Qty]]&lt;&gt;"",BoM_Griptel[[#This Row],[Currency]]="NOK"),BoM_Griptel[[#This Row],[ACT_Qty]]*BoM_Griptel[[#This Row],[Unit Price]],""),"")</f>
        <v/>
      </c>
      <c r="R768" s="43" t="str">
        <f>IFERROR(IF(AND(BoM_Griptel[[#This Row],[Quantity]]&lt;&gt;"",BoM_Griptel[[#This Row],[Currency]]="EUR"),BoM_Griptel[[#This Row],[Quantity]]*BoM_Griptel[[#This Row],[Unit Price]],""),"")</f>
        <v/>
      </c>
      <c r="S768" s="43" t="str">
        <f>IFERROR(IF(AND(BoM_Griptel[[#This Row],[ACT_Qty]]&lt;&gt;"",BoM_Griptel[[#This Row],[Currency]]="EUR"),BoM_Griptel[[#This Row],[ACT_Qty]]*BoM_Griptel[[#This Row],[Unit Price]],""),"")</f>
        <v/>
      </c>
      <c r="T768" s="186" t="s">
        <v>1802</v>
      </c>
      <c r="U768" s="46"/>
      <c r="V768" s="46"/>
      <c r="W768" s="46"/>
    </row>
    <row r="769" spans="1:23" s="47" customFormat="1">
      <c r="A769" s="143" t="str">
        <f t="shared" si="22"/>
        <v>AKH12345</v>
      </c>
      <c r="B769" s="158"/>
      <c r="C769" s="120"/>
      <c r="D769" s="105"/>
      <c r="E769" s="122"/>
      <c r="F769" s="121"/>
      <c r="G769" s="122"/>
      <c r="H769" s="119"/>
      <c r="I769" s="123"/>
      <c r="J769" s="119"/>
      <c r="K769" s="119"/>
      <c r="L769" s="145" t="s">
        <v>1806</v>
      </c>
      <c r="M769" s="45" t="str">
        <f t="shared" si="23"/>
        <v>OneCo Networks AS</v>
      </c>
      <c r="N769" s="40" t="str">
        <f ca="1">IFERROR(
VLOOKUP(BoM_Griptel[[#This Row],[Product code]],
IF(AND((BoQ!$N$3&lt;&gt;""),OR(BoM_Griptel[[#This Row],[Vendor]]="Griptel",BoM_Griptel[[#This Row],[Vendor]]="Solar")),INDIRECT(Aux!$A$1)),4,FALSE),"")</f>
        <v/>
      </c>
      <c r="O769" s="169" t="s">
        <v>1807</v>
      </c>
      <c r="P769" s="41" t="str">
        <f>IFERROR(IF(AND(BoM_Griptel[[#This Row],[Quantity]]&lt;&gt;"",BoM_Griptel[[#This Row],[Currency]]="NOK"),BoM_Griptel[[#This Row],[Quantity]]*BoM_Griptel[[#This Row],[Unit Price]],""),"")</f>
        <v/>
      </c>
      <c r="Q769" s="41" t="str">
        <f>IFERROR(IF(AND(BoM_Griptel[[#This Row],[ACT_Qty]]&lt;&gt;"",BoM_Griptel[[#This Row],[Currency]]="NOK"),BoM_Griptel[[#This Row],[ACT_Qty]]*BoM_Griptel[[#This Row],[Unit Price]],""),"")</f>
        <v/>
      </c>
      <c r="R769" s="41" t="str">
        <f>IFERROR(IF(AND(BoM_Griptel[[#This Row],[Quantity]]&lt;&gt;"",BoM_Griptel[[#This Row],[Currency]]="EUR"),BoM_Griptel[[#This Row],[Quantity]]*BoM_Griptel[[#This Row],[Unit Price]],""),"")</f>
        <v/>
      </c>
      <c r="S769" s="41" t="str">
        <f>IFERROR(IF(AND(BoM_Griptel[[#This Row],[ACT_Qty]]&lt;&gt;"",BoM_Griptel[[#This Row],[Currency]]="EUR"),BoM_Griptel[[#This Row],[ACT_Qty]]*BoM_Griptel[[#This Row],[Unit Price]],""),"")</f>
        <v/>
      </c>
      <c r="T769" s="185" t="s">
        <v>1802</v>
      </c>
      <c r="U769" s="45"/>
      <c r="V769" s="45"/>
      <c r="W769" s="45"/>
    </row>
    <row r="770" spans="1:23" s="47" customFormat="1">
      <c r="A770" s="146" t="str">
        <f t="shared" si="22"/>
        <v>AKH12345</v>
      </c>
      <c r="B770" s="157"/>
      <c r="C770" s="81"/>
      <c r="D770" s="68"/>
      <c r="E770" s="90"/>
      <c r="F770" s="73"/>
      <c r="G770" s="90"/>
      <c r="H770" s="82"/>
      <c r="I770" s="83"/>
      <c r="J770" s="82"/>
      <c r="K770" s="82"/>
      <c r="L770" s="148" t="s">
        <v>1806</v>
      </c>
      <c r="M770" s="46" t="str">
        <f t="shared" si="23"/>
        <v>OneCo Networks AS</v>
      </c>
      <c r="N770" s="42" t="str">
        <f ca="1">IFERROR(
VLOOKUP(BoM_Griptel[[#This Row],[Product code]],
IF(AND((BoQ!$N$3&lt;&gt;""),OR(BoM_Griptel[[#This Row],[Vendor]]="Griptel",BoM_Griptel[[#This Row],[Vendor]]="Solar")),INDIRECT(Aux!$A$1)),4,FALSE),"")</f>
        <v/>
      </c>
      <c r="O770" s="170" t="s">
        <v>1807</v>
      </c>
      <c r="P770" s="43" t="str">
        <f>IFERROR(IF(AND(BoM_Griptel[[#This Row],[Quantity]]&lt;&gt;"",BoM_Griptel[[#This Row],[Currency]]="NOK"),BoM_Griptel[[#This Row],[Quantity]]*BoM_Griptel[[#This Row],[Unit Price]],""),"")</f>
        <v/>
      </c>
      <c r="Q770" s="43" t="str">
        <f>IFERROR(IF(AND(BoM_Griptel[[#This Row],[ACT_Qty]]&lt;&gt;"",BoM_Griptel[[#This Row],[Currency]]="NOK"),BoM_Griptel[[#This Row],[ACT_Qty]]*BoM_Griptel[[#This Row],[Unit Price]],""),"")</f>
        <v/>
      </c>
      <c r="R770" s="43" t="str">
        <f>IFERROR(IF(AND(BoM_Griptel[[#This Row],[Quantity]]&lt;&gt;"",BoM_Griptel[[#This Row],[Currency]]="EUR"),BoM_Griptel[[#This Row],[Quantity]]*BoM_Griptel[[#This Row],[Unit Price]],""),"")</f>
        <v/>
      </c>
      <c r="S770" s="43" t="str">
        <f>IFERROR(IF(AND(BoM_Griptel[[#This Row],[ACT_Qty]]&lt;&gt;"",BoM_Griptel[[#This Row],[Currency]]="EUR"),BoM_Griptel[[#This Row],[ACT_Qty]]*BoM_Griptel[[#This Row],[Unit Price]],""),"")</f>
        <v/>
      </c>
      <c r="T770" s="186" t="s">
        <v>1802</v>
      </c>
      <c r="U770" s="46"/>
      <c r="V770" s="46"/>
      <c r="W770" s="46"/>
    </row>
    <row r="771" spans="1:23" s="47" customFormat="1">
      <c r="A771" s="143" t="str">
        <f t="shared" si="22"/>
        <v>AKH12345</v>
      </c>
      <c r="B771" s="158"/>
      <c r="C771" s="120"/>
      <c r="D771" s="105"/>
      <c r="E771" s="122"/>
      <c r="F771" s="121"/>
      <c r="G771" s="122"/>
      <c r="H771" s="119"/>
      <c r="I771" s="123"/>
      <c r="J771" s="119"/>
      <c r="K771" s="119"/>
      <c r="L771" s="145" t="s">
        <v>1806</v>
      </c>
      <c r="M771" s="45" t="str">
        <f t="shared" si="23"/>
        <v>OneCo Networks AS</v>
      </c>
      <c r="N771" s="40" t="str">
        <f ca="1">IFERROR(
VLOOKUP(BoM_Griptel[[#This Row],[Product code]],
IF(AND((BoQ!$N$3&lt;&gt;""),OR(BoM_Griptel[[#This Row],[Vendor]]="Griptel",BoM_Griptel[[#This Row],[Vendor]]="Solar")),INDIRECT(Aux!$A$1)),4,FALSE),"")</f>
        <v/>
      </c>
      <c r="O771" s="169" t="s">
        <v>1807</v>
      </c>
      <c r="P771" s="41" t="str">
        <f>IFERROR(IF(AND(BoM_Griptel[[#This Row],[Quantity]]&lt;&gt;"",BoM_Griptel[[#This Row],[Currency]]="NOK"),BoM_Griptel[[#This Row],[Quantity]]*BoM_Griptel[[#This Row],[Unit Price]],""),"")</f>
        <v/>
      </c>
      <c r="Q771" s="41" t="str">
        <f>IFERROR(IF(AND(BoM_Griptel[[#This Row],[ACT_Qty]]&lt;&gt;"",BoM_Griptel[[#This Row],[Currency]]="NOK"),BoM_Griptel[[#This Row],[ACT_Qty]]*BoM_Griptel[[#This Row],[Unit Price]],""),"")</f>
        <v/>
      </c>
      <c r="R771" s="41" t="str">
        <f>IFERROR(IF(AND(BoM_Griptel[[#This Row],[Quantity]]&lt;&gt;"",BoM_Griptel[[#This Row],[Currency]]="EUR"),BoM_Griptel[[#This Row],[Quantity]]*BoM_Griptel[[#This Row],[Unit Price]],""),"")</f>
        <v/>
      </c>
      <c r="S771" s="41" t="str">
        <f>IFERROR(IF(AND(BoM_Griptel[[#This Row],[ACT_Qty]]&lt;&gt;"",BoM_Griptel[[#This Row],[Currency]]="EUR"),BoM_Griptel[[#This Row],[ACT_Qty]]*BoM_Griptel[[#This Row],[Unit Price]],""),"")</f>
        <v/>
      </c>
      <c r="T771" s="185" t="s">
        <v>1802</v>
      </c>
      <c r="U771" s="45"/>
      <c r="V771" s="45"/>
      <c r="W771" s="45"/>
    </row>
    <row r="772" spans="1:23" s="47" customFormat="1">
      <c r="A772" s="146" t="str">
        <f t="shared" si="22"/>
        <v>AKH12345</v>
      </c>
      <c r="B772" s="157"/>
      <c r="C772" s="81"/>
      <c r="D772" s="68"/>
      <c r="E772" s="90"/>
      <c r="F772" s="73"/>
      <c r="G772" s="90"/>
      <c r="H772" s="82"/>
      <c r="I772" s="83"/>
      <c r="J772" s="82"/>
      <c r="K772" s="82"/>
      <c r="L772" s="148" t="s">
        <v>1806</v>
      </c>
      <c r="M772" s="46" t="str">
        <f t="shared" si="23"/>
        <v>OneCo Networks AS</v>
      </c>
      <c r="N772" s="42" t="str">
        <f ca="1">IFERROR(
VLOOKUP(BoM_Griptel[[#This Row],[Product code]],
IF(AND((BoQ!$N$3&lt;&gt;""),OR(BoM_Griptel[[#This Row],[Vendor]]="Griptel",BoM_Griptel[[#This Row],[Vendor]]="Solar")),INDIRECT(Aux!$A$1)),4,FALSE),"")</f>
        <v/>
      </c>
      <c r="O772" s="170" t="s">
        <v>1807</v>
      </c>
      <c r="P772" s="43" t="str">
        <f>IFERROR(IF(AND(BoM_Griptel[[#This Row],[Quantity]]&lt;&gt;"",BoM_Griptel[[#This Row],[Currency]]="NOK"),BoM_Griptel[[#This Row],[Quantity]]*BoM_Griptel[[#This Row],[Unit Price]],""),"")</f>
        <v/>
      </c>
      <c r="Q772" s="43" t="str">
        <f>IFERROR(IF(AND(BoM_Griptel[[#This Row],[ACT_Qty]]&lt;&gt;"",BoM_Griptel[[#This Row],[Currency]]="NOK"),BoM_Griptel[[#This Row],[ACT_Qty]]*BoM_Griptel[[#This Row],[Unit Price]],""),"")</f>
        <v/>
      </c>
      <c r="R772" s="43" t="str">
        <f>IFERROR(IF(AND(BoM_Griptel[[#This Row],[Quantity]]&lt;&gt;"",BoM_Griptel[[#This Row],[Currency]]="EUR"),BoM_Griptel[[#This Row],[Quantity]]*BoM_Griptel[[#This Row],[Unit Price]],""),"")</f>
        <v/>
      </c>
      <c r="S772" s="43" t="str">
        <f>IFERROR(IF(AND(BoM_Griptel[[#This Row],[ACT_Qty]]&lt;&gt;"",BoM_Griptel[[#This Row],[Currency]]="EUR"),BoM_Griptel[[#This Row],[ACT_Qty]]*BoM_Griptel[[#This Row],[Unit Price]],""),"")</f>
        <v/>
      </c>
      <c r="T772" s="186" t="s">
        <v>1802</v>
      </c>
      <c r="U772" s="46"/>
      <c r="V772" s="46"/>
      <c r="W772" s="46"/>
    </row>
    <row r="773" spans="1:23" s="47" customFormat="1">
      <c r="A773" s="143" t="str">
        <f t="shared" si="22"/>
        <v>AKH12345</v>
      </c>
      <c r="B773" s="158"/>
      <c r="C773" s="120"/>
      <c r="D773" s="105"/>
      <c r="E773" s="122"/>
      <c r="F773" s="121"/>
      <c r="G773" s="122"/>
      <c r="H773" s="119"/>
      <c r="I773" s="123"/>
      <c r="J773" s="119"/>
      <c r="K773" s="119"/>
      <c r="L773" s="145" t="s">
        <v>1806</v>
      </c>
      <c r="M773" s="45" t="str">
        <f t="shared" si="23"/>
        <v>OneCo Networks AS</v>
      </c>
      <c r="N773" s="40" t="str">
        <f ca="1">IFERROR(
VLOOKUP(BoM_Griptel[[#This Row],[Product code]],
IF(AND((BoQ!$N$3&lt;&gt;""),OR(BoM_Griptel[[#This Row],[Vendor]]="Griptel",BoM_Griptel[[#This Row],[Vendor]]="Solar")),INDIRECT(Aux!$A$1)),4,FALSE),"")</f>
        <v/>
      </c>
      <c r="O773" s="169" t="s">
        <v>1807</v>
      </c>
      <c r="P773" s="41" t="str">
        <f>IFERROR(IF(AND(BoM_Griptel[[#This Row],[Quantity]]&lt;&gt;"",BoM_Griptel[[#This Row],[Currency]]="NOK"),BoM_Griptel[[#This Row],[Quantity]]*BoM_Griptel[[#This Row],[Unit Price]],""),"")</f>
        <v/>
      </c>
      <c r="Q773" s="41" t="str">
        <f>IFERROR(IF(AND(BoM_Griptel[[#This Row],[ACT_Qty]]&lt;&gt;"",BoM_Griptel[[#This Row],[Currency]]="NOK"),BoM_Griptel[[#This Row],[ACT_Qty]]*BoM_Griptel[[#This Row],[Unit Price]],""),"")</f>
        <v/>
      </c>
      <c r="R773" s="41" t="str">
        <f>IFERROR(IF(AND(BoM_Griptel[[#This Row],[Quantity]]&lt;&gt;"",BoM_Griptel[[#This Row],[Currency]]="EUR"),BoM_Griptel[[#This Row],[Quantity]]*BoM_Griptel[[#This Row],[Unit Price]],""),"")</f>
        <v/>
      </c>
      <c r="S773" s="41" t="str">
        <f>IFERROR(IF(AND(BoM_Griptel[[#This Row],[ACT_Qty]]&lt;&gt;"",BoM_Griptel[[#This Row],[Currency]]="EUR"),BoM_Griptel[[#This Row],[ACT_Qty]]*BoM_Griptel[[#This Row],[Unit Price]],""),"")</f>
        <v/>
      </c>
      <c r="T773" s="185" t="s">
        <v>1802</v>
      </c>
      <c r="U773" s="45"/>
      <c r="V773" s="45"/>
      <c r="W773" s="45"/>
    </row>
    <row r="774" spans="1:23" s="47" customFormat="1">
      <c r="A774" s="146" t="str">
        <f t="shared" si="22"/>
        <v>AKH12345</v>
      </c>
      <c r="B774" s="157"/>
      <c r="C774" s="81"/>
      <c r="D774" s="68"/>
      <c r="E774" s="90"/>
      <c r="F774" s="73"/>
      <c r="G774" s="90"/>
      <c r="H774" s="82"/>
      <c r="I774" s="83"/>
      <c r="J774" s="82"/>
      <c r="K774" s="82"/>
      <c r="L774" s="148" t="s">
        <v>1806</v>
      </c>
      <c r="M774" s="46" t="str">
        <f t="shared" si="23"/>
        <v>OneCo Networks AS</v>
      </c>
      <c r="N774" s="42" t="str">
        <f ca="1">IFERROR(
VLOOKUP(BoM_Griptel[[#This Row],[Product code]],
IF(AND((BoQ!$N$3&lt;&gt;""),OR(BoM_Griptel[[#This Row],[Vendor]]="Griptel",BoM_Griptel[[#This Row],[Vendor]]="Solar")),INDIRECT(Aux!$A$1)),4,FALSE),"")</f>
        <v/>
      </c>
      <c r="O774" s="170" t="s">
        <v>1807</v>
      </c>
      <c r="P774" s="43" t="str">
        <f>IFERROR(IF(AND(BoM_Griptel[[#This Row],[Quantity]]&lt;&gt;"",BoM_Griptel[[#This Row],[Currency]]="NOK"),BoM_Griptel[[#This Row],[Quantity]]*BoM_Griptel[[#This Row],[Unit Price]],""),"")</f>
        <v/>
      </c>
      <c r="Q774" s="43" t="str">
        <f>IFERROR(IF(AND(BoM_Griptel[[#This Row],[ACT_Qty]]&lt;&gt;"",BoM_Griptel[[#This Row],[Currency]]="NOK"),BoM_Griptel[[#This Row],[ACT_Qty]]*BoM_Griptel[[#This Row],[Unit Price]],""),"")</f>
        <v/>
      </c>
      <c r="R774" s="43" t="str">
        <f>IFERROR(IF(AND(BoM_Griptel[[#This Row],[Quantity]]&lt;&gt;"",BoM_Griptel[[#This Row],[Currency]]="EUR"),BoM_Griptel[[#This Row],[Quantity]]*BoM_Griptel[[#This Row],[Unit Price]],""),"")</f>
        <v/>
      </c>
      <c r="S774" s="43" t="str">
        <f>IFERROR(IF(AND(BoM_Griptel[[#This Row],[ACT_Qty]]&lt;&gt;"",BoM_Griptel[[#This Row],[Currency]]="EUR"),BoM_Griptel[[#This Row],[ACT_Qty]]*BoM_Griptel[[#This Row],[Unit Price]],""),"")</f>
        <v/>
      </c>
      <c r="T774" s="186" t="s">
        <v>1802</v>
      </c>
      <c r="U774" s="46"/>
      <c r="V774" s="46"/>
      <c r="W774" s="46"/>
    </row>
    <row r="775" spans="1:23" s="47" customFormat="1">
      <c r="A775" s="143" t="str">
        <f t="shared" si="22"/>
        <v>AKH12345</v>
      </c>
      <c r="B775" s="158"/>
      <c r="C775" s="120"/>
      <c r="D775" s="105"/>
      <c r="E775" s="122"/>
      <c r="F775" s="121"/>
      <c r="G775" s="122"/>
      <c r="H775" s="119"/>
      <c r="I775" s="123"/>
      <c r="J775" s="119"/>
      <c r="K775" s="119"/>
      <c r="L775" s="145" t="s">
        <v>1806</v>
      </c>
      <c r="M775" s="45" t="str">
        <f t="shared" si="23"/>
        <v>OneCo Networks AS</v>
      </c>
      <c r="N775" s="40" t="str">
        <f ca="1">IFERROR(
VLOOKUP(BoM_Griptel[[#This Row],[Product code]],
IF(AND((BoQ!$N$3&lt;&gt;""),OR(BoM_Griptel[[#This Row],[Vendor]]="Griptel",BoM_Griptel[[#This Row],[Vendor]]="Solar")),INDIRECT(Aux!$A$1)),4,FALSE),"")</f>
        <v/>
      </c>
      <c r="O775" s="169" t="s">
        <v>1807</v>
      </c>
      <c r="P775" s="41" t="str">
        <f>IFERROR(IF(AND(BoM_Griptel[[#This Row],[Quantity]]&lt;&gt;"",BoM_Griptel[[#This Row],[Currency]]="NOK"),BoM_Griptel[[#This Row],[Quantity]]*BoM_Griptel[[#This Row],[Unit Price]],""),"")</f>
        <v/>
      </c>
      <c r="Q775" s="41" t="str">
        <f>IFERROR(IF(AND(BoM_Griptel[[#This Row],[ACT_Qty]]&lt;&gt;"",BoM_Griptel[[#This Row],[Currency]]="NOK"),BoM_Griptel[[#This Row],[ACT_Qty]]*BoM_Griptel[[#This Row],[Unit Price]],""),"")</f>
        <v/>
      </c>
      <c r="R775" s="41" t="str">
        <f>IFERROR(IF(AND(BoM_Griptel[[#This Row],[Quantity]]&lt;&gt;"",BoM_Griptel[[#This Row],[Currency]]="EUR"),BoM_Griptel[[#This Row],[Quantity]]*BoM_Griptel[[#This Row],[Unit Price]],""),"")</f>
        <v/>
      </c>
      <c r="S775" s="41" t="str">
        <f>IFERROR(IF(AND(BoM_Griptel[[#This Row],[ACT_Qty]]&lt;&gt;"",BoM_Griptel[[#This Row],[Currency]]="EUR"),BoM_Griptel[[#This Row],[ACT_Qty]]*BoM_Griptel[[#This Row],[Unit Price]],""),"")</f>
        <v/>
      </c>
      <c r="T775" s="185" t="s">
        <v>1802</v>
      </c>
      <c r="U775" s="45"/>
      <c r="V775" s="45"/>
      <c r="W775" s="45"/>
    </row>
    <row r="776" spans="1:23" s="47" customFormat="1">
      <c r="A776" s="146" t="str">
        <f t="shared" si="22"/>
        <v>AKH12345</v>
      </c>
      <c r="B776" s="157"/>
      <c r="C776" s="81"/>
      <c r="D776" s="68"/>
      <c r="E776" s="90"/>
      <c r="F776" s="73"/>
      <c r="G776" s="90"/>
      <c r="H776" s="82"/>
      <c r="I776" s="83"/>
      <c r="J776" s="82"/>
      <c r="K776" s="82"/>
      <c r="L776" s="148" t="s">
        <v>1806</v>
      </c>
      <c r="M776" s="46" t="str">
        <f t="shared" si="23"/>
        <v>OneCo Networks AS</v>
      </c>
      <c r="N776" s="42" t="str">
        <f ca="1">IFERROR(
VLOOKUP(BoM_Griptel[[#This Row],[Product code]],
IF(AND((BoQ!$N$3&lt;&gt;""),OR(BoM_Griptel[[#This Row],[Vendor]]="Griptel",BoM_Griptel[[#This Row],[Vendor]]="Solar")),INDIRECT(Aux!$A$1)),4,FALSE),"")</f>
        <v/>
      </c>
      <c r="O776" s="170" t="s">
        <v>1807</v>
      </c>
      <c r="P776" s="43" t="str">
        <f>IFERROR(IF(AND(BoM_Griptel[[#This Row],[Quantity]]&lt;&gt;"",BoM_Griptel[[#This Row],[Currency]]="NOK"),BoM_Griptel[[#This Row],[Quantity]]*BoM_Griptel[[#This Row],[Unit Price]],""),"")</f>
        <v/>
      </c>
      <c r="Q776" s="43" t="str">
        <f>IFERROR(IF(AND(BoM_Griptel[[#This Row],[ACT_Qty]]&lt;&gt;"",BoM_Griptel[[#This Row],[Currency]]="NOK"),BoM_Griptel[[#This Row],[ACT_Qty]]*BoM_Griptel[[#This Row],[Unit Price]],""),"")</f>
        <v/>
      </c>
      <c r="R776" s="43" t="str">
        <f>IFERROR(IF(AND(BoM_Griptel[[#This Row],[Quantity]]&lt;&gt;"",BoM_Griptel[[#This Row],[Currency]]="EUR"),BoM_Griptel[[#This Row],[Quantity]]*BoM_Griptel[[#This Row],[Unit Price]],""),"")</f>
        <v/>
      </c>
      <c r="S776" s="43" t="str">
        <f>IFERROR(IF(AND(BoM_Griptel[[#This Row],[ACT_Qty]]&lt;&gt;"",BoM_Griptel[[#This Row],[Currency]]="EUR"),BoM_Griptel[[#This Row],[ACT_Qty]]*BoM_Griptel[[#This Row],[Unit Price]],""),"")</f>
        <v/>
      </c>
      <c r="T776" s="186" t="s">
        <v>1802</v>
      </c>
      <c r="U776" s="46"/>
      <c r="V776" s="46"/>
      <c r="W776" s="46"/>
    </row>
    <row r="777" spans="1:23" s="47" customFormat="1">
      <c r="A777" s="143" t="str">
        <f t="shared" si="22"/>
        <v>AKH12345</v>
      </c>
      <c r="B777" s="158"/>
      <c r="C777" s="120"/>
      <c r="D777" s="105"/>
      <c r="E777" s="122"/>
      <c r="F777" s="121"/>
      <c r="G777" s="122"/>
      <c r="H777" s="119"/>
      <c r="I777" s="123"/>
      <c r="J777" s="119"/>
      <c r="K777" s="119"/>
      <c r="L777" s="145" t="s">
        <v>1806</v>
      </c>
      <c r="M777" s="45" t="str">
        <f t="shared" si="23"/>
        <v>OneCo Networks AS</v>
      </c>
      <c r="N777" s="40" t="str">
        <f ca="1">IFERROR(
VLOOKUP(BoM_Griptel[[#This Row],[Product code]],
IF(AND((BoQ!$N$3&lt;&gt;""),OR(BoM_Griptel[[#This Row],[Vendor]]="Griptel",BoM_Griptel[[#This Row],[Vendor]]="Solar")),INDIRECT(Aux!$A$1)),4,FALSE),"")</f>
        <v/>
      </c>
      <c r="O777" s="169" t="s">
        <v>1807</v>
      </c>
      <c r="P777" s="41" t="str">
        <f>IFERROR(IF(AND(BoM_Griptel[[#This Row],[Quantity]]&lt;&gt;"",BoM_Griptel[[#This Row],[Currency]]="NOK"),BoM_Griptel[[#This Row],[Quantity]]*BoM_Griptel[[#This Row],[Unit Price]],""),"")</f>
        <v/>
      </c>
      <c r="Q777" s="41" t="str">
        <f>IFERROR(IF(AND(BoM_Griptel[[#This Row],[ACT_Qty]]&lt;&gt;"",BoM_Griptel[[#This Row],[Currency]]="NOK"),BoM_Griptel[[#This Row],[ACT_Qty]]*BoM_Griptel[[#This Row],[Unit Price]],""),"")</f>
        <v/>
      </c>
      <c r="R777" s="41" t="str">
        <f>IFERROR(IF(AND(BoM_Griptel[[#This Row],[Quantity]]&lt;&gt;"",BoM_Griptel[[#This Row],[Currency]]="EUR"),BoM_Griptel[[#This Row],[Quantity]]*BoM_Griptel[[#This Row],[Unit Price]],""),"")</f>
        <v/>
      </c>
      <c r="S777" s="41" t="str">
        <f>IFERROR(IF(AND(BoM_Griptel[[#This Row],[ACT_Qty]]&lt;&gt;"",BoM_Griptel[[#This Row],[Currency]]="EUR"),BoM_Griptel[[#This Row],[ACT_Qty]]*BoM_Griptel[[#This Row],[Unit Price]],""),"")</f>
        <v/>
      </c>
      <c r="T777" s="185" t="s">
        <v>1802</v>
      </c>
      <c r="U777" s="45"/>
      <c r="V777" s="45"/>
      <c r="W777" s="45"/>
    </row>
    <row r="778" spans="1:23" s="47" customFormat="1">
      <c r="A778" s="146" t="str">
        <f t="shared" si="22"/>
        <v>AKH12345</v>
      </c>
      <c r="B778" s="157"/>
      <c r="C778" s="81"/>
      <c r="D778" s="68"/>
      <c r="E778" s="90"/>
      <c r="F778" s="73"/>
      <c r="G778" s="90"/>
      <c r="H778" s="82"/>
      <c r="I778" s="83"/>
      <c r="J778" s="82"/>
      <c r="K778" s="82"/>
      <c r="L778" s="148" t="s">
        <v>1806</v>
      </c>
      <c r="M778" s="46" t="str">
        <f t="shared" si="23"/>
        <v>OneCo Networks AS</v>
      </c>
      <c r="N778" s="42" t="str">
        <f ca="1">IFERROR(
VLOOKUP(BoM_Griptel[[#This Row],[Product code]],
IF(AND((BoQ!$N$3&lt;&gt;""),OR(BoM_Griptel[[#This Row],[Vendor]]="Griptel",BoM_Griptel[[#This Row],[Vendor]]="Solar")),INDIRECT(Aux!$A$1)),4,FALSE),"")</f>
        <v/>
      </c>
      <c r="O778" s="170" t="s">
        <v>1807</v>
      </c>
      <c r="P778" s="43" t="str">
        <f>IFERROR(IF(AND(BoM_Griptel[[#This Row],[Quantity]]&lt;&gt;"",BoM_Griptel[[#This Row],[Currency]]="NOK"),BoM_Griptel[[#This Row],[Quantity]]*BoM_Griptel[[#This Row],[Unit Price]],""),"")</f>
        <v/>
      </c>
      <c r="Q778" s="43" t="str">
        <f>IFERROR(IF(AND(BoM_Griptel[[#This Row],[ACT_Qty]]&lt;&gt;"",BoM_Griptel[[#This Row],[Currency]]="NOK"),BoM_Griptel[[#This Row],[ACT_Qty]]*BoM_Griptel[[#This Row],[Unit Price]],""),"")</f>
        <v/>
      </c>
      <c r="R778" s="43" t="str">
        <f>IFERROR(IF(AND(BoM_Griptel[[#This Row],[Quantity]]&lt;&gt;"",BoM_Griptel[[#This Row],[Currency]]="EUR"),BoM_Griptel[[#This Row],[Quantity]]*BoM_Griptel[[#This Row],[Unit Price]],""),"")</f>
        <v/>
      </c>
      <c r="S778" s="43" t="str">
        <f>IFERROR(IF(AND(BoM_Griptel[[#This Row],[ACT_Qty]]&lt;&gt;"",BoM_Griptel[[#This Row],[Currency]]="EUR"),BoM_Griptel[[#This Row],[ACT_Qty]]*BoM_Griptel[[#This Row],[Unit Price]],""),"")</f>
        <v/>
      </c>
      <c r="T778" s="186" t="s">
        <v>1802</v>
      </c>
      <c r="U778" s="46"/>
      <c r="V778" s="46"/>
      <c r="W778" s="46"/>
    </row>
    <row r="779" spans="1:23" s="47" customFormat="1">
      <c r="A779" s="143" t="str">
        <f t="shared" si="22"/>
        <v>AKH12345</v>
      </c>
      <c r="B779" s="158"/>
      <c r="C779" s="120"/>
      <c r="D779" s="105"/>
      <c r="E779" s="122"/>
      <c r="F779" s="121"/>
      <c r="G779" s="122"/>
      <c r="H779" s="119"/>
      <c r="I779" s="123"/>
      <c r="J779" s="119"/>
      <c r="K779" s="119"/>
      <c r="L779" s="145" t="s">
        <v>1806</v>
      </c>
      <c r="M779" s="45" t="str">
        <f t="shared" si="23"/>
        <v>OneCo Networks AS</v>
      </c>
      <c r="N779" s="40" t="str">
        <f ca="1">IFERROR(
VLOOKUP(BoM_Griptel[[#This Row],[Product code]],
IF(AND((BoQ!$N$3&lt;&gt;""),OR(BoM_Griptel[[#This Row],[Vendor]]="Griptel",BoM_Griptel[[#This Row],[Vendor]]="Solar")),INDIRECT(Aux!$A$1)),4,FALSE),"")</f>
        <v/>
      </c>
      <c r="O779" s="169" t="s">
        <v>1807</v>
      </c>
      <c r="P779" s="41" t="str">
        <f>IFERROR(IF(AND(BoM_Griptel[[#This Row],[Quantity]]&lt;&gt;"",BoM_Griptel[[#This Row],[Currency]]="NOK"),BoM_Griptel[[#This Row],[Quantity]]*BoM_Griptel[[#This Row],[Unit Price]],""),"")</f>
        <v/>
      </c>
      <c r="Q779" s="41" t="str">
        <f>IFERROR(IF(AND(BoM_Griptel[[#This Row],[ACT_Qty]]&lt;&gt;"",BoM_Griptel[[#This Row],[Currency]]="NOK"),BoM_Griptel[[#This Row],[ACT_Qty]]*BoM_Griptel[[#This Row],[Unit Price]],""),"")</f>
        <v/>
      </c>
      <c r="R779" s="41" t="str">
        <f>IFERROR(IF(AND(BoM_Griptel[[#This Row],[Quantity]]&lt;&gt;"",BoM_Griptel[[#This Row],[Currency]]="EUR"),BoM_Griptel[[#This Row],[Quantity]]*BoM_Griptel[[#This Row],[Unit Price]],""),"")</f>
        <v/>
      </c>
      <c r="S779" s="41" t="str">
        <f>IFERROR(IF(AND(BoM_Griptel[[#This Row],[ACT_Qty]]&lt;&gt;"",BoM_Griptel[[#This Row],[Currency]]="EUR"),BoM_Griptel[[#This Row],[ACT_Qty]]*BoM_Griptel[[#This Row],[Unit Price]],""),"")</f>
        <v/>
      </c>
      <c r="T779" s="185" t="s">
        <v>1802</v>
      </c>
      <c r="U779" s="45"/>
      <c r="V779" s="45"/>
      <c r="W779" s="45"/>
    </row>
    <row r="780" spans="1:23">
      <c r="A780" s="146" t="str">
        <f t="shared" si="22"/>
        <v>AKH12345</v>
      </c>
      <c r="B780" s="160"/>
      <c r="C780" s="69"/>
      <c r="D780" s="68"/>
      <c r="E780" s="89"/>
      <c r="F780" s="68"/>
      <c r="G780" s="89"/>
      <c r="H780" s="70"/>
      <c r="I780" s="78"/>
      <c r="J780" s="70"/>
      <c r="K780" s="70"/>
      <c r="L780" s="148" t="s">
        <v>1806</v>
      </c>
      <c r="M780" s="46" t="str">
        <f t="shared" si="23"/>
        <v>OneCo Networks AS</v>
      </c>
      <c r="N780" s="42" t="str">
        <f ca="1">IFERROR(
VLOOKUP(BoM_Griptel[[#This Row],[Product code]],
IF(AND((BoQ!$N$3&lt;&gt;""),OR(BoM_Griptel[[#This Row],[Vendor]]="Griptel",BoM_Griptel[[#This Row],[Vendor]]="Solar")),INDIRECT(Aux!$A$1)),4,FALSE),"")</f>
        <v/>
      </c>
      <c r="O780" s="170" t="s">
        <v>1807</v>
      </c>
      <c r="P780" s="43" t="str">
        <f>IFERROR(IF(AND(BoM_Griptel[[#This Row],[Quantity]]&lt;&gt;"",BoM_Griptel[[#This Row],[Currency]]="NOK"),BoM_Griptel[[#This Row],[Quantity]]*BoM_Griptel[[#This Row],[Unit Price]],""),"")</f>
        <v/>
      </c>
      <c r="Q780" s="43" t="str">
        <f>IFERROR(IF(AND(BoM_Griptel[[#This Row],[ACT_Qty]]&lt;&gt;"",BoM_Griptel[[#This Row],[Currency]]="NOK"),BoM_Griptel[[#This Row],[ACT_Qty]]*BoM_Griptel[[#This Row],[Unit Price]],""),"")</f>
        <v/>
      </c>
      <c r="R780" s="43" t="str">
        <f>IFERROR(IF(AND(BoM_Griptel[[#This Row],[Quantity]]&lt;&gt;"",BoM_Griptel[[#This Row],[Currency]]="EUR"),BoM_Griptel[[#This Row],[Quantity]]*BoM_Griptel[[#This Row],[Unit Price]],""),"")</f>
        <v/>
      </c>
      <c r="S780" s="43" t="str">
        <f>IFERROR(IF(AND(BoM_Griptel[[#This Row],[ACT_Qty]]&lt;&gt;"",BoM_Griptel[[#This Row],[Currency]]="EUR"),BoM_Griptel[[#This Row],[ACT_Qty]]*BoM_Griptel[[#This Row],[Unit Price]],""),"")</f>
        <v/>
      </c>
      <c r="T780" s="186" t="s">
        <v>1802</v>
      </c>
      <c r="U780" s="46"/>
      <c r="V780" s="46"/>
      <c r="W780" s="46"/>
    </row>
    <row r="781" spans="1:23">
      <c r="A781" s="143" t="str">
        <f t="shared" si="22"/>
        <v>AKH12345</v>
      </c>
      <c r="B781" s="159"/>
      <c r="C781" s="124"/>
      <c r="D781" s="105"/>
      <c r="E781" s="106"/>
      <c r="F781" s="105"/>
      <c r="G781" s="106"/>
      <c r="H781" s="125"/>
      <c r="I781" s="126"/>
      <c r="J781" s="125"/>
      <c r="K781" s="125"/>
      <c r="L781" s="145" t="s">
        <v>1806</v>
      </c>
      <c r="M781" s="45" t="str">
        <f t="shared" si="23"/>
        <v>OneCo Networks AS</v>
      </c>
      <c r="N781" s="40" t="str">
        <f ca="1">IFERROR(
VLOOKUP(BoM_Griptel[[#This Row],[Product code]],
IF(AND((BoQ!$N$3&lt;&gt;""),OR(BoM_Griptel[[#This Row],[Vendor]]="Griptel",BoM_Griptel[[#This Row],[Vendor]]="Solar")),INDIRECT(Aux!$A$1)),4,FALSE),"")</f>
        <v/>
      </c>
      <c r="O781" s="169" t="s">
        <v>1807</v>
      </c>
      <c r="P781" s="41" t="str">
        <f>IFERROR(IF(AND(BoM_Griptel[[#This Row],[Quantity]]&lt;&gt;"",BoM_Griptel[[#This Row],[Currency]]="NOK"),BoM_Griptel[[#This Row],[Quantity]]*BoM_Griptel[[#This Row],[Unit Price]],""),"")</f>
        <v/>
      </c>
      <c r="Q781" s="41" t="str">
        <f>IFERROR(IF(AND(BoM_Griptel[[#This Row],[ACT_Qty]]&lt;&gt;"",BoM_Griptel[[#This Row],[Currency]]="NOK"),BoM_Griptel[[#This Row],[ACT_Qty]]*BoM_Griptel[[#This Row],[Unit Price]],""),"")</f>
        <v/>
      </c>
      <c r="R781" s="41" t="str">
        <f>IFERROR(IF(AND(BoM_Griptel[[#This Row],[Quantity]]&lt;&gt;"",BoM_Griptel[[#This Row],[Currency]]="EUR"),BoM_Griptel[[#This Row],[Quantity]]*BoM_Griptel[[#This Row],[Unit Price]],""),"")</f>
        <v/>
      </c>
      <c r="S781" s="41" t="str">
        <f>IFERROR(IF(AND(BoM_Griptel[[#This Row],[ACT_Qty]]&lt;&gt;"",BoM_Griptel[[#This Row],[Currency]]="EUR"),BoM_Griptel[[#This Row],[ACT_Qty]]*BoM_Griptel[[#This Row],[Unit Price]],""),"")</f>
        <v/>
      </c>
      <c r="T781" s="185" t="s">
        <v>1802</v>
      </c>
      <c r="U781" s="45"/>
      <c r="V781" s="45"/>
      <c r="W781" s="45"/>
    </row>
    <row r="782" spans="1:23">
      <c r="A782" s="146" t="str">
        <f t="shared" si="22"/>
        <v>AKH12345</v>
      </c>
      <c r="B782" s="160"/>
      <c r="C782" s="69"/>
      <c r="D782" s="68"/>
      <c r="E782" s="89"/>
      <c r="F782" s="68"/>
      <c r="G782" s="89"/>
      <c r="H782" s="70"/>
      <c r="I782" s="78"/>
      <c r="J782" s="70"/>
      <c r="K782" s="70"/>
      <c r="L782" s="148" t="s">
        <v>1806</v>
      </c>
      <c r="M782" s="46" t="str">
        <f t="shared" si="23"/>
        <v>OneCo Networks AS</v>
      </c>
      <c r="N782" s="42" t="str">
        <f ca="1">IFERROR(
VLOOKUP(BoM_Griptel[[#This Row],[Product code]],
IF(AND((BoQ!$N$3&lt;&gt;""),OR(BoM_Griptel[[#This Row],[Vendor]]="Griptel",BoM_Griptel[[#This Row],[Vendor]]="Solar")),INDIRECT(Aux!$A$1)),4,FALSE),"")</f>
        <v/>
      </c>
      <c r="O782" s="170" t="s">
        <v>1807</v>
      </c>
      <c r="P782" s="43" t="str">
        <f>IFERROR(IF(AND(BoM_Griptel[[#This Row],[Quantity]]&lt;&gt;"",BoM_Griptel[[#This Row],[Currency]]="NOK"),BoM_Griptel[[#This Row],[Quantity]]*BoM_Griptel[[#This Row],[Unit Price]],""),"")</f>
        <v/>
      </c>
      <c r="Q782" s="43" t="str">
        <f>IFERROR(IF(AND(BoM_Griptel[[#This Row],[ACT_Qty]]&lt;&gt;"",BoM_Griptel[[#This Row],[Currency]]="NOK"),BoM_Griptel[[#This Row],[ACT_Qty]]*BoM_Griptel[[#This Row],[Unit Price]],""),"")</f>
        <v/>
      </c>
      <c r="R782" s="43" t="str">
        <f>IFERROR(IF(AND(BoM_Griptel[[#This Row],[Quantity]]&lt;&gt;"",BoM_Griptel[[#This Row],[Currency]]="EUR"),BoM_Griptel[[#This Row],[Quantity]]*BoM_Griptel[[#This Row],[Unit Price]],""),"")</f>
        <v/>
      </c>
      <c r="S782" s="43" t="str">
        <f>IFERROR(IF(AND(BoM_Griptel[[#This Row],[ACT_Qty]]&lt;&gt;"",BoM_Griptel[[#This Row],[Currency]]="EUR"),BoM_Griptel[[#This Row],[ACT_Qty]]*BoM_Griptel[[#This Row],[Unit Price]],""),"")</f>
        <v/>
      </c>
      <c r="T782" s="186" t="s">
        <v>1802</v>
      </c>
      <c r="U782" s="46"/>
      <c r="V782" s="46"/>
      <c r="W782" s="46"/>
    </row>
    <row r="783" spans="1:23">
      <c r="A783" s="143" t="str">
        <f t="shared" ref="A783:A846" si="24">IF($C$4&lt;&gt;"",$C$4,"")</f>
        <v>AKH12345</v>
      </c>
      <c r="B783" s="159"/>
      <c r="C783" s="124"/>
      <c r="D783" s="105"/>
      <c r="E783" s="106"/>
      <c r="F783" s="105"/>
      <c r="G783" s="106"/>
      <c r="H783" s="125"/>
      <c r="I783" s="126"/>
      <c r="J783" s="125"/>
      <c r="K783" s="125"/>
      <c r="L783" s="145" t="s">
        <v>1806</v>
      </c>
      <c r="M783" s="45" t="str">
        <f t="shared" si="23"/>
        <v>OneCo Networks AS</v>
      </c>
      <c r="N783" s="40" t="str">
        <f ca="1">IFERROR(
VLOOKUP(BoM_Griptel[[#This Row],[Product code]],
IF(AND((BoQ!$N$3&lt;&gt;""),OR(BoM_Griptel[[#This Row],[Vendor]]="Griptel",BoM_Griptel[[#This Row],[Vendor]]="Solar")),INDIRECT(Aux!$A$1)),4,FALSE),"")</f>
        <v/>
      </c>
      <c r="O783" s="169" t="s">
        <v>1807</v>
      </c>
      <c r="P783" s="41" t="str">
        <f>IFERROR(IF(AND(BoM_Griptel[[#This Row],[Quantity]]&lt;&gt;"",BoM_Griptel[[#This Row],[Currency]]="NOK"),BoM_Griptel[[#This Row],[Quantity]]*BoM_Griptel[[#This Row],[Unit Price]],""),"")</f>
        <v/>
      </c>
      <c r="Q783" s="41" t="str">
        <f>IFERROR(IF(AND(BoM_Griptel[[#This Row],[ACT_Qty]]&lt;&gt;"",BoM_Griptel[[#This Row],[Currency]]="NOK"),BoM_Griptel[[#This Row],[ACT_Qty]]*BoM_Griptel[[#This Row],[Unit Price]],""),"")</f>
        <v/>
      </c>
      <c r="R783" s="41" t="str">
        <f>IFERROR(IF(AND(BoM_Griptel[[#This Row],[Quantity]]&lt;&gt;"",BoM_Griptel[[#This Row],[Currency]]="EUR"),BoM_Griptel[[#This Row],[Quantity]]*BoM_Griptel[[#This Row],[Unit Price]],""),"")</f>
        <v/>
      </c>
      <c r="S783" s="41" t="str">
        <f>IFERROR(IF(AND(BoM_Griptel[[#This Row],[ACT_Qty]]&lt;&gt;"",BoM_Griptel[[#This Row],[Currency]]="EUR"),BoM_Griptel[[#This Row],[ACT_Qty]]*BoM_Griptel[[#This Row],[Unit Price]],""),"")</f>
        <v/>
      </c>
      <c r="T783" s="185" t="s">
        <v>1802</v>
      </c>
      <c r="U783" s="45"/>
      <c r="V783" s="45"/>
      <c r="W783" s="45"/>
    </row>
    <row r="784" spans="1:23">
      <c r="A784" s="146" t="str">
        <f t="shared" si="24"/>
        <v>AKH12345</v>
      </c>
      <c r="B784" s="160"/>
      <c r="C784" s="69"/>
      <c r="D784" s="68"/>
      <c r="E784" s="89"/>
      <c r="F784" s="68"/>
      <c r="G784" s="89"/>
      <c r="H784" s="70"/>
      <c r="I784" s="78"/>
      <c r="J784" s="70"/>
      <c r="K784" s="70"/>
      <c r="L784" s="148" t="s">
        <v>1806</v>
      </c>
      <c r="M784" s="46" t="str">
        <f t="shared" si="23"/>
        <v>OneCo Networks AS</v>
      </c>
      <c r="N784" s="42" t="str">
        <f ca="1">IFERROR(
VLOOKUP(BoM_Griptel[[#This Row],[Product code]],
IF(AND((BoQ!$N$3&lt;&gt;""),OR(BoM_Griptel[[#This Row],[Vendor]]="Griptel",BoM_Griptel[[#This Row],[Vendor]]="Solar")),INDIRECT(Aux!$A$1)),4,FALSE),"")</f>
        <v/>
      </c>
      <c r="O784" s="170" t="s">
        <v>1807</v>
      </c>
      <c r="P784" s="43" t="str">
        <f>IFERROR(IF(AND(BoM_Griptel[[#This Row],[Quantity]]&lt;&gt;"",BoM_Griptel[[#This Row],[Currency]]="NOK"),BoM_Griptel[[#This Row],[Quantity]]*BoM_Griptel[[#This Row],[Unit Price]],""),"")</f>
        <v/>
      </c>
      <c r="Q784" s="43" t="str">
        <f>IFERROR(IF(AND(BoM_Griptel[[#This Row],[ACT_Qty]]&lt;&gt;"",BoM_Griptel[[#This Row],[Currency]]="NOK"),BoM_Griptel[[#This Row],[ACT_Qty]]*BoM_Griptel[[#This Row],[Unit Price]],""),"")</f>
        <v/>
      </c>
      <c r="R784" s="43" t="str">
        <f>IFERROR(IF(AND(BoM_Griptel[[#This Row],[Quantity]]&lt;&gt;"",BoM_Griptel[[#This Row],[Currency]]="EUR"),BoM_Griptel[[#This Row],[Quantity]]*BoM_Griptel[[#This Row],[Unit Price]],""),"")</f>
        <v/>
      </c>
      <c r="S784" s="43" t="str">
        <f>IFERROR(IF(AND(BoM_Griptel[[#This Row],[ACT_Qty]]&lt;&gt;"",BoM_Griptel[[#This Row],[Currency]]="EUR"),BoM_Griptel[[#This Row],[ACT_Qty]]*BoM_Griptel[[#This Row],[Unit Price]],""),"")</f>
        <v/>
      </c>
      <c r="T784" s="186" t="s">
        <v>1802</v>
      </c>
      <c r="U784" s="46"/>
      <c r="V784" s="46"/>
      <c r="W784" s="46"/>
    </row>
    <row r="785" spans="1:23">
      <c r="A785" s="143" t="str">
        <f t="shared" si="24"/>
        <v>AKH12345</v>
      </c>
      <c r="B785" s="159"/>
      <c r="C785" s="124"/>
      <c r="D785" s="105"/>
      <c r="E785" s="106"/>
      <c r="F785" s="105"/>
      <c r="G785" s="106"/>
      <c r="H785" s="125"/>
      <c r="I785" s="126"/>
      <c r="J785" s="125"/>
      <c r="K785" s="125"/>
      <c r="L785" s="145" t="s">
        <v>1806</v>
      </c>
      <c r="M785" s="45" t="str">
        <f t="shared" si="23"/>
        <v>OneCo Networks AS</v>
      </c>
      <c r="N785" s="40" t="str">
        <f ca="1">IFERROR(
VLOOKUP(BoM_Griptel[[#This Row],[Product code]],
IF(AND((BoQ!$N$3&lt;&gt;""),OR(BoM_Griptel[[#This Row],[Vendor]]="Griptel",BoM_Griptel[[#This Row],[Vendor]]="Solar")),INDIRECT(Aux!$A$1)),4,FALSE),"")</f>
        <v/>
      </c>
      <c r="O785" s="169" t="s">
        <v>1807</v>
      </c>
      <c r="P785" s="41" t="str">
        <f>IFERROR(IF(AND(BoM_Griptel[[#This Row],[Quantity]]&lt;&gt;"",BoM_Griptel[[#This Row],[Currency]]="NOK"),BoM_Griptel[[#This Row],[Quantity]]*BoM_Griptel[[#This Row],[Unit Price]],""),"")</f>
        <v/>
      </c>
      <c r="Q785" s="41" t="str">
        <f>IFERROR(IF(AND(BoM_Griptel[[#This Row],[ACT_Qty]]&lt;&gt;"",BoM_Griptel[[#This Row],[Currency]]="NOK"),BoM_Griptel[[#This Row],[ACT_Qty]]*BoM_Griptel[[#This Row],[Unit Price]],""),"")</f>
        <v/>
      </c>
      <c r="R785" s="41" t="str">
        <f>IFERROR(IF(AND(BoM_Griptel[[#This Row],[Quantity]]&lt;&gt;"",BoM_Griptel[[#This Row],[Currency]]="EUR"),BoM_Griptel[[#This Row],[Quantity]]*BoM_Griptel[[#This Row],[Unit Price]],""),"")</f>
        <v/>
      </c>
      <c r="S785" s="41" t="str">
        <f>IFERROR(IF(AND(BoM_Griptel[[#This Row],[ACT_Qty]]&lt;&gt;"",BoM_Griptel[[#This Row],[Currency]]="EUR"),BoM_Griptel[[#This Row],[ACT_Qty]]*BoM_Griptel[[#This Row],[Unit Price]],""),"")</f>
        <v/>
      </c>
      <c r="T785" s="185" t="s">
        <v>1802</v>
      </c>
      <c r="U785" s="45"/>
      <c r="V785" s="45"/>
      <c r="W785" s="45"/>
    </row>
    <row r="786" spans="1:23">
      <c r="A786" s="146" t="str">
        <f t="shared" si="24"/>
        <v>AKH12345</v>
      </c>
      <c r="B786" s="160"/>
      <c r="C786" s="69"/>
      <c r="D786" s="68"/>
      <c r="E786" s="89"/>
      <c r="F786" s="68"/>
      <c r="G786" s="89"/>
      <c r="H786" s="70"/>
      <c r="I786" s="78"/>
      <c r="J786" s="70"/>
      <c r="K786" s="70"/>
      <c r="L786" s="148" t="s">
        <v>1806</v>
      </c>
      <c r="M786" s="46" t="str">
        <f t="shared" si="23"/>
        <v>OneCo Networks AS</v>
      </c>
      <c r="N786" s="42" t="str">
        <f ca="1">IFERROR(
VLOOKUP(BoM_Griptel[[#This Row],[Product code]],
IF(AND((BoQ!$N$3&lt;&gt;""),OR(BoM_Griptel[[#This Row],[Vendor]]="Griptel",BoM_Griptel[[#This Row],[Vendor]]="Solar")),INDIRECT(Aux!$A$1)),4,FALSE),"")</f>
        <v/>
      </c>
      <c r="O786" s="170" t="s">
        <v>1807</v>
      </c>
      <c r="P786" s="43" t="str">
        <f>IFERROR(IF(AND(BoM_Griptel[[#This Row],[Quantity]]&lt;&gt;"",BoM_Griptel[[#This Row],[Currency]]="NOK"),BoM_Griptel[[#This Row],[Quantity]]*BoM_Griptel[[#This Row],[Unit Price]],""),"")</f>
        <v/>
      </c>
      <c r="Q786" s="43" t="str">
        <f>IFERROR(IF(AND(BoM_Griptel[[#This Row],[ACT_Qty]]&lt;&gt;"",BoM_Griptel[[#This Row],[Currency]]="NOK"),BoM_Griptel[[#This Row],[ACT_Qty]]*BoM_Griptel[[#This Row],[Unit Price]],""),"")</f>
        <v/>
      </c>
      <c r="R786" s="43" t="str">
        <f>IFERROR(IF(AND(BoM_Griptel[[#This Row],[Quantity]]&lt;&gt;"",BoM_Griptel[[#This Row],[Currency]]="EUR"),BoM_Griptel[[#This Row],[Quantity]]*BoM_Griptel[[#This Row],[Unit Price]],""),"")</f>
        <v/>
      </c>
      <c r="S786" s="43" t="str">
        <f>IFERROR(IF(AND(BoM_Griptel[[#This Row],[ACT_Qty]]&lt;&gt;"",BoM_Griptel[[#This Row],[Currency]]="EUR"),BoM_Griptel[[#This Row],[ACT_Qty]]*BoM_Griptel[[#This Row],[Unit Price]],""),"")</f>
        <v/>
      </c>
      <c r="T786" s="186" t="s">
        <v>1802</v>
      </c>
      <c r="U786" s="46"/>
      <c r="V786" s="46"/>
      <c r="W786" s="46"/>
    </row>
    <row r="787" spans="1:23">
      <c r="A787" s="143" t="str">
        <f t="shared" si="24"/>
        <v>AKH12345</v>
      </c>
      <c r="B787" s="159"/>
      <c r="C787" s="124"/>
      <c r="D787" s="105"/>
      <c r="E787" s="106"/>
      <c r="F787" s="105"/>
      <c r="G787" s="106"/>
      <c r="H787" s="125"/>
      <c r="I787" s="126"/>
      <c r="J787" s="125"/>
      <c r="K787" s="125"/>
      <c r="L787" s="145" t="s">
        <v>1806</v>
      </c>
      <c r="M787" s="45" t="str">
        <f t="shared" si="23"/>
        <v>OneCo Networks AS</v>
      </c>
      <c r="N787" s="40" t="str">
        <f ca="1">IFERROR(
VLOOKUP(BoM_Griptel[[#This Row],[Product code]],
IF(AND((BoQ!$N$3&lt;&gt;""),OR(BoM_Griptel[[#This Row],[Vendor]]="Griptel",BoM_Griptel[[#This Row],[Vendor]]="Solar")),INDIRECT(Aux!$A$1)),4,FALSE),"")</f>
        <v/>
      </c>
      <c r="O787" s="169" t="s">
        <v>1807</v>
      </c>
      <c r="P787" s="41" t="str">
        <f>IFERROR(IF(AND(BoM_Griptel[[#This Row],[Quantity]]&lt;&gt;"",BoM_Griptel[[#This Row],[Currency]]="NOK"),BoM_Griptel[[#This Row],[Quantity]]*BoM_Griptel[[#This Row],[Unit Price]],""),"")</f>
        <v/>
      </c>
      <c r="Q787" s="41" t="str">
        <f>IFERROR(IF(AND(BoM_Griptel[[#This Row],[ACT_Qty]]&lt;&gt;"",BoM_Griptel[[#This Row],[Currency]]="NOK"),BoM_Griptel[[#This Row],[ACT_Qty]]*BoM_Griptel[[#This Row],[Unit Price]],""),"")</f>
        <v/>
      </c>
      <c r="R787" s="41" t="str">
        <f>IFERROR(IF(AND(BoM_Griptel[[#This Row],[Quantity]]&lt;&gt;"",BoM_Griptel[[#This Row],[Currency]]="EUR"),BoM_Griptel[[#This Row],[Quantity]]*BoM_Griptel[[#This Row],[Unit Price]],""),"")</f>
        <v/>
      </c>
      <c r="S787" s="41" t="str">
        <f>IFERROR(IF(AND(BoM_Griptel[[#This Row],[ACT_Qty]]&lt;&gt;"",BoM_Griptel[[#This Row],[Currency]]="EUR"),BoM_Griptel[[#This Row],[ACT_Qty]]*BoM_Griptel[[#This Row],[Unit Price]],""),"")</f>
        <v/>
      </c>
      <c r="T787" s="185" t="s">
        <v>1802</v>
      </c>
      <c r="U787" s="45"/>
      <c r="V787" s="45"/>
      <c r="W787" s="45"/>
    </row>
    <row r="788" spans="1:23">
      <c r="A788" s="146" t="str">
        <f t="shared" si="24"/>
        <v>AKH12345</v>
      </c>
      <c r="B788" s="160"/>
      <c r="C788" s="69"/>
      <c r="D788" s="68"/>
      <c r="E788" s="89"/>
      <c r="F788" s="68"/>
      <c r="G788" s="89"/>
      <c r="H788" s="70"/>
      <c r="I788" s="78"/>
      <c r="J788" s="70"/>
      <c r="K788" s="70"/>
      <c r="L788" s="148" t="s">
        <v>1806</v>
      </c>
      <c r="M788" s="46" t="str">
        <f t="shared" ref="M788:M851" si="25">IF($C$3&lt;&gt;"",$C$3,"")</f>
        <v>OneCo Networks AS</v>
      </c>
      <c r="N788" s="42" t="str">
        <f ca="1">IFERROR(
VLOOKUP(BoM_Griptel[[#This Row],[Product code]],
IF(AND((BoQ!$N$3&lt;&gt;""),OR(BoM_Griptel[[#This Row],[Vendor]]="Griptel",BoM_Griptel[[#This Row],[Vendor]]="Solar")),INDIRECT(Aux!$A$1)),4,FALSE),"")</f>
        <v/>
      </c>
      <c r="O788" s="170" t="s">
        <v>1807</v>
      </c>
      <c r="P788" s="43" t="str">
        <f>IFERROR(IF(AND(BoM_Griptel[[#This Row],[Quantity]]&lt;&gt;"",BoM_Griptel[[#This Row],[Currency]]="NOK"),BoM_Griptel[[#This Row],[Quantity]]*BoM_Griptel[[#This Row],[Unit Price]],""),"")</f>
        <v/>
      </c>
      <c r="Q788" s="43" t="str">
        <f>IFERROR(IF(AND(BoM_Griptel[[#This Row],[ACT_Qty]]&lt;&gt;"",BoM_Griptel[[#This Row],[Currency]]="NOK"),BoM_Griptel[[#This Row],[ACT_Qty]]*BoM_Griptel[[#This Row],[Unit Price]],""),"")</f>
        <v/>
      </c>
      <c r="R788" s="43" t="str">
        <f>IFERROR(IF(AND(BoM_Griptel[[#This Row],[Quantity]]&lt;&gt;"",BoM_Griptel[[#This Row],[Currency]]="EUR"),BoM_Griptel[[#This Row],[Quantity]]*BoM_Griptel[[#This Row],[Unit Price]],""),"")</f>
        <v/>
      </c>
      <c r="S788" s="43" t="str">
        <f>IFERROR(IF(AND(BoM_Griptel[[#This Row],[ACT_Qty]]&lt;&gt;"",BoM_Griptel[[#This Row],[Currency]]="EUR"),BoM_Griptel[[#This Row],[ACT_Qty]]*BoM_Griptel[[#This Row],[Unit Price]],""),"")</f>
        <v/>
      </c>
      <c r="T788" s="186" t="s">
        <v>1802</v>
      </c>
      <c r="U788" s="46"/>
      <c r="V788" s="46"/>
      <c r="W788" s="46"/>
    </row>
    <row r="789" spans="1:23">
      <c r="A789" s="143" t="str">
        <f t="shared" si="24"/>
        <v>AKH12345</v>
      </c>
      <c r="B789" s="159"/>
      <c r="C789" s="124"/>
      <c r="D789" s="105"/>
      <c r="E789" s="106"/>
      <c r="F789" s="105"/>
      <c r="G789" s="106"/>
      <c r="H789" s="125"/>
      <c r="I789" s="126"/>
      <c r="J789" s="125"/>
      <c r="K789" s="125"/>
      <c r="L789" s="145" t="s">
        <v>1806</v>
      </c>
      <c r="M789" s="45" t="str">
        <f t="shared" si="25"/>
        <v>OneCo Networks AS</v>
      </c>
      <c r="N789" s="40" t="str">
        <f ca="1">IFERROR(
VLOOKUP(BoM_Griptel[[#This Row],[Product code]],
IF(AND((BoQ!$N$3&lt;&gt;""),OR(BoM_Griptel[[#This Row],[Vendor]]="Griptel",BoM_Griptel[[#This Row],[Vendor]]="Solar")),INDIRECT(Aux!$A$1)),4,FALSE),"")</f>
        <v/>
      </c>
      <c r="O789" s="169" t="s">
        <v>1807</v>
      </c>
      <c r="P789" s="41" t="str">
        <f>IFERROR(IF(AND(BoM_Griptel[[#This Row],[Quantity]]&lt;&gt;"",BoM_Griptel[[#This Row],[Currency]]="NOK"),BoM_Griptel[[#This Row],[Quantity]]*BoM_Griptel[[#This Row],[Unit Price]],""),"")</f>
        <v/>
      </c>
      <c r="Q789" s="41" t="str">
        <f>IFERROR(IF(AND(BoM_Griptel[[#This Row],[ACT_Qty]]&lt;&gt;"",BoM_Griptel[[#This Row],[Currency]]="NOK"),BoM_Griptel[[#This Row],[ACT_Qty]]*BoM_Griptel[[#This Row],[Unit Price]],""),"")</f>
        <v/>
      </c>
      <c r="R789" s="41" t="str">
        <f>IFERROR(IF(AND(BoM_Griptel[[#This Row],[Quantity]]&lt;&gt;"",BoM_Griptel[[#This Row],[Currency]]="EUR"),BoM_Griptel[[#This Row],[Quantity]]*BoM_Griptel[[#This Row],[Unit Price]],""),"")</f>
        <v/>
      </c>
      <c r="S789" s="41" t="str">
        <f>IFERROR(IF(AND(BoM_Griptel[[#This Row],[ACT_Qty]]&lt;&gt;"",BoM_Griptel[[#This Row],[Currency]]="EUR"),BoM_Griptel[[#This Row],[ACT_Qty]]*BoM_Griptel[[#This Row],[Unit Price]],""),"")</f>
        <v/>
      </c>
      <c r="T789" s="185" t="s">
        <v>1802</v>
      </c>
      <c r="U789" s="45"/>
      <c r="V789" s="45"/>
      <c r="W789" s="45"/>
    </row>
    <row r="790" spans="1:23">
      <c r="A790" s="146" t="str">
        <f t="shared" si="24"/>
        <v>AKH12345</v>
      </c>
      <c r="B790" s="160"/>
      <c r="C790" s="69"/>
      <c r="D790" s="68"/>
      <c r="E790" s="89"/>
      <c r="F790" s="68"/>
      <c r="G790" s="89"/>
      <c r="H790" s="70"/>
      <c r="I790" s="78"/>
      <c r="J790" s="70"/>
      <c r="K790" s="70"/>
      <c r="L790" s="148" t="s">
        <v>1806</v>
      </c>
      <c r="M790" s="46" t="str">
        <f t="shared" si="25"/>
        <v>OneCo Networks AS</v>
      </c>
      <c r="N790" s="42" t="str">
        <f ca="1">IFERROR(
VLOOKUP(BoM_Griptel[[#This Row],[Product code]],
IF(AND((BoQ!$N$3&lt;&gt;""),OR(BoM_Griptel[[#This Row],[Vendor]]="Griptel",BoM_Griptel[[#This Row],[Vendor]]="Solar")),INDIRECT(Aux!$A$1)),4,FALSE),"")</f>
        <v/>
      </c>
      <c r="O790" s="170" t="s">
        <v>1807</v>
      </c>
      <c r="P790" s="43" t="str">
        <f>IFERROR(IF(AND(BoM_Griptel[[#This Row],[Quantity]]&lt;&gt;"",BoM_Griptel[[#This Row],[Currency]]="NOK"),BoM_Griptel[[#This Row],[Quantity]]*BoM_Griptel[[#This Row],[Unit Price]],""),"")</f>
        <v/>
      </c>
      <c r="Q790" s="43" t="str">
        <f>IFERROR(IF(AND(BoM_Griptel[[#This Row],[ACT_Qty]]&lt;&gt;"",BoM_Griptel[[#This Row],[Currency]]="NOK"),BoM_Griptel[[#This Row],[ACT_Qty]]*BoM_Griptel[[#This Row],[Unit Price]],""),"")</f>
        <v/>
      </c>
      <c r="R790" s="43" t="str">
        <f>IFERROR(IF(AND(BoM_Griptel[[#This Row],[Quantity]]&lt;&gt;"",BoM_Griptel[[#This Row],[Currency]]="EUR"),BoM_Griptel[[#This Row],[Quantity]]*BoM_Griptel[[#This Row],[Unit Price]],""),"")</f>
        <v/>
      </c>
      <c r="S790" s="43" t="str">
        <f>IFERROR(IF(AND(BoM_Griptel[[#This Row],[ACT_Qty]]&lt;&gt;"",BoM_Griptel[[#This Row],[Currency]]="EUR"),BoM_Griptel[[#This Row],[ACT_Qty]]*BoM_Griptel[[#This Row],[Unit Price]],""),"")</f>
        <v/>
      </c>
      <c r="T790" s="186" t="s">
        <v>1802</v>
      </c>
      <c r="U790" s="46"/>
      <c r="V790" s="46"/>
      <c r="W790" s="46"/>
    </row>
    <row r="791" spans="1:23">
      <c r="A791" s="143" t="str">
        <f t="shared" si="24"/>
        <v>AKH12345</v>
      </c>
      <c r="B791" s="159"/>
      <c r="C791" s="124"/>
      <c r="D791" s="105"/>
      <c r="E791" s="106"/>
      <c r="F791" s="105"/>
      <c r="G791" s="106"/>
      <c r="H791" s="125"/>
      <c r="I791" s="126"/>
      <c r="J791" s="125"/>
      <c r="K791" s="125"/>
      <c r="L791" s="145" t="s">
        <v>1806</v>
      </c>
      <c r="M791" s="45" t="str">
        <f t="shared" si="25"/>
        <v>OneCo Networks AS</v>
      </c>
      <c r="N791" s="40" t="str">
        <f ca="1">IFERROR(
VLOOKUP(BoM_Griptel[[#This Row],[Product code]],
IF(AND((BoQ!$N$3&lt;&gt;""),OR(BoM_Griptel[[#This Row],[Vendor]]="Griptel",BoM_Griptel[[#This Row],[Vendor]]="Solar")),INDIRECT(Aux!$A$1)),4,FALSE),"")</f>
        <v/>
      </c>
      <c r="O791" s="169" t="s">
        <v>1807</v>
      </c>
      <c r="P791" s="41" t="str">
        <f>IFERROR(IF(AND(BoM_Griptel[[#This Row],[Quantity]]&lt;&gt;"",BoM_Griptel[[#This Row],[Currency]]="NOK"),BoM_Griptel[[#This Row],[Quantity]]*BoM_Griptel[[#This Row],[Unit Price]],""),"")</f>
        <v/>
      </c>
      <c r="Q791" s="41" t="str">
        <f>IFERROR(IF(AND(BoM_Griptel[[#This Row],[ACT_Qty]]&lt;&gt;"",BoM_Griptel[[#This Row],[Currency]]="NOK"),BoM_Griptel[[#This Row],[ACT_Qty]]*BoM_Griptel[[#This Row],[Unit Price]],""),"")</f>
        <v/>
      </c>
      <c r="R791" s="41" t="str">
        <f>IFERROR(IF(AND(BoM_Griptel[[#This Row],[Quantity]]&lt;&gt;"",BoM_Griptel[[#This Row],[Currency]]="EUR"),BoM_Griptel[[#This Row],[Quantity]]*BoM_Griptel[[#This Row],[Unit Price]],""),"")</f>
        <v/>
      </c>
      <c r="S791" s="41" t="str">
        <f>IFERROR(IF(AND(BoM_Griptel[[#This Row],[ACT_Qty]]&lt;&gt;"",BoM_Griptel[[#This Row],[Currency]]="EUR"),BoM_Griptel[[#This Row],[ACT_Qty]]*BoM_Griptel[[#This Row],[Unit Price]],""),"")</f>
        <v/>
      </c>
      <c r="T791" s="185" t="s">
        <v>1802</v>
      </c>
      <c r="U791" s="45"/>
      <c r="V791" s="45"/>
      <c r="W791" s="45"/>
    </row>
    <row r="792" spans="1:23">
      <c r="A792" s="146" t="str">
        <f t="shared" si="24"/>
        <v>AKH12345</v>
      </c>
      <c r="B792" s="160"/>
      <c r="C792" s="69"/>
      <c r="D792" s="68"/>
      <c r="E792" s="89"/>
      <c r="F792" s="68"/>
      <c r="G792" s="89"/>
      <c r="H792" s="70"/>
      <c r="I792" s="78"/>
      <c r="J792" s="70"/>
      <c r="K792" s="70"/>
      <c r="L792" s="148" t="s">
        <v>1806</v>
      </c>
      <c r="M792" s="46" t="str">
        <f t="shared" si="25"/>
        <v>OneCo Networks AS</v>
      </c>
      <c r="N792" s="42" t="str">
        <f ca="1">IFERROR(
VLOOKUP(BoM_Griptel[[#This Row],[Product code]],
IF(AND((BoQ!$N$3&lt;&gt;""),OR(BoM_Griptel[[#This Row],[Vendor]]="Griptel",BoM_Griptel[[#This Row],[Vendor]]="Solar")),INDIRECT(Aux!$A$1)),4,FALSE),"")</f>
        <v/>
      </c>
      <c r="O792" s="170" t="s">
        <v>1807</v>
      </c>
      <c r="P792" s="43" t="str">
        <f>IFERROR(IF(AND(BoM_Griptel[[#This Row],[Quantity]]&lt;&gt;"",BoM_Griptel[[#This Row],[Currency]]="NOK"),BoM_Griptel[[#This Row],[Quantity]]*BoM_Griptel[[#This Row],[Unit Price]],""),"")</f>
        <v/>
      </c>
      <c r="Q792" s="43" t="str">
        <f>IFERROR(IF(AND(BoM_Griptel[[#This Row],[ACT_Qty]]&lt;&gt;"",BoM_Griptel[[#This Row],[Currency]]="NOK"),BoM_Griptel[[#This Row],[ACT_Qty]]*BoM_Griptel[[#This Row],[Unit Price]],""),"")</f>
        <v/>
      </c>
      <c r="R792" s="43" t="str">
        <f>IFERROR(IF(AND(BoM_Griptel[[#This Row],[Quantity]]&lt;&gt;"",BoM_Griptel[[#This Row],[Currency]]="EUR"),BoM_Griptel[[#This Row],[Quantity]]*BoM_Griptel[[#This Row],[Unit Price]],""),"")</f>
        <v/>
      </c>
      <c r="S792" s="43" t="str">
        <f>IFERROR(IF(AND(BoM_Griptel[[#This Row],[ACT_Qty]]&lt;&gt;"",BoM_Griptel[[#This Row],[Currency]]="EUR"),BoM_Griptel[[#This Row],[ACT_Qty]]*BoM_Griptel[[#This Row],[Unit Price]],""),"")</f>
        <v/>
      </c>
      <c r="T792" s="186" t="s">
        <v>1802</v>
      </c>
      <c r="U792" s="46"/>
      <c r="V792" s="46"/>
      <c r="W792" s="46"/>
    </row>
    <row r="793" spans="1:23">
      <c r="A793" s="143" t="str">
        <f t="shared" si="24"/>
        <v>AKH12345</v>
      </c>
      <c r="B793" s="159"/>
      <c r="C793" s="124"/>
      <c r="D793" s="105"/>
      <c r="E793" s="106"/>
      <c r="F793" s="105"/>
      <c r="G793" s="106"/>
      <c r="H793" s="125"/>
      <c r="I793" s="126"/>
      <c r="J793" s="125"/>
      <c r="K793" s="125"/>
      <c r="L793" s="145" t="s">
        <v>1806</v>
      </c>
      <c r="M793" s="45" t="str">
        <f t="shared" si="25"/>
        <v>OneCo Networks AS</v>
      </c>
      <c r="N793" s="40" t="str">
        <f ca="1">IFERROR(
VLOOKUP(BoM_Griptel[[#This Row],[Product code]],
IF(AND((BoQ!$N$3&lt;&gt;""),OR(BoM_Griptel[[#This Row],[Vendor]]="Griptel",BoM_Griptel[[#This Row],[Vendor]]="Solar")),INDIRECT(Aux!$A$1)),4,FALSE),"")</f>
        <v/>
      </c>
      <c r="O793" s="169" t="s">
        <v>1807</v>
      </c>
      <c r="P793" s="41" t="str">
        <f>IFERROR(IF(AND(BoM_Griptel[[#This Row],[Quantity]]&lt;&gt;"",BoM_Griptel[[#This Row],[Currency]]="NOK"),BoM_Griptel[[#This Row],[Quantity]]*BoM_Griptel[[#This Row],[Unit Price]],""),"")</f>
        <v/>
      </c>
      <c r="Q793" s="41" t="str">
        <f>IFERROR(IF(AND(BoM_Griptel[[#This Row],[ACT_Qty]]&lt;&gt;"",BoM_Griptel[[#This Row],[Currency]]="NOK"),BoM_Griptel[[#This Row],[ACT_Qty]]*BoM_Griptel[[#This Row],[Unit Price]],""),"")</f>
        <v/>
      </c>
      <c r="R793" s="41" t="str">
        <f>IFERROR(IF(AND(BoM_Griptel[[#This Row],[Quantity]]&lt;&gt;"",BoM_Griptel[[#This Row],[Currency]]="EUR"),BoM_Griptel[[#This Row],[Quantity]]*BoM_Griptel[[#This Row],[Unit Price]],""),"")</f>
        <v/>
      </c>
      <c r="S793" s="41" t="str">
        <f>IFERROR(IF(AND(BoM_Griptel[[#This Row],[ACT_Qty]]&lt;&gt;"",BoM_Griptel[[#This Row],[Currency]]="EUR"),BoM_Griptel[[#This Row],[ACT_Qty]]*BoM_Griptel[[#This Row],[Unit Price]],""),"")</f>
        <v/>
      </c>
      <c r="T793" s="185" t="s">
        <v>1802</v>
      </c>
      <c r="U793" s="45"/>
      <c r="V793" s="45"/>
      <c r="W793" s="45"/>
    </row>
    <row r="794" spans="1:23">
      <c r="A794" s="146" t="str">
        <f t="shared" si="24"/>
        <v>AKH12345</v>
      </c>
      <c r="B794" s="160"/>
      <c r="C794" s="69"/>
      <c r="D794" s="68"/>
      <c r="E794" s="89"/>
      <c r="F794" s="68"/>
      <c r="G794" s="89"/>
      <c r="H794" s="70"/>
      <c r="I794" s="78"/>
      <c r="J794" s="70"/>
      <c r="K794" s="70"/>
      <c r="L794" s="148" t="s">
        <v>1806</v>
      </c>
      <c r="M794" s="46" t="str">
        <f t="shared" si="25"/>
        <v>OneCo Networks AS</v>
      </c>
      <c r="N794" s="42" t="str">
        <f ca="1">IFERROR(
VLOOKUP(BoM_Griptel[[#This Row],[Product code]],
IF(AND((BoQ!$N$3&lt;&gt;""),OR(BoM_Griptel[[#This Row],[Vendor]]="Griptel",BoM_Griptel[[#This Row],[Vendor]]="Solar")),INDIRECT(Aux!$A$1)),4,FALSE),"")</f>
        <v/>
      </c>
      <c r="O794" s="170" t="s">
        <v>1807</v>
      </c>
      <c r="P794" s="43" t="str">
        <f>IFERROR(IF(AND(BoM_Griptel[[#This Row],[Quantity]]&lt;&gt;"",BoM_Griptel[[#This Row],[Currency]]="NOK"),BoM_Griptel[[#This Row],[Quantity]]*BoM_Griptel[[#This Row],[Unit Price]],""),"")</f>
        <v/>
      </c>
      <c r="Q794" s="43" t="str">
        <f>IFERROR(IF(AND(BoM_Griptel[[#This Row],[ACT_Qty]]&lt;&gt;"",BoM_Griptel[[#This Row],[Currency]]="NOK"),BoM_Griptel[[#This Row],[ACT_Qty]]*BoM_Griptel[[#This Row],[Unit Price]],""),"")</f>
        <v/>
      </c>
      <c r="R794" s="43" t="str">
        <f>IFERROR(IF(AND(BoM_Griptel[[#This Row],[Quantity]]&lt;&gt;"",BoM_Griptel[[#This Row],[Currency]]="EUR"),BoM_Griptel[[#This Row],[Quantity]]*BoM_Griptel[[#This Row],[Unit Price]],""),"")</f>
        <v/>
      </c>
      <c r="S794" s="43" t="str">
        <f>IFERROR(IF(AND(BoM_Griptel[[#This Row],[ACT_Qty]]&lt;&gt;"",BoM_Griptel[[#This Row],[Currency]]="EUR"),BoM_Griptel[[#This Row],[ACT_Qty]]*BoM_Griptel[[#This Row],[Unit Price]],""),"")</f>
        <v/>
      </c>
      <c r="T794" s="186" t="s">
        <v>1802</v>
      </c>
      <c r="U794" s="46"/>
      <c r="V794" s="46"/>
      <c r="W794" s="46"/>
    </row>
    <row r="795" spans="1:23">
      <c r="A795" s="143" t="str">
        <f t="shared" si="24"/>
        <v>AKH12345</v>
      </c>
      <c r="B795" s="159"/>
      <c r="C795" s="124"/>
      <c r="D795" s="105"/>
      <c r="E795" s="106"/>
      <c r="F795" s="105"/>
      <c r="G795" s="106"/>
      <c r="H795" s="125"/>
      <c r="I795" s="126"/>
      <c r="J795" s="125"/>
      <c r="K795" s="125"/>
      <c r="L795" s="145" t="s">
        <v>1806</v>
      </c>
      <c r="M795" s="45" t="str">
        <f t="shared" si="25"/>
        <v>OneCo Networks AS</v>
      </c>
      <c r="N795" s="40" t="str">
        <f ca="1">IFERROR(
VLOOKUP(BoM_Griptel[[#This Row],[Product code]],
IF(AND((BoQ!$N$3&lt;&gt;""),OR(BoM_Griptel[[#This Row],[Vendor]]="Griptel",BoM_Griptel[[#This Row],[Vendor]]="Solar")),INDIRECT(Aux!$A$1)),4,FALSE),"")</f>
        <v/>
      </c>
      <c r="O795" s="169" t="s">
        <v>1807</v>
      </c>
      <c r="P795" s="41" t="str">
        <f>IFERROR(IF(AND(BoM_Griptel[[#This Row],[Quantity]]&lt;&gt;"",BoM_Griptel[[#This Row],[Currency]]="NOK"),BoM_Griptel[[#This Row],[Quantity]]*BoM_Griptel[[#This Row],[Unit Price]],""),"")</f>
        <v/>
      </c>
      <c r="Q795" s="41" t="str">
        <f>IFERROR(IF(AND(BoM_Griptel[[#This Row],[ACT_Qty]]&lt;&gt;"",BoM_Griptel[[#This Row],[Currency]]="NOK"),BoM_Griptel[[#This Row],[ACT_Qty]]*BoM_Griptel[[#This Row],[Unit Price]],""),"")</f>
        <v/>
      </c>
      <c r="R795" s="41" t="str">
        <f>IFERROR(IF(AND(BoM_Griptel[[#This Row],[Quantity]]&lt;&gt;"",BoM_Griptel[[#This Row],[Currency]]="EUR"),BoM_Griptel[[#This Row],[Quantity]]*BoM_Griptel[[#This Row],[Unit Price]],""),"")</f>
        <v/>
      </c>
      <c r="S795" s="41" t="str">
        <f>IFERROR(IF(AND(BoM_Griptel[[#This Row],[ACT_Qty]]&lt;&gt;"",BoM_Griptel[[#This Row],[Currency]]="EUR"),BoM_Griptel[[#This Row],[ACT_Qty]]*BoM_Griptel[[#This Row],[Unit Price]],""),"")</f>
        <v/>
      </c>
      <c r="T795" s="185" t="s">
        <v>1802</v>
      </c>
      <c r="U795" s="45"/>
      <c r="V795" s="45"/>
      <c r="W795" s="45"/>
    </row>
    <row r="796" spans="1:23">
      <c r="A796" s="146" t="str">
        <f t="shared" si="24"/>
        <v>AKH12345</v>
      </c>
      <c r="B796" s="160"/>
      <c r="C796" s="69"/>
      <c r="D796" s="68"/>
      <c r="E796" s="89"/>
      <c r="F796" s="68"/>
      <c r="G796" s="89"/>
      <c r="H796" s="70"/>
      <c r="I796" s="78"/>
      <c r="J796" s="70"/>
      <c r="K796" s="70"/>
      <c r="L796" s="148" t="s">
        <v>1806</v>
      </c>
      <c r="M796" s="46" t="str">
        <f t="shared" si="25"/>
        <v>OneCo Networks AS</v>
      </c>
      <c r="N796" s="42" t="str">
        <f ca="1">IFERROR(
VLOOKUP(BoM_Griptel[[#This Row],[Product code]],
IF(AND((BoQ!$N$3&lt;&gt;""),OR(BoM_Griptel[[#This Row],[Vendor]]="Griptel",BoM_Griptel[[#This Row],[Vendor]]="Solar")),INDIRECT(Aux!$A$1)),4,FALSE),"")</f>
        <v/>
      </c>
      <c r="O796" s="170" t="s">
        <v>1807</v>
      </c>
      <c r="P796" s="43" t="str">
        <f>IFERROR(IF(AND(BoM_Griptel[[#This Row],[Quantity]]&lt;&gt;"",BoM_Griptel[[#This Row],[Currency]]="NOK"),BoM_Griptel[[#This Row],[Quantity]]*BoM_Griptel[[#This Row],[Unit Price]],""),"")</f>
        <v/>
      </c>
      <c r="Q796" s="43" t="str">
        <f>IFERROR(IF(AND(BoM_Griptel[[#This Row],[ACT_Qty]]&lt;&gt;"",BoM_Griptel[[#This Row],[Currency]]="NOK"),BoM_Griptel[[#This Row],[ACT_Qty]]*BoM_Griptel[[#This Row],[Unit Price]],""),"")</f>
        <v/>
      </c>
      <c r="R796" s="43" t="str">
        <f>IFERROR(IF(AND(BoM_Griptel[[#This Row],[Quantity]]&lt;&gt;"",BoM_Griptel[[#This Row],[Currency]]="EUR"),BoM_Griptel[[#This Row],[Quantity]]*BoM_Griptel[[#This Row],[Unit Price]],""),"")</f>
        <v/>
      </c>
      <c r="S796" s="43" t="str">
        <f>IFERROR(IF(AND(BoM_Griptel[[#This Row],[ACT_Qty]]&lt;&gt;"",BoM_Griptel[[#This Row],[Currency]]="EUR"),BoM_Griptel[[#This Row],[ACT_Qty]]*BoM_Griptel[[#This Row],[Unit Price]],""),"")</f>
        <v/>
      </c>
      <c r="T796" s="186" t="s">
        <v>1802</v>
      </c>
      <c r="U796" s="46"/>
      <c r="V796" s="46"/>
      <c r="W796" s="46"/>
    </row>
    <row r="797" spans="1:23">
      <c r="A797" s="143" t="str">
        <f t="shared" si="24"/>
        <v>AKH12345</v>
      </c>
      <c r="B797" s="159"/>
      <c r="C797" s="124"/>
      <c r="D797" s="105"/>
      <c r="E797" s="106"/>
      <c r="F797" s="105"/>
      <c r="G797" s="106"/>
      <c r="H797" s="125"/>
      <c r="I797" s="126"/>
      <c r="J797" s="125"/>
      <c r="K797" s="125"/>
      <c r="L797" s="145" t="s">
        <v>1806</v>
      </c>
      <c r="M797" s="45" t="str">
        <f t="shared" si="25"/>
        <v>OneCo Networks AS</v>
      </c>
      <c r="N797" s="40" t="str">
        <f ca="1">IFERROR(
VLOOKUP(BoM_Griptel[[#This Row],[Product code]],
IF(AND((BoQ!$N$3&lt;&gt;""),OR(BoM_Griptel[[#This Row],[Vendor]]="Griptel",BoM_Griptel[[#This Row],[Vendor]]="Solar")),INDIRECT(Aux!$A$1)),4,FALSE),"")</f>
        <v/>
      </c>
      <c r="O797" s="169" t="s">
        <v>1807</v>
      </c>
      <c r="P797" s="41" t="str">
        <f>IFERROR(IF(AND(BoM_Griptel[[#This Row],[Quantity]]&lt;&gt;"",BoM_Griptel[[#This Row],[Currency]]="NOK"),BoM_Griptel[[#This Row],[Quantity]]*BoM_Griptel[[#This Row],[Unit Price]],""),"")</f>
        <v/>
      </c>
      <c r="Q797" s="41" t="str">
        <f>IFERROR(IF(AND(BoM_Griptel[[#This Row],[ACT_Qty]]&lt;&gt;"",BoM_Griptel[[#This Row],[Currency]]="NOK"),BoM_Griptel[[#This Row],[ACT_Qty]]*BoM_Griptel[[#This Row],[Unit Price]],""),"")</f>
        <v/>
      </c>
      <c r="R797" s="41" t="str">
        <f>IFERROR(IF(AND(BoM_Griptel[[#This Row],[Quantity]]&lt;&gt;"",BoM_Griptel[[#This Row],[Currency]]="EUR"),BoM_Griptel[[#This Row],[Quantity]]*BoM_Griptel[[#This Row],[Unit Price]],""),"")</f>
        <v/>
      </c>
      <c r="S797" s="41" t="str">
        <f>IFERROR(IF(AND(BoM_Griptel[[#This Row],[ACT_Qty]]&lt;&gt;"",BoM_Griptel[[#This Row],[Currency]]="EUR"),BoM_Griptel[[#This Row],[ACT_Qty]]*BoM_Griptel[[#This Row],[Unit Price]],""),"")</f>
        <v/>
      </c>
      <c r="T797" s="185" t="s">
        <v>1802</v>
      </c>
      <c r="U797" s="45"/>
      <c r="V797" s="45"/>
      <c r="W797" s="45"/>
    </row>
    <row r="798" spans="1:23">
      <c r="A798" s="146" t="str">
        <f t="shared" si="24"/>
        <v>AKH12345</v>
      </c>
      <c r="B798" s="160"/>
      <c r="C798" s="69"/>
      <c r="D798" s="68"/>
      <c r="E798" s="89"/>
      <c r="F798" s="68"/>
      <c r="G798" s="89"/>
      <c r="H798" s="70"/>
      <c r="I798" s="78"/>
      <c r="J798" s="70"/>
      <c r="K798" s="70"/>
      <c r="L798" s="148" t="s">
        <v>1806</v>
      </c>
      <c r="M798" s="46" t="str">
        <f t="shared" si="25"/>
        <v>OneCo Networks AS</v>
      </c>
      <c r="N798" s="42" t="str">
        <f ca="1">IFERROR(
VLOOKUP(BoM_Griptel[[#This Row],[Product code]],
IF(AND((BoQ!$N$3&lt;&gt;""),OR(BoM_Griptel[[#This Row],[Vendor]]="Griptel",BoM_Griptel[[#This Row],[Vendor]]="Solar")),INDIRECT(Aux!$A$1)),4,FALSE),"")</f>
        <v/>
      </c>
      <c r="O798" s="170" t="s">
        <v>1807</v>
      </c>
      <c r="P798" s="43" t="str">
        <f>IFERROR(IF(AND(BoM_Griptel[[#This Row],[Quantity]]&lt;&gt;"",BoM_Griptel[[#This Row],[Currency]]="NOK"),BoM_Griptel[[#This Row],[Quantity]]*BoM_Griptel[[#This Row],[Unit Price]],""),"")</f>
        <v/>
      </c>
      <c r="Q798" s="43" t="str">
        <f>IFERROR(IF(AND(BoM_Griptel[[#This Row],[ACT_Qty]]&lt;&gt;"",BoM_Griptel[[#This Row],[Currency]]="NOK"),BoM_Griptel[[#This Row],[ACT_Qty]]*BoM_Griptel[[#This Row],[Unit Price]],""),"")</f>
        <v/>
      </c>
      <c r="R798" s="43" t="str">
        <f>IFERROR(IF(AND(BoM_Griptel[[#This Row],[Quantity]]&lt;&gt;"",BoM_Griptel[[#This Row],[Currency]]="EUR"),BoM_Griptel[[#This Row],[Quantity]]*BoM_Griptel[[#This Row],[Unit Price]],""),"")</f>
        <v/>
      </c>
      <c r="S798" s="43" t="str">
        <f>IFERROR(IF(AND(BoM_Griptel[[#This Row],[ACT_Qty]]&lt;&gt;"",BoM_Griptel[[#This Row],[Currency]]="EUR"),BoM_Griptel[[#This Row],[ACT_Qty]]*BoM_Griptel[[#This Row],[Unit Price]],""),"")</f>
        <v/>
      </c>
      <c r="T798" s="186" t="s">
        <v>1802</v>
      </c>
      <c r="U798" s="46"/>
      <c r="V798" s="46"/>
      <c r="W798" s="46"/>
    </row>
    <row r="799" spans="1:23">
      <c r="A799" s="143" t="str">
        <f t="shared" si="24"/>
        <v>AKH12345</v>
      </c>
      <c r="B799" s="159"/>
      <c r="C799" s="124"/>
      <c r="D799" s="105"/>
      <c r="E799" s="106"/>
      <c r="F799" s="105"/>
      <c r="G799" s="106"/>
      <c r="H799" s="125"/>
      <c r="I799" s="126"/>
      <c r="J799" s="125"/>
      <c r="K799" s="125"/>
      <c r="L799" s="145" t="s">
        <v>1806</v>
      </c>
      <c r="M799" s="45" t="str">
        <f t="shared" si="25"/>
        <v>OneCo Networks AS</v>
      </c>
      <c r="N799" s="40" t="str">
        <f ca="1">IFERROR(
VLOOKUP(BoM_Griptel[[#This Row],[Product code]],
IF(AND((BoQ!$N$3&lt;&gt;""),OR(BoM_Griptel[[#This Row],[Vendor]]="Griptel",BoM_Griptel[[#This Row],[Vendor]]="Solar")),INDIRECT(Aux!$A$1)),4,FALSE),"")</f>
        <v/>
      </c>
      <c r="O799" s="169" t="s">
        <v>1807</v>
      </c>
      <c r="P799" s="41" t="str">
        <f>IFERROR(IF(AND(BoM_Griptel[[#This Row],[Quantity]]&lt;&gt;"",BoM_Griptel[[#This Row],[Currency]]="NOK"),BoM_Griptel[[#This Row],[Quantity]]*BoM_Griptel[[#This Row],[Unit Price]],""),"")</f>
        <v/>
      </c>
      <c r="Q799" s="41" t="str">
        <f>IFERROR(IF(AND(BoM_Griptel[[#This Row],[ACT_Qty]]&lt;&gt;"",BoM_Griptel[[#This Row],[Currency]]="NOK"),BoM_Griptel[[#This Row],[ACT_Qty]]*BoM_Griptel[[#This Row],[Unit Price]],""),"")</f>
        <v/>
      </c>
      <c r="R799" s="41" t="str">
        <f>IFERROR(IF(AND(BoM_Griptel[[#This Row],[Quantity]]&lt;&gt;"",BoM_Griptel[[#This Row],[Currency]]="EUR"),BoM_Griptel[[#This Row],[Quantity]]*BoM_Griptel[[#This Row],[Unit Price]],""),"")</f>
        <v/>
      </c>
      <c r="S799" s="41" t="str">
        <f>IFERROR(IF(AND(BoM_Griptel[[#This Row],[ACT_Qty]]&lt;&gt;"",BoM_Griptel[[#This Row],[Currency]]="EUR"),BoM_Griptel[[#This Row],[ACT_Qty]]*BoM_Griptel[[#This Row],[Unit Price]],""),"")</f>
        <v/>
      </c>
      <c r="T799" s="185" t="s">
        <v>1802</v>
      </c>
      <c r="U799" s="45"/>
      <c r="V799" s="45"/>
      <c r="W799" s="45"/>
    </row>
    <row r="800" spans="1:23">
      <c r="A800" s="146" t="str">
        <f t="shared" si="24"/>
        <v>AKH12345</v>
      </c>
      <c r="B800" s="160"/>
      <c r="C800" s="69"/>
      <c r="D800" s="68"/>
      <c r="E800" s="89"/>
      <c r="F800" s="68"/>
      <c r="G800" s="89"/>
      <c r="H800" s="70"/>
      <c r="I800" s="78"/>
      <c r="J800" s="70"/>
      <c r="K800" s="70"/>
      <c r="L800" s="148" t="s">
        <v>1806</v>
      </c>
      <c r="M800" s="46" t="str">
        <f t="shared" si="25"/>
        <v>OneCo Networks AS</v>
      </c>
      <c r="N800" s="42" t="str">
        <f ca="1">IFERROR(
VLOOKUP(BoM_Griptel[[#This Row],[Product code]],
IF(AND((BoQ!$N$3&lt;&gt;""),OR(BoM_Griptel[[#This Row],[Vendor]]="Griptel",BoM_Griptel[[#This Row],[Vendor]]="Solar")),INDIRECT(Aux!$A$1)),4,FALSE),"")</f>
        <v/>
      </c>
      <c r="O800" s="170" t="s">
        <v>1807</v>
      </c>
      <c r="P800" s="43" t="str">
        <f>IFERROR(IF(AND(BoM_Griptel[[#This Row],[Quantity]]&lt;&gt;"",BoM_Griptel[[#This Row],[Currency]]="NOK"),BoM_Griptel[[#This Row],[Quantity]]*BoM_Griptel[[#This Row],[Unit Price]],""),"")</f>
        <v/>
      </c>
      <c r="Q800" s="43" t="str">
        <f>IFERROR(IF(AND(BoM_Griptel[[#This Row],[ACT_Qty]]&lt;&gt;"",BoM_Griptel[[#This Row],[Currency]]="NOK"),BoM_Griptel[[#This Row],[ACT_Qty]]*BoM_Griptel[[#This Row],[Unit Price]],""),"")</f>
        <v/>
      </c>
      <c r="R800" s="43" t="str">
        <f>IFERROR(IF(AND(BoM_Griptel[[#This Row],[Quantity]]&lt;&gt;"",BoM_Griptel[[#This Row],[Currency]]="EUR"),BoM_Griptel[[#This Row],[Quantity]]*BoM_Griptel[[#This Row],[Unit Price]],""),"")</f>
        <v/>
      </c>
      <c r="S800" s="43" t="str">
        <f>IFERROR(IF(AND(BoM_Griptel[[#This Row],[ACT_Qty]]&lt;&gt;"",BoM_Griptel[[#This Row],[Currency]]="EUR"),BoM_Griptel[[#This Row],[ACT_Qty]]*BoM_Griptel[[#This Row],[Unit Price]],""),"")</f>
        <v/>
      </c>
      <c r="T800" s="186" t="s">
        <v>1802</v>
      </c>
      <c r="U800" s="46"/>
      <c r="V800" s="46"/>
      <c r="W800" s="46"/>
    </row>
    <row r="801" spans="1:23">
      <c r="A801" s="143" t="str">
        <f t="shared" si="24"/>
        <v>AKH12345</v>
      </c>
      <c r="B801" s="159"/>
      <c r="C801" s="124"/>
      <c r="D801" s="105"/>
      <c r="E801" s="106"/>
      <c r="F801" s="105"/>
      <c r="G801" s="106"/>
      <c r="H801" s="125"/>
      <c r="I801" s="126"/>
      <c r="J801" s="125"/>
      <c r="K801" s="125"/>
      <c r="L801" s="145" t="s">
        <v>1806</v>
      </c>
      <c r="M801" s="45" t="str">
        <f t="shared" si="25"/>
        <v>OneCo Networks AS</v>
      </c>
      <c r="N801" s="40" t="str">
        <f ca="1">IFERROR(
VLOOKUP(BoM_Griptel[[#This Row],[Product code]],
IF(AND((BoQ!$N$3&lt;&gt;""),OR(BoM_Griptel[[#This Row],[Vendor]]="Griptel",BoM_Griptel[[#This Row],[Vendor]]="Solar")),INDIRECT(Aux!$A$1)),4,FALSE),"")</f>
        <v/>
      </c>
      <c r="O801" s="169" t="s">
        <v>1807</v>
      </c>
      <c r="P801" s="41" t="str">
        <f>IFERROR(IF(AND(BoM_Griptel[[#This Row],[Quantity]]&lt;&gt;"",BoM_Griptel[[#This Row],[Currency]]="NOK"),BoM_Griptel[[#This Row],[Quantity]]*BoM_Griptel[[#This Row],[Unit Price]],""),"")</f>
        <v/>
      </c>
      <c r="Q801" s="41" t="str">
        <f>IFERROR(IF(AND(BoM_Griptel[[#This Row],[ACT_Qty]]&lt;&gt;"",BoM_Griptel[[#This Row],[Currency]]="NOK"),BoM_Griptel[[#This Row],[ACT_Qty]]*BoM_Griptel[[#This Row],[Unit Price]],""),"")</f>
        <v/>
      </c>
      <c r="R801" s="41" t="str">
        <f>IFERROR(IF(AND(BoM_Griptel[[#This Row],[Quantity]]&lt;&gt;"",BoM_Griptel[[#This Row],[Currency]]="EUR"),BoM_Griptel[[#This Row],[Quantity]]*BoM_Griptel[[#This Row],[Unit Price]],""),"")</f>
        <v/>
      </c>
      <c r="S801" s="41" t="str">
        <f>IFERROR(IF(AND(BoM_Griptel[[#This Row],[ACT_Qty]]&lt;&gt;"",BoM_Griptel[[#This Row],[Currency]]="EUR"),BoM_Griptel[[#This Row],[ACT_Qty]]*BoM_Griptel[[#This Row],[Unit Price]],""),"")</f>
        <v/>
      </c>
      <c r="T801" s="185" t="s">
        <v>1802</v>
      </c>
      <c r="U801" s="45"/>
      <c r="V801" s="45"/>
      <c r="W801" s="45"/>
    </row>
    <row r="802" spans="1:23">
      <c r="A802" s="146" t="str">
        <f t="shared" si="24"/>
        <v>AKH12345</v>
      </c>
      <c r="B802" s="160"/>
      <c r="C802" s="69"/>
      <c r="D802" s="68"/>
      <c r="E802" s="89"/>
      <c r="F802" s="68"/>
      <c r="G802" s="89"/>
      <c r="H802" s="70"/>
      <c r="I802" s="78"/>
      <c r="J802" s="70"/>
      <c r="K802" s="70"/>
      <c r="L802" s="148" t="s">
        <v>1806</v>
      </c>
      <c r="M802" s="46" t="str">
        <f t="shared" si="25"/>
        <v>OneCo Networks AS</v>
      </c>
      <c r="N802" s="42" t="str">
        <f ca="1">IFERROR(
VLOOKUP(BoM_Griptel[[#This Row],[Product code]],
IF(AND((BoQ!$N$3&lt;&gt;""),OR(BoM_Griptel[[#This Row],[Vendor]]="Griptel",BoM_Griptel[[#This Row],[Vendor]]="Solar")),INDIRECT(Aux!$A$1)),4,FALSE),"")</f>
        <v/>
      </c>
      <c r="O802" s="170" t="s">
        <v>1807</v>
      </c>
      <c r="P802" s="43" t="str">
        <f>IFERROR(IF(AND(BoM_Griptel[[#This Row],[Quantity]]&lt;&gt;"",BoM_Griptel[[#This Row],[Currency]]="NOK"),BoM_Griptel[[#This Row],[Quantity]]*BoM_Griptel[[#This Row],[Unit Price]],""),"")</f>
        <v/>
      </c>
      <c r="Q802" s="43" t="str">
        <f>IFERROR(IF(AND(BoM_Griptel[[#This Row],[ACT_Qty]]&lt;&gt;"",BoM_Griptel[[#This Row],[Currency]]="NOK"),BoM_Griptel[[#This Row],[ACT_Qty]]*BoM_Griptel[[#This Row],[Unit Price]],""),"")</f>
        <v/>
      </c>
      <c r="R802" s="43" t="str">
        <f>IFERROR(IF(AND(BoM_Griptel[[#This Row],[Quantity]]&lt;&gt;"",BoM_Griptel[[#This Row],[Currency]]="EUR"),BoM_Griptel[[#This Row],[Quantity]]*BoM_Griptel[[#This Row],[Unit Price]],""),"")</f>
        <v/>
      </c>
      <c r="S802" s="43" t="str">
        <f>IFERROR(IF(AND(BoM_Griptel[[#This Row],[ACT_Qty]]&lt;&gt;"",BoM_Griptel[[#This Row],[Currency]]="EUR"),BoM_Griptel[[#This Row],[ACT_Qty]]*BoM_Griptel[[#This Row],[Unit Price]],""),"")</f>
        <v/>
      </c>
      <c r="T802" s="186" t="s">
        <v>1802</v>
      </c>
      <c r="U802" s="46"/>
      <c r="V802" s="46"/>
      <c r="W802" s="46"/>
    </row>
    <row r="803" spans="1:23">
      <c r="A803" s="143" t="str">
        <f t="shared" si="24"/>
        <v>AKH12345</v>
      </c>
      <c r="B803" s="159"/>
      <c r="C803" s="124"/>
      <c r="D803" s="105"/>
      <c r="E803" s="106"/>
      <c r="F803" s="105"/>
      <c r="G803" s="106"/>
      <c r="H803" s="125"/>
      <c r="I803" s="126"/>
      <c r="J803" s="125"/>
      <c r="K803" s="125"/>
      <c r="L803" s="145" t="s">
        <v>1806</v>
      </c>
      <c r="M803" s="45" t="str">
        <f t="shared" si="25"/>
        <v>OneCo Networks AS</v>
      </c>
      <c r="N803" s="40" t="str">
        <f ca="1">IFERROR(
VLOOKUP(BoM_Griptel[[#This Row],[Product code]],
IF(AND((BoQ!$N$3&lt;&gt;""),OR(BoM_Griptel[[#This Row],[Vendor]]="Griptel",BoM_Griptel[[#This Row],[Vendor]]="Solar")),INDIRECT(Aux!$A$1)),4,FALSE),"")</f>
        <v/>
      </c>
      <c r="O803" s="169" t="s">
        <v>1807</v>
      </c>
      <c r="P803" s="41" t="str">
        <f>IFERROR(IF(AND(BoM_Griptel[[#This Row],[Quantity]]&lt;&gt;"",BoM_Griptel[[#This Row],[Currency]]="NOK"),BoM_Griptel[[#This Row],[Quantity]]*BoM_Griptel[[#This Row],[Unit Price]],""),"")</f>
        <v/>
      </c>
      <c r="Q803" s="41" t="str">
        <f>IFERROR(IF(AND(BoM_Griptel[[#This Row],[ACT_Qty]]&lt;&gt;"",BoM_Griptel[[#This Row],[Currency]]="NOK"),BoM_Griptel[[#This Row],[ACT_Qty]]*BoM_Griptel[[#This Row],[Unit Price]],""),"")</f>
        <v/>
      </c>
      <c r="R803" s="41" t="str">
        <f>IFERROR(IF(AND(BoM_Griptel[[#This Row],[Quantity]]&lt;&gt;"",BoM_Griptel[[#This Row],[Currency]]="EUR"),BoM_Griptel[[#This Row],[Quantity]]*BoM_Griptel[[#This Row],[Unit Price]],""),"")</f>
        <v/>
      </c>
      <c r="S803" s="41" t="str">
        <f>IFERROR(IF(AND(BoM_Griptel[[#This Row],[ACT_Qty]]&lt;&gt;"",BoM_Griptel[[#This Row],[Currency]]="EUR"),BoM_Griptel[[#This Row],[ACT_Qty]]*BoM_Griptel[[#This Row],[Unit Price]],""),"")</f>
        <v/>
      </c>
      <c r="T803" s="185" t="s">
        <v>1802</v>
      </c>
      <c r="U803" s="45"/>
      <c r="V803" s="45"/>
      <c r="W803" s="45"/>
    </row>
    <row r="804" spans="1:23">
      <c r="A804" s="146" t="str">
        <f t="shared" si="24"/>
        <v>AKH12345</v>
      </c>
      <c r="B804" s="160"/>
      <c r="C804" s="69"/>
      <c r="D804" s="68"/>
      <c r="E804" s="89"/>
      <c r="F804" s="68"/>
      <c r="G804" s="89"/>
      <c r="H804" s="70"/>
      <c r="I804" s="78"/>
      <c r="J804" s="70"/>
      <c r="K804" s="70"/>
      <c r="L804" s="148" t="s">
        <v>1806</v>
      </c>
      <c r="M804" s="46" t="str">
        <f t="shared" si="25"/>
        <v>OneCo Networks AS</v>
      </c>
      <c r="N804" s="42" t="str">
        <f ca="1">IFERROR(
VLOOKUP(BoM_Griptel[[#This Row],[Product code]],
IF(AND((BoQ!$N$3&lt;&gt;""),OR(BoM_Griptel[[#This Row],[Vendor]]="Griptel",BoM_Griptel[[#This Row],[Vendor]]="Solar")),INDIRECT(Aux!$A$1)),4,FALSE),"")</f>
        <v/>
      </c>
      <c r="O804" s="170" t="s">
        <v>1807</v>
      </c>
      <c r="P804" s="43" t="str">
        <f>IFERROR(IF(AND(BoM_Griptel[[#This Row],[Quantity]]&lt;&gt;"",BoM_Griptel[[#This Row],[Currency]]="NOK"),BoM_Griptel[[#This Row],[Quantity]]*BoM_Griptel[[#This Row],[Unit Price]],""),"")</f>
        <v/>
      </c>
      <c r="Q804" s="43" t="str">
        <f>IFERROR(IF(AND(BoM_Griptel[[#This Row],[ACT_Qty]]&lt;&gt;"",BoM_Griptel[[#This Row],[Currency]]="NOK"),BoM_Griptel[[#This Row],[ACT_Qty]]*BoM_Griptel[[#This Row],[Unit Price]],""),"")</f>
        <v/>
      </c>
      <c r="R804" s="43" t="str">
        <f>IFERROR(IF(AND(BoM_Griptel[[#This Row],[Quantity]]&lt;&gt;"",BoM_Griptel[[#This Row],[Currency]]="EUR"),BoM_Griptel[[#This Row],[Quantity]]*BoM_Griptel[[#This Row],[Unit Price]],""),"")</f>
        <v/>
      </c>
      <c r="S804" s="43" t="str">
        <f>IFERROR(IF(AND(BoM_Griptel[[#This Row],[ACT_Qty]]&lt;&gt;"",BoM_Griptel[[#This Row],[Currency]]="EUR"),BoM_Griptel[[#This Row],[ACT_Qty]]*BoM_Griptel[[#This Row],[Unit Price]],""),"")</f>
        <v/>
      </c>
      <c r="T804" s="186" t="s">
        <v>1802</v>
      </c>
      <c r="U804" s="46"/>
      <c r="V804" s="46"/>
      <c r="W804" s="46"/>
    </row>
    <row r="805" spans="1:23">
      <c r="A805" s="143" t="str">
        <f t="shared" si="24"/>
        <v>AKH12345</v>
      </c>
      <c r="B805" s="159"/>
      <c r="C805" s="124"/>
      <c r="D805" s="105"/>
      <c r="E805" s="106"/>
      <c r="F805" s="105"/>
      <c r="G805" s="106"/>
      <c r="H805" s="125"/>
      <c r="I805" s="126"/>
      <c r="J805" s="125"/>
      <c r="K805" s="125"/>
      <c r="L805" s="145" t="s">
        <v>1806</v>
      </c>
      <c r="M805" s="45" t="str">
        <f t="shared" si="25"/>
        <v>OneCo Networks AS</v>
      </c>
      <c r="N805" s="40" t="str">
        <f ca="1">IFERROR(
VLOOKUP(BoM_Griptel[[#This Row],[Product code]],
IF(AND((BoQ!$N$3&lt;&gt;""),OR(BoM_Griptel[[#This Row],[Vendor]]="Griptel",BoM_Griptel[[#This Row],[Vendor]]="Solar")),INDIRECT(Aux!$A$1)),4,FALSE),"")</f>
        <v/>
      </c>
      <c r="O805" s="169" t="s">
        <v>1807</v>
      </c>
      <c r="P805" s="41" t="str">
        <f>IFERROR(IF(AND(BoM_Griptel[[#This Row],[Quantity]]&lt;&gt;"",BoM_Griptel[[#This Row],[Currency]]="NOK"),BoM_Griptel[[#This Row],[Quantity]]*BoM_Griptel[[#This Row],[Unit Price]],""),"")</f>
        <v/>
      </c>
      <c r="Q805" s="41" t="str">
        <f>IFERROR(IF(AND(BoM_Griptel[[#This Row],[ACT_Qty]]&lt;&gt;"",BoM_Griptel[[#This Row],[Currency]]="NOK"),BoM_Griptel[[#This Row],[ACT_Qty]]*BoM_Griptel[[#This Row],[Unit Price]],""),"")</f>
        <v/>
      </c>
      <c r="R805" s="41" t="str">
        <f>IFERROR(IF(AND(BoM_Griptel[[#This Row],[Quantity]]&lt;&gt;"",BoM_Griptel[[#This Row],[Currency]]="EUR"),BoM_Griptel[[#This Row],[Quantity]]*BoM_Griptel[[#This Row],[Unit Price]],""),"")</f>
        <v/>
      </c>
      <c r="S805" s="41" t="str">
        <f>IFERROR(IF(AND(BoM_Griptel[[#This Row],[ACT_Qty]]&lt;&gt;"",BoM_Griptel[[#This Row],[Currency]]="EUR"),BoM_Griptel[[#This Row],[ACT_Qty]]*BoM_Griptel[[#This Row],[Unit Price]],""),"")</f>
        <v/>
      </c>
      <c r="T805" s="185" t="s">
        <v>1802</v>
      </c>
      <c r="U805" s="45"/>
      <c r="V805" s="45"/>
      <c r="W805" s="45"/>
    </row>
    <row r="806" spans="1:23">
      <c r="A806" s="146" t="str">
        <f t="shared" si="24"/>
        <v>AKH12345</v>
      </c>
      <c r="B806" s="160"/>
      <c r="C806" s="69"/>
      <c r="D806" s="68"/>
      <c r="E806" s="89"/>
      <c r="F806" s="68"/>
      <c r="G806" s="89"/>
      <c r="H806" s="70"/>
      <c r="I806" s="78"/>
      <c r="J806" s="70"/>
      <c r="K806" s="70"/>
      <c r="L806" s="148" t="s">
        <v>1806</v>
      </c>
      <c r="M806" s="46" t="str">
        <f t="shared" si="25"/>
        <v>OneCo Networks AS</v>
      </c>
      <c r="N806" s="42" t="str">
        <f ca="1">IFERROR(
VLOOKUP(BoM_Griptel[[#This Row],[Product code]],
IF(AND((BoQ!$N$3&lt;&gt;""),OR(BoM_Griptel[[#This Row],[Vendor]]="Griptel",BoM_Griptel[[#This Row],[Vendor]]="Solar")),INDIRECT(Aux!$A$1)),4,FALSE),"")</f>
        <v/>
      </c>
      <c r="O806" s="170" t="s">
        <v>1807</v>
      </c>
      <c r="P806" s="43" t="str">
        <f>IFERROR(IF(AND(BoM_Griptel[[#This Row],[Quantity]]&lt;&gt;"",BoM_Griptel[[#This Row],[Currency]]="NOK"),BoM_Griptel[[#This Row],[Quantity]]*BoM_Griptel[[#This Row],[Unit Price]],""),"")</f>
        <v/>
      </c>
      <c r="Q806" s="43" t="str">
        <f>IFERROR(IF(AND(BoM_Griptel[[#This Row],[ACT_Qty]]&lt;&gt;"",BoM_Griptel[[#This Row],[Currency]]="NOK"),BoM_Griptel[[#This Row],[ACT_Qty]]*BoM_Griptel[[#This Row],[Unit Price]],""),"")</f>
        <v/>
      </c>
      <c r="R806" s="43" t="str">
        <f>IFERROR(IF(AND(BoM_Griptel[[#This Row],[Quantity]]&lt;&gt;"",BoM_Griptel[[#This Row],[Currency]]="EUR"),BoM_Griptel[[#This Row],[Quantity]]*BoM_Griptel[[#This Row],[Unit Price]],""),"")</f>
        <v/>
      </c>
      <c r="S806" s="43" t="str">
        <f>IFERROR(IF(AND(BoM_Griptel[[#This Row],[ACT_Qty]]&lt;&gt;"",BoM_Griptel[[#This Row],[Currency]]="EUR"),BoM_Griptel[[#This Row],[ACT_Qty]]*BoM_Griptel[[#This Row],[Unit Price]],""),"")</f>
        <v/>
      </c>
      <c r="T806" s="186" t="s">
        <v>1802</v>
      </c>
      <c r="U806" s="46"/>
      <c r="V806" s="46"/>
      <c r="W806" s="46"/>
    </row>
    <row r="807" spans="1:23">
      <c r="A807" s="143" t="str">
        <f t="shared" si="24"/>
        <v>AKH12345</v>
      </c>
      <c r="B807" s="159"/>
      <c r="C807" s="124"/>
      <c r="D807" s="105"/>
      <c r="E807" s="106"/>
      <c r="F807" s="105"/>
      <c r="G807" s="106"/>
      <c r="H807" s="125"/>
      <c r="I807" s="126"/>
      <c r="J807" s="125"/>
      <c r="K807" s="125"/>
      <c r="L807" s="145" t="s">
        <v>1806</v>
      </c>
      <c r="M807" s="45" t="str">
        <f t="shared" si="25"/>
        <v>OneCo Networks AS</v>
      </c>
      <c r="N807" s="40" t="str">
        <f ca="1">IFERROR(
VLOOKUP(BoM_Griptel[[#This Row],[Product code]],
IF(AND((BoQ!$N$3&lt;&gt;""),OR(BoM_Griptel[[#This Row],[Vendor]]="Griptel",BoM_Griptel[[#This Row],[Vendor]]="Solar")),INDIRECT(Aux!$A$1)),4,FALSE),"")</f>
        <v/>
      </c>
      <c r="O807" s="169" t="s">
        <v>1807</v>
      </c>
      <c r="P807" s="41" t="str">
        <f>IFERROR(IF(AND(BoM_Griptel[[#This Row],[Quantity]]&lt;&gt;"",BoM_Griptel[[#This Row],[Currency]]="NOK"),BoM_Griptel[[#This Row],[Quantity]]*BoM_Griptel[[#This Row],[Unit Price]],""),"")</f>
        <v/>
      </c>
      <c r="Q807" s="41" t="str">
        <f>IFERROR(IF(AND(BoM_Griptel[[#This Row],[ACT_Qty]]&lt;&gt;"",BoM_Griptel[[#This Row],[Currency]]="NOK"),BoM_Griptel[[#This Row],[ACT_Qty]]*BoM_Griptel[[#This Row],[Unit Price]],""),"")</f>
        <v/>
      </c>
      <c r="R807" s="41" t="str">
        <f>IFERROR(IF(AND(BoM_Griptel[[#This Row],[Quantity]]&lt;&gt;"",BoM_Griptel[[#This Row],[Currency]]="EUR"),BoM_Griptel[[#This Row],[Quantity]]*BoM_Griptel[[#This Row],[Unit Price]],""),"")</f>
        <v/>
      </c>
      <c r="S807" s="41" t="str">
        <f>IFERROR(IF(AND(BoM_Griptel[[#This Row],[ACT_Qty]]&lt;&gt;"",BoM_Griptel[[#This Row],[Currency]]="EUR"),BoM_Griptel[[#This Row],[ACT_Qty]]*BoM_Griptel[[#This Row],[Unit Price]],""),"")</f>
        <v/>
      </c>
      <c r="T807" s="185" t="s">
        <v>1802</v>
      </c>
      <c r="U807" s="45"/>
      <c r="V807" s="45"/>
      <c r="W807" s="45"/>
    </row>
    <row r="808" spans="1:23">
      <c r="A808" s="146" t="str">
        <f t="shared" si="24"/>
        <v>AKH12345</v>
      </c>
      <c r="B808" s="160"/>
      <c r="C808" s="69"/>
      <c r="D808" s="68"/>
      <c r="E808" s="89"/>
      <c r="F808" s="68"/>
      <c r="G808" s="89"/>
      <c r="H808" s="70"/>
      <c r="I808" s="78"/>
      <c r="J808" s="70"/>
      <c r="K808" s="70"/>
      <c r="L808" s="148" t="s">
        <v>1806</v>
      </c>
      <c r="M808" s="46" t="str">
        <f t="shared" si="25"/>
        <v>OneCo Networks AS</v>
      </c>
      <c r="N808" s="42" t="str">
        <f ca="1">IFERROR(
VLOOKUP(BoM_Griptel[[#This Row],[Product code]],
IF(AND((BoQ!$N$3&lt;&gt;""),OR(BoM_Griptel[[#This Row],[Vendor]]="Griptel",BoM_Griptel[[#This Row],[Vendor]]="Solar")),INDIRECT(Aux!$A$1)),4,FALSE),"")</f>
        <v/>
      </c>
      <c r="O808" s="170" t="s">
        <v>1807</v>
      </c>
      <c r="P808" s="43" t="str">
        <f>IFERROR(IF(AND(BoM_Griptel[[#This Row],[Quantity]]&lt;&gt;"",BoM_Griptel[[#This Row],[Currency]]="NOK"),BoM_Griptel[[#This Row],[Quantity]]*BoM_Griptel[[#This Row],[Unit Price]],""),"")</f>
        <v/>
      </c>
      <c r="Q808" s="43" t="str">
        <f>IFERROR(IF(AND(BoM_Griptel[[#This Row],[ACT_Qty]]&lt;&gt;"",BoM_Griptel[[#This Row],[Currency]]="NOK"),BoM_Griptel[[#This Row],[ACT_Qty]]*BoM_Griptel[[#This Row],[Unit Price]],""),"")</f>
        <v/>
      </c>
      <c r="R808" s="43" t="str">
        <f>IFERROR(IF(AND(BoM_Griptel[[#This Row],[Quantity]]&lt;&gt;"",BoM_Griptel[[#This Row],[Currency]]="EUR"),BoM_Griptel[[#This Row],[Quantity]]*BoM_Griptel[[#This Row],[Unit Price]],""),"")</f>
        <v/>
      </c>
      <c r="S808" s="43" t="str">
        <f>IFERROR(IF(AND(BoM_Griptel[[#This Row],[ACT_Qty]]&lt;&gt;"",BoM_Griptel[[#This Row],[Currency]]="EUR"),BoM_Griptel[[#This Row],[ACT_Qty]]*BoM_Griptel[[#This Row],[Unit Price]],""),"")</f>
        <v/>
      </c>
      <c r="T808" s="186" t="s">
        <v>1802</v>
      </c>
      <c r="U808" s="46"/>
      <c r="V808" s="46"/>
      <c r="W808" s="46"/>
    </row>
    <row r="809" spans="1:23">
      <c r="A809" s="143" t="str">
        <f t="shared" si="24"/>
        <v>AKH12345</v>
      </c>
      <c r="B809" s="159"/>
      <c r="C809" s="124"/>
      <c r="D809" s="105"/>
      <c r="E809" s="106"/>
      <c r="F809" s="105"/>
      <c r="G809" s="106"/>
      <c r="H809" s="125"/>
      <c r="I809" s="126"/>
      <c r="J809" s="125"/>
      <c r="K809" s="125"/>
      <c r="L809" s="145" t="s">
        <v>1806</v>
      </c>
      <c r="M809" s="45" t="str">
        <f t="shared" si="25"/>
        <v>OneCo Networks AS</v>
      </c>
      <c r="N809" s="40" t="str">
        <f ca="1">IFERROR(
VLOOKUP(BoM_Griptel[[#This Row],[Product code]],
IF(AND((BoQ!$N$3&lt;&gt;""),OR(BoM_Griptel[[#This Row],[Vendor]]="Griptel",BoM_Griptel[[#This Row],[Vendor]]="Solar")),INDIRECT(Aux!$A$1)),4,FALSE),"")</f>
        <v/>
      </c>
      <c r="O809" s="169" t="s">
        <v>1807</v>
      </c>
      <c r="P809" s="41" t="str">
        <f>IFERROR(IF(AND(BoM_Griptel[[#This Row],[Quantity]]&lt;&gt;"",BoM_Griptel[[#This Row],[Currency]]="NOK"),BoM_Griptel[[#This Row],[Quantity]]*BoM_Griptel[[#This Row],[Unit Price]],""),"")</f>
        <v/>
      </c>
      <c r="Q809" s="41" t="str">
        <f>IFERROR(IF(AND(BoM_Griptel[[#This Row],[ACT_Qty]]&lt;&gt;"",BoM_Griptel[[#This Row],[Currency]]="NOK"),BoM_Griptel[[#This Row],[ACT_Qty]]*BoM_Griptel[[#This Row],[Unit Price]],""),"")</f>
        <v/>
      </c>
      <c r="R809" s="41" t="str">
        <f>IFERROR(IF(AND(BoM_Griptel[[#This Row],[Quantity]]&lt;&gt;"",BoM_Griptel[[#This Row],[Currency]]="EUR"),BoM_Griptel[[#This Row],[Quantity]]*BoM_Griptel[[#This Row],[Unit Price]],""),"")</f>
        <v/>
      </c>
      <c r="S809" s="41" t="str">
        <f>IFERROR(IF(AND(BoM_Griptel[[#This Row],[ACT_Qty]]&lt;&gt;"",BoM_Griptel[[#This Row],[Currency]]="EUR"),BoM_Griptel[[#This Row],[ACT_Qty]]*BoM_Griptel[[#This Row],[Unit Price]],""),"")</f>
        <v/>
      </c>
      <c r="T809" s="185" t="s">
        <v>1802</v>
      </c>
      <c r="U809" s="45"/>
      <c r="V809" s="45"/>
      <c r="W809" s="45"/>
    </row>
    <row r="810" spans="1:23">
      <c r="A810" s="146" t="str">
        <f t="shared" si="24"/>
        <v>AKH12345</v>
      </c>
      <c r="B810" s="160"/>
      <c r="C810" s="69"/>
      <c r="D810" s="68"/>
      <c r="E810" s="89"/>
      <c r="F810" s="68"/>
      <c r="G810" s="89"/>
      <c r="H810" s="70"/>
      <c r="I810" s="78"/>
      <c r="J810" s="70"/>
      <c r="K810" s="70"/>
      <c r="L810" s="148" t="s">
        <v>1806</v>
      </c>
      <c r="M810" s="46" t="str">
        <f t="shared" si="25"/>
        <v>OneCo Networks AS</v>
      </c>
      <c r="N810" s="42" t="str">
        <f ca="1">IFERROR(
VLOOKUP(BoM_Griptel[[#This Row],[Product code]],
IF(AND((BoQ!$N$3&lt;&gt;""),OR(BoM_Griptel[[#This Row],[Vendor]]="Griptel",BoM_Griptel[[#This Row],[Vendor]]="Solar")),INDIRECT(Aux!$A$1)),4,FALSE),"")</f>
        <v/>
      </c>
      <c r="O810" s="170" t="s">
        <v>1807</v>
      </c>
      <c r="P810" s="43" t="str">
        <f>IFERROR(IF(AND(BoM_Griptel[[#This Row],[Quantity]]&lt;&gt;"",BoM_Griptel[[#This Row],[Currency]]="NOK"),BoM_Griptel[[#This Row],[Quantity]]*BoM_Griptel[[#This Row],[Unit Price]],""),"")</f>
        <v/>
      </c>
      <c r="Q810" s="43" t="str">
        <f>IFERROR(IF(AND(BoM_Griptel[[#This Row],[ACT_Qty]]&lt;&gt;"",BoM_Griptel[[#This Row],[Currency]]="NOK"),BoM_Griptel[[#This Row],[ACT_Qty]]*BoM_Griptel[[#This Row],[Unit Price]],""),"")</f>
        <v/>
      </c>
      <c r="R810" s="43" t="str">
        <f>IFERROR(IF(AND(BoM_Griptel[[#This Row],[Quantity]]&lt;&gt;"",BoM_Griptel[[#This Row],[Currency]]="EUR"),BoM_Griptel[[#This Row],[Quantity]]*BoM_Griptel[[#This Row],[Unit Price]],""),"")</f>
        <v/>
      </c>
      <c r="S810" s="43" t="str">
        <f>IFERROR(IF(AND(BoM_Griptel[[#This Row],[ACT_Qty]]&lt;&gt;"",BoM_Griptel[[#This Row],[Currency]]="EUR"),BoM_Griptel[[#This Row],[ACT_Qty]]*BoM_Griptel[[#This Row],[Unit Price]],""),"")</f>
        <v/>
      </c>
      <c r="T810" s="186" t="s">
        <v>1802</v>
      </c>
      <c r="U810" s="46"/>
      <c r="V810" s="46"/>
      <c r="W810" s="46"/>
    </row>
    <row r="811" spans="1:23">
      <c r="A811" s="143" t="str">
        <f t="shared" si="24"/>
        <v>AKH12345</v>
      </c>
      <c r="B811" s="159"/>
      <c r="C811" s="124"/>
      <c r="D811" s="105"/>
      <c r="E811" s="106"/>
      <c r="F811" s="105"/>
      <c r="G811" s="106"/>
      <c r="H811" s="125"/>
      <c r="I811" s="126"/>
      <c r="J811" s="125"/>
      <c r="K811" s="125"/>
      <c r="L811" s="145" t="s">
        <v>1806</v>
      </c>
      <c r="M811" s="45" t="str">
        <f t="shared" si="25"/>
        <v>OneCo Networks AS</v>
      </c>
      <c r="N811" s="40" t="str">
        <f ca="1">IFERROR(
VLOOKUP(BoM_Griptel[[#This Row],[Product code]],
IF(AND((BoQ!$N$3&lt;&gt;""),OR(BoM_Griptel[[#This Row],[Vendor]]="Griptel",BoM_Griptel[[#This Row],[Vendor]]="Solar")),INDIRECT(Aux!$A$1)),4,FALSE),"")</f>
        <v/>
      </c>
      <c r="O811" s="169" t="s">
        <v>1807</v>
      </c>
      <c r="P811" s="41" t="str">
        <f>IFERROR(IF(AND(BoM_Griptel[[#This Row],[Quantity]]&lt;&gt;"",BoM_Griptel[[#This Row],[Currency]]="NOK"),BoM_Griptel[[#This Row],[Quantity]]*BoM_Griptel[[#This Row],[Unit Price]],""),"")</f>
        <v/>
      </c>
      <c r="Q811" s="41" t="str">
        <f>IFERROR(IF(AND(BoM_Griptel[[#This Row],[ACT_Qty]]&lt;&gt;"",BoM_Griptel[[#This Row],[Currency]]="NOK"),BoM_Griptel[[#This Row],[ACT_Qty]]*BoM_Griptel[[#This Row],[Unit Price]],""),"")</f>
        <v/>
      </c>
      <c r="R811" s="41" t="str">
        <f>IFERROR(IF(AND(BoM_Griptel[[#This Row],[Quantity]]&lt;&gt;"",BoM_Griptel[[#This Row],[Currency]]="EUR"),BoM_Griptel[[#This Row],[Quantity]]*BoM_Griptel[[#This Row],[Unit Price]],""),"")</f>
        <v/>
      </c>
      <c r="S811" s="41" t="str">
        <f>IFERROR(IF(AND(BoM_Griptel[[#This Row],[ACT_Qty]]&lt;&gt;"",BoM_Griptel[[#This Row],[Currency]]="EUR"),BoM_Griptel[[#This Row],[ACT_Qty]]*BoM_Griptel[[#This Row],[Unit Price]],""),"")</f>
        <v/>
      </c>
      <c r="T811" s="185" t="s">
        <v>1802</v>
      </c>
      <c r="U811" s="45"/>
      <c r="V811" s="45"/>
      <c r="W811" s="45"/>
    </row>
    <row r="812" spans="1:23">
      <c r="A812" s="146" t="str">
        <f t="shared" si="24"/>
        <v>AKH12345</v>
      </c>
      <c r="B812" s="160"/>
      <c r="C812" s="69"/>
      <c r="D812" s="68"/>
      <c r="E812" s="89"/>
      <c r="F812" s="68"/>
      <c r="G812" s="89"/>
      <c r="H812" s="70"/>
      <c r="I812" s="78"/>
      <c r="J812" s="70"/>
      <c r="K812" s="70"/>
      <c r="L812" s="148" t="s">
        <v>1806</v>
      </c>
      <c r="M812" s="46" t="str">
        <f t="shared" si="25"/>
        <v>OneCo Networks AS</v>
      </c>
      <c r="N812" s="42" t="str">
        <f ca="1">IFERROR(
VLOOKUP(BoM_Griptel[[#This Row],[Product code]],
IF(AND((BoQ!$N$3&lt;&gt;""),OR(BoM_Griptel[[#This Row],[Vendor]]="Griptel",BoM_Griptel[[#This Row],[Vendor]]="Solar")),INDIRECT(Aux!$A$1)),4,FALSE),"")</f>
        <v/>
      </c>
      <c r="O812" s="170" t="s">
        <v>1807</v>
      </c>
      <c r="P812" s="43" t="str">
        <f>IFERROR(IF(AND(BoM_Griptel[[#This Row],[Quantity]]&lt;&gt;"",BoM_Griptel[[#This Row],[Currency]]="NOK"),BoM_Griptel[[#This Row],[Quantity]]*BoM_Griptel[[#This Row],[Unit Price]],""),"")</f>
        <v/>
      </c>
      <c r="Q812" s="43" t="str">
        <f>IFERROR(IF(AND(BoM_Griptel[[#This Row],[ACT_Qty]]&lt;&gt;"",BoM_Griptel[[#This Row],[Currency]]="NOK"),BoM_Griptel[[#This Row],[ACT_Qty]]*BoM_Griptel[[#This Row],[Unit Price]],""),"")</f>
        <v/>
      </c>
      <c r="R812" s="43" t="str">
        <f>IFERROR(IF(AND(BoM_Griptel[[#This Row],[Quantity]]&lt;&gt;"",BoM_Griptel[[#This Row],[Currency]]="EUR"),BoM_Griptel[[#This Row],[Quantity]]*BoM_Griptel[[#This Row],[Unit Price]],""),"")</f>
        <v/>
      </c>
      <c r="S812" s="43" t="str">
        <f>IFERROR(IF(AND(BoM_Griptel[[#This Row],[ACT_Qty]]&lt;&gt;"",BoM_Griptel[[#This Row],[Currency]]="EUR"),BoM_Griptel[[#This Row],[ACT_Qty]]*BoM_Griptel[[#This Row],[Unit Price]],""),"")</f>
        <v/>
      </c>
      <c r="T812" s="186" t="s">
        <v>1802</v>
      </c>
      <c r="U812" s="46"/>
      <c r="V812" s="46"/>
      <c r="W812" s="46"/>
    </row>
    <row r="813" spans="1:23">
      <c r="A813" s="143" t="str">
        <f t="shared" si="24"/>
        <v>AKH12345</v>
      </c>
      <c r="B813" s="159"/>
      <c r="C813" s="124"/>
      <c r="D813" s="105"/>
      <c r="E813" s="106"/>
      <c r="F813" s="105"/>
      <c r="G813" s="106"/>
      <c r="H813" s="125"/>
      <c r="I813" s="126"/>
      <c r="J813" s="125"/>
      <c r="K813" s="125"/>
      <c r="L813" s="145" t="s">
        <v>1806</v>
      </c>
      <c r="M813" s="45" t="str">
        <f t="shared" si="25"/>
        <v>OneCo Networks AS</v>
      </c>
      <c r="N813" s="40" t="str">
        <f ca="1">IFERROR(
VLOOKUP(BoM_Griptel[[#This Row],[Product code]],
IF(AND((BoQ!$N$3&lt;&gt;""),OR(BoM_Griptel[[#This Row],[Vendor]]="Griptel",BoM_Griptel[[#This Row],[Vendor]]="Solar")),INDIRECT(Aux!$A$1)),4,FALSE),"")</f>
        <v/>
      </c>
      <c r="O813" s="169" t="s">
        <v>1807</v>
      </c>
      <c r="P813" s="41" t="str">
        <f>IFERROR(IF(AND(BoM_Griptel[[#This Row],[Quantity]]&lt;&gt;"",BoM_Griptel[[#This Row],[Currency]]="NOK"),BoM_Griptel[[#This Row],[Quantity]]*BoM_Griptel[[#This Row],[Unit Price]],""),"")</f>
        <v/>
      </c>
      <c r="Q813" s="41" t="str">
        <f>IFERROR(IF(AND(BoM_Griptel[[#This Row],[ACT_Qty]]&lt;&gt;"",BoM_Griptel[[#This Row],[Currency]]="NOK"),BoM_Griptel[[#This Row],[ACT_Qty]]*BoM_Griptel[[#This Row],[Unit Price]],""),"")</f>
        <v/>
      </c>
      <c r="R813" s="41" t="str">
        <f>IFERROR(IF(AND(BoM_Griptel[[#This Row],[Quantity]]&lt;&gt;"",BoM_Griptel[[#This Row],[Currency]]="EUR"),BoM_Griptel[[#This Row],[Quantity]]*BoM_Griptel[[#This Row],[Unit Price]],""),"")</f>
        <v/>
      </c>
      <c r="S813" s="41" t="str">
        <f>IFERROR(IF(AND(BoM_Griptel[[#This Row],[ACT_Qty]]&lt;&gt;"",BoM_Griptel[[#This Row],[Currency]]="EUR"),BoM_Griptel[[#This Row],[ACT_Qty]]*BoM_Griptel[[#This Row],[Unit Price]],""),"")</f>
        <v/>
      </c>
      <c r="T813" s="185" t="s">
        <v>1802</v>
      </c>
      <c r="U813" s="45"/>
      <c r="V813" s="45"/>
      <c r="W813" s="45"/>
    </row>
    <row r="814" spans="1:23">
      <c r="A814" s="146" t="str">
        <f t="shared" si="24"/>
        <v>AKH12345</v>
      </c>
      <c r="B814" s="160"/>
      <c r="C814" s="69"/>
      <c r="D814" s="68"/>
      <c r="E814" s="89"/>
      <c r="F814" s="68"/>
      <c r="G814" s="89"/>
      <c r="H814" s="70"/>
      <c r="I814" s="78"/>
      <c r="J814" s="70"/>
      <c r="K814" s="70"/>
      <c r="L814" s="148" t="s">
        <v>1806</v>
      </c>
      <c r="M814" s="46" t="str">
        <f t="shared" si="25"/>
        <v>OneCo Networks AS</v>
      </c>
      <c r="N814" s="42" t="str">
        <f ca="1">IFERROR(
VLOOKUP(BoM_Griptel[[#This Row],[Product code]],
IF(AND((BoQ!$N$3&lt;&gt;""),OR(BoM_Griptel[[#This Row],[Vendor]]="Griptel",BoM_Griptel[[#This Row],[Vendor]]="Solar")),INDIRECT(Aux!$A$1)),4,FALSE),"")</f>
        <v/>
      </c>
      <c r="O814" s="170" t="s">
        <v>1807</v>
      </c>
      <c r="P814" s="43" t="str">
        <f>IFERROR(IF(AND(BoM_Griptel[[#This Row],[Quantity]]&lt;&gt;"",BoM_Griptel[[#This Row],[Currency]]="NOK"),BoM_Griptel[[#This Row],[Quantity]]*BoM_Griptel[[#This Row],[Unit Price]],""),"")</f>
        <v/>
      </c>
      <c r="Q814" s="43" t="str">
        <f>IFERROR(IF(AND(BoM_Griptel[[#This Row],[ACT_Qty]]&lt;&gt;"",BoM_Griptel[[#This Row],[Currency]]="NOK"),BoM_Griptel[[#This Row],[ACT_Qty]]*BoM_Griptel[[#This Row],[Unit Price]],""),"")</f>
        <v/>
      </c>
      <c r="R814" s="43" t="str">
        <f>IFERROR(IF(AND(BoM_Griptel[[#This Row],[Quantity]]&lt;&gt;"",BoM_Griptel[[#This Row],[Currency]]="EUR"),BoM_Griptel[[#This Row],[Quantity]]*BoM_Griptel[[#This Row],[Unit Price]],""),"")</f>
        <v/>
      </c>
      <c r="S814" s="43" t="str">
        <f>IFERROR(IF(AND(BoM_Griptel[[#This Row],[ACT_Qty]]&lt;&gt;"",BoM_Griptel[[#This Row],[Currency]]="EUR"),BoM_Griptel[[#This Row],[ACT_Qty]]*BoM_Griptel[[#This Row],[Unit Price]],""),"")</f>
        <v/>
      </c>
      <c r="T814" s="186" t="s">
        <v>1802</v>
      </c>
      <c r="U814" s="46"/>
      <c r="V814" s="46"/>
      <c r="W814" s="46"/>
    </row>
    <row r="815" spans="1:23">
      <c r="A815" s="143" t="str">
        <f t="shared" si="24"/>
        <v>AKH12345</v>
      </c>
      <c r="B815" s="159"/>
      <c r="C815" s="124"/>
      <c r="D815" s="105"/>
      <c r="E815" s="106"/>
      <c r="F815" s="105"/>
      <c r="G815" s="106"/>
      <c r="H815" s="125"/>
      <c r="I815" s="126"/>
      <c r="J815" s="125"/>
      <c r="K815" s="125"/>
      <c r="L815" s="145" t="s">
        <v>1806</v>
      </c>
      <c r="M815" s="45" t="str">
        <f t="shared" si="25"/>
        <v>OneCo Networks AS</v>
      </c>
      <c r="N815" s="40" t="str">
        <f ca="1">IFERROR(
VLOOKUP(BoM_Griptel[[#This Row],[Product code]],
IF(AND((BoQ!$N$3&lt;&gt;""),OR(BoM_Griptel[[#This Row],[Vendor]]="Griptel",BoM_Griptel[[#This Row],[Vendor]]="Solar")),INDIRECT(Aux!$A$1)),4,FALSE),"")</f>
        <v/>
      </c>
      <c r="O815" s="169" t="s">
        <v>1807</v>
      </c>
      <c r="P815" s="41" t="str">
        <f>IFERROR(IF(AND(BoM_Griptel[[#This Row],[Quantity]]&lt;&gt;"",BoM_Griptel[[#This Row],[Currency]]="NOK"),BoM_Griptel[[#This Row],[Quantity]]*BoM_Griptel[[#This Row],[Unit Price]],""),"")</f>
        <v/>
      </c>
      <c r="Q815" s="41" t="str">
        <f>IFERROR(IF(AND(BoM_Griptel[[#This Row],[ACT_Qty]]&lt;&gt;"",BoM_Griptel[[#This Row],[Currency]]="NOK"),BoM_Griptel[[#This Row],[ACT_Qty]]*BoM_Griptel[[#This Row],[Unit Price]],""),"")</f>
        <v/>
      </c>
      <c r="R815" s="41" t="str">
        <f>IFERROR(IF(AND(BoM_Griptel[[#This Row],[Quantity]]&lt;&gt;"",BoM_Griptel[[#This Row],[Currency]]="EUR"),BoM_Griptel[[#This Row],[Quantity]]*BoM_Griptel[[#This Row],[Unit Price]],""),"")</f>
        <v/>
      </c>
      <c r="S815" s="41" t="str">
        <f>IFERROR(IF(AND(BoM_Griptel[[#This Row],[ACT_Qty]]&lt;&gt;"",BoM_Griptel[[#This Row],[Currency]]="EUR"),BoM_Griptel[[#This Row],[ACT_Qty]]*BoM_Griptel[[#This Row],[Unit Price]],""),"")</f>
        <v/>
      </c>
      <c r="T815" s="185" t="s">
        <v>1802</v>
      </c>
      <c r="U815" s="45"/>
      <c r="V815" s="45"/>
      <c r="W815" s="45"/>
    </row>
    <row r="816" spans="1:23">
      <c r="A816" s="146" t="str">
        <f t="shared" si="24"/>
        <v>AKH12345</v>
      </c>
      <c r="B816" s="160"/>
      <c r="C816" s="69"/>
      <c r="D816" s="68"/>
      <c r="E816" s="89"/>
      <c r="F816" s="68"/>
      <c r="G816" s="89"/>
      <c r="H816" s="70"/>
      <c r="I816" s="78"/>
      <c r="J816" s="70"/>
      <c r="K816" s="70"/>
      <c r="L816" s="148" t="s">
        <v>1806</v>
      </c>
      <c r="M816" s="46" t="str">
        <f t="shared" si="25"/>
        <v>OneCo Networks AS</v>
      </c>
      <c r="N816" s="42" t="str">
        <f ca="1">IFERROR(
VLOOKUP(BoM_Griptel[[#This Row],[Product code]],
IF(AND((BoQ!$N$3&lt;&gt;""),OR(BoM_Griptel[[#This Row],[Vendor]]="Griptel",BoM_Griptel[[#This Row],[Vendor]]="Solar")),INDIRECT(Aux!$A$1)),4,FALSE),"")</f>
        <v/>
      </c>
      <c r="O816" s="170" t="s">
        <v>1807</v>
      </c>
      <c r="P816" s="43" t="str">
        <f>IFERROR(IF(AND(BoM_Griptel[[#This Row],[Quantity]]&lt;&gt;"",BoM_Griptel[[#This Row],[Currency]]="NOK"),BoM_Griptel[[#This Row],[Quantity]]*BoM_Griptel[[#This Row],[Unit Price]],""),"")</f>
        <v/>
      </c>
      <c r="Q816" s="43" t="str">
        <f>IFERROR(IF(AND(BoM_Griptel[[#This Row],[ACT_Qty]]&lt;&gt;"",BoM_Griptel[[#This Row],[Currency]]="NOK"),BoM_Griptel[[#This Row],[ACT_Qty]]*BoM_Griptel[[#This Row],[Unit Price]],""),"")</f>
        <v/>
      </c>
      <c r="R816" s="43" t="str">
        <f>IFERROR(IF(AND(BoM_Griptel[[#This Row],[Quantity]]&lt;&gt;"",BoM_Griptel[[#This Row],[Currency]]="EUR"),BoM_Griptel[[#This Row],[Quantity]]*BoM_Griptel[[#This Row],[Unit Price]],""),"")</f>
        <v/>
      </c>
      <c r="S816" s="43" t="str">
        <f>IFERROR(IF(AND(BoM_Griptel[[#This Row],[ACT_Qty]]&lt;&gt;"",BoM_Griptel[[#This Row],[Currency]]="EUR"),BoM_Griptel[[#This Row],[ACT_Qty]]*BoM_Griptel[[#This Row],[Unit Price]],""),"")</f>
        <v/>
      </c>
      <c r="T816" s="186" t="s">
        <v>1802</v>
      </c>
      <c r="U816" s="46"/>
      <c r="V816" s="46"/>
      <c r="W816" s="46"/>
    </row>
    <row r="817" spans="1:23">
      <c r="A817" s="143" t="str">
        <f t="shared" si="24"/>
        <v>AKH12345</v>
      </c>
      <c r="B817" s="159"/>
      <c r="C817" s="124"/>
      <c r="D817" s="105"/>
      <c r="E817" s="106"/>
      <c r="F817" s="105"/>
      <c r="G817" s="106"/>
      <c r="H817" s="125"/>
      <c r="I817" s="126"/>
      <c r="J817" s="125"/>
      <c r="K817" s="125"/>
      <c r="L817" s="145" t="s">
        <v>1806</v>
      </c>
      <c r="M817" s="45" t="str">
        <f t="shared" si="25"/>
        <v>OneCo Networks AS</v>
      </c>
      <c r="N817" s="40" t="str">
        <f ca="1">IFERROR(
VLOOKUP(BoM_Griptel[[#This Row],[Product code]],
IF(AND((BoQ!$N$3&lt;&gt;""),OR(BoM_Griptel[[#This Row],[Vendor]]="Griptel",BoM_Griptel[[#This Row],[Vendor]]="Solar")),INDIRECT(Aux!$A$1)),4,FALSE),"")</f>
        <v/>
      </c>
      <c r="O817" s="169" t="s">
        <v>1807</v>
      </c>
      <c r="P817" s="41" t="str">
        <f>IFERROR(IF(AND(BoM_Griptel[[#This Row],[Quantity]]&lt;&gt;"",BoM_Griptel[[#This Row],[Currency]]="NOK"),BoM_Griptel[[#This Row],[Quantity]]*BoM_Griptel[[#This Row],[Unit Price]],""),"")</f>
        <v/>
      </c>
      <c r="Q817" s="41" t="str">
        <f>IFERROR(IF(AND(BoM_Griptel[[#This Row],[ACT_Qty]]&lt;&gt;"",BoM_Griptel[[#This Row],[Currency]]="NOK"),BoM_Griptel[[#This Row],[ACT_Qty]]*BoM_Griptel[[#This Row],[Unit Price]],""),"")</f>
        <v/>
      </c>
      <c r="R817" s="41" t="str">
        <f>IFERROR(IF(AND(BoM_Griptel[[#This Row],[Quantity]]&lt;&gt;"",BoM_Griptel[[#This Row],[Currency]]="EUR"),BoM_Griptel[[#This Row],[Quantity]]*BoM_Griptel[[#This Row],[Unit Price]],""),"")</f>
        <v/>
      </c>
      <c r="S817" s="41" t="str">
        <f>IFERROR(IF(AND(BoM_Griptel[[#This Row],[ACT_Qty]]&lt;&gt;"",BoM_Griptel[[#This Row],[Currency]]="EUR"),BoM_Griptel[[#This Row],[ACT_Qty]]*BoM_Griptel[[#This Row],[Unit Price]],""),"")</f>
        <v/>
      </c>
      <c r="T817" s="185" t="s">
        <v>1802</v>
      </c>
      <c r="U817" s="45"/>
      <c r="V817" s="45"/>
      <c r="W817" s="45"/>
    </row>
    <row r="818" spans="1:23">
      <c r="A818" s="146" t="str">
        <f t="shared" si="24"/>
        <v>AKH12345</v>
      </c>
      <c r="B818" s="160"/>
      <c r="C818" s="69"/>
      <c r="D818" s="68"/>
      <c r="E818" s="89"/>
      <c r="F818" s="68"/>
      <c r="G818" s="89"/>
      <c r="H818" s="70"/>
      <c r="I818" s="78"/>
      <c r="J818" s="70"/>
      <c r="K818" s="70"/>
      <c r="L818" s="148" t="s">
        <v>1806</v>
      </c>
      <c r="M818" s="46" t="str">
        <f t="shared" si="25"/>
        <v>OneCo Networks AS</v>
      </c>
      <c r="N818" s="42" t="str">
        <f ca="1">IFERROR(
VLOOKUP(BoM_Griptel[[#This Row],[Product code]],
IF(AND((BoQ!$N$3&lt;&gt;""),OR(BoM_Griptel[[#This Row],[Vendor]]="Griptel",BoM_Griptel[[#This Row],[Vendor]]="Solar")),INDIRECT(Aux!$A$1)),4,FALSE),"")</f>
        <v/>
      </c>
      <c r="O818" s="170" t="s">
        <v>1807</v>
      </c>
      <c r="P818" s="43" t="str">
        <f>IFERROR(IF(AND(BoM_Griptel[[#This Row],[Quantity]]&lt;&gt;"",BoM_Griptel[[#This Row],[Currency]]="NOK"),BoM_Griptel[[#This Row],[Quantity]]*BoM_Griptel[[#This Row],[Unit Price]],""),"")</f>
        <v/>
      </c>
      <c r="Q818" s="43" t="str">
        <f>IFERROR(IF(AND(BoM_Griptel[[#This Row],[ACT_Qty]]&lt;&gt;"",BoM_Griptel[[#This Row],[Currency]]="NOK"),BoM_Griptel[[#This Row],[ACT_Qty]]*BoM_Griptel[[#This Row],[Unit Price]],""),"")</f>
        <v/>
      </c>
      <c r="R818" s="43" t="str">
        <f>IFERROR(IF(AND(BoM_Griptel[[#This Row],[Quantity]]&lt;&gt;"",BoM_Griptel[[#This Row],[Currency]]="EUR"),BoM_Griptel[[#This Row],[Quantity]]*BoM_Griptel[[#This Row],[Unit Price]],""),"")</f>
        <v/>
      </c>
      <c r="S818" s="43" t="str">
        <f>IFERROR(IF(AND(BoM_Griptel[[#This Row],[ACT_Qty]]&lt;&gt;"",BoM_Griptel[[#This Row],[Currency]]="EUR"),BoM_Griptel[[#This Row],[ACT_Qty]]*BoM_Griptel[[#This Row],[Unit Price]],""),"")</f>
        <v/>
      </c>
      <c r="T818" s="186" t="s">
        <v>1802</v>
      </c>
      <c r="U818" s="46"/>
      <c r="V818" s="46"/>
      <c r="W818" s="46"/>
    </row>
    <row r="819" spans="1:23">
      <c r="A819" s="143" t="str">
        <f t="shared" si="24"/>
        <v>AKH12345</v>
      </c>
      <c r="B819" s="159"/>
      <c r="C819" s="124"/>
      <c r="D819" s="105"/>
      <c r="E819" s="106"/>
      <c r="F819" s="105"/>
      <c r="G819" s="106"/>
      <c r="H819" s="125"/>
      <c r="I819" s="126"/>
      <c r="J819" s="125"/>
      <c r="K819" s="125"/>
      <c r="L819" s="145" t="s">
        <v>1806</v>
      </c>
      <c r="M819" s="45" t="str">
        <f t="shared" si="25"/>
        <v>OneCo Networks AS</v>
      </c>
      <c r="N819" s="40" t="str">
        <f ca="1">IFERROR(
VLOOKUP(BoM_Griptel[[#This Row],[Product code]],
IF(AND((BoQ!$N$3&lt;&gt;""),OR(BoM_Griptel[[#This Row],[Vendor]]="Griptel",BoM_Griptel[[#This Row],[Vendor]]="Solar")),INDIRECT(Aux!$A$1)),4,FALSE),"")</f>
        <v/>
      </c>
      <c r="O819" s="169" t="s">
        <v>1807</v>
      </c>
      <c r="P819" s="41" t="str">
        <f>IFERROR(IF(AND(BoM_Griptel[[#This Row],[Quantity]]&lt;&gt;"",BoM_Griptel[[#This Row],[Currency]]="NOK"),BoM_Griptel[[#This Row],[Quantity]]*BoM_Griptel[[#This Row],[Unit Price]],""),"")</f>
        <v/>
      </c>
      <c r="Q819" s="41" t="str">
        <f>IFERROR(IF(AND(BoM_Griptel[[#This Row],[ACT_Qty]]&lt;&gt;"",BoM_Griptel[[#This Row],[Currency]]="NOK"),BoM_Griptel[[#This Row],[ACT_Qty]]*BoM_Griptel[[#This Row],[Unit Price]],""),"")</f>
        <v/>
      </c>
      <c r="R819" s="41" t="str">
        <f>IFERROR(IF(AND(BoM_Griptel[[#This Row],[Quantity]]&lt;&gt;"",BoM_Griptel[[#This Row],[Currency]]="EUR"),BoM_Griptel[[#This Row],[Quantity]]*BoM_Griptel[[#This Row],[Unit Price]],""),"")</f>
        <v/>
      </c>
      <c r="S819" s="41" t="str">
        <f>IFERROR(IF(AND(BoM_Griptel[[#This Row],[ACT_Qty]]&lt;&gt;"",BoM_Griptel[[#This Row],[Currency]]="EUR"),BoM_Griptel[[#This Row],[ACT_Qty]]*BoM_Griptel[[#This Row],[Unit Price]],""),"")</f>
        <v/>
      </c>
      <c r="T819" s="185" t="s">
        <v>1802</v>
      </c>
      <c r="U819" s="45"/>
      <c r="V819" s="45"/>
      <c r="W819" s="45"/>
    </row>
    <row r="820" spans="1:23">
      <c r="A820" s="146" t="str">
        <f t="shared" si="24"/>
        <v>AKH12345</v>
      </c>
      <c r="B820" s="160"/>
      <c r="C820" s="69"/>
      <c r="D820" s="68"/>
      <c r="E820" s="89"/>
      <c r="F820" s="68"/>
      <c r="G820" s="89"/>
      <c r="H820" s="70"/>
      <c r="I820" s="78"/>
      <c r="J820" s="70"/>
      <c r="K820" s="70"/>
      <c r="L820" s="148" t="s">
        <v>1806</v>
      </c>
      <c r="M820" s="46" t="str">
        <f t="shared" si="25"/>
        <v>OneCo Networks AS</v>
      </c>
      <c r="N820" s="42" t="str">
        <f ca="1">IFERROR(
VLOOKUP(BoM_Griptel[[#This Row],[Product code]],
IF(AND((BoQ!$N$3&lt;&gt;""),OR(BoM_Griptel[[#This Row],[Vendor]]="Griptel",BoM_Griptel[[#This Row],[Vendor]]="Solar")),INDIRECT(Aux!$A$1)),4,FALSE),"")</f>
        <v/>
      </c>
      <c r="O820" s="170" t="s">
        <v>1807</v>
      </c>
      <c r="P820" s="43" t="str">
        <f>IFERROR(IF(AND(BoM_Griptel[[#This Row],[Quantity]]&lt;&gt;"",BoM_Griptel[[#This Row],[Currency]]="NOK"),BoM_Griptel[[#This Row],[Quantity]]*BoM_Griptel[[#This Row],[Unit Price]],""),"")</f>
        <v/>
      </c>
      <c r="Q820" s="43" t="str">
        <f>IFERROR(IF(AND(BoM_Griptel[[#This Row],[ACT_Qty]]&lt;&gt;"",BoM_Griptel[[#This Row],[Currency]]="NOK"),BoM_Griptel[[#This Row],[ACT_Qty]]*BoM_Griptel[[#This Row],[Unit Price]],""),"")</f>
        <v/>
      </c>
      <c r="R820" s="43" t="str">
        <f>IFERROR(IF(AND(BoM_Griptel[[#This Row],[Quantity]]&lt;&gt;"",BoM_Griptel[[#This Row],[Currency]]="EUR"),BoM_Griptel[[#This Row],[Quantity]]*BoM_Griptel[[#This Row],[Unit Price]],""),"")</f>
        <v/>
      </c>
      <c r="S820" s="43" t="str">
        <f>IFERROR(IF(AND(BoM_Griptel[[#This Row],[ACT_Qty]]&lt;&gt;"",BoM_Griptel[[#This Row],[Currency]]="EUR"),BoM_Griptel[[#This Row],[ACT_Qty]]*BoM_Griptel[[#This Row],[Unit Price]],""),"")</f>
        <v/>
      </c>
      <c r="T820" s="186" t="s">
        <v>1802</v>
      </c>
      <c r="U820" s="46"/>
      <c r="V820" s="46"/>
      <c r="W820" s="46"/>
    </row>
    <row r="821" spans="1:23">
      <c r="A821" s="143" t="str">
        <f t="shared" si="24"/>
        <v>AKH12345</v>
      </c>
      <c r="B821" s="159"/>
      <c r="C821" s="124"/>
      <c r="D821" s="105"/>
      <c r="E821" s="106"/>
      <c r="F821" s="105"/>
      <c r="G821" s="106"/>
      <c r="H821" s="125"/>
      <c r="I821" s="126"/>
      <c r="J821" s="125"/>
      <c r="K821" s="125"/>
      <c r="L821" s="145" t="s">
        <v>1806</v>
      </c>
      <c r="M821" s="45" t="str">
        <f t="shared" si="25"/>
        <v>OneCo Networks AS</v>
      </c>
      <c r="N821" s="40" t="str">
        <f ca="1">IFERROR(
VLOOKUP(BoM_Griptel[[#This Row],[Product code]],
IF(AND((BoQ!$N$3&lt;&gt;""),OR(BoM_Griptel[[#This Row],[Vendor]]="Griptel",BoM_Griptel[[#This Row],[Vendor]]="Solar")),INDIRECT(Aux!$A$1)),4,FALSE),"")</f>
        <v/>
      </c>
      <c r="O821" s="169" t="s">
        <v>1807</v>
      </c>
      <c r="P821" s="41" t="str">
        <f>IFERROR(IF(AND(BoM_Griptel[[#This Row],[Quantity]]&lt;&gt;"",BoM_Griptel[[#This Row],[Currency]]="NOK"),BoM_Griptel[[#This Row],[Quantity]]*BoM_Griptel[[#This Row],[Unit Price]],""),"")</f>
        <v/>
      </c>
      <c r="Q821" s="41" t="str">
        <f>IFERROR(IF(AND(BoM_Griptel[[#This Row],[ACT_Qty]]&lt;&gt;"",BoM_Griptel[[#This Row],[Currency]]="NOK"),BoM_Griptel[[#This Row],[ACT_Qty]]*BoM_Griptel[[#This Row],[Unit Price]],""),"")</f>
        <v/>
      </c>
      <c r="R821" s="41" t="str">
        <f>IFERROR(IF(AND(BoM_Griptel[[#This Row],[Quantity]]&lt;&gt;"",BoM_Griptel[[#This Row],[Currency]]="EUR"),BoM_Griptel[[#This Row],[Quantity]]*BoM_Griptel[[#This Row],[Unit Price]],""),"")</f>
        <v/>
      </c>
      <c r="S821" s="41" t="str">
        <f>IFERROR(IF(AND(BoM_Griptel[[#This Row],[ACT_Qty]]&lt;&gt;"",BoM_Griptel[[#This Row],[Currency]]="EUR"),BoM_Griptel[[#This Row],[ACT_Qty]]*BoM_Griptel[[#This Row],[Unit Price]],""),"")</f>
        <v/>
      </c>
      <c r="T821" s="185" t="s">
        <v>1802</v>
      </c>
      <c r="U821" s="45"/>
      <c r="V821" s="45"/>
      <c r="W821" s="45"/>
    </row>
    <row r="822" spans="1:23">
      <c r="A822" s="146" t="str">
        <f t="shared" si="24"/>
        <v>AKH12345</v>
      </c>
      <c r="B822" s="160"/>
      <c r="C822" s="69"/>
      <c r="D822" s="68"/>
      <c r="E822" s="89"/>
      <c r="F822" s="68"/>
      <c r="G822" s="89"/>
      <c r="H822" s="70"/>
      <c r="I822" s="78"/>
      <c r="J822" s="70"/>
      <c r="K822" s="70"/>
      <c r="L822" s="148" t="s">
        <v>1806</v>
      </c>
      <c r="M822" s="46" t="str">
        <f t="shared" si="25"/>
        <v>OneCo Networks AS</v>
      </c>
      <c r="N822" s="42" t="str">
        <f ca="1">IFERROR(
VLOOKUP(BoM_Griptel[[#This Row],[Product code]],
IF(AND((BoQ!$N$3&lt;&gt;""),OR(BoM_Griptel[[#This Row],[Vendor]]="Griptel",BoM_Griptel[[#This Row],[Vendor]]="Solar")),INDIRECT(Aux!$A$1)),4,FALSE),"")</f>
        <v/>
      </c>
      <c r="O822" s="170" t="s">
        <v>1807</v>
      </c>
      <c r="P822" s="43" t="str">
        <f>IFERROR(IF(AND(BoM_Griptel[[#This Row],[Quantity]]&lt;&gt;"",BoM_Griptel[[#This Row],[Currency]]="NOK"),BoM_Griptel[[#This Row],[Quantity]]*BoM_Griptel[[#This Row],[Unit Price]],""),"")</f>
        <v/>
      </c>
      <c r="Q822" s="43" t="str">
        <f>IFERROR(IF(AND(BoM_Griptel[[#This Row],[ACT_Qty]]&lt;&gt;"",BoM_Griptel[[#This Row],[Currency]]="NOK"),BoM_Griptel[[#This Row],[ACT_Qty]]*BoM_Griptel[[#This Row],[Unit Price]],""),"")</f>
        <v/>
      </c>
      <c r="R822" s="43" t="str">
        <f>IFERROR(IF(AND(BoM_Griptel[[#This Row],[Quantity]]&lt;&gt;"",BoM_Griptel[[#This Row],[Currency]]="EUR"),BoM_Griptel[[#This Row],[Quantity]]*BoM_Griptel[[#This Row],[Unit Price]],""),"")</f>
        <v/>
      </c>
      <c r="S822" s="43" t="str">
        <f>IFERROR(IF(AND(BoM_Griptel[[#This Row],[ACT_Qty]]&lt;&gt;"",BoM_Griptel[[#This Row],[Currency]]="EUR"),BoM_Griptel[[#This Row],[ACT_Qty]]*BoM_Griptel[[#This Row],[Unit Price]],""),"")</f>
        <v/>
      </c>
      <c r="T822" s="186" t="s">
        <v>1802</v>
      </c>
      <c r="U822" s="46"/>
      <c r="V822" s="46"/>
      <c r="W822" s="46"/>
    </row>
    <row r="823" spans="1:23">
      <c r="A823" s="143" t="str">
        <f t="shared" si="24"/>
        <v>AKH12345</v>
      </c>
      <c r="B823" s="159"/>
      <c r="C823" s="124"/>
      <c r="D823" s="105"/>
      <c r="E823" s="106"/>
      <c r="F823" s="105"/>
      <c r="G823" s="106"/>
      <c r="H823" s="125"/>
      <c r="I823" s="126"/>
      <c r="J823" s="125"/>
      <c r="K823" s="125"/>
      <c r="L823" s="145" t="s">
        <v>1806</v>
      </c>
      <c r="M823" s="45" t="str">
        <f t="shared" si="25"/>
        <v>OneCo Networks AS</v>
      </c>
      <c r="N823" s="40" t="str">
        <f ca="1">IFERROR(
VLOOKUP(BoM_Griptel[[#This Row],[Product code]],
IF(AND((BoQ!$N$3&lt;&gt;""),OR(BoM_Griptel[[#This Row],[Vendor]]="Griptel",BoM_Griptel[[#This Row],[Vendor]]="Solar")),INDIRECT(Aux!$A$1)),4,FALSE),"")</f>
        <v/>
      </c>
      <c r="O823" s="169" t="s">
        <v>1807</v>
      </c>
      <c r="P823" s="41" t="str">
        <f>IFERROR(IF(AND(BoM_Griptel[[#This Row],[Quantity]]&lt;&gt;"",BoM_Griptel[[#This Row],[Currency]]="NOK"),BoM_Griptel[[#This Row],[Quantity]]*BoM_Griptel[[#This Row],[Unit Price]],""),"")</f>
        <v/>
      </c>
      <c r="Q823" s="41" t="str">
        <f>IFERROR(IF(AND(BoM_Griptel[[#This Row],[ACT_Qty]]&lt;&gt;"",BoM_Griptel[[#This Row],[Currency]]="NOK"),BoM_Griptel[[#This Row],[ACT_Qty]]*BoM_Griptel[[#This Row],[Unit Price]],""),"")</f>
        <v/>
      </c>
      <c r="R823" s="41" t="str">
        <f>IFERROR(IF(AND(BoM_Griptel[[#This Row],[Quantity]]&lt;&gt;"",BoM_Griptel[[#This Row],[Currency]]="EUR"),BoM_Griptel[[#This Row],[Quantity]]*BoM_Griptel[[#This Row],[Unit Price]],""),"")</f>
        <v/>
      </c>
      <c r="S823" s="41" t="str">
        <f>IFERROR(IF(AND(BoM_Griptel[[#This Row],[ACT_Qty]]&lt;&gt;"",BoM_Griptel[[#This Row],[Currency]]="EUR"),BoM_Griptel[[#This Row],[ACT_Qty]]*BoM_Griptel[[#This Row],[Unit Price]],""),"")</f>
        <v/>
      </c>
      <c r="T823" s="185" t="s">
        <v>1802</v>
      </c>
      <c r="U823" s="45"/>
      <c r="V823" s="45"/>
      <c r="W823" s="45"/>
    </row>
    <row r="824" spans="1:23">
      <c r="A824" s="146" t="str">
        <f t="shared" si="24"/>
        <v>AKH12345</v>
      </c>
      <c r="B824" s="160"/>
      <c r="C824" s="69"/>
      <c r="D824" s="68"/>
      <c r="E824" s="89"/>
      <c r="F824" s="68"/>
      <c r="G824" s="89"/>
      <c r="H824" s="70"/>
      <c r="I824" s="78"/>
      <c r="J824" s="70"/>
      <c r="K824" s="70"/>
      <c r="L824" s="148" t="s">
        <v>1806</v>
      </c>
      <c r="M824" s="46" t="str">
        <f t="shared" si="25"/>
        <v>OneCo Networks AS</v>
      </c>
      <c r="N824" s="42" t="str">
        <f ca="1">IFERROR(
VLOOKUP(BoM_Griptel[[#This Row],[Product code]],
IF(AND((BoQ!$N$3&lt;&gt;""),OR(BoM_Griptel[[#This Row],[Vendor]]="Griptel",BoM_Griptel[[#This Row],[Vendor]]="Solar")),INDIRECT(Aux!$A$1)),4,FALSE),"")</f>
        <v/>
      </c>
      <c r="O824" s="170" t="s">
        <v>1807</v>
      </c>
      <c r="P824" s="43" t="str">
        <f>IFERROR(IF(AND(BoM_Griptel[[#This Row],[Quantity]]&lt;&gt;"",BoM_Griptel[[#This Row],[Currency]]="NOK"),BoM_Griptel[[#This Row],[Quantity]]*BoM_Griptel[[#This Row],[Unit Price]],""),"")</f>
        <v/>
      </c>
      <c r="Q824" s="43" t="str">
        <f>IFERROR(IF(AND(BoM_Griptel[[#This Row],[ACT_Qty]]&lt;&gt;"",BoM_Griptel[[#This Row],[Currency]]="NOK"),BoM_Griptel[[#This Row],[ACT_Qty]]*BoM_Griptel[[#This Row],[Unit Price]],""),"")</f>
        <v/>
      </c>
      <c r="R824" s="43" t="str">
        <f>IFERROR(IF(AND(BoM_Griptel[[#This Row],[Quantity]]&lt;&gt;"",BoM_Griptel[[#This Row],[Currency]]="EUR"),BoM_Griptel[[#This Row],[Quantity]]*BoM_Griptel[[#This Row],[Unit Price]],""),"")</f>
        <v/>
      </c>
      <c r="S824" s="43" t="str">
        <f>IFERROR(IF(AND(BoM_Griptel[[#This Row],[ACT_Qty]]&lt;&gt;"",BoM_Griptel[[#This Row],[Currency]]="EUR"),BoM_Griptel[[#This Row],[ACT_Qty]]*BoM_Griptel[[#This Row],[Unit Price]],""),"")</f>
        <v/>
      </c>
      <c r="T824" s="186" t="s">
        <v>1802</v>
      </c>
      <c r="U824" s="46"/>
      <c r="V824" s="46"/>
      <c r="W824" s="46"/>
    </row>
    <row r="825" spans="1:23">
      <c r="A825" s="143" t="str">
        <f t="shared" si="24"/>
        <v>AKH12345</v>
      </c>
      <c r="B825" s="159"/>
      <c r="C825" s="124"/>
      <c r="D825" s="105"/>
      <c r="E825" s="106"/>
      <c r="F825" s="105"/>
      <c r="G825" s="106"/>
      <c r="H825" s="125"/>
      <c r="I825" s="126"/>
      <c r="J825" s="125"/>
      <c r="K825" s="125"/>
      <c r="L825" s="145" t="s">
        <v>1806</v>
      </c>
      <c r="M825" s="45" t="str">
        <f t="shared" si="25"/>
        <v>OneCo Networks AS</v>
      </c>
      <c r="N825" s="40" t="str">
        <f ca="1">IFERROR(
VLOOKUP(BoM_Griptel[[#This Row],[Product code]],
IF(AND((BoQ!$N$3&lt;&gt;""),OR(BoM_Griptel[[#This Row],[Vendor]]="Griptel",BoM_Griptel[[#This Row],[Vendor]]="Solar")),INDIRECT(Aux!$A$1)),4,FALSE),"")</f>
        <v/>
      </c>
      <c r="O825" s="169" t="s">
        <v>1807</v>
      </c>
      <c r="P825" s="41" t="str">
        <f>IFERROR(IF(AND(BoM_Griptel[[#This Row],[Quantity]]&lt;&gt;"",BoM_Griptel[[#This Row],[Currency]]="NOK"),BoM_Griptel[[#This Row],[Quantity]]*BoM_Griptel[[#This Row],[Unit Price]],""),"")</f>
        <v/>
      </c>
      <c r="Q825" s="41" t="str">
        <f>IFERROR(IF(AND(BoM_Griptel[[#This Row],[ACT_Qty]]&lt;&gt;"",BoM_Griptel[[#This Row],[Currency]]="NOK"),BoM_Griptel[[#This Row],[ACT_Qty]]*BoM_Griptel[[#This Row],[Unit Price]],""),"")</f>
        <v/>
      </c>
      <c r="R825" s="41" t="str">
        <f>IFERROR(IF(AND(BoM_Griptel[[#This Row],[Quantity]]&lt;&gt;"",BoM_Griptel[[#This Row],[Currency]]="EUR"),BoM_Griptel[[#This Row],[Quantity]]*BoM_Griptel[[#This Row],[Unit Price]],""),"")</f>
        <v/>
      </c>
      <c r="S825" s="41" t="str">
        <f>IFERROR(IF(AND(BoM_Griptel[[#This Row],[ACT_Qty]]&lt;&gt;"",BoM_Griptel[[#This Row],[Currency]]="EUR"),BoM_Griptel[[#This Row],[ACT_Qty]]*BoM_Griptel[[#This Row],[Unit Price]],""),"")</f>
        <v/>
      </c>
      <c r="T825" s="185" t="s">
        <v>1802</v>
      </c>
      <c r="U825" s="45"/>
      <c r="V825" s="45"/>
      <c r="W825" s="45"/>
    </row>
    <row r="826" spans="1:23">
      <c r="A826" s="146" t="str">
        <f t="shared" si="24"/>
        <v>AKH12345</v>
      </c>
      <c r="B826" s="160"/>
      <c r="C826" s="69"/>
      <c r="D826" s="68"/>
      <c r="E826" s="89"/>
      <c r="F826" s="68"/>
      <c r="G826" s="89"/>
      <c r="H826" s="70"/>
      <c r="I826" s="78"/>
      <c r="J826" s="70"/>
      <c r="K826" s="70"/>
      <c r="L826" s="148" t="s">
        <v>1806</v>
      </c>
      <c r="M826" s="46" t="str">
        <f t="shared" si="25"/>
        <v>OneCo Networks AS</v>
      </c>
      <c r="N826" s="42" t="str">
        <f ca="1">IFERROR(
VLOOKUP(BoM_Griptel[[#This Row],[Product code]],
IF(AND((BoQ!$N$3&lt;&gt;""),OR(BoM_Griptel[[#This Row],[Vendor]]="Griptel",BoM_Griptel[[#This Row],[Vendor]]="Solar")),INDIRECT(Aux!$A$1)),4,FALSE),"")</f>
        <v/>
      </c>
      <c r="O826" s="170" t="s">
        <v>1807</v>
      </c>
      <c r="P826" s="43" t="str">
        <f>IFERROR(IF(AND(BoM_Griptel[[#This Row],[Quantity]]&lt;&gt;"",BoM_Griptel[[#This Row],[Currency]]="NOK"),BoM_Griptel[[#This Row],[Quantity]]*BoM_Griptel[[#This Row],[Unit Price]],""),"")</f>
        <v/>
      </c>
      <c r="Q826" s="43" t="str">
        <f>IFERROR(IF(AND(BoM_Griptel[[#This Row],[ACT_Qty]]&lt;&gt;"",BoM_Griptel[[#This Row],[Currency]]="NOK"),BoM_Griptel[[#This Row],[ACT_Qty]]*BoM_Griptel[[#This Row],[Unit Price]],""),"")</f>
        <v/>
      </c>
      <c r="R826" s="43" t="str">
        <f>IFERROR(IF(AND(BoM_Griptel[[#This Row],[Quantity]]&lt;&gt;"",BoM_Griptel[[#This Row],[Currency]]="EUR"),BoM_Griptel[[#This Row],[Quantity]]*BoM_Griptel[[#This Row],[Unit Price]],""),"")</f>
        <v/>
      </c>
      <c r="S826" s="43" t="str">
        <f>IFERROR(IF(AND(BoM_Griptel[[#This Row],[ACT_Qty]]&lt;&gt;"",BoM_Griptel[[#This Row],[Currency]]="EUR"),BoM_Griptel[[#This Row],[ACT_Qty]]*BoM_Griptel[[#This Row],[Unit Price]],""),"")</f>
        <v/>
      </c>
      <c r="T826" s="186" t="s">
        <v>1802</v>
      </c>
      <c r="U826" s="46"/>
      <c r="V826" s="46"/>
      <c r="W826" s="46"/>
    </row>
    <row r="827" spans="1:23">
      <c r="A827" s="143" t="str">
        <f t="shared" si="24"/>
        <v>AKH12345</v>
      </c>
      <c r="B827" s="159"/>
      <c r="C827" s="124"/>
      <c r="D827" s="105"/>
      <c r="E827" s="106"/>
      <c r="F827" s="105"/>
      <c r="G827" s="106"/>
      <c r="H827" s="125"/>
      <c r="I827" s="126"/>
      <c r="J827" s="125"/>
      <c r="K827" s="125"/>
      <c r="L827" s="145" t="s">
        <v>1806</v>
      </c>
      <c r="M827" s="45" t="str">
        <f t="shared" si="25"/>
        <v>OneCo Networks AS</v>
      </c>
      <c r="N827" s="40" t="str">
        <f ca="1">IFERROR(
VLOOKUP(BoM_Griptel[[#This Row],[Product code]],
IF(AND((BoQ!$N$3&lt;&gt;""),OR(BoM_Griptel[[#This Row],[Vendor]]="Griptel",BoM_Griptel[[#This Row],[Vendor]]="Solar")),INDIRECT(Aux!$A$1)),4,FALSE),"")</f>
        <v/>
      </c>
      <c r="O827" s="169" t="s">
        <v>1807</v>
      </c>
      <c r="P827" s="41" t="str">
        <f>IFERROR(IF(AND(BoM_Griptel[[#This Row],[Quantity]]&lt;&gt;"",BoM_Griptel[[#This Row],[Currency]]="NOK"),BoM_Griptel[[#This Row],[Quantity]]*BoM_Griptel[[#This Row],[Unit Price]],""),"")</f>
        <v/>
      </c>
      <c r="Q827" s="41" t="str">
        <f>IFERROR(IF(AND(BoM_Griptel[[#This Row],[ACT_Qty]]&lt;&gt;"",BoM_Griptel[[#This Row],[Currency]]="NOK"),BoM_Griptel[[#This Row],[ACT_Qty]]*BoM_Griptel[[#This Row],[Unit Price]],""),"")</f>
        <v/>
      </c>
      <c r="R827" s="41" t="str">
        <f>IFERROR(IF(AND(BoM_Griptel[[#This Row],[Quantity]]&lt;&gt;"",BoM_Griptel[[#This Row],[Currency]]="EUR"),BoM_Griptel[[#This Row],[Quantity]]*BoM_Griptel[[#This Row],[Unit Price]],""),"")</f>
        <v/>
      </c>
      <c r="S827" s="41" t="str">
        <f>IFERROR(IF(AND(BoM_Griptel[[#This Row],[ACT_Qty]]&lt;&gt;"",BoM_Griptel[[#This Row],[Currency]]="EUR"),BoM_Griptel[[#This Row],[ACT_Qty]]*BoM_Griptel[[#This Row],[Unit Price]],""),"")</f>
        <v/>
      </c>
      <c r="T827" s="185" t="s">
        <v>1802</v>
      </c>
      <c r="U827" s="45"/>
      <c r="V827" s="45"/>
      <c r="W827" s="45"/>
    </row>
    <row r="828" spans="1:23">
      <c r="A828" s="146" t="str">
        <f t="shared" si="24"/>
        <v>AKH12345</v>
      </c>
      <c r="B828" s="160"/>
      <c r="C828" s="69"/>
      <c r="D828" s="68"/>
      <c r="E828" s="89"/>
      <c r="F828" s="68"/>
      <c r="G828" s="89"/>
      <c r="H828" s="70"/>
      <c r="I828" s="78"/>
      <c r="J828" s="70"/>
      <c r="K828" s="70"/>
      <c r="L828" s="148" t="s">
        <v>1806</v>
      </c>
      <c r="M828" s="46" t="str">
        <f t="shared" si="25"/>
        <v>OneCo Networks AS</v>
      </c>
      <c r="N828" s="42" t="str">
        <f ca="1">IFERROR(
VLOOKUP(BoM_Griptel[[#This Row],[Product code]],
IF(AND((BoQ!$N$3&lt;&gt;""),OR(BoM_Griptel[[#This Row],[Vendor]]="Griptel",BoM_Griptel[[#This Row],[Vendor]]="Solar")),INDIRECT(Aux!$A$1)),4,FALSE),"")</f>
        <v/>
      </c>
      <c r="O828" s="170" t="s">
        <v>1807</v>
      </c>
      <c r="P828" s="43" t="str">
        <f>IFERROR(IF(AND(BoM_Griptel[[#This Row],[Quantity]]&lt;&gt;"",BoM_Griptel[[#This Row],[Currency]]="NOK"),BoM_Griptel[[#This Row],[Quantity]]*BoM_Griptel[[#This Row],[Unit Price]],""),"")</f>
        <v/>
      </c>
      <c r="Q828" s="43" t="str">
        <f>IFERROR(IF(AND(BoM_Griptel[[#This Row],[ACT_Qty]]&lt;&gt;"",BoM_Griptel[[#This Row],[Currency]]="NOK"),BoM_Griptel[[#This Row],[ACT_Qty]]*BoM_Griptel[[#This Row],[Unit Price]],""),"")</f>
        <v/>
      </c>
      <c r="R828" s="43" t="str">
        <f>IFERROR(IF(AND(BoM_Griptel[[#This Row],[Quantity]]&lt;&gt;"",BoM_Griptel[[#This Row],[Currency]]="EUR"),BoM_Griptel[[#This Row],[Quantity]]*BoM_Griptel[[#This Row],[Unit Price]],""),"")</f>
        <v/>
      </c>
      <c r="S828" s="43" t="str">
        <f>IFERROR(IF(AND(BoM_Griptel[[#This Row],[ACT_Qty]]&lt;&gt;"",BoM_Griptel[[#This Row],[Currency]]="EUR"),BoM_Griptel[[#This Row],[ACT_Qty]]*BoM_Griptel[[#This Row],[Unit Price]],""),"")</f>
        <v/>
      </c>
      <c r="T828" s="186" t="s">
        <v>1802</v>
      </c>
      <c r="U828" s="46"/>
      <c r="V828" s="46"/>
      <c r="W828" s="46"/>
    </row>
    <row r="829" spans="1:23">
      <c r="A829" s="143" t="str">
        <f t="shared" si="24"/>
        <v>AKH12345</v>
      </c>
      <c r="B829" s="159"/>
      <c r="C829" s="124"/>
      <c r="D829" s="105"/>
      <c r="E829" s="106"/>
      <c r="F829" s="105"/>
      <c r="G829" s="106"/>
      <c r="H829" s="125"/>
      <c r="I829" s="126"/>
      <c r="J829" s="125"/>
      <c r="K829" s="125"/>
      <c r="L829" s="145" t="s">
        <v>1806</v>
      </c>
      <c r="M829" s="45" t="str">
        <f t="shared" si="25"/>
        <v>OneCo Networks AS</v>
      </c>
      <c r="N829" s="40" t="str">
        <f ca="1">IFERROR(
VLOOKUP(BoM_Griptel[[#This Row],[Product code]],
IF(AND((BoQ!$N$3&lt;&gt;""),OR(BoM_Griptel[[#This Row],[Vendor]]="Griptel",BoM_Griptel[[#This Row],[Vendor]]="Solar")),INDIRECT(Aux!$A$1)),4,FALSE),"")</f>
        <v/>
      </c>
      <c r="O829" s="169" t="s">
        <v>1807</v>
      </c>
      <c r="P829" s="41" t="str">
        <f>IFERROR(IF(AND(BoM_Griptel[[#This Row],[Quantity]]&lt;&gt;"",BoM_Griptel[[#This Row],[Currency]]="NOK"),BoM_Griptel[[#This Row],[Quantity]]*BoM_Griptel[[#This Row],[Unit Price]],""),"")</f>
        <v/>
      </c>
      <c r="Q829" s="41" t="str">
        <f>IFERROR(IF(AND(BoM_Griptel[[#This Row],[ACT_Qty]]&lt;&gt;"",BoM_Griptel[[#This Row],[Currency]]="NOK"),BoM_Griptel[[#This Row],[ACT_Qty]]*BoM_Griptel[[#This Row],[Unit Price]],""),"")</f>
        <v/>
      </c>
      <c r="R829" s="41" t="str">
        <f>IFERROR(IF(AND(BoM_Griptel[[#This Row],[Quantity]]&lt;&gt;"",BoM_Griptel[[#This Row],[Currency]]="EUR"),BoM_Griptel[[#This Row],[Quantity]]*BoM_Griptel[[#This Row],[Unit Price]],""),"")</f>
        <v/>
      </c>
      <c r="S829" s="41" t="str">
        <f>IFERROR(IF(AND(BoM_Griptel[[#This Row],[ACT_Qty]]&lt;&gt;"",BoM_Griptel[[#This Row],[Currency]]="EUR"),BoM_Griptel[[#This Row],[ACT_Qty]]*BoM_Griptel[[#This Row],[Unit Price]],""),"")</f>
        <v/>
      </c>
      <c r="T829" s="185" t="s">
        <v>1802</v>
      </c>
      <c r="U829" s="45"/>
      <c r="V829" s="45"/>
      <c r="W829" s="45"/>
    </row>
    <row r="830" spans="1:23">
      <c r="A830" s="146" t="str">
        <f t="shared" si="24"/>
        <v>AKH12345</v>
      </c>
      <c r="B830" s="160"/>
      <c r="C830" s="69"/>
      <c r="D830" s="68"/>
      <c r="E830" s="89"/>
      <c r="F830" s="68"/>
      <c r="G830" s="89"/>
      <c r="H830" s="70"/>
      <c r="I830" s="78"/>
      <c r="J830" s="70"/>
      <c r="K830" s="70"/>
      <c r="L830" s="148" t="s">
        <v>1806</v>
      </c>
      <c r="M830" s="46" t="str">
        <f t="shared" si="25"/>
        <v>OneCo Networks AS</v>
      </c>
      <c r="N830" s="42" t="str">
        <f ca="1">IFERROR(
VLOOKUP(BoM_Griptel[[#This Row],[Product code]],
IF(AND((BoQ!$N$3&lt;&gt;""),OR(BoM_Griptel[[#This Row],[Vendor]]="Griptel",BoM_Griptel[[#This Row],[Vendor]]="Solar")),INDIRECT(Aux!$A$1)),4,FALSE),"")</f>
        <v/>
      </c>
      <c r="O830" s="170" t="s">
        <v>1807</v>
      </c>
      <c r="P830" s="43" t="str">
        <f>IFERROR(IF(AND(BoM_Griptel[[#This Row],[Quantity]]&lt;&gt;"",BoM_Griptel[[#This Row],[Currency]]="NOK"),BoM_Griptel[[#This Row],[Quantity]]*BoM_Griptel[[#This Row],[Unit Price]],""),"")</f>
        <v/>
      </c>
      <c r="Q830" s="43" t="str">
        <f>IFERROR(IF(AND(BoM_Griptel[[#This Row],[ACT_Qty]]&lt;&gt;"",BoM_Griptel[[#This Row],[Currency]]="NOK"),BoM_Griptel[[#This Row],[ACT_Qty]]*BoM_Griptel[[#This Row],[Unit Price]],""),"")</f>
        <v/>
      </c>
      <c r="R830" s="43" t="str">
        <f>IFERROR(IF(AND(BoM_Griptel[[#This Row],[Quantity]]&lt;&gt;"",BoM_Griptel[[#This Row],[Currency]]="EUR"),BoM_Griptel[[#This Row],[Quantity]]*BoM_Griptel[[#This Row],[Unit Price]],""),"")</f>
        <v/>
      </c>
      <c r="S830" s="43" t="str">
        <f>IFERROR(IF(AND(BoM_Griptel[[#This Row],[ACT_Qty]]&lt;&gt;"",BoM_Griptel[[#This Row],[Currency]]="EUR"),BoM_Griptel[[#This Row],[ACT_Qty]]*BoM_Griptel[[#This Row],[Unit Price]],""),"")</f>
        <v/>
      </c>
      <c r="T830" s="186" t="s">
        <v>1802</v>
      </c>
      <c r="U830" s="46"/>
      <c r="V830" s="46"/>
      <c r="W830" s="46"/>
    </row>
    <row r="831" spans="1:23">
      <c r="A831" s="143" t="str">
        <f t="shared" si="24"/>
        <v>AKH12345</v>
      </c>
      <c r="B831" s="159"/>
      <c r="C831" s="124"/>
      <c r="D831" s="105"/>
      <c r="E831" s="106"/>
      <c r="F831" s="105"/>
      <c r="G831" s="106"/>
      <c r="H831" s="125"/>
      <c r="I831" s="126"/>
      <c r="J831" s="125"/>
      <c r="K831" s="125"/>
      <c r="L831" s="145" t="s">
        <v>1806</v>
      </c>
      <c r="M831" s="45" t="str">
        <f t="shared" si="25"/>
        <v>OneCo Networks AS</v>
      </c>
      <c r="N831" s="40" t="str">
        <f ca="1">IFERROR(
VLOOKUP(BoM_Griptel[[#This Row],[Product code]],
IF(AND((BoQ!$N$3&lt;&gt;""),OR(BoM_Griptel[[#This Row],[Vendor]]="Griptel",BoM_Griptel[[#This Row],[Vendor]]="Solar")),INDIRECT(Aux!$A$1)),4,FALSE),"")</f>
        <v/>
      </c>
      <c r="O831" s="169" t="s">
        <v>1807</v>
      </c>
      <c r="P831" s="41" t="str">
        <f>IFERROR(IF(AND(BoM_Griptel[[#This Row],[Quantity]]&lt;&gt;"",BoM_Griptel[[#This Row],[Currency]]="NOK"),BoM_Griptel[[#This Row],[Quantity]]*BoM_Griptel[[#This Row],[Unit Price]],""),"")</f>
        <v/>
      </c>
      <c r="Q831" s="41" t="str">
        <f>IFERROR(IF(AND(BoM_Griptel[[#This Row],[ACT_Qty]]&lt;&gt;"",BoM_Griptel[[#This Row],[Currency]]="NOK"),BoM_Griptel[[#This Row],[ACT_Qty]]*BoM_Griptel[[#This Row],[Unit Price]],""),"")</f>
        <v/>
      </c>
      <c r="R831" s="41" t="str">
        <f>IFERROR(IF(AND(BoM_Griptel[[#This Row],[Quantity]]&lt;&gt;"",BoM_Griptel[[#This Row],[Currency]]="EUR"),BoM_Griptel[[#This Row],[Quantity]]*BoM_Griptel[[#This Row],[Unit Price]],""),"")</f>
        <v/>
      </c>
      <c r="S831" s="41" t="str">
        <f>IFERROR(IF(AND(BoM_Griptel[[#This Row],[ACT_Qty]]&lt;&gt;"",BoM_Griptel[[#This Row],[Currency]]="EUR"),BoM_Griptel[[#This Row],[ACT_Qty]]*BoM_Griptel[[#This Row],[Unit Price]],""),"")</f>
        <v/>
      </c>
      <c r="T831" s="185" t="s">
        <v>1802</v>
      </c>
      <c r="U831" s="45"/>
      <c r="V831" s="45"/>
      <c r="W831" s="45"/>
    </row>
    <row r="832" spans="1:23">
      <c r="A832" s="146" t="str">
        <f t="shared" si="24"/>
        <v>AKH12345</v>
      </c>
      <c r="B832" s="160"/>
      <c r="C832" s="69"/>
      <c r="D832" s="68"/>
      <c r="E832" s="89"/>
      <c r="F832" s="68"/>
      <c r="G832" s="89"/>
      <c r="H832" s="70"/>
      <c r="I832" s="78"/>
      <c r="J832" s="70"/>
      <c r="K832" s="70"/>
      <c r="L832" s="148" t="s">
        <v>1806</v>
      </c>
      <c r="M832" s="46" t="str">
        <f t="shared" si="25"/>
        <v>OneCo Networks AS</v>
      </c>
      <c r="N832" s="42" t="str">
        <f ca="1">IFERROR(
VLOOKUP(BoM_Griptel[[#This Row],[Product code]],
IF(AND((BoQ!$N$3&lt;&gt;""),OR(BoM_Griptel[[#This Row],[Vendor]]="Griptel",BoM_Griptel[[#This Row],[Vendor]]="Solar")),INDIRECT(Aux!$A$1)),4,FALSE),"")</f>
        <v/>
      </c>
      <c r="O832" s="170" t="s">
        <v>1807</v>
      </c>
      <c r="P832" s="43" t="str">
        <f>IFERROR(IF(AND(BoM_Griptel[[#This Row],[Quantity]]&lt;&gt;"",BoM_Griptel[[#This Row],[Currency]]="NOK"),BoM_Griptel[[#This Row],[Quantity]]*BoM_Griptel[[#This Row],[Unit Price]],""),"")</f>
        <v/>
      </c>
      <c r="Q832" s="43" t="str">
        <f>IFERROR(IF(AND(BoM_Griptel[[#This Row],[ACT_Qty]]&lt;&gt;"",BoM_Griptel[[#This Row],[Currency]]="NOK"),BoM_Griptel[[#This Row],[ACT_Qty]]*BoM_Griptel[[#This Row],[Unit Price]],""),"")</f>
        <v/>
      </c>
      <c r="R832" s="43" t="str">
        <f>IFERROR(IF(AND(BoM_Griptel[[#This Row],[Quantity]]&lt;&gt;"",BoM_Griptel[[#This Row],[Currency]]="EUR"),BoM_Griptel[[#This Row],[Quantity]]*BoM_Griptel[[#This Row],[Unit Price]],""),"")</f>
        <v/>
      </c>
      <c r="S832" s="43" t="str">
        <f>IFERROR(IF(AND(BoM_Griptel[[#This Row],[ACT_Qty]]&lt;&gt;"",BoM_Griptel[[#This Row],[Currency]]="EUR"),BoM_Griptel[[#This Row],[ACT_Qty]]*BoM_Griptel[[#This Row],[Unit Price]],""),"")</f>
        <v/>
      </c>
      <c r="T832" s="186" t="s">
        <v>1802</v>
      </c>
      <c r="U832" s="46"/>
      <c r="V832" s="46"/>
      <c r="W832" s="46"/>
    </row>
    <row r="833" spans="1:23">
      <c r="A833" s="143" t="str">
        <f t="shared" si="24"/>
        <v>AKH12345</v>
      </c>
      <c r="B833" s="159"/>
      <c r="C833" s="124"/>
      <c r="D833" s="105"/>
      <c r="E833" s="106"/>
      <c r="F833" s="105"/>
      <c r="G833" s="106"/>
      <c r="H833" s="125"/>
      <c r="I833" s="126"/>
      <c r="J833" s="125"/>
      <c r="K833" s="125"/>
      <c r="L833" s="145" t="s">
        <v>1806</v>
      </c>
      <c r="M833" s="45" t="str">
        <f t="shared" si="25"/>
        <v>OneCo Networks AS</v>
      </c>
      <c r="N833" s="40" t="str">
        <f ca="1">IFERROR(
VLOOKUP(BoM_Griptel[[#This Row],[Product code]],
IF(AND((BoQ!$N$3&lt;&gt;""),OR(BoM_Griptel[[#This Row],[Vendor]]="Griptel",BoM_Griptel[[#This Row],[Vendor]]="Solar")),INDIRECT(Aux!$A$1)),4,FALSE),"")</f>
        <v/>
      </c>
      <c r="O833" s="169" t="s">
        <v>1807</v>
      </c>
      <c r="P833" s="41" t="str">
        <f>IFERROR(IF(AND(BoM_Griptel[[#This Row],[Quantity]]&lt;&gt;"",BoM_Griptel[[#This Row],[Currency]]="NOK"),BoM_Griptel[[#This Row],[Quantity]]*BoM_Griptel[[#This Row],[Unit Price]],""),"")</f>
        <v/>
      </c>
      <c r="Q833" s="41" t="str">
        <f>IFERROR(IF(AND(BoM_Griptel[[#This Row],[ACT_Qty]]&lt;&gt;"",BoM_Griptel[[#This Row],[Currency]]="NOK"),BoM_Griptel[[#This Row],[ACT_Qty]]*BoM_Griptel[[#This Row],[Unit Price]],""),"")</f>
        <v/>
      </c>
      <c r="R833" s="41" t="str">
        <f>IFERROR(IF(AND(BoM_Griptel[[#This Row],[Quantity]]&lt;&gt;"",BoM_Griptel[[#This Row],[Currency]]="EUR"),BoM_Griptel[[#This Row],[Quantity]]*BoM_Griptel[[#This Row],[Unit Price]],""),"")</f>
        <v/>
      </c>
      <c r="S833" s="41" t="str">
        <f>IFERROR(IF(AND(BoM_Griptel[[#This Row],[ACT_Qty]]&lt;&gt;"",BoM_Griptel[[#This Row],[Currency]]="EUR"),BoM_Griptel[[#This Row],[ACT_Qty]]*BoM_Griptel[[#This Row],[Unit Price]],""),"")</f>
        <v/>
      </c>
      <c r="T833" s="185" t="s">
        <v>1802</v>
      </c>
      <c r="U833" s="45"/>
      <c r="V833" s="45"/>
      <c r="W833" s="45"/>
    </row>
    <row r="834" spans="1:23">
      <c r="A834" s="146" t="str">
        <f t="shared" si="24"/>
        <v>AKH12345</v>
      </c>
      <c r="B834" s="160"/>
      <c r="C834" s="69"/>
      <c r="D834" s="68"/>
      <c r="E834" s="89"/>
      <c r="F834" s="68"/>
      <c r="G834" s="89"/>
      <c r="H834" s="70"/>
      <c r="I834" s="78"/>
      <c r="J834" s="70"/>
      <c r="K834" s="70"/>
      <c r="L834" s="148" t="s">
        <v>1806</v>
      </c>
      <c r="M834" s="46" t="str">
        <f t="shared" si="25"/>
        <v>OneCo Networks AS</v>
      </c>
      <c r="N834" s="42" t="str">
        <f ca="1">IFERROR(
VLOOKUP(BoM_Griptel[[#This Row],[Product code]],
IF(AND((BoQ!$N$3&lt;&gt;""),OR(BoM_Griptel[[#This Row],[Vendor]]="Griptel",BoM_Griptel[[#This Row],[Vendor]]="Solar")),INDIRECT(Aux!$A$1)),4,FALSE),"")</f>
        <v/>
      </c>
      <c r="O834" s="170" t="s">
        <v>1807</v>
      </c>
      <c r="P834" s="43" t="str">
        <f>IFERROR(IF(AND(BoM_Griptel[[#This Row],[Quantity]]&lt;&gt;"",BoM_Griptel[[#This Row],[Currency]]="NOK"),BoM_Griptel[[#This Row],[Quantity]]*BoM_Griptel[[#This Row],[Unit Price]],""),"")</f>
        <v/>
      </c>
      <c r="Q834" s="43" t="str">
        <f>IFERROR(IF(AND(BoM_Griptel[[#This Row],[ACT_Qty]]&lt;&gt;"",BoM_Griptel[[#This Row],[Currency]]="NOK"),BoM_Griptel[[#This Row],[ACT_Qty]]*BoM_Griptel[[#This Row],[Unit Price]],""),"")</f>
        <v/>
      </c>
      <c r="R834" s="43" t="str">
        <f>IFERROR(IF(AND(BoM_Griptel[[#This Row],[Quantity]]&lt;&gt;"",BoM_Griptel[[#This Row],[Currency]]="EUR"),BoM_Griptel[[#This Row],[Quantity]]*BoM_Griptel[[#This Row],[Unit Price]],""),"")</f>
        <v/>
      </c>
      <c r="S834" s="43" t="str">
        <f>IFERROR(IF(AND(BoM_Griptel[[#This Row],[ACT_Qty]]&lt;&gt;"",BoM_Griptel[[#This Row],[Currency]]="EUR"),BoM_Griptel[[#This Row],[ACT_Qty]]*BoM_Griptel[[#This Row],[Unit Price]],""),"")</f>
        <v/>
      </c>
      <c r="T834" s="186" t="s">
        <v>1802</v>
      </c>
      <c r="U834" s="46"/>
      <c r="V834" s="46"/>
      <c r="W834" s="46"/>
    </row>
    <row r="835" spans="1:23">
      <c r="A835" s="143" t="str">
        <f t="shared" si="24"/>
        <v>AKH12345</v>
      </c>
      <c r="B835" s="159"/>
      <c r="C835" s="124"/>
      <c r="D835" s="105"/>
      <c r="E835" s="106"/>
      <c r="F835" s="105"/>
      <c r="G835" s="106"/>
      <c r="H835" s="125"/>
      <c r="I835" s="126"/>
      <c r="J835" s="125"/>
      <c r="K835" s="125"/>
      <c r="L835" s="145" t="s">
        <v>1806</v>
      </c>
      <c r="M835" s="45" t="str">
        <f t="shared" si="25"/>
        <v>OneCo Networks AS</v>
      </c>
      <c r="N835" s="40" t="str">
        <f ca="1">IFERROR(
VLOOKUP(BoM_Griptel[[#This Row],[Product code]],
IF(AND((BoQ!$N$3&lt;&gt;""),OR(BoM_Griptel[[#This Row],[Vendor]]="Griptel",BoM_Griptel[[#This Row],[Vendor]]="Solar")),INDIRECT(Aux!$A$1)),4,FALSE),"")</f>
        <v/>
      </c>
      <c r="O835" s="169" t="s">
        <v>1807</v>
      </c>
      <c r="P835" s="41" t="str">
        <f>IFERROR(IF(AND(BoM_Griptel[[#This Row],[Quantity]]&lt;&gt;"",BoM_Griptel[[#This Row],[Currency]]="NOK"),BoM_Griptel[[#This Row],[Quantity]]*BoM_Griptel[[#This Row],[Unit Price]],""),"")</f>
        <v/>
      </c>
      <c r="Q835" s="41" t="str">
        <f>IFERROR(IF(AND(BoM_Griptel[[#This Row],[ACT_Qty]]&lt;&gt;"",BoM_Griptel[[#This Row],[Currency]]="NOK"),BoM_Griptel[[#This Row],[ACT_Qty]]*BoM_Griptel[[#This Row],[Unit Price]],""),"")</f>
        <v/>
      </c>
      <c r="R835" s="41" t="str">
        <f>IFERROR(IF(AND(BoM_Griptel[[#This Row],[Quantity]]&lt;&gt;"",BoM_Griptel[[#This Row],[Currency]]="EUR"),BoM_Griptel[[#This Row],[Quantity]]*BoM_Griptel[[#This Row],[Unit Price]],""),"")</f>
        <v/>
      </c>
      <c r="S835" s="41" t="str">
        <f>IFERROR(IF(AND(BoM_Griptel[[#This Row],[ACT_Qty]]&lt;&gt;"",BoM_Griptel[[#This Row],[Currency]]="EUR"),BoM_Griptel[[#This Row],[ACT_Qty]]*BoM_Griptel[[#This Row],[Unit Price]],""),"")</f>
        <v/>
      </c>
      <c r="T835" s="185" t="s">
        <v>1802</v>
      </c>
      <c r="U835" s="45"/>
      <c r="V835" s="45"/>
      <c r="W835" s="45"/>
    </row>
    <row r="836" spans="1:23">
      <c r="A836" s="146" t="str">
        <f t="shared" si="24"/>
        <v>AKH12345</v>
      </c>
      <c r="B836" s="160"/>
      <c r="C836" s="69"/>
      <c r="D836" s="68"/>
      <c r="E836" s="89"/>
      <c r="F836" s="68"/>
      <c r="G836" s="89"/>
      <c r="H836" s="70"/>
      <c r="I836" s="78"/>
      <c r="J836" s="70"/>
      <c r="K836" s="70"/>
      <c r="L836" s="148" t="s">
        <v>1806</v>
      </c>
      <c r="M836" s="46" t="str">
        <f t="shared" si="25"/>
        <v>OneCo Networks AS</v>
      </c>
      <c r="N836" s="42" t="str">
        <f ca="1">IFERROR(
VLOOKUP(BoM_Griptel[[#This Row],[Product code]],
IF(AND((BoQ!$N$3&lt;&gt;""),OR(BoM_Griptel[[#This Row],[Vendor]]="Griptel",BoM_Griptel[[#This Row],[Vendor]]="Solar")),INDIRECT(Aux!$A$1)),4,FALSE),"")</f>
        <v/>
      </c>
      <c r="O836" s="170" t="s">
        <v>1807</v>
      </c>
      <c r="P836" s="43" t="str">
        <f>IFERROR(IF(AND(BoM_Griptel[[#This Row],[Quantity]]&lt;&gt;"",BoM_Griptel[[#This Row],[Currency]]="NOK"),BoM_Griptel[[#This Row],[Quantity]]*BoM_Griptel[[#This Row],[Unit Price]],""),"")</f>
        <v/>
      </c>
      <c r="Q836" s="43" t="str">
        <f>IFERROR(IF(AND(BoM_Griptel[[#This Row],[ACT_Qty]]&lt;&gt;"",BoM_Griptel[[#This Row],[Currency]]="NOK"),BoM_Griptel[[#This Row],[ACT_Qty]]*BoM_Griptel[[#This Row],[Unit Price]],""),"")</f>
        <v/>
      </c>
      <c r="R836" s="43" t="str">
        <f>IFERROR(IF(AND(BoM_Griptel[[#This Row],[Quantity]]&lt;&gt;"",BoM_Griptel[[#This Row],[Currency]]="EUR"),BoM_Griptel[[#This Row],[Quantity]]*BoM_Griptel[[#This Row],[Unit Price]],""),"")</f>
        <v/>
      </c>
      <c r="S836" s="43" t="str">
        <f>IFERROR(IF(AND(BoM_Griptel[[#This Row],[ACT_Qty]]&lt;&gt;"",BoM_Griptel[[#This Row],[Currency]]="EUR"),BoM_Griptel[[#This Row],[ACT_Qty]]*BoM_Griptel[[#This Row],[Unit Price]],""),"")</f>
        <v/>
      </c>
      <c r="T836" s="186" t="s">
        <v>1802</v>
      </c>
      <c r="U836" s="46"/>
      <c r="V836" s="46"/>
      <c r="W836" s="46"/>
    </row>
    <row r="837" spans="1:23">
      <c r="A837" s="143" t="str">
        <f t="shared" si="24"/>
        <v>AKH12345</v>
      </c>
      <c r="B837" s="159"/>
      <c r="C837" s="124"/>
      <c r="D837" s="105"/>
      <c r="E837" s="106"/>
      <c r="F837" s="105"/>
      <c r="G837" s="106"/>
      <c r="H837" s="125"/>
      <c r="I837" s="126"/>
      <c r="J837" s="125"/>
      <c r="K837" s="125"/>
      <c r="L837" s="145" t="s">
        <v>1806</v>
      </c>
      <c r="M837" s="45" t="str">
        <f t="shared" si="25"/>
        <v>OneCo Networks AS</v>
      </c>
      <c r="N837" s="40" t="str">
        <f ca="1">IFERROR(
VLOOKUP(BoM_Griptel[[#This Row],[Product code]],
IF(AND((BoQ!$N$3&lt;&gt;""),OR(BoM_Griptel[[#This Row],[Vendor]]="Griptel",BoM_Griptel[[#This Row],[Vendor]]="Solar")),INDIRECT(Aux!$A$1)),4,FALSE),"")</f>
        <v/>
      </c>
      <c r="O837" s="169" t="s">
        <v>1807</v>
      </c>
      <c r="P837" s="41" t="str">
        <f>IFERROR(IF(AND(BoM_Griptel[[#This Row],[Quantity]]&lt;&gt;"",BoM_Griptel[[#This Row],[Currency]]="NOK"),BoM_Griptel[[#This Row],[Quantity]]*BoM_Griptel[[#This Row],[Unit Price]],""),"")</f>
        <v/>
      </c>
      <c r="Q837" s="41" t="str">
        <f>IFERROR(IF(AND(BoM_Griptel[[#This Row],[ACT_Qty]]&lt;&gt;"",BoM_Griptel[[#This Row],[Currency]]="NOK"),BoM_Griptel[[#This Row],[ACT_Qty]]*BoM_Griptel[[#This Row],[Unit Price]],""),"")</f>
        <v/>
      </c>
      <c r="R837" s="41" t="str">
        <f>IFERROR(IF(AND(BoM_Griptel[[#This Row],[Quantity]]&lt;&gt;"",BoM_Griptel[[#This Row],[Currency]]="EUR"),BoM_Griptel[[#This Row],[Quantity]]*BoM_Griptel[[#This Row],[Unit Price]],""),"")</f>
        <v/>
      </c>
      <c r="S837" s="41" t="str">
        <f>IFERROR(IF(AND(BoM_Griptel[[#This Row],[ACT_Qty]]&lt;&gt;"",BoM_Griptel[[#This Row],[Currency]]="EUR"),BoM_Griptel[[#This Row],[ACT_Qty]]*BoM_Griptel[[#This Row],[Unit Price]],""),"")</f>
        <v/>
      </c>
      <c r="T837" s="185" t="s">
        <v>1802</v>
      </c>
      <c r="U837" s="45"/>
      <c r="V837" s="45"/>
      <c r="W837" s="45"/>
    </row>
    <row r="838" spans="1:23">
      <c r="A838" s="146" t="str">
        <f t="shared" si="24"/>
        <v>AKH12345</v>
      </c>
      <c r="B838" s="160"/>
      <c r="C838" s="69"/>
      <c r="D838" s="68"/>
      <c r="E838" s="89"/>
      <c r="F838" s="68"/>
      <c r="G838" s="89"/>
      <c r="H838" s="70"/>
      <c r="I838" s="78"/>
      <c r="J838" s="70"/>
      <c r="K838" s="70"/>
      <c r="L838" s="148" t="s">
        <v>1806</v>
      </c>
      <c r="M838" s="46" t="str">
        <f t="shared" si="25"/>
        <v>OneCo Networks AS</v>
      </c>
      <c r="N838" s="42" t="str">
        <f ca="1">IFERROR(
VLOOKUP(BoM_Griptel[[#This Row],[Product code]],
IF(AND((BoQ!$N$3&lt;&gt;""),OR(BoM_Griptel[[#This Row],[Vendor]]="Griptel",BoM_Griptel[[#This Row],[Vendor]]="Solar")),INDIRECT(Aux!$A$1)),4,FALSE),"")</f>
        <v/>
      </c>
      <c r="O838" s="170" t="s">
        <v>1807</v>
      </c>
      <c r="P838" s="43" t="str">
        <f>IFERROR(IF(AND(BoM_Griptel[[#This Row],[Quantity]]&lt;&gt;"",BoM_Griptel[[#This Row],[Currency]]="NOK"),BoM_Griptel[[#This Row],[Quantity]]*BoM_Griptel[[#This Row],[Unit Price]],""),"")</f>
        <v/>
      </c>
      <c r="Q838" s="43" t="str">
        <f>IFERROR(IF(AND(BoM_Griptel[[#This Row],[ACT_Qty]]&lt;&gt;"",BoM_Griptel[[#This Row],[Currency]]="NOK"),BoM_Griptel[[#This Row],[ACT_Qty]]*BoM_Griptel[[#This Row],[Unit Price]],""),"")</f>
        <v/>
      </c>
      <c r="R838" s="43" t="str">
        <f>IFERROR(IF(AND(BoM_Griptel[[#This Row],[Quantity]]&lt;&gt;"",BoM_Griptel[[#This Row],[Currency]]="EUR"),BoM_Griptel[[#This Row],[Quantity]]*BoM_Griptel[[#This Row],[Unit Price]],""),"")</f>
        <v/>
      </c>
      <c r="S838" s="43" t="str">
        <f>IFERROR(IF(AND(BoM_Griptel[[#This Row],[ACT_Qty]]&lt;&gt;"",BoM_Griptel[[#This Row],[Currency]]="EUR"),BoM_Griptel[[#This Row],[ACT_Qty]]*BoM_Griptel[[#This Row],[Unit Price]],""),"")</f>
        <v/>
      </c>
      <c r="T838" s="186" t="s">
        <v>1802</v>
      </c>
      <c r="U838" s="46"/>
      <c r="V838" s="46"/>
      <c r="W838" s="46"/>
    </row>
    <row r="839" spans="1:23">
      <c r="A839" s="143" t="str">
        <f t="shared" si="24"/>
        <v>AKH12345</v>
      </c>
      <c r="B839" s="159"/>
      <c r="C839" s="124"/>
      <c r="D839" s="105"/>
      <c r="E839" s="106"/>
      <c r="F839" s="105"/>
      <c r="G839" s="106"/>
      <c r="H839" s="125"/>
      <c r="I839" s="126"/>
      <c r="J839" s="125"/>
      <c r="K839" s="125"/>
      <c r="L839" s="145" t="s">
        <v>1806</v>
      </c>
      <c r="M839" s="45" t="str">
        <f t="shared" si="25"/>
        <v>OneCo Networks AS</v>
      </c>
      <c r="N839" s="40" t="str">
        <f ca="1">IFERROR(
VLOOKUP(BoM_Griptel[[#This Row],[Product code]],
IF(AND((BoQ!$N$3&lt;&gt;""),OR(BoM_Griptel[[#This Row],[Vendor]]="Griptel",BoM_Griptel[[#This Row],[Vendor]]="Solar")),INDIRECT(Aux!$A$1)),4,FALSE),"")</f>
        <v/>
      </c>
      <c r="O839" s="169" t="s">
        <v>1807</v>
      </c>
      <c r="P839" s="41" t="str">
        <f>IFERROR(IF(AND(BoM_Griptel[[#This Row],[Quantity]]&lt;&gt;"",BoM_Griptel[[#This Row],[Currency]]="NOK"),BoM_Griptel[[#This Row],[Quantity]]*BoM_Griptel[[#This Row],[Unit Price]],""),"")</f>
        <v/>
      </c>
      <c r="Q839" s="41" t="str">
        <f>IFERROR(IF(AND(BoM_Griptel[[#This Row],[ACT_Qty]]&lt;&gt;"",BoM_Griptel[[#This Row],[Currency]]="NOK"),BoM_Griptel[[#This Row],[ACT_Qty]]*BoM_Griptel[[#This Row],[Unit Price]],""),"")</f>
        <v/>
      </c>
      <c r="R839" s="41" t="str">
        <f>IFERROR(IF(AND(BoM_Griptel[[#This Row],[Quantity]]&lt;&gt;"",BoM_Griptel[[#This Row],[Currency]]="EUR"),BoM_Griptel[[#This Row],[Quantity]]*BoM_Griptel[[#This Row],[Unit Price]],""),"")</f>
        <v/>
      </c>
      <c r="S839" s="41" t="str">
        <f>IFERROR(IF(AND(BoM_Griptel[[#This Row],[ACT_Qty]]&lt;&gt;"",BoM_Griptel[[#This Row],[Currency]]="EUR"),BoM_Griptel[[#This Row],[ACT_Qty]]*BoM_Griptel[[#This Row],[Unit Price]],""),"")</f>
        <v/>
      </c>
      <c r="T839" s="185" t="s">
        <v>1802</v>
      </c>
      <c r="U839" s="45"/>
      <c r="V839" s="45"/>
      <c r="W839" s="45"/>
    </row>
    <row r="840" spans="1:23">
      <c r="A840" s="146" t="str">
        <f t="shared" si="24"/>
        <v>AKH12345</v>
      </c>
      <c r="B840" s="160"/>
      <c r="C840" s="69"/>
      <c r="D840" s="68"/>
      <c r="E840" s="89"/>
      <c r="F840" s="68"/>
      <c r="G840" s="89"/>
      <c r="H840" s="70"/>
      <c r="I840" s="78"/>
      <c r="J840" s="70"/>
      <c r="K840" s="70"/>
      <c r="L840" s="148" t="s">
        <v>1806</v>
      </c>
      <c r="M840" s="46" t="str">
        <f t="shared" si="25"/>
        <v>OneCo Networks AS</v>
      </c>
      <c r="N840" s="42" t="str">
        <f ca="1">IFERROR(
VLOOKUP(BoM_Griptel[[#This Row],[Product code]],
IF(AND((BoQ!$N$3&lt;&gt;""),OR(BoM_Griptel[[#This Row],[Vendor]]="Griptel",BoM_Griptel[[#This Row],[Vendor]]="Solar")),INDIRECT(Aux!$A$1)),4,FALSE),"")</f>
        <v/>
      </c>
      <c r="O840" s="170" t="s">
        <v>1807</v>
      </c>
      <c r="P840" s="43" t="str">
        <f>IFERROR(IF(AND(BoM_Griptel[[#This Row],[Quantity]]&lt;&gt;"",BoM_Griptel[[#This Row],[Currency]]="NOK"),BoM_Griptel[[#This Row],[Quantity]]*BoM_Griptel[[#This Row],[Unit Price]],""),"")</f>
        <v/>
      </c>
      <c r="Q840" s="43" t="str">
        <f>IFERROR(IF(AND(BoM_Griptel[[#This Row],[ACT_Qty]]&lt;&gt;"",BoM_Griptel[[#This Row],[Currency]]="NOK"),BoM_Griptel[[#This Row],[ACT_Qty]]*BoM_Griptel[[#This Row],[Unit Price]],""),"")</f>
        <v/>
      </c>
      <c r="R840" s="43" t="str">
        <f>IFERROR(IF(AND(BoM_Griptel[[#This Row],[Quantity]]&lt;&gt;"",BoM_Griptel[[#This Row],[Currency]]="EUR"),BoM_Griptel[[#This Row],[Quantity]]*BoM_Griptel[[#This Row],[Unit Price]],""),"")</f>
        <v/>
      </c>
      <c r="S840" s="43" t="str">
        <f>IFERROR(IF(AND(BoM_Griptel[[#This Row],[ACT_Qty]]&lt;&gt;"",BoM_Griptel[[#This Row],[Currency]]="EUR"),BoM_Griptel[[#This Row],[ACT_Qty]]*BoM_Griptel[[#This Row],[Unit Price]],""),"")</f>
        <v/>
      </c>
      <c r="T840" s="186" t="s">
        <v>1802</v>
      </c>
      <c r="U840" s="46"/>
      <c r="V840" s="46"/>
      <c r="W840" s="46"/>
    </row>
    <row r="841" spans="1:23">
      <c r="A841" s="143" t="str">
        <f t="shared" si="24"/>
        <v>AKH12345</v>
      </c>
      <c r="B841" s="159"/>
      <c r="C841" s="124"/>
      <c r="D841" s="105"/>
      <c r="E841" s="106"/>
      <c r="F841" s="105"/>
      <c r="G841" s="106"/>
      <c r="H841" s="125"/>
      <c r="I841" s="126"/>
      <c r="J841" s="125"/>
      <c r="K841" s="125"/>
      <c r="L841" s="145" t="s">
        <v>1806</v>
      </c>
      <c r="M841" s="45" t="str">
        <f t="shared" si="25"/>
        <v>OneCo Networks AS</v>
      </c>
      <c r="N841" s="40" t="str">
        <f ca="1">IFERROR(
VLOOKUP(BoM_Griptel[[#This Row],[Product code]],
IF(AND((BoQ!$N$3&lt;&gt;""),OR(BoM_Griptel[[#This Row],[Vendor]]="Griptel",BoM_Griptel[[#This Row],[Vendor]]="Solar")),INDIRECT(Aux!$A$1)),4,FALSE),"")</f>
        <v/>
      </c>
      <c r="O841" s="169" t="s">
        <v>1807</v>
      </c>
      <c r="P841" s="41" t="str">
        <f>IFERROR(IF(AND(BoM_Griptel[[#This Row],[Quantity]]&lt;&gt;"",BoM_Griptel[[#This Row],[Currency]]="NOK"),BoM_Griptel[[#This Row],[Quantity]]*BoM_Griptel[[#This Row],[Unit Price]],""),"")</f>
        <v/>
      </c>
      <c r="Q841" s="41" t="str">
        <f>IFERROR(IF(AND(BoM_Griptel[[#This Row],[ACT_Qty]]&lt;&gt;"",BoM_Griptel[[#This Row],[Currency]]="NOK"),BoM_Griptel[[#This Row],[ACT_Qty]]*BoM_Griptel[[#This Row],[Unit Price]],""),"")</f>
        <v/>
      </c>
      <c r="R841" s="41" t="str">
        <f>IFERROR(IF(AND(BoM_Griptel[[#This Row],[Quantity]]&lt;&gt;"",BoM_Griptel[[#This Row],[Currency]]="EUR"),BoM_Griptel[[#This Row],[Quantity]]*BoM_Griptel[[#This Row],[Unit Price]],""),"")</f>
        <v/>
      </c>
      <c r="S841" s="41" t="str">
        <f>IFERROR(IF(AND(BoM_Griptel[[#This Row],[ACT_Qty]]&lt;&gt;"",BoM_Griptel[[#This Row],[Currency]]="EUR"),BoM_Griptel[[#This Row],[ACT_Qty]]*BoM_Griptel[[#This Row],[Unit Price]],""),"")</f>
        <v/>
      </c>
      <c r="T841" s="185" t="s">
        <v>1802</v>
      </c>
      <c r="U841" s="45"/>
      <c r="V841" s="45"/>
      <c r="W841" s="45"/>
    </row>
    <row r="842" spans="1:23">
      <c r="A842" s="146" t="str">
        <f t="shared" si="24"/>
        <v>AKH12345</v>
      </c>
      <c r="B842" s="160"/>
      <c r="C842" s="69"/>
      <c r="D842" s="68"/>
      <c r="E842" s="89"/>
      <c r="F842" s="68"/>
      <c r="G842" s="89"/>
      <c r="H842" s="70"/>
      <c r="I842" s="78"/>
      <c r="J842" s="70"/>
      <c r="K842" s="70"/>
      <c r="L842" s="148" t="s">
        <v>1806</v>
      </c>
      <c r="M842" s="46" t="str">
        <f t="shared" si="25"/>
        <v>OneCo Networks AS</v>
      </c>
      <c r="N842" s="42" t="str">
        <f ca="1">IFERROR(
VLOOKUP(BoM_Griptel[[#This Row],[Product code]],
IF(AND((BoQ!$N$3&lt;&gt;""),OR(BoM_Griptel[[#This Row],[Vendor]]="Griptel",BoM_Griptel[[#This Row],[Vendor]]="Solar")),INDIRECT(Aux!$A$1)),4,FALSE),"")</f>
        <v/>
      </c>
      <c r="O842" s="170" t="s">
        <v>1807</v>
      </c>
      <c r="P842" s="43" t="str">
        <f>IFERROR(IF(AND(BoM_Griptel[[#This Row],[Quantity]]&lt;&gt;"",BoM_Griptel[[#This Row],[Currency]]="NOK"),BoM_Griptel[[#This Row],[Quantity]]*BoM_Griptel[[#This Row],[Unit Price]],""),"")</f>
        <v/>
      </c>
      <c r="Q842" s="43" t="str">
        <f>IFERROR(IF(AND(BoM_Griptel[[#This Row],[ACT_Qty]]&lt;&gt;"",BoM_Griptel[[#This Row],[Currency]]="NOK"),BoM_Griptel[[#This Row],[ACT_Qty]]*BoM_Griptel[[#This Row],[Unit Price]],""),"")</f>
        <v/>
      </c>
      <c r="R842" s="43" t="str">
        <f>IFERROR(IF(AND(BoM_Griptel[[#This Row],[Quantity]]&lt;&gt;"",BoM_Griptel[[#This Row],[Currency]]="EUR"),BoM_Griptel[[#This Row],[Quantity]]*BoM_Griptel[[#This Row],[Unit Price]],""),"")</f>
        <v/>
      </c>
      <c r="S842" s="43" t="str">
        <f>IFERROR(IF(AND(BoM_Griptel[[#This Row],[ACT_Qty]]&lt;&gt;"",BoM_Griptel[[#This Row],[Currency]]="EUR"),BoM_Griptel[[#This Row],[ACT_Qty]]*BoM_Griptel[[#This Row],[Unit Price]],""),"")</f>
        <v/>
      </c>
      <c r="T842" s="186" t="s">
        <v>1802</v>
      </c>
      <c r="U842" s="46"/>
      <c r="V842" s="46"/>
      <c r="W842" s="46"/>
    </row>
    <row r="843" spans="1:23">
      <c r="A843" s="143" t="str">
        <f t="shared" si="24"/>
        <v>AKH12345</v>
      </c>
      <c r="B843" s="159"/>
      <c r="C843" s="124"/>
      <c r="D843" s="105"/>
      <c r="E843" s="106"/>
      <c r="F843" s="105"/>
      <c r="G843" s="106"/>
      <c r="H843" s="125"/>
      <c r="I843" s="126"/>
      <c r="J843" s="125"/>
      <c r="K843" s="125"/>
      <c r="L843" s="145" t="s">
        <v>1806</v>
      </c>
      <c r="M843" s="45" t="str">
        <f t="shared" si="25"/>
        <v>OneCo Networks AS</v>
      </c>
      <c r="N843" s="40" t="str">
        <f ca="1">IFERROR(
VLOOKUP(BoM_Griptel[[#This Row],[Product code]],
IF(AND((BoQ!$N$3&lt;&gt;""),OR(BoM_Griptel[[#This Row],[Vendor]]="Griptel",BoM_Griptel[[#This Row],[Vendor]]="Solar")),INDIRECT(Aux!$A$1)),4,FALSE),"")</f>
        <v/>
      </c>
      <c r="O843" s="169" t="s">
        <v>1807</v>
      </c>
      <c r="P843" s="41" t="str">
        <f>IFERROR(IF(AND(BoM_Griptel[[#This Row],[Quantity]]&lt;&gt;"",BoM_Griptel[[#This Row],[Currency]]="NOK"),BoM_Griptel[[#This Row],[Quantity]]*BoM_Griptel[[#This Row],[Unit Price]],""),"")</f>
        <v/>
      </c>
      <c r="Q843" s="41" t="str">
        <f>IFERROR(IF(AND(BoM_Griptel[[#This Row],[ACT_Qty]]&lt;&gt;"",BoM_Griptel[[#This Row],[Currency]]="NOK"),BoM_Griptel[[#This Row],[ACT_Qty]]*BoM_Griptel[[#This Row],[Unit Price]],""),"")</f>
        <v/>
      </c>
      <c r="R843" s="41" t="str">
        <f>IFERROR(IF(AND(BoM_Griptel[[#This Row],[Quantity]]&lt;&gt;"",BoM_Griptel[[#This Row],[Currency]]="EUR"),BoM_Griptel[[#This Row],[Quantity]]*BoM_Griptel[[#This Row],[Unit Price]],""),"")</f>
        <v/>
      </c>
      <c r="S843" s="41" t="str">
        <f>IFERROR(IF(AND(BoM_Griptel[[#This Row],[ACT_Qty]]&lt;&gt;"",BoM_Griptel[[#This Row],[Currency]]="EUR"),BoM_Griptel[[#This Row],[ACT_Qty]]*BoM_Griptel[[#This Row],[Unit Price]],""),"")</f>
        <v/>
      </c>
      <c r="T843" s="185" t="s">
        <v>1802</v>
      </c>
      <c r="U843" s="45"/>
      <c r="V843" s="45"/>
      <c r="W843" s="45"/>
    </row>
    <row r="844" spans="1:23">
      <c r="A844" s="146" t="str">
        <f t="shared" si="24"/>
        <v>AKH12345</v>
      </c>
      <c r="B844" s="160"/>
      <c r="C844" s="69"/>
      <c r="D844" s="68"/>
      <c r="E844" s="89"/>
      <c r="F844" s="68"/>
      <c r="G844" s="89"/>
      <c r="H844" s="70"/>
      <c r="I844" s="78"/>
      <c r="J844" s="70"/>
      <c r="K844" s="70"/>
      <c r="L844" s="148" t="s">
        <v>1806</v>
      </c>
      <c r="M844" s="46" t="str">
        <f t="shared" si="25"/>
        <v>OneCo Networks AS</v>
      </c>
      <c r="N844" s="42" t="str">
        <f ca="1">IFERROR(
VLOOKUP(BoM_Griptel[[#This Row],[Product code]],
IF(AND((BoQ!$N$3&lt;&gt;""),OR(BoM_Griptel[[#This Row],[Vendor]]="Griptel",BoM_Griptel[[#This Row],[Vendor]]="Solar")),INDIRECT(Aux!$A$1)),4,FALSE),"")</f>
        <v/>
      </c>
      <c r="O844" s="170" t="s">
        <v>1807</v>
      </c>
      <c r="P844" s="43" t="str">
        <f>IFERROR(IF(AND(BoM_Griptel[[#This Row],[Quantity]]&lt;&gt;"",BoM_Griptel[[#This Row],[Currency]]="NOK"),BoM_Griptel[[#This Row],[Quantity]]*BoM_Griptel[[#This Row],[Unit Price]],""),"")</f>
        <v/>
      </c>
      <c r="Q844" s="43" t="str">
        <f>IFERROR(IF(AND(BoM_Griptel[[#This Row],[ACT_Qty]]&lt;&gt;"",BoM_Griptel[[#This Row],[Currency]]="NOK"),BoM_Griptel[[#This Row],[ACT_Qty]]*BoM_Griptel[[#This Row],[Unit Price]],""),"")</f>
        <v/>
      </c>
      <c r="R844" s="43" t="str">
        <f>IFERROR(IF(AND(BoM_Griptel[[#This Row],[Quantity]]&lt;&gt;"",BoM_Griptel[[#This Row],[Currency]]="EUR"),BoM_Griptel[[#This Row],[Quantity]]*BoM_Griptel[[#This Row],[Unit Price]],""),"")</f>
        <v/>
      </c>
      <c r="S844" s="43" t="str">
        <f>IFERROR(IF(AND(BoM_Griptel[[#This Row],[ACT_Qty]]&lt;&gt;"",BoM_Griptel[[#This Row],[Currency]]="EUR"),BoM_Griptel[[#This Row],[ACT_Qty]]*BoM_Griptel[[#This Row],[Unit Price]],""),"")</f>
        <v/>
      </c>
      <c r="T844" s="186" t="s">
        <v>1802</v>
      </c>
      <c r="U844" s="46"/>
      <c r="V844" s="46"/>
      <c r="W844" s="46"/>
    </row>
    <row r="845" spans="1:23">
      <c r="A845" s="143" t="str">
        <f t="shared" si="24"/>
        <v>AKH12345</v>
      </c>
      <c r="B845" s="159"/>
      <c r="C845" s="124"/>
      <c r="D845" s="105"/>
      <c r="E845" s="106"/>
      <c r="F845" s="105"/>
      <c r="G845" s="106"/>
      <c r="H845" s="125"/>
      <c r="I845" s="126"/>
      <c r="J845" s="125"/>
      <c r="K845" s="125"/>
      <c r="L845" s="145" t="s">
        <v>1806</v>
      </c>
      <c r="M845" s="45" t="str">
        <f t="shared" si="25"/>
        <v>OneCo Networks AS</v>
      </c>
      <c r="N845" s="40" t="str">
        <f ca="1">IFERROR(
VLOOKUP(BoM_Griptel[[#This Row],[Product code]],
IF(AND((BoQ!$N$3&lt;&gt;""),OR(BoM_Griptel[[#This Row],[Vendor]]="Griptel",BoM_Griptel[[#This Row],[Vendor]]="Solar")),INDIRECT(Aux!$A$1)),4,FALSE),"")</f>
        <v/>
      </c>
      <c r="O845" s="169" t="s">
        <v>1807</v>
      </c>
      <c r="P845" s="41" t="str">
        <f>IFERROR(IF(AND(BoM_Griptel[[#This Row],[Quantity]]&lt;&gt;"",BoM_Griptel[[#This Row],[Currency]]="NOK"),BoM_Griptel[[#This Row],[Quantity]]*BoM_Griptel[[#This Row],[Unit Price]],""),"")</f>
        <v/>
      </c>
      <c r="Q845" s="41" t="str">
        <f>IFERROR(IF(AND(BoM_Griptel[[#This Row],[ACT_Qty]]&lt;&gt;"",BoM_Griptel[[#This Row],[Currency]]="NOK"),BoM_Griptel[[#This Row],[ACT_Qty]]*BoM_Griptel[[#This Row],[Unit Price]],""),"")</f>
        <v/>
      </c>
      <c r="R845" s="41" t="str">
        <f>IFERROR(IF(AND(BoM_Griptel[[#This Row],[Quantity]]&lt;&gt;"",BoM_Griptel[[#This Row],[Currency]]="EUR"),BoM_Griptel[[#This Row],[Quantity]]*BoM_Griptel[[#This Row],[Unit Price]],""),"")</f>
        <v/>
      </c>
      <c r="S845" s="41" t="str">
        <f>IFERROR(IF(AND(BoM_Griptel[[#This Row],[ACT_Qty]]&lt;&gt;"",BoM_Griptel[[#This Row],[Currency]]="EUR"),BoM_Griptel[[#This Row],[ACT_Qty]]*BoM_Griptel[[#This Row],[Unit Price]],""),"")</f>
        <v/>
      </c>
      <c r="T845" s="185" t="s">
        <v>1802</v>
      </c>
      <c r="U845" s="45"/>
      <c r="V845" s="45"/>
      <c r="W845" s="45"/>
    </row>
    <row r="846" spans="1:23">
      <c r="A846" s="146" t="str">
        <f t="shared" si="24"/>
        <v>AKH12345</v>
      </c>
      <c r="B846" s="160"/>
      <c r="C846" s="69"/>
      <c r="D846" s="68"/>
      <c r="E846" s="89"/>
      <c r="F846" s="68"/>
      <c r="G846" s="89"/>
      <c r="H846" s="70"/>
      <c r="I846" s="78"/>
      <c r="J846" s="70"/>
      <c r="K846" s="70"/>
      <c r="L846" s="148" t="s">
        <v>1806</v>
      </c>
      <c r="M846" s="46" t="str">
        <f t="shared" si="25"/>
        <v>OneCo Networks AS</v>
      </c>
      <c r="N846" s="42" t="str">
        <f ca="1">IFERROR(
VLOOKUP(BoM_Griptel[[#This Row],[Product code]],
IF(AND((BoQ!$N$3&lt;&gt;""),OR(BoM_Griptel[[#This Row],[Vendor]]="Griptel",BoM_Griptel[[#This Row],[Vendor]]="Solar")),INDIRECT(Aux!$A$1)),4,FALSE),"")</f>
        <v/>
      </c>
      <c r="O846" s="170" t="s">
        <v>1807</v>
      </c>
      <c r="P846" s="43" t="str">
        <f>IFERROR(IF(AND(BoM_Griptel[[#This Row],[Quantity]]&lt;&gt;"",BoM_Griptel[[#This Row],[Currency]]="NOK"),BoM_Griptel[[#This Row],[Quantity]]*BoM_Griptel[[#This Row],[Unit Price]],""),"")</f>
        <v/>
      </c>
      <c r="Q846" s="43" t="str">
        <f>IFERROR(IF(AND(BoM_Griptel[[#This Row],[ACT_Qty]]&lt;&gt;"",BoM_Griptel[[#This Row],[Currency]]="NOK"),BoM_Griptel[[#This Row],[ACT_Qty]]*BoM_Griptel[[#This Row],[Unit Price]],""),"")</f>
        <v/>
      </c>
      <c r="R846" s="43" t="str">
        <f>IFERROR(IF(AND(BoM_Griptel[[#This Row],[Quantity]]&lt;&gt;"",BoM_Griptel[[#This Row],[Currency]]="EUR"),BoM_Griptel[[#This Row],[Quantity]]*BoM_Griptel[[#This Row],[Unit Price]],""),"")</f>
        <v/>
      </c>
      <c r="S846" s="43" t="str">
        <f>IFERROR(IF(AND(BoM_Griptel[[#This Row],[ACT_Qty]]&lt;&gt;"",BoM_Griptel[[#This Row],[Currency]]="EUR"),BoM_Griptel[[#This Row],[ACT_Qty]]*BoM_Griptel[[#This Row],[Unit Price]],""),"")</f>
        <v/>
      </c>
      <c r="T846" s="186" t="s">
        <v>1802</v>
      </c>
      <c r="U846" s="46"/>
      <c r="V846" s="46"/>
      <c r="W846" s="46"/>
    </row>
    <row r="847" spans="1:23">
      <c r="A847" s="143" t="str">
        <f t="shared" ref="A847:A910" si="26">IF($C$4&lt;&gt;"",$C$4,"")</f>
        <v>AKH12345</v>
      </c>
      <c r="B847" s="159"/>
      <c r="C847" s="124"/>
      <c r="D847" s="105"/>
      <c r="E847" s="106"/>
      <c r="F847" s="105"/>
      <c r="G847" s="106"/>
      <c r="H847" s="125"/>
      <c r="I847" s="126"/>
      <c r="J847" s="125"/>
      <c r="K847" s="125"/>
      <c r="L847" s="145" t="s">
        <v>1806</v>
      </c>
      <c r="M847" s="45" t="str">
        <f t="shared" si="25"/>
        <v>OneCo Networks AS</v>
      </c>
      <c r="N847" s="40" t="str">
        <f ca="1">IFERROR(
VLOOKUP(BoM_Griptel[[#This Row],[Product code]],
IF(AND((BoQ!$N$3&lt;&gt;""),OR(BoM_Griptel[[#This Row],[Vendor]]="Griptel",BoM_Griptel[[#This Row],[Vendor]]="Solar")),INDIRECT(Aux!$A$1)),4,FALSE),"")</f>
        <v/>
      </c>
      <c r="O847" s="169" t="s">
        <v>1807</v>
      </c>
      <c r="P847" s="41" t="str">
        <f>IFERROR(IF(AND(BoM_Griptel[[#This Row],[Quantity]]&lt;&gt;"",BoM_Griptel[[#This Row],[Currency]]="NOK"),BoM_Griptel[[#This Row],[Quantity]]*BoM_Griptel[[#This Row],[Unit Price]],""),"")</f>
        <v/>
      </c>
      <c r="Q847" s="41" t="str">
        <f>IFERROR(IF(AND(BoM_Griptel[[#This Row],[ACT_Qty]]&lt;&gt;"",BoM_Griptel[[#This Row],[Currency]]="NOK"),BoM_Griptel[[#This Row],[ACT_Qty]]*BoM_Griptel[[#This Row],[Unit Price]],""),"")</f>
        <v/>
      </c>
      <c r="R847" s="41" t="str">
        <f>IFERROR(IF(AND(BoM_Griptel[[#This Row],[Quantity]]&lt;&gt;"",BoM_Griptel[[#This Row],[Currency]]="EUR"),BoM_Griptel[[#This Row],[Quantity]]*BoM_Griptel[[#This Row],[Unit Price]],""),"")</f>
        <v/>
      </c>
      <c r="S847" s="41" t="str">
        <f>IFERROR(IF(AND(BoM_Griptel[[#This Row],[ACT_Qty]]&lt;&gt;"",BoM_Griptel[[#This Row],[Currency]]="EUR"),BoM_Griptel[[#This Row],[ACT_Qty]]*BoM_Griptel[[#This Row],[Unit Price]],""),"")</f>
        <v/>
      </c>
      <c r="T847" s="185" t="s">
        <v>1802</v>
      </c>
      <c r="U847" s="45"/>
      <c r="V847" s="45"/>
      <c r="W847" s="45"/>
    </row>
    <row r="848" spans="1:23">
      <c r="A848" s="146" t="str">
        <f t="shared" si="26"/>
        <v>AKH12345</v>
      </c>
      <c r="B848" s="160"/>
      <c r="C848" s="69"/>
      <c r="D848" s="68"/>
      <c r="E848" s="89"/>
      <c r="F848" s="68"/>
      <c r="G848" s="89"/>
      <c r="H848" s="70"/>
      <c r="I848" s="78"/>
      <c r="J848" s="70"/>
      <c r="K848" s="70"/>
      <c r="L848" s="148" t="s">
        <v>1806</v>
      </c>
      <c r="M848" s="46" t="str">
        <f t="shared" si="25"/>
        <v>OneCo Networks AS</v>
      </c>
      <c r="N848" s="42" t="str">
        <f ca="1">IFERROR(
VLOOKUP(BoM_Griptel[[#This Row],[Product code]],
IF(AND((BoQ!$N$3&lt;&gt;""),OR(BoM_Griptel[[#This Row],[Vendor]]="Griptel",BoM_Griptel[[#This Row],[Vendor]]="Solar")),INDIRECT(Aux!$A$1)),4,FALSE),"")</f>
        <v/>
      </c>
      <c r="O848" s="170" t="s">
        <v>1807</v>
      </c>
      <c r="P848" s="43" t="str">
        <f>IFERROR(IF(AND(BoM_Griptel[[#This Row],[Quantity]]&lt;&gt;"",BoM_Griptel[[#This Row],[Currency]]="NOK"),BoM_Griptel[[#This Row],[Quantity]]*BoM_Griptel[[#This Row],[Unit Price]],""),"")</f>
        <v/>
      </c>
      <c r="Q848" s="43" t="str">
        <f>IFERROR(IF(AND(BoM_Griptel[[#This Row],[ACT_Qty]]&lt;&gt;"",BoM_Griptel[[#This Row],[Currency]]="NOK"),BoM_Griptel[[#This Row],[ACT_Qty]]*BoM_Griptel[[#This Row],[Unit Price]],""),"")</f>
        <v/>
      </c>
      <c r="R848" s="43" t="str">
        <f>IFERROR(IF(AND(BoM_Griptel[[#This Row],[Quantity]]&lt;&gt;"",BoM_Griptel[[#This Row],[Currency]]="EUR"),BoM_Griptel[[#This Row],[Quantity]]*BoM_Griptel[[#This Row],[Unit Price]],""),"")</f>
        <v/>
      </c>
      <c r="S848" s="43" t="str">
        <f>IFERROR(IF(AND(BoM_Griptel[[#This Row],[ACT_Qty]]&lt;&gt;"",BoM_Griptel[[#This Row],[Currency]]="EUR"),BoM_Griptel[[#This Row],[ACT_Qty]]*BoM_Griptel[[#This Row],[Unit Price]],""),"")</f>
        <v/>
      </c>
      <c r="T848" s="186" t="s">
        <v>1802</v>
      </c>
      <c r="U848" s="46"/>
      <c r="V848" s="46"/>
      <c r="W848" s="46"/>
    </row>
    <row r="849" spans="1:23">
      <c r="A849" s="143" t="str">
        <f t="shared" si="26"/>
        <v>AKH12345</v>
      </c>
      <c r="B849" s="159"/>
      <c r="C849" s="124"/>
      <c r="D849" s="105"/>
      <c r="E849" s="106"/>
      <c r="F849" s="105"/>
      <c r="G849" s="106"/>
      <c r="H849" s="125"/>
      <c r="I849" s="126"/>
      <c r="J849" s="125"/>
      <c r="K849" s="125"/>
      <c r="L849" s="145" t="s">
        <v>1806</v>
      </c>
      <c r="M849" s="45" t="str">
        <f t="shared" si="25"/>
        <v>OneCo Networks AS</v>
      </c>
      <c r="N849" s="40" t="str">
        <f ca="1">IFERROR(
VLOOKUP(BoM_Griptel[[#This Row],[Product code]],
IF(AND((BoQ!$N$3&lt;&gt;""),OR(BoM_Griptel[[#This Row],[Vendor]]="Griptel",BoM_Griptel[[#This Row],[Vendor]]="Solar")),INDIRECT(Aux!$A$1)),4,FALSE),"")</f>
        <v/>
      </c>
      <c r="O849" s="169" t="s">
        <v>1807</v>
      </c>
      <c r="P849" s="41" t="str">
        <f>IFERROR(IF(AND(BoM_Griptel[[#This Row],[Quantity]]&lt;&gt;"",BoM_Griptel[[#This Row],[Currency]]="NOK"),BoM_Griptel[[#This Row],[Quantity]]*BoM_Griptel[[#This Row],[Unit Price]],""),"")</f>
        <v/>
      </c>
      <c r="Q849" s="41" t="str">
        <f>IFERROR(IF(AND(BoM_Griptel[[#This Row],[ACT_Qty]]&lt;&gt;"",BoM_Griptel[[#This Row],[Currency]]="NOK"),BoM_Griptel[[#This Row],[ACT_Qty]]*BoM_Griptel[[#This Row],[Unit Price]],""),"")</f>
        <v/>
      </c>
      <c r="R849" s="41" t="str">
        <f>IFERROR(IF(AND(BoM_Griptel[[#This Row],[Quantity]]&lt;&gt;"",BoM_Griptel[[#This Row],[Currency]]="EUR"),BoM_Griptel[[#This Row],[Quantity]]*BoM_Griptel[[#This Row],[Unit Price]],""),"")</f>
        <v/>
      </c>
      <c r="S849" s="41" t="str">
        <f>IFERROR(IF(AND(BoM_Griptel[[#This Row],[ACT_Qty]]&lt;&gt;"",BoM_Griptel[[#This Row],[Currency]]="EUR"),BoM_Griptel[[#This Row],[ACT_Qty]]*BoM_Griptel[[#This Row],[Unit Price]],""),"")</f>
        <v/>
      </c>
      <c r="T849" s="185" t="s">
        <v>1802</v>
      </c>
      <c r="U849" s="45"/>
      <c r="V849" s="45"/>
      <c r="W849" s="45"/>
    </row>
    <row r="850" spans="1:23">
      <c r="A850" s="146" t="str">
        <f t="shared" si="26"/>
        <v>AKH12345</v>
      </c>
      <c r="B850" s="160"/>
      <c r="C850" s="69"/>
      <c r="D850" s="68"/>
      <c r="E850" s="89"/>
      <c r="F850" s="68"/>
      <c r="G850" s="89"/>
      <c r="H850" s="70"/>
      <c r="I850" s="78"/>
      <c r="J850" s="70"/>
      <c r="K850" s="70"/>
      <c r="L850" s="148" t="s">
        <v>1806</v>
      </c>
      <c r="M850" s="46" t="str">
        <f t="shared" si="25"/>
        <v>OneCo Networks AS</v>
      </c>
      <c r="N850" s="42" t="str">
        <f ca="1">IFERROR(
VLOOKUP(BoM_Griptel[[#This Row],[Product code]],
IF(AND((BoQ!$N$3&lt;&gt;""),OR(BoM_Griptel[[#This Row],[Vendor]]="Griptel",BoM_Griptel[[#This Row],[Vendor]]="Solar")),INDIRECT(Aux!$A$1)),4,FALSE),"")</f>
        <v/>
      </c>
      <c r="O850" s="170" t="s">
        <v>1807</v>
      </c>
      <c r="P850" s="43" t="str">
        <f>IFERROR(IF(AND(BoM_Griptel[[#This Row],[Quantity]]&lt;&gt;"",BoM_Griptel[[#This Row],[Currency]]="NOK"),BoM_Griptel[[#This Row],[Quantity]]*BoM_Griptel[[#This Row],[Unit Price]],""),"")</f>
        <v/>
      </c>
      <c r="Q850" s="43" t="str">
        <f>IFERROR(IF(AND(BoM_Griptel[[#This Row],[ACT_Qty]]&lt;&gt;"",BoM_Griptel[[#This Row],[Currency]]="NOK"),BoM_Griptel[[#This Row],[ACT_Qty]]*BoM_Griptel[[#This Row],[Unit Price]],""),"")</f>
        <v/>
      </c>
      <c r="R850" s="43" t="str">
        <f>IFERROR(IF(AND(BoM_Griptel[[#This Row],[Quantity]]&lt;&gt;"",BoM_Griptel[[#This Row],[Currency]]="EUR"),BoM_Griptel[[#This Row],[Quantity]]*BoM_Griptel[[#This Row],[Unit Price]],""),"")</f>
        <v/>
      </c>
      <c r="S850" s="43" t="str">
        <f>IFERROR(IF(AND(BoM_Griptel[[#This Row],[ACT_Qty]]&lt;&gt;"",BoM_Griptel[[#This Row],[Currency]]="EUR"),BoM_Griptel[[#This Row],[ACT_Qty]]*BoM_Griptel[[#This Row],[Unit Price]],""),"")</f>
        <v/>
      </c>
      <c r="T850" s="186" t="s">
        <v>1802</v>
      </c>
      <c r="U850" s="46"/>
      <c r="V850" s="46"/>
      <c r="W850" s="46"/>
    </row>
    <row r="851" spans="1:23">
      <c r="A851" s="143" t="str">
        <f t="shared" si="26"/>
        <v>AKH12345</v>
      </c>
      <c r="B851" s="159"/>
      <c r="C851" s="124"/>
      <c r="D851" s="105"/>
      <c r="E851" s="106"/>
      <c r="F851" s="105"/>
      <c r="G851" s="106"/>
      <c r="H851" s="125"/>
      <c r="I851" s="126"/>
      <c r="J851" s="125"/>
      <c r="K851" s="125"/>
      <c r="L851" s="145" t="s">
        <v>1806</v>
      </c>
      <c r="M851" s="45" t="str">
        <f t="shared" si="25"/>
        <v>OneCo Networks AS</v>
      </c>
      <c r="N851" s="40" t="str">
        <f ca="1">IFERROR(
VLOOKUP(BoM_Griptel[[#This Row],[Product code]],
IF(AND((BoQ!$N$3&lt;&gt;""),OR(BoM_Griptel[[#This Row],[Vendor]]="Griptel",BoM_Griptel[[#This Row],[Vendor]]="Solar")),INDIRECT(Aux!$A$1)),4,FALSE),"")</f>
        <v/>
      </c>
      <c r="O851" s="169" t="s">
        <v>1807</v>
      </c>
      <c r="P851" s="41" t="str">
        <f>IFERROR(IF(AND(BoM_Griptel[[#This Row],[Quantity]]&lt;&gt;"",BoM_Griptel[[#This Row],[Currency]]="NOK"),BoM_Griptel[[#This Row],[Quantity]]*BoM_Griptel[[#This Row],[Unit Price]],""),"")</f>
        <v/>
      </c>
      <c r="Q851" s="41" t="str">
        <f>IFERROR(IF(AND(BoM_Griptel[[#This Row],[ACT_Qty]]&lt;&gt;"",BoM_Griptel[[#This Row],[Currency]]="NOK"),BoM_Griptel[[#This Row],[ACT_Qty]]*BoM_Griptel[[#This Row],[Unit Price]],""),"")</f>
        <v/>
      </c>
      <c r="R851" s="41" t="str">
        <f>IFERROR(IF(AND(BoM_Griptel[[#This Row],[Quantity]]&lt;&gt;"",BoM_Griptel[[#This Row],[Currency]]="EUR"),BoM_Griptel[[#This Row],[Quantity]]*BoM_Griptel[[#This Row],[Unit Price]],""),"")</f>
        <v/>
      </c>
      <c r="S851" s="41" t="str">
        <f>IFERROR(IF(AND(BoM_Griptel[[#This Row],[ACT_Qty]]&lt;&gt;"",BoM_Griptel[[#This Row],[Currency]]="EUR"),BoM_Griptel[[#This Row],[ACT_Qty]]*BoM_Griptel[[#This Row],[Unit Price]],""),"")</f>
        <v/>
      </c>
      <c r="T851" s="185" t="s">
        <v>1802</v>
      </c>
      <c r="U851" s="45"/>
      <c r="V851" s="45"/>
      <c r="W851" s="45"/>
    </row>
    <row r="852" spans="1:23">
      <c r="A852" s="146" t="str">
        <f t="shared" si="26"/>
        <v>AKH12345</v>
      </c>
      <c r="B852" s="160"/>
      <c r="C852" s="69"/>
      <c r="D852" s="68"/>
      <c r="E852" s="89"/>
      <c r="F852" s="68"/>
      <c r="G852" s="89"/>
      <c r="H852" s="70"/>
      <c r="I852" s="78"/>
      <c r="J852" s="70"/>
      <c r="K852" s="70"/>
      <c r="L852" s="148" t="s">
        <v>1806</v>
      </c>
      <c r="M852" s="46" t="str">
        <f t="shared" ref="M852:M915" si="27">IF($C$3&lt;&gt;"",$C$3,"")</f>
        <v>OneCo Networks AS</v>
      </c>
      <c r="N852" s="42" t="str">
        <f ca="1">IFERROR(
VLOOKUP(BoM_Griptel[[#This Row],[Product code]],
IF(AND((BoQ!$N$3&lt;&gt;""),OR(BoM_Griptel[[#This Row],[Vendor]]="Griptel",BoM_Griptel[[#This Row],[Vendor]]="Solar")),INDIRECT(Aux!$A$1)),4,FALSE),"")</f>
        <v/>
      </c>
      <c r="O852" s="170" t="s">
        <v>1807</v>
      </c>
      <c r="P852" s="43" t="str">
        <f>IFERROR(IF(AND(BoM_Griptel[[#This Row],[Quantity]]&lt;&gt;"",BoM_Griptel[[#This Row],[Currency]]="NOK"),BoM_Griptel[[#This Row],[Quantity]]*BoM_Griptel[[#This Row],[Unit Price]],""),"")</f>
        <v/>
      </c>
      <c r="Q852" s="43" t="str">
        <f>IFERROR(IF(AND(BoM_Griptel[[#This Row],[ACT_Qty]]&lt;&gt;"",BoM_Griptel[[#This Row],[Currency]]="NOK"),BoM_Griptel[[#This Row],[ACT_Qty]]*BoM_Griptel[[#This Row],[Unit Price]],""),"")</f>
        <v/>
      </c>
      <c r="R852" s="43" t="str">
        <f>IFERROR(IF(AND(BoM_Griptel[[#This Row],[Quantity]]&lt;&gt;"",BoM_Griptel[[#This Row],[Currency]]="EUR"),BoM_Griptel[[#This Row],[Quantity]]*BoM_Griptel[[#This Row],[Unit Price]],""),"")</f>
        <v/>
      </c>
      <c r="S852" s="43" t="str">
        <f>IFERROR(IF(AND(BoM_Griptel[[#This Row],[ACT_Qty]]&lt;&gt;"",BoM_Griptel[[#This Row],[Currency]]="EUR"),BoM_Griptel[[#This Row],[ACT_Qty]]*BoM_Griptel[[#This Row],[Unit Price]],""),"")</f>
        <v/>
      </c>
      <c r="T852" s="186" t="s">
        <v>1802</v>
      </c>
      <c r="U852" s="46"/>
      <c r="V852" s="46"/>
      <c r="W852" s="46"/>
    </row>
    <row r="853" spans="1:23">
      <c r="A853" s="143" t="str">
        <f t="shared" si="26"/>
        <v>AKH12345</v>
      </c>
      <c r="B853" s="159"/>
      <c r="C853" s="124"/>
      <c r="D853" s="105"/>
      <c r="E853" s="106"/>
      <c r="F853" s="105"/>
      <c r="G853" s="106"/>
      <c r="H853" s="125"/>
      <c r="I853" s="126"/>
      <c r="J853" s="125"/>
      <c r="K853" s="125"/>
      <c r="L853" s="145" t="s">
        <v>1806</v>
      </c>
      <c r="M853" s="45" t="str">
        <f t="shared" si="27"/>
        <v>OneCo Networks AS</v>
      </c>
      <c r="N853" s="40" t="str">
        <f ca="1">IFERROR(
VLOOKUP(BoM_Griptel[[#This Row],[Product code]],
IF(AND((BoQ!$N$3&lt;&gt;""),OR(BoM_Griptel[[#This Row],[Vendor]]="Griptel",BoM_Griptel[[#This Row],[Vendor]]="Solar")),INDIRECT(Aux!$A$1)),4,FALSE),"")</f>
        <v/>
      </c>
      <c r="O853" s="169" t="s">
        <v>1807</v>
      </c>
      <c r="P853" s="41" t="str">
        <f>IFERROR(IF(AND(BoM_Griptel[[#This Row],[Quantity]]&lt;&gt;"",BoM_Griptel[[#This Row],[Currency]]="NOK"),BoM_Griptel[[#This Row],[Quantity]]*BoM_Griptel[[#This Row],[Unit Price]],""),"")</f>
        <v/>
      </c>
      <c r="Q853" s="41" t="str">
        <f>IFERROR(IF(AND(BoM_Griptel[[#This Row],[ACT_Qty]]&lt;&gt;"",BoM_Griptel[[#This Row],[Currency]]="NOK"),BoM_Griptel[[#This Row],[ACT_Qty]]*BoM_Griptel[[#This Row],[Unit Price]],""),"")</f>
        <v/>
      </c>
      <c r="R853" s="41" t="str">
        <f>IFERROR(IF(AND(BoM_Griptel[[#This Row],[Quantity]]&lt;&gt;"",BoM_Griptel[[#This Row],[Currency]]="EUR"),BoM_Griptel[[#This Row],[Quantity]]*BoM_Griptel[[#This Row],[Unit Price]],""),"")</f>
        <v/>
      </c>
      <c r="S853" s="41" t="str">
        <f>IFERROR(IF(AND(BoM_Griptel[[#This Row],[ACT_Qty]]&lt;&gt;"",BoM_Griptel[[#This Row],[Currency]]="EUR"),BoM_Griptel[[#This Row],[ACT_Qty]]*BoM_Griptel[[#This Row],[Unit Price]],""),"")</f>
        <v/>
      </c>
      <c r="T853" s="185" t="s">
        <v>1802</v>
      </c>
      <c r="U853" s="45"/>
      <c r="V853" s="45"/>
      <c r="W853" s="45"/>
    </row>
    <row r="854" spans="1:23">
      <c r="A854" s="146" t="str">
        <f t="shared" si="26"/>
        <v>AKH12345</v>
      </c>
      <c r="B854" s="160"/>
      <c r="C854" s="69"/>
      <c r="D854" s="68"/>
      <c r="E854" s="89"/>
      <c r="F854" s="68"/>
      <c r="G854" s="89"/>
      <c r="H854" s="70"/>
      <c r="I854" s="78"/>
      <c r="J854" s="70"/>
      <c r="K854" s="70"/>
      <c r="L854" s="148" t="s">
        <v>1806</v>
      </c>
      <c r="M854" s="46" t="str">
        <f t="shared" si="27"/>
        <v>OneCo Networks AS</v>
      </c>
      <c r="N854" s="42" t="str">
        <f ca="1">IFERROR(
VLOOKUP(BoM_Griptel[[#This Row],[Product code]],
IF(AND((BoQ!$N$3&lt;&gt;""),OR(BoM_Griptel[[#This Row],[Vendor]]="Griptel",BoM_Griptel[[#This Row],[Vendor]]="Solar")),INDIRECT(Aux!$A$1)),4,FALSE),"")</f>
        <v/>
      </c>
      <c r="O854" s="170" t="s">
        <v>1807</v>
      </c>
      <c r="P854" s="43" t="str">
        <f>IFERROR(IF(AND(BoM_Griptel[[#This Row],[Quantity]]&lt;&gt;"",BoM_Griptel[[#This Row],[Currency]]="NOK"),BoM_Griptel[[#This Row],[Quantity]]*BoM_Griptel[[#This Row],[Unit Price]],""),"")</f>
        <v/>
      </c>
      <c r="Q854" s="43" t="str">
        <f>IFERROR(IF(AND(BoM_Griptel[[#This Row],[ACT_Qty]]&lt;&gt;"",BoM_Griptel[[#This Row],[Currency]]="NOK"),BoM_Griptel[[#This Row],[ACT_Qty]]*BoM_Griptel[[#This Row],[Unit Price]],""),"")</f>
        <v/>
      </c>
      <c r="R854" s="43" t="str">
        <f>IFERROR(IF(AND(BoM_Griptel[[#This Row],[Quantity]]&lt;&gt;"",BoM_Griptel[[#This Row],[Currency]]="EUR"),BoM_Griptel[[#This Row],[Quantity]]*BoM_Griptel[[#This Row],[Unit Price]],""),"")</f>
        <v/>
      </c>
      <c r="S854" s="43" t="str">
        <f>IFERROR(IF(AND(BoM_Griptel[[#This Row],[ACT_Qty]]&lt;&gt;"",BoM_Griptel[[#This Row],[Currency]]="EUR"),BoM_Griptel[[#This Row],[ACT_Qty]]*BoM_Griptel[[#This Row],[Unit Price]],""),"")</f>
        <v/>
      </c>
      <c r="T854" s="186" t="s">
        <v>1802</v>
      </c>
      <c r="U854" s="46"/>
      <c r="V854" s="46"/>
      <c r="W854" s="46"/>
    </row>
    <row r="855" spans="1:23">
      <c r="A855" s="143" t="str">
        <f t="shared" si="26"/>
        <v>AKH12345</v>
      </c>
      <c r="B855" s="159"/>
      <c r="C855" s="124"/>
      <c r="D855" s="105"/>
      <c r="E855" s="106"/>
      <c r="F855" s="105"/>
      <c r="G855" s="106"/>
      <c r="H855" s="125"/>
      <c r="I855" s="126"/>
      <c r="J855" s="125"/>
      <c r="K855" s="125"/>
      <c r="L855" s="145" t="s">
        <v>1806</v>
      </c>
      <c r="M855" s="45" t="str">
        <f t="shared" si="27"/>
        <v>OneCo Networks AS</v>
      </c>
      <c r="N855" s="40" t="str">
        <f ca="1">IFERROR(
VLOOKUP(BoM_Griptel[[#This Row],[Product code]],
IF(AND((BoQ!$N$3&lt;&gt;""),OR(BoM_Griptel[[#This Row],[Vendor]]="Griptel",BoM_Griptel[[#This Row],[Vendor]]="Solar")),INDIRECT(Aux!$A$1)),4,FALSE),"")</f>
        <v/>
      </c>
      <c r="O855" s="169" t="s">
        <v>1807</v>
      </c>
      <c r="P855" s="41" t="str">
        <f>IFERROR(IF(AND(BoM_Griptel[[#This Row],[Quantity]]&lt;&gt;"",BoM_Griptel[[#This Row],[Currency]]="NOK"),BoM_Griptel[[#This Row],[Quantity]]*BoM_Griptel[[#This Row],[Unit Price]],""),"")</f>
        <v/>
      </c>
      <c r="Q855" s="41" t="str">
        <f>IFERROR(IF(AND(BoM_Griptel[[#This Row],[ACT_Qty]]&lt;&gt;"",BoM_Griptel[[#This Row],[Currency]]="NOK"),BoM_Griptel[[#This Row],[ACT_Qty]]*BoM_Griptel[[#This Row],[Unit Price]],""),"")</f>
        <v/>
      </c>
      <c r="R855" s="41" t="str">
        <f>IFERROR(IF(AND(BoM_Griptel[[#This Row],[Quantity]]&lt;&gt;"",BoM_Griptel[[#This Row],[Currency]]="EUR"),BoM_Griptel[[#This Row],[Quantity]]*BoM_Griptel[[#This Row],[Unit Price]],""),"")</f>
        <v/>
      </c>
      <c r="S855" s="41" t="str">
        <f>IFERROR(IF(AND(BoM_Griptel[[#This Row],[ACT_Qty]]&lt;&gt;"",BoM_Griptel[[#This Row],[Currency]]="EUR"),BoM_Griptel[[#This Row],[ACT_Qty]]*BoM_Griptel[[#This Row],[Unit Price]],""),"")</f>
        <v/>
      </c>
      <c r="T855" s="185" t="s">
        <v>1802</v>
      </c>
      <c r="U855" s="45"/>
      <c r="V855" s="45"/>
      <c r="W855" s="45"/>
    </row>
    <row r="856" spans="1:23">
      <c r="A856" s="146" t="str">
        <f t="shared" si="26"/>
        <v>AKH12345</v>
      </c>
      <c r="B856" s="160"/>
      <c r="C856" s="69"/>
      <c r="D856" s="68"/>
      <c r="E856" s="89"/>
      <c r="F856" s="68"/>
      <c r="G856" s="89"/>
      <c r="H856" s="70"/>
      <c r="I856" s="78"/>
      <c r="J856" s="70"/>
      <c r="K856" s="70"/>
      <c r="L856" s="148" t="s">
        <v>1806</v>
      </c>
      <c r="M856" s="46" t="str">
        <f t="shared" si="27"/>
        <v>OneCo Networks AS</v>
      </c>
      <c r="N856" s="42" t="str">
        <f ca="1">IFERROR(
VLOOKUP(BoM_Griptel[[#This Row],[Product code]],
IF(AND((BoQ!$N$3&lt;&gt;""),OR(BoM_Griptel[[#This Row],[Vendor]]="Griptel",BoM_Griptel[[#This Row],[Vendor]]="Solar")),INDIRECT(Aux!$A$1)),4,FALSE),"")</f>
        <v/>
      </c>
      <c r="O856" s="170" t="s">
        <v>1807</v>
      </c>
      <c r="P856" s="43" t="str">
        <f>IFERROR(IF(AND(BoM_Griptel[[#This Row],[Quantity]]&lt;&gt;"",BoM_Griptel[[#This Row],[Currency]]="NOK"),BoM_Griptel[[#This Row],[Quantity]]*BoM_Griptel[[#This Row],[Unit Price]],""),"")</f>
        <v/>
      </c>
      <c r="Q856" s="43" t="str">
        <f>IFERROR(IF(AND(BoM_Griptel[[#This Row],[ACT_Qty]]&lt;&gt;"",BoM_Griptel[[#This Row],[Currency]]="NOK"),BoM_Griptel[[#This Row],[ACT_Qty]]*BoM_Griptel[[#This Row],[Unit Price]],""),"")</f>
        <v/>
      </c>
      <c r="R856" s="43" t="str">
        <f>IFERROR(IF(AND(BoM_Griptel[[#This Row],[Quantity]]&lt;&gt;"",BoM_Griptel[[#This Row],[Currency]]="EUR"),BoM_Griptel[[#This Row],[Quantity]]*BoM_Griptel[[#This Row],[Unit Price]],""),"")</f>
        <v/>
      </c>
      <c r="S856" s="43" t="str">
        <f>IFERROR(IF(AND(BoM_Griptel[[#This Row],[ACT_Qty]]&lt;&gt;"",BoM_Griptel[[#This Row],[Currency]]="EUR"),BoM_Griptel[[#This Row],[ACT_Qty]]*BoM_Griptel[[#This Row],[Unit Price]],""),"")</f>
        <v/>
      </c>
      <c r="T856" s="186" t="s">
        <v>1802</v>
      </c>
      <c r="U856" s="46"/>
      <c r="V856" s="46"/>
      <c r="W856" s="46"/>
    </row>
    <row r="857" spans="1:23">
      <c r="A857" s="143" t="str">
        <f t="shared" si="26"/>
        <v>AKH12345</v>
      </c>
      <c r="B857" s="159"/>
      <c r="C857" s="124"/>
      <c r="D857" s="105"/>
      <c r="E857" s="106"/>
      <c r="F857" s="105"/>
      <c r="G857" s="106"/>
      <c r="H857" s="125"/>
      <c r="I857" s="126"/>
      <c r="J857" s="125"/>
      <c r="K857" s="125"/>
      <c r="L857" s="145" t="s">
        <v>1806</v>
      </c>
      <c r="M857" s="45" t="str">
        <f t="shared" si="27"/>
        <v>OneCo Networks AS</v>
      </c>
      <c r="N857" s="40" t="str">
        <f ca="1">IFERROR(
VLOOKUP(BoM_Griptel[[#This Row],[Product code]],
IF(AND((BoQ!$N$3&lt;&gt;""),OR(BoM_Griptel[[#This Row],[Vendor]]="Griptel",BoM_Griptel[[#This Row],[Vendor]]="Solar")),INDIRECT(Aux!$A$1)),4,FALSE),"")</f>
        <v/>
      </c>
      <c r="O857" s="169" t="s">
        <v>1807</v>
      </c>
      <c r="P857" s="41" t="str">
        <f>IFERROR(IF(AND(BoM_Griptel[[#This Row],[Quantity]]&lt;&gt;"",BoM_Griptel[[#This Row],[Currency]]="NOK"),BoM_Griptel[[#This Row],[Quantity]]*BoM_Griptel[[#This Row],[Unit Price]],""),"")</f>
        <v/>
      </c>
      <c r="Q857" s="41" t="str">
        <f>IFERROR(IF(AND(BoM_Griptel[[#This Row],[ACT_Qty]]&lt;&gt;"",BoM_Griptel[[#This Row],[Currency]]="NOK"),BoM_Griptel[[#This Row],[ACT_Qty]]*BoM_Griptel[[#This Row],[Unit Price]],""),"")</f>
        <v/>
      </c>
      <c r="R857" s="41" t="str">
        <f>IFERROR(IF(AND(BoM_Griptel[[#This Row],[Quantity]]&lt;&gt;"",BoM_Griptel[[#This Row],[Currency]]="EUR"),BoM_Griptel[[#This Row],[Quantity]]*BoM_Griptel[[#This Row],[Unit Price]],""),"")</f>
        <v/>
      </c>
      <c r="S857" s="41" t="str">
        <f>IFERROR(IF(AND(BoM_Griptel[[#This Row],[ACT_Qty]]&lt;&gt;"",BoM_Griptel[[#This Row],[Currency]]="EUR"),BoM_Griptel[[#This Row],[ACT_Qty]]*BoM_Griptel[[#This Row],[Unit Price]],""),"")</f>
        <v/>
      </c>
      <c r="T857" s="185" t="s">
        <v>1802</v>
      </c>
      <c r="U857" s="45"/>
      <c r="V857" s="45"/>
      <c r="W857" s="45"/>
    </row>
    <row r="858" spans="1:23">
      <c r="A858" s="146" t="str">
        <f t="shared" si="26"/>
        <v>AKH12345</v>
      </c>
      <c r="B858" s="160"/>
      <c r="C858" s="69"/>
      <c r="D858" s="68"/>
      <c r="E858" s="89"/>
      <c r="F858" s="68"/>
      <c r="G858" s="89"/>
      <c r="H858" s="70"/>
      <c r="I858" s="78"/>
      <c r="J858" s="70"/>
      <c r="K858" s="70"/>
      <c r="L858" s="148" t="s">
        <v>1806</v>
      </c>
      <c r="M858" s="46" t="str">
        <f t="shared" si="27"/>
        <v>OneCo Networks AS</v>
      </c>
      <c r="N858" s="42" t="str">
        <f ca="1">IFERROR(
VLOOKUP(BoM_Griptel[[#This Row],[Product code]],
IF(AND((BoQ!$N$3&lt;&gt;""),OR(BoM_Griptel[[#This Row],[Vendor]]="Griptel",BoM_Griptel[[#This Row],[Vendor]]="Solar")),INDIRECT(Aux!$A$1)),4,FALSE),"")</f>
        <v/>
      </c>
      <c r="O858" s="170" t="s">
        <v>1807</v>
      </c>
      <c r="P858" s="43" t="str">
        <f>IFERROR(IF(AND(BoM_Griptel[[#This Row],[Quantity]]&lt;&gt;"",BoM_Griptel[[#This Row],[Currency]]="NOK"),BoM_Griptel[[#This Row],[Quantity]]*BoM_Griptel[[#This Row],[Unit Price]],""),"")</f>
        <v/>
      </c>
      <c r="Q858" s="43" t="str">
        <f>IFERROR(IF(AND(BoM_Griptel[[#This Row],[ACT_Qty]]&lt;&gt;"",BoM_Griptel[[#This Row],[Currency]]="NOK"),BoM_Griptel[[#This Row],[ACT_Qty]]*BoM_Griptel[[#This Row],[Unit Price]],""),"")</f>
        <v/>
      </c>
      <c r="R858" s="43" t="str">
        <f>IFERROR(IF(AND(BoM_Griptel[[#This Row],[Quantity]]&lt;&gt;"",BoM_Griptel[[#This Row],[Currency]]="EUR"),BoM_Griptel[[#This Row],[Quantity]]*BoM_Griptel[[#This Row],[Unit Price]],""),"")</f>
        <v/>
      </c>
      <c r="S858" s="43" t="str">
        <f>IFERROR(IF(AND(BoM_Griptel[[#This Row],[ACT_Qty]]&lt;&gt;"",BoM_Griptel[[#This Row],[Currency]]="EUR"),BoM_Griptel[[#This Row],[ACT_Qty]]*BoM_Griptel[[#This Row],[Unit Price]],""),"")</f>
        <v/>
      </c>
      <c r="T858" s="186" t="s">
        <v>1802</v>
      </c>
      <c r="U858" s="46"/>
      <c r="V858" s="46"/>
      <c r="W858" s="46"/>
    </row>
    <row r="859" spans="1:23">
      <c r="A859" s="143" t="str">
        <f t="shared" si="26"/>
        <v>AKH12345</v>
      </c>
      <c r="B859" s="159"/>
      <c r="C859" s="124"/>
      <c r="D859" s="105"/>
      <c r="E859" s="106"/>
      <c r="F859" s="105"/>
      <c r="G859" s="106"/>
      <c r="H859" s="125"/>
      <c r="I859" s="126"/>
      <c r="J859" s="125"/>
      <c r="K859" s="125"/>
      <c r="L859" s="145" t="s">
        <v>1806</v>
      </c>
      <c r="M859" s="45" t="str">
        <f t="shared" si="27"/>
        <v>OneCo Networks AS</v>
      </c>
      <c r="N859" s="40" t="str">
        <f ca="1">IFERROR(
VLOOKUP(BoM_Griptel[[#This Row],[Product code]],
IF(AND((BoQ!$N$3&lt;&gt;""),OR(BoM_Griptel[[#This Row],[Vendor]]="Griptel",BoM_Griptel[[#This Row],[Vendor]]="Solar")),INDIRECT(Aux!$A$1)),4,FALSE),"")</f>
        <v/>
      </c>
      <c r="O859" s="169" t="s">
        <v>1807</v>
      </c>
      <c r="P859" s="41" t="str">
        <f>IFERROR(IF(AND(BoM_Griptel[[#This Row],[Quantity]]&lt;&gt;"",BoM_Griptel[[#This Row],[Currency]]="NOK"),BoM_Griptel[[#This Row],[Quantity]]*BoM_Griptel[[#This Row],[Unit Price]],""),"")</f>
        <v/>
      </c>
      <c r="Q859" s="41" t="str">
        <f>IFERROR(IF(AND(BoM_Griptel[[#This Row],[ACT_Qty]]&lt;&gt;"",BoM_Griptel[[#This Row],[Currency]]="NOK"),BoM_Griptel[[#This Row],[ACT_Qty]]*BoM_Griptel[[#This Row],[Unit Price]],""),"")</f>
        <v/>
      </c>
      <c r="R859" s="41" t="str">
        <f>IFERROR(IF(AND(BoM_Griptel[[#This Row],[Quantity]]&lt;&gt;"",BoM_Griptel[[#This Row],[Currency]]="EUR"),BoM_Griptel[[#This Row],[Quantity]]*BoM_Griptel[[#This Row],[Unit Price]],""),"")</f>
        <v/>
      </c>
      <c r="S859" s="41" t="str">
        <f>IFERROR(IF(AND(BoM_Griptel[[#This Row],[ACT_Qty]]&lt;&gt;"",BoM_Griptel[[#This Row],[Currency]]="EUR"),BoM_Griptel[[#This Row],[ACT_Qty]]*BoM_Griptel[[#This Row],[Unit Price]],""),"")</f>
        <v/>
      </c>
      <c r="T859" s="185" t="s">
        <v>1802</v>
      </c>
      <c r="U859" s="45"/>
      <c r="V859" s="45"/>
      <c r="W859" s="45"/>
    </row>
    <row r="860" spans="1:23">
      <c r="A860" s="146" t="str">
        <f t="shared" si="26"/>
        <v>AKH12345</v>
      </c>
      <c r="B860" s="160"/>
      <c r="C860" s="69"/>
      <c r="D860" s="68"/>
      <c r="E860" s="89"/>
      <c r="F860" s="68"/>
      <c r="G860" s="89"/>
      <c r="H860" s="70"/>
      <c r="I860" s="78"/>
      <c r="J860" s="70"/>
      <c r="K860" s="70"/>
      <c r="L860" s="148" t="s">
        <v>1806</v>
      </c>
      <c r="M860" s="46" t="str">
        <f t="shared" si="27"/>
        <v>OneCo Networks AS</v>
      </c>
      <c r="N860" s="42" t="str">
        <f ca="1">IFERROR(
VLOOKUP(BoM_Griptel[[#This Row],[Product code]],
IF(AND((BoQ!$N$3&lt;&gt;""),OR(BoM_Griptel[[#This Row],[Vendor]]="Griptel",BoM_Griptel[[#This Row],[Vendor]]="Solar")),INDIRECT(Aux!$A$1)),4,FALSE),"")</f>
        <v/>
      </c>
      <c r="O860" s="170" t="s">
        <v>1807</v>
      </c>
      <c r="P860" s="43" t="str">
        <f>IFERROR(IF(AND(BoM_Griptel[[#This Row],[Quantity]]&lt;&gt;"",BoM_Griptel[[#This Row],[Currency]]="NOK"),BoM_Griptel[[#This Row],[Quantity]]*BoM_Griptel[[#This Row],[Unit Price]],""),"")</f>
        <v/>
      </c>
      <c r="Q860" s="43" t="str">
        <f>IFERROR(IF(AND(BoM_Griptel[[#This Row],[ACT_Qty]]&lt;&gt;"",BoM_Griptel[[#This Row],[Currency]]="NOK"),BoM_Griptel[[#This Row],[ACT_Qty]]*BoM_Griptel[[#This Row],[Unit Price]],""),"")</f>
        <v/>
      </c>
      <c r="R860" s="43" t="str">
        <f>IFERROR(IF(AND(BoM_Griptel[[#This Row],[Quantity]]&lt;&gt;"",BoM_Griptel[[#This Row],[Currency]]="EUR"),BoM_Griptel[[#This Row],[Quantity]]*BoM_Griptel[[#This Row],[Unit Price]],""),"")</f>
        <v/>
      </c>
      <c r="S860" s="43" t="str">
        <f>IFERROR(IF(AND(BoM_Griptel[[#This Row],[ACT_Qty]]&lt;&gt;"",BoM_Griptel[[#This Row],[Currency]]="EUR"),BoM_Griptel[[#This Row],[ACT_Qty]]*BoM_Griptel[[#This Row],[Unit Price]],""),"")</f>
        <v/>
      </c>
      <c r="T860" s="186" t="s">
        <v>1802</v>
      </c>
      <c r="U860" s="46"/>
      <c r="V860" s="46"/>
      <c r="W860" s="46"/>
    </row>
    <row r="861" spans="1:23">
      <c r="A861" s="143" t="str">
        <f t="shared" si="26"/>
        <v>AKH12345</v>
      </c>
      <c r="B861" s="159"/>
      <c r="C861" s="124"/>
      <c r="D861" s="105"/>
      <c r="E861" s="106"/>
      <c r="F861" s="105"/>
      <c r="G861" s="106"/>
      <c r="H861" s="125"/>
      <c r="I861" s="126"/>
      <c r="J861" s="125"/>
      <c r="K861" s="125"/>
      <c r="L861" s="145" t="s">
        <v>1806</v>
      </c>
      <c r="M861" s="45" t="str">
        <f t="shared" si="27"/>
        <v>OneCo Networks AS</v>
      </c>
      <c r="N861" s="40" t="str">
        <f ca="1">IFERROR(
VLOOKUP(BoM_Griptel[[#This Row],[Product code]],
IF(AND((BoQ!$N$3&lt;&gt;""),OR(BoM_Griptel[[#This Row],[Vendor]]="Griptel",BoM_Griptel[[#This Row],[Vendor]]="Solar")),INDIRECT(Aux!$A$1)),4,FALSE),"")</f>
        <v/>
      </c>
      <c r="O861" s="169" t="s">
        <v>1807</v>
      </c>
      <c r="P861" s="41" t="str">
        <f>IFERROR(IF(AND(BoM_Griptel[[#This Row],[Quantity]]&lt;&gt;"",BoM_Griptel[[#This Row],[Currency]]="NOK"),BoM_Griptel[[#This Row],[Quantity]]*BoM_Griptel[[#This Row],[Unit Price]],""),"")</f>
        <v/>
      </c>
      <c r="Q861" s="41" t="str">
        <f>IFERROR(IF(AND(BoM_Griptel[[#This Row],[ACT_Qty]]&lt;&gt;"",BoM_Griptel[[#This Row],[Currency]]="NOK"),BoM_Griptel[[#This Row],[ACT_Qty]]*BoM_Griptel[[#This Row],[Unit Price]],""),"")</f>
        <v/>
      </c>
      <c r="R861" s="41" t="str">
        <f>IFERROR(IF(AND(BoM_Griptel[[#This Row],[Quantity]]&lt;&gt;"",BoM_Griptel[[#This Row],[Currency]]="EUR"),BoM_Griptel[[#This Row],[Quantity]]*BoM_Griptel[[#This Row],[Unit Price]],""),"")</f>
        <v/>
      </c>
      <c r="S861" s="41" t="str">
        <f>IFERROR(IF(AND(BoM_Griptel[[#This Row],[ACT_Qty]]&lt;&gt;"",BoM_Griptel[[#This Row],[Currency]]="EUR"),BoM_Griptel[[#This Row],[ACT_Qty]]*BoM_Griptel[[#This Row],[Unit Price]],""),"")</f>
        <v/>
      </c>
      <c r="T861" s="185" t="s">
        <v>1802</v>
      </c>
      <c r="U861" s="45"/>
      <c r="V861" s="45"/>
      <c r="W861" s="45"/>
    </row>
    <row r="862" spans="1:23">
      <c r="A862" s="146" t="str">
        <f t="shared" si="26"/>
        <v>AKH12345</v>
      </c>
      <c r="B862" s="160"/>
      <c r="C862" s="69"/>
      <c r="D862" s="68"/>
      <c r="E862" s="89"/>
      <c r="F862" s="68"/>
      <c r="G862" s="89"/>
      <c r="H862" s="70"/>
      <c r="I862" s="78"/>
      <c r="J862" s="70"/>
      <c r="K862" s="70"/>
      <c r="L862" s="148" t="s">
        <v>1806</v>
      </c>
      <c r="M862" s="46" t="str">
        <f t="shared" si="27"/>
        <v>OneCo Networks AS</v>
      </c>
      <c r="N862" s="42" t="str">
        <f ca="1">IFERROR(
VLOOKUP(BoM_Griptel[[#This Row],[Product code]],
IF(AND((BoQ!$N$3&lt;&gt;""),OR(BoM_Griptel[[#This Row],[Vendor]]="Griptel",BoM_Griptel[[#This Row],[Vendor]]="Solar")),INDIRECT(Aux!$A$1)),4,FALSE),"")</f>
        <v/>
      </c>
      <c r="O862" s="170" t="s">
        <v>1807</v>
      </c>
      <c r="P862" s="43" t="str">
        <f>IFERROR(IF(AND(BoM_Griptel[[#This Row],[Quantity]]&lt;&gt;"",BoM_Griptel[[#This Row],[Currency]]="NOK"),BoM_Griptel[[#This Row],[Quantity]]*BoM_Griptel[[#This Row],[Unit Price]],""),"")</f>
        <v/>
      </c>
      <c r="Q862" s="43" t="str">
        <f>IFERROR(IF(AND(BoM_Griptel[[#This Row],[ACT_Qty]]&lt;&gt;"",BoM_Griptel[[#This Row],[Currency]]="NOK"),BoM_Griptel[[#This Row],[ACT_Qty]]*BoM_Griptel[[#This Row],[Unit Price]],""),"")</f>
        <v/>
      </c>
      <c r="R862" s="43" t="str">
        <f>IFERROR(IF(AND(BoM_Griptel[[#This Row],[Quantity]]&lt;&gt;"",BoM_Griptel[[#This Row],[Currency]]="EUR"),BoM_Griptel[[#This Row],[Quantity]]*BoM_Griptel[[#This Row],[Unit Price]],""),"")</f>
        <v/>
      </c>
      <c r="S862" s="43" t="str">
        <f>IFERROR(IF(AND(BoM_Griptel[[#This Row],[ACT_Qty]]&lt;&gt;"",BoM_Griptel[[#This Row],[Currency]]="EUR"),BoM_Griptel[[#This Row],[ACT_Qty]]*BoM_Griptel[[#This Row],[Unit Price]],""),"")</f>
        <v/>
      </c>
      <c r="T862" s="186" t="s">
        <v>1802</v>
      </c>
      <c r="U862" s="46"/>
      <c r="V862" s="46"/>
      <c r="W862" s="46"/>
    </row>
    <row r="863" spans="1:23">
      <c r="A863" s="143" t="str">
        <f t="shared" si="26"/>
        <v>AKH12345</v>
      </c>
      <c r="B863" s="159"/>
      <c r="C863" s="124"/>
      <c r="D863" s="105"/>
      <c r="E863" s="106"/>
      <c r="F863" s="105"/>
      <c r="G863" s="106"/>
      <c r="H863" s="125"/>
      <c r="I863" s="126"/>
      <c r="J863" s="125"/>
      <c r="K863" s="125"/>
      <c r="L863" s="145" t="s">
        <v>1806</v>
      </c>
      <c r="M863" s="45" t="str">
        <f t="shared" si="27"/>
        <v>OneCo Networks AS</v>
      </c>
      <c r="N863" s="40" t="str">
        <f ca="1">IFERROR(
VLOOKUP(BoM_Griptel[[#This Row],[Product code]],
IF(AND((BoQ!$N$3&lt;&gt;""),OR(BoM_Griptel[[#This Row],[Vendor]]="Griptel",BoM_Griptel[[#This Row],[Vendor]]="Solar")),INDIRECT(Aux!$A$1)),4,FALSE),"")</f>
        <v/>
      </c>
      <c r="O863" s="169" t="s">
        <v>1807</v>
      </c>
      <c r="P863" s="41" t="str">
        <f>IFERROR(IF(AND(BoM_Griptel[[#This Row],[Quantity]]&lt;&gt;"",BoM_Griptel[[#This Row],[Currency]]="NOK"),BoM_Griptel[[#This Row],[Quantity]]*BoM_Griptel[[#This Row],[Unit Price]],""),"")</f>
        <v/>
      </c>
      <c r="Q863" s="41" t="str">
        <f>IFERROR(IF(AND(BoM_Griptel[[#This Row],[ACT_Qty]]&lt;&gt;"",BoM_Griptel[[#This Row],[Currency]]="NOK"),BoM_Griptel[[#This Row],[ACT_Qty]]*BoM_Griptel[[#This Row],[Unit Price]],""),"")</f>
        <v/>
      </c>
      <c r="R863" s="41" t="str">
        <f>IFERROR(IF(AND(BoM_Griptel[[#This Row],[Quantity]]&lt;&gt;"",BoM_Griptel[[#This Row],[Currency]]="EUR"),BoM_Griptel[[#This Row],[Quantity]]*BoM_Griptel[[#This Row],[Unit Price]],""),"")</f>
        <v/>
      </c>
      <c r="S863" s="41" t="str">
        <f>IFERROR(IF(AND(BoM_Griptel[[#This Row],[ACT_Qty]]&lt;&gt;"",BoM_Griptel[[#This Row],[Currency]]="EUR"),BoM_Griptel[[#This Row],[ACT_Qty]]*BoM_Griptel[[#This Row],[Unit Price]],""),"")</f>
        <v/>
      </c>
      <c r="T863" s="185" t="s">
        <v>1802</v>
      </c>
      <c r="U863" s="45"/>
      <c r="V863" s="45"/>
      <c r="W863" s="45"/>
    </row>
    <row r="864" spans="1:23">
      <c r="A864" s="146" t="str">
        <f t="shared" si="26"/>
        <v>AKH12345</v>
      </c>
      <c r="B864" s="160"/>
      <c r="C864" s="69"/>
      <c r="D864" s="68"/>
      <c r="E864" s="89"/>
      <c r="F864" s="68"/>
      <c r="G864" s="89"/>
      <c r="H864" s="70"/>
      <c r="I864" s="78"/>
      <c r="J864" s="70"/>
      <c r="K864" s="70"/>
      <c r="L864" s="148" t="s">
        <v>1806</v>
      </c>
      <c r="M864" s="46" t="str">
        <f t="shared" si="27"/>
        <v>OneCo Networks AS</v>
      </c>
      <c r="N864" s="42" t="str">
        <f ca="1">IFERROR(
VLOOKUP(BoM_Griptel[[#This Row],[Product code]],
IF(AND((BoQ!$N$3&lt;&gt;""),OR(BoM_Griptel[[#This Row],[Vendor]]="Griptel",BoM_Griptel[[#This Row],[Vendor]]="Solar")),INDIRECT(Aux!$A$1)),4,FALSE),"")</f>
        <v/>
      </c>
      <c r="O864" s="170" t="s">
        <v>1807</v>
      </c>
      <c r="P864" s="43" t="str">
        <f>IFERROR(IF(AND(BoM_Griptel[[#This Row],[Quantity]]&lt;&gt;"",BoM_Griptel[[#This Row],[Currency]]="NOK"),BoM_Griptel[[#This Row],[Quantity]]*BoM_Griptel[[#This Row],[Unit Price]],""),"")</f>
        <v/>
      </c>
      <c r="Q864" s="43" t="str">
        <f>IFERROR(IF(AND(BoM_Griptel[[#This Row],[ACT_Qty]]&lt;&gt;"",BoM_Griptel[[#This Row],[Currency]]="NOK"),BoM_Griptel[[#This Row],[ACT_Qty]]*BoM_Griptel[[#This Row],[Unit Price]],""),"")</f>
        <v/>
      </c>
      <c r="R864" s="43" t="str">
        <f>IFERROR(IF(AND(BoM_Griptel[[#This Row],[Quantity]]&lt;&gt;"",BoM_Griptel[[#This Row],[Currency]]="EUR"),BoM_Griptel[[#This Row],[Quantity]]*BoM_Griptel[[#This Row],[Unit Price]],""),"")</f>
        <v/>
      </c>
      <c r="S864" s="43" t="str">
        <f>IFERROR(IF(AND(BoM_Griptel[[#This Row],[ACT_Qty]]&lt;&gt;"",BoM_Griptel[[#This Row],[Currency]]="EUR"),BoM_Griptel[[#This Row],[ACT_Qty]]*BoM_Griptel[[#This Row],[Unit Price]],""),"")</f>
        <v/>
      </c>
      <c r="T864" s="186" t="s">
        <v>1802</v>
      </c>
      <c r="U864" s="46"/>
      <c r="V864" s="46"/>
      <c r="W864" s="46"/>
    </row>
    <row r="865" spans="1:23">
      <c r="A865" s="143" t="str">
        <f t="shared" si="26"/>
        <v>AKH12345</v>
      </c>
      <c r="B865" s="159"/>
      <c r="C865" s="124"/>
      <c r="D865" s="105"/>
      <c r="E865" s="106"/>
      <c r="F865" s="105"/>
      <c r="G865" s="106"/>
      <c r="H865" s="125"/>
      <c r="I865" s="126"/>
      <c r="J865" s="125"/>
      <c r="K865" s="125"/>
      <c r="L865" s="145" t="s">
        <v>1806</v>
      </c>
      <c r="M865" s="45" t="str">
        <f t="shared" si="27"/>
        <v>OneCo Networks AS</v>
      </c>
      <c r="N865" s="40" t="str">
        <f ca="1">IFERROR(
VLOOKUP(BoM_Griptel[[#This Row],[Product code]],
IF(AND((BoQ!$N$3&lt;&gt;""),OR(BoM_Griptel[[#This Row],[Vendor]]="Griptel",BoM_Griptel[[#This Row],[Vendor]]="Solar")),INDIRECT(Aux!$A$1)),4,FALSE),"")</f>
        <v/>
      </c>
      <c r="O865" s="169" t="s">
        <v>1807</v>
      </c>
      <c r="P865" s="41" t="str">
        <f>IFERROR(IF(AND(BoM_Griptel[[#This Row],[Quantity]]&lt;&gt;"",BoM_Griptel[[#This Row],[Currency]]="NOK"),BoM_Griptel[[#This Row],[Quantity]]*BoM_Griptel[[#This Row],[Unit Price]],""),"")</f>
        <v/>
      </c>
      <c r="Q865" s="41" t="str">
        <f>IFERROR(IF(AND(BoM_Griptel[[#This Row],[ACT_Qty]]&lt;&gt;"",BoM_Griptel[[#This Row],[Currency]]="NOK"),BoM_Griptel[[#This Row],[ACT_Qty]]*BoM_Griptel[[#This Row],[Unit Price]],""),"")</f>
        <v/>
      </c>
      <c r="R865" s="41" t="str">
        <f>IFERROR(IF(AND(BoM_Griptel[[#This Row],[Quantity]]&lt;&gt;"",BoM_Griptel[[#This Row],[Currency]]="EUR"),BoM_Griptel[[#This Row],[Quantity]]*BoM_Griptel[[#This Row],[Unit Price]],""),"")</f>
        <v/>
      </c>
      <c r="S865" s="41" t="str">
        <f>IFERROR(IF(AND(BoM_Griptel[[#This Row],[ACT_Qty]]&lt;&gt;"",BoM_Griptel[[#This Row],[Currency]]="EUR"),BoM_Griptel[[#This Row],[ACT_Qty]]*BoM_Griptel[[#This Row],[Unit Price]],""),"")</f>
        <v/>
      </c>
      <c r="T865" s="185" t="s">
        <v>1802</v>
      </c>
      <c r="U865" s="45"/>
      <c r="V865" s="45"/>
      <c r="W865" s="45"/>
    </row>
    <row r="866" spans="1:23">
      <c r="A866" s="146" t="str">
        <f t="shared" si="26"/>
        <v>AKH12345</v>
      </c>
      <c r="B866" s="160"/>
      <c r="C866" s="69"/>
      <c r="D866" s="68"/>
      <c r="E866" s="89"/>
      <c r="F866" s="68"/>
      <c r="G866" s="89"/>
      <c r="H866" s="70"/>
      <c r="I866" s="78"/>
      <c r="J866" s="70"/>
      <c r="K866" s="70"/>
      <c r="L866" s="148" t="s">
        <v>1806</v>
      </c>
      <c r="M866" s="46" t="str">
        <f t="shared" si="27"/>
        <v>OneCo Networks AS</v>
      </c>
      <c r="N866" s="42" t="str">
        <f ca="1">IFERROR(
VLOOKUP(BoM_Griptel[[#This Row],[Product code]],
IF(AND((BoQ!$N$3&lt;&gt;""),OR(BoM_Griptel[[#This Row],[Vendor]]="Griptel",BoM_Griptel[[#This Row],[Vendor]]="Solar")),INDIRECT(Aux!$A$1)),4,FALSE),"")</f>
        <v/>
      </c>
      <c r="O866" s="170" t="s">
        <v>1807</v>
      </c>
      <c r="P866" s="43" t="str">
        <f>IFERROR(IF(AND(BoM_Griptel[[#This Row],[Quantity]]&lt;&gt;"",BoM_Griptel[[#This Row],[Currency]]="NOK"),BoM_Griptel[[#This Row],[Quantity]]*BoM_Griptel[[#This Row],[Unit Price]],""),"")</f>
        <v/>
      </c>
      <c r="Q866" s="43" t="str">
        <f>IFERROR(IF(AND(BoM_Griptel[[#This Row],[ACT_Qty]]&lt;&gt;"",BoM_Griptel[[#This Row],[Currency]]="NOK"),BoM_Griptel[[#This Row],[ACT_Qty]]*BoM_Griptel[[#This Row],[Unit Price]],""),"")</f>
        <v/>
      </c>
      <c r="R866" s="43" t="str">
        <f>IFERROR(IF(AND(BoM_Griptel[[#This Row],[Quantity]]&lt;&gt;"",BoM_Griptel[[#This Row],[Currency]]="EUR"),BoM_Griptel[[#This Row],[Quantity]]*BoM_Griptel[[#This Row],[Unit Price]],""),"")</f>
        <v/>
      </c>
      <c r="S866" s="43" t="str">
        <f>IFERROR(IF(AND(BoM_Griptel[[#This Row],[ACT_Qty]]&lt;&gt;"",BoM_Griptel[[#This Row],[Currency]]="EUR"),BoM_Griptel[[#This Row],[ACT_Qty]]*BoM_Griptel[[#This Row],[Unit Price]],""),"")</f>
        <v/>
      </c>
      <c r="T866" s="186" t="s">
        <v>1802</v>
      </c>
      <c r="U866" s="46"/>
      <c r="V866" s="46"/>
      <c r="W866" s="46"/>
    </row>
    <row r="867" spans="1:23">
      <c r="A867" s="143" t="str">
        <f t="shared" si="26"/>
        <v>AKH12345</v>
      </c>
      <c r="B867" s="159"/>
      <c r="C867" s="124"/>
      <c r="D867" s="105"/>
      <c r="E867" s="106"/>
      <c r="F867" s="105"/>
      <c r="G867" s="106"/>
      <c r="H867" s="125"/>
      <c r="I867" s="126"/>
      <c r="J867" s="125"/>
      <c r="K867" s="125"/>
      <c r="L867" s="145" t="s">
        <v>1806</v>
      </c>
      <c r="M867" s="45" t="str">
        <f t="shared" si="27"/>
        <v>OneCo Networks AS</v>
      </c>
      <c r="N867" s="40" t="str">
        <f ca="1">IFERROR(
VLOOKUP(BoM_Griptel[[#This Row],[Product code]],
IF(AND((BoQ!$N$3&lt;&gt;""),OR(BoM_Griptel[[#This Row],[Vendor]]="Griptel",BoM_Griptel[[#This Row],[Vendor]]="Solar")),INDIRECT(Aux!$A$1)),4,FALSE),"")</f>
        <v/>
      </c>
      <c r="O867" s="169" t="s">
        <v>1807</v>
      </c>
      <c r="P867" s="41" t="str">
        <f>IFERROR(IF(AND(BoM_Griptel[[#This Row],[Quantity]]&lt;&gt;"",BoM_Griptel[[#This Row],[Currency]]="NOK"),BoM_Griptel[[#This Row],[Quantity]]*BoM_Griptel[[#This Row],[Unit Price]],""),"")</f>
        <v/>
      </c>
      <c r="Q867" s="41" t="str">
        <f>IFERROR(IF(AND(BoM_Griptel[[#This Row],[ACT_Qty]]&lt;&gt;"",BoM_Griptel[[#This Row],[Currency]]="NOK"),BoM_Griptel[[#This Row],[ACT_Qty]]*BoM_Griptel[[#This Row],[Unit Price]],""),"")</f>
        <v/>
      </c>
      <c r="R867" s="41" t="str">
        <f>IFERROR(IF(AND(BoM_Griptel[[#This Row],[Quantity]]&lt;&gt;"",BoM_Griptel[[#This Row],[Currency]]="EUR"),BoM_Griptel[[#This Row],[Quantity]]*BoM_Griptel[[#This Row],[Unit Price]],""),"")</f>
        <v/>
      </c>
      <c r="S867" s="41" t="str">
        <f>IFERROR(IF(AND(BoM_Griptel[[#This Row],[ACT_Qty]]&lt;&gt;"",BoM_Griptel[[#This Row],[Currency]]="EUR"),BoM_Griptel[[#This Row],[ACT_Qty]]*BoM_Griptel[[#This Row],[Unit Price]],""),"")</f>
        <v/>
      </c>
      <c r="T867" s="185" t="s">
        <v>1802</v>
      </c>
      <c r="U867" s="45"/>
      <c r="V867" s="45"/>
      <c r="W867" s="45"/>
    </row>
    <row r="868" spans="1:23">
      <c r="A868" s="146" t="str">
        <f t="shared" si="26"/>
        <v>AKH12345</v>
      </c>
      <c r="B868" s="160"/>
      <c r="C868" s="69"/>
      <c r="D868" s="68"/>
      <c r="E868" s="89"/>
      <c r="F868" s="68"/>
      <c r="G868" s="89"/>
      <c r="H868" s="70"/>
      <c r="I868" s="78"/>
      <c r="J868" s="70"/>
      <c r="K868" s="70"/>
      <c r="L868" s="148" t="s">
        <v>1806</v>
      </c>
      <c r="M868" s="46" t="str">
        <f t="shared" si="27"/>
        <v>OneCo Networks AS</v>
      </c>
      <c r="N868" s="42" t="str">
        <f ca="1">IFERROR(
VLOOKUP(BoM_Griptel[[#This Row],[Product code]],
IF(AND((BoQ!$N$3&lt;&gt;""),OR(BoM_Griptel[[#This Row],[Vendor]]="Griptel",BoM_Griptel[[#This Row],[Vendor]]="Solar")),INDIRECT(Aux!$A$1)),4,FALSE),"")</f>
        <v/>
      </c>
      <c r="O868" s="170" t="s">
        <v>1807</v>
      </c>
      <c r="P868" s="43" t="str">
        <f>IFERROR(IF(AND(BoM_Griptel[[#This Row],[Quantity]]&lt;&gt;"",BoM_Griptel[[#This Row],[Currency]]="NOK"),BoM_Griptel[[#This Row],[Quantity]]*BoM_Griptel[[#This Row],[Unit Price]],""),"")</f>
        <v/>
      </c>
      <c r="Q868" s="43" t="str">
        <f>IFERROR(IF(AND(BoM_Griptel[[#This Row],[ACT_Qty]]&lt;&gt;"",BoM_Griptel[[#This Row],[Currency]]="NOK"),BoM_Griptel[[#This Row],[ACT_Qty]]*BoM_Griptel[[#This Row],[Unit Price]],""),"")</f>
        <v/>
      </c>
      <c r="R868" s="43" t="str">
        <f>IFERROR(IF(AND(BoM_Griptel[[#This Row],[Quantity]]&lt;&gt;"",BoM_Griptel[[#This Row],[Currency]]="EUR"),BoM_Griptel[[#This Row],[Quantity]]*BoM_Griptel[[#This Row],[Unit Price]],""),"")</f>
        <v/>
      </c>
      <c r="S868" s="43" t="str">
        <f>IFERROR(IF(AND(BoM_Griptel[[#This Row],[ACT_Qty]]&lt;&gt;"",BoM_Griptel[[#This Row],[Currency]]="EUR"),BoM_Griptel[[#This Row],[ACT_Qty]]*BoM_Griptel[[#This Row],[Unit Price]],""),"")</f>
        <v/>
      </c>
      <c r="T868" s="186" t="s">
        <v>1802</v>
      </c>
      <c r="U868" s="46"/>
      <c r="V868" s="46"/>
      <c r="W868" s="46"/>
    </row>
    <row r="869" spans="1:23">
      <c r="A869" s="143" t="str">
        <f t="shared" si="26"/>
        <v>AKH12345</v>
      </c>
      <c r="B869" s="159"/>
      <c r="C869" s="124"/>
      <c r="D869" s="105"/>
      <c r="E869" s="106"/>
      <c r="F869" s="105"/>
      <c r="G869" s="106"/>
      <c r="H869" s="125"/>
      <c r="I869" s="126"/>
      <c r="J869" s="125"/>
      <c r="K869" s="125"/>
      <c r="L869" s="145" t="s">
        <v>1806</v>
      </c>
      <c r="M869" s="45" t="str">
        <f t="shared" si="27"/>
        <v>OneCo Networks AS</v>
      </c>
      <c r="N869" s="40" t="str">
        <f ca="1">IFERROR(
VLOOKUP(BoM_Griptel[[#This Row],[Product code]],
IF(AND((BoQ!$N$3&lt;&gt;""),OR(BoM_Griptel[[#This Row],[Vendor]]="Griptel",BoM_Griptel[[#This Row],[Vendor]]="Solar")),INDIRECT(Aux!$A$1)),4,FALSE),"")</f>
        <v/>
      </c>
      <c r="O869" s="169" t="s">
        <v>1807</v>
      </c>
      <c r="P869" s="41" t="str">
        <f>IFERROR(IF(AND(BoM_Griptel[[#This Row],[Quantity]]&lt;&gt;"",BoM_Griptel[[#This Row],[Currency]]="NOK"),BoM_Griptel[[#This Row],[Quantity]]*BoM_Griptel[[#This Row],[Unit Price]],""),"")</f>
        <v/>
      </c>
      <c r="Q869" s="41" t="str">
        <f>IFERROR(IF(AND(BoM_Griptel[[#This Row],[ACT_Qty]]&lt;&gt;"",BoM_Griptel[[#This Row],[Currency]]="NOK"),BoM_Griptel[[#This Row],[ACT_Qty]]*BoM_Griptel[[#This Row],[Unit Price]],""),"")</f>
        <v/>
      </c>
      <c r="R869" s="41" t="str">
        <f>IFERROR(IF(AND(BoM_Griptel[[#This Row],[Quantity]]&lt;&gt;"",BoM_Griptel[[#This Row],[Currency]]="EUR"),BoM_Griptel[[#This Row],[Quantity]]*BoM_Griptel[[#This Row],[Unit Price]],""),"")</f>
        <v/>
      </c>
      <c r="S869" s="41" t="str">
        <f>IFERROR(IF(AND(BoM_Griptel[[#This Row],[ACT_Qty]]&lt;&gt;"",BoM_Griptel[[#This Row],[Currency]]="EUR"),BoM_Griptel[[#This Row],[ACT_Qty]]*BoM_Griptel[[#This Row],[Unit Price]],""),"")</f>
        <v/>
      </c>
      <c r="T869" s="185" t="s">
        <v>1802</v>
      </c>
      <c r="U869" s="45"/>
      <c r="V869" s="45"/>
      <c r="W869" s="45"/>
    </row>
    <row r="870" spans="1:23">
      <c r="A870" s="146" t="str">
        <f t="shared" si="26"/>
        <v>AKH12345</v>
      </c>
      <c r="B870" s="160"/>
      <c r="C870" s="69"/>
      <c r="D870" s="68"/>
      <c r="E870" s="89"/>
      <c r="F870" s="68"/>
      <c r="G870" s="89"/>
      <c r="H870" s="70"/>
      <c r="I870" s="78"/>
      <c r="J870" s="70"/>
      <c r="K870" s="70"/>
      <c r="L870" s="148" t="s">
        <v>1806</v>
      </c>
      <c r="M870" s="46" t="str">
        <f t="shared" si="27"/>
        <v>OneCo Networks AS</v>
      </c>
      <c r="N870" s="42" t="str">
        <f ca="1">IFERROR(
VLOOKUP(BoM_Griptel[[#This Row],[Product code]],
IF(AND((BoQ!$N$3&lt;&gt;""),OR(BoM_Griptel[[#This Row],[Vendor]]="Griptel",BoM_Griptel[[#This Row],[Vendor]]="Solar")),INDIRECT(Aux!$A$1)),4,FALSE),"")</f>
        <v/>
      </c>
      <c r="O870" s="170" t="s">
        <v>1807</v>
      </c>
      <c r="P870" s="43" t="str">
        <f>IFERROR(IF(AND(BoM_Griptel[[#This Row],[Quantity]]&lt;&gt;"",BoM_Griptel[[#This Row],[Currency]]="NOK"),BoM_Griptel[[#This Row],[Quantity]]*BoM_Griptel[[#This Row],[Unit Price]],""),"")</f>
        <v/>
      </c>
      <c r="Q870" s="43" t="str">
        <f>IFERROR(IF(AND(BoM_Griptel[[#This Row],[ACT_Qty]]&lt;&gt;"",BoM_Griptel[[#This Row],[Currency]]="NOK"),BoM_Griptel[[#This Row],[ACT_Qty]]*BoM_Griptel[[#This Row],[Unit Price]],""),"")</f>
        <v/>
      </c>
      <c r="R870" s="43" t="str">
        <f>IFERROR(IF(AND(BoM_Griptel[[#This Row],[Quantity]]&lt;&gt;"",BoM_Griptel[[#This Row],[Currency]]="EUR"),BoM_Griptel[[#This Row],[Quantity]]*BoM_Griptel[[#This Row],[Unit Price]],""),"")</f>
        <v/>
      </c>
      <c r="S870" s="43" t="str">
        <f>IFERROR(IF(AND(BoM_Griptel[[#This Row],[ACT_Qty]]&lt;&gt;"",BoM_Griptel[[#This Row],[Currency]]="EUR"),BoM_Griptel[[#This Row],[ACT_Qty]]*BoM_Griptel[[#This Row],[Unit Price]],""),"")</f>
        <v/>
      </c>
      <c r="T870" s="186" t="s">
        <v>1802</v>
      </c>
      <c r="U870" s="46"/>
      <c r="V870" s="46"/>
      <c r="W870" s="46"/>
    </row>
    <row r="871" spans="1:23">
      <c r="A871" s="143" t="str">
        <f t="shared" si="26"/>
        <v>AKH12345</v>
      </c>
      <c r="B871" s="159"/>
      <c r="C871" s="124"/>
      <c r="D871" s="105"/>
      <c r="E871" s="106"/>
      <c r="F871" s="105"/>
      <c r="G871" s="106"/>
      <c r="H871" s="125"/>
      <c r="I871" s="126"/>
      <c r="J871" s="125"/>
      <c r="K871" s="125"/>
      <c r="L871" s="145" t="s">
        <v>1806</v>
      </c>
      <c r="M871" s="45" t="str">
        <f t="shared" si="27"/>
        <v>OneCo Networks AS</v>
      </c>
      <c r="N871" s="40" t="str">
        <f ca="1">IFERROR(
VLOOKUP(BoM_Griptel[[#This Row],[Product code]],
IF(AND((BoQ!$N$3&lt;&gt;""),OR(BoM_Griptel[[#This Row],[Vendor]]="Griptel",BoM_Griptel[[#This Row],[Vendor]]="Solar")),INDIRECT(Aux!$A$1)),4,FALSE),"")</f>
        <v/>
      </c>
      <c r="O871" s="169" t="s">
        <v>1807</v>
      </c>
      <c r="P871" s="41" t="str">
        <f>IFERROR(IF(AND(BoM_Griptel[[#This Row],[Quantity]]&lt;&gt;"",BoM_Griptel[[#This Row],[Currency]]="NOK"),BoM_Griptel[[#This Row],[Quantity]]*BoM_Griptel[[#This Row],[Unit Price]],""),"")</f>
        <v/>
      </c>
      <c r="Q871" s="41" t="str">
        <f>IFERROR(IF(AND(BoM_Griptel[[#This Row],[ACT_Qty]]&lt;&gt;"",BoM_Griptel[[#This Row],[Currency]]="NOK"),BoM_Griptel[[#This Row],[ACT_Qty]]*BoM_Griptel[[#This Row],[Unit Price]],""),"")</f>
        <v/>
      </c>
      <c r="R871" s="41" t="str">
        <f>IFERROR(IF(AND(BoM_Griptel[[#This Row],[Quantity]]&lt;&gt;"",BoM_Griptel[[#This Row],[Currency]]="EUR"),BoM_Griptel[[#This Row],[Quantity]]*BoM_Griptel[[#This Row],[Unit Price]],""),"")</f>
        <v/>
      </c>
      <c r="S871" s="41" t="str">
        <f>IFERROR(IF(AND(BoM_Griptel[[#This Row],[ACT_Qty]]&lt;&gt;"",BoM_Griptel[[#This Row],[Currency]]="EUR"),BoM_Griptel[[#This Row],[ACT_Qty]]*BoM_Griptel[[#This Row],[Unit Price]],""),"")</f>
        <v/>
      </c>
      <c r="T871" s="185" t="s">
        <v>1802</v>
      </c>
      <c r="U871" s="45"/>
      <c r="V871" s="45"/>
      <c r="W871" s="45"/>
    </row>
    <row r="872" spans="1:23">
      <c r="A872" s="146" t="str">
        <f t="shared" si="26"/>
        <v>AKH12345</v>
      </c>
      <c r="B872" s="160"/>
      <c r="C872" s="69"/>
      <c r="D872" s="68"/>
      <c r="E872" s="89"/>
      <c r="F872" s="68"/>
      <c r="G872" s="89"/>
      <c r="H872" s="70"/>
      <c r="I872" s="78"/>
      <c r="J872" s="70"/>
      <c r="K872" s="70"/>
      <c r="L872" s="148" t="s">
        <v>1806</v>
      </c>
      <c r="M872" s="46" t="str">
        <f t="shared" si="27"/>
        <v>OneCo Networks AS</v>
      </c>
      <c r="N872" s="42" t="str">
        <f ca="1">IFERROR(
VLOOKUP(BoM_Griptel[[#This Row],[Product code]],
IF(AND((BoQ!$N$3&lt;&gt;""),OR(BoM_Griptel[[#This Row],[Vendor]]="Griptel",BoM_Griptel[[#This Row],[Vendor]]="Solar")),INDIRECT(Aux!$A$1)),4,FALSE),"")</f>
        <v/>
      </c>
      <c r="O872" s="170" t="s">
        <v>1807</v>
      </c>
      <c r="P872" s="43" t="str">
        <f>IFERROR(IF(AND(BoM_Griptel[[#This Row],[Quantity]]&lt;&gt;"",BoM_Griptel[[#This Row],[Currency]]="NOK"),BoM_Griptel[[#This Row],[Quantity]]*BoM_Griptel[[#This Row],[Unit Price]],""),"")</f>
        <v/>
      </c>
      <c r="Q872" s="43" t="str">
        <f>IFERROR(IF(AND(BoM_Griptel[[#This Row],[ACT_Qty]]&lt;&gt;"",BoM_Griptel[[#This Row],[Currency]]="NOK"),BoM_Griptel[[#This Row],[ACT_Qty]]*BoM_Griptel[[#This Row],[Unit Price]],""),"")</f>
        <v/>
      </c>
      <c r="R872" s="43" t="str">
        <f>IFERROR(IF(AND(BoM_Griptel[[#This Row],[Quantity]]&lt;&gt;"",BoM_Griptel[[#This Row],[Currency]]="EUR"),BoM_Griptel[[#This Row],[Quantity]]*BoM_Griptel[[#This Row],[Unit Price]],""),"")</f>
        <v/>
      </c>
      <c r="S872" s="43" t="str">
        <f>IFERROR(IF(AND(BoM_Griptel[[#This Row],[ACT_Qty]]&lt;&gt;"",BoM_Griptel[[#This Row],[Currency]]="EUR"),BoM_Griptel[[#This Row],[ACT_Qty]]*BoM_Griptel[[#This Row],[Unit Price]],""),"")</f>
        <v/>
      </c>
      <c r="T872" s="186" t="s">
        <v>1802</v>
      </c>
      <c r="U872" s="46"/>
      <c r="V872" s="46"/>
      <c r="W872" s="46"/>
    </row>
    <row r="873" spans="1:23">
      <c r="A873" s="143" t="str">
        <f t="shared" si="26"/>
        <v>AKH12345</v>
      </c>
      <c r="B873" s="159"/>
      <c r="C873" s="124"/>
      <c r="D873" s="105"/>
      <c r="E873" s="106"/>
      <c r="F873" s="105"/>
      <c r="G873" s="106"/>
      <c r="H873" s="125"/>
      <c r="I873" s="126"/>
      <c r="J873" s="125"/>
      <c r="K873" s="125"/>
      <c r="L873" s="145" t="s">
        <v>1806</v>
      </c>
      <c r="M873" s="45" t="str">
        <f t="shared" si="27"/>
        <v>OneCo Networks AS</v>
      </c>
      <c r="N873" s="40" t="str">
        <f ca="1">IFERROR(
VLOOKUP(BoM_Griptel[[#This Row],[Product code]],
IF(AND((BoQ!$N$3&lt;&gt;""),OR(BoM_Griptel[[#This Row],[Vendor]]="Griptel",BoM_Griptel[[#This Row],[Vendor]]="Solar")),INDIRECT(Aux!$A$1)),4,FALSE),"")</f>
        <v/>
      </c>
      <c r="O873" s="169" t="s">
        <v>1807</v>
      </c>
      <c r="P873" s="41" t="str">
        <f>IFERROR(IF(AND(BoM_Griptel[[#This Row],[Quantity]]&lt;&gt;"",BoM_Griptel[[#This Row],[Currency]]="NOK"),BoM_Griptel[[#This Row],[Quantity]]*BoM_Griptel[[#This Row],[Unit Price]],""),"")</f>
        <v/>
      </c>
      <c r="Q873" s="41" t="str">
        <f>IFERROR(IF(AND(BoM_Griptel[[#This Row],[ACT_Qty]]&lt;&gt;"",BoM_Griptel[[#This Row],[Currency]]="NOK"),BoM_Griptel[[#This Row],[ACT_Qty]]*BoM_Griptel[[#This Row],[Unit Price]],""),"")</f>
        <v/>
      </c>
      <c r="R873" s="41" t="str">
        <f>IFERROR(IF(AND(BoM_Griptel[[#This Row],[Quantity]]&lt;&gt;"",BoM_Griptel[[#This Row],[Currency]]="EUR"),BoM_Griptel[[#This Row],[Quantity]]*BoM_Griptel[[#This Row],[Unit Price]],""),"")</f>
        <v/>
      </c>
      <c r="S873" s="41" t="str">
        <f>IFERROR(IF(AND(BoM_Griptel[[#This Row],[ACT_Qty]]&lt;&gt;"",BoM_Griptel[[#This Row],[Currency]]="EUR"),BoM_Griptel[[#This Row],[ACT_Qty]]*BoM_Griptel[[#This Row],[Unit Price]],""),"")</f>
        <v/>
      </c>
      <c r="T873" s="185" t="s">
        <v>1802</v>
      </c>
      <c r="U873" s="45"/>
      <c r="V873" s="45"/>
      <c r="W873" s="45"/>
    </row>
    <row r="874" spans="1:23">
      <c r="A874" s="146" t="str">
        <f t="shared" si="26"/>
        <v>AKH12345</v>
      </c>
      <c r="B874" s="160"/>
      <c r="C874" s="69"/>
      <c r="D874" s="68"/>
      <c r="E874" s="89"/>
      <c r="F874" s="68"/>
      <c r="G874" s="89"/>
      <c r="H874" s="70"/>
      <c r="I874" s="78"/>
      <c r="J874" s="70"/>
      <c r="K874" s="70"/>
      <c r="L874" s="148" t="s">
        <v>1806</v>
      </c>
      <c r="M874" s="46" t="str">
        <f t="shared" si="27"/>
        <v>OneCo Networks AS</v>
      </c>
      <c r="N874" s="42" t="str">
        <f ca="1">IFERROR(
VLOOKUP(BoM_Griptel[[#This Row],[Product code]],
IF(AND((BoQ!$N$3&lt;&gt;""),OR(BoM_Griptel[[#This Row],[Vendor]]="Griptel",BoM_Griptel[[#This Row],[Vendor]]="Solar")),INDIRECT(Aux!$A$1)),4,FALSE),"")</f>
        <v/>
      </c>
      <c r="O874" s="170" t="s">
        <v>1807</v>
      </c>
      <c r="P874" s="43" t="str">
        <f>IFERROR(IF(AND(BoM_Griptel[[#This Row],[Quantity]]&lt;&gt;"",BoM_Griptel[[#This Row],[Currency]]="NOK"),BoM_Griptel[[#This Row],[Quantity]]*BoM_Griptel[[#This Row],[Unit Price]],""),"")</f>
        <v/>
      </c>
      <c r="Q874" s="43" t="str">
        <f>IFERROR(IF(AND(BoM_Griptel[[#This Row],[ACT_Qty]]&lt;&gt;"",BoM_Griptel[[#This Row],[Currency]]="NOK"),BoM_Griptel[[#This Row],[ACT_Qty]]*BoM_Griptel[[#This Row],[Unit Price]],""),"")</f>
        <v/>
      </c>
      <c r="R874" s="43" t="str">
        <f>IFERROR(IF(AND(BoM_Griptel[[#This Row],[Quantity]]&lt;&gt;"",BoM_Griptel[[#This Row],[Currency]]="EUR"),BoM_Griptel[[#This Row],[Quantity]]*BoM_Griptel[[#This Row],[Unit Price]],""),"")</f>
        <v/>
      </c>
      <c r="S874" s="43" t="str">
        <f>IFERROR(IF(AND(BoM_Griptel[[#This Row],[ACT_Qty]]&lt;&gt;"",BoM_Griptel[[#This Row],[Currency]]="EUR"),BoM_Griptel[[#This Row],[ACT_Qty]]*BoM_Griptel[[#This Row],[Unit Price]],""),"")</f>
        <v/>
      </c>
      <c r="T874" s="186" t="s">
        <v>1802</v>
      </c>
      <c r="U874" s="46"/>
      <c r="V874" s="46"/>
      <c r="W874" s="46"/>
    </row>
    <row r="875" spans="1:23">
      <c r="A875" s="143" t="str">
        <f t="shared" si="26"/>
        <v>AKH12345</v>
      </c>
      <c r="B875" s="159"/>
      <c r="C875" s="124"/>
      <c r="D875" s="105"/>
      <c r="E875" s="106"/>
      <c r="F875" s="105"/>
      <c r="G875" s="106"/>
      <c r="H875" s="125"/>
      <c r="I875" s="126"/>
      <c r="J875" s="125"/>
      <c r="K875" s="125"/>
      <c r="L875" s="145" t="s">
        <v>1806</v>
      </c>
      <c r="M875" s="45" t="str">
        <f t="shared" si="27"/>
        <v>OneCo Networks AS</v>
      </c>
      <c r="N875" s="40" t="str">
        <f ca="1">IFERROR(
VLOOKUP(BoM_Griptel[[#This Row],[Product code]],
IF(AND((BoQ!$N$3&lt;&gt;""),OR(BoM_Griptel[[#This Row],[Vendor]]="Griptel",BoM_Griptel[[#This Row],[Vendor]]="Solar")),INDIRECT(Aux!$A$1)),4,FALSE),"")</f>
        <v/>
      </c>
      <c r="O875" s="169" t="s">
        <v>1807</v>
      </c>
      <c r="P875" s="41" t="str">
        <f>IFERROR(IF(AND(BoM_Griptel[[#This Row],[Quantity]]&lt;&gt;"",BoM_Griptel[[#This Row],[Currency]]="NOK"),BoM_Griptel[[#This Row],[Quantity]]*BoM_Griptel[[#This Row],[Unit Price]],""),"")</f>
        <v/>
      </c>
      <c r="Q875" s="41" t="str">
        <f>IFERROR(IF(AND(BoM_Griptel[[#This Row],[ACT_Qty]]&lt;&gt;"",BoM_Griptel[[#This Row],[Currency]]="NOK"),BoM_Griptel[[#This Row],[ACT_Qty]]*BoM_Griptel[[#This Row],[Unit Price]],""),"")</f>
        <v/>
      </c>
      <c r="R875" s="41" t="str">
        <f>IFERROR(IF(AND(BoM_Griptel[[#This Row],[Quantity]]&lt;&gt;"",BoM_Griptel[[#This Row],[Currency]]="EUR"),BoM_Griptel[[#This Row],[Quantity]]*BoM_Griptel[[#This Row],[Unit Price]],""),"")</f>
        <v/>
      </c>
      <c r="S875" s="41" t="str">
        <f>IFERROR(IF(AND(BoM_Griptel[[#This Row],[ACT_Qty]]&lt;&gt;"",BoM_Griptel[[#This Row],[Currency]]="EUR"),BoM_Griptel[[#This Row],[ACT_Qty]]*BoM_Griptel[[#This Row],[Unit Price]],""),"")</f>
        <v/>
      </c>
      <c r="T875" s="185" t="s">
        <v>1802</v>
      </c>
      <c r="U875" s="45"/>
      <c r="V875" s="45"/>
      <c r="W875" s="45"/>
    </row>
    <row r="876" spans="1:23">
      <c r="A876" s="146" t="str">
        <f t="shared" si="26"/>
        <v>AKH12345</v>
      </c>
      <c r="B876" s="160"/>
      <c r="C876" s="69"/>
      <c r="D876" s="68"/>
      <c r="E876" s="89"/>
      <c r="F876" s="68"/>
      <c r="G876" s="89"/>
      <c r="H876" s="70"/>
      <c r="I876" s="78"/>
      <c r="J876" s="70"/>
      <c r="K876" s="70"/>
      <c r="L876" s="148" t="s">
        <v>1806</v>
      </c>
      <c r="M876" s="46" t="str">
        <f t="shared" si="27"/>
        <v>OneCo Networks AS</v>
      </c>
      <c r="N876" s="42" t="str">
        <f ca="1">IFERROR(
VLOOKUP(BoM_Griptel[[#This Row],[Product code]],
IF(AND((BoQ!$N$3&lt;&gt;""),OR(BoM_Griptel[[#This Row],[Vendor]]="Griptel",BoM_Griptel[[#This Row],[Vendor]]="Solar")),INDIRECT(Aux!$A$1)),4,FALSE),"")</f>
        <v/>
      </c>
      <c r="O876" s="170" t="s">
        <v>1807</v>
      </c>
      <c r="P876" s="43" t="str">
        <f>IFERROR(IF(AND(BoM_Griptel[[#This Row],[Quantity]]&lt;&gt;"",BoM_Griptel[[#This Row],[Currency]]="NOK"),BoM_Griptel[[#This Row],[Quantity]]*BoM_Griptel[[#This Row],[Unit Price]],""),"")</f>
        <v/>
      </c>
      <c r="Q876" s="43" t="str">
        <f>IFERROR(IF(AND(BoM_Griptel[[#This Row],[ACT_Qty]]&lt;&gt;"",BoM_Griptel[[#This Row],[Currency]]="NOK"),BoM_Griptel[[#This Row],[ACT_Qty]]*BoM_Griptel[[#This Row],[Unit Price]],""),"")</f>
        <v/>
      </c>
      <c r="R876" s="43" t="str">
        <f>IFERROR(IF(AND(BoM_Griptel[[#This Row],[Quantity]]&lt;&gt;"",BoM_Griptel[[#This Row],[Currency]]="EUR"),BoM_Griptel[[#This Row],[Quantity]]*BoM_Griptel[[#This Row],[Unit Price]],""),"")</f>
        <v/>
      </c>
      <c r="S876" s="43" t="str">
        <f>IFERROR(IF(AND(BoM_Griptel[[#This Row],[ACT_Qty]]&lt;&gt;"",BoM_Griptel[[#This Row],[Currency]]="EUR"),BoM_Griptel[[#This Row],[ACT_Qty]]*BoM_Griptel[[#This Row],[Unit Price]],""),"")</f>
        <v/>
      </c>
      <c r="T876" s="186" t="s">
        <v>1802</v>
      </c>
      <c r="U876" s="46"/>
      <c r="V876" s="46"/>
      <c r="W876" s="46"/>
    </row>
    <row r="877" spans="1:23">
      <c r="A877" s="143" t="str">
        <f t="shared" si="26"/>
        <v>AKH12345</v>
      </c>
      <c r="B877" s="159"/>
      <c r="C877" s="124"/>
      <c r="D877" s="105"/>
      <c r="E877" s="106"/>
      <c r="F877" s="105"/>
      <c r="G877" s="106"/>
      <c r="H877" s="125"/>
      <c r="I877" s="126"/>
      <c r="J877" s="125"/>
      <c r="K877" s="125"/>
      <c r="L877" s="145" t="s">
        <v>1806</v>
      </c>
      <c r="M877" s="45" t="str">
        <f t="shared" si="27"/>
        <v>OneCo Networks AS</v>
      </c>
      <c r="N877" s="40" t="str">
        <f ca="1">IFERROR(
VLOOKUP(BoM_Griptel[[#This Row],[Product code]],
IF(AND((BoQ!$N$3&lt;&gt;""),OR(BoM_Griptel[[#This Row],[Vendor]]="Griptel",BoM_Griptel[[#This Row],[Vendor]]="Solar")),INDIRECT(Aux!$A$1)),4,FALSE),"")</f>
        <v/>
      </c>
      <c r="O877" s="169" t="s">
        <v>1807</v>
      </c>
      <c r="P877" s="41" t="str">
        <f>IFERROR(IF(AND(BoM_Griptel[[#This Row],[Quantity]]&lt;&gt;"",BoM_Griptel[[#This Row],[Currency]]="NOK"),BoM_Griptel[[#This Row],[Quantity]]*BoM_Griptel[[#This Row],[Unit Price]],""),"")</f>
        <v/>
      </c>
      <c r="Q877" s="41" t="str">
        <f>IFERROR(IF(AND(BoM_Griptel[[#This Row],[ACT_Qty]]&lt;&gt;"",BoM_Griptel[[#This Row],[Currency]]="NOK"),BoM_Griptel[[#This Row],[ACT_Qty]]*BoM_Griptel[[#This Row],[Unit Price]],""),"")</f>
        <v/>
      </c>
      <c r="R877" s="41" t="str">
        <f>IFERROR(IF(AND(BoM_Griptel[[#This Row],[Quantity]]&lt;&gt;"",BoM_Griptel[[#This Row],[Currency]]="EUR"),BoM_Griptel[[#This Row],[Quantity]]*BoM_Griptel[[#This Row],[Unit Price]],""),"")</f>
        <v/>
      </c>
      <c r="S877" s="41" t="str">
        <f>IFERROR(IF(AND(BoM_Griptel[[#This Row],[ACT_Qty]]&lt;&gt;"",BoM_Griptel[[#This Row],[Currency]]="EUR"),BoM_Griptel[[#This Row],[ACT_Qty]]*BoM_Griptel[[#This Row],[Unit Price]],""),"")</f>
        <v/>
      </c>
      <c r="T877" s="185" t="s">
        <v>1802</v>
      </c>
      <c r="U877" s="45"/>
      <c r="V877" s="45"/>
      <c r="W877" s="45"/>
    </row>
    <row r="878" spans="1:23">
      <c r="A878" s="146" t="str">
        <f t="shared" si="26"/>
        <v>AKH12345</v>
      </c>
      <c r="B878" s="160"/>
      <c r="C878" s="69"/>
      <c r="D878" s="68"/>
      <c r="E878" s="89"/>
      <c r="F878" s="68"/>
      <c r="G878" s="89"/>
      <c r="H878" s="70"/>
      <c r="I878" s="78"/>
      <c r="J878" s="70"/>
      <c r="K878" s="70"/>
      <c r="L878" s="148" t="s">
        <v>1806</v>
      </c>
      <c r="M878" s="46" t="str">
        <f t="shared" si="27"/>
        <v>OneCo Networks AS</v>
      </c>
      <c r="N878" s="42" t="str">
        <f ca="1">IFERROR(
VLOOKUP(BoM_Griptel[[#This Row],[Product code]],
IF(AND((BoQ!$N$3&lt;&gt;""),OR(BoM_Griptel[[#This Row],[Vendor]]="Griptel",BoM_Griptel[[#This Row],[Vendor]]="Solar")),INDIRECT(Aux!$A$1)),4,FALSE),"")</f>
        <v/>
      </c>
      <c r="O878" s="170" t="s">
        <v>1807</v>
      </c>
      <c r="P878" s="43" t="str">
        <f>IFERROR(IF(AND(BoM_Griptel[[#This Row],[Quantity]]&lt;&gt;"",BoM_Griptel[[#This Row],[Currency]]="NOK"),BoM_Griptel[[#This Row],[Quantity]]*BoM_Griptel[[#This Row],[Unit Price]],""),"")</f>
        <v/>
      </c>
      <c r="Q878" s="43" t="str">
        <f>IFERROR(IF(AND(BoM_Griptel[[#This Row],[ACT_Qty]]&lt;&gt;"",BoM_Griptel[[#This Row],[Currency]]="NOK"),BoM_Griptel[[#This Row],[ACT_Qty]]*BoM_Griptel[[#This Row],[Unit Price]],""),"")</f>
        <v/>
      </c>
      <c r="R878" s="43" t="str">
        <f>IFERROR(IF(AND(BoM_Griptel[[#This Row],[Quantity]]&lt;&gt;"",BoM_Griptel[[#This Row],[Currency]]="EUR"),BoM_Griptel[[#This Row],[Quantity]]*BoM_Griptel[[#This Row],[Unit Price]],""),"")</f>
        <v/>
      </c>
      <c r="S878" s="43" t="str">
        <f>IFERROR(IF(AND(BoM_Griptel[[#This Row],[ACT_Qty]]&lt;&gt;"",BoM_Griptel[[#This Row],[Currency]]="EUR"),BoM_Griptel[[#This Row],[ACT_Qty]]*BoM_Griptel[[#This Row],[Unit Price]],""),"")</f>
        <v/>
      </c>
      <c r="T878" s="186" t="s">
        <v>1802</v>
      </c>
      <c r="U878" s="46"/>
      <c r="V878" s="46"/>
      <c r="W878" s="46"/>
    </row>
    <row r="879" spans="1:23">
      <c r="A879" s="143" t="str">
        <f t="shared" si="26"/>
        <v>AKH12345</v>
      </c>
      <c r="B879" s="159"/>
      <c r="C879" s="124"/>
      <c r="D879" s="105"/>
      <c r="E879" s="106"/>
      <c r="F879" s="105"/>
      <c r="G879" s="106"/>
      <c r="H879" s="125"/>
      <c r="I879" s="126"/>
      <c r="J879" s="125"/>
      <c r="K879" s="125"/>
      <c r="L879" s="145" t="s">
        <v>1806</v>
      </c>
      <c r="M879" s="45" t="str">
        <f t="shared" si="27"/>
        <v>OneCo Networks AS</v>
      </c>
      <c r="N879" s="40" t="str">
        <f ca="1">IFERROR(
VLOOKUP(BoM_Griptel[[#This Row],[Product code]],
IF(AND((BoQ!$N$3&lt;&gt;""),OR(BoM_Griptel[[#This Row],[Vendor]]="Griptel",BoM_Griptel[[#This Row],[Vendor]]="Solar")),INDIRECT(Aux!$A$1)),4,FALSE),"")</f>
        <v/>
      </c>
      <c r="O879" s="169" t="s">
        <v>1807</v>
      </c>
      <c r="P879" s="41" t="str">
        <f>IFERROR(IF(AND(BoM_Griptel[[#This Row],[Quantity]]&lt;&gt;"",BoM_Griptel[[#This Row],[Currency]]="NOK"),BoM_Griptel[[#This Row],[Quantity]]*BoM_Griptel[[#This Row],[Unit Price]],""),"")</f>
        <v/>
      </c>
      <c r="Q879" s="41" t="str">
        <f>IFERROR(IF(AND(BoM_Griptel[[#This Row],[ACT_Qty]]&lt;&gt;"",BoM_Griptel[[#This Row],[Currency]]="NOK"),BoM_Griptel[[#This Row],[ACT_Qty]]*BoM_Griptel[[#This Row],[Unit Price]],""),"")</f>
        <v/>
      </c>
      <c r="R879" s="41" t="str">
        <f>IFERROR(IF(AND(BoM_Griptel[[#This Row],[Quantity]]&lt;&gt;"",BoM_Griptel[[#This Row],[Currency]]="EUR"),BoM_Griptel[[#This Row],[Quantity]]*BoM_Griptel[[#This Row],[Unit Price]],""),"")</f>
        <v/>
      </c>
      <c r="S879" s="41" t="str">
        <f>IFERROR(IF(AND(BoM_Griptel[[#This Row],[ACT_Qty]]&lt;&gt;"",BoM_Griptel[[#This Row],[Currency]]="EUR"),BoM_Griptel[[#This Row],[ACT_Qty]]*BoM_Griptel[[#This Row],[Unit Price]],""),"")</f>
        <v/>
      </c>
      <c r="T879" s="185" t="s">
        <v>1802</v>
      </c>
      <c r="U879" s="45"/>
      <c r="V879" s="45"/>
      <c r="W879" s="45"/>
    </row>
    <row r="880" spans="1:23">
      <c r="A880" s="146" t="str">
        <f t="shared" si="26"/>
        <v>AKH12345</v>
      </c>
      <c r="B880" s="160"/>
      <c r="C880" s="69"/>
      <c r="D880" s="68"/>
      <c r="E880" s="89"/>
      <c r="F880" s="68"/>
      <c r="G880" s="89"/>
      <c r="H880" s="70"/>
      <c r="I880" s="78"/>
      <c r="J880" s="70"/>
      <c r="K880" s="70"/>
      <c r="L880" s="148" t="s">
        <v>1806</v>
      </c>
      <c r="M880" s="46" t="str">
        <f t="shared" si="27"/>
        <v>OneCo Networks AS</v>
      </c>
      <c r="N880" s="42" t="str">
        <f ca="1">IFERROR(
VLOOKUP(BoM_Griptel[[#This Row],[Product code]],
IF(AND((BoQ!$N$3&lt;&gt;""),OR(BoM_Griptel[[#This Row],[Vendor]]="Griptel",BoM_Griptel[[#This Row],[Vendor]]="Solar")),INDIRECT(Aux!$A$1)),4,FALSE),"")</f>
        <v/>
      </c>
      <c r="O880" s="170" t="s">
        <v>1807</v>
      </c>
      <c r="P880" s="43" t="str">
        <f>IFERROR(IF(AND(BoM_Griptel[[#This Row],[Quantity]]&lt;&gt;"",BoM_Griptel[[#This Row],[Currency]]="NOK"),BoM_Griptel[[#This Row],[Quantity]]*BoM_Griptel[[#This Row],[Unit Price]],""),"")</f>
        <v/>
      </c>
      <c r="Q880" s="43" t="str">
        <f>IFERROR(IF(AND(BoM_Griptel[[#This Row],[ACT_Qty]]&lt;&gt;"",BoM_Griptel[[#This Row],[Currency]]="NOK"),BoM_Griptel[[#This Row],[ACT_Qty]]*BoM_Griptel[[#This Row],[Unit Price]],""),"")</f>
        <v/>
      </c>
      <c r="R880" s="43" t="str">
        <f>IFERROR(IF(AND(BoM_Griptel[[#This Row],[Quantity]]&lt;&gt;"",BoM_Griptel[[#This Row],[Currency]]="EUR"),BoM_Griptel[[#This Row],[Quantity]]*BoM_Griptel[[#This Row],[Unit Price]],""),"")</f>
        <v/>
      </c>
      <c r="S880" s="43" t="str">
        <f>IFERROR(IF(AND(BoM_Griptel[[#This Row],[ACT_Qty]]&lt;&gt;"",BoM_Griptel[[#This Row],[Currency]]="EUR"),BoM_Griptel[[#This Row],[ACT_Qty]]*BoM_Griptel[[#This Row],[Unit Price]],""),"")</f>
        <v/>
      </c>
      <c r="T880" s="186" t="s">
        <v>1802</v>
      </c>
      <c r="U880" s="46"/>
      <c r="V880" s="46"/>
      <c r="W880" s="46"/>
    </row>
    <row r="881" spans="1:23">
      <c r="A881" s="143" t="str">
        <f t="shared" si="26"/>
        <v>AKH12345</v>
      </c>
      <c r="B881" s="159"/>
      <c r="C881" s="124"/>
      <c r="D881" s="105"/>
      <c r="E881" s="106"/>
      <c r="F881" s="105"/>
      <c r="G881" s="106"/>
      <c r="H881" s="125"/>
      <c r="I881" s="126"/>
      <c r="J881" s="125"/>
      <c r="K881" s="125"/>
      <c r="L881" s="145" t="s">
        <v>1806</v>
      </c>
      <c r="M881" s="45" t="str">
        <f t="shared" si="27"/>
        <v>OneCo Networks AS</v>
      </c>
      <c r="N881" s="40" t="str">
        <f ca="1">IFERROR(
VLOOKUP(BoM_Griptel[[#This Row],[Product code]],
IF(AND((BoQ!$N$3&lt;&gt;""),OR(BoM_Griptel[[#This Row],[Vendor]]="Griptel",BoM_Griptel[[#This Row],[Vendor]]="Solar")),INDIRECT(Aux!$A$1)),4,FALSE),"")</f>
        <v/>
      </c>
      <c r="O881" s="169" t="s">
        <v>1807</v>
      </c>
      <c r="P881" s="41" t="str">
        <f>IFERROR(IF(AND(BoM_Griptel[[#This Row],[Quantity]]&lt;&gt;"",BoM_Griptel[[#This Row],[Currency]]="NOK"),BoM_Griptel[[#This Row],[Quantity]]*BoM_Griptel[[#This Row],[Unit Price]],""),"")</f>
        <v/>
      </c>
      <c r="Q881" s="41" t="str">
        <f>IFERROR(IF(AND(BoM_Griptel[[#This Row],[ACT_Qty]]&lt;&gt;"",BoM_Griptel[[#This Row],[Currency]]="NOK"),BoM_Griptel[[#This Row],[ACT_Qty]]*BoM_Griptel[[#This Row],[Unit Price]],""),"")</f>
        <v/>
      </c>
      <c r="R881" s="41" t="str">
        <f>IFERROR(IF(AND(BoM_Griptel[[#This Row],[Quantity]]&lt;&gt;"",BoM_Griptel[[#This Row],[Currency]]="EUR"),BoM_Griptel[[#This Row],[Quantity]]*BoM_Griptel[[#This Row],[Unit Price]],""),"")</f>
        <v/>
      </c>
      <c r="S881" s="41" t="str">
        <f>IFERROR(IF(AND(BoM_Griptel[[#This Row],[ACT_Qty]]&lt;&gt;"",BoM_Griptel[[#This Row],[Currency]]="EUR"),BoM_Griptel[[#This Row],[ACT_Qty]]*BoM_Griptel[[#This Row],[Unit Price]],""),"")</f>
        <v/>
      </c>
      <c r="T881" s="185" t="s">
        <v>1802</v>
      </c>
      <c r="U881" s="45"/>
      <c r="V881" s="45"/>
      <c r="W881" s="45"/>
    </row>
    <row r="882" spans="1:23">
      <c r="A882" s="146" t="str">
        <f t="shared" si="26"/>
        <v>AKH12345</v>
      </c>
      <c r="B882" s="160"/>
      <c r="C882" s="69"/>
      <c r="D882" s="68"/>
      <c r="E882" s="89"/>
      <c r="F882" s="68"/>
      <c r="G882" s="89"/>
      <c r="H882" s="70"/>
      <c r="I882" s="78"/>
      <c r="J882" s="70"/>
      <c r="K882" s="70"/>
      <c r="L882" s="148" t="s">
        <v>1806</v>
      </c>
      <c r="M882" s="46" t="str">
        <f t="shared" si="27"/>
        <v>OneCo Networks AS</v>
      </c>
      <c r="N882" s="42" t="str">
        <f ca="1">IFERROR(
VLOOKUP(BoM_Griptel[[#This Row],[Product code]],
IF(AND((BoQ!$N$3&lt;&gt;""),OR(BoM_Griptel[[#This Row],[Vendor]]="Griptel",BoM_Griptel[[#This Row],[Vendor]]="Solar")),INDIRECT(Aux!$A$1)),4,FALSE),"")</f>
        <v/>
      </c>
      <c r="O882" s="170" t="s">
        <v>1807</v>
      </c>
      <c r="P882" s="43" t="str">
        <f>IFERROR(IF(AND(BoM_Griptel[[#This Row],[Quantity]]&lt;&gt;"",BoM_Griptel[[#This Row],[Currency]]="NOK"),BoM_Griptel[[#This Row],[Quantity]]*BoM_Griptel[[#This Row],[Unit Price]],""),"")</f>
        <v/>
      </c>
      <c r="Q882" s="43" t="str">
        <f>IFERROR(IF(AND(BoM_Griptel[[#This Row],[ACT_Qty]]&lt;&gt;"",BoM_Griptel[[#This Row],[Currency]]="NOK"),BoM_Griptel[[#This Row],[ACT_Qty]]*BoM_Griptel[[#This Row],[Unit Price]],""),"")</f>
        <v/>
      </c>
      <c r="R882" s="43" t="str">
        <f>IFERROR(IF(AND(BoM_Griptel[[#This Row],[Quantity]]&lt;&gt;"",BoM_Griptel[[#This Row],[Currency]]="EUR"),BoM_Griptel[[#This Row],[Quantity]]*BoM_Griptel[[#This Row],[Unit Price]],""),"")</f>
        <v/>
      </c>
      <c r="S882" s="43" t="str">
        <f>IFERROR(IF(AND(BoM_Griptel[[#This Row],[ACT_Qty]]&lt;&gt;"",BoM_Griptel[[#This Row],[Currency]]="EUR"),BoM_Griptel[[#This Row],[ACT_Qty]]*BoM_Griptel[[#This Row],[Unit Price]],""),"")</f>
        <v/>
      </c>
      <c r="T882" s="186" t="s">
        <v>1802</v>
      </c>
      <c r="U882" s="46"/>
      <c r="V882" s="46"/>
      <c r="W882" s="46"/>
    </row>
    <row r="883" spans="1:23">
      <c r="A883" s="143" t="str">
        <f t="shared" si="26"/>
        <v>AKH12345</v>
      </c>
      <c r="B883" s="159"/>
      <c r="C883" s="124"/>
      <c r="D883" s="105"/>
      <c r="E883" s="106"/>
      <c r="F883" s="105"/>
      <c r="G883" s="106"/>
      <c r="H883" s="125"/>
      <c r="I883" s="126"/>
      <c r="J883" s="125"/>
      <c r="K883" s="125"/>
      <c r="L883" s="145" t="s">
        <v>1806</v>
      </c>
      <c r="M883" s="45" t="str">
        <f t="shared" si="27"/>
        <v>OneCo Networks AS</v>
      </c>
      <c r="N883" s="40" t="str">
        <f ca="1">IFERROR(
VLOOKUP(BoM_Griptel[[#This Row],[Product code]],
IF(AND((BoQ!$N$3&lt;&gt;""),OR(BoM_Griptel[[#This Row],[Vendor]]="Griptel",BoM_Griptel[[#This Row],[Vendor]]="Solar")),INDIRECT(Aux!$A$1)),4,FALSE),"")</f>
        <v/>
      </c>
      <c r="O883" s="169" t="s">
        <v>1807</v>
      </c>
      <c r="P883" s="41" t="str">
        <f>IFERROR(IF(AND(BoM_Griptel[[#This Row],[Quantity]]&lt;&gt;"",BoM_Griptel[[#This Row],[Currency]]="NOK"),BoM_Griptel[[#This Row],[Quantity]]*BoM_Griptel[[#This Row],[Unit Price]],""),"")</f>
        <v/>
      </c>
      <c r="Q883" s="41" t="str">
        <f>IFERROR(IF(AND(BoM_Griptel[[#This Row],[ACT_Qty]]&lt;&gt;"",BoM_Griptel[[#This Row],[Currency]]="NOK"),BoM_Griptel[[#This Row],[ACT_Qty]]*BoM_Griptel[[#This Row],[Unit Price]],""),"")</f>
        <v/>
      </c>
      <c r="R883" s="41" t="str">
        <f>IFERROR(IF(AND(BoM_Griptel[[#This Row],[Quantity]]&lt;&gt;"",BoM_Griptel[[#This Row],[Currency]]="EUR"),BoM_Griptel[[#This Row],[Quantity]]*BoM_Griptel[[#This Row],[Unit Price]],""),"")</f>
        <v/>
      </c>
      <c r="S883" s="41" t="str">
        <f>IFERROR(IF(AND(BoM_Griptel[[#This Row],[ACT_Qty]]&lt;&gt;"",BoM_Griptel[[#This Row],[Currency]]="EUR"),BoM_Griptel[[#This Row],[ACT_Qty]]*BoM_Griptel[[#This Row],[Unit Price]],""),"")</f>
        <v/>
      </c>
      <c r="T883" s="185" t="s">
        <v>1802</v>
      </c>
      <c r="U883" s="45"/>
      <c r="V883" s="45"/>
      <c r="W883" s="45"/>
    </row>
    <row r="884" spans="1:23">
      <c r="A884" s="146" t="str">
        <f t="shared" si="26"/>
        <v>AKH12345</v>
      </c>
      <c r="B884" s="160"/>
      <c r="C884" s="69"/>
      <c r="D884" s="68"/>
      <c r="E884" s="89"/>
      <c r="F884" s="68"/>
      <c r="G884" s="89"/>
      <c r="H884" s="70"/>
      <c r="I884" s="78"/>
      <c r="J884" s="70"/>
      <c r="K884" s="70"/>
      <c r="L884" s="148" t="s">
        <v>1806</v>
      </c>
      <c r="M884" s="46" t="str">
        <f t="shared" si="27"/>
        <v>OneCo Networks AS</v>
      </c>
      <c r="N884" s="42" t="str">
        <f ca="1">IFERROR(
VLOOKUP(BoM_Griptel[[#This Row],[Product code]],
IF(AND((BoQ!$N$3&lt;&gt;""),OR(BoM_Griptel[[#This Row],[Vendor]]="Griptel",BoM_Griptel[[#This Row],[Vendor]]="Solar")),INDIRECT(Aux!$A$1)),4,FALSE),"")</f>
        <v/>
      </c>
      <c r="O884" s="170" t="s">
        <v>1807</v>
      </c>
      <c r="P884" s="43" t="str">
        <f>IFERROR(IF(AND(BoM_Griptel[[#This Row],[Quantity]]&lt;&gt;"",BoM_Griptel[[#This Row],[Currency]]="NOK"),BoM_Griptel[[#This Row],[Quantity]]*BoM_Griptel[[#This Row],[Unit Price]],""),"")</f>
        <v/>
      </c>
      <c r="Q884" s="43" t="str">
        <f>IFERROR(IF(AND(BoM_Griptel[[#This Row],[ACT_Qty]]&lt;&gt;"",BoM_Griptel[[#This Row],[Currency]]="NOK"),BoM_Griptel[[#This Row],[ACT_Qty]]*BoM_Griptel[[#This Row],[Unit Price]],""),"")</f>
        <v/>
      </c>
      <c r="R884" s="43" t="str">
        <f>IFERROR(IF(AND(BoM_Griptel[[#This Row],[Quantity]]&lt;&gt;"",BoM_Griptel[[#This Row],[Currency]]="EUR"),BoM_Griptel[[#This Row],[Quantity]]*BoM_Griptel[[#This Row],[Unit Price]],""),"")</f>
        <v/>
      </c>
      <c r="S884" s="43" t="str">
        <f>IFERROR(IF(AND(BoM_Griptel[[#This Row],[ACT_Qty]]&lt;&gt;"",BoM_Griptel[[#This Row],[Currency]]="EUR"),BoM_Griptel[[#This Row],[ACT_Qty]]*BoM_Griptel[[#This Row],[Unit Price]],""),"")</f>
        <v/>
      </c>
      <c r="T884" s="186" t="s">
        <v>1802</v>
      </c>
      <c r="U884" s="46"/>
      <c r="V884" s="46"/>
      <c r="W884" s="46"/>
    </row>
    <row r="885" spans="1:23">
      <c r="A885" s="143" t="str">
        <f t="shared" si="26"/>
        <v>AKH12345</v>
      </c>
      <c r="B885" s="159"/>
      <c r="C885" s="124"/>
      <c r="D885" s="105"/>
      <c r="E885" s="106"/>
      <c r="F885" s="105"/>
      <c r="G885" s="106"/>
      <c r="H885" s="125"/>
      <c r="I885" s="126"/>
      <c r="J885" s="125"/>
      <c r="K885" s="125"/>
      <c r="L885" s="145" t="s">
        <v>1806</v>
      </c>
      <c r="M885" s="45" t="str">
        <f t="shared" si="27"/>
        <v>OneCo Networks AS</v>
      </c>
      <c r="N885" s="40" t="str">
        <f ca="1">IFERROR(
VLOOKUP(BoM_Griptel[[#This Row],[Product code]],
IF(AND((BoQ!$N$3&lt;&gt;""),OR(BoM_Griptel[[#This Row],[Vendor]]="Griptel",BoM_Griptel[[#This Row],[Vendor]]="Solar")),INDIRECT(Aux!$A$1)),4,FALSE),"")</f>
        <v/>
      </c>
      <c r="O885" s="169" t="s">
        <v>1807</v>
      </c>
      <c r="P885" s="41" t="str">
        <f>IFERROR(IF(AND(BoM_Griptel[[#This Row],[Quantity]]&lt;&gt;"",BoM_Griptel[[#This Row],[Currency]]="NOK"),BoM_Griptel[[#This Row],[Quantity]]*BoM_Griptel[[#This Row],[Unit Price]],""),"")</f>
        <v/>
      </c>
      <c r="Q885" s="41" t="str">
        <f>IFERROR(IF(AND(BoM_Griptel[[#This Row],[ACT_Qty]]&lt;&gt;"",BoM_Griptel[[#This Row],[Currency]]="NOK"),BoM_Griptel[[#This Row],[ACT_Qty]]*BoM_Griptel[[#This Row],[Unit Price]],""),"")</f>
        <v/>
      </c>
      <c r="R885" s="41" t="str">
        <f>IFERROR(IF(AND(BoM_Griptel[[#This Row],[Quantity]]&lt;&gt;"",BoM_Griptel[[#This Row],[Currency]]="EUR"),BoM_Griptel[[#This Row],[Quantity]]*BoM_Griptel[[#This Row],[Unit Price]],""),"")</f>
        <v/>
      </c>
      <c r="S885" s="41" t="str">
        <f>IFERROR(IF(AND(BoM_Griptel[[#This Row],[ACT_Qty]]&lt;&gt;"",BoM_Griptel[[#This Row],[Currency]]="EUR"),BoM_Griptel[[#This Row],[ACT_Qty]]*BoM_Griptel[[#This Row],[Unit Price]],""),"")</f>
        <v/>
      </c>
      <c r="T885" s="185" t="s">
        <v>1802</v>
      </c>
      <c r="U885" s="45"/>
      <c r="V885" s="45"/>
      <c r="W885" s="45"/>
    </row>
    <row r="886" spans="1:23">
      <c r="A886" s="146" t="str">
        <f t="shared" si="26"/>
        <v>AKH12345</v>
      </c>
      <c r="B886" s="160"/>
      <c r="C886" s="69"/>
      <c r="D886" s="68"/>
      <c r="E886" s="89"/>
      <c r="F886" s="68"/>
      <c r="G886" s="89"/>
      <c r="H886" s="70"/>
      <c r="I886" s="78"/>
      <c r="J886" s="70"/>
      <c r="K886" s="70"/>
      <c r="L886" s="148" t="s">
        <v>1806</v>
      </c>
      <c r="M886" s="46" t="str">
        <f t="shared" si="27"/>
        <v>OneCo Networks AS</v>
      </c>
      <c r="N886" s="42" t="str">
        <f ca="1">IFERROR(
VLOOKUP(BoM_Griptel[[#This Row],[Product code]],
IF(AND((BoQ!$N$3&lt;&gt;""),OR(BoM_Griptel[[#This Row],[Vendor]]="Griptel",BoM_Griptel[[#This Row],[Vendor]]="Solar")),INDIRECT(Aux!$A$1)),4,FALSE),"")</f>
        <v/>
      </c>
      <c r="O886" s="170" t="s">
        <v>1807</v>
      </c>
      <c r="P886" s="43" t="str">
        <f>IFERROR(IF(AND(BoM_Griptel[[#This Row],[Quantity]]&lt;&gt;"",BoM_Griptel[[#This Row],[Currency]]="NOK"),BoM_Griptel[[#This Row],[Quantity]]*BoM_Griptel[[#This Row],[Unit Price]],""),"")</f>
        <v/>
      </c>
      <c r="Q886" s="43" t="str">
        <f>IFERROR(IF(AND(BoM_Griptel[[#This Row],[ACT_Qty]]&lt;&gt;"",BoM_Griptel[[#This Row],[Currency]]="NOK"),BoM_Griptel[[#This Row],[ACT_Qty]]*BoM_Griptel[[#This Row],[Unit Price]],""),"")</f>
        <v/>
      </c>
      <c r="R886" s="43" t="str">
        <f>IFERROR(IF(AND(BoM_Griptel[[#This Row],[Quantity]]&lt;&gt;"",BoM_Griptel[[#This Row],[Currency]]="EUR"),BoM_Griptel[[#This Row],[Quantity]]*BoM_Griptel[[#This Row],[Unit Price]],""),"")</f>
        <v/>
      </c>
      <c r="S886" s="43" t="str">
        <f>IFERROR(IF(AND(BoM_Griptel[[#This Row],[ACT_Qty]]&lt;&gt;"",BoM_Griptel[[#This Row],[Currency]]="EUR"),BoM_Griptel[[#This Row],[ACT_Qty]]*BoM_Griptel[[#This Row],[Unit Price]],""),"")</f>
        <v/>
      </c>
      <c r="T886" s="186" t="s">
        <v>1802</v>
      </c>
      <c r="U886" s="46"/>
      <c r="V886" s="46"/>
      <c r="W886" s="46"/>
    </row>
    <row r="887" spans="1:23">
      <c r="A887" s="143" t="str">
        <f t="shared" si="26"/>
        <v>AKH12345</v>
      </c>
      <c r="B887" s="159"/>
      <c r="C887" s="124"/>
      <c r="D887" s="105"/>
      <c r="E887" s="106"/>
      <c r="F887" s="105"/>
      <c r="G887" s="106"/>
      <c r="H887" s="125"/>
      <c r="I887" s="126"/>
      <c r="J887" s="125"/>
      <c r="K887" s="125"/>
      <c r="L887" s="145" t="s">
        <v>1806</v>
      </c>
      <c r="M887" s="45" t="str">
        <f t="shared" si="27"/>
        <v>OneCo Networks AS</v>
      </c>
      <c r="N887" s="40" t="str">
        <f ca="1">IFERROR(
VLOOKUP(BoM_Griptel[[#This Row],[Product code]],
IF(AND((BoQ!$N$3&lt;&gt;""),OR(BoM_Griptel[[#This Row],[Vendor]]="Griptel",BoM_Griptel[[#This Row],[Vendor]]="Solar")),INDIRECT(Aux!$A$1)),4,FALSE),"")</f>
        <v/>
      </c>
      <c r="O887" s="169" t="s">
        <v>1807</v>
      </c>
      <c r="P887" s="41" t="str">
        <f>IFERROR(IF(AND(BoM_Griptel[[#This Row],[Quantity]]&lt;&gt;"",BoM_Griptel[[#This Row],[Currency]]="NOK"),BoM_Griptel[[#This Row],[Quantity]]*BoM_Griptel[[#This Row],[Unit Price]],""),"")</f>
        <v/>
      </c>
      <c r="Q887" s="41" t="str">
        <f>IFERROR(IF(AND(BoM_Griptel[[#This Row],[ACT_Qty]]&lt;&gt;"",BoM_Griptel[[#This Row],[Currency]]="NOK"),BoM_Griptel[[#This Row],[ACT_Qty]]*BoM_Griptel[[#This Row],[Unit Price]],""),"")</f>
        <v/>
      </c>
      <c r="R887" s="41" t="str">
        <f>IFERROR(IF(AND(BoM_Griptel[[#This Row],[Quantity]]&lt;&gt;"",BoM_Griptel[[#This Row],[Currency]]="EUR"),BoM_Griptel[[#This Row],[Quantity]]*BoM_Griptel[[#This Row],[Unit Price]],""),"")</f>
        <v/>
      </c>
      <c r="S887" s="41" t="str">
        <f>IFERROR(IF(AND(BoM_Griptel[[#This Row],[ACT_Qty]]&lt;&gt;"",BoM_Griptel[[#This Row],[Currency]]="EUR"),BoM_Griptel[[#This Row],[ACT_Qty]]*BoM_Griptel[[#This Row],[Unit Price]],""),"")</f>
        <v/>
      </c>
      <c r="T887" s="185" t="s">
        <v>1802</v>
      </c>
      <c r="U887" s="45"/>
      <c r="V887" s="45"/>
      <c r="W887" s="45"/>
    </row>
    <row r="888" spans="1:23">
      <c r="A888" s="146" t="str">
        <f t="shared" si="26"/>
        <v>AKH12345</v>
      </c>
      <c r="B888" s="160"/>
      <c r="C888" s="69"/>
      <c r="D888" s="68"/>
      <c r="E888" s="89"/>
      <c r="F888" s="68"/>
      <c r="G888" s="89"/>
      <c r="H888" s="70"/>
      <c r="I888" s="78"/>
      <c r="J888" s="70"/>
      <c r="K888" s="70"/>
      <c r="L888" s="148" t="s">
        <v>1806</v>
      </c>
      <c r="M888" s="46" t="str">
        <f t="shared" si="27"/>
        <v>OneCo Networks AS</v>
      </c>
      <c r="N888" s="42" t="str">
        <f ca="1">IFERROR(
VLOOKUP(BoM_Griptel[[#This Row],[Product code]],
IF(AND((BoQ!$N$3&lt;&gt;""),OR(BoM_Griptel[[#This Row],[Vendor]]="Griptel",BoM_Griptel[[#This Row],[Vendor]]="Solar")),INDIRECT(Aux!$A$1)),4,FALSE),"")</f>
        <v/>
      </c>
      <c r="O888" s="170" t="s">
        <v>1807</v>
      </c>
      <c r="P888" s="43" t="str">
        <f>IFERROR(IF(AND(BoM_Griptel[[#This Row],[Quantity]]&lt;&gt;"",BoM_Griptel[[#This Row],[Currency]]="NOK"),BoM_Griptel[[#This Row],[Quantity]]*BoM_Griptel[[#This Row],[Unit Price]],""),"")</f>
        <v/>
      </c>
      <c r="Q888" s="43" t="str">
        <f>IFERROR(IF(AND(BoM_Griptel[[#This Row],[ACT_Qty]]&lt;&gt;"",BoM_Griptel[[#This Row],[Currency]]="NOK"),BoM_Griptel[[#This Row],[ACT_Qty]]*BoM_Griptel[[#This Row],[Unit Price]],""),"")</f>
        <v/>
      </c>
      <c r="R888" s="43" t="str">
        <f>IFERROR(IF(AND(BoM_Griptel[[#This Row],[Quantity]]&lt;&gt;"",BoM_Griptel[[#This Row],[Currency]]="EUR"),BoM_Griptel[[#This Row],[Quantity]]*BoM_Griptel[[#This Row],[Unit Price]],""),"")</f>
        <v/>
      </c>
      <c r="S888" s="43" t="str">
        <f>IFERROR(IF(AND(BoM_Griptel[[#This Row],[ACT_Qty]]&lt;&gt;"",BoM_Griptel[[#This Row],[Currency]]="EUR"),BoM_Griptel[[#This Row],[ACT_Qty]]*BoM_Griptel[[#This Row],[Unit Price]],""),"")</f>
        <v/>
      </c>
      <c r="T888" s="186" t="s">
        <v>1802</v>
      </c>
      <c r="U888" s="46"/>
      <c r="V888" s="46"/>
      <c r="W888" s="46"/>
    </row>
    <row r="889" spans="1:23">
      <c r="A889" s="143" t="str">
        <f t="shared" si="26"/>
        <v>AKH12345</v>
      </c>
      <c r="B889" s="159"/>
      <c r="C889" s="124"/>
      <c r="D889" s="105"/>
      <c r="E889" s="106"/>
      <c r="F889" s="105"/>
      <c r="G889" s="106"/>
      <c r="H889" s="125"/>
      <c r="I889" s="126"/>
      <c r="J889" s="125"/>
      <c r="K889" s="125"/>
      <c r="L889" s="145" t="s">
        <v>1806</v>
      </c>
      <c r="M889" s="45" t="str">
        <f t="shared" si="27"/>
        <v>OneCo Networks AS</v>
      </c>
      <c r="N889" s="40" t="str">
        <f ca="1">IFERROR(
VLOOKUP(BoM_Griptel[[#This Row],[Product code]],
IF(AND((BoQ!$N$3&lt;&gt;""),OR(BoM_Griptel[[#This Row],[Vendor]]="Griptel",BoM_Griptel[[#This Row],[Vendor]]="Solar")),INDIRECT(Aux!$A$1)),4,FALSE),"")</f>
        <v/>
      </c>
      <c r="O889" s="169" t="s">
        <v>1807</v>
      </c>
      <c r="P889" s="41" t="str">
        <f>IFERROR(IF(AND(BoM_Griptel[[#This Row],[Quantity]]&lt;&gt;"",BoM_Griptel[[#This Row],[Currency]]="NOK"),BoM_Griptel[[#This Row],[Quantity]]*BoM_Griptel[[#This Row],[Unit Price]],""),"")</f>
        <v/>
      </c>
      <c r="Q889" s="41" t="str">
        <f>IFERROR(IF(AND(BoM_Griptel[[#This Row],[ACT_Qty]]&lt;&gt;"",BoM_Griptel[[#This Row],[Currency]]="NOK"),BoM_Griptel[[#This Row],[ACT_Qty]]*BoM_Griptel[[#This Row],[Unit Price]],""),"")</f>
        <v/>
      </c>
      <c r="R889" s="41" t="str">
        <f>IFERROR(IF(AND(BoM_Griptel[[#This Row],[Quantity]]&lt;&gt;"",BoM_Griptel[[#This Row],[Currency]]="EUR"),BoM_Griptel[[#This Row],[Quantity]]*BoM_Griptel[[#This Row],[Unit Price]],""),"")</f>
        <v/>
      </c>
      <c r="S889" s="41" t="str">
        <f>IFERROR(IF(AND(BoM_Griptel[[#This Row],[ACT_Qty]]&lt;&gt;"",BoM_Griptel[[#This Row],[Currency]]="EUR"),BoM_Griptel[[#This Row],[ACT_Qty]]*BoM_Griptel[[#This Row],[Unit Price]],""),"")</f>
        <v/>
      </c>
      <c r="T889" s="185" t="s">
        <v>1802</v>
      </c>
      <c r="U889" s="45"/>
      <c r="V889" s="45"/>
      <c r="W889" s="45"/>
    </row>
    <row r="890" spans="1:23">
      <c r="A890" s="146" t="str">
        <f t="shared" si="26"/>
        <v>AKH12345</v>
      </c>
      <c r="B890" s="160"/>
      <c r="C890" s="69"/>
      <c r="D890" s="68"/>
      <c r="E890" s="89"/>
      <c r="F890" s="68"/>
      <c r="G890" s="89"/>
      <c r="H890" s="70"/>
      <c r="I890" s="78"/>
      <c r="J890" s="70"/>
      <c r="K890" s="70"/>
      <c r="L890" s="148" t="s">
        <v>1806</v>
      </c>
      <c r="M890" s="46" t="str">
        <f t="shared" si="27"/>
        <v>OneCo Networks AS</v>
      </c>
      <c r="N890" s="42" t="str">
        <f ca="1">IFERROR(
VLOOKUP(BoM_Griptel[[#This Row],[Product code]],
IF(AND((BoQ!$N$3&lt;&gt;""),OR(BoM_Griptel[[#This Row],[Vendor]]="Griptel",BoM_Griptel[[#This Row],[Vendor]]="Solar")),INDIRECT(Aux!$A$1)),4,FALSE),"")</f>
        <v/>
      </c>
      <c r="O890" s="170" t="s">
        <v>1807</v>
      </c>
      <c r="P890" s="43" t="str">
        <f>IFERROR(IF(AND(BoM_Griptel[[#This Row],[Quantity]]&lt;&gt;"",BoM_Griptel[[#This Row],[Currency]]="NOK"),BoM_Griptel[[#This Row],[Quantity]]*BoM_Griptel[[#This Row],[Unit Price]],""),"")</f>
        <v/>
      </c>
      <c r="Q890" s="43" t="str">
        <f>IFERROR(IF(AND(BoM_Griptel[[#This Row],[ACT_Qty]]&lt;&gt;"",BoM_Griptel[[#This Row],[Currency]]="NOK"),BoM_Griptel[[#This Row],[ACT_Qty]]*BoM_Griptel[[#This Row],[Unit Price]],""),"")</f>
        <v/>
      </c>
      <c r="R890" s="43" t="str">
        <f>IFERROR(IF(AND(BoM_Griptel[[#This Row],[Quantity]]&lt;&gt;"",BoM_Griptel[[#This Row],[Currency]]="EUR"),BoM_Griptel[[#This Row],[Quantity]]*BoM_Griptel[[#This Row],[Unit Price]],""),"")</f>
        <v/>
      </c>
      <c r="S890" s="43" t="str">
        <f>IFERROR(IF(AND(BoM_Griptel[[#This Row],[ACT_Qty]]&lt;&gt;"",BoM_Griptel[[#This Row],[Currency]]="EUR"),BoM_Griptel[[#This Row],[ACT_Qty]]*BoM_Griptel[[#This Row],[Unit Price]],""),"")</f>
        <v/>
      </c>
      <c r="T890" s="186" t="s">
        <v>1802</v>
      </c>
      <c r="U890" s="46"/>
      <c r="V890" s="46"/>
      <c r="W890" s="46"/>
    </row>
    <row r="891" spans="1:23">
      <c r="A891" s="143" t="str">
        <f t="shared" si="26"/>
        <v>AKH12345</v>
      </c>
      <c r="B891" s="159"/>
      <c r="C891" s="124"/>
      <c r="D891" s="105"/>
      <c r="E891" s="106"/>
      <c r="F891" s="105"/>
      <c r="G891" s="106"/>
      <c r="H891" s="125"/>
      <c r="I891" s="126"/>
      <c r="J891" s="125"/>
      <c r="K891" s="125"/>
      <c r="L891" s="145" t="s">
        <v>1806</v>
      </c>
      <c r="M891" s="45" t="str">
        <f t="shared" si="27"/>
        <v>OneCo Networks AS</v>
      </c>
      <c r="N891" s="40" t="str">
        <f ca="1">IFERROR(
VLOOKUP(BoM_Griptel[[#This Row],[Product code]],
IF(AND((BoQ!$N$3&lt;&gt;""),OR(BoM_Griptel[[#This Row],[Vendor]]="Griptel",BoM_Griptel[[#This Row],[Vendor]]="Solar")),INDIRECT(Aux!$A$1)),4,FALSE),"")</f>
        <v/>
      </c>
      <c r="O891" s="169" t="s">
        <v>1807</v>
      </c>
      <c r="P891" s="41" t="str">
        <f>IFERROR(IF(AND(BoM_Griptel[[#This Row],[Quantity]]&lt;&gt;"",BoM_Griptel[[#This Row],[Currency]]="NOK"),BoM_Griptel[[#This Row],[Quantity]]*BoM_Griptel[[#This Row],[Unit Price]],""),"")</f>
        <v/>
      </c>
      <c r="Q891" s="41" t="str">
        <f>IFERROR(IF(AND(BoM_Griptel[[#This Row],[ACT_Qty]]&lt;&gt;"",BoM_Griptel[[#This Row],[Currency]]="NOK"),BoM_Griptel[[#This Row],[ACT_Qty]]*BoM_Griptel[[#This Row],[Unit Price]],""),"")</f>
        <v/>
      </c>
      <c r="R891" s="41" t="str">
        <f>IFERROR(IF(AND(BoM_Griptel[[#This Row],[Quantity]]&lt;&gt;"",BoM_Griptel[[#This Row],[Currency]]="EUR"),BoM_Griptel[[#This Row],[Quantity]]*BoM_Griptel[[#This Row],[Unit Price]],""),"")</f>
        <v/>
      </c>
      <c r="S891" s="41" t="str">
        <f>IFERROR(IF(AND(BoM_Griptel[[#This Row],[ACT_Qty]]&lt;&gt;"",BoM_Griptel[[#This Row],[Currency]]="EUR"),BoM_Griptel[[#This Row],[ACT_Qty]]*BoM_Griptel[[#This Row],[Unit Price]],""),"")</f>
        <v/>
      </c>
      <c r="T891" s="185" t="s">
        <v>1802</v>
      </c>
      <c r="U891" s="45"/>
      <c r="V891" s="45"/>
      <c r="W891" s="45"/>
    </row>
    <row r="892" spans="1:23">
      <c r="A892" s="146" t="str">
        <f t="shared" si="26"/>
        <v>AKH12345</v>
      </c>
      <c r="B892" s="160"/>
      <c r="C892" s="69"/>
      <c r="D892" s="68"/>
      <c r="E892" s="89"/>
      <c r="F892" s="68"/>
      <c r="G892" s="89"/>
      <c r="H892" s="70"/>
      <c r="I892" s="78"/>
      <c r="J892" s="70"/>
      <c r="K892" s="70"/>
      <c r="L892" s="148" t="s">
        <v>1806</v>
      </c>
      <c r="M892" s="46" t="str">
        <f t="shared" si="27"/>
        <v>OneCo Networks AS</v>
      </c>
      <c r="N892" s="42" t="str">
        <f ca="1">IFERROR(
VLOOKUP(BoM_Griptel[[#This Row],[Product code]],
IF(AND((BoQ!$N$3&lt;&gt;""),OR(BoM_Griptel[[#This Row],[Vendor]]="Griptel",BoM_Griptel[[#This Row],[Vendor]]="Solar")),INDIRECT(Aux!$A$1)),4,FALSE),"")</f>
        <v/>
      </c>
      <c r="O892" s="170" t="s">
        <v>1807</v>
      </c>
      <c r="P892" s="43" t="str">
        <f>IFERROR(IF(AND(BoM_Griptel[[#This Row],[Quantity]]&lt;&gt;"",BoM_Griptel[[#This Row],[Currency]]="NOK"),BoM_Griptel[[#This Row],[Quantity]]*BoM_Griptel[[#This Row],[Unit Price]],""),"")</f>
        <v/>
      </c>
      <c r="Q892" s="43" t="str">
        <f>IFERROR(IF(AND(BoM_Griptel[[#This Row],[ACT_Qty]]&lt;&gt;"",BoM_Griptel[[#This Row],[Currency]]="NOK"),BoM_Griptel[[#This Row],[ACT_Qty]]*BoM_Griptel[[#This Row],[Unit Price]],""),"")</f>
        <v/>
      </c>
      <c r="R892" s="43" t="str">
        <f>IFERROR(IF(AND(BoM_Griptel[[#This Row],[Quantity]]&lt;&gt;"",BoM_Griptel[[#This Row],[Currency]]="EUR"),BoM_Griptel[[#This Row],[Quantity]]*BoM_Griptel[[#This Row],[Unit Price]],""),"")</f>
        <v/>
      </c>
      <c r="S892" s="43" t="str">
        <f>IFERROR(IF(AND(BoM_Griptel[[#This Row],[ACT_Qty]]&lt;&gt;"",BoM_Griptel[[#This Row],[Currency]]="EUR"),BoM_Griptel[[#This Row],[ACT_Qty]]*BoM_Griptel[[#This Row],[Unit Price]],""),"")</f>
        <v/>
      </c>
      <c r="T892" s="186" t="s">
        <v>1802</v>
      </c>
      <c r="U892" s="46"/>
      <c r="V892" s="46"/>
      <c r="W892" s="46"/>
    </row>
    <row r="893" spans="1:23">
      <c r="A893" s="143" t="str">
        <f t="shared" si="26"/>
        <v>AKH12345</v>
      </c>
      <c r="B893" s="159"/>
      <c r="C893" s="124"/>
      <c r="D893" s="105"/>
      <c r="E893" s="106"/>
      <c r="F893" s="105"/>
      <c r="G893" s="106"/>
      <c r="H893" s="125"/>
      <c r="I893" s="126"/>
      <c r="J893" s="125"/>
      <c r="K893" s="125"/>
      <c r="L893" s="145" t="s">
        <v>1806</v>
      </c>
      <c r="M893" s="45" t="str">
        <f t="shared" si="27"/>
        <v>OneCo Networks AS</v>
      </c>
      <c r="N893" s="40" t="str">
        <f ca="1">IFERROR(
VLOOKUP(BoM_Griptel[[#This Row],[Product code]],
IF(AND((BoQ!$N$3&lt;&gt;""),OR(BoM_Griptel[[#This Row],[Vendor]]="Griptel",BoM_Griptel[[#This Row],[Vendor]]="Solar")),INDIRECT(Aux!$A$1)),4,FALSE),"")</f>
        <v/>
      </c>
      <c r="O893" s="169" t="s">
        <v>1807</v>
      </c>
      <c r="P893" s="41" t="str">
        <f>IFERROR(IF(AND(BoM_Griptel[[#This Row],[Quantity]]&lt;&gt;"",BoM_Griptel[[#This Row],[Currency]]="NOK"),BoM_Griptel[[#This Row],[Quantity]]*BoM_Griptel[[#This Row],[Unit Price]],""),"")</f>
        <v/>
      </c>
      <c r="Q893" s="41" t="str">
        <f>IFERROR(IF(AND(BoM_Griptel[[#This Row],[ACT_Qty]]&lt;&gt;"",BoM_Griptel[[#This Row],[Currency]]="NOK"),BoM_Griptel[[#This Row],[ACT_Qty]]*BoM_Griptel[[#This Row],[Unit Price]],""),"")</f>
        <v/>
      </c>
      <c r="R893" s="41" t="str">
        <f>IFERROR(IF(AND(BoM_Griptel[[#This Row],[Quantity]]&lt;&gt;"",BoM_Griptel[[#This Row],[Currency]]="EUR"),BoM_Griptel[[#This Row],[Quantity]]*BoM_Griptel[[#This Row],[Unit Price]],""),"")</f>
        <v/>
      </c>
      <c r="S893" s="41" t="str">
        <f>IFERROR(IF(AND(BoM_Griptel[[#This Row],[ACT_Qty]]&lt;&gt;"",BoM_Griptel[[#This Row],[Currency]]="EUR"),BoM_Griptel[[#This Row],[ACT_Qty]]*BoM_Griptel[[#This Row],[Unit Price]],""),"")</f>
        <v/>
      </c>
      <c r="T893" s="185" t="s">
        <v>1802</v>
      </c>
      <c r="U893" s="45"/>
      <c r="V893" s="45"/>
      <c r="W893" s="45"/>
    </row>
    <row r="894" spans="1:23">
      <c r="A894" s="146" t="str">
        <f t="shared" si="26"/>
        <v>AKH12345</v>
      </c>
      <c r="B894" s="160"/>
      <c r="C894" s="69"/>
      <c r="D894" s="68"/>
      <c r="E894" s="89"/>
      <c r="F894" s="68"/>
      <c r="G894" s="89"/>
      <c r="H894" s="70"/>
      <c r="I894" s="78"/>
      <c r="J894" s="70"/>
      <c r="K894" s="70"/>
      <c r="L894" s="148" t="s">
        <v>1806</v>
      </c>
      <c r="M894" s="46" t="str">
        <f t="shared" si="27"/>
        <v>OneCo Networks AS</v>
      </c>
      <c r="N894" s="42" t="str">
        <f ca="1">IFERROR(
VLOOKUP(BoM_Griptel[[#This Row],[Product code]],
IF(AND((BoQ!$N$3&lt;&gt;""),OR(BoM_Griptel[[#This Row],[Vendor]]="Griptel",BoM_Griptel[[#This Row],[Vendor]]="Solar")),INDIRECT(Aux!$A$1)),4,FALSE),"")</f>
        <v/>
      </c>
      <c r="O894" s="170" t="s">
        <v>1807</v>
      </c>
      <c r="P894" s="43" t="str">
        <f>IFERROR(IF(AND(BoM_Griptel[[#This Row],[Quantity]]&lt;&gt;"",BoM_Griptel[[#This Row],[Currency]]="NOK"),BoM_Griptel[[#This Row],[Quantity]]*BoM_Griptel[[#This Row],[Unit Price]],""),"")</f>
        <v/>
      </c>
      <c r="Q894" s="43" t="str">
        <f>IFERROR(IF(AND(BoM_Griptel[[#This Row],[ACT_Qty]]&lt;&gt;"",BoM_Griptel[[#This Row],[Currency]]="NOK"),BoM_Griptel[[#This Row],[ACT_Qty]]*BoM_Griptel[[#This Row],[Unit Price]],""),"")</f>
        <v/>
      </c>
      <c r="R894" s="43" t="str">
        <f>IFERROR(IF(AND(BoM_Griptel[[#This Row],[Quantity]]&lt;&gt;"",BoM_Griptel[[#This Row],[Currency]]="EUR"),BoM_Griptel[[#This Row],[Quantity]]*BoM_Griptel[[#This Row],[Unit Price]],""),"")</f>
        <v/>
      </c>
      <c r="S894" s="43" t="str">
        <f>IFERROR(IF(AND(BoM_Griptel[[#This Row],[ACT_Qty]]&lt;&gt;"",BoM_Griptel[[#This Row],[Currency]]="EUR"),BoM_Griptel[[#This Row],[ACT_Qty]]*BoM_Griptel[[#This Row],[Unit Price]],""),"")</f>
        <v/>
      </c>
      <c r="T894" s="186" t="s">
        <v>1802</v>
      </c>
      <c r="U894" s="46"/>
      <c r="V894" s="46"/>
      <c r="W894" s="46"/>
    </row>
    <row r="895" spans="1:23">
      <c r="A895" s="143" t="str">
        <f t="shared" si="26"/>
        <v>AKH12345</v>
      </c>
      <c r="B895" s="159"/>
      <c r="C895" s="124"/>
      <c r="D895" s="105"/>
      <c r="E895" s="106"/>
      <c r="F895" s="105"/>
      <c r="G895" s="106"/>
      <c r="H895" s="125"/>
      <c r="I895" s="126"/>
      <c r="J895" s="125"/>
      <c r="K895" s="125"/>
      <c r="L895" s="145" t="s">
        <v>1806</v>
      </c>
      <c r="M895" s="45" t="str">
        <f t="shared" si="27"/>
        <v>OneCo Networks AS</v>
      </c>
      <c r="N895" s="40" t="str">
        <f ca="1">IFERROR(
VLOOKUP(BoM_Griptel[[#This Row],[Product code]],
IF(AND((BoQ!$N$3&lt;&gt;""),OR(BoM_Griptel[[#This Row],[Vendor]]="Griptel",BoM_Griptel[[#This Row],[Vendor]]="Solar")),INDIRECT(Aux!$A$1)),4,FALSE),"")</f>
        <v/>
      </c>
      <c r="O895" s="169" t="s">
        <v>1807</v>
      </c>
      <c r="P895" s="41" t="str">
        <f>IFERROR(IF(AND(BoM_Griptel[[#This Row],[Quantity]]&lt;&gt;"",BoM_Griptel[[#This Row],[Currency]]="NOK"),BoM_Griptel[[#This Row],[Quantity]]*BoM_Griptel[[#This Row],[Unit Price]],""),"")</f>
        <v/>
      </c>
      <c r="Q895" s="41" t="str">
        <f>IFERROR(IF(AND(BoM_Griptel[[#This Row],[ACT_Qty]]&lt;&gt;"",BoM_Griptel[[#This Row],[Currency]]="NOK"),BoM_Griptel[[#This Row],[ACT_Qty]]*BoM_Griptel[[#This Row],[Unit Price]],""),"")</f>
        <v/>
      </c>
      <c r="R895" s="41" t="str">
        <f>IFERROR(IF(AND(BoM_Griptel[[#This Row],[Quantity]]&lt;&gt;"",BoM_Griptel[[#This Row],[Currency]]="EUR"),BoM_Griptel[[#This Row],[Quantity]]*BoM_Griptel[[#This Row],[Unit Price]],""),"")</f>
        <v/>
      </c>
      <c r="S895" s="41" t="str">
        <f>IFERROR(IF(AND(BoM_Griptel[[#This Row],[ACT_Qty]]&lt;&gt;"",BoM_Griptel[[#This Row],[Currency]]="EUR"),BoM_Griptel[[#This Row],[ACT_Qty]]*BoM_Griptel[[#This Row],[Unit Price]],""),"")</f>
        <v/>
      </c>
      <c r="T895" s="185" t="s">
        <v>1802</v>
      </c>
      <c r="U895" s="45"/>
      <c r="V895" s="45"/>
      <c r="W895" s="45"/>
    </row>
    <row r="896" spans="1:23">
      <c r="A896" s="146" t="str">
        <f t="shared" si="26"/>
        <v>AKH12345</v>
      </c>
      <c r="B896" s="160"/>
      <c r="C896" s="69"/>
      <c r="D896" s="68"/>
      <c r="E896" s="89"/>
      <c r="F896" s="68"/>
      <c r="G896" s="89"/>
      <c r="H896" s="70"/>
      <c r="I896" s="78"/>
      <c r="J896" s="70"/>
      <c r="K896" s="70"/>
      <c r="L896" s="148" t="s">
        <v>1806</v>
      </c>
      <c r="M896" s="46" t="str">
        <f t="shared" si="27"/>
        <v>OneCo Networks AS</v>
      </c>
      <c r="N896" s="42" t="str">
        <f ca="1">IFERROR(
VLOOKUP(BoM_Griptel[[#This Row],[Product code]],
IF(AND((BoQ!$N$3&lt;&gt;""),OR(BoM_Griptel[[#This Row],[Vendor]]="Griptel",BoM_Griptel[[#This Row],[Vendor]]="Solar")),INDIRECT(Aux!$A$1)),4,FALSE),"")</f>
        <v/>
      </c>
      <c r="O896" s="170" t="s">
        <v>1807</v>
      </c>
      <c r="P896" s="43" t="str">
        <f>IFERROR(IF(AND(BoM_Griptel[[#This Row],[Quantity]]&lt;&gt;"",BoM_Griptel[[#This Row],[Currency]]="NOK"),BoM_Griptel[[#This Row],[Quantity]]*BoM_Griptel[[#This Row],[Unit Price]],""),"")</f>
        <v/>
      </c>
      <c r="Q896" s="43" t="str">
        <f>IFERROR(IF(AND(BoM_Griptel[[#This Row],[ACT_Qty]]&lt;&gt;"",BoM_Griptel[[#This Row],[Currency]]="NOK"),BoM_Griptel[[#This Row],[ACT_Qty]]*BoM_Griptel[[#This Row],[Unit Price]],""),"")</f>
        <v/>
      </c>
      <c r="R896" s="43" t="str">
        <f>IFERROR(IF(AND(BoM_Griptel[[#This Row],[Quantity]]&lt;&gt;"",BoM_Griptel[[#This Row],[Currency]]="EUR"),BoM_Griptel[[#This Row],[Quantity]]*BoM_Griptel[[#This Row],[Unit Price]],""),"")</f>
        <v/>
      </c>
      <c r="S896" s="43" t="str">
        <f>IFERROR(IF(AND(BoM_Griptel[[#This Row],[ACT_Qty]]&lt;&gt;"",BoM_Griptel[[#This Row],[Currency]]="EUR"),BoM_Griptel[[#This Row],[ACT_Qty]]*BoM_Griptel[[#This Row],[Unit Price]],""),"")</f>
        <v/>
      </c>
      <c r="T896" s="186" t="s">
        <v>1802</v>
      </c>
      <c r="U896" s="46"/>
      <c r="V896" s="46"/>
      <c r="W896" s="46"/>
    </row>
    <row r="897" spans="1:23">
      <c r="A897" s="143" t="str">
        <f t="shared" si="26"/>
        <v>AKH12345</v>
      </c>
      <c r="B897" s="159"/>
      <c r="C897" s="124"/>
      <c r="D897" s="105"/>
      <c r="E897" s="106"/>
      <c r="F897" s="105"/>
      <c r="G897" s="106"/>
      <c r="H897" s="125"/>
      <c r="I897" s="126"/>
      <c r="J897" s="125"/>
      <c r="K897" s="125"/>
      <c r="L897" s="145" t="s">
        <v>1806</v>
      </c>
      <c r="M897" s="45" t="str">
        <f t="shared" si="27"/>
        <v>OneCo Networks AS</v>
      </c>
      <c r="N897" s="40" t="str">
        <f ca="1">IFERROR(
VLOOKUP(BoM_Griptel[[#This Row],[Product code]],
IF(AND((BoQ!$N$3&lt;&gt;""),OR(BoM_Griptel[[#This Row],[Vendor]]="Griptel",BoM_Griptel[[#This Row],[Vendor]]="Solar")),INDIRECT(Aux!$A$1)),4,FALSE),"")</f>
        <v/>
      </c>
      <c r="O897" s="169" t="s">
        <v>1807</v>
      </c>
      <c r="P897" s="41" t="str">
        <f>IFERROR(IF(AND(BoM_Griptel[[#This Row],[Quantity]]&lt;&gt;"",BoM_Griptel[[#This Row],[Currency]]="NOK"),BoM_Griptel[[#This Row],[Quantity]]*BoM_Griptel[[#This Row],[Unit Price]],""),"")</f>
        <v/>
      </c>
      <c r="Q897" s="41" t="str">
        <f>IFERROR(IF(AND(BoM_Griptel[[#This Row],[ACT_Qty]]&lt;&gt;"",BoM_Griptel[[#This Row],[Currency]]="NOK"),BoM_Griptel[[#This Row],[ACT_Qty]]*BoM_Griptel[[#This Row],[Unit Price]],""),"")</f>
        <v/>
      </c>
      <c r="R897" s="41" t="str">
        <f>IFERROR(IF(AND(BoM_Griptel[[#This Row],[Quantity]]&lt;&gt;"",BoM_Griptel[[#This Row],[Currency]]="EUR"),BoM_Griptel[[#This Row],[Quantity]]*BoM_Griptel[[#This Row],[Unit Price]],""),"")</f>
        <v/>
      </c>
      <c r="S897" s="41" t="str">
        <f>IFERROR(IF(AND(BoM_Griptel[[#This Row],[ACT_Qty]]&lt;&gt;"",BoM_Griptel[[#This Row],[Currency]]="EUR"),BoM_Griptel[[#This Row],[ACT_Qty]]*BoM_Griptel[[#This Row],[Unit Price]],""),"")</f>
        <v/>
      </c>
      <c r="T897" s="185" t="s">
        <v>1802</v>
      </c>
      <c r="U897" s="45"/>
      <c r="V897" s="45"/>
      <c r="W897" s="45"/>
    </row>
    <row r="898" spans="1:23">
      <c r="A898" s="146" t="str">
        <f t="shared" si="26"/>
        <v>AKH12345</v>
      </c>
      <c r="B898" s="160"/>
      <c r="C898" s="69"/>
      <c r="D898" s="68"/>
      <c r="E898" s="89"/>
      <c r="F898" s="68"/>
      <c r="G898" s="89"/>
      <c r="H898" s="70"/>
      <c r="I898" s="78"/>
      <c r="J898" s="70"/>
      <c r="K898" s="70"/>
      <c r="L898" s="148" t="s">
        <v>1806</v>
      </c>
      <c r="M898" s="46" t="str">
        <f t="shared" si="27"/>
        <v>OneCo Networks AS</v>
      </c>
      <c r="N898" s="42" t="str">
        <f ca="1">IFERROR(
VLOOKUP(BoM_Griptel[[#This Row],[Product code]],
IF(AND((BoQ!$N$3&lt;&gt;""),OR(BoM_Griptel[[#This Row],[Vendor]]="Griptel",BoM_Griptel[[#This Row],[Vendor]]="Solar")),INDIRECT(Aux!$A$1)),4,FALSE),"")</f>
        <v/>
      </c>
      <c r="O898" s="170" t="s">
        <v>1807</v>
      </c>
      <c r="P898" s="43" t="str">
        <f>IFERROR(IF(AND(BoM_Griptel[[#This Row],[Quantity]]&lt;&gt;"",BoM_Griptel[[#This Row],[Currency]]="NOK"),BoM_Griptel[[#This Row],[Quantity]]*BoM_Griptel[[#This Row],[Unit Price]],""),"")</f>
        <v/>
      </c>
      <c r="Q898" s="43" t="str">
        <f>IFERROR(IF(AND(BoM_Griptel[[#This Row],[ACT_Qty]]&lt;&gt;"",BoM_Griptel[[#This Row],[Currency]]="NOK"),BoM_Griptel[[#This Row],[ACT_Qty]]*BoM_Griptel[[#This Row],[Unit Price]],""),"")</f>
        <v/>
      </c>
      <c r="R898" s="43" t="str">
        <f>IFERROR(IF(AND(BoM_Griptel[[#This Row],[Quantity]]&lt;&gt;"",BoM_Griptel[[#This Row],[Currency]]="EUR"),BoM_Griptel[[#This Row],[Quantity]]*BoM_Griptel[[#This Row],[Unit Price]],""),"")</f>
        <v/>
      </c>
      <c r="S898" s="43" t="str">
        <f>IFERROR(IF(AND(BoM_Griptel[[#This Row],[ACT_Qty]]&lt;&gt;"",BoM_Griptel[[#This Row],[Currency]]="EUR"),BoM_Griptel[[#This Row],[ACT_Qty]]*BoM_Griptel[[#This Row],[Unit Price]],""),"")</f>
        <v/>
      </c>
      <c r="T898" s="186" t="s">
        <v>1802</v>
      </c>
      <c r="U898" s="46"/>
      <c r="V898" s="46"/>
      <c r="W898" s="46"/>
    </row>
    <row r="899" spans="1:23">
      <c r="A899" s="143" t="str">
        <f t="shared" si="26"/>
        <v>AKH12345</v>
      </c>
      <c r="B899" s="159"/>
      <c r="C899" s="124"/>
      <c r="D899" s="105"/>
      <c r="E899" s="106"/>
      <c r="F899" s="105"/>
      <c r="G899" s="106"/>
      <c r="H899" s="125"/>
      <c r="I899" s="126"/>
      <c r="J899" s="125"/>
      <c r="K899" s="125"/>
      <c r="L899" s="145" t="s">
        <v>1806</v>
      </c>
      <c r="M899" s="45" t="str">
        <f t="shared" si="27"/>
        <v>OneCo Networks AS</v>
      </c>
      <c r="N899" s="40" t="str">
        <f ca="1">IFERROR(
VLOOKUP(BoM_Griptel[[#This Row],[Product code]],
IF(AND((BoQ!$N$3&lt;&gt;""),OR(BoM_Griptel[[#This Row],[Vendor]]="Griptel",BoM_Griptel[[#This Row],[Vendor]]="Solar")),INDIRECT(Aux!$A$1)),4,FALSE),"")</f>
        <v/>
      </c>
      <c r="O899" s="169" t="s">
        <v>1807</v>
      </c>
      <c r="P899" s="41" t="str">
        <f>IFERROR(IF(AND(BoM_Griptel[[#This Row],[Quantity]]&lt;&gt;"",BoM_Griptel[[#This Row],[Currency]]="NOK"),BoM_Griptel[[#This Row],[Quantity]]*BoM_Griptel[[#This Row],[Unit Price]],""),"")</f>
        <v/>
      </c>
      <c r="Q899" s="41" t="str">
        <f>IFERROR(IF(AND(BoM_Griptel[[#This Row],[ACT_Qty]]&lt;&gt;"",BoM_Griptel[[#This Row],[Currency]]="NOK"),BoM_Griptel[[#This Row],[ACT_Qty]]*BoM_Griptel[[#This Row],[Unit Price]],""),"")</f>
        <v/>
      </c>
      <c r="R899" s="41" t="str">
        <f>IFERROR(IF(AND(BoM_Griptel[[#This Row],[Quantity]]&lt;&gt;"",BoM_Griptel[[#This Row],[Currency]]="EUR"),BoM_Griptel[[#This Row],[Quantity]]*BoM_Griptel[[#This Row],[Unit Price]],""),"")</f>
        <v/>
      </c>
      <c r="S899" s="41" t="str">
        <f>IFERROR(IF(AND(BoM_Griptel[[#This Row],[ACT_Qty]]&lt;&gt;"",BoM_Griptel[[#This Row],[Currency]]="EUR"),BoM_Griptel[[#This Row],[ACT_Qty]]*BoM_Griptel[[#This Row],[Unit Price]],""),"")</f>
        <v/>
      </c>
      <c r="T899" s="185" t="s">
        <v>1802</v>
      </c>
      <c r="U899" s="45"/>
      <c r="V899" s="45"/>
      <c r="W899" s="45"/>
    </row>
    <row r="900" spans="1:23">
      <c r="A900" s="146" t="str">
        <f t="shared" si="26"/>
        <v>AKH12345</v>
      </c>
      <c r="B900" s="160"/>
      <c r="C900" s="69"/>
      <c r="D900" s="68"/>
      <c r="E900" s="89"/>
      <c r="F900" s="68"/>
      <c r="G900" s="89"/>
      <c r="H900" s="70"/>
      <c r="I900" s="78"/>
      <c r="J900" s="70"/>
      <c r="K900" s="70"/>
      <c r="L900" s="148" t="s">
        <v>1806</v>
      </c>
      <c r="M900" s="46" t="str">
        <f t="shared" si="27"/>
        <v>OneCo Networks AS</v>
      </c>
      <c r="N900" s="42" t="str">
        <f ca="1">IFERROR(
VLOOKUP(BoM_Griptel[[#This Row],[Product code]],
IF(AND((BoQ!$N$3&lt;&gt;""),OR(BoM_Griptel[[#This Row],[Vendor]]="Griptel",BoM_Griptel[[#This Row],[Vendor]]="Solar")),INDIRECT(Aux!$A$1)),4,FALSE),"")</f>
        <v/>
      </c>
      <c r="O900" s="170" t="s">
        <v>1807</v>
      </c>
      <c r="P900" s="43" t="str">
        <f>IFERROR(IF(AND(BoM_Griptel[[#This Row],[Quantity]]&lt;&gt;"",BoM_Griptel[[#This Row],[Currency]]="NOK"),BoM_Griptel[[#This Row],[Quantity]]*BoM_Griptel[[#This Row],[Unit Price]],""),"")</f>
        <v/>
      </c>
      <c r="Q900" s="43" t="str">
        <f>IFERROR(IF(AND(BoM_Griptel[[#This Row],[ACT_Qty]]&lt;&gt;"",BoM_Griptel[[#This Row],[Currency]]="NOK"),BoM_Griptel[[#This Row],[ACT_Qty]]*BoM_Griptel[[#This Row],[Unit Price]],""),"")</f>
        <v/>
      </c>
      <c r="R900" s="43" t="str">
        <f>IFERROR(IF(AND(BoM_Griptel[[#This Row],[Quantity]]&lt;&gt;"",BoM_Griptel[[#This Row],[Currency]]="EUR"),BoM_Griptel[[#This Row],[Quantity]]*BoM_Griptel[[#This Row],[Unit Price]],""),"")</f>
        <v/>
      </c>
      <c r="S900" s="43" t="str">
        <f>IFERROR(IF(AND(BoM_Griptel[[#This Row],[ACT_Qty]]&lt;&gt;"",BoM_Griptel[[#This Row],[Currency]]="EUR"),BoM_Griptel[[#This Row],[ACT_Qty]]*BoM_Griptel[[#This Row],[Unit Price]],""),"")</f>
        <v/>
      </c>
      <c r="T900" s="186" t="s">
        <v>1802</v>
      </c>
      <c r="U900" s="46"/>
      <c r="V900" s="46"/>
      <c r="W900" s="46"/>
    </row>
    <row r="901" spans="1:23">
      <c r="A901" s="143" t="str">
        <f t="shared" si="26"/>
        <v>AKH12345</v>
      </c>
      <c r="B901" s="159"/>
      <c r="C901" s="124"/>
      <c r="D901" s="105"/>
      <c r="E901" s="106"/>
      <c r="F901" s="105"/>
      <c r="G901" s="106"/>
      <c r="H901" s="125"/>
      <c r="I901" s="126"/>
      <c r="J901" s="125"/>
      <c r="K901" s="125"/>
      <c r="L901" s="145" t="s">
        <v>1806</v>
      </c>
      <c r="M901" s="45" t="str">
        <f t="shared" si="27"/>
        <v>OneCo Networks AS</v>
      </c>
      <c r="N901" s="40" t="str">
        <f ca="1">IFERROR(
VLOOKUP(BoM_Griptel[[#This Row],[Product code]],
IF(AND((BoQ!$N$3&lt;&gt;""),OR(BoM_Griptel[[#This Row],[Vendor]]="Griptel",BoM_Griptel[[#This Row],[Vendor]]="Solar")),INDIRECT(Aux!$A$1)),4,FALSE),"")</f>
        <v/>
      </c>
      <c r="O901" s="169" t="s">
        <v>1807</v>
      </c>
      <c r="P901" s="41" t="str">
        <f>IFERROR(IF(AND(BoM_Griptel[[#This Row],[Quantity]]&lt;&gt;"",BoM_Griptel[[#This Row],[Currency]]="NOK"),BoM_Griptel[[#This Row],[Quantity]]*BoM_Griptel[[#This Row],[Unit Price]],""),"")</f>
        <v/>
      </c>
      <c r="Q901" s="41" t="str">
        <f>IFERROR(IF(AND(BoM_Griptel[[#This Row],[ACT_Qty]]&lt;&gt;"",BoM_Griptel[[#This Row],[Currency]]="NOK"),BoM_Griptel[[#This Row],[ACT_Qty]]*BoM_Griptel[[#This Row],[Unit Price]],""),"")</f>
        <v/>
      </c>
      <c r="R901" s="41" t="str">
        <f>IFERROR(IF(AND(BoM_Griptel[[#This Row],[Quantity]]&lt;&gt;"",BoM_Griptel[[#This Row],[Currency]]="EUR"),BoM_Griptel[[#This Row],[Quantity]]*BoM_Griptel[[#This Row],[Unit Price]],""),"")</f>
        <v/>
      </c>
      <c r="S901" s="41" t="str">
        <f>IFERROR(IF(AND(BoM_Griptel[[#This Row],[ACT_Qty]]&lt;&gt;"",BoM_Griptel[[#This Row],[Currency]]="EUR"),BoM_Griptel[[#This Row],[ACT_Qty]]*BoM_Griptel[[#This Row],[Unit Price]],""),"")</f>
        <v/>
      </c>
      <c r="T901" s="185" t="s">
        <v>1802</v>
      </c>
      <c r="U901" s="45"/>
      <c r="V901" s="45"/>
      <c r="W901" s="45"/>
    </row>
    <row r="902" spans="1:23">
      <c r="A902" s="146" t="str">
        <f t="shared" si="26"/>
        <v>AKH12345</v>
      </c>
      <c r="B902" s="160"/>
      <c r="C902" s="69"/>
      <c r="D902" s="68"/>
      <c r="E902" s="89"/>
      <c r="F902" s="68"/>
      <c r="G902" s="89"/>
      <c r="H902" s="70"/>
      <c r="I902" s="78"/>
      <c r="J902" s="70"/>
      <c r="K902" s="70"/>
      <c r="L902" s="148" t="s">
        <v>1806</v>
      </c>
      <c r="M902" s="46" t="str">
        <f t="shared" si="27"/>
        <v>OneCo Networks AS</v>
      </c>
      <c r="N902" s="42" t="str">
        <f ca="1">IFERROR(
VLOOKUP(BoM_Griptel[[#This Row],[Product code]],
IF(AND((BoQ!$N$3&lt;&gt;""),OR(BoM_Griptel[[#This Row],[Vendor]]="Griptel",BoM_Griptel[[#This Row],[Vendor]]="Solar")),INDIRECT(Aux!$A$1)),4,FALSE),"")</f>
        <v/>
      </c>
      <c r="O902" s="170" t="s">
        <v>1807</v>
      </c>
      <c r="P902" s="43" t="str">
        <f>IFERROR(IF(AND(BoM_Griptel[[#This Row],[Quantity]]&lt;&gt;"",BoM_Griptel[[#This Row],[Currency]]="NOK"),BoM_Griptel[[#This Row],[Quantity]]*BoM_Griptel[[#This Row],[Unit Price]],""),"")</f>
        <v/>
      </c>
      <c r="Q902" s="43" t="str">
        <f>IFERROR(IF(AND(BoM_Griptel[[#This Row],[ACT_Qty]]&lt;&gt;"",BoM_Griptel[[#This Row],[Currency]]="NOK"),BoM_Griptel[[#This Row],[ACT_Qty]]*BoM_Griptel[[#This Row],[Unit Price]],""),"")</f>
        <v/>
      </c>
      <c r="R902" s="43" t="str">
        <f>IFERROR(IF(AND(BoM_Griptel[[#This Row],[Quantity]]&lt;&gt;"",BoM_Griptel[[#This Row],[Currency]]="EUR"),BoM_Griptel[[#This Row],[Quantity]]*BoM_Griptel[[#This Row],[Unit Price]],""),"")</f>
        <v/>
      </c>
      <c r="S902" s="43" t="str">
        <f>IFERROR(IF(AND(BoM_Griptel[[#This Row],[ACT_Qty]]&lt;&gt;"",BoM_Griptel[[#This Row],[Currency]]="EUR"),BoM_Griptel[[#This Row],[ACT_Qty]]*BoM_Griptel[[#This Row],[Unit Price]],""),"")</f>
        <v/>
      </c>
      <c r="T902" s="186" t="s">
        <v>1802</v>
      </c>
      <c r="U902" s="46"/>
      <c r="V902" s="46"/>
      <c r="W902" s="46"/>
    </row>
    <row r="903" spans="1:23">
      <c r="A903" s="143" t="str">
        <f t="shared" si="26"/>
        <v>AKH12345</v>
      </c>
      <c r="B903" s="159"/>
      <c r="C903" s="124"/>
      <c r="D903" s="105"/>
      <c r="E903" s="106"/>
      <c r="F903" s="105"/>
      <c r="G903" s="106"/>
      <c r="H903" s="125"/>
      <c r="I903" s="126"/>
      <c r="J903" s="125"/>
      <c r="K903" s="125"/>
      <c r="L903" s="145" t="s">
        <v>1806</v>
      </c>
      <c r="M903" s="45" t="str">
        <f t="shared" si="27"/>
        <v>OneCo Networks AS</v>
      </c>
      <c r="N903" s="40" t="str">
        <f ca="1">IFERROR(
VLOOKUP(BoM_Griptel[[#This Row],[Product code]],
IF(AND((BoQ!$N$3&lt;&gt;""),OR(BoM_Griptel[[#This Row],[Vendor]]="Griptel",BoM_Griptel[[#This Row],[Vendor]]="Solar")),INDIRECT(Aux!$A$1)),4,FALSE),"")</f>
        <v/>
      </c>
      <c r="O903" s="169" t="s">
        <v>1807</v>
      </c>
      <c r="P903" s="41" t="str">
        <f>IFERROR(IF(AND(BoM_Griptel[[#This Row],[Quantity]]&lt;&gt;"",BoM_Griptel[[#This Row],[Currency]]="NOK"),BoM_Griptel[[#This Row],[Quantity]]*BoM_Griptel[[#This Row],[Unit Price]],""),"")</f>
        <v/>
      </c>
      <c r="Q903" s="41" t="str">
        <f>IFERROR(IF(AND(BoM_Griptel[[#This Row],[ACT_Qty]]&lt;&gt;"",BoM_Griptel[[#This Row],[Currency]]="NOK"),BoM_Griptel[[#This Row],[ACT_Qty]]*BoM_Griptel[[#This Row],[Unit Price]],""),"")</f>
        <v/>
      </c>
      <c r="R903" s="41" t="str">
        <f>IFERROR(IF(AND(BoM_Griptel[[#This Row],[Quantity]]&lt;&gt;"",BoM_Griptel[[#This Row],[Currency]]="EUR"),BoM_Griptel[[#This Row],[Quantity]]*BoM_Griptel[[#This Row],[Unit Price]],""),"")</f>
        <v/>
      </c>
      <c r="S903" s="41" t="str">
        <f>IFERROR(IF(AND(BoM_Griptel[[#This Row],[ACT_Qty]]&lt;&gt;"",BoM_Griptel[[#This Row],[Currency]]="EUR"),BoM_Griptel[[#This Row],[ACT_Qty]]*BoM_Griptel[[#This Row],[Unit Price]],""),"")</f>
        <v/>
      </c>
      <c r="T903" s="185" t="s">
        <v>1802</v>
      </c>
      <c r="U903" s="45"/>
      <c r="V903" s="45"/>
      <c r="W903" s="45"/>
    </row>
    <row r="904" spans="1:23">
      <c r="A904" s="146" t="str">
        <f t="shared" si="26"/>
        <v>AKH12345</v>
      </c>
      <c r="B904" s="160"/>
      <c r="C904" s="69"/>
      <c r="D904" s="68"/>
      <c r="E904" s="89"/>
      <c r="F904" s="68"/>
      <c r="G904" s="89"/>
      <c r="H904" s="70"/>
      <c r="I904" s="78"/>
      <c r="J904" s="70"/>
      <c r="K904" s="70"/>
      <c r="L904" s="148" t="s">
        <v>1806</v>
      </c>
      <c r="M904" s="46" t="str">
        <f t="shared" si="27"/>
        <v>OneCo Networks AS</v>
      </c>
      <c r="N904" s="42" t="str">
        <f ca="1">IFERROR(
VLOOKUP(BoM_Griptel[[#This Row],[Product code]],
IF(AND((BoQ!$N$3&lt;&gt;""),OR(BoM_Griptel[[#This Row],[Vendor]]="Griptel",BoM_Griptel[[#This Row],[Vendor]]="Solar")),INDIRECT(Aux!$A$1)),4,FALSE),"")</f>
        <v/>
      </c>
      <c r="O904" s="170" t="s">
        <v>1807</v>
      </c>
      <c r="P904" s="43" t="str">
        <f>IFERROR(IF(AND(BoM_Griptel[[#This Row],[Quantity]]&lt;&gt;"",BoM_Griptel[[#This Row],[Currency]]="NOK"),BoM_Griptel[[#This Row],[Quantity]]*BoM_Griptel[[#This Row],[Unit Price]],""),"")</f>
        <v/>
      </c>
      <c r="Q904" s="43" t="str">
        <f>IFERROR(IF(AND(BoM_Griptel[[#This Row],[ACT_Qty]]&lt;&gt;"",BoM_Griptel[[#This Row],[Currency]]="NOK"),BoM_Griptel[[#This Row],[ACT_Qty]]*BoM_Griptel[[#This Row],[Unit Price]],""),"")</f>
        <v/>
      </c>
      <c r="R904" s="43" t="str">
        <f>IFERROR(IF(AND(BoM_Griptel[[#This Row],[Quantity]]&lt;&gt;"",BoM_Griptel[[#This Row],[Currency]]="EUR"),BoM_Griptel[[#This Row],[Quantity]]*BoM_Griptel[[#This Row],[Unit Price]],""),"")</f>
        <v/>
      </c>
      <c r="S904" s="43" t="str">
        <f>IFERROR(IF(AND(BoM_Griptel[[#This Row],[ACT_Qty]]&lt;&gt;"",BoM_Griptel[[#This Row],[Currency]]="EUR"),BoM_Griptel[[#This Row],[ACT_Qty]]*BoM_Griptel[[#This Row],[Unit Price]],""),"")</f>
        <v/>
      </c>
      <c r="T904" s="186" t="s">
        <v>1802</v>
      </c>
      <c r="U904" s="46"/>
      <c r="V904" s="46"/>
      <c r="W904" s="46"/>
    </row>
    <row r="905" spans="1:23">
      <c r="A905" s="143" t="str">
        <f t="shared" si="26"/>
        <v>AKH12345</v>
      </c>
      <c r="B905" s="159"/>
      <c r="C905" s="124"/>
      <c r="D905" s="105"/>
      <c r="E905" s="106"/>
      <c r="F905" s="105"/>
      <c r="G905" s="106"/>
      <c r="H905" s="125"/>
      <c r="I905" s="126"/>
      <c r="J905" s="125"/>
      <c r="K905" s="125"/>
      <c r="L905" s="145" t="s">
        <v>1806</v>
      </c>
      <c r="M905" s="45" t="str">
        <f t="shared" si="27"/>
        <v>OneCo Networks AS</v>
      </c>
      <c r="N905" s="40" t="str">
        <f ca="1">IFERROR(
VLOOKUP(BoM_Griptel[[#This Row],[Product code]],
IF(AND((BoQ!$N$3&lt;&gt;""),OR(BoM_Griptel[[#This Row],[Vendor]]="Griptel",BoM_Griptel[[#This Row],[Vendor]]="Solar")),INDIRECT(Aux!$A$1)),4,FALSE),"")</f>
        <v/>
      </c>
      <c r="O905" s="169" t="s">
        <v>1807</v>
      </c>
      <c r="P905" s="41" t="str">
        <f>IFERROR(IF(AND(BoM_Griptel[[#This Row],[Quantity]]&lt;&gt;"",BoM_Griptel[[#This Row],[Currency]]="NOK"),BoM_Griptel[[#This Row],[Quantity]]*BoM_Griptel[[#This Row],[Unit Price]],""),"")</f>
        <v/>
      </c>
      <c r="Q905" s="41" t="str">
        <f>IFERROR(IF(AND(BoM_Griptel[[#This Row],[ACT_Qty]]&lt;&gt;"",BoM_Griptel[[#This Row],[Currency]]="NOK"),BoM_Griptel[[#This Row],[ACT_Qty]]*BoM_Griptel[[#This Row],[Unit Price]],""),"")</f>
        <v/>
      </c>
      <c r="R905" s="41" t="str">
        <f>IFERROR(IF(AND(BoM_Griptel[[#This Row],[Quantity]]&lt;&gt;"",BoM_Griptel[[#This Row],[Currency]]="EUR"),BoM_Griptel[[#This Row],[Quantity]]*BoM_Griptel[[#This Row],[Unit Price]],""),"")</f>
        <v/>
      </c>
      <c r="S905" s="41" t="str">
        <f>IFERROR(IF(AND(BoM_Griptel[[#This Row],[ACT_Qty]]&lt;&gt;"",BoM_Griptel[[#This Row],[Currency]]="EUR"),BoM_Griptel[[#This Row],[ACT_Qty]]*BoM_Griptel[[#This Row],[Unit Price]],""),"")</f>
        <v/>
      </c>
      <c r="T905" s="185" t="s">
        <v>1802</v>
      </c>
      <c r="U905" s="45"/>
      <c r="V905" s="45"/>
      <c r="W905" s="45"/>
    </row>
    <row r="906" spans="1:23">
      <c r="A906" s="146" t="str">
        <f t="shared" si="26"/>
        <v>AKH12345</v>
      </c>
      <c r="B906" s="160"/>
      <c r="C906" s="69"/>
      <c r="D906" s="68"/>
      <c r="E906" s="89"/>
      <c r="F906" s="68"/>
      <c r="G906" s="89"/>
      <c r="H906" s="70"/>
      <c r="I906" s="78"/>
      <c r="J906" s="70"/>
      <c r="K906" s="70"/>
      <c r="L906" s="148" t="s">
        <v>1806</v>
      </c>
      <c r="M906" s="46" t="str">
        <f t="shared" si="27"/>
        <v>OneCo Networks AS</v>
      </c>
      <c r="N906" s="42" t="str">
        <f ca="1">IFERROR(
VLOOKUP(BoM_Griptel[[#This Row],[Product code]],
IF(AND((BoQ!$N$3&lt;&gt;""),OR(BoM_Griptel[[#This Row],[Vendor]]="Griptel",BoM_Griptel[[#This Row],[Vendor]]="Solar")),INDIRECT(Aux!$A$1)),4,FALSE),"")</f>
        <v/>
      </c>
      <c r="O906" s="170" t="s">
        <v>1807</v>
      </c>
      <c r="P906" s="43" t="str">
        <f>IFERROR(IF(AND(BoM_Griptel[[#This Row],[Quantity]]&lt;&gt;"",BoM_Griptel[[#This Row],[Currency]]="NOK"),BoM_Griptel[[#This Row],[Quantity]]*BoM_Griptel[[#This Row],[Unit Price]],""),"")</f>
        <v/>
      </c>
      <c r="Q906" s="43" t="str">
        <f>IFERROR(IF(AND(BoM_Griptel[[#This Row],[ACT_Qty]]&lt;&gt;"",BoM_Griptel[[#This Row],[Currency]]="NOK"),BoM_Griptel[[#This Row],[ACT_Qty]]*BoM_Griptel[[#This Row],[Unit Price]],""),"")</f>
        <v/>
      </c>
      <c r="R906" s="43" t="str">
        <f>IFERROR(IF(AND(BoM_Griptel[[#This Row],[Quantity]]&lt;&gt;"",BoM_Griptel[[#This Row],[Currency]]="EUR"),BoM_Griptel[[#This Row],[Quantity]]*BoM_Griptel[[#This Row],[Unit Price]],""),"")</f>
        <v/>
      </c>
      <c r="S906" s="43" t="str">
        <f>IFERROR(IF(AND(BoM_Griptel[[#This Row],[ACT_Qty]]&lt;&gt;"",BoM_Griptel[[#This Row],[Currency]]="EUR"),BoM_Griptel[[#This Row],[ACT_Qty]]*BoM_Griptel[[#This Row],[Unit Price]],""),"")</f>
        <v/>
      </c>
      <c r="T906" s="186" t="s">
        <v>1802</v>
      </c>
      <c r="U906" s="46"/>
      <c r="V906" s="46"/>
      <c r="W906" s="46"/>
    </row>
    <row r="907" spans="1:23">
      <c r="A907" s="143" t="str">
        <f t="shared" si="26"/>
        <v>AKH12345</v>
      </c>
      <c r="B907" s="159"/>
      <c r="C907" s="124"/>
      <c r="D907" s="105"/>
      <c r="E907" s="106"/>
      <c r="F907" s="105"/>
      <c r="G907" s="106"/>
      <c r="H907" s="125"/>
      <c r="I907" s="126"/>
      <c r="J907" s="125"/>
      <c r="K907" s="125"/>
      <c r="L907" s="145" t="s">
        <v>1806</v>
      </c>
      <c r="M907" s="45" t="str">
        <f t="shared" si="27"/>
        <v>OneCo Networks AS</v>
      </c>
      <c r="N907" s="40" t="str">
        <f ca="1">IFERROR(
VLOOKUP(BoM_Griptel[[#This Row],[Product code]],
IF(AND((BoQ!$N$3&lt;&gt;""),OR(BoM_Griptel[[#This Row],[Vendor]]="Griptel",BoM_Griptel[[#This Row],[Vendor]]="Solar")),INDIRECT(Aux!$A$1)),4,FALSE),"")</f>
        <v/>
      </c>
      <c r="O907" s="169" t="s">
        <v>1807</v>
      </c>
      <c r="P907" s="41" t="str">
        <f>IFERROR(IF(AND(BoM_Griptel[[#This Row],[Quantity]]&lt;&gt;"",BoM_Griptel[[#This Row],[Currency]]="NOK"),BoM_Griptel[[#This Row],[Quantity]]*BoM_Griptel[[#This Row],[Unit Price]],""),"")</f>
        <v/>
      </c>
      <c r="Q907" s="41" t="str">
        <f>IFERROR(IF(AND(BoM_Griptel[[#This Row],[ACT_Qty]]&lt;&gt;"",BoM_Griptel[[#This Row],[Currency]]="NOK"),BoM_Griptel[[#This Row],[ACT_Qty]]*BoM_Griptel[[#This Row],[Unit Price]],""),"")</f>
        <v/>
      </c>
      <c r="R907" s="41" t="str">
        <f>IFERROR(IF(AND(BoM_Griptel[[#This Row],[Quantity]]&lt;&gt;"",BoM_Griptel[[#This Row],[Currency]]="EUR"),BoM_Griptel[[#This Row],[Quantity]]*BoM_Griptel[[#This Row],[Unit Price]],""),"")</f>
        <v/>
      </c>
      <c r="S907" s="41" t="str">
        <f>IFERROR(IF(AND(BoM_Griptel[[#This Row],[ACT_Qty]]&lt;&gt;"",BoM_Griptel[[#This Row],[Currency]]="EUR"),BoM_Griptel[[#This Row],[ACT_Qty]]*BoM_Griptel[[#This Row],[Unit Price]],""),"")</f>
        <v/>
      </c>
      <c r="T907" s="185" t="s">
        <v>1802</v>
      </c>
      <c r="U907" s="45"/>
      <c r="V907" s="45"/>
      <c r="W907" s="45"/>
    </row>
    <row r="908" spans="1:23">
      <c r="A908" s="146" t="str">
        <f t="shared" si="26"/>
        <v>AKH12345</v>
      </c>
      <c r="B908" s="160"/>
      <c r="C908" s="69"/>
      <c r="D908" s="68"/>
      <c r="E908" s="89"/>
      <c r="F908" s="68"/>
      <c r="G908" s="89"/>
      <c r="H908" s="70"/>
      <c r="I908" s="78"/>
      <c r="J908" s="70"/>
      <c r="K908" s="70"/>
      <c r="L908" s="148" t="s">
        <v>1806</v>
      </c>
      <c r="M908" s="46" t="str">
        <f t="shared" si="27"/>
        <v>OneCo Networks AS</v>
      </c>
      <c r="N908" s="42" t="str">
        <f ca="1">IFERROR(
VLOOKUP(BoM_Griptel[[#This Row],[Product code]],
IF(AND((BoQ!$N$3&lt;&gt;""),OR(BoM_Griptel[[#This Row],[Vendor]]="Griptel",BoM_Griptel[[#This Row],[Vendor]]="Solar")),INDIRECT(Aux!$A$1)),4,FALSE),"")</f>
        <v/>
      </c>
      <c r="O908" s="170" t="s">
        <v>1807</v>
      </c>
      <c r="P908" s="43" t="str">
        <f>IFERROR(IF(AND(BoM_Griptel[[#This Row],[Quantity]]&lt;&gt;"",BoM_Griptel[[#This Row],[Currency]]="NOK"),BoM_Griptel[[#This Row],[Quantity]]*BoM_Griptel[[#This Row],[Unit Price]],""),"")</f>
        <v/>
      </c>
      <c r="Q908" s="43" t="str">
        <f>IFERROR(IF(AND(BoM_Griptel[[#This Row],[ACT_Qty]]&lt;&gt;"",BoM_Griptel[[#This Row],[Currency]]="NOK"),BoM_Griptel[[#This Row],[ACT_Qty]]*BoM_Griptel[[#This Row],[Unit Price]],""),"")</f>
        <v/>
      </c>
      <c r="R908" s="43" t="str">
        <f>IFERROR(IF(AND(BoM_Griptel[[#This Row],[Quantity]]&lt;&gt;"",BoM_Griptel[[#This Row],[Currency]]="EUR"),BoM_Griptel[[#This Row],[Quantity]]*BoM_Griptel[[#This Row],[Unit Price]],""),"")</f>
        <v/>
      </c>
      <c r="S908" s="43" t="str">
        <f>IFERROR(IF(AND(BoM_Griptel[[#This Row],[ACT_Qty]]&lt;&gt;"",BoM_Griptel[[#This Row],[Currency]]="EUR"),BoM_Griptel[[#This Row],[ACT_Qty]]*BoM_Griptel[[#This Row],[Unit Price]],""),"")</f>
        <v/>
      </c>
      <c r="T908" s="186" t="s">
        <v>1802</v>
      </c>
      <c r="U908" s="46"/>
      <c r="V908" s="46"/>
      <c r="W908" s="46"/>
    </row>
    <row r="909" spans="1:23">
      <c r="A909" s="143" t="str">
        <f t="shared" si="26"/>
        <v>AKH12345</v>
      </c>
      <c r="B909" s="159"/>
      <c r="C909" s="124"/>
      <c r="D909" s="105"/>
      <c r="E909" s="106"/>
      <c r="F909" s="105"/>
      <c r="G909" s="106"/>
      <c r="H909" s="125"/>
      <c r="I909" s="126"/>
      <c r="J909" s="125"/>
      <c r="K909" s="125"/>
      <c r="L909" s="145" t="s">
        <v>1806</v>
      </c>
      <c r="M909" s="45" t="str">
        <f t="shared" si="27"/>
        <v>OneCo Networks AS</v>
      </c>
      <c r="N909" s="40" t="str">
        <f ca="1">IFERROR(
VLOOKUP(BoM_Griptel[[#This Row],[Product code]],
IF(AND((BoQ!$N$3&lt;&gt;""),OR(BoM_Griptel[[#This Row],[Vendor]]="Griptel",BoM_Griptel[[#This Row],[Vendor]]="Solar")),INDIRECT(Aux!$A$1)),4,FALSE),"")</f>
        <v/>
      </c>
      <c r="O909" s="169" t="s">
        <v>1807</v>
      </c>
      <c r="P909" s="41" t="str">
        <f>IFERROR(IF(AND(BoM_Griptel[[#This Row],[Quantity]]&lt;&gt;"",BoM_Griptel[[#This Row],[Currency]]="NOK"),BoM_Griptel[[#This Row],[Quantity]]*BoM_Griptel[[#This Row],[Unit Price]],""),"")</f>
        <v/>
      </c>
      <c r="Q909" s="41" t="str">
        <f>IFERROR(IF(AND(BoM_Griptel[[#This Row],[ACT_Qty]]&lt;&gt;"",BoM_Griptel[[#This Row],[Currency]]="NOK"),BoM_Griptel[[#This Row],[ACT_Qty]]*BoM_Griptel[[#This Row],[Unit Price]],""),"")</f>
        <v/>
      </c>
      <c r="R909" s="41" t="str">
        <f>IFERROR(IF(AND(BoM_Griptel[[#This Row],[Quantity]]&lt;&gt;"",BoM_Griptel[[#This Row],[Currency]]="EUR"),BoM_Griptel[[#This Row],[Quantity]]*BoM_Griptel[[#This Row],[Unit Price]],""),"")</f>
        <v/>
      </c>
      <c r="S909" s="41" t="str">
        <f>IFERROR(IF(AND(BoM_Griptel[[#This Row],[ACT_Qty]]&lt;&gt;"",BoM_Griptel[[#This Row],[Currency]]="EUR"),BoM_Griptel[[#This Row],[ACT_Qty]]*BoM_Griptel[[#This Row],[Unit Price]],""),"")</f>
        <v/>
      </c>
      <c r="T909" s="185" t="s">
        <v>1802</v>
      </c>
      <c r="U909" s="45"/>
      <c r="V909" s="45"/>
      <c r="W909" s="45"/>
    </row>
    <row r="910" spans="1:23">
      <c r="A910" s="146" t="str">
        <f t="shared" si="26"/>
        <v>AKH12345</v>
      </c>
      <c r="B910" s="160"/>
      <c r="C910" s="69"/>
      <c r="D910" s="68"/>
      <c r="E910" s="89"/>
      <c r="F910" s="68"/>
      <c r="G910" s="89"/>
      <c r="H910" s="70"/>
      <c r="I910" s="78"/>
      <c r="J910" s="70"/>
      <c r="K910" s="70"/>
      <c r="L910" s="148" t="s">
        <v>1806</v>
      </c>
      <c r="M910" s="46" t="str">
        <f t="shared" si="27"/>
        <v>OneCo Networks AS</v>
      </c>
      <c r="N910" s="42" t="str">
        <f ca="1">IFERROR(
VLOOKUP(BoM_Griptel[[#This Row],[Product code]],
IF(AND((BoQ!$N$3&lt;&gt;""),OR(BoM_Griptel[[#This Row],[Vendor]]="Griptel",BoM_Griptel[[#This Row],[Vendor]]="Solar")),INDIRECT(Aux!$A$1)),4,FALSE),"")</f>
        <v/>
      </c>
      <c r="O910" s="170" t="s">
        <v>1807</v>
      </c>
      <c r="P910" s="43" t="str">
        <f>IFERROR(IF(AND(BoM_Griptel[[#This Row],[Quantity]]&lt;&gt;"",BoM_Griptel[[#This Row],[Currency]]="NOK"),BoM_Griptel[[#This Row],[Quantity]]*BoM_Griptel[[#This Row],[Unit Price]],""),"")</f>
        <v/>
      </c>
      <c r="Q910" s="43" t="str">
        <f>IFERROR(IF(AND(BoM_Griptel[[#This Row],[ACT_Qty]]&lt;&gt;"",BoM_Griptel[[#This Row],[Currency]]="NOK"),BoM_Griptel[[#This Row],[ACT_Qty]]*BoM_Griptel[[#This Row],[Unit Price]],""),"")</f>
        <v/>
      </c>
      <c r="R910" s="43" t="str">
        <f>IFERROR(IF(AND(BoM_Griptel[[#This Row],[Quantity]]&lt;&gt;"",BoM_Griptel[[#This Row],[Currency]]="EUR"),BoM_Griptel[[#This Row],[Quantity]]*BoM_Griptel[[#This Row],[Unit Price]],""),"")</f>
        <v/>
      </c>
      <c r="S910" s="43" t="str">
        <f>IFERROR(IF(AND(BoM_Griptel[[#This Row],[ACT_Qty]]&lt;&gt;"",BoM_Griptel[[#This Row],[Currency]]="EUR"),BoM_Griptel[[#This Row],[ACT_Qty]]*BoM_Griptel[[#This Row],[Unit Price]],""),"")</f>
        <v/>
      </c>
      <c r="T910" s="186" t="s">
        <v>1802</v>
      </c>
      <c r="U910" s="46"/>
      <c r="V910" s="46"/>
      <c r="W910" s="46"/>
    </row>
    <row r="911" spans="1:23">
      <c r="A911" s="143" t="str">
        <f t="shared" ref="A911:A974" si="28">IF($C$4&lt;&gt;"",$C$4,"")</f>
        <v>AKH12345</v>
      </c>
      <c r="B911" s="159"/>
      <c r="C911" s="124"/>
      <c r="D911" s="105"/>
      <c r="E911" s="106"/>
      <c r="F911" s="105"/>
      <c r="G911" s="106"/>
      <c r="H911" s="125"/>
      <c r="I911" s="126"/>
      <c r="J911" s="125"/>
      <c r="K911" s="125"/>
      <c r="L911" s="145" t="s">
        <v>1806</v>
      </c>
      <c r="M911" s="45" t="str">
        <f t="shared" si="27"/>
        <v>OneCo Networks AS</v>
      </c>
      <c r="N911" s="40" t="str">
        <f ca="1">IFERROR(
VLOOKUP(BoM_Griptel[[#This Row],[Product code]],
IF(AND((BoQ!$N$3&lt;&gt;""),OR(BoM_Griptel[[#This Row],[Vendor]]="Griptel",BoM_Griptel[[#This Row],[Vendor]]="Solar")),INDIRECT(Aux!$A$1)),4,FALSE),"")</f>
        <v/>
      </c>
      <c r="O911" s="169" t="s">
        <v>1807</v>
      </c>
      <c r="P911" s="41" t="str">
        <f>IFERROR(IF(AND(BoM_Griptel[[#This Row],[Quantity]]&lt;&gt;"",BoM_Griptel[[#This Row],[Currency]]="NOK"),BoM_Griptel[[#This Row],[Quantity]]*BoM_Griptel[[#This Row],[Unit Price]],""),"")</f>
        <v/>
      </c>
      <c r="Q911" s="41" t="str">
        <f>IFERROR(IF(AND(BoM_Griptel[[#This Row],[ACT_Qty]]&lt;&gt;"",BoM_Griptel[[#This Row],[Currency]]="NOK"),BoM_Griptel[[#This Row],[ACT_Qty]]*BoM_Griptel[[#This Row],[Unit Price]],""),"")</f>
        <v/>
      </c>
      <c r="R911" s="41" t="str">
        <f>IFERROR(IF(AND(BoM_Griptel[[#This Row],[Quantity]]&lt;&gt;"",BoM_Griptel[[#This Row],[Currency]]="EUR"),BoM_Griptel[[#This Row],[Quantity]]*BoM_Griptel[[#This Row],[Unit Price]],""),"")</f>
        <v/>
      </c>
      <c r="S911" s="41" t="str">
        <f>IFERROR(IF(AND(BoM_Griptel[[#This Row],[ACT_Qty]]&lt;&gt;"",BoM_Griptel[[#This Row],[Currency]]="EUR"),BoM_Griptel[[#This Row],[ACT_Qty]]*BoM_Griptel[[#This Row],[Unit Price]],""),"")</f>
        <v/>
      </c>
      <c r="T911" s="185" t="s">
        <v>1802</v>
      </c>
      <c r="U911" s="45"/>
      <c r="V911" s="45"/>
      <c r="W911" s="45"/>
    </row>
    <row r="912" spans="1:23">
      <c r="A912" s="146" t="str">
        <f t="shared" si="28"/>
        <v>AKH12345</v>
      </c>
      <c r="B912" s="160"/>
      <c r="C912" s="69"/>
      <c r="D912" s="68"/>
      <c r="E912" s="89"/>
      <c r="F912" s="68"/>
      <c r="G912" s="89"/>
      <c r="H912" s="70"/>
      <c r="I912" s="78"/>
      <c r="J912" s="70"/>
      <c r="K912" s="70"/>
      <c r="L912" s="148" t="s">
        <v>1806</v>
      </c>
      <c r="M912" s="46" t="str">
        <f t="shared" si="27"/>
        <v>OneCo Networks AS</v>
      </c>
      <c r="N912" s="42" t="str">
        <f ca="1">IFERROR(
VLOOKUP(BoM_Griptel[[#This Row],[Product code]],
IF(AND((BoQ!$N$3&lt;&gt;""),OR(BoM_Griptel[[#This Row],[Vendor]]="Griptel",BoM_Griptel[[#This Row],[Vendor]]="Solar")),INDIRECT(Aux!$A$1)),4,FALSE),"")</f>
        <v/>
      </c>
      <c r="O912" s="170" t="s">
        <v>1807</v>
      </c>
      <c r="P912" s="43" t="str">
        <f>IFERROR(IF(AND(BoM_Griptel[[#This Row],[Quantity]]&lt;&gt;"",BoM_Griptel[[#This Row],[Currency]]="NOK"),BoM_Griptel[[#This Row],[Quantity]]*BoM_Griptel[[#This Row],[Unit Price]],""),"")</f>
        <v/>
      </c>
      <c r="Q912" s="43" t="str">
        <f>IFERROR(IF(AND(BoM_Griptel[[#This Row],[ACT_Qty]]&lt;&gt;"",BoM_Griptel[[#This Row],[Currency]]="NOK"),BoM_Griptel[[#This Row],[ACT_Qty]]*BoM_Griptel[[#This Row],[Unit Price]],""),"")</f>
        <v/>
      </c>
      <c r="R912" s="43" t="str">
        <f>IFERROR(IF(AND(BoM_Griptel[[#This Row],[Quantity]]&lt;&gt;"",BoM_Griptel[[#This Row],[Currency]]="EUR"),BoM_Griptel[[#This Row],[Quantity]]*BoM_Griptel[[#This Row],[Unit Price]],""),"")</f>
        <v/>
      </c>
      <c r="S912" s="43" t="str">
        <f>IFERROR(IF(AND(BoM_Griptel[[#This Row],[ACT_Qty]]&lt;&gt;"",BoM_Griptel[[#This Row],[Currency]]="EUR"),BoM_Griptel[[#This Row],[ACT_Qty]]*BoM_Griptel[[#This Row],[Unit Price]],""),"")</f>
        <v/>
      </c>
      <c r="T912" s="186" t="s">
        <v>1802</v>
      </c>
      <c r="U912" s="46"/>
      <c r="V912" s="46"/>
      <c r="W912" s="46"/>
    </row>
    <row r="913" spans="1:23">
      <c r="A913" s="143" t="str">
        <f t="shared" si="28"/>
        <v>AKH12345</v>
      </c>
      <c r="B913" s="159"/>
      <c r="C913" s="124"/>
      <c r="D913" s="105"/>
      <c r="E913" s="106"/>
      <c r="F913" s="105"/>
      <c r="G913" s="106"/>
      <c r="H913" s="125"/>
      <c r="I913" s="126"/>
      <c r="J913" s="125"/>
      <c r="K913" s="125"/>
      <c r="L913" s="145" t="s">
        <v>1806</v>
      </c>
      <c r="M913" s="45" t="str">
        <f t="shared" si="27"/>
        <v>OneCo Networks AS</v>
      </c>
      <c r="N913" s="40" t="str">
        <f ca="1">IFERROR(
VLOOKUP(BoM_Griptel[[#This Row],[Product code]],
IF(AND((BoQ!$N$3&lt;&gt;""),OR(BoM_Griptel[[#This Row],[Vendor]]="Griptel",BoM_Griptel[[#This Row],[Vendor]]="Solar")),INDIRECT(Aux!$A$1)),4,FALSE),"")</f>
        <v/>
      </c>
      <c r="O913" s="169" t="s">
        <v>1807</v>
      </c>
      <c r="P913" s="41" t="str">
        <f>IFERROR(IF(AND(BoM_Griptel[[#This Row],[Quantity]]&lt;&gt;"",BoM_Griptel[[#This Row],[Currency]]="NOK"),BoM_Griptel[[#This Row],[Quantity]]*BoM_Griptel[[#This Row],[Unit Price]],""),"")</f>
        <v/>
      </c>
      <c r="Q913" s="41" t="str">
        <f>IFERROR(IF(AND(BoM_Griptel[[#This Row],[ACT_Qty]]&lt;&gt;"",BoM_Griptel[[#This Row],[Currency]]="NOK"),BoM_Griptel[[#This Row],[ACT_Qty]]*BoM_Griptel[[#This Row],[Unit Price]],""),"")</f>
        <v/>
      </c>
      <c r="R913" s="41" t="str">
        <f>IFERROR(IF(AND(BoM_Griptel[[#This Row],[Quantity]]&lt;&gt;"",BoM_Griptel[[#This Row],[Currency]]="EUR"),BoM_Griptel[[#This Row],[Quantity]]*BoM_Griptel[[#This Row],[Unit Price]],""),"")</f>
        <v/>
      </c>
      <c r="S913" s="41" t="str">
        <f>IFERROR(IF(AND(BoM_Griptel[[#This Row],[ACT_Qty]]&lt;&gt;"",BoM_Griptel[[#This Row],[Currency]]="EUR"),BoM_Griptel[[#This Row],[ACT_Qty]]*BoM_Griptel[[#This Row],[Unit Price]],""),"")</f>
        <v/>
      </c>
      <c r="T913" s="185" t="s">
        <v>1802</v>
      </c>
      <c r="U913" s="45"/>
      <c r="V913" s="45"/>
      <c r="W913" s="45"/>
    </row>
    <row r="914" spans="1:23">
      <c r="A914" s="146" t="str">
        <f t="shared" si="28"/>
        <v>AKH12345</v>
      </c>
      <c r="B914" s="160"/>
      <c r="C914" s="69"/>
      <c r="D914" s="68"/>
      <c r="E914" s="89"/>
      <c r="F914" s="68"/>
      <c r="G914" s="89"/>
      <c r="H914" s="70"/>
      <c r="I914" s="78"/>
      <c r="J914" s="70"/>
      <c r="K914" s="70"/>
      <c r="L914" s="148" t="s">
        <v>1806</v>
      </c>
      <c r="M914" s="46" t="str">
        <f t="shared" si="27"/>
        <v>OneCo Networks AS</v>
      </c>
      <c r="N914" s="42" t="str">
        <f ca="1">IFERROR(
VLOOKUP(BoM_Griptel[[#This Row],[Product code]],
IF(AND((BoQ!$N$3&lt;&gt;""),OR(BoM_Griptel[[#This Row],[Vendor]]="Griptel",BoM_Griptel[[#This Row],[Vendor]]="Solar")),INDIRECT(Aux!$A$1)),4,FALSE),"")</f>
        <v/>
      </c>
      <c r="O914" s="170" t="s">
        <v>1807</v>
      </c>
      <c r="P914" s="43" t="str">
        <f>IFERROR(IF(AND(BoM_Griptel[[#This Row],[Quantity]]&lt;&gt;"",BoM_Griptel[[#This Row],[Currency]]="NOK"),BoM_Griptel[[#This Row],[Quantity]]*BoM_Griptel[[#This Row],[Unit Price]],""),"")</f>
        <v/>
      </c>
      <c r="Q914" s="43" t="str">
        <f>IFERROR(IF(AND(BoM_Griptel[[#This Row],[ACT_Qty]]&lt;&gt;"",BoM_Griptel[[#This Row],[Currency]]="NOK"),BoM_Griptel[[#This Row],[ACT_Qty]]*BoM_Griptel[[#This Row],[Unit Price]],""),"")</f>
        <v/>
      </c>
      <c r="R914" s="43" t="str">
        <f>IFERROR(IF(AND(BoM_Griptel[[#This Row],[Quantity]]&lt;&gt;"",BoM_Griptel[[#This Row],[Currency]]="EUR"),BoM_Griptel[[#This Row],[Quantity]]*BoM_Griptel[[#This Row],[Unit Price]],""),"")</f>
        <v/>
      </c>
      <c r="S914" s="43" t="str">
        <f>IFERROR(IF(AND(BoM_Griptel[[#This Row],[ACT_Qty]]&lt;&gt;"",BoM_Griptel[[#This Row],[Currency]]="EUR"),BoM_Griptel[[#This Row],[ACT_Qty]]*BoM_Griptel[[#This Row],[Unit Price]],""),"")</f>
        <v/>
      </c>
      <c r="T914" s="186" t="s">
        <v>1802</v>
      </c>
      <c r="U914" s="46"/>
      <c r="V914" s="46"/>
      <c r="W914" s="46"/>
    </row>
    <row r="915" spans="1:23">
      <c r="A915" s="143" t="str">
        <f t="shared" si="28"/>
        <v>AKH12345</v>
      </c>
      <c r="B915" s="159"/>
      <c r="C915" s="124"/>
      <c r="D915" s="105"/>
      <c r="E915" s="106"/>
      <c r="F915" s="105"/>
      <c r="G915" s="106"/>
      <c r="H915" s="125"/>
      <c r="I915" s="126"/>
      <c r="J915" s="125"/>
      <c r="K915" s="125"/>
      <c r="L915" s="145" t="s">
        <v>1806</v>
      </c>
      <c r="M915" s="45" t="str">
        <f t="shared" si="27"/>
        <v>OneCo Networks AS</v>
      </c>
      <c r="N915" s="40" t="str">
        <f ca="1">IFERROR(
VLOOKUP(BoM_Griptel[[#This Row],[Product code]],
IF(AND((BoQ!$N$3&lt;&gt;""),OR(BoM_Griptel[[#This Row],[Vendor]]="Griptel",BoM_Griptel[[#This Row],[Vendor]]="Solar")),INDIRECT(Aux!$A$1)),4,FALSE),"")</f>
        <v/>
      </c>
      <c r="O915" s="169" t="s">
        <v>1807</v>
      </c>
      <c r="P915" s="41" t="str">
        <f>IFERROR(IF(AND(BoM_Griptel[[#This Row],[Quantity]]&lt;&gt;"",BoM_Griptel[[#This Row],[Currency]]="NOK"),BoM_Griptel[[#This Row],[Quantity]]*BoM_Griptel[[#This Row],[Unit Price]],""),"")</f>
        <v/>
      </c>
      <c r="Q915" s="41" t="str">
        <f>IFERROR(IF(AND(BoM_Griptel[[#This Row],[ACT_Qty]]&lt;&gt;"",BoM_Griptel[[#This Row],[Currency]]="NOK"),BoM_Griptel[[#This Row],[ACT_Qty]]*BoM_Griptel[[#This Row],[Unit Price]],""),"")</f>
        <v/>
      </c>
      <c r="R915" s="41" t="str">
        <f>IFERROR(IF(AND(BoM_Griptel[[#This Row],[Quantity]]&lt;&gt;"",BoM_Griptel[[#This Row],[Currency]]="EUR"),BoM_Griptel[[#This Row],[Quantity]]*BoM_Griptel[[#This Row],[Unit Price]],""),"")</f>
        <v/>
      </c>
      <c r="S915" s="41" t="str">
        <f>IFERROR(IF(AND(BoM_Griptel[[#This Row],[ACT_Qty]]&lt;&gt;"",BoM_Griptel[[#This Row],[Currency]]="EUR"),BoM_Griptel[[#This Row],[ACT_Qty]]*BoM_Griptel[[#This Row],[Unit Price]],""),"")</f>
        <v/>
      </c>
      <c r="T915" s="185" t="s">
        <v>1802</v>
      </c>
      <c r="U915" s="45"/>
      <c r="V915" s="45"/>
      <c r="W915" s="45"/>
    </row>
    <row r="916" spans="1:23">
      <c r="A916" s="146" t="str">
        <f t="shared" si="28"/>
        <v>AKH12345</v>
      </c>
      <c r="B916" s="160"/>
      <c r="C916" s="69"/>
      <c r="D916" s="68"/>
      <c r="E916" s="89"/>
      <c r="F916" s="68"/>
      <c r="G916" s="89"/>
      <c r="H916" s="70"/>
      <c r="I916" s="78"/>
      <c r="J916" s="70"/>
      <c r="K916" s="70"/>
      <c r="L916" s="148" t="s">
        <v>1806</v>
      </c>
      <c r="M916" s="46" t="str">
        <f t="shared" ref="M916:M979" si="29">IF($C$3&lt;&gt;"",$C$3,"")</f>
        <v>OneCo Networks AS</v>
      </c>
      <c r="N916" s="42" t="str">
        <f ca="1">IFERROR(
VLOOKUP(BoM_Griptel[[#This Row],[Product code]],
IF(AND((BoQ!$N$3&lt;&gt;""),OR(BoM_Griptel[[#This Row],[Vendor]]="Griptel",BoM_Griptel[[#This Row],[Vendor]]="Solar")),INDIRECT(Aux!$A$1)),4,FALSE),"")</f>
        <v/>
      </c>
      <c r="O916" s="170" t="s">
        <v>1807</v>
      </c>
      <c r="P916" s="43" t="str">
        <f>IFERROR(IF(AND(BoM_Griptel[[#This Row],[Quantity]]&lt;&gt;"",BoM_Griptel[[#This Row],[Currency]]="NOK"),BoM_Griptel[[#This Row],[Quantity]]*BoM_Griptel[[#This Row],[Unit Price]],""),"")</f>
        <v/>
      </c>
      <c r="Q916" s="43" t="str">
        <f>IFERROR(IF(AND(BoM_Griptel[[#This Row],[ACT_Qty]]&lt;&gt;"",BoM_Griptel[[#This Row],[Currency]]="NOK"),BoM_Griptel[[#This Row],[ACT_Qty]]*BoM_Griptel[[#This Row],[Unit Price]],""),"")</f>
        <v/>
      </c>
      <c r="R916" s="43" t="str">
        <f>IFERROR(IF(AND(BoM_Griptel[[#This Row],[Quantity]]&lt;&gt;"",BoM_Griptel[[#This Row],[Currency]]="EUR"),BoM_Griptel[[#This Row],[Quantity]]*BoM_Griptel[[#This Row],[Unit Price]],""),"")</f>
        <v/>
      </c>
      <c r="S916" s="43" t="str">
        <f>IFERROR(IF(AND(BoM_Griptel[[#This Row],[ACT_Qty]]&lt;&gt;"",BoM_Griptel[[#This Row],[Currency]]="EUR"),BoM_Griptel[[#This Row],[ACT_Qty]]*BoM_Griptel[[#This Row],[Unit Price]],""),"")</f>
        <v/>
      </c>
      <c r="T916" s="186" t="s">
        <v>1802</v>
      </c>
      <c r="U916" s="46"/>
      <c r="V916" s="46"/>
      <c r="W916" s="46"/>
    </row>
    <row r="917" spans="1:23">
      <c r="A917" s="143" t="str">
        <f t="shared" si="28"/>
        <v>AKH12345</v>
      </c>
      <c r="B917" s="159"/>
      <c r="C917" s="124"/>
      <c r="D917" s="105"/>
      <c r="E917" s="106"/>
      <c r="F917" s="105"/>
      <c r="G917" s="106"/>
      <c r="H917" s="125"/>
      <c r="I917" s="126"/>
      <c r="J917" s="125"/>
      <c r="K917" s="125"/>
      <c r="L917" s="145" t="s">
        <v>1806</v>
      </c>
      <c r="M917" s="45" t="str">
        <f t="shared" si="29"/>
        <v>OneCo Networks AS</v>
      </c>
      <c r="N917" s="40" t="str">
        <f ca="1">IFERROR(
VLOOKUP(BoM_Griptel[[#This Row],[Product code]],
IF(AND((BoQ!$N$3&lt;&gt;""),OR(BoM_Griptel[[#This Row],[Vendor]]="Griptel",BoM_Griptel[[#This Row],[Vendor]]="Solar")),INDIRECT(Aux!$A$1)),4,FALSE),"")</f>
        <v/>
      </c>
      <c r="O917" s="169" t="s">
        <v>1807</v>
      </c>
      <c r="P917" s="41" t="str">
        <f>IFERROR(IF(AND(BoM_Griptel[[#This Row],[Quantity]]&lt;&gt;"",BoM_Griptel[[#This Row],[Currency]]="NOK"),BoM_Griptel[[#This Row],[Quantity]]*BoM_Griptel[[#This Row],[Unit Price]],""),"")</f>
        <v/>
      </c>
      <c r="Q917" s="41" t="str">
        <f>IFERROR(IF(AND(BoM_Griptel[[#This Row],[ACT_Qty]]&lt;&gt;"",BoM_Griptel[[#This Row],[Currency]]="NOK"),BoM_Griptel[[#This Row],[ACT_Qty]]*BoM_Griptel[[#This Row],[Unit Price]],""),"")</f>
        <v/>
      </c>
      <c r="R917" s="41" t="str">
        <f>IFERROR(IF(AND(BoM_Griptel[[#This Row],[Quantity]]&lt;&gt;"",BoM_Griptel[[#This Row],[Currency]]="EUR"),BoM_Griptel[[#This Row],[Quantity]]*BoM_Griptel[[#This Row],[Unit Price]],""),"")</f>
        <v/>
      </c>
      <c r="S917" s="41" t="str">
        <f>IFERROR(IF(AND(BoM_Griptel[[#This Row],[ACT_Qty]]&lt;&gt;"",BoM_Griptel[[#This Row],[Currency]]="EUR"),BoM_Griptel[[#This Row],[ACT_Qty]]*BoM_Griptel[[#This Row],[Unit Price]],""),"")</f>
        <v/>
      </c>
      <c r="T917" s="185" t="s">
        <v>1802</v>
      </c>
      <c r="U917" s="45"/>
      <c r="V917" s="45"/>
      <c r="W917" s="45"/>
    </row>
    <row r="918" spans="1:23">
      <c r="A918" s="146" t="str">
        <f t="shared" si="28"/>
        <v>AKH12345</v>
      </c>
      <c r="B918" s="160"/>
      <c r="C918" s="69"/>
      <c r="D918" s="68"/>
      <c r="E918" s="89"/>
      <c r="F918" s="68"/>
      <c r="G918" s="89"/>
      <c r="H918" s="70"/>
      <c r="I918" s="78"/>
      <c r="J918" s="70"/>
      <c r="K918" s="70"/>
      <c r="L918" s="148" t="s">
        <v>1806</v>
      </c>
      <c r="M918" s="46" t="str">
        <f t="shared" si="29"/>
        <v>OneCo Networks AS</v>
      </c>
      <c r="N918" s="42" t="str">
        <f ca="1">IFERROR(
VLOOKUP(BoM_Griptel[[#This Row],[Product code]],
IF(AND((BoQ!$N$3&lt;&gt;""),OR(BoM_Griptel[[#This Row],[Vendor]]="Griptel",BoM_Griptel[[#This Row],[Vendor]]="Solar")),INDIRECT(Aux!$A$1)),4,FALSE),"")</f>
        <v/>
      </c>
      <c r="O918" s="170" t="s">
        <v>1807</v>
      </c>
      <c r="P918" s="43" t="str">
        <f>IFERROR(IF(AND(BoM_Griptel[[#This Row],[Quantity]]&lt;&gt;"",BoM_Griptel[[#This Row],[Currency]]="NOK"),BoM_Griptel[[#This Row],[Quantity]]*BoM_Griptel[[#This Row],[Unit Price]],""),"")</f>
        <v/>
      </c>
      <c r="Q918" s="43" t="str">
        <f>IFERROR(IF(AND(BoM_Griptel[[#This Row],[ACT_Qty]]&lt;&gt;"",BoM_Griptel[[#This Row],[Currency]]="NOK"),BoM_Griptel[[#This Row],[ACT_Qty]]*BoM_Griptel[[#This Row],[Unit Price]],""),"")</f>
        <v/>
      </c>
      <c r="R918" s="43" t="str">
        <f>IFERROR(IF(AND(BoM_Griptel[[#This Row],[Quantity]]&lt;&gt;"",BoM_Griptel[[#This Row],[Currency]]="EUR"),BoM_Griptel[[#This Row],[Quantity]]*BoM_Griptel[[#This Row],[Unit Price]],""),"")</f>
        <v/>
      </c>
      <c r="S918" s="43" t="str">
        <f>IFERROR(IF(AND(BoM_Griptel[[#This Row],[ACT_Qty]]&lt;&gt;"",BoM_Griptel[[#This Row],[Currency]]="EUR"),BoM_Griptel[[#This Row],[ACT_Qty]]*BoM_Griptel[[#This Row],[Unit Price]],""),"")</f>
        <v/>
      </c>
      <c r="T918" s="186" t="s">
        <v>1802</v>
      </c>
      <c r="U918" s="46"/>
      <c r="V918" s="46"/>
      <c r="W918" s="46"/>
    </row>
    <row r="919" spans="1:23">
      <c r="A919" s="143" t="str">
        <f t="shared" si="28"/>
        <v>AKH12345</v>
      </c>
      <c r="B919" s="159"/>
      <c r="C919" s="124"/>
      <c r="D919" s="105"/>
      <c r="E919" s="106"/>
      <c r="F919" s="105"/>
      <c r="G919" s="106"/>
      <c r="H919" s="125"/>
      <c r="I919" s="126"/>
      <c r="J919" s="125"/>
      <c r="K919" s="125"/>
      <c r="L919" s="145" t="s">
        <v>1806</v>
      </c>
      <c r="M919" s="45" t="str">
        <f t="shared" si="29"/>
        <v>OneCo Networks AS</v>
      </c>
      <c r="N919" s="40" t="str">
        <f ca="1">IFERROR(
VLOOKUP(BoM_Griptel[[#This Row],[Product code]],
IF(AND((BoQ!$N$3&lt;&gt;""),OR(BoM_Griptel[[#This Row],[Vendor]]="Griptel",BoM_Griptel[[#This Row],[Vendor]]="Solar")),INDIRECT(Aux!$A$1)),4,FALSE),"")</f>
        <v/>
      </c>
      <c r="O919" s="169" t="s">
        <v>1807</v>
      </c>
      <c r="P919" s="41" t="str">
        <f>IFERROR(IF(AND(BoM_Griptel[[#This Row],[Quantity]]&lt;&gt;"",BoM_Griptel[[#This Row],[Currency]]="NOK"),BoM_Griptel[[#This Row],[Quantity]]*BoM_Griptel[[#This Row],[Unit Price]],""),"")</f>
        <v/>
      </c>
      <c r="Q919" s="41" t="str">
        <f>IFERROR(IF(AND(BoM_Griptel[[#This Row],[ACT_Qty]]&lt;&gt;"",BoM_Griptel[[#This Row],[Currency]]="NOK"),BoM_Griptel[[#This Row],[ACT_Qty]]*BoM_Griptel[[#This Row],[Unit Price]],""),"")</f>
        <v/>
      </c>
      <c r="R919" s="41" t="str">
        <f>IFERROR(IF(AND(BoM_Griptel[[#This Row],[Quantity]]&lt;&gt;"",BoM_Griptel[[#This Row],[Currency]]="EUR"),BoM_Griptel[[#This Row],[Quantity]]*BoM_Griptel[[#This Row],[Unit Price]],""),"")</f>
        <v/>
      </c>
      <c r="S919" s="41" t="str">
        <f>IFERROR(IF(AND(BoM_Griptel[[#This Row],[ACT_Qty]]&lt;&gt;"",BoM_Griptel[[#This Row],[Currency]]="EUR"),BoM_Griptel[[#This Row],[ACT_Qty]]*BoM_Griptel[[#This Row],[Unit Price]],""),"")</f>
        <v/>
      </c>
      <c r="T919" s="185" t="s">
        <v>1802</v>
      </c>
      <c r="U919" s="45"/>
      <c r="V919" s="45"/>
      <c r="W919" s="45"/>
    </row>
    <row r="920" spans="1:23">
      <c r="A920" s="146" t="str">
        <f t="shared" si="28"/>
        <v>AKH12345</v>
      </c>
      <c r="B920" s="160"/>
      <c r="C920" s="69"/>
      <c r="D920" s="68"/>
      <c r="E920" s="89"/>
      <c r="F920" s="68"/>
      <c r="G920" s="89"/>
      <c r="H920" s="70"/>
      <c r="I920" s="78"/>
      <c r="J920" s="70"/>
      <c r="K920" s="70"/>
      <c r="L920" s="148" t="s">
        <v>1806</v>
      </c>
      <c r="M920" s="46" t="str">
        <f t="shared" si="29"/>
        <v>OneCo Networks AS</v>
      </c>
      <c r="N920" s="42" t="str">
        <f ca="1">IFERROR(
VLOOKUP(BoM_Griptel[[#This Row],[Product code]],
IF(AND((BoQ!$N$3&lt;&gt;""),OR(BoM_Griptel[[#This Row],[Vendor]]="Griptel",BoM_Griptel[[#This Row],[Vendor]]="Solar")),INDIRECT(Aux!$A$1)),4,FALSE),"")</f>
        <v/>
      </c>
      <c r="O920" s="170" t="s">
        <v>1807</v>
      </c>
      <c r="P920" s="43" t="str">
        <f>IFERROR(IF(AND(BoM_Griptel[[#This Row],[Quantity]]&lt;&gt;"",BoM_Griptel[[#This Row],[Currency]]="NOK"),BoM_Griptel[[#This Row],[Quantity]]*BoM_Griptel[[#This Row],[Unit Price]],""),"")</f>
        <v/>
      </c>
      <c r="Q920" s="43" t="str">
        <f>IFERROR(IF(AND(BoM_Griptel[[#This Row],[ACT_Qty]]&lt;&gt;"",BoM_Griptel[[#This Row],[Currency]]="NOK"),BoM_Griptel[[#This Row],[ACT_Qty]]*BoM_Griptel[[#This Row],[Unit Price]],""),"")</f>
        <v/>
      </c>
      <c r="R920" s="43" t="str">
        <f>IFERROR(IF(AND(BoM_Griptel[[#This Row],[Quantity]]&lt;&gt;"",BoM_Griptel[[#This Row],[Currency]]="EUR"),BoM_Griptel[[#This Row],[Quantity]]*BoM_Griptel[[#This Row],[Unit Price]],""),"")</f>
        <v/>
      </c>
      <c r="S920" s="43" t="str">
        <f>IFERROR(IF(AND(BoM_Griptel[[#This Row],[ACT_Qty]]&lt;&gt;"",BoM_Griptel[[#This Row],[Currency]]="EUR"),BoM_Griptel[[#This Row],[ACT_Qty]]*BoM_Griptel[[#This Row],[Unit Price]],""),"")</f>
        <v/>
      </c>
      <c r="T920" s="186" t="s">
        <v>1802</v>
      </c>
      <c r="U920" s="46"/>
      <c r="V920" s="46"/>
      <c r="W920" s="46"/>
    </row>
    <row r="921" spans="1:23">
      <c r="A921" s="143" t="str">
        <f t="shared" si="28"/>
        <v>AKH12345</v>
      </c>
      <c r="B921" s="159"/>
      <c r="C921" s="124"/>
      <c r="D921" s="105"/>
      <c r="E921" s="106"/>
      <c r="F921" s="105"/>
      <c r="G921" s="106"/>
      <c r="H921" s="125"/>
      <c r="I921" s="126"/>
      <c r="J921" s="125"/>
      <c r="K921" s="125"/>
      <c r="L921" s="145" t="s">
        <v>1806</v>
      </c>
      <c r="M921" s="45" t="str">
        <f t="shared" si="29"/>
        <v>OneCo Networks AS</v>
      </c>
      <c r="N921" s="40" t="str">
        <f ca="1">IFERROR(
VLOOKUP(BoM_Griptel[[#This Row],[Product code]],
IF(AND((BoQ!$N$3&lt;&gt;""),OR(BoM_Griptel[[#This Row],[Vendor]]="Griptel",BoM_Griptel[[#This Row],[Vendor]]="Solar")),INDIRECT(Aux!$A$1)),4,FALSE),"")</f>
        <v/>
      </c>
      <c r="O921" s="169" t="s">
        <v>1807</v>
      </c>
      <c r="P921" s="41" t="str">
        <f>IFERROR(IF(AND(BoM_Griptel[[#This Row],[Quantity]]&lt;&gt;"",BoM_Griptel[[#This Row],[Currency]]="NOK"),BoM_Griptel[[#This Row],[Quantity]]*BoM_Griptel[[#This Row],[Unit Price]],""),"")</f>
        <v/>
      </c>
      <c r="Q921" s="41" t="str">
        <f>IFERROR(IF(AND(BoM_Griptel[[#This Row],[ACT_Qty]]&lt;&gt;"",BoM_Griptel[[#This Row],[Currency]]="NOK"),BoM_Griptel[[#This Row],[ACT_Qty]]*BoM_Griptel[[#This Row],[Unit Price]],""),"")</f>
        <v/>
      </c>
      <c r="R921" s="41" t="str">
        <f>IFERROR(IF(AND(BoM_Griptel[[#This Row],[Quantity]]&lt;&gt;"",BoM_Griptel[[#This Row],[Currency]]="EUR"),BoM_Griptel[[#This Row],[Quantity]]*BoM_Griptel[[#This Row],[Unit Price]],""),"")</f>
        <v/>
      </c>
      <c r="S921" s="41" t="str">
        <f>IFERROR(IF(AND(BoM_Griptel[[#This Row],[ACT_Qty]]&lt;&gt;"",BoM_Griptel[[#This Row],[Currency]]="EUR"),BoM_Griptel[[#This Row],[ACT_Qty]]*BoM_Griptel[[#This Row],[Unit Price]],""),"")</f>
        <v/>
      </c>
      <c r="T921" s="185" t="s">
        <v>1802</v>
      </c>
      <c r="U921" s="45"/>
      <c r="V921" s="45"/>
      <c r="W921" s="45"/>
    </row>
    <row r="922" spans="1:23">
      <c r="A922" s="146" t="str">
        <f t="shared" si="28"/>
        <v>AKH12345</v>
      </c>
      <c r="B922" s="160"/>
      <c r="C922" s="69"/>
      <c r="D922" s="68"/>
      <c r="E922" s="89"/>
      <c r="F922" s="68"/>
      <c r="G922" s="89"/>
      <c r="H922" s="70"/>
      <c r="I922" s="78"/>
      <c r="J922" s="70"/>
      <c r="K922" s="70"/>
      <c r="L922" s="148" t="s">
        <v>1806</v>
      </c>
      <c r="M922" s="46" t="str">
        <f t="shared" si="29"/>
        <v>OneCo Networks AS</v>
      </c>
      <c r="N922" s="42" t="str">
        <f ca="1">IFERROR(
VLOOKUP(BoM_Griptel[[#This Row],[Product code]],
IF(AND((BoQ!$N$3&lt;&gt;""),OR(BoM_Griptel[[#This Row],[Vendor]]="Griptel",BoM_Griptel[[#This Row],[Vendor]]="Solar")),INDIRECT(Aux!$A$1)),4,FALSE),"")</f>
        <v/>
      </c>
      <c r="O922" s="170" t="s">
        <v>1807</v>
      </c>
      <c r="P922" s="43" t="str">
        <f>IFERROR(IF(AND(BoM_Griptel[[#This Row],[Quantity]]&lt;&gt;"",BoM_Griptel[[#This Row],[Currency]]="NOK"),BoM_Griptel[[#This Row],[Quantity]]*BoM_Griptel[[#This Row],[Unit Price]],""),"")</f>
        <v/>
      </c>
      <c r="Q922" s="43" t="str">
        <f>IFERROR(IF(AND(BoM_Griptel[[#This Row],[ACT_Qty]]&lt;&gt;"",BoM_Griptel[[#This Row],[Currency]]="NOK"),BoM_Griptel[[#This Row],[ACT_Qty]]*BoM_Griptel[[#This Row],[Unit Price]],""),"")</f>
        <v/>
      </c>
      <c r="R922" s="43" t="str">
        <f>IFERROR(IF(AND(BoM_Griptel[[#This Row],[Quantity]]&lt;&gt;"",BoM_Griptel[[#This Row],[Currency]]="EUR"),BoM_Griptel[[#This Row],[Quantity]]*BoM_Griptel[[#This Row],[Unit Price]],""),"")</f>
        <v/>
      </c>
      <c r="S922" s="43" t="str">
        <f>IFERROR(IF(AND(BoM_Griptel[[#This Row],[ACT_Qty]]&lt;&gt;"",BoM_Griptel[[#This Row],[Currency]]="EUR"),BoM_Griptel[[#This Row],[ACT_Qty]]*BoM_Griptel[[#This Row],[Unit Price]],""),"")</f>
        <v/>
      </c>
      <c r="T922" s="186" t="s">
        <v>1802</v>
      </c>
      <c r="U922" s="46"/>
      <c r="V922" s="46"/>
      <c r="W922" s="46"/>
    </row>
    <row r="923" spans="1:23">
      <c r="A923" s="143" t="str">
        <f t="shared" si="28"/>
        <v>AKH12345</v>
      </c>
      <c r="B923" s="159"/>
      <c r="C923" s="124"/>
      <c r="D923" s="105"/>
      <c r="E923" s="106"/>
      <c r="F923" s="105"/>
      <c r="G923" s="106"/>
      <c r="H923" s="125"/>
      <c r="I923" s="126"/>
      <c r="J923" s="125"/>
      <c r="K923" s="125"/>
      <c r="L923" s="145" t="s">
        <v>1806</v>
      </c>
      <c r="M923" s="45" t="str">
        <f t="shared" si="29"/>
        <v>OneCo Networks AS</v>
      </c>
      <c r="N923" s="40" t="str">
        <f ca="1">IFERROR(
VLOOKUP(BoM_Griptel[[#This Row],[Product code]],
IF(AND((BoQ!$N$3&lt;&gt;""),OR(BoM_Griptel[[#This Row],[Vendor]]="Griptel",BoM_Griptel[[#This Row],[Vendor]]="Solar")),INDIRECT(Aux!$A$1)),4,FALSE),"")</f>
        <v/>
      </c>
      <c r="O923" s="169" t="s">
        <v>1807</v>
      </c>
      <c r="P923" s="41" t="str">
        <f>IFERROR(IF(AND(BoM_Griptel[[#This Row],[Quantity]]&lt;&gt;"",BoM_Griptel[[#This Row],[Currency]]="NOK"),BoM_Griptel[[#This Row],[Quantity]]*BoM_Griptel[[#This Row],[Unit Price]],""),"")</f>
        <v/>
      </c>
      <c r="Q923" s="41" t="str">
        <f>IFERROR(IF(AND(BoM_Griptel[[#This Row],[ACT_Qty]]&lt;&gt;"",BoM_Griptel[[#This Row],[Currency]]="NOK"),BoM_Griptel[[#This Row],[ACT_Qty]]*BoM_Griptel[[#This Row],[Unit Price]],""),"")</f>
        <v/>
      </c>
      <c r="R923" s="41" t="str">
        <f>IFERROR(IF(AND(BoM_Griptel[[#This Row],[Quantity]]&lt;&gt;"",BoM_Griptel[[#This Row],[Currency]]="EUR"),BoM_Griptel[[#This Row],[Quantity]]*BoM_Griptel[[#This Row],[Unit Price]],""),"")</f>
        <v/>
      </c>
      <c r="S923" s="41" t="str">
        <f>IFERROR(IF(AND(BoM_Griptel[[#This Row],[ACT_Qty]]&lt;&gt;"",BoM_Griptel[[#This Row],[Currency]]="EUR"),BoM_Griptel[[#This Row],[ACT_Qty]]*BoM_Griptel[[#This Row],[Unit Price]],""),"")</f>
        <v/>
      </c>
      <c r="T923" s="185" t="s">
        <v>1802</v>
      </c>
      <c r="U923" s="45"/>
      <c r="V923" s="45"/>
      <c r="W923" s="45"/>
    </row>
    <row r="924" spans="1:23">
      <c r="A924" s="146" t="str">
        <f t="shared" si="28"/>
        <v>AKH12345</v>
      </c>
      <c r="B924" s="160"/>
      <c r="C924" s="69"/>
      <c r="D924" s="68"/>
      <c r="E924" s="89"/>
      <c r="F924" s="68"/>
      <c r="G924" s="89"/>
      <c r="H924" s="70"/>
      <c r="I924" s="78"/>
      <c r="J924" s="70"/>
      <c r="K924" s="70"/>
      <c r="L924" s="148" t="s">
        <v>1806</v>
      </c>
      <c r="M924" s="46" t="str">
        <f t="shared" si="29"/>
        <v>OneCo Networks AS</v>
      </c>
      <c r="N924" s="42" t="str">
        <f ca="1">IFERROR(
VLOOKUP(BoM_Griptel[[#This Row],[Product code]],
IF(AND((BoQ!$N$3&lt;&gt;""),OR(BoM_Griptel[[#This Row],[Vendor]]="Griptel",BoM_Griptel[[#This Row],[Vendor]]="Solar")),INDIRECT(Aux!$A$1)),4,FALSE),"")</f>
        <v/>
      </c>
      <c r="O924" s="170" t="s">
        <v>1807</v>
      </c>
      <c r="P924" s="43" t="str">
        <f>IFERROR(IF(AND(BoM_Griptel[[#This Row],[Quantity]]&lt;&gt;"",BoM_Griptel[[#This Row],[Currency]]="NOK"),BoM_Griptel[[#This Row],[Quantity]]*BoM_Griptel[[#This Row],[Unit Price]],""),"")</f>
        <v/>
      </c>
      <c r="Q924" s="43" t="str">
        <f>IFERROR(IF(AND(BoM_Griptel[[#This Row],[ACT_Qty]]&lt;&gt;"",BoM_Griptel[[#This Row],[Currency]]="NOK"),BoM_Griptel[[#This Row],[ACT_Qty]]*BoM_Griptel[[#This Row],[Unit Price]],""),"")</f>
        <v/>
      </c>
      <c r="R924" s="43" t="str">
        <f>IFERROR(IF(AND(BoM_Griptel[[#This Row],[Quantity]]&lt;&gt;"",BoM_Griptel[[#This Row],[Currency]]="EUR"),BoM_Griptel[[#This Row],[Quantity]]*BoM_Griptel[[#This Row],[Unit Price]],""),"")</f>
        <v/>
      </c>
      <c r="S924" s="43" t="str">
        <f>IFERROR(IF(AND(BoM_Griptel[[#This Row],[ACT_Qty]]&lt;&gt;"",BoM_Griptel[[#This Row],[Currency]]="EUR"),BoM_Griptel[[#This Row],[ACT_Qty]]*BoM_Griptel[[#This Row],[Unit Price]],""),"")</f>
        <v/>
      </c>
      <c r="T924" s="186" t="s">
        <v>1802</v>
      </c>
      <c r="U924" s="46"/>
      <c r="V924" s="46"/>
      <c r="W924" s="46"/>
    </row>
    <row r="925" spans="1:23">
      <c r="A925" s="143" t="str">
        <f t="shared" si="28"/>
        <v>AKH12345</v>
      </c>
      <c r="B925" s="159"/>
      <c r="C925" s="124"/>
      <c r="D925" s="105"/>
      <c r="E925" s="106"/>
      <c r="F925" s="105"/>
      <c r="G925" s="106"/>
      <c r="H925" s="125"/>
      <c r="I925" s="126"/>
      <c r="J925" s="125"/>
      <c r="K925" s="125"/>
      <c r="L925" s="145" t="s">
        <v>1806</v>
      </c>
      <c r="M925" s="45" t="str">
        <f t="shared" si="29"/>
        <v>OneCo Networks AS</v>
      </c>
      <c r="N925" s="40" t="str">
        <f ca="1">IFERROR(
VLOOKUP(BoM_Griptel[[#This Row],[Product code]],
IF(AND((BoQ!$N$3&lt;&gt;""),OR(BoM_Griptel[[#This Row],[Vendor]]="Griptel",BoM_Griptel[[#This Row],[Vendor]]="Solar")),INDIRECT(Aux!$A$1)),4,FALSE),"")</f>
        <v/>
      </c>
      <c r="O925" s="169" t="s">
        <v>1807</v>
      </c>
      <c r="P925" s="41" t="str">
        <f>IFERROR(IF(AND(BoM_Griptel[[#This Row],[Quantity]]&lt;&gt;"",BoM_Griptel[[#This Row],[Currency]]="NOK"),BoM_Griptel[[#This Row],[Quantity]]*BoM_Griptel[[#This Row],[Unit Price]],""),"")</f>
        <v/>
      </c>
      <c r="Q925" s="41" t="str">
        <f>IFERROR(IF(AND(BoM_Griptel[[#This Row],[ACT_Qty]]&lt;&gt;"",BoM_Griptel[[#This Row],[Currency]]="NOK"),BoM_Griptel[[#This Row],[ACT_Qty]]*BoM_Griptel[[#This Row],[Unit Price]],""),"")</f>
        <v/>
      </c>
      <c r="R925" s="41" t="str">
        <f>IFERROR(IF(AND(BoM_Griptel[[#This Row],[Quantity]]&lt;&gt;"",BoM_Griptel[[#This Row],[Currency]]="EUR"),BoM_Griptel[[#This Row],[Quantity]]*BoM_Griptel[[#This Row],[Unit Price]],""),"")</f>
        <v/>
      </c>
      <c r="S925" s="41" t="str">
        <f>IFERROR(IF(AND(BoM_Griptel[[#This Row],[ACT_Qty]]&lt;&gt;"",BoM_Griptel[[#This Row],[Currency]]="EUR"),BoM_Griptel[[#This Row],[ACT_Qty]]*BoM_Griptel[[#This Row],[Unit Price]],""),"")</f>
        <v/>
      </c>
      <c r="T925" s="185" t="s">
        <v>1802</v>
      </c>
      <c r="U925" s="45"/>
      <c r="V925" s="45"/>
      <c r="W925" s="45"/>
    </row>
    <row r="926" spans="1:23">
      <c r="A926" s="146" t="str">
        <f t="shared" si="28"/>
        <v>AKH12345</v>
      </c>
      <c r="B926" s="160"/>
      <c r="C926" s="69"/>
      <c r="D926" s="68"/>
      <c r="E926" s="89"/>
      <c r="F926" s="68"/>
      <c r="G926" s="89"/>
      <c r="H926" s="70"/>
      <c r="I926" s="78"/>
      <c r="J926" s="70"/>
      <c r="K926" s="70"/>
      <c r="L926" s="148" t="s">
        <v>1806</v>
      </c>
      <c r="M926" s="46" t="str">
        <f t="shared" si="29"/>
        <v>OneCo Networks AS</v>
      </c>
      <c r="N926" s="42" t="str">
        <f ca="1">IFERROR(
VLOOKUP(BoM_Griptel[[#This Row],[Product code]],
IF(AND((BoQ!$N$3&lt;&gt;""),OR(BoM_Griptel[[#This Row],[Vendor]]="Griptel",BoM_Griptel[[#This Row],[Vendor]]="Solar")),INDIRECT(Aux!$A$1)),4,FALSE),"")</f>
        <v/>
      </c>
      <c r="O926" s="170" t="s">
        <v>1807</v>
      </c>
      <c r="P926" s="43" t="str">
        <f>IFERROR(IF(AND(BoM_Griptel[[#This Row],[Quantity]]&lt;&gt;"",BoM_Griptel[[#This Row],[Currency]]="NOK"),BoM_Griptel[[#This Row],[Quantity]]*BoM_Griptel[[#This Row],[Unit Price]],""),"")</f>
        <v/>
      </c>
      <c r="Q926" s="43" t="str">
        <f>IFERROR(IF(AND(BoM_Griptel[[#This Row],[ACT_Qty]]&lt;&gt;"",BoM_Griptel[[#This Row],[Currency]]="NOK"),BoM_Griptel[[#This Row],[ACT_Qty]]*BoM_Griptel[[#This Row],[Unit Price]],""),"")</f>
        <v/>
      </c>
      <c r="R926" s="43" t="str">
        <f>IFERROR(IF(AND(BoM_Griptel[[#This Row],[Quantity]]&lt;&gt;"",BoM_Griptel[[#This Row],[Currency]]="EUR"),BoM_Griptel[[#This Row],[Quantity]]*BoM_Griptel[[#This Row],[Unit Price]],""),"")</f>
        <v/>
      </c>
      <c r="S926" s="43" t="str">
        <f>IFERROR(IF(AND(BoM_Griptel[[#This Row],[ACT_Qty]]&lt;&gt;"",BoM_Griptel[[#This Row],[Currency]]="EUR"),BoM_Griptel[[#This Row],[ACT_Qty]]*BoM_Griptel[[#This Row],[Unit Price]],""),"")</f>
        <v/>
      </c>
      <c r="T926" s="186" t="s">
        <v>1802</v>
      </c>
      <c r="U926" s="46"/>
      <c r="V926" s="46"/>
      <c r="W926" s="46"/>
    </row>
    <row r="927" spans="1:23">
      <c r="A927" s="143" t="str">
        <f t="shared" si="28"/>
        <v>AKH12345</v>
      </c>
      <c r="B927" s="159"/>
      <c r="C927" s="124"/>
      <c r="D927" s="105"/>
      <c r="E927" s="106"/>
      <c r="F927" s="105"/>
      <c r="G927" s="106"/>
      <c r="H927" s="125"/>
      <c r="I927" s="126"/>
      <c r="J927" s="125"/>
      <c r="K927" s="125"/>
      <c r="L927" s="145" t="s">
        <v>1806</v>
      </c>
      <c r="M927" s="45" t="str">
        <f t="shared" si="29"/>
        <v>OneCo Networks AS</v>
      </c>
      <c r="N927" s="40" t="str">
        <f ca="1">IFERROR(
VLOOKUP(BoM_Griptel[[#This Row],[Product code]],
IF(AND((BoQ!$N$3&lt;&gt;""),OR(BoM_Griptel[[#This Row],[Vendor]]="Griptel",BoM_Griptel[[#This Row],[Vendor]]="Solar")),INDIRECT(Aux!$A$1)),4,FALSE),"")</f>
        <v/>
      </c>
      <c r="O927" s="169" t="s">
        <v>1807</v>
      </c>
      <c r="P927" s="41" t="str">
        <f>IFERROR(IF(AND(BoM_Griptel[[#This Row],[Quantity]]&lt;&gt;"",BoM_Griptel[[#This Row],[Currency]]="NOK"),BoM_Griptel[[#This Row],[Quantity]]*BoM_Griptel[[#This Row],[Unit Price]],""),"")</f>
        <v/>
      </c>
      <c r="Q927" s="41" t="str">
        <f>IFERROR(IF(AND(BoM_Griptel[[#This Row],[ACT_Qty]]&lt;&gt;"",BoM_Griptel[[#This Row],[Currency]]="NOK"),BoM_Griptel[[#This Row],[ACT_Qty]]*BoM_Griptel[[#This Row],[Unit Price]],""),"")</f>
        <v/>
      </c>
      <c r="R927" s="41" t="str">
        <f>IFERROR(IF(AND(BoM_Griptel[[#This Row],[Quantity]]&lt;&gt;"",BoM_Griptel[[#This Row],[Currency]]="EUR"),BoM_Griptel[[#This Row],[Quantity]]*BoM_Griptel[[#This Row],[Unit Price]],""),"")</f>
        <v/>
      </c>
      <c r="S927" s="41" t="str">
        <f>IFERROR(IF(AND(BoM_Griptel[[#This Row],[ACT_Qty]]&lt;&gt;"",BoM_Griptel[[#This Row],[Currency]]="EUR"),BoM_Griptel[[#This Row],[ACT_Qty]]*BoM_Griptel[[#This Row],[Unit Price]],""),"")</f>
        <v/>
      </c>
      <c r="T927" s="185" t="s">
        <v>1802</v>
      </c>
      <c r="U927" s="45"/>
      <c r="V927" s="45"/>
      <c r="W927" s="45"/>
    </row>
    <row r="928" spans="1:23">
      <c r="A928" s="146" t="str">
        <f t="shared" si="28"/>
        <v>AKH12345</v>
      </c>
      <c r="B928" s="160"/>
      <c r="C928" s="69"/>
      <c r="D928" s="68"/>
      <c r="E928" s="89"/>
      <c r="F928" s="68"/>
      <c r="G928" s="89"/>
      <c r="H928" s="70"/>
      <c r="I928" s="78"/>
      <c r="J928" s="70"/>
      <c r="K928" s="70"/>
      <c r="L928" s="148" t="s">
        <v>1806</v>
      </c>
      <c r="M928" s="46" t="str">
        <f t="shared" si="29"/>
        <v>OneCo Networks AS</v>
      </c>
      <c r="N928" s="42" t="str">
        <f ca="1">IFERROR(
VLOOKUP(BoM_Griptel[[#This Row],[Product code]],
IF(AND((BoQ!$N$3&lt;&gt;""),OR(BoM_Griptel[[#This Row],[Vendor]]="Griptel",BoM_Griptel[[#This Row],[Vendor]]="Solar")),INDIRECT(Aux!$A$1)),4,FALSE),"")</f>
        <v/>
      </c>
      <c r="O928" s="170" t="s">
        <v>1807</v>
      </c>
      <c r="P928" s="43" t="str">
        <f>IFERROR(IF(AND(BoM_Griptel[[#This Row],[Quantity]]&lt;&gt;"",BoM_Griptel[[#This Row],[Currency]]="NOK"),BoM_Griptel[[#This Row],[Quantity]]*BoM_Griptel[[#This Row],[Unit Price]],""),"")</f>
        <v/>
      </c>
      <c r="Q928" s="43" t="str">
        <f>IFERROR(IF(AND(BoM_Griptel[[#This Row],[ACT_Qty]]&lt;&gt;"",BoM_Griptel[[#This Row],[Currency]]="NOK"),BoM_Griptel[[#This Row],[ACT_Qty]]*BoM_Griptel[[#This Row],[Unit Price]],""),"")</f>
        <v/>
      </c>
      <c r="R928" s="43" t="str">
        <f>IFERROR(IF(AND(BoM_Griptel[[#This Row],[Quantity]]&lt;&gt;"",BoM_Griptel[[#This Row],[Currency]]="EUR"),BoM_Griptel[[#This Row],[Quantity]]*BoM_Griptel[[#This Row],[Unit Price]],""),"")</f>
        <v/>
      </c>
      <c r="S928" s="43" t="str">
        <f>IFERROR(IF(AND(BoM_Griptel[[#This Row],[ACT_Qty]]&lt;&gt;"",BoM_Griptel[[#This Row],[Currency]]="EUR"),BoM_Griptel[[#This Row],[ACT_Qty]]*BoM_Griptel[[#This Row],[Unit Price]],""),"")</f>
        <v/>
      </c>
      <c r="T928" s="186" t="s">
        <v>1802</v>
      </c>
      <c r="U928" s="46"/>
      <c r="V928" s="46"/>
      <c r="W928" s="46"/>
    </row>
    <row r="929" spans="1:23">
      <c r="A929" s="143" t="str">
        <f t="shared" si="28"/>
        <v>AKH12345</v>
      </c>
      <c r="B929" s="159"/>
      <c r="C929" s="124"/>
      <c r="D929" s="105"/>
      <c r="E929" s="106"/>
      <c r="F929" s="105"/>
      <c r="G929" s="106"/>
      <c r="H929" s="125"/>
      <c r="I929" s="126"/>
      <c r="J929" s="125"/>
      <c r="K929" s="125"/>
      <c r="L929" s="145" t="s">
        <v>1806</v>
      </c>
      <c r="M929" s="45" t="str">
        <f t="shared" si="29"/>
        <v>OneCo Networks AS</v>
      </c>
      <c r="N929" s="40" t="str">
        <f ca="1">IFERROR(
VLOOKUP(BoM_Griptel[[#This Row],[Product code]],
IF(AND((BoQ!$N$3&lt;&gt;""),OR(BoM_Griptel[[#This Row],[Vendor]]="Griptel",BoM_Griptel[[#This Row],[Vendor]]="Solar")),INDIRECT(Aux!$A$1)),4,FALSE),"")</f>
        <v/>
      </c>
      <c r="O929" s="169" t="s">
        <v>1807</v>
      </c>
      <c r="P929" s="41" t="str">
        <f>IFERROR(IF(AND(BoM_Griptel[[#This Row],[Quantity]]&lt;&gt;"",BoM_Griptel[[#This Row],[Currency]]="NOK"),BoM_Griptel[[#This Row],[Quantity]]*BoM_Griptel[[#This Row],[Unit Price]],""),"")</f>
        <v/>
      </c>
      <c r="Q929" s="41" t="str">
        <f>IFERROR(IF(AND(BoM_Griptel[[#This Row],[ACT_Qty]]&lt;&gt;"",BoM_Griptel[[#This Row],[Currency]]="NOK"),BoM_Griptel[[#This Row],[ACT_Qty]]*BoM_Griptel[[#This Row],[Unit Price]],""),"")</f>
        <v/>
      </c>
      <c r="R929" s="41" t="str">
        <f>IFERROR(IF(AND(BoM_Griptel[[#This Row],[Quantity]]&lt;&gt;"",BoM_Griptel[[#This Row],[Currency]]="EUR"),BoM_Griptel[[#This Row],[Quantity]]*BoM_Griptel[[#This Row],[Unit Price]],""),"")</f>
        <v/>
      </c>
      <c r="S929" s="41" t="str">
        <f>IFERROR(IF(AND(BoM_Griptel[[#This Row],[ACT_Qty]]&lt;&gt;"",BoM_Griptel[[#This Row],[Currency]]="EUR"),BoM_Griptel[[#This Row],[ACT_Qty]]*BoM_Griptel[[#This Row],[Unit Price]],""),"")</f>
        <v/>
      </c>
      <c r="T929" s="185" t="s">
        <v>1802</v>
      </c>
      <c r="U929" s="45"/>
      <c r="V929" s="45"/>
      <c r="W929" s="45"/>
    </row>
    <row r="930" spans="1:23">
      <c r="A930" s="146" t="str">
        <f t="shared" si="28"/>
        <v>AKH12345</v>
      </c>
      <c r="B930" s="160"/>
      <c r="C930" s="69"/>
      <c r="D930" s="68"/>
      <c r="E930" s="89"/>
      <c r="F930" s="68"/>
      <c r="G930" s="89"/>
      <c r="H930" s="70"/>
      <c r="I930" s="78"/>
      <c r="J930" s="70"/>
      <c r="K930" s="70"/>
      <c r="L930" s="148" t="s">
        <v>1806</v>
      </c>
      <c r="M930" s="46" t="str">
        <f t="shared" si="29"/>
        <v>OneCo Networks AS</v>
      </c>
      <c r="N930" s="42" t="str">
        <f ca="1">IFERROR(
VLOOKUP(BoM_Griptel[[#This Row],[Product code]],
IF(AND((BoQ!$N$3&lt;&gt;""),OR(BoM_Griptel[[#This Row],[Vendor]]="Griptel",BoM_Griptel[[#This Row],[Vendor]]="Solar")),INDIRECT(Aux!$A$1)),4,FALSE),"")</f>
        <v/>
      </c>
      <c r="O930" s="170" t="s">
        <v>1807</v>
      </c>
      <c r="P930" s="43" t="str">
        <f>IFERROR(IF(AND(BoM_Griptel[[#This Row],[Quantity]]&lt;&gt;"",BoM_Griptel[[#This Row],[Currency]]="NOK"),BoM_Griptel[[#This Row],[Quantity]]*BoM_Griptel[[#This Row],[Unit Price]],""),"")</f>
        <v/>
      </c>
      <c r="Q930" s="43" t="str">
        <f>IFERROR(IF(AND(BoM_Griptel[[#This Row],[ACT_Qty]]&lt;&gt;"",BoM_Griptel[[#This Row],[Currency]]="NOK"),BoM_Griptel[[#This Row],[ACT_Qty]]*BoM_Griptel[[#This Row],[Unit Price]],""),"")</f>
        <v/>
      </c>
      <c r="R930" s="43" t="str">
        <f>IFERROR(IF(AND(BoM_Griptel[[#This Row],[Quantity]]&lt;&gt;"",BoM_Griptel[[#This Row],[Currency]]="EUR"),BoM_Griptel[[#This Row],[Quantity]]*BoM_Griptel[[#This Row],[Unit Price]],""),"")</f>
        <v/>
      </c>
      <c r="S930" s="43" t="str">
        <f>IFERROR(IF(AND(BoM_Griptel[[#This Row],[ACT_Qty]]&lt;&gt;"",BoM_Griptel[[#This Row],[Currency]]="EUR"),BoM_Griptel[[#This Row],[ACT_Qty]]*BoM_Griptel[[#This Row],[Unit Price]],""),"")</f>
        <v/>
      </c>
      <c r="T930" s="186" t="s">
        <v>1802</v>
      </c>
      <c r="U930" s="46"/>
      <c r="V930" s="46"/>
      <c r="W930" s="46"/>
    </row>
    <row r="931" spans="1:23">
      <c r="A931" s="143" t="str">
        <f t="shared" si="28"/>
        <v>AKH12345</v>
      </c>
      <c r="B931" s="159"/>
      <c r="C931" s="124"/>
      <c r="D931" s="105"/>
      <c r="E931" s="106"/>
      <c r="F931" s="105"/>
      <c r="G931" s="106"/>
      <c r="H931" s="125"/>
      <c r="I931" s="126"/>
      <c r="J931" s="125"/>
      <c r="K931" s="125"/>
      <c r="L931" s="145" t="s">
        <v>1806</v>
      </c>
      <c r="M931" s="45" t="str">
        <f t="shared" si="29"/>
        <v>OneCo Networks AS</v>
      </c>
      <c r="N931" s="40" t="str">
        <f ca="1">IFERROR(
VLOOKUP(BoM_Griptel[[#This Row],[Product code]],
IF(AND((BoQ!$N$3&lt;&gt;""),OR(BoM_Griptel[[#This Row],[Vendor]]="Griptel",BoM_Griptel[[#This Row],[Vendor]]="Solar")),INDIRECT(Aux!$A$1)),4,FALSE),"")</f>
        <v/>
      </c>
      <c r="O931" s="169" t="s">
        <v>1807</v>
      </c>
      <c r="P931" s="41" t="str">
        <f>IFERROR(IF(AND(BoM_Griptel[[#This Row],[Quantity]]&lt;&gt;"",BoM_Griptel[[#This Row],[Currency]]="NOK"),BoM_Griptel[[#This Row],[Quantity]]*BoM_Griptel[[#This Row],[Unit Price]],""),"")</f>
        <v/>
      </c>
      <c r="Q931" s="41" t="str">
        <f>IFERROR(IF(AND(BoM_Griptel[[#This Row],[ACT_Qty]]&lt;&gt;"",BoM_Griptel[[#This Row],[Currency]]="NOK"),BoM_Griptel[[#This Row],[ACT_Qty]]*BoM_Griptel[[#This Row],[Unit Price]],""),"")</f>
        <v/>
      </c>
      <c r="R931" s="41" t="str">
        <f>IFERROR(IF(AND(BoM_Griptel[[#This Row],[Quantity]]&lt;&gt;"",BoM_Griptel[[#This Row],[Currency]]="EUR"),BoM_Griptel[[#This Row],[Quantity]]*BoM_Griptel[[#This Row],[Unit Price]],""),"")</f>
        <v/>
      </c>
      <c r="S931" s="41" t="str">
        <f>IFERROR(IF(AND(BoM_Griptel[[#This Row],[ACT_Qty]]&lt;&gt;"",BoM_Griptel[[#This Row],[Currency]]="EUR"),BoM_Griptel[[#This Row],[ACT_Qty]]*BoM_Griptel[[#This Row],[Unit Price]],""),"")</f>
        <v/>
      </c>
      <c r="T931" s="185" t="s">
        <v>1802</v>
      </c>
      <c r="U931" s="45"/>
      <c r="V931" s="45"/>
      <c r="W931" s="45"/>
    </row>
    <row r="932" spans="1:23">
      <c r="A932" s="146" t="str">
        <f t="shared" si="28"/>
        <v>AKH12345</v>
      </c>
      <c r="B932" s="160"/>
      <c r="C932" s="69"/>
      <c r="D932" s="68"/>
      <c r="E932" s="89"/>
      <c r="F932" s="68"/>
      <c r="G932" s="89"/>
      <c r="H932" s="70"/>
      <c r="I932" s="78"/>
      <c r="J932" s="70"/>
      <c r="K932" s="70"/>
      <c r="L932" s="148" t="s">
        <v>1806</v>
      </c>
      <c r="M932" s="46" t="str">
        <f t="shared" si="29"/>
        <v>OneCo Networks AS</v>
      </c>
      <c r="N932" s="42" t="str">
        <f ca="1">IFERROR(
VLOOKUP(BoM_Griptel[[#This Row],[Product code]],
IF(AND((BoQ!$N$3&lt;&gt;""),OR(BoM_Griptel[[#This Row],[Vendor]]="Griptel",BoM_Griptel[[#This Row],[Vendor]]="Solar")),INDIRECT(Aux!$A$1)),4,FALSE),"")</f>
        <v/>
      </c>
      <c r="O932" s="170" t="s">
        <v>1807</v>
      </c>
      <c r="P932" s="43" t="str">
        <f>IFERROR(IF(AND(BoM_Griptel[[#This Row],[Quantity]]&lt;&gt;"",BoM_Griptel[[#This Row],[Currency]]="NOK"),BoM_Griptel[[#This Row],[Quantity]]*BoM_Griptel[[#This Row],[Unit Price]],""),"")</f>
        <v/>
      </c>
      <c r="Q932" s="43" t="str">
        <f>IFERROR(IF(AND(BoM_Griptel[[#This Row],[ACT_Qty]]&lt;&gt;"",BoM_Griptel[[#This Row],[Currency]]="NOK"),BoM_Griptel[[#This Row],[ACT_Qty]]*BoM_Griptel[[#This Row],[Unit Price]],""),"")</f>
        <v/>
      </c>
      <c r="R932" s="43" t="str">
        <f>IFERROR(IF(AND(BoM_Griptel[[#This Row],[Quantity]]&lt;&gt;"",BoM_Griptel[[#This Row],[Currency]]="EUR"),BoM_Griptel[[#This Row],[Quantity]]*BoM_Griptel[[#This Row],[Unit Price]],""),"")</f>
        <v/>
      </c>
      <c r="S932" s="43" t="str">
        <f>IFERROR(IF(AND(BoM_Griptel[[#This Row],[ACT_Qty]]&lt;&gt;"",BoM_Griptel[[#This Row],[Currency]]="EUR"),BoM_Griptel[[#This Row],[ACT_Qty]]*BoM_Griptel[[#This Row],[Unit Price]],""),"")</f>
        <v/>
      </c>
      <c r="T932" s="186" t="s">
        <v>1802</v>
      </c>
      <c r="U932" s="46"/>
      <c r="V932" s="46"/>
      <c r="W932" s="46"/>
    </row>
    <row r="933" spans="1:23">
      <c r="A933" s="143" t="str">
        <f t="shared" si="28"/>
        <v>AKH12345</v>
      </c>
      <c r="B933" s="159"/>
      <c r="C933" s="124"/>
      <c r="D933" s="105"/>
      <c r="E933" s="106"/>
      <c r="F933" s="105"/>
      <c r="G933" s="106"/>
      <c r="H933" s="125"/>
      <c r="I933" s="126"/>
      <c r="J933" s="125"/>
      <c r="K933" s="125"/>
      <c r="L933" s="145" t="s">
        <v>1806</v>
      </c>
      <c r="M933" s="45" t="str">
        <f t="shared" si="29"/>
        <v>OneCo Networks AS</v>
      </c>
      <c r="N933" s="40" t="str">
        <f ca="1">IFERROR(
VLOOKUP(BoM_Griptel[[#This Row],[Product code]],
IF(AND((BoQ!$N$3&lt;&gt;""),OR(BoM_Griptel[[#This Row],[Vendor]]="Griptel",BoM_Griptel[[#This Row],[Vendor]]="Solar")),INDIRECT(Aux!$A$1)),4,FALSE),"")</f>
        <v/>
      </c>
      <c r="O933" s="169" t="s">
        <v>1807</v>
      </c>
      <c r="P933" s="41" t="str">
        <f>IFERROR(IF(AND(BoM_Griptel[[#This Row],[Quantity]]&lt;&gt;"",BoM_Griptel[[#This Row],[Currency]]="NOK"),BoM_Griptel[[#This Row],[Quantity]]*BoM_Griptel[[#This Row],[Unit Price]],""),"")</f>
        <v/>
      </c>
      <c r="Q933" s="41" t="str">
        <f>IFERROR(IF(AND(BoM_Griptel[[#This Row],[ACT_Qty]]&lt;&gt;"",BoM_Griptel[[#This Row],[Currency]]="NOK"),BoM_Griptel[[#This Row],[ACT_Qty]]*BoM_Griptel[[#This Row],[Unit Price]],""),"")</f>
        <v/>
      </c>
      <c r="R933" s="41" t="str">
        <f>IFERROR(IF(AND(BoM_Griptel[[#This Row],[Quantity]]&lt;&gt;"",BoM_Griptel[[#This Row],[Currency]]="EUR"),BoM_Griptel[[#This Row],[Quantity]]*BoM_Griptel[[#This Row],[Unit Price]],""),"")</f>
        <v/>
      </c>
      <c r="S933" s="41" t="str">
        <f>IFERROR(IF(AND(BoM_Griptel[[#This Row],[ACT_Qty]]&lt;&gt;"",BoM_Griptel[[#This Row],[Currency]]="EUR"),BoM_Griptel[[#This Row],[ACT_Qty]]*BoM_Griptel[[#This Row],[Unit Price]],""),"")</f>
        <v/>
      </c>
      <c r="T933" s="185" t="s">
        <v>1802</v>
      </c>
      <c r="U933" s="45"/>
      <c r="V933" s="45"/>
      <c r="W933" s="45"/>
    </row>
    <row r="934" spans="1:23">
      <c r="A934" s="146" t="str">
        <f t="shared" si="28"/>
        <v>AKH12345</v>
      </c>
      <c r="B934" s="160"/>
      <c r="C934" s="69"/>
      <c r="D934" s="68"/>
      <c r="E934" s="89"/>
      <c r="F934" s="68"/>
      <c r="G934" s="89"/>
      <c r="H934" s="70"/>
      <c r="I934" s="78"/>
      <c r="J934" s="70"/>
      <c r="K934" s="70"/>
      <c r="L934" s="148" t="s">
        <v>1806</v>
      </c>
      <c r="M934" s="46" t="str">
        <f t="shared" si="29"/>
        <v>OneCo Networks AS</v>
      </c>
      <c r="N934" s="42" t="str">
        <f ca="1">IFERROR(
VLOOKUP(BoM_Griptel[[#This Row],[Product code]],
IF(AND((BoQ!$N$3&lt;&gt;""),OR(BoM_Griptel[[#This Row],[Vendor]]="Griptel",BoM_Griptel[[#This Row],[Vendor]]="Solar")),INDIRECT(Aux!$A$1)),4,FALSE),"")</f>
        <v/>
      </c>
      <c r="O934" s="170" t="s">
        <v>1807</v>
      </c>
      <c r="P934" s="43" t="str">
        <f>IFERROR(IF(AND(BoM_Griptel[[#This Row],[Quantity]]&lt;&gt;"",BoM_Griptel[[#This Row],[Currency]]="NOK"),BoM_Griptel[[#This Row],[Quantity]]*BoM_Griptel[[#This Row],[Unit Price]],""),"")</f>
        <v/>
      </c>
      <c r="Q934" s="43" t="str">
        <f>IFERROR(IF(AND(BoM_Griptel[[#This Row],[ACT_Qty]]&lt;&gt;"",BoM_Griptel[[#This Row],[Currency]]="NOK"),BoM_Griptel[[#This Row],[ACT_Qty]]*BoM_Griptel[[#This Row],[Unit Price]],""),"")</f>
        <v/>
      </c>
      <c r="R934" s="43" t="str">
        <f>IFERROR(IF(AND(BoM_Griptel[[#This Row],[Quantity]]&lt;&gt;"",BoM_Griptel[[#This Row],[Currency]]="EUR"),BoM_Griptel[[#This Row],[Quantity]]*BoM_Griptel[[#This Row],[Unit Price]],""),"")</f>
        <v/>
      </c>
      <c r="S934" s="43" t="str">
        <f>IFERROR(IF(AND(BoM_Griptel[[#This Row],[ACT_Qty]]&lt;&gt;"",BoM_Griptel[[#This Row],[Currency]]="EUR"),BoM_Griptel[[#This Row],[ACT_Qty]]*BoM_Griptel[[#This Row],[Unit Price]],""),"")</f>
        <v/>
      </c>
      <c r="T934" s="186" t="s">
        <v>1802</v>
      </c>
      <c r="U934" s="46"/>
      <c r="V934" s="46"/>
      <c r="W934" s="46"/>
    </row>
    <row r="935" spans="1:23">
      <c r="A935" s="143" t="str">
        <f t="shared" si="28"/>
        <v>AKH12345</v>
      </c>
      <c r="B935" s="159"/>
      <c r="C935" s="124"/>
      <c r="D935" s="105"/>
      <c r="E935" s="106"/>
      <c r="F935" s="105"/>
      <c r="G935" s="106"/>
      <c r="H935" s="125"/>
      <c r="I935" s="126"/>
      <c r="J935" s="125"/>
      <c r="K935" s="125"/>
      <c r="L935" s="145" t="s">
        <v>1806</v>
      </c>
      <c r="M935" s="45" t="str">
        <f t="shared" si="29"/>
        <v>OneCo Networks AS</v>
      </c>
      <c r="N935" s="40" t="str">
        <f ca="1">IFERROR(
VLOOKUP(BoM_Griptel[[#This Row],[Product code]],
IF(AND((BoQ!$N$3&lt;&gt;""),OR(BoM_Griptel[[#This Row],[Vendor]]="Griptel",BoM_Griptel[[#This Row],[Vendor]]="Solar")),INDIRECT(Aux!$A$1)),4,FALSE),"")</f>
        <v/>
      </c>
      <c r="O935" s="169" t="s">
        <v>1807</v>
      </c>
      <c r="P935" s="41" t="str">
        <f>IFERROR(IF(AND(BoM_Griptel[[#This Row],[Quantity]]&lt;&gt;"",BoM_Griptel[[#This Row],[Currency]]="NOK"),BoM_Griptel[[#This Row],[Quantity]]*BoM_Griptel[[#This Row],[Unit Price]],""),"")</f>
        <v/>
      </c>
      <c r="Q935" s="41" t="str">
        <f>IFERROR(IF(AND(BoM_Griptel[[#This Row],[ACT_Qty]]&lt;&gt;"",BoM_Griptel[[#This Row],[Currency]]="NOK"),BoM_Griptel[[#This Row],[ACT_Qty]]*BoM_Griptel[[#This Row],[Unit Price]],""),"")</f>
        <v/>
      </c>
      <c r="R935" s="41" t="str">
        <f>IFERROR(IF(AND(BoM_Griptel[[#This Row],[Quantity]]&lt;&gt;"",BoM_Griptel[[#This Row],[Currency]]="EUR"),BoM_Griptel[[#This Row],[Quantity]]*BoM_Griptel[[#This Row],[Unit Price]],""),"")</f>
        <v/>
      </c>
      <c r="S935" s="41" t="str">
        <f>IFERROR(IF(AND(BoM_Griptel[[#This Row],[ACT_Qty]]&lt;&gt;"",BoM_Griptel[[#This Row],[Currency]]="EUR"),BoM_Griptel[[#This Row],[ACT_Qty]]*BoM_Griptel[[#This Row],[Unit Price]],""),"")</f>
        <v/>
      </c>
      <c r="T935" s="185" t="s">
        <v>1802</v>
      </c>
      <c r="U935" s="45"/>
      <c r="V935" s="45"/>
      <c r="W935" s="45"/>
    </row>
    <row r="936" spans="1:23">
      <c r="A936" s="146" t="str">
        <f t="shared" si="28"/>
        <v>AKH12345</v>
      </c>
      <c r="B936" s="160"/>
      <c r="C936" s="69"/>
      <c r="D936" s="68"/>
      <c r="E936" s="89"/>
      <c r="F936" s="68"/>
      <c r="G936" s="89"/>
      <c r="H936" s="70"/>
      <c r="I936" s="78"/>
      <c r="J936" s="70"/>
      <c r="K936" s="70"/>
      <c r="L936" s="148" t="s">
        <v>1806</v>
      </c>
      <c r="M936" s="46" t="str">
        <f t="shared" si="29"/>
        <v>OneCo Networks AS</v>
      </c>
      <c r="N936" s="42" t="str">
        <f ca="1">IFERROR(
VLOOKUP(BoM_Griptel[[#This Row],[Product code]],
IF(AND((BoQ!$N$3&lt;&gt;""),OR(BoM_Griptel[[#This Row],[Vendor]]="Griptel",BoM_Griptel[[#This Row],[Vendor]]="Solar")),INDIRECT(Aux!$A$1)),4,FALSE),"")</f>
        <v/>
      </c>
      <c r="O936" s="170" t="s">
        <v>1807</v>
      </c>
      <c r="P936" s="43" t="str">
        <f>IFERROR(IF(AND(BoM_Griptel[[#This Row],[Quantity]]&lt;&gt;"",BoM_Griptel[[#This Row],[Currency]]="NOK"),BoM_Griptel[[#This Row],[Quantity]]*BoM_Griptel[[#This Row],[Unit Price]],""),"")</f>
        <v/>
      </c>
      <c r="Q936" s="43" t="str">
        <f>IFERROR(IF(AND(BoM_Griptel[[#This Row],[ACT_Qty]]&lt;&gt;"",BoM_Griptel[[#This Row],[Currency]]="NOK"),BoM_Griptel[[#This Row],[ACT_Qty]]*BoM_Griptel[[#This Row],[Unit Price]],""),"")</f>
        <v/>
      </c>
      <c r="R936" s="43" t="str">
        <f>IFERROR(IF(AND(BoM_Griptel[[#This Row],[Quantity]]&lt;&gt;"",BoM_Griptel[[#This Row],[Currency]]="EUR"),BoM_Griptel[[#This Row],[Quantity]]*BoM_Griptel[[#This Row],[Unit Price]],""),"")</f>
        <v/>
      </c>
      <c r="S936" s="43" t="str">
        <f>IFERROR(IF(AND(BoM_Griptel[[#This Row],[ACT_Qty]]&lt;&gt;"",BoM_Griptel[[#This Row],[Currency]]="EUR"),BoM_Griptel[[#This Row],[ACT_Qty]]*BoM_Griptel[[#This Row],[Unit Price]],""),"")</f>
        <v/>
      </c>
      <c r="T936" s="186" t="s">
        <v>1802</v>
      </c>
      <c r="U936" s="46"/>
      <c r="V936" s="46"/>
      <c r="W936" s="46"/>
    </row>
    <row r="937" spans="1:23">
      <c r="A937" s="143" t="str">
        <f t="shared" si="28"/>
        <v>AKH12345</v>
      </c>
      <c r="B937" s="159"/>
      <c r="C937" s="124"/>
      <c r="D937" s="105"/>
      <c r="E937" s="106"/>
      <c r="F937" s="105"/>
      <c r="G937" s="106"/>
      <c r="H937" s="125"/>
      <c r="I937" s="126"/>
      <c r="J937" s="125"/>
      <c r="K937" s="125"/>
      <c r="L937" s="145" t="s">
        <v>1806</v>
      </c>
      <c r="M937" s="45" t="str">
        <f t="shared" si="29"/>
        <v>OneCo Networks AS</v>
      </c>
      <c r="N937" s="40" t="str">
        <f ca="1">IFERROR(
VLOOKUP(BoM_Griptel[[#This Row],[Product code]],
IF(AND((BoQ!$N$3&lt;&gt;""),OR(BoM_Griptel[[#This Row],[Vendor]]="Griptel",BoM_Griptel[[#This Row],[Vendor]]="Solar")),INDIRECT(Aux!$A$1)),4,FALSE),"")</f>
        <v/>
      </c>
      <c r="O937" s="169" t="s">
        <v>1807</v>
      </c>
      <c r="P937" s="41" t="str">
        <f>IFERROR(IF(AND(BoM_Griptel[[#This Row],[Quantity]]&lt;&gt;"",BoM_Griptel[[#This Row],[Currency]]="NOK"),BoM_Griptel[[#This Row],[Quantity]]*BoM_Griptel[[#This Row],[Unit Price]],""),"")</f>
        <v/>
      </c>
      <c r="Q937" s="41" t="str">
        <f>IFERROR(IF(AND(BoM_Griptel[[#This Row],[ACT_Qty]]&lt;&gt;"",BoM_Griptel[[#This Row],[Currency]]="NOK"),BoM_Griptel[[#This Row],[ACT_Qty]]*BoM_Griptel[[#This Row],[Unit Price]],""),"")</f>
        <v/>
      </c>
      <c r="R937" s="41" t="str">
        <f>IFERROR(IF(AND(BoM_Griptel[[#This Row],[Quantity]]&lt;&gt;"",BoM_Griptel[[#This Row],[Currency]]="EUR"),BoM_Griptel[[#This Row],[Quantity]]*BoM_Griptel[[#This Row],[Unit Price]],""),"")</f>
        <v/>
      </c>
      <c r="S937" s="41" t="str">
        <f>IFERROR(IF(AND(BoM_Griptel[[#This Row],[ACT_Qty]]&lt;&gt;"",BoM_Griptel[[#This Row],[Currency]]="EUR"),BoM_Griptel[[#This Row],[ACT_Qty]]*BoM_Griptel[[#This Row],[Unit Price]],""),"")</f>
        <v/>
      </c>
      <c r="T937" s="185" t="s">
        <v>1802</v>
      </c>
      <c r="U937" s="45"/>
      <c r="V937" s="45"/>
      <c r="W937" s="45"/>
    </row>
    <row r="938" spans="1:23">
      <c r="A938" s="146" t="str">
        <f t="shared" si="28"/>
        <v>AKH12345</v>
      </c>
      <c r="B938" s="160"/>
      <c r="C938" s="69"/>
      <c r="D938" s="68"/>
      <c r="E938" s="89"/>
      <c r="F938" s="68"/>
      <c r="G938" s="89"/>
      <c r="H938" s="70"/>
      <c r="I938" s="78"/>
      <c r="J938" s="70"/>
      <c r="K938" s="70"/>
      <c r="L938" s="148" t="s">
        <v>1806</v>
      </c>
      <c r="M938" s="46" t="str">
        <f t="shared" si="29"/>
        <v>OneCo Networks AS</v>
      </c>
      <c r="N938" s="42" t="str">
        <f ca="1">IFERROR(
VLOOKUP(BoM_Griptel[[#This Row],[Product code]],
IF(AND((BoQ!$N$3&lt;&gt;""),OR(BoM_Griptel[[#This Row],[Vendor]]="Griptel",BoM_Griptel[[#This Row],[Vendor]]="Solar")),INDIRECT(Aux!$A$1)),4,FALSE),"")</f>
        <v/>
      </c>
      <c r="O938" s="170" t="s">
        <v>1807</v>
      </c>
      <c r="P938" s="43" t="str">
        <f>IFERROR(IF(AND(BoM_Griptel[[#This Row],[Quantity]]&lt;&gt;"",BoM_Griptel[[#This Row],[Currency]]="NOK"),BoM_Griptel[[#This Row],[Quantity]]*BoM_Griptel[[#This Row],[Unit Price]],""),"")</f>
        <v/>
      </c>
      <c r="Q938" s="43" t="str">
        <f>IFERROR(IF(AND(BoM_Griptel[[#This Row],[ACT_Qty]]&lt;&gt;"",BoM_Griptel[[#This Row],[Currency]]="NOK"),BoM_Griptel[[#This Row],[ACT_Qty]]*BoM_Griptel[[#This Row],[Unit Price]],""),"")</f>
        <v/>
      </c>
      <c r="R938" s="43" t="str">
        <f>IFERROR(IF(AND(BoM_Griptel[[#This Row],[Quantity]]&lt;&gt;"",BoM_Griptel[[#This Row],[Currency]]="EUR"),BoM_Griptel[[#This Row],[Quantity]]*BoM_Griptel[[#This Row],[Unit Price]],""),"")</f>
        <v/>
      </c>
      <c r="S938" s="43" t="str">
        <f>IFERROR(IF(AND(BoM_Griptel[[#This Row],[ACT_Qty]]&lt;&gt;"",BoM_Griptel[[#This Row],[Currency]]="EUR"),BoM_Griptel[[#This Row],[ACT_Qty]]*BoM_Griptel[[#This Row],[Unit Price]],""),"")</f>
        <v/>
      </c>
      <c r="T938" s="186" t="s">
        <v>1802</v>
      </c>
      <c r="U938" s="46"/>
      <c r="V938" s="46"/>
      <c r="W938" s="46"/>
    </row>
    <row r="939" spans="1:23">
      <c r="A939" s="143" t="str">
        <f t="shared" si="28"/>
        <v>AKH12345</v>
      </c>
      <c r="B939" s="159"/>
      <c r="C939" s="124"/>
      <c r="D939" s="105"/>
      <c r="E939" s="106"/>
      <c r="F939" s="105"/>
      <c r="G939" s="106"/>
      <c r="H939" s="125"/>
      <c r="I939" s="126"/>
      <c r="J939" s="125"/>
      <c r="K939" s="125"/>
      <c r="L939" s="145" t="s">
        <v>1806</v>
      </c>
      <c r="M939" s="45" t="str">
        <f t="shared" si="29"/>
        <v>OneCo Networks AS</v>
      </c>
      <c r="N939" s="40" t="str">
        <f ca="1">IFERROR(
VLOOKUP(BoM_Griptel[[#This Row],[Product code]],
IF(AND((BoQ!$N$3&lt;&gt;""),OR(BoM_Griptel[[#This Row],[Vendor]]="Griptel",BoM_Griptel[[#This Row],[Vendor]]="Solar")),INDIRECT(Aux!$A$1)),4,FALSE),"")</f>
        <v/>
      </c>
      <c r="O939" s="169" t="s">
        <v>1807</v>
      </c>
      <c r="P939" s="41" t="str">
        <f>IFERROR(IF(AND(BoM_Griptel[[#This Row],[Quantity]]&lt;&gt;"",BoM_Griptel[[#This Row],[Currency]]="NOK"),BoM_Griptel[[#This Row],[Quantity]]*BoM_Griptel[[#This Row],[Unit Price]],""),"")</f>
        <v/>
      </c>
      <c r="Q939" s="41" t="str">
        <f>IFERROR(IF(AND(BoM_Griptel[[#This Row],[ACT_Qty]]&lt;&gt;"",BoM_Griptel[[#This Row],[Currency]]="NOK"),BoM_Griptel[[#This Row],[ACT_Qty]]*BoM_Griptel[[#This Row],[Unit Price]],""),"")</f>
        <v/>
      </c>
      <c r="R939" s="41" t="str">
        <f>IFERROR(IF(AND(BoM_Griptel[[#This Row],[Quantity]]&lt;&gt;"",BoM_Griptel[[#This Row],[Currency]]="EUR"),BoM_Griptel[[#This Row],[Quantity]]*BoM_Griptel[[#This Row],[Unit Price]],""),"")</f>
        <v/>
      </c>
      <c r="S939" s="41" t="str">
        <f>IFERROR(IF(AND(BoM_Griptel[[#This Row],[ACT_Qty]]&lt;&gt;"",BoM_Griptel[[#This Row],[Currency]]="EUR"),BoM_Griptel[[#This Row],[ACT_Qty]]*BoM_Griptel[[#This Row],[Unit Price]],""),"")</f>
        <v/>
      </c>
      <c r="T939" s="185" t="s">
        <v>1802</v>
      </c>
      <c r="U939" s="45"/>
      <c r="V939" s="45"/>
      <c r="W939" s="45"/>
    </row>
    <row r="940" spans="1:23">
      <c r="A940" s="146" t="str">
        <f t="shared" si="28"/>
        <v>AKH12345</v>
      </c>
      <c r="B940" s="160"/>
      <c r="C940" s="69"/>
      <c r="D940" s="68"/>
      <c r="E940" s="89"/>
      <c r="F940" s="68"/>
      <c r="G940" s="89"/>
      <c r="H940" s="70"/>
      <c r="I940" s="78"/>
      <c r="J940" s="70"/>
      <c r="K940" s="70"/>
      <c r="L940" s="148" t="s">
        <v>1806</v>
      </c>
      <c r="M940" s="46" t="str">
        <f t="shared" si="29"/>
        <v>OneCo Networks AS</v>
      </c>
      <c r="N940" s="42" t="str">
        <f ca="1">IFERROR(
VLOOKUP(BoM_Griptel[[#This Row],[Product code]],
IF(AND((BoQ!$N$3&lt;&gt;""),OR(BoM_Griptel[[#This Row],[Vendor]]="Griptel",BoM_Griptel[[#This Row],[Vendor]]="Solar")),INDIRECT(Aux!$A$1)),4,FALSE),"")</f>
        <v/>
      </c>
      <c r="O940" s="170" t="s">
        <v>1807</v>
      </c>
      <c r="P940" s="43" t="str">
        <f>IFERROR(IF(AND(BoM_Griptel[[#This Row],[Quantity]]&lt;&gt;"",BoM_Griptel[[#This Row],[Currency]]="NOK"),BoM_Griptel[[#This Row],[Quantity]]*BoM_Griptel[[#This Row],[Unit Price]],""),"")</f>
        <v/>
      </c>
      <c r="Q940" s="43" t="str">
        <f>IFERROR(IF(AND(BoM_Griptel[[#This Row],[ACT_Qty]]&lt;&gt;"",BoM_Griptel[[#This Row],[Currency]]="NOK"),BoM_Griptel[[#This Row],[ACT_Qty]]*BoM_Griptel[[#This Row],[Unit Price]],""),"")</f>
        <v/>
      </c>
      <c r="R940" s="43" t="str">
        <f>IFERROR(IF(AND(BoM_Griptel[[#This Row],[Quantity]]&lt;&gt;"",BoM_Griptel[[#This Row],[Currency]]="EUR"),BoM_Griptel[[#This Row],[Quantity]]*BoM_Griptel[[#This Row],[Unit Price]],""),"")</f>
        <v/>
      </c>
      <c r="S940" s="43" t="str">
        <f>IFERROR(IF(AND(BoM_Griptel[[#This Row],[ACT_Qty]]&lt;&gt;"",BoM_Griptel[[#This Row],[Currency]]="EUR"),BoM_Griptel[[#This Row],[ACT_Qty]]*BoM_Griptel[[#This Row],[Unit Price]],""),"")</f>
        <v/>
      </c>
      <c r="T940" s="186" t="s">
        <v>1802</v>
      </c>
      <c r="U940" s="46"/>
      <c r="V940" s="46"/>
      <c r="W940" s="46"/>
    </row>
    <row r="941" spans="1:23">
      <c r="A941" s="143" t="str">
        <f t="shared" si="28"/>
        <v>AKH12345</v>
      </c>
      <c r="B941" s="159"/>
      <c r="C941" s="124"/>
      <c r="D941" s="105"/>
      <c r="E941" s="106"/>
      <c r="F941" s="105"/>
      <c r="G941" s="106"/>
      <c r="H941" s="125"/>
      <c r="I941" s="126"/>
      <c r="J941" s="125"/>
      <c r="K941" s="125"/>
      <c r="L941" s="145" t="s">
        <v>1806</v>
      </c>
      <c r="M941" s="45" t="str">
        <f t="shared" si="29"/>
        <v>OneCo Networks AS</v>
      </c>
      <c r="N941" s="40" t="str">
        <f ca="1">IFERROR(
VLOOKUP(BoM_Griptel[[#This Row],[Product code]],
IF(AND((BoQ!$N$3&lt;&gt;""),OR(BoM_Griptel[[#This Row],[Vendor]]="Griptel",BoM_Griptel[[#This Row],[Vendor]]="Solar")),INDIRECT(Aux!$A$1)),4,FALSE),"")</f>
        <v/>
      </c>
      <c r="O941" s="169" t="s">
        <v>1807</v>
      </c>
      <c r="P941" s="41" t="str">
        <f>IFERROR(IF(AND(BoM_Griptel[[#This Row],[Quantity]]&lt;&gt;"",BoM_Griptel[[#This Row],[Currency]]="NOK"),BoM_Griptel[[#This Row],[Quantity]]*BoM_Griptel[[#This Row],[Unit Price]],""),"")</f>
        <v/>
      </c>
      <c r="Q941" s="41" t="str">
        <f>IFERROR(IF(AND(BoM_Griptel[[#This Row],[ACT_Qty]]&lt;&gt;"",BoM_Griptel[[#This Row],[Currency]]="NOK"),BoM_Griptel[[#This Row],[ACT_Qty]]*BoM_Griptel[[#This Row],[Unit Price]],""),"")</f>
        <v/>
      </c>
      <c r="R941" s="41" t="str">
        <f>IFERROR(IF(AND(BoM_Griptel[[#This Row],[Quantity]]&lt;&gt;"",BoM_Griptel[[#This Row],[Currency]]="EUR"),BoM_Griptel[[#This Row],[Quantity]]*BoM_Griptel[[#This Row],[Unit Price]],""),"")</f>
        <v/>
      </c>
      <c r="S941" s="41" t="str">
        <f>IFERROR(IF(AND(BoM_Griptel[[#This Row],[ACT_Qty]]&lt;&gt;"",BoM_Griptel[[#This Row],[Currency]]="EUR"),BoM_Griptel[[#This Row],[ACT_Qty]]*BoM_Griptel[[#This Row],[Unit Price]],""),"")</f>
        <v/>
      </c>
      <c r="T941" s="185" t="s">
        <v>1802</v>
      </c>
      <c r="U941" s="45"/>
      <c r="V941" s="45"/>
      <c r="W941" s="45"/>
    </row>
    <row r="942" spans="1:23">
      <c r="A942" s="146" t="str">
        <f t="shared" si="28"/>
        <v>AKH12345</v>
      </c>
      <c r="B942" s="160"/>
      <c r="C942" s="69"/>
      <c r="D942" s="68"/>
      <c r="E942" s="89"/>
      <c r="F942" s="68"/>
      <c r="G942" s="89"/>
      <c r="H942" s="70"/>
      <c r="I942" s="78"/>
      <c r="J942" s="70"/>
      <c r="K942" s="70"/>
      <c r="L942" s="148" t="s">
        <v>1806</v>
      </c>
      <c r="M942" s="46" t="str">
        <f t="shared" si="29"/>
        <v>OneCo Networks AS</v>
      </c>
      <c r="N942" s="42" t="str">
        <f ca="1">IFERROR(
VLOOKUP(BoM_Griptel[[#This Row],[Product code]],
IF(AND((BoQ!$N$3&lt;&gt;""),OR(BoM_Griptel[[#This Row],[Vendor]]="Griptel",BoM_Griptel[[#This Row],[Vendor]]="Solar")),INDIRECT(Aux!$A$1)),4,FALSE),"")</f>
        <v/>
      </c>
      <c r="O942" s="170" t="s">
        <v>1807</v>
      </c>
      <c r="P942" s="43" t="str">
        <f>IFERROR(IF(AND(BoM_Griptel[[#This Row],[Quantity]]&lt;&gt;"",BoM_Griptel[[#This Row],[Currency]]="NOK"),BoM_Griptel[[#This Row],[Quantity]]*BoM_Griptel[[#This Row],[Unit Price]],""),"")</f>
        <v/>
      </c>
      <c r="Q942" s="43" t="str">
        <f>IFERROR(IF(AND(BoM_Griptel[[#This Row],[ACT_Qty]]&lt;&gt;"",BoM_Griptel[[#This Row],[Currency]]="NOK"),BoM_Griptel[[#This Row],[ACT_Qty]]*BoM_Griptel[[#This Row],[Unit Price]],""),"")</f>
        <v/>
      </c>
      <c r="R942" s="43" t="str">
        <f>IFERROR(IF(AND(BoM_Griptel[[#This Row],[Quantity]]&lt;&gt;"",BoM_Griptel[[#This Row],[Currency]]="EUR"),BoM_Griptel[[#This Row],[Quantity]]*BoM_Griptel[[#This Row],[Unit Price]],""),"")</f>
        <v/>
      </c>
      <c r="S942" s="43" t="str">
        <f>IFERROR(IF(AND(BoM_Griptel[[#This Row],[ACT_Qty]]&lt;&gt;"",BoM_Griptel[[#This Row],[Currency]]="EUR"),BoM_Griptel[[#This Row],[ACT_Qty]]*BoM_Griptel[[#This Row],[Unit Price]],""),"")</f>
        <v/>
      </c>
      <c r="T942" s="186" t="s">
        <v>1802</v>
      </c>
      <c r="U942" s="46"/>
      <c r="V942" s="46"/>
      <c r="W942" s="46"/>
    </row>
    <row r="943" spans="1:23">
      <c r="A943" s="143" t="str">
        <f t="shared" si="28"/>
        <v>AKH12345</v>
      </c>
      <c r="B943" s="159"/>
      <c r="C943" s="124"/>
      <c r="D943" s="105"/>
      <c r="E943" s="106"/>
      <c r="F943" s="105"/>
      <c r="G943" s="106"/>
      <c r="H943" s="125"/>
      <c r="I943" s="126"/>
      <c r="J943" s="125"/>
      <c r="K943" s="125"/>
      <c r="L943" s="145" t="s">
        <v>1806</v>
      </c>
      <c r="M943" s="45" t="str">
        <f t="shared" si="29"/>
        <v>OneCo Networks AS</v>
      </c>
      <c r="N943" s="40" t="str">
        <f ca="1">IFERROR(
VLOOKUP(BoM_Griptel[[#This Row],[Product code]],
IF(AND((BoQ!$N$3&lt;&gt;""),OR(BoM_Griptel[[#This Row],[Vendor]]="Griptel",BoM_Griptel[[#This Row],[Vendor]]="Solar")),INDIRECT(Aux!$A$1)),4,FALSE),"")</f>
        <v/>
      </c>
      <c r="O943" s="169" t="s">
        <v>1807</v>
      </c>
      <c r="P943" s="41" t="str">
        <f>IFERROR(IF(AND(BoM_Griptel[[#This Row],[Quantity]]&lt;&gt;"",BoM_Griptel[[#This Row],[Currency]]="NOK"),BoM_Griptel[[#This Row],[Quantity]]*BoM_Griptel[[#This Row],[Unit Price]],""),"")</f>
        <v/>
      </c>
      <c r="Q943" s="41" t="str">
        <f>IFERROR(IF(AND(BoM_Griptel[[#This Row],[ACT_Qty]]&lt;&gt;"",BoM_Griptel[[#This Row],[Currency]]="NOK"),BoM_Griptel[[#This Row],[ACT_Qty]]*BoM_Griptel[[#This Row],[Unit Price]],""),"")</f>
        <v/>
      </c>
      <c r="R943" s="41" t="str">
        <f>IFERROR(IF(AND(BoM_Griptel[[#This Row],[Quantity]]&lt;&gt;"",BoM_Griptel[[#This Row],[Currency]]="EUR"),BoM_Griptel[[#This Row],[Quantity]]*BoM_Griptel[[#This Row],[Unit Price]],""),"")</f>
        <v/>
      </c>
      <c r="S943" s="41" t="str">
        <f>IFERROR(IF(AND(BoM_Griptel[[#This Row],[ACT_Qty]]&lt;&gt;"",BoM_Griptel[[#This Row],[Currency]]="EUR"),BoM_Griptel[[#This Row],[ACT_Qty]]*BoM_Griptel[[#This Row],[Unit Price]],""),"")</f>
        <v/>
      </c>
      <c r="T943" s="185" t="s">
        <v>1802</v>
      </c>
      <c r="U943" s="45"/>
      <c r="V943" s="45"/>
      <c r="W943" s="45"/>
    </row>
    <row r="944" spans="1:23">
      <c r="A944" s="146" t="str">
        <f t="shared" si="28"/>
        <v>AKH12345</v>
      </c>
      <c r="B944" s="160"/>
      <c r="C944" s="69"/>
      <c r="D944" s="68"/>
      <c r="E944" s="89"/>
      <c r="F944" s="68"/>
      <c r="G944" s="89"/>
      <c r="H944" s="70"/>
      <c r="I944" s="78"/>
      <c r="J944" s="70"/>
      <c r="K944" s="70"/>
      <c r="L944" s="148" t="s">
        <v>1806</v>
      </c>
      <c r="M944" s="46" t="str">
        <f t="shared" si="29"/>
        <v>OneCo Networks AS</v>
      </c>
      <c r="N944" s="42" t="str">
        <f ca="1">IFERROR(
VLOOKUP(BoM_Griptel[[#This Row],[Product code]],
IF(AND((BoQ!$N$3&lt;&gt;""),OR(BoM_Griptel[[#This Row],[Vendor]]="Griptel",BoM_Griptel[[#This Row],[Vendor]]="Solar")),INDIRECT(Aux!$A$1)),4,FALSE),"")</f>
        <v/>
      </c>
      <c r="O944" s="170" t="s">
        <v>1807</v>
      </c>
      <c r="P944" s="43" t="str">
        <f>IFERROR(IF(AND(BoM_Griptel[[#This Row],[Quantity]]&lt;&gt;"",BoM_Griptel[[#This Row],[Currency]]="NOK"),BoM_Griptel[[#This Row],[Quantity]]*BoM_Griptel[[#This Row],[Unit Price]],""),"")</f>
        <v/>
      </c>
      <c r="Q944" s="43" t="str">
        <f>IFERROR(IF(AND(BoM_Griptel[[#This Row],[ACT_Qty]]&lt;&gt;"",BoM_Griptel[[#This Row],[Currency]]="NOK"),BoM_Griptel[[#This Row],[ACT_Qty]]*BoM_Griptel[[#This Row],[Unit Price]],""),"")</f>
        <v/>
      </c>
      <c r="R944" s="43" t="str">
        <f>IFERROR(IF(AND(BoM_Griptel[[#This Row],[Quantity]]&lt;&gt;"",BoM_Griptel[[#This Row],[Currency]]="EUR"),BoM_Griptel[[#This Row],[Quantity]]*BoM_Griptel[[#This Row],[Unit Price]],""),"")</f>
        <v/>
      </c>
      <c r="S944" s="43" t="str">
        <f>IFERROR(IF(AND(BoM_Griptel[[#This Row],[ACT_Qty]]&lt;&gt;"",BoM_Griptel[[#This Row],[Currency]]="EUR"),BoM_Griptel[[#This Row],[ACT_Qty]]*BoM_Griptel[[#This Row],[Unit Price]],""),"")</f>
        <v/>
      </c>
      <c r="T944" s="186" t="s">
        <v>1802</v>
      </c>
      <c r="U944" s="46"/>
      <c r="V944" s="46"/>
      <c r="W944" s="46"/>
    </row>
    <row r="945" spans="1:23">
      <c r="A945" s="143" t="str">
        <f t="shared" si="28"/>
        <v>AKH12345</v>
      </c>
      <c r="B945" s="159"/>
      <c r="C945" s="124"/>
      <c r="D945" s="105"/>
      <c r="E945" s="106"/>
      <c r="F945" s="105"/>
      <c r="G945" s="106"/>
      <c r="H945" s="125"/>
      <c r="I945" s="126"/>
      <c r="J945" s="125"/>
      <c r="K945" s="125"/>
      <c r="L945" s="145" t="s">
        <v>1806</v>
      </c>
      <c r="M945" s="45" t="str">
        <f t="shared" si="29"/>
        <v>OneCo Networks AS</v>
      </c>
      <c r="N945" s="40" t="str">
        <f ca="1">IFERROR(
VLOOKUP(BoM_Griptel[[#This Row],[Product code]],
IF(AND((BoQ!$N$3&lt;&gt;""),OR(BoM_Griptel[[#This Row],[Vendor]]="Griptel",BoM_Griptel[[#This Row],[Vendor]]="Solar")),INDIRECT(Aux!$A$1)),4,FALSE),"")</f>
        <v/>
      </c>
      <c r="O945" s="169" t="s">
        <v>1807</v>
      </c>
      <c r="P945" s="41" t="str">
        <f>IFERROR(IF(AND(BoM_Griptel[[#This Row],[Quantity]]&lt;&gt;"",BoM_Griptel[[#This Row],[Currency]]="NOK"),BoM_Griptel[[#This Row],[Quantity]]*BoM_Griptel[[#This Row],[Unit Price]],""),"")</f>
        <v/>
      </c>
      <c r="Q945" s="41" t="str">
        <f>IFERROR(IF(AND(BoM_Griptel[[#This Row],[ACT_Qty]]&lt;&gt;"",BoM_Griptel[[#This Row],[Currency]]="NOK"),BoM_Griptel[[#This Row],[ACT_Qty]]*BoM_Griptel[[#This Row],[Unit Price]],""),"")</f>
        <v/>
      </c>
      <c r="R945" s="41" t="str">
        <f>IFERROR(IF(AND(BoM_Griptel[[#This Row],[Quantity]]&lt;&gt;"",BoM_Griptel[[#This Row],[Currency]]="EUR"),BoM_Griptel[[#This Row],[Quantity]]*BoM_Griptel[[#This Row],[Unit Price]],""),"")</f>
        <v/>
      </c>
      <c r="S945" s="41" t="str">
        <f>IFERROR(IF(AND(BoM_Griptel[[#This Row],[ACT_Qty]]&lt;&gt;"",BoM_Griptel[[#This Row],[Currency]]="EUR"),BoM_Griptel[[#This Row],[ACT_Qty]]*BoM_Griptel[[#This Row],[Unit Price]],""),"")</f>
        <v/>
      </c>
      <c r="T945" s="185" t="s">
        <v>1802</v>
      </c>
      <c r="U945" s="45"/>
      <c r="V945" s="45"/>
      <c r="W945" s="45"/>
    </row>
    <row r="946" spans="1:23">
      <c r="A946" s="146" t="str">
        <f t="shared" si="28"/>
        <v>AKH12345</v>
      </c>
      <c r="B946" s="160"/>
      <c r="C946" s="69"/>
      <c r="D946" s="68"/>
      <c r="E946" s="89"/>
      <c r="F946" s="68"/>
      <c r="G946" s="89"/>
      <c r="H946" s="70"/>
      <c r="I946" s="78"/>
      <c r="J946" s="70"/>
      <c r="K946" s="70"/>
      <c r="L946" s="148" t="s">
        <v>1806</v>
      </c>
      <c r="M946" s="46" t="str">
        <f t="shared" si="29"/>
        <v>OneCo Networks AS</v>
      </c>
      <c r="N946" s="42" t="str">
        <f ca="1">IFERROR(
VLOOKUP(BoM_Griptel[[#This Row],[Product code]],
IF(AND((BoQ!$N$3&lt;&gt;""),OR(BoM_Griptel[[#This Row],[Vendor]]="Griptel",BoM_Griptel[[#This Row],[Vendor]]="Solar")),INDIRECT(Aux!$A$1)),4,FALSE),"")</f>
        <v/>
      </c>
      <c r="O946" s="170" t="s">
        <v>1807</v>
      </c>
      <c r="P946" s="43" t="str">
        <f>IFERROR(IF(AND(BoM_Griptel[[#This Row],[Quantity]]&lt;&gt;"",BoM_Griptel[[#This Row],[Currency]]="NOK"),BoM_Griptel[[#This Row],[Quantity]]*BoM_Griptel[[#This Row],[Unit Price]],""),"")</f>
        <v/>
      </c>
      <c r="Q946" s="43" t="str">
        <f>IFERROR(IF(AND(BoM_Griptel[[#This Row],[ACT_Qty]]&lt;&gt;"",BoM_Griptel[[#This Row],[Currency]]="NOK"),BoM_Griptel[[#This Row],[ACT_Qty]]*BoM_Griptel[[#This Row],[Unit Price]],""),"")</f>
        <v/>
      </c>
      <c r="R946" s="43" t="str">
        <f>IFERROR(IF(AND(BoM_Griptel[[#This Row],[Quantity]]&lt;&gt;"",BoM_Griptel[[#This Row],[Currency]]="EUR"),BoM_Griptel[[#This Row],[Quantity]]*BoM_Griptel[[#This Row],[Unit Price]],""),"")</f>
        <v/>
      </c>
      <c r="S946" s="43" t="str">
        <f>IFERROR(IF(AND(BoM_Griptel[[#This Row],[ACT_Qty]]&lt;&gt;"",BoM_Griptel[[#This Row],[Currency]]="EUR"),BoM_Griptel[[#This Row],[ACT_Qty]]*BoM_Griptel[[#This Row],[Unit Price]],""),"")</f>
        <v/>
      </c>
      <c r="T946" s="186" t="s">
        <v>1802</v>
      </c>
      <c r="U946" s="46"/>
      <c r="V946" s="46"/>
      <c r="W946" s="46"/>
    </row>
    <row r="947" spans="1:23">
      <c r="A947" s="143" t="str">
        <f t="shared" si="28"/>
        <v>AKH12345</v>
      </c>
      <c r="B947" s="159"/>
      <c r="C947" s="124"/>
      <c r="D947" s="105"/>
      <c r="E947" s="106"/>
      <c r="F947" s="105"/>
      <c r="G947" s="106"/>
      <c r="H947" s="125"/>
      <c r="I947" s="126"/>
      <c r="J947" s="125"/>
      <c r="K947" s="125"/>
      <c r="L947" s="145" t="s">
        <v>1806</v>
      </c>
      <c r="M947" s="45" t="str">
        <f t="shared" si="29"/>
        <v>OneCo Networks AS</v>
      </c>
      <c r="N947" s="40" t="str">
        <f ca="1">IFERROR(
VLOOKUP(BoM_Griptel[[#This Row],[Product code]],
IF(AND((BoQ!$N$3&lt;&gt;""),OR(BoM_Griptel[[#This Row],[Vendor]]="Griptel",BoM_Griptel[[#This Row],[Vendor]]="Solar")),INDIRECT(Aux!$A$1)),4,FALSE),"")</f>
        <v/>
      </c>
      <c r="O947" s="169" t="s">
        <v>1807</v>
      </c>
      <c r="P947" s="41" t="str">
        <f>IFERROR(IF(AND(BoM_Griptel[[#This Row],[Quantity]]&lt;&gt;"",BoM_Griptel[[#This Row],[Currency]]="NOK"),BoM_Griptel[[#This Row],[Quantity]]*BoM_Griptel[[#This Row],[Unit Price]],""),"")</f>
        <v/>
      </c>
      <c r="Q947" s="41" t="str">
        <f>IFERROR(IF(AND(BoM_Griptel[[#This Row],[ACT_Qty]]&lt;&gt;"",BoM_Griptel[[#This Row],[Currency]]="NOK"),BoM_Griptel[[#This Row],[ACT_Qty]]*BoM_Griptel[[#This Row],[Unit Price]],""),"")</f>
        <v/>
      </c>
      <c r="R947" s="41" t="str">
        <f>IFERROR(IF(AND(BoM_Griptel[[#This Row],[Quantity]]&lt;&gt;"",BoM_Griptel[[#This Row],[Currency]]="EUR"),BoM_Griptel[[#This Row],[Quantity]]*BoM_Griptel[[#This Row],[Unit Price]],""),"")</f>
        <v/>
      </c>
      <c r="S947" s="41" t="str">
        <f>IFERROR(IF(AND(BoM_Griptel[[#This Row],[ACT_Qty]]&lt;&gt;"",BoM_Griptel[[#This Row],[Currency]]="EUR"),BoM_Griptel[[#This Row],[ACT_Qty]]*BoM_Griptel[[#This Row],[Unit Price]],""),"")</f>
        <v/>
      </c>
      <c r="T947" s="185" t="s">
        <v>1802</v>
      </c>
      <c r="U947" s="45"/>
      <c r="V947" s="45"/>
      <c r="W947" s="45"/>
    </row>
    <row r="948" spans="1:23">
      <c r="A948" s="146" t="str">
        <f t="shared" si="28"/>
        <v>AKH12345</v>
      </c>
      <c r="B948" s="160"/>
      <c r="C948" s="69"/>
      <c r="D948" s="68"/>
      <c r="E948" s="89"/>
      <c r="F948" s="68"/>
      <c r="G948" s="89"/>
      <c r="H948" s="70"/>
      <c r="I948" s="78"/>
      <c r="J948" s="70"/>
      <c r="K948" s="70"/>
      <c r="L948" s="148" t="s">
        <v>1806</v>
      </c>
      <c r="M948" s="46" t="str">
        <f t="shared" si="29"/>
        <v>OneCo Networks AS</v>
      </c>
      <c r="N948" s="42" t="str">
        <f ca="1">IFERROR(
VLOOKUP(BoM_Griptel[[#This Row],[Product code]],
IF(AND((BoQ!$N$3&lt;&gt;""),OR(BoM_Griptel[[#This Row],[Vendor]]="Griptel",BoM_Griptel[[#This Row],[Vendor]]="Solar")),INDIRECT(Aux!$A$1)),4,FALSE),"")</f>
        <v/>
      </c>
      <c r="O948" s="170" t="s">
        <v>1807</v>
      </c>
      <c r="P948" s="43" t="str">
        <f>IFERROR(IF(AND(BoM_Griptel[[#This Row],[Quantity]]&lt;&gt;"",BoM_Griptel[[#This Row],[Currency]]="NOK"),BoM_Griptel[[#This Row],[Quantity]]*BoM_Griptel[[#This Row],[Unit Price]],""),"")</f>
        <v/>
      </c>
      <c r="Q948" s="43" t="str">
        <f>IFERROR(IF(AND(BoM_Griptel[[#This Row],[ACT_Qty]]&lt;&gt;"",BoM_Griptel[[#This Row],[Currency]]="NOK"),BoM_Griptel[[#This Row],[ACT_Qty]]*BoM_Griptel[[#This Row],[Unit Price]],""),"")</f>
        <v/>
      </c>
      <c r="R948" s="43" t="str">
        <f>IFERROR(IF(AND(BoM_Griptel[[#This Row],[Quantity]]&lt;&gt;"",BoM_Griptel[[#This Row],[Currency]]="EUR"),BoM_Griptel[[#This Row],[Quantity]]*BoM_Griptel[[#This Row],[Unit Price]],""),"")</f>
        <v/>
      </c>
      <c r="S948" s="43" t="str">
        <f>IFERROR(IF(AND(BoM_Griptel[[#This Row],[ACT_Qty]]&lt;&gt;"",BoM_Griptel[[#This Row],[Currency]]="EUR"),BoM_Griptel[[#This Row],[ACT_Qty]]*BoM_Griptel[[#This Row],[Unit Price]],""),"")</f>
        <v/>
      </c>
      <c r="T948" s="186" t="s">
        <v>1802</v>
      </c>
      <c r="U948" s="46"/>
      <c r="V948" s="46"/>
      <c r="W948" s="46"/>
    </row>
    <row r="949" spans="1:23">
      <c r="A949" s="143" t="str">
        <f t="shared" si="28"/>
        <v>AKH12345</v>
      </c>
      <c r="B949" s="159"/>
      <c r="C949" s="124"/>
      <c r="D949" s="105"/>
      <c r="E949" s="106"/>
      <c r="F949" s="105"/>
      <c r="G949" s="106"/>
      <c r="H949" s="125"/>
      <c r="I949" s="126"/>
      <c r="J949" s="125"/>
      <c r="K949" s="125"/>
      <c r="L949" s="145" t="s">
        <v>1806</v>
      </c>
      <c r="M949" s="45" t="str">
        <f t="shared" si="29"/>
        <v>OneCo Networks AS</v>
      </c>
      <c r="N949" s="40" t="str">
        <f ca="1">IFERROR(
VLOOKUP(BoM_Griptel[[#This Row],[Product code]],
IF(AND((BoQ!$N$3&lt;&gt;""),OR(BoM_Griptel[[#This Row],[Vendor]]="Griptel",BoM_Griptel[[#This Row],[Vendor]]="Solar")),INDIRECT(Aux!$A$1)),4,FALSE),"")</f>
        <v/>
      </c>
      <c r="O949" s="169" t="s">
        <v>1807</v>
      </c>
      <c r="P949" s="41" t="str">
        <f>IFERROR(IF(AND(BoM_Griptel[[#This Row],[Quantity]]&lt;&gt;"",BoM_Griptel[[#This Row],[Currency]]="NOK"),BoM_Griptel[[#This Row],[Quantity]]*BoM_Griptel[[#This Row],[Unit Price]],""),"")</f>
        <v/>
      </c>
      <c r="Q949" s="41" t="str">
        <f>IFERROR(IF(AND(BoM_Griptel[[#This Row],[ACT_Qty]]&lt;&gt;"",BoM_Griptel[[#This Row],[Currency]]="NOK"),BoM_Griptel[[#This Row],[ACT_Qty]]*BoM_Griptel[[#This Row],[Unit Price]],""),"")</f>
        <v/>
      </c>
      <c r="R949" s="41" t="str">
        <f>IFERROR(IF(AND(BoM_Griptel[[#This Row],[Quantity]]&lt;&gt;"",BoM_Griptel[[#This Row],[Currency]]="EUR"),BoM_Griptel[[#This Row],[Quantity]]*BoM_Griptel[[#This Row],[Unit Price]],""),"")</f>
        <v/>
      </c>
      <c r="S949" s="41" t="str">
        <f>IFERROR(IF(AND(BoM_Griptel[[#This Row],[ACT_Qty]]&lt;&gt;"",BoM_Griptel[[#This Row],[Currency]]="EUR"),BoM_Griptel[[#This Row],[ACT_Qty]]*BoM_Griptel[[#This Row],[Unit Price]],""),"")</f>
        <v/>
      </c>
      <c r="T949" s="185" t="s">
        <v>1802</v>
      </c>
      <c r="U949" s="45"/>
      <c r="V949" s="45"/>
      <c r="W949" s="45"/>
    </row>
    <row r="950" spans="1:23">
      <c r="A950" s="146" t="str">
        <f t="shared" si="28"/>
        <v>AKH12345</v>
      </c>
      <c r="B950" s="160"/>
      <c r="C950" s="69"/>
      <c r="D950" s="68"/>
      <c r="E950" s="89"/>
      <c r="F950" s="68"/>
      <c r="G950" s="89"/>
      <c r="H950" s="70"/>
      <c r="I950" s="78"/>
      <c r="J950" s="70"/>
      <c r="K950" s="70"/>
      <c r="L950" s="148" t="s">
        <v>1806</v>
      </c>
      <c r="M950" s="46" t="str">
        <f t="shared" si="29"/>
        <v>OneCo Networks AS</v>
      </c>
      <c r="N950" s="42" t="str">
        <f ca="1">IFERROR(
VLOOKUP(BoM_Griptel[[#This Row],[Product code]],
IF(AND((BoQ!$N$3&lt;&gt;""),OR(BoM_Griptel[[#This Row],[Vendor]]="Griptel",BoM_Griptel[[#This Row],[Vendor]]="Solar")),INDIRECT(Aux!$A$1)),4,FALSE),"")</f>
        <v/>
      </c>
      <c r="O950" s="170" t="s">
        <v>1807</v>
      </c>
      <c r="P950" s="43" t="str">
        <f>IFERROR(IF(AND(BoM_Griptel[[#This Row],[Quantity]]&lt;&gt;"",BoM_Griptel[[#This Row],[Currency]]="NOK"),BoM_Griptel[[#This Row],[Quantity]]*BoM_Griptel[[#This Row],[Unit Price]],""),"")</f>
        <v/>
      </c>
      <c r="Q950" s="43" t="str">
        <f>IFERROR(IF(AND(BoM_Griptel[[#This Row],[ACT_Qty]]&lt;&gt;"",BoM_Griptel[[#This Row],[Currency]]="NOK"),BoM_Griptel[[#This Row],[ACT_Qty]]*BoM_Griptel[[#This Row],[Unit Price]],""),"")</f>
        <v/>
      </c>
      <c r="R950" s="43" t="str">
        <f>IFERROR(IF(AND(BoM_Griptel[[#This Row],[Quantity]]&lt;&gt;"",BoM_Griptel[[#This Row],[Currency]]="EUR"),BoM_Griptel[[#This Row],[Quantity]]*BoM_Griptel[[#This Row],[Unit Price]],""),"")</f>
        <v/>
      </c>
      <c r="S950" s="43" t="str">
        <f>IFERROR(IF(AND(BoM_Griptel[[#This Row],[ACT_Qty]]&lt;&gt;"",BoM_Griptel[[#This Row],[Currency]]="EUR"),BoM_Griptel[[#This Row],[ACT_Qty]]*BoM_Griptel[[#This Row],[Unit Price]],""),"")</f>
        <v/>
      </c>
      <c r="T950" s="186" t="s">
        <v>1802</v>
      </c>
      <c r="U950" s="46"/>
      <c r="V950" s="46"/>
      <c r="W950" s="46"/>
    </row>
    <row r="951" spans="1:23">
      <c r="A951" s="143" t="str">
        <f t="shared" si="28"/>
        <v>AKH12345</v>
      </c>
      <c r="B951" s="159"/>
      <c r="C951" s="124"/>
      <c r="D951" s="105"/>
      <c r="E951" s="106"/>
      <c r="F951" s="105"/>
      <c r="G951" s="106"/>
      <c r="H951" s="125"/>
      <c r="I951" s="126"/>
      <c r="J951" s="125"/>
      <c r="K951" s="125"/>
      <c r="L951" s="145" t="s">
        <v>1806</v>
      </c>
      <c r="M951" s="45" t="str">
        <f t="shared" si="29"/>
        <v>OneCo Networks AS</v>
      </c>
      <c r="N951" s="40" t="str">
        <f ca="1">IFERROR(
VLOOKUP(BoM_Griptel[[#This Row],[Product code]],
IF(AND((BoQ!$N$3&lt;&gt;""),OR(BoM_Griptel[[#This Row],[Vendor]]="Griptel",BoM_Griptel[[#This Row],[Vendor]]="Solar")),INDIRECT(Aux!$A$1)),4,FALSE),"")</f>
        <v/>
      </c>
      <c r="O951" s="169" t="s">
        <v>1807</v>
      </c>
      <c r="P951" s="41" t="str">
        <f>IFERROR(IF(AND(BoM_Griptel[[#This Row],[Quantity]]&lt;&gt;"",BoM_Griptel[[#This Row],[Currency]]="NOK"),BoM_Griptel[[#This Row],[Quantity]]*BoM_Griptel[[#This Row],[Unit Price]],""),"")</f>
        <v/>
      </c>
      <c r="Q951" s="41" t="str">
        <f>IFERROR(IF(AND(BoM_Griptel[[#This Row],[ACT_Qty]]&lt;&gt;"",BoM_Griptel[[#This Row],[Currency]]="NOK"),BoM_Griptel[[#This Row],[ACT_Qty]]*BoM_Griptel[[#This Row],[Unit Price]],""),"")</f>
        <v/>
      </c>
      <c r="R951" s="41" t="str">
        <f>IFERROR(IF(AND(BoM_Griptel[[#This Row],[Quantity]]&lt;&gt;"",BoM_Griptel[[#This Row],[Currency]]="EUR"),BoM_Griptel[[#This Row],[Quantity]]*BoM_Griptel[[#This Row],[Unit Price]],""),"")</f>
        <v/>
      </c>
      <c r="S951" s="41" t="str">
        <f>IFERROR(IF(AND(BoM_Griptel[[#This Row],[ACT_Qty]]&lt;&gt;"",BoM_Griptel[[#This Row],[Currency]]="EUR"),BoM_Griptel[[#This Row],[ACT_Qty]]*BoM_Griptel[[#This Row],[Unit Price]],""),"")</f>
        <v/>
      </c>
      <c r="T951" s="185" t="s">
        <v>1802</v>
      </c>
      <c r="U951" s="45"/>
      <c r="V951" s="45"/>
      <c r="W951" s="45"/>
    </row>
    <row r="952" spans="1:23">
      <c r="A952" s="146" t="str">
        <f t="shared" si="28"/>
        <v>AKH12345</v>
      </c>
      <c r="B952" s="160"/>
      <c r="C952" s="69"/>
      <c r="D952" s="68"/>
      <c r="E952" s="89"/>
      <c r="F952" s="68"/>
      <c r="G952" s="89"/>
      <c r="H952" s="70"/>
      <c r="I952" s="78"/>
      <c r="J952" s="70"/>
      <c r="K952" s="70"/>
      <c r="L952" s="148" t="s">
        <v>1806</v>
      </c>
      <c r="M952" s="46" t="str">
        <f t="shared" si="29"/>
        <v>OneCo Networks AS</v>
      </c>
      <c r="N952" s="42" t="str">
        <f ca="1">IFERROR(
VLOOKUP(BoM_Griptel[[#This Row],[Product code]],
IF(AND((BoQ!$N$3&lt;&gt;""),OR(BoM_Griptel[[#This Row],[Vendor]]="Griptel",BoM_Griptel[[#This Row],[Vendor]]="Solar")),INDIRECT(Aux!$A$1)),4,FALSE),"")</f>
        <v/>
      </c>
      <c r="O952" s="170" t="s">
        <v>1807</v>
      </c>
      <c r="P952" s="43" t="str">
        <f>IFERROR(IF(AND(BoM_Griptel[[#This Row],[Quantity]]&lt;&gt;"",BoM_Griptel[[#This Row],[Currency]]="NOK"),BoM_Griptel[[#This Row],[Quantity]]*BoM_Griptel[[#This Row],[Unit Price]],""),"")</f>
        <v/>
      </c>
      <c r="Q952" s="43" t="str">
        <f>IFERROR(IF(AND(BoM_Griptel[[#This Row],[ACT_Qty]]&lt;&gt;"",BoM_Griptel[[#This Row],[Currency]]="NOK"),BoM_Griptel[[#This Row],[ACT_Qty]]*BoM_Griptel[[#This Row],[Unit Price]],""),"")</f>
        <v/>
      </c>
      <c r="R952" s="43" t="str">
        <f>IFERROR(IF(AND(BoM_Griptel[[#This Row],[Quantity]]&lt;&gt;"",BoM_Griptel[[#This Row],[Currency]]="EUR"),BoM_Griptel[[#This Row],[Quantity]]*BoM_Griptel[[#This Row],[Unit Price]],""),"")</f>
        <v/>
      </c>
      <c r="S952" s="43" t="str">
        <f>IFERROR(IF(AND(BoM_Griptel[[#This Row],[ACT_Qty]]&lt;&gt;"",BoM_Griptel[[#This Row],[Currency]]="EUR"),BoM_Griptel[[#This Row],[ACT_Qty]]*BoM_Griptel[[#This Row],[Unit Price]],""),"")</f>
        <v/>
      </c>
      <c r="T952" s="186" t="s">
        <v>1802</v>
      </c>
      <c r="U952" s="46"/>
      <c r="V952" s="46"/>
      <c r="W952" s="46"/>
    </row>
    <row r="953" spans="1:23">
      <c r="A953" s="143" t="str">
        <f t="shared" si="28"/>
        <v>AKH12345</v>
      </c>
      <c r="B953" s="159"/>
      <c r="C953" s="124"/>
      <c r="D953" s="105"/>
      <c r="E953" s="106"/>
      <c r="F953" s="105"/>
      <c r="G953" s="106"/>
      <c r="H953" s="125"/>
      <c r="I953" s="126"/>
      <c r="J953" s="125"/>
      <c r="K953" s="125"/>
      <c r="L953" s="145" t="s">
        <v>1806</v>
      </c>
      <c r="M953" s="45" t="str">
        <f t="shared" si="29"/>
        <v>OneCo Networks AS</v>
      </c>
      <c r="N953" s="40" t="str">
        <f ca="1">IFERROR(
VLOOKUP(BoM_Griptel[[#This Row],[Product code]],
IF(AND((BoQ!$N$3&lt;&gt;""),OR(BoM_Griptel[[#This Row],[Vendor]]="Griptel",BoM_Griptel[[#This Row],[Vendor]]="Solar")),INDIRECT(Aux!$A$1)),4,FALSE),"")</f>
        <v/>
      </c>
      <c r="O953" s="169" t="s">
        <v>1807</v>
      </c>
      <c r="P953" s="41" t="str">
        <f>IFERROR(IF(AND(BoM_Griptel[[#This Row],[Quantity]]&lt;&gt;"",BoM_Griptel[[#This Row],[Currency]]="NOK"),BoM_Griptel[[#This Row],[Quantity]]*BoM_Griptel[[#This Row],[Unit Price]],""),"")</f>
        <v/>
      </c>
      <c r="Q953" s="41" t="str">
        <f>IFERROR(IF(AND(BoM_Griptel[[#This Row],[ACT_Qty]]&lt;&gt;"",BoM_Griptel[[#This Row],[Currency]]="NOK"),BoM_Griptel[[#This Row],[ACT_Qty]]*BoM_Griptel[[#This Row],[Unit Price]],""),"")</f>
        <v/>
      </c>
      <c r="R953" s="41" t="str">
        <f>IFERROR(IF(AND(BoM_Griptel[[#This Row],[Quantity]]&lt;&gt;"",BoM_Griptel[[#This Row],[Currency]]="EUR"),BoM_Griptel[[#This Row],[Quantity]]*BoM_Griptel[[#This Row],[Unit Price]],""),"")</f>
        <v/>
      </c>
      <c r="S953" s="41" t="str">
        <f>IFERROR(IF(AND(BoM_Griptel[[#This Row],[ACT_Qty]]&lt;&gt;"",BoM_Griptel[[#This Row],[Currency]]="EUR"),BoM_Griptel[[#This Row],[ACT_Qty]]*BoM_Griptel[[#This Row],[Unit Price]],""),"")</f>
        <v/>
      </c>
      <c r="T953" s="185" t="s">
        <v>1802</v>
      </c>
      <c r="U953" s="45"/>
      <c r="V953" s="45"/>
      <c r="W953" s="45"/>
    </row>
    <row r="954" spans="1:23">
      <c r="A954" s="146" t="str">
        <f t="shared" si="28"/>
        <v>AKH12345</v>
      </c>
      <c r="B954" s="160"/>
      <c r="C954" s="69"/>
      <c r="D954" s="68"/>
      <c r="E954" s="89"/>
      <c r="F954" s="68"/>
      <c r="G954" s="89"/>
      <c r="H954" s="70"/>
      <c r="I954" s="78"/>
      <c r="J954" s="70"/>
      <c r="K954" s="70"/>
      <c r="L954" s="148" t="s">
        <v>1806</v>
      </c>
      <c r="M954" s="46" t="str">
        <f t="shared" si="29"/>
        <v>OneCo Networks AS</v>
      </c>
      <c r="N954" s="42" t="str">
        <f ca="1">IFERROR(
VLOOKUP(BoM_Griptel[[#This Row],[Product code]],
IF(AND((BoQ!$N$3&lt;&gt;""),OR(BoM_Griptel[[#This Row],[Vendor]]="Griptel",BoM_Griptel[[#This Row],[Vendor]]="Solar")),INDIRECT(Aux!$A$1)),4,FALSE),"")</f>
        <v/>
      </c>
      <c r="O954" s="170" t="s">
        <v>1807</v>
      </c>
      <c r="P954" s="43" t="str">
        <f>IFERROR(IF(AND(BoM_Griptel[[#This Row],[Quantity]]&lt;&gt;"",BoM_Griptel[[#This Row],[Currency]]="NOK"),BoM_Griptel[[#This Row],[Quantity]]*BoM_Griptel[[#This Row],[Unit Price]],""),"")</f>
        <v/>
      </c>
      <c r="Q954" s="43" t="str">
        <f>IFERROR(IF(AND(BoM_Griptel[[#This Row],[ACT_Qty]]&lt;&gt;"",BoM_Griptel[[#This Row],[Currency]]="NOK"),BoM_Griptel[[#This Row],[ACT_Qty]]*BoM_Griptel[[#This Row],[Unit Price]],""),"")</f>
        <v/>
      </c>
      <c r="R954" s="43" t="str">
        <f>IFERROR(IF(AND(BoM_Griptel[[#This Row],[Quantity]]&lt;&gt;"",BoM_Griptel[[#This Row],[Currency]]="EUR"),BoM_Griptel[[#This Row],[Quantity]]*BoM_Griptel[[#This Row],[Unit Price]],""),"")</f>
        <v/>
      </c>
      <c r="S954" s="43" t="str">
        <f>IFERROR(IF(AND(BoM_Griptel[[#This Row],[ACT_Qty]]&lt;&gt;"",BoM_Griptel[[#This Row],[Currency]]="EUR"),BoM_Griptel[[#This Row],[ACT_Qty]]*BoM_Griptel[[#This Row],[Unit Price]],""),"")</f>
        <v/>
      </c>
      <c r="T954" s="186" t="s">
        <v>1802</v>
      </c>
      <c r="U954" s="46"/>
      <c r="V954" s="46"/>
      <c r="W954" s="46"/>
    </row>
    <row r="955" spans="1:23">
      <c r="A955" s="143" t="str">
        <f t="shared" si="28"/>
        <v>AKH12345</v>
      </c>
      <c r="B955" s="159"/>
      <c r="C955" s="124"/>
      <c r="D955" s="105"/>
      <c r="E955" s="106"/>
      <c r="F955" s="105"/>
      <c r="G955" s="106"/>
      <c r="H955" s="125"/>
      <c r="I955" s="126"/>
      <c r="J955" s="125"/>
      <c r="K955" s="125"/>
      <c r="L955" s="145" t="s">
        <v>1806</v>
      </c>
      <c r="M955" s="45" t="str">
        <f t="shared" si="29"/>
        <v>OneCo Networks AS</v>
      </c>
      <c r="N955" s="40" t="str">
        <f ca="1">IFERROR(
VLOOKUP(BoM_Griptel[[#This Row],[Product code]],
IF(AND((BoQ!$N$3&lt;&gt;""),OR(BoM_Griptel[[#This Row],[Vendor]]="Griptel",BoM_Griptel[[#This Row],[Vendor]]="Solar")),INDIRECT(Aux!$A$1)),4,FALSE),"")</f>
        <v/>
      </c>
      <c r="O955" s="169" t="s">
        <v>1807</v>
      </c>
      <c r="P955" s="41" t="str">
        <f>IFERROR(IF(AND(BoM_Griptel[[#This Row],[Quantity]]&lt;&gt;"",BoM_Griptel[[#This Row],[Currency]]="NOK"),BoM_Griptel[[#This Row],[Quantity]]*BoM_Griptel[[#This Row],[Unit Price]],""),"")</f>
        <v/>
      </c>
      <c r="Q955" s="41" t="str">
        <f>IFERROR(IF(AND(BoM_Griptel[[#This Row],[ACT_Qty]]&lt;&gt;"",BoM_Griptel[[#This Row],[Currency]]="NOK"),BoM_Griptel[[#This Row],[ACT_Qty]]*BoM_Griptel[[#This Row],[Unit Price]],""),"")</f>
        <v/>
      </c>
      <c r="R955" s="41" t="str">
        <f>IFERROR(IF(AND(BoM_Griptel[[#This Row],[Quantity]]&lt;&gt;"",BoM_Griptel[[#This Row],[Currency]]="EUR"),BoM_Griptel[[#This Row],[Quantity]]*BoM_Griptel[[#This Row],[Unit Price]],""),"")</f>
        <v/>
      </c>
      <c r="S955" s="41" t="str">
        <f>IFERROR(IF(AND(BoM_Griptel[[#This Row],[ACT_Qty]]&lt;&gt;"",BoM_Griptel[[#This Row],[Currency]]="EUR"),BoM_Griptel[[#This Row],[ACT_Qty]]*BoM_Griptel[[#This Row],[Unit Price]],""),"")</f>
        <v/>
      </c>
      <c r="T955" s="185" t="s">
        <v>1802</v>
      </c>
      <c r="U955" s="45"/>
      <c r="V955" s="45"/>
      <c r="W955" s="45"/>
    </row>
    <row r="956" spans="1:23">
      <c r="A956" s="146" t="str">
        <f t="shared" si="28"/>
        <v>AKH12345</v>
      </c>
      <c r="B956" s="160"/>
      <c r="C956" s="69"/>
      <c r="D956" s="68"/>
      <c r="E956" s="89"/>
      <c r="F956" s="68"/>
      <c r="G956" s="89"/>
      <c r="H956" s="70"/>
      <c r="I956" s="78"/>
      <c r="J956" s="70"/>
      <c r="K956" s="70"/>
      <c r="L956" s="148" t="s">
        <v>1806</v>
      </c>
      <c r="M956" s="46" t="str">
        <f t="shared" si="29"/>
        <v>OneCo Networks AS</v>
      </c>
      <c r="N956" s="42" t="str">
        <f ca="1">IFERROR(
VLOOKUP(BoM_Griptel[[#This Row],[Product code]],
IF(AND((BoQ!$N$3&lt;&gt;""),OR(BoM_Griptel[[#This Row],[Vendor]]="Griptel",BoM_Griptel[[#This Row],[Vendor]]="Solar")),INDIRECT(Aux!$A$1)),4,FALSE),"")</f>
        <v/>
      </c>
      <c r="O956" s="170" t="s">
        <v>1807</v>
      </c>
      <c r="P956" s="43" t="str">
        <f>IFERROR(IF(AND(BoM_Griptel[[#This Row],[Quantity]]&lt;&gt;"",BoM_Griptel[[#This Row],[Currency]]="NOK"),BoM_Griptel[[#This Row],[Quantity]]*BoM_Griptel[[#This Row],[Unit Price]],""),"")</f>
        <v/>
      </c>
      <c r="Q956" s="43" t="str">
        <f>IFERROR(IF(AND(BoM_Griptel[[#This Row],[ACT_Qty]]&lt;&gt;"",BoM_Griptel[[#This Row],[Currency]]="NOK"),BoM_Griptel[[#This Row],[ACT_Qty]]*BoM_Griptel[[#This Row],[Unit Price]],""),"")</f>
        <v/>
      </c>
      <c r="R956" s="43" t="str">
        <f>IFERROR(IF(AND(BoM_Griptel[[#This Row],[Quantity]]&lt;&gt;"",BoM_Griptel[[#This Row],[Currency]]="EUR"),BoM_Griptel[[#This Row],[Quantity]]*BoM_Griptel[[#This Row],[Unit Price]],""),"")</f>
        <v/>
      </c>
      <c r="S956" s="43" t="str">
        <f>IFERROR(IF(AND(BoM_Griptel[[#This Row],[ACT_Qty]]&lt;&gt;"",BoM_Griptel[[#This Row],[Currency]]="EUR"),BoM_Griptel[[#This Row],[ACT_Qty]]*BoM_Griptel[[#This Row],[Unit Price]],""),"")</f>
        <v/>
      </c>
      <c r="T956" s="186" t="s">
        <v>1802</v>
      </c>
      <c r="U956" s="46"/>
      <c r="V956" s="46"/>
      <c r="W956" s="46"/>
    </row>
    <row r="957" spans="1:23">
      <c r="A957" s="143" t="str">
        <f t="shared" si="28"/>
        <v>AKH12345</v>
      </c>
      <c r="B957" s="159"/>
      <c r="C957" s="124"/>
      <c r="D957" s="105"/>
      <c r="E957" s="106"/>
      <c r="F957" s="105"/>
      <c r="G957" s="106"/>
      <c r="H957" s="125"/>
      <c r="I957" s="126"/>
      <c r="J957" s="125"/>
      <c r="K957" s="125"/>
      <c r="L957" s="145" t="s">
        <v>1806</v>
      </c>
      <c r="M957" s="45" t="str">
        <f t="shared" si="29"/>
        <v>OneCo Networks AS</v>
      </c>
      <c r="N957" s="40" t="str">
        <f ca="1">IFERROR(
VLOOKUP(BoM_Griptel[[#This Row],[Product code]],
IF(AND((BoQ!$N$3&lt;&gt;""),OR(BoM_Griptel[[#This Row],[Vendor]]="Griptel",BoM_Griptel[[#This Row],[Vendor]]="Solar")),INDIRECT(Aux!$A$1)),4,FALSE),"")</f>
        <v/>
      </c>
      <c r="O957" s="169" t="s">
        <v>1807</v>
      </c>
      <c r="P957" s="41" t="str">
        <f>IFERROR(IF(AND(BoM_Griptel[[#This Row],[Quantity]]&lt;&gt;"",BoM_Griptel[[#This Row],[Currency]]="NOK"),BoM_Griptel[[#This Row],[Quantity]]*BoM_Griptel[[#This Row],[Unit Price]],""),"")</f>
        <v/>
      </c>
      <c r="Q957" s="41" t="str">
        <f>IFERROR(IF(AND(BoM_Griptel[[#This Row],[ACT_Qty]]&lt;&gt;"",BoM_Griptel[[#This Row],[Currency]]="NOK"),BoM_Griptel[[#This Row],[ACT_Qty]]*BoM_Griptel[[#This Row],[Unit Price]],""),"")</f>
        <v/>
      </c>
      <c r="R957" s="41" t="str">
        <f>IFERROR(IF(AND(BoM_Griptel[[#This Row],[Quantity]]&lt;&gt;"",BoM_Griptel[[#This Row],[Currency]]="EUR"),BoM_Griptel[[#This Row],[Quantity]]*BoM_Griptel[[#This Row],[Unit Price]],""),"")</f>
        <v/>
      </c>
      <c r="S957" s="41" t="str">
        <f>IFERROR(IF(AND(BoM_Griptel[[#This Row],[ACT_Qty]]&lt;&gt;"",BoM_Griptel[[#This Row],[Currency]]="EUR"),BoM_Griptel[[#This Row],[ACT_Qty]]*BoM_Griptel[[#This Row],[Unit Price]],""),"")</f>
        <v/>
      </c>
      <c r="T957" s="185" t="s">
        <v>1802</v>
      </c>
      <c r="U957" s="45"/>
      <c r="V957" s="45"/>
      <c r="W957" s="45"/>
    </row>
    <row r="958" spans="1:23">
      <c r="A958" s="146" t="str">
        <f t="shared" si="28"/>
        <v>AKH12345</v>
      </c>
      <c r="B958" s="160"/>
      <c r="C958" s="69"/>
      <c r="D958" s="68"/>
      <c r="E958" s="89"/>
      <c r="F958" s="68"/>
      <c r="G958" s="89"/>
      <c r="H958" s="70"/>
      <c r="I958" s="78"/>
      <c r="J958" s="70"/>
      <c r="K958" s="70"/>
      <c r="L958" s="148" t="s">
        <v>1806</v>
      </c>
      <c r="M958" s="46" t="str">
        <f t="shared" si="29"/>
        <v>OneCo Networks AS</v>
      </c>
      <c r="N958" s="42" t="str">
        <f ca="1">IFERROR(
VLOOKUP(BoM_Griptel[[#This Row],[Product code]],
IF(AND((BoQ!$N$3&lt;&gt;""),OR(BoM_Griptel[[#This Row],[Vendor]]="Griptel",BoM_Griptel[[#This Row],[Vendor]]="Solar")),INDIRECT(Aux!$A$1)),4,FALSE),"")</f>
        <v/>
      </c>
      <c r="O958" s="170" t="s">
        <v>1807</v>
      </c>
      <c r="P958" s="43" t="str">
        <f>IFERROR(IF(AND(BoM_Griptel[[#This Row],[Quantity]]&lt;&gt;"",BoM_Griptel[[#This Row],[Currency]]="NOK"),BoM_Griptel[[#This Row],[Quantity]]*BoM_Griptel[[#This Row],[Unit Price]],""),"")</f>
        <v/>
      </c>
      <c r="Q958" s="43" t="str">
        <f>IFERROR(IF(AND(BoM_Griptel[[#This Row],[ACT_Qty]]&lt;&gt;"",BoM_Griptel[[#This Row],[Currency]]="NOK"),BoM_Griptel[[#This Row],[ACT_Qty]]*BoM_Griptel[[#This Row],[Unit Price]],""),"")</f>
        <v/>
      </c>
      <c r="R958" s="43" t="str">
        <f>IFERROR(IF(AND(BoM_Griptel[[#This Row],[Quantity]]&lt;&gt;"",BoM_Griptel[[#This Row],[Currency]]="EUR"),BoM_Griptel[[#This Row],[Quantity]]*BoM_Griptel[[#This Row],[Unit Price]],""),"")</f>
        <v/>
      </c>
      <c r="S958" s="43" t="str">
        <f>IFERROR(IF(AND(BoM_Griptel[[#This Row],[ACT_Qty]]&lt;&gt;"",BoM_Griptel[[#This Row],[Currency]]="EUR"),BoM_Griptel[[#This Row],[ACT_Qty]]*BoM_Griptel[[#This Row],[Unit Price]],""),"")</f>
        <v/>
      </c>
      <c r="T958" s="186" t="s">
        <v>1802</v>
      </c>
      <c r="U958" s="46"/>
      <c r="V958" s="46"/>
      <c r="W958" s="46"/>
    </row>
    <row r="959" spans="1:23">
      <c r="A959" s="143" t="str">
        <f t="shared" si="28"/>
        <v>AKH12345</v>
      </c>
      <c r="B959" s="159"/>
      <c r="C959" s="124"/>
      <c r="D959" s="105"/>
      <c r="E959" s="106"/>
      <c r="F959" s="105"/>
      <c r="G959" s="106"/>
      <c r="H959" s="125"/>
      <c r="I959" s="126"/>
      <c r="J959" s="125"/>
      <c r="K959" s="125"/>
      <c r="L959" s="145" t="s">
        <v>1806</v>
      </c>
      <c r="M959" s="45" t="str">
        <f t="shared" si="29"/>
        <v>OneCo Networks AS</v>
      </c>
      <c r="N959" s="40" t="str">
        <f ca="1">IFERROR(
VLOOKUP(BoM_Griptel[[#This Row],[Product code]],
IF(AND((BoQ!$N$3&lt;&gt;""),OR(BoM_Griptel[[#This Row],[Vendor]]="Griptel",BoM_Griptel[[#This Row],[Vendor]]="Solar")),INDIRECT(Aux!$A$1)),4,FALSE),"")</f>
        <v/>
      </c>
      <c r="O959" s="169" t="s">
        <v>1807</v>
      </c>
      <c r="P959" s="41" t="str">
        <f>IFERROR(IF(AND(BoM_Griptel[[#This Row],[Quantity]]&lt;&gt;"",BoM_Griptel[[#This Row],[Currency]]="NOK"),BoM_Griptel[[#This Row],[Quantity]]*BoM_Griptel[[#This Row],[Unit Price]],""),"")</f>
        <v/>
      </c>
      <c r="Q959" s="41" t="str">
        <f>IFERROR(IF(AND(BoM_Griptel[[#This Row],[ACT_Qty]]&lt;&gt;"",BoM_Griptel[[#This Row],[Currency]]="NOK"),BoM_Griptel[[#This Row],[ACT_Qty]]*BoM_Griptel[[#This Row],[Unit Price]],""),"")</f>
        <v/>
      </c>
      <c r="R959" s="41" t="str">
        <f>IFERROR(IF(AND(BoM_Griptel[[#This Row],[Quantity]]&lt;&gt;"",BoM_Griptel[[#This Row],[Currency]]="EUR"),BoM_Griptel[[#This Row],[Quantity]]*BoM_Griptel[[#This Row],[Unit Price]],""),"")</f>
        <v/>
      </c>
      <c r="S959" s="41" t="str">
        <f>IFERROR(IF(AND(BoM_Griptel[[#This Row],[ACT_Qty]]&lt;&gt;"",BoM_Griptel[[#This Row],[Currency]]="EUR"),BoM_Griptel[[#This Row],[ACT_Qty]]*BoM_Griptel[[#This Row],[Unit Price]],""),"")</f>
        <v/>
      </c>
      <c r="T959" s="185" t="s">
        <v>1802</v>
      </c>
      <c r="U959" s="45"/>
      <c r="V959" s="45"/>
      <c r="W959" s="45"/>
    </row>
    <row r="960" spans="1:23">
      <c r="A960" s="146" t="str">
        <f t="shared" si="28"/>
        <v>AKH12345</v>
      </c>
      <c r="B960" s="160"/>
      <c r="C960" s="69"/>
      <c r="D960" s="68"/>
      <c r="E960" s="89"/>
      <c r="F960" s="68"/>
      <c r="G960" s="89"/>
      <c r="H960" s="70"/>
      <c r="I960" s="78"/>
      <c r="J960" s="70"/>
      <c r="K960" s="70"/>
      <c r="L960" s="148" t="s">
        <v>1806</v>
      </c>
      <c r="M960" s="46" t="str">
        <f t="shared" si="29"/>
        <v>OneCo Networks AS</v>
      </c>
      <c r="N960" s="42" t="str">
        <f ca="1">IFERROR(
VLOOKUP(BoM_Griptel[[#This Row],[Product code]],
IF(AND((BoQ!$N$3&lt;&gt;""),OR(BoM_Griptel[[#This Row],[Vendor]]="Griptel",BoM_Griptel[[#This Row],[Vendor]]="Solar")),INDIRECT(Aux!$A$1)),4,FALSE),"")</f>
        <v/>
      </c>
      <c r="O960" s="170" t="s">
        <v>1807</v>
      </c>
      <c r="P960" s="43" t="str">
        <f>IFERROR(IF(AND(BoM_Griptel[[#This Row],[Quantity]]&lt;&gt;"",BoM_Griptel[[#This Row],[Currency]]="NOK"),BoM_Griptel[[#This Row],[Quantity]]*BoM_Griptel[[#This Row],[Unit Price]],""),"")</f>
        <v/>
      </c>
      <c r="Q960" s="43" t="str">
        <f>IFERROR(IF(AND(BoM_Griptel[[#This Row],[ACT_Qty]]&lt;&gt;"",BoM_Griptel[[#This Row],[Currency]]="NOK"),BoM_Griptel[[#This Row],[ACT_Qty]]*BoM_Griptel[[#This Row],[Unit Price]],""),"")</f>
        <v/>
      </c>
      <c r="R960" s="43" t="str">
        <f>IFERROR(IF(AND(BoM_Griptel[[#This Row],[Quantity]]&lt;&gt;"",BoM_Griptel[[#This Row],[Currency]]="EUR"),BoM_Griptel[[#This Row],[Quantity]]*BoM_Griptel[[#This Row],[Unit Price]],""),"")</f>
        <v/>
      </c>
      <c r="S960" s="43" t="str">
        <f>IFERROR(IF(AND(BoM_Griptel[[#This Row],[ACT_Qty]]&lt;&gt;"",BoM_Griptel[[#This Row],[Currency]]="EUR"),BoM_Griptel[[#This Row],[ACT_Qty]]*BoM_Griptel[[#This Row],[Unit Price]],""),"")</f>
        <v/>
      </c>
      <c r="T960" s="186" t="s">
        <v>1802</v>
      </c>
      <c r="U960" s="46"/>
      <c r="V960" s="46"/>
      <c r="W960" s="46"/>
    </row>
    <row r="961" spans="1:23">
      <c r="A961" s="143" t="str">
        <f t="shared" si="28"/>
        <v>AKH12345</v>
      </c>
      <c r="B961" s="159"/>
      <c r="C961" s="124"/>
      <c r="D961" s="105"/>
      <c r="E961" s="106"/>
      <c r="F961" s="105"/>
      <c r="G961" s="106"/>
      <c r="H961" s="125"/>
      <c r="I961" s="126"/>
      <c r="J961" s="125"/>
      <c r="K961" s="125"/>
      <c r="L961" s="145" t="s">
        <v>1806</v>
      </c>
      <c r="M961" s="45" t="str">
        <f t="shared" si="29"/>
        <v>OneCo Networks AS</v>
      </c>
      <c r="N961" s="40" t="str">
        <f ca="1">IFERROR(
VLOOKUP(BoM_Griptel[[#This Row],[Product code]],
IF(AND((BoQ!$N$3&lt;&gt;""),OR(BoM_Griptel[[#This Row],[Vendor]]="Griptel",BoM_Griptel[[#This Row],[Vendor]]="Solar")),INDIRECT(Aux!$A$1)),4,FALSE),"")</f>
        <v/>
      </c>
      <c r="O961" s="169" t="s">
        <v>1807</v>
      </c>
      <c r="P961" s="41" t="str">
        <f>IFERROR(IF(AND(BoM_Griptel[[#This Row],[Quantity]]&lt;&gt;"",BoM_Griptel[[#This Row],[Currency]]="NOK"),BoM_Griptel[[#This Row],[Quantity]]*BoM_Griptel[[#This Row],[Unit Price]],""),"")</f>
        <v/>
      </c>
      <c r="Q961" s="41" t="str">
        <f>IFERROR(IF(AND(BoM_Griptel[[#This Row],[ACT_Qty]]&lt;&gt;"",BoM_Griptel[[#This Row],[Currency]]="NOK"),BoM_Griptel[[#This Row],[ACT_Qty]]*BoM_Griptel[[#This Row],[Unit Price]],""),"")</f>
        <v/>
      </c>
      <c r="R961" s="41" t="str">
        <f>IFERROR(IF(AND(BoM_Griptel[[#This Row],[Quantity]]&lt;&gt;"",BoM_Griptel[[#This Row],[Currency]]="EUR"),BoM_Griptel[[#This Row],[Quantity]]*BoM_Griptel[[#This Row],[Unit Price]],""),"")</f>
        <v/>
      </c>
      <c r="S961" s="41" t="str">
        <f>IFERROR(IF(AND(BoM_Griptel[[#This Row],[ACT_Qty]]&lt;&gt;"",BoM_Griptel[[#This Row],[Currency]]="EUR"),BoM_Griptel[[#This Row],[ACT_Qty]]*BoM_Griptel[[#This Row],[Unit Price]],""),"")</f>
        <v/>
      </c>
      <c r="T961" s="185" t="s">
        <v>1802</v>
      </c>
      <c r="U961" s="45"/>
      <c r="V961" s="45"/>
      <c r="W961" s="45"/>
    </row>
    <row r="962" spans="1:23">
      <c r="A962" s="146" t="str">
        <f t="shared" si="28"/>
        <v>AKH12345</v>
      </c>
      <c r="B962" s="160"/>
      <c r="C962" s="69"/>
      <c r="D962" s="68"/>
      <c r="E962" s="89"/>
      <c r="F962" s="68"/>
      <c r="G962" s="89"/>
      <c r="H962" s="70"/>
      <c r="I962" s="78"/>
      <c r="J962" s="70"/>
      <c r="K962" s="70"/>
      <c r="L962" s="148" t="s">
        <v>1806</v>
      </c>
      <c r="M962" s="46" t="str">
        <f t="shared" si="29"/>
        <v>OneCo Networks AS</v>
      </c>
      <c r="N962" s="42" t="str">
        <f ca="1">IFERROR(
VLOOKUP(BoM_Griptel[[#This Row],[Product code]],
IF(AND((BoQ!$N$3&lt;&gt;""),OR(BoM_Griptel[[#This Row],[Vendor]]="Griptel",BoM_Griptel[[#This Row],[Vendor]]="Solar")),INDIRECT(Aux!$A$1)),4,FALSE),"")</f>
        <v/>
      </c>
      <c r="O962" s="170" t="s">
        <v>1807</v>
      </c>
      <c r="P962" s="43" t="str">
        <f>IFERROR(IF(AND(BoM_Griptel[[#This Row],[Quantity]]&lt;&gt;"",BoM_Griptel[[#This Row],[Currency]]="NOK"),BoM_Griptel[[#This Row],[Quantity]]*BoM_Griptel[[#This Row],[Unit Price]],""),"")</f>
        <v/>
      </c>
      <c r="Q962" s="43" t="str">
        <f>IFERROR(IF(AND(BoM_Griptel[[#This Row],[ACT_Qty]]&lt;&gt;"",BoM_Griptel[[#This Row],[Currency]]="NOK"),BoM_Griptel[[#This Row],[ACT_Qty]]*BoM_Griptel[[#This Row],[Unit Price]],""),"")</f>
        <v/>
      </c>
      <c r="R962" s="43" t="str">
        <f>IFERROR(IF(AND(BoM_Griptel[[#This Row],[Quantity]]&lt;&gt;"",BoM_Griptel[[#This Row],[Currency]]="EUR"),BoM_Griptel[[#This Row],[Quantity]]*BoM_Griptel[[#This Row],[Unit Price]],""),"")</f>
        <v/>
      </c>
      <c r="S962" s="43" t="str">
        <f>IFERROR(IF(AND(BoM_Griptel[[#This Row],[ACT_Qty]]&lt;&gt;"",BoM_Griptel[[#This Row],[Currency]]="EUR"),BoM_Griptel[[#This Row],[ACT_Qty]]*BoM_Griptel[[#This Row],[Unit Price]],""),"")</f>
        <v/>
      </c>
      <c r="T962" s="186" t="s">
        <v>1802</v>
      </c>
      <c r="U962" s="46"/>
      <c r="V962" s="46"/>
      <c r="W962" s="46"/>
    </row>
    <row r="963" spans="1:23">
      <c r="A963" s="143" t="str">
        <f t="shared" si="28"/>
        <v>AKH12345</v>
      </c>
      <c r="B963" s="159"/>
      <c r="C963" s="124"/>
      <c r="D963" s="105"/>
      <c r="E963" s="106"/>
      <c r="F963" s="105"/>
      <c r="G963" s="106"/>
      <c r="H963" s="125"/>
      <c r="I963" s="126"/>
      <c r="J963" s="125"/>
      <c r="K963" s="125"/>
      <c r="L963" s="145" t="s">
        <v>1806</v>
      </c>
      <c r="M963" s="45" t="str">
        <f t="shared" si="29"/>
        <v>OneCo Networks AS</v>
      </c>
      <c r="N963" s="40" t="str">
        <f ca="1">IFERROR(
VLOOKUP(BoM_Griptel[[#This Row],[Product code]],
IF(AND((BoQ!$N$3&lt;&gt;""),OR(BoM_Griptel[[#This Row],[Vendor]]="Griptel",BoM_Griptel[[#This Row],[Vendor]]="Solar")),INDIRECT(Aux!$A$1)),4,FALSE),"")</f>
        <v/>
      </c>
      <c r="O963" s="169" t="s">
        <v>1807</v>
      </c>
      <c r="P963" s="41" t="str">
        <f>IFERROR(IF(AND(BoM_Griptel[[#This Row],[Quantity]]&lt;&gt;"",BoM_Griptel[[#This Row],[Currency]]="NOK"),BoM_Griptel[[#This Row],[Quantity]]*BoM_Griptel[[#This Row],[Unit Price]],""),"")</f>
        <v/>
      </c>
      <c r="Q963" s="41" t="str">
        <f>IFERROR(IF(AND(BoM_Griptel[[#This Row],[ACT_Qty]]&lt;&gt;"",BoM_Griptel[[#This Row],[Currency]]="NOK"),BoM_Griptel[[#This Row],[ACT_Qty]]*BoM_Griptel[[#This Row],[Unit Price]],""),"")</f>
        <v/>
      </c>
      <c r="R963" s="41" t="str">
        <f>IFERROR(IF(AND(BoM_Griptel[[#This Row],[Quantity]]&lt;&gt;"",BoM_Griptel[[#This Row],[Currency]]="EUR"),BoM_Griptel[[#This Row],[Quantity]]*BoM_Griptel[[#This Row],[Unit Price]],""),"")</f>
        <v/>
      </c>
      <c r="S963" s="41" t="str">
        <f>IFERROR(IF(AND(BoM_Griptel[[#This Row],[ACT_Qty]]&lt;&gt;"",BoM_Griptel[[#This Row],[Currency]]="EUR"),BoM_Griptel[[#This Row],[ACT_Qty]]*BoM_Griptel[[#This Row],[Unit Price]],""),"")</f>
        <v/>
      </c>
      <c r="T963" s="185" t="s">
        <v>1802</v>
      </c>
      <c r="U963" s="45"/>
      <c r="V963" s="45"/>
      <c r="W963" s="45"/>
    </row>
    <row r="964" spans="1:23">
      <c r="A964" s="146" t="str">
        <f t="shared" si="28"/>
        <v>AKH12345</v>
      </c>
      <c r="B964" s="160"/>
      <c r="C964" s="69"/>
      <c r="D964" s="68"/>
      <c r="E964" s="89"/>
      <c r="F964" s="68"/>
      <c r="G964" s="89"/>
      <c r="H964" s="70"/>
      <c r="I964" s="78"/>
      <c r="J964" s="70"/>
      <c r="K964" s="70"/>
      <c r="L964" s="148" t="s">
        <v>1806</v>
      </c>
      <c r="M964" s="46" t="str">
        <f t="shared" si="29"/>
        <v>OneCo Networks AS</v>
      </c>
      <c r="N964" s="42" t="str">
        <f ca="1">IFERROR(
VLOOKUP(BoM_Griptel[[#This Row],[Product code]],
IF(AND((BoQ!$N$3&lt;&gt;""),OR(BoM_Griptel[[#This Row],[Vendor]]="Griptel",BoM_Griptel[[#This Row],[Vendor]]="Solar")),INDIRECT(Aux!$A$1)),4,FALSE),"")</f>
        <v/>
      </c>
      <c r="O964" s="170" t="s">
        <v>1807</v>
      </c>
      <c r="P964" s="43" t="str">
        <f>IFERROR(IF(AND(BoM_Griptel[[#This Row],[Quantity]]&lt;&gt;"",BoM_Griptel[[#This Row],[Currency]]="NOK"),BoM_Griptel[[#This Row],[Quantity]]*BoM_Griptel[[#This Row],[Unit Price]],""),"")</f>
        <v/>
      </c>
      <c r="Q964" s="43" t="str">
        <f>IFERROR(IF(AND(BoM_Griptel[[#This Row],[ACT_Qty]]&lt;&gt;"",BoM_Griptel[[#This Row],[Currency]]="NOK"),BoM_Griptel[[#This Row],[ACT_Qty]]*BoM_Griptel[[#This Row],[Unit Price]],""),"")</f>
        <v/>
      </c>
      <c r="R964" s="43" t="str">
        <f>IFERROR(IF(AND(BoM_Griptel[[#This Row],[Quantity]]&lt;&gt;"",BoM_Griptel[[#This Row],[Currency]]="EUR"),BoM_Griptel[[#This Row],[Quantity]]*BoM_Griptel[[#This Row],[Unit Price]],""),"")</f>
        <v/>
      </c>
      <c r="S964" s="43" t="str">
        <f>IFERROR(IF(AND(BoM_Griptel[[#This Row],[ACT_Qty]]&lt;&gt;"",BoM_Griptel[[#This Row],[Currency]]="EUR"),BoM_Griptel[[#This Row],[ACT_Qty]]*BoM_Griptel[[#This Row],[Unit Price]],""),"")</f>
        <v/>
      </c>
      <c r="T964" s="186" t="s">
        <v>1802</v>
      </c>
      <c r="U964" s="46"/>
      <c r="V964" s="46"/>
      <c r="W964" s="46"/>
    </row>
    <row r="965" spans="1:23">
      <c r="A965" s="143" t="str">
        <f t="shared" si="28"/>
        <v>AKH12345</v>
      </c>
      <c r="B965" s="159"/>
      <c r="C965" s="124"/>
      <c r="D965" s="105"/>
      <c r="E965" s="106"/>
      <c r="F965" s="105"/>
      <c r="G965" s="106"/>
      <c r="H965" s="125"/>
      <c r="I965" s="126"/>
      <c r="J965" s="125"/>
      <c r="K965" s="125"/>
      <c r="L965" s="145" t="s">
        <v>1806</v>
      </c>
      <c r="M965" s="45" t="str">
        <f t="shared" si="29"/>
        <v>OneCo Networks AS</v>
      </c>
      <c r="N965" s="40" t="str">
        <f ca="1">IFERROR(
VLOOKUP(BoM_Griptel[[#This Row],[Product code]],
IF(AND((BoQ!$N$3&lt;&gt;""),OR(BoM_Griptel[[#This Row],[Vendor]]="Griptel",BoM_Griptel[[#This Row],[Vendor]]="Solar")),INDIRECT(Aux!$A$1)),4,FALSE),"")</f>
        <v/>
      </c>
      <c r="O965" s="169" t="s">
        <v>1807</v>
      </c>
      <c r="P965" s="41" t="str">
        <f>IFERROR(IF(AND(BoM_Griptel[[#This Row],[Quantity]]&lt;&gt;"",BoM_Griptel[[#This Row],[Currency]]="NOK"),BoM_Griptel[[#This Row],[Quantity]]*BoM_Griptel[[#This Row],[Unit Price]],""),"")</f>
        <v/>
      </c>
      <c r="Q965" s="41" t="str">
        <f>IFERROR(IF(AND(BoM_Griptel[[#This Row],[ACT_Qty]]&lt;&gt;"",BoM_Griptel[[#This Row],[Currency]]="NOK"),BoM_Griptel[[#This Row],[ACT_Qty]]*BoM_Griptel[[#This Row],[Unit Price]],""),"")</f>
        <v/>
      </c>
      <c r="R965" s="41" t="str">
        <f>IFERROR(IF(AND(BoM_Griptel[[#This Row],[Quantity]]&lt;&gt;"",BoM_Griptel[[#This Row],[Currency]]="EUR"),BoM_Griptel[[#This Row],[Quantity]]*BoM_Griptel[[#This Row],[Unit Price]],""),"")</f>
        <v/>
      </c>
      <c r="S965" s="41" t="str">
        <f>IFERROR(IF(AND(BoM_Griptel[[#This Row],[ACT_Qty]]&lt;&gt;"",BoM_Griptel[[#This Row],[Currency]]="EUR"),BoM_Griptel[[#This Row],[ACT_Qty]]*BoM_Griptel[[#This Row],[Unit Price]],""),"")</f>
        <v/>
      </c>
      <c r="T965" s="185" t="s">
        <v>1802</v>
      </c>
      <c r="U965" s="45"/>
      <c r="V965" s="45"/>
      <c r="W965" s="45"/>
    </row>
    <row r="966" spans="1:23">
      <c r="A966" s="146" t="str">
        <f t="shared" si="28"/>
        <v>AKH12345</v>
      </c>
      <c r="B966" s="160"/>
      <c r="C966" s="69"/>
      <c r="D966" s="68"/>
      <c r="E966" s="89"/>
      <c r="F966" s="68"/>
      <c r="G966" s="89"/>
      <c r="H966" s="70"/>
      <c r="I966" s="78"/>
      <c r="J966" s="70"/>
      <c r="K966" s="70"/>
      <c r="L966" s="148" t="s">
        <v>1806</v>
      </c>
      <c r="M966" s="46" t="str">
        <f t="shared" si="29"/>
        <v>OneCo Networks AS</v>
      </c>
      <c r="N966" s="42" t="str">
        <f ca="1">IFERROR(
VLOOKUP(BoM_Griptel[[#This Row],[Product code]],
IF(AND((BoQ!$N$3&lt;&gt;""),OR(BoM_Griptel[[#This Row],[Vendor]]="Griptel",BoM_Griptel[[#This Row],[Vendor]]="Solar")),INDIRECT(Aux!$A$1)),4,FALSE),"")</f>
        <v/>
      </c>
      <c r="O966" s="170" t="s">
        <v>1807</v>
      </c>
      <c r="P966" s="43" t="str">
        <f>IFERROR(IF(AND(BoM_Griptel[[#This Row],[Quantity]]&lt;&gt;"",BoM_Griptel[[#This Row],[Currency]]="NOK"),BoM_Griptel[[#This Row],[Quantity]]*BoM_Griptel[[#This Row],[Unit Price]],""),"")</f>
        <v/>
      </c>
      <c r="Q966" s="43" t="str">
        <f>IFERROR(IF(AND(BoM_Griptel[[#This Row],[ACT_Qty]]&lt;&gt;"",BoM_Griptel[[#This Row],[Currency]]="NOK"),BoM_Griptel[[#This Row],[ACT_Qty]]*BoM_Griptel[[#This Row],[Unit Price]],""),"")</f>
        <v/>
      </c>
      <c r="R966" s="43" t="str">
        <f>IFERROR(IF(AND(BoM_Griptel[[#This Row],[Quantity]]&lt;&gt;"",BoM_Griptel[[#This Row],[Currency]]="EUR"),BoM_Griptel[[#This Row],[Quantity]]*BoM_Griptel[[#This Row],[Unit Price]],""),"")</f>
        <v/>
      </c>
      <c r="S966" s="43" t="str">
        <f>IFERROR(IF(AND(BoM_Griptel[[#This Row],[ACT_Qty]]&lt;&gt;"",BoM_Griptel[[#This Row],[Currency]]="EUR"),BoM_Griptel[[#This Row],[ACT_Qty]]*BoM_Griptel[[#This Row],[Unit Price]],""),"")</f>
        <v/>
      </c>
      <c r="T966" s="186" t="s">
        <v>1802</v>
      </c>
      <c r="U966" s="46"/>
      <c r="V966" s="46"/>
      <c r="W966" s="46"/>
    </row>
    <row r="967" spans="1:23">
      <c r="A967" s="143" t="str">
        <f t="shared" si="28"/>
        <v>AKH12345</v>
      </c>
      <c r="B967" s="159"/>
      <c r="C967" s="124"/>
      <c r="D967" s="105"/>
      <c r="E967" s="106"/>
      <c r="F967" s="105"/>
      <c r="G967" s="106"/>
      <c r="H967" s="125"/>
      <c r="I967" s="126"/>
      <c r="J967" s="125"/>
      <c r="K967" s="125"/>
      <c r="L967" s="145" t="s">
        <v>1806</v>
      </c>
      <c r="M967" s="45" t="str">
        <f t="shared" si="29"/>
        <v>OneCo Networks AS</v>
      </c>
      <c r="N967" s="40" t="str">
        <f ca="1">IFERROR(
VLOOKUP(BoM_Griptel[[#This Row],[Product code]],
IF(AND((BoQ!$N$3&lt;&gt;""),OR(BoM_Griptel[[#This Row],[Vendor]]="Griptel",BoM_Griptel[[#This Row],[Vendor]]="Solar")),INDIRECT(Aux!$A$1)),4,FALSE),"")</f>
        <v/>
      </c>
      <c r="O967" s="169" t="s">
        <v>1807</v>
      </c>
      <c r="P967" s="41" t="str">
        <f>IFERROR(IF(AND(BoM_Griptel[[#This Row],[Quantity]]&lt;&gt;"",BoM_Griptel[[#This Row],[Currency]]="NOK"),BoM_Griptel[[#This Row],[Quantity]]*BoM_Griptel[[#This Row],[Unit Price]],""),"")</f>
        <v/>
      </c>
      <c r="Q967" s="41" t="str">
        <f>IFERROR(IF(AND(BoM_Griptel[[#This Row],[ACT_Qty]]&lt;&gt;"",BoM_Griptel[[#This Row],[Currency]]="NOK"),BoM_Griptel[[#This Row],[ACT_Qty]]*BoM_Griptel[[#This Row],[Unit Price]],""),"")</f>
        <v/>
      </c>
      <c r="R967" s="41" t="str">
        <f>IFERROR(IF(AND(BoM_Griptel[[#This Row],[Quantity]]&lt;&gt;"",BoM_Griptel[[#This Row],[Currency]]="EUR"),BoM_Griptel[[#This Row],[Quantity]]*BoM_Griptel[[#This Row],[Unit Price]],""),"")</f>
        <v/>
      </c>
      <c r="S967" s="41" t="str">
        <f>IFERROR(IF(AND(BoM_Griptel[[#This Row],[ACT_Qty]]&lt;&gt;"",BoM_Griptel[[#This Row],[Currency]]="EUR"),BoM_Griptel[[#This Row],[ACT_Qty]]*BoM_Griptel[[#This Row],[Unit Price]],""),"")</f>
        <v/>
      </c>
      <c r="T967" s="185" t="s">
        <v>1802</v>
      </c>
      <c r="U967" s="45"/>
      <c r="V967" s="45"/>
      <c r="W967" s="45"/>
    </row>
    <row r="968" spans="1:23">
      <c r="A968" s="146" t="str">
        <f t="shared" si="28"/>
        <v>AKH12345</v>
      </c>
      <c r="B968" s="160"/>
      <c r="C968" s="69"/>
      <c r="D968" s="68"/>
      <c r="E968" s="89"/>
      <c r="F968" s="68"/>
      <c r="G968" s="89"/>
      <c r="H968" s="70"/>
      <c r="I968" s="78"/>
      <c r="J968" s="70"/>
      <c r="K968" s="70"/>
      <c r="L968" s="148" t="s">
        <v>1806</v>
      </c>
      <c r="M968" s="46" t="str">
        <f t="shared" si="29"/>
        <v>OneCo Networks AS</v>
      </c>
      <c r="N968" s="42" t="str">
        <f ca="1">IFERROR(
VLOOKUP(BoM_Griptel[[#This Row],[Product code]],
IF(AND((BoQ!$N$3&lt;&gt;""),OR(BoM_Griptel[[#This Row],[Vendor]]="Griptel",BoM_Griptel[[#This Row],[Vendor]]="Solar")),INDIRECT(Aux!$A$1)),4,FALSE),"")</f>
        <v/>
      </c>
      <c r="O968" s="170" t="s">
        <v>1807</v>
      </c>
      <c r="P968" s="43" t="str">
        <f>IFERROR(IF(AND(BoM_Griptel[[#This Row],[Quantity]]&lt;&gt;"",BoM_Griptel[[#This Row],[Currency]]="NOK"),BoM_Griptel[[#This Row],[Quantity]]*BoM_Griptel[[#This Row],[Unit Price]],""),"")</f>
        <v/>
      </c>
      <c r="Q968" s="43" t="str">
        <f>IFERROR(IF(AND(BoM_Griptel[[#This Row],[ACT_Qty]]&lt;&gt;"",BoM_Griptel[[#This Row],[Currency]]="NOK"),BoM_Griptel[[#This Row],[ACT_Qty]]*BoM_Griptel[[#This Row],[Unit Price]],""),"")</f>
        <v/>
      </c>
      <c r="R968" s="43" t="str">
        <f>IFERROR(IF(AND(BoM_Griptel[[#This Row],[Quantity]]&lt;&gt;"",BoM_Griptel[[#This Row],[Currency]]="EUR"),BoM_Griptel[[#This Row],[Quantity]]*BoM_Griptel[[#This Row],[Unit Price]],""),"")</f>
        <v/>
      </c>
      <c r="S968" s="43" t="str">
        <f>IFERROR(IF(AND(BoM_Griptel[[#This Row],[ACT_Qty]]&lt;&gt;"",BoM_Griptel[[#This Row],[Currency]]="EUR"),BoM_Griptel[[#This Row],[ACT_Qty]]*BoM_Griptel[[#This Row],[Unit Price]],""),"")</f>
        <v/>
      </c>
      <c r="T968" s="186" t="s">
        <v>1802</v>
      </c>
      <c r="U968" s="46"/>
      <c r="V968" s="46"/>
      <c r="W968" s="46"/>
    </row>
    <row r="969" spans="1:23">
      <c r="A969" s="143" t="str">
        <f t="shared" si="28"/>
        <v>AKH12345</v>
      </c>
      <c r="B969" s="159"/>
      <c r="C969" s="124"/>
      <c r="D969" s="105"/>
      <c r="E969" s="106"/>
      <c r="F969" s="105"/>
      <c r="G969" s="106"/>
      <c r="H969" s="125"/>
      <c r="I969" s="126"/>
      <c r="J969" s="125"/>
      <c r="K969" s="125"/>
      <c r="L969" s="145" t="s">
        <v>1806</v>
      </c>
      <c r="M969" s="45" t="str">
        <f t="shared" si="29"/>
        <v>OneCo Networks AS</v>
      </c>
      <c r="N969" s="40" t="str">
        <f ca="1">IFERROR(
VLOOKUP(BoM_Griptel[[#This Row],[Product code]],
IF(AND((BoQ!$N$3&lt;&gt;""),OR(BoM_Griptel[[#This Row],[Vendor]]="Griptel",BoM_Griptel[[#This Row],[Vendor]]="Solar")),INDIRECT(Aux!$A$1)),4,FALSE),"")</f>
        <v/>
      </c>
      <c r="O969" s="169" t="s">
        <v>1807</v>
      </c>
      <c r="P969" s="41" t="str">
        <f>IFERROR(IF(AND(BoM_Griptel[[#This Row],[Quantity]]&lt;&gt;"",BoM_Griptel[[#This Row],[Currency]]="NOK"),BoM_Griptel[[#This Row],[Quantity]]*BoM_Griptel[[#This Row],[Unit Price]],""),"")</f>
        <v/>
      </c>
      <c r="Q969" s="41" t="str">
        <f>IFERROR(IF(AND(BoM_Griptel[[#This Row],[ACT_Qty]]&lt;&gt;"",BoM_Griptel[[#This Row],[Currency]]="NOK"),BoM_Griptel[[#This Row],[ACT_Qty]]*BoM_Griptel[[#This Row],[Unit Price]],""),"")</f>
        <v/>
      </c>
      <c r="R969" s="41" t="str">
        <f>IFERROR(IF(AND(BoM_Griptel[[#This Row],[Quantity]]&lt;&gt;"",BoM_Griptel[[#This Row],[Currency]]="EUR"),BoM_Griptel[[#This Row],[Quantity]]*BoM_Griptel[[#This Row],[Unit Price]],""),"")</f>
        <v/>
      </c>
      <c r="S969" s="41" t="str">
        <f>IFERROR(IF(AND(BoM_Griptel[[#This Row],[ACT_Qty]]&lt;&gt;"",BoM_Griptel[[#This Row],[Currency]]="EUR"),BoM_Griptel[[#This Row],[ACT_Qty]]*BoM_Griptel[[#This Row],[Unit Price]],""),"")</f>
        <v/>
      </c>
      <c r="T969" s="185" t="s">
        <v>1802</v>
      </c>
      <c r="U969" s="45"/>
      <c r="V969" s="45"/>
      <c r="W969" s="45"/>
    </row>
    <row r="970" spans="1:23">
      <c r="A970" s="146" t="str">
        <f t="shared" si="28"/>
        <v>AKH12345</v>
      </c>
      <c r="B970" s="160"/>
      <c r="C970" s="69"/>
      <c r="D970" s="68"/>
      <c r="E970" s="89"/>
      <c r="F970" s="68"/>
      <c r="G970" s="89"/>
      <c r="H970" s="70"/>
      <c r="I970" s="78"/>
      <c r="J970" s="70"/>
      <c r="K970" s="70"/>
      <c r="L970" s="148" t="s">
        <v>1806</v>
      </c>
      <c r="M970" s="46" t="str">
        <f t="shared" si="29"/>
        <v>OneCo Networks AS</v>
      </c>
      <c r="N970" s="42" t="str">
        <f ca="1">IFERROR(
VLOOKUP(BoM_Griptel[[#This Row],[Product code]],
IF(AND((BoQ!$N$3&lt;&gt;""),OR(BoM_Griptel[[#This Row],[Vendor]]="Griptel",BoM_Griptel[[#This Row],[Vendor]]="Solar")),INDIRECT(Aux!$A$1)),4,FALSE),"")</f>
        <v/>
      </c>
      <c r="O970" s="170" t="s">
        <v>1807</v>
      </c>
      <c r="P970" s="43" t="str">
        <f>IFERROR(IF(AND(BoM_Griptel[[#This Row],[Quantity]]&lt;&gt;"",BoM_Griptel[[#This Row],[Currency]]="NOK"),BoM_Griptel[[#This Row],[Quantity]]*BoM_Griptel[[#This Row],[Unit Price]],""),"")</f>
        <v/>
      </c>
      <c r="Q970" s="43" t="str">
        <f>IFERROR(IF(AND(BoM_Griptel[[#This Row],[ACT_Qty]]&lt;&gt;"",BoM_Griptel[[#This Row],[Currency]]="NOK"),BoM_Griptel[[#This Row],[ACT_Qty]]*BoM_Griptel[[#This Row],[Unit Price]],""),"")</f>
        <v/>
      </c>
      <c r="R970" s="43" t="str">
        <f>IFERROR(IF(AND(BoM_Griptel[[#This Row],[Quantity]]&lt;&gt;"",BoM_Griptel[[#This Row],[Currency]]="EUR"),BoM_Griptel[[#This Row],[Quantity]]*BoM_Griptel[[#This Row],[Unit Price]],""),"")</f>
        <v/>
      </c>
      <c r="S970" s="43" t="str">
        <f>IFERROR(IF(AND(BoM_Griptel[[#This Row],[ACT_Qty]]&lt;&gt;"",BoM_Griptel[[#This Row],[Currency]]="EUR"),BoM_Griptel[[#This Row],[ACT_Qty]]*BoM_Griptel[[#This Row],[Unit Price]],""),"")</f>
        <v/>
      </c>
      <c r="T970" s="186" t="s">
        <v>1802</v>
      </c>
      <c r="U970" s="46"/>
      <c r="V970" s="46"/>
      <c r="W970" s="46"/>
    </row>
    <row r="971" spans="1:23">
      <c r="A971" s="143" t="str">
        <f t="shared" si="28"/>
        <v>AKH12345</v>
      </c>
      <c r="B971" s="159"/>
      <c r="C971" s="124"/>
      <c r="D971" s="105"/>
      <c r="E971" s="106"/>
      <c r="F971" s="105"/>
      <c r="G971" s="106"/>
      <c r="H971" s="125"/>
      <c r="I971" s="126"/>
      <c r="J971" s="125"/>
      <c r="K971" s="125"/>
      <c r="L971" s="145" t="s">
        <v>1806</v>
      </c>
      <c r="M971" s="45" t="str">
        <f t="shared" si="29"/>
        <v>OneCo Networks AS</v>
      </c>
      <c r="N971" s="40" t="str">
        <f ca="1">IFERROR(
VLOOKUP(BoM_Griptel[[#This Row],[Product code]],
IF(AND((BoQ!$N$3&lt;&gt;""),OR(BoM_Griptel[[#This Row],[Vendor]]="Griptel",BoM_Griptel[[#This Row],[Vendor]]="Solar")),INDIRECT(Aux!$A$1)),4,FALSE),"")</f>
        <v/>
      </c>
      <c r="O971" s="169" t="s">
        <v>1807</v>
      </c>
      <c r="P971" s="41" t="str">
        <f>IFERROR(IF(AND(BoM_Griptel[[#This Row],[Quantity]]&lt;&gt;"",BoM_Griptel[[#This Row],[Currency]]="NOK"),BoM_Griptel[[#This Row],[Quantity]]*BoM_Griptel[[#This Row],[Unit Price]],""),"")</f>
        <v/>
      </c>
      <c r="Q971" s="41" t="str">
        <f>IFERROR(IF(AND(BoM_Griptel[[#This Row],[ACT_Qty]]&lt;&gt;"",BoM_Griptel[[#This Row],[Currency]]="NOK"),BoM_Griptel[[#This Row],[ACT_Qty]]*BoM_Griptel[[#This Row],[Unit Price]],""),"")</f>
        <v/>
      </c>
      <c r="R971" s="41" t="str">
        <f>IFERROR(IF(AND(BoM_Griptel[[#This Row],[Quantity]]&lt;&gt;"",BoM_Griptel[[#This Row],[Currency]]="EUR"),BoM_Griptel[[#This Row],[Quantity]]*BoM_Griptel[[#This Row],[Unit Price]],""),"")</f>
        <v/>
      </c>
      <c r="S971" s="41" t="str">
        <f>IFERROR(IF(AND(BoM_Griptel[[#This Row],[ACT_Qty]]&lt;&gt;"",BoM_Griptel[[#This Row],[Currency]]="EUR"),BoM_Griptel[[#This Row],[ACT_Qty]]*BoM_Griptel[[#This Row],[Unit Price]],""),"")</f>
        <v/>
      </c>
      <c r="T971" s="185" t="s">
        <v>1802</v>
      </c>
      <c r="U971" s="45"/>
      <c r="V971" s="45"/>
      <c r="W971" s="45"/>
    </row>
    <row r="972" spans="1:23">
      <c r="A972" s="146" t="str">
        <f t="shared" si="28"/>
        <v>AKH12345</v>
      </c>
      <c r="B972" s="160"/>
      <c r="C972" s="69"/>
      <c r="D972" s="68"/>
      <c r="E972" s="89"/>
      <c r="F972" s="68"/>
      <c r="G972" s="89"/>
      <c r="H972" s="70"/>
      <c r="I972" s="78"/>
      <c r="J972" s="70"/>
      <c r="K972" s="70"/>
      <c r="L972" s="148" t="s">
        <v>1806</v>
      </c>
      <c r="M972" s="46" t="str">
        <f t="shared" si="29"/>
        <v>OneCo Networks AS</v>
      </c>
      <c r="N972" s="42" t="str">
        <f ca="1">IFERROR(
VLOOKUP(BoM_Griptel[[#This Row],[Product code]],
IF(AND((BoQ!$N$3&lt;&gt;""),OR(BoM_Griptel[[#This Row],[Vendor]]="Griptel",BoM_Griptel[[#This Row],[Vendor]]="Solar")),INDIRECT(Aux!$A$1)),4,FALSE),"")</f>
        <v/>
      </c>
      <c r="O972" s="170" t="s">
        <v>1807</v>
      </c>
      <c r="P972" s="43" t="str">
        <f>IFERROR(IF(AND(BoM_Griptel[[#This Row],[Quantity]]&lt;&gt;"",BoM_Griptel[[#This Row],[Currency]]="NOK"),BoM_Griptel[[#This Row],[Quantity]]*BoM_Griptel[[#This Row],[Unit Price]],""),"")</f>
        <v/>
      </c>
      <c r="Q972" s="43" t="str">
        <f>IFERROR(IF(AND(BoM_Griptel[[#This Row],[ACT_Qty]]&lt;&gt;"",BoM_Griptel[[#This Row],[Currency]]="NOK"),BoM_Griptel[[#This Row],[ACT_Qty]]*BoM_Griptel[[#This Row],[Unit Price]],""),"")</f>
        <v/>
      </c>
      <c r="R972" s="43" t="str">
        <f>IFERROR(IF(AND(BoM_Griptel[[#This Row],[Quantity]]&lt;&gt;"",BoM_Griptel[[#This Row],[Currency]]="EUR"),BoM_Griptel[[#This Row],[Quantity]]*BoM_Griptel[[#This Row],[Unit Price]],""),"")</f>
        <v/>
      </c>
      <c r="S972" s="43" t="str">
        <f>IFERROR(IF(AND(BoM_Griptel[[#This Row],[ACT_Qty]]&lt;&gt;"",BoM_Griptel[[#This Row],[Currency]]="EUR"),BoM_Griptel[[#This Row],[ACT_Qty]]*BoM_Griptel[[#This Row],[Unit Price]],""),"")</f>
        <v/>
      </c>
      <c r="T972" s="186" t="s">
        <v>1802</v>
      </c>
      <c r="U972" s="46"/>
      <c r="V972" s="46"/>
      <c r="W972" s="46"/>
    </row>
    <row r="973" spans="1:23">
      <c r="A973" s="143" t="str">
        <f t="shared" si="28"/>
        <v>AKH12345</v>
      </c>
      <c r="B973" s="159"/>
      <c r="C973" s="124"/>
      <c r="D973" s="105"/>
      <c r="E973" s="106"/>
      <c r="F973" s="105"/>
      <c r="G973" s="106"/>
      <c r="H973" s="125"/>
      <c r="I973" s="126"/>
      <c r="J973" s="125"/>
      <c r="K973" s="125"/>
      <c r="L973" s="145" t="s">
        <v>1806</v>
      </c>
      <c r="M973" s="45" t="str">
        <f t="shared" si="29"/>
        <v>OneCo Networks AS</v>
      </c>
      <c r="N973" s="40" t="str">
        <f ca="1">IFERROR(
VLOOKUP(BoM_Griptel[[#This Row],[Product code]],
IF(AND((BoQ!$N$3&lt;&gt;""),OR(BoM_Griptel[[#This Row],[Vendor]]="Griptel",BoM_Griptel[[#This Row],[Vendor]]="Solar")),INDIRECT(Aux!$A$1)),4,FALSE),"")</f>
        <v/>
      </c>
      <c r="O973" s="169" t="s">
        <v>1807</v>
      </c>
      <c r="P973" s="41" t="str">
        <f>IFERROR(IF(AND(BoM_Griptel[[#This Row],[Quantity]]&lt;&gt;"",BoM_Griptel[[#This Row],[Currency]]="NOK"),BoM_Griptel[[#This Row],[Quantity]]*BoM_Griptel[[#This Row],[Unit Price]],""),"")</f>
        <v/>
      </c>
      <c r="Q973" s="41" t="str">
        <f>IFERROR(IF(AND(BoM_Griptel[[#This Row],[ACT_Qty]]&lt;&gt;"",BoM_Griptel[[#This Row],[Currency]]="NOK"),BoM_Griptel[[#This Row],[ACT_Qty]]*BoM_Griptel[[#This Row],[Unit Price]],""),"")</f>
        <v/>
      </c>
      <c r="R973" s="41" t="str">
        <f>IFERROR(IF(AND(BoM_Griptel[[#This Row],[Quantity]]&lt;&gt;"",BoM_Griptel[[#This Row],[Currency]]="EUR"),BoM_Griptel[[#This Row],[Quantity]]*BoM_Griptel[[#This Row],[Unit Price]],""),"")</f>
        <v/>
      </c>
      <c r="S973" s="41" t="str">
        <f>IFERROR(IF(AND(BoM_Griptel[[#This Row],[ACT_Qty]]&lt;&gt;"",BoM_Griptel[[#This Row],[Currency]]="EUR"),BoM_Griptel[[#This Row],[ACT_Qty]]*BoM_Griptel[[#This Row],[Unit Price]],""),"")</f>
        <v/>
      </c>
      <c r="T973" s="185" t="s">
        <v>1802</v>
      </c>
      <c r="U973" s="45"/>
      <c r="V973" s="45"/>
      <c r="W973" s="45"/>
    </row>
    <row r="974" spans="1:23">
      <c r="A974" s="146" t="str">
        <f t="shared" si="28"/>
        <v>AKH12345</v>
      </c>
      <c r="B974" s="160"/>
      <c r="C974" s="69"/>
      <c r="D974" s="68"/>
      <c r="E974" s="89"/>
      <c r="F974" s="68"/>
      <c r="G974" s="89"/>
      <c r="H974" s="70"/>
      <c r="I974" s="78"/>
      <c r="J974" s="70"/>
      <c r="K974" s="70"/>
      <c r="L974" s="148" t="s">
        <v>1806</v>
      </c>
      <c r="M974" s="46" t="str">
        <f t="shared" si="29"/>
        <v>OneCo Networks AS</v>
      </c>
      <c r="N974" s="42" t="str">
        <f ca="1">IFERROR(
VLOOKUP(BoM_Griptel[[#This Row],[Product code]],
IF(AND((BoQ!$N$3&lt;&gt;""),OR(BoM_Griptel[[#This Row],[Vendor]]="Griptel",BoM_Griptel[[#This Row],[Vendor]]="Solar")),INDIRECT(Aux!$A$1)),4,FALSE),"")</f>
        <v/>
      </c>
      <c r="O974" s="170" t="s">
        <v>1807</v>
      </c>
      <c r="P974" s="43" t="str">
        <f>IFERROR(IF(AND(BoM_Griptel[[#This Row],[Quantity]]&lt;&gt;"",BoM_Griptel[[#This Row],[Currency]]="NOK"),BoM_Griptel[[#This Row],[Quantity]]*BoM_Griptel[[#This Row],[Unit Price]],""),"")</f>
        <v/>
      </c>
      <c r="Q974" s="43" t="str">
        <f>IFERROR(IF(AND(BoM_Griptel[[#This Row],[ACT_Qty]]&lt;&gt;"",BoM_Griptel[[#This Row],[Currency]]="NOK"),BoM_Griptel[[#This Row],[ACT_Qty]]*BoM_Griptel[[#This Row],[Unit Price]],""),"")</f>
        <v/>
      </c>
      <c r="R974" s="43" t="str">
        <f>IFERROR(IF(AND(BoM_Griptel[[#This Row],[Quantity]]&lt;&gt;"",BoM_Griptel[[#This Row],[Currency]]="EUR"),BoM_Griptel[[#This Row],[Quantity]]*BoM_Griptel[[#This Row],[Unit Price]],""),"")</f>
        <v/>
      </c>
      <c r="S974" s="43" t="str">
        <f>IFERROR(IF(AND(BoM_Griptel[[#This Row],[ACT_Qty]]&lt;&gt;"",BoM_Griptel[[#This Row],[Currency]]="EUR"),BoM_Griptel[[#This Row],[ACT_Qty]]*BoM_Griptel[[#This Row],[Unit Price]],""),"")</f>
        <v/>
      </c>
      <c r="T974" s="186" t="s">
        <v>1802</v>
      </c>
      <c r="U974" s="46"/>
      <c r="V974" s="46"/>
      <c r="W974" s="46"/>
    </row>
    <row r="975" spans="1:23">
      <c r="A975" s="143" t="str">
        <f t="shared" ref="A975:A1014" si="30">IF($C$4&lt;&gt;"",$C$4,"")</f>
        <v>AKH12345</v>
      </c>
      <c r="B975" s="159"/>
      <c r="C975" s="124"/>
      <c r="D975" s="105"/>
      <c r="E975" s="106"/>
      <c r="F975" s="105"/>
      <c r="G975" s="106"/>
      <c r="H975" s="125"/>
      <c r="I975" s="126"/>
      <c r="J975" s="125"/>
      <c r="K975" s="125"/>
      <c r="L975" s="145" t="s">
        <v>1806</v>
      </c>
      <c r="M975" s="45" t="str">
        <f t="shared" si="29"/>
        <v>OneCo Networks AS</v>
      </c>
      <c r="N975" s="40" t="str">
        <f ca="1">IFERROR(
VLOOKUP(BoM_Griptel[[#This Row],[Product code]],
IF(AND((BoQ!$N$3&lt;&gt;""),OR(BoM_Griptel[[#This Row],[Vendor]]="Griptel",BoM_Griptel[[#This Row],[Vendor]]="Solar")),INDIRECT(Aux!$A$1)),4,FALSE),"")</f>
        <v/>
      </c>
      <c r="O975" s="169" t="s">
        <v>1807</v>
      </c>
      <c r="P975" s="41" t="str">
        <f>IFERROR(IF(AND(BoM_Griptel[[#This Row],[Quantity]]&lt;&gt;"",BoM_Griptel[[#This Row],[Currency]]="NOK"),BoM_Griptel[[#This Row],[Quantity]]*BoM_Griptel[[#This Row],[Unit Price]],""),"")</f>
        <v/>
      </c>
      <c r="Q975" s="41" t="str">
        <f>IFERROR(IF(AND(BoM_Griptel[[#This Row],[ACT_Qty]]&lt;&gt;"",BoM_Griptel[[#This Row],[Currency]]="NOK"),BoM_Griptel[[#This Row],[ACT_Qty]]*BoM_Griptel[[#This Row],[Unit Price]],""),"")</f>
        <v/>
      </c>
      <c r="R975" s="41" t="str">
        <f>IFERROR(IF(AND(BoM_Griptel[[#This Row],[Quantity]]&lt;&gt;"",BoM_Griptel[[#This Row],[Currency]]="EUR"),BoM_Griptel[[#This Row],[Quantity]]*BoM_Griptel[[#This Row],[Unit Price]],""),"")</f>
        <v/>
      </c>
      <c r="S975" s="41" t="str">
        <f>IFERROR(IF(AND(BoM_Griptel[[#This Row],[ACT_Qty]]&lt;&gt;"",BoM_Griptel[[#This Row],[Currency]]="EUR"),BoM_Griptel[[#This Row],[ACT_Qty]]*BoM_Griptel[[#This Row],[Unit Price]],""),"")</f>
        <v/>
      </c>
      <c r="T975" s="185" t="s">
        <v>1802</v>
      </c>
      <c r="U975" s="45"/>
      <c r="V975" s="45"/>
      <c r="W975" s="45"/>
    </row>
    <row r="976" spans="1:23">
      <c r="A976" s="146" t="str">
        <f t="shared" si="30"/>
        <v>AKH12345</v>
      </c>
      <c r="B976" s="160"/>
      <c r="C976" s="69"/>
      <c r="D976" s="68"/>
      <c r="E976" s="89"/>
      <c r="F976" s="68"/>
      <c r="G976" s="89"/>
      <c r="H976" s="70"/>
      <c r="I976" s="78"/>
      <c r="J976" s="70"/>
      <c r="K976" s="70"/>
      <c r="L976" s="148" t="s">
        <v>1806</v>
      </c>
      <c r="M976" s="46" t="str">
        <f t="shared" si="29"/>
        <v>OneCo Networks AS</v>
      </c>
      <c r="N976" s="42" t="str">
        <f ca="1">IFERROR(
VLOOKUP(BoM_Griptel[[#This Row],[Product code]],
IF(AND((BoQ!$N$3&lt;&gt;""),OR(BoM_Griptel[[#This Row],[Vendor]]="Griptel",BoM_Griptel[[#This Row],[Vendor]]="Solar")),INDIRECT(Aux!$A$1)),4,FALSE),"")</f>
        <v/>
      </c>
      <c r="O976" s="170" t="s">
        <v>1807</v>
      </c>
      <c r="P976" s="43" t="str">
        <f>IFERROR(IF(AND(BoM_Griptel[[#This Row],[Quantity]]&lt;&gt;"",BoM_Griptel[[#This Row],[Currency]]="NOK"),BoM_Griptel[[#This Row],[Quantity]]*BoM_Griptel[[#This Row],[Unit Price]],""),"")</f>
        <v/>
      </c>
      <c r="Q976" s="43" t="str">
        <f>IFERROR(IF(AND(BoM_Griptel[[#This Row],[ACT_Qty]]&lt;&gt;"",BoM_Griptel[[#This Row],[Currency]]="NOK"),BoM_Griptel[[#This Row],[ACT_Qty]]*BoM_Griptel[[#This Row],[Unit Price]],""),"")</f>
        <v/>
      </c>
      <c r="R976" s="43" t="str">
        <f>IFERROR(IF(AND(BoM_Griptel[[#This Row],[Quantity]]&lt;&gt;"",BoM_Griptel[[#This Row],[Currency]]="EUR"),BoM_Griptel[[#This Row],[Quantity]]*BoM_Griptel[[#This Row],[Unit Price]],""),"")</f>
        <v/>
      </c>
      <c r="S976" s="43" t="str">
        <f>IFERROR(IF(AND(BoM_Griptel[[#This Row],[ACT_Qty]]&lt;&gt;"",BoM_Griptel[[#This Row],[Currency]]="EUR"),BoM_Griptel[[#This Row],[ACT_Qty]]*BoM_Griptel[[#This Row],[Unit Price]],""),"")</f>
        <v/>
      </c>
      <c r="T976" s="186" t="s">
        <v>1802</v>
      </c>
      <c r="U976" s="46"/>
      <c r="V976" s="46"/>
      <c r="W976" s="46"/>
    </row>
    <row r="977" spans="1:23">
      <c r="A977" s="143" t="str">
        <f t="shared" si="30"/>
        <v>AKH12345</v>
      </c>
      <c r="B977" s="159"/>
      <c r="C977" s="124"/>
      <c r="D977" s="105"/>
      <c r="E977" s="106"/>
      <c r="F977" s="105"/>
      <c r="G977" s="106"/>
      <c r="H977" s="125"/>
      <c r="I977" s="126"/>
      <c r="J977" s="125"/>
      <c r="K977" s="125"/>
      <c r="L977" s="145" t="s">
        <v>1806</v>
      </c>
      <c r="M977" s="45" t="str">
        <f t="shared" si="29"/>
        <v>OneCo Networks AS</v>
      </c>
      <c r="N977" s="40" t="str">
        <f ca="1">IFERROR(
VLOOKUP(BoM_Griptel[[#This Row],[Product code]],
IF(AND((BoQ!$N$3&lt;&gt;""),OR(BoM_Griptel[[#This Row],[Vendor]]="Griptel",BoM_Griptel[[#This Row],[Vendor]]="Solar")),INDIRECT(Aux!$A$1)),4,FALSE),"")</f>
        <v/>
      </c>
      <c r="O977" s="169" t="s">
        <v>1807</v>
      </c>
      <c r="P977" s="41" t="str">
        <f>IFERROR(IF(AND(BoM_Griptel[[#This Row],[Quantity]]&lt;&gt;"",BoM_Griptel[[#This Row],[Currency]]="NOK"),BoM_Griptel[[#This Row],[Quantity]]*BoM_Griptel[[#This Row],[Unit Price]],""),"")</f>
        <v/>
      </c>
      <c r="Q977" s="41" t="str">
        <f>IFERROR(IF(AND(BoM_Griptel[[#This Row],[ACT_Qty]]&lt;&gt;"",BoM_Griptel[[#This Row],[Currency]]="NOK"),BoM_Griptel[[#This Row],[ACT_Qty]]*BoM_Griptel[[#This Row],[Unit Price]],""),"")</f>
        <v/>
      </c>
      <c r="R977" s="41" t="str">
        <f>IFERROR(IF(AND(BoM_Griptel[[#This Row],[Quantity]]&lt;&gt;"",BoM_Griptel[[#This Row],[Currency]]="EUR"),BoM_Griptel[[#This Row],[Quantity]]*BoM_Griptel[[#This Row],[Unit Price]],""),"")</f>
        <v/>
      </c>
      <c r="S977" s="41" t="str">
        <f>IFERROR(IF(AND(BoM_Griptel[[#This Row],[ACT_Qty]]&lt;&gt;"",BoM_Griptel[[#This Row],[Currency]]="EUR"),BoM_Griptel[[#This Row],[ACT_Qty]]*BoM_Griptel[[#This Row],[Unit Price]],""),"")</f>
        <v/>
      </c>
      <c r="T977" s="185" t="s">
        <v>1802</v>
      </c>
      <c r="U977" s="45"/>
      <c r="V977" s="45"/>
      <c r="W977" s="45"/>
    </row>
    <row r="978" spans="1:23">
      <c r="A978" s="146" t="str">
        <f t="shared" si="30"/>
        <v>AKH12345</v>
      </c>
      <c r="B978" s="160"/>
      <c r="C978" s="69"/>
      <c r="D978" s="68"/>
      <c r="E978" s="89"/>
      <c r="F978" s="68"/>
      <c r="G978" s="89"/>
      <c r="H978" s="70"/>
      <c r="I978" s="78"/>
      <c r="J978" s="70"/>
      <c r="K978" s="70"/>
      <c r="L978" s="148" t="s">
        <v>1806</v>
      </c>
      <c r="M978" s="46" t="str">
        <f t="shared" si="29"/>
        <v>OneCo Networks AS</v>
      </c>
      <c r="N978" s="42" t="str">
        <f ca="1">IFERROR(
VLOOKUP(BoM_Griptel[[#This Row],[Product code]],
IF(AND((BoQ!$N$3&lt;&gt;""),OR(BoM_Griptel[[#This Row],[Vendor]]="Griptel",BoM_Griptel[[#This Row],[Vendor]]="Solar")),INDIRECT(Aux!$A$1)),4,FALSE),"")</f>
        <v/>
      </c>
      <c r="O978" s="170" t="s">
        <v>1807</v>
      </c>
      <c r="P978" s="43" t="str">
        <f>IFERROR(IF(AND(BoM_Griptel[[#This Row],[Quantity]]&lt;&gt;"",BoM_Griptel[[#This Row],[Currency]]="NOK"),BoM_Griptel[[#This Row],[Quantity]]*BoM_Griptel[[#This Row],[Unit Price]],""),"")</f>
        <v/>
      </c>
      <c r="Q978" s="43" t="str">
        <f>IFERROR(IF(AND(BoM_Griptel[[#This Row],[ACT_Qty]]&lt;&gt;"",BoM_Griptel[[#This Row],[Currency]]="NOK"),BoM_Griptel[[#This Row],[ACT_Qty]]*BoM_Griptel[[#This Row],[Unit Price]],""),"")</f>
        <v/>
      </c>
      <c r="R978" s="43" t="str">
        <f>IFERROR(IF(AND(BoM_Griptel[[#This Row],[Quantity]]&lt;&gt;"",BoM_Griptel[[#This Row],[Currency]]="EUR"),BoM_Griptel[[#This Row],[Quantity]]*BoM_Griptel[[#This Row],[Unit Price]],""),"")</f>
        <v/>
      </c>
      <c r="S978" s="43" t="str">
        <f>IFERROR(IF(AND(BoM_Griptel[[#This Row],[ACT_Qty]]&lt;&gt;"",BoM_Griptel[[#This Row],[Currency]]="EUR"),BoM_Griptel[[#This Row],[ACT_Qty]]*BoM_Griptel[[#This Row],[Unit Price]],""),"")</f>
        <v/>
      </c>
      <c r="T978" s="186" t="s">
        <v>1802</v>
      </c>
      <c r="U978" s="46"/>
      <c r="V978" s="46"/>
      <c r="W978" s="46"/>
    </row>
    <row r="979" spans="1:23">
      <c r="A979" s="143" t="str">
        <f t="shared" si="30"/>
        <v>AKH12345</v>
      </c>
      <c r="B979" s="159"/>
      <c r="C979" s="124"/>
      <c r="D979" s="105"/>
      <c r="E979" s="106"/>
      <c r="F979" s="105"/>
      <c r="G979" s="106"/>
      <c r="H979" s="125"/>
      <c r="I979" s="126"/>
      <c r="J979" s="125"/>
      <c r="K979" s="125"/>
      <c r="L979" s="145" t="s">
        <v>1806</v>
      </c>
      <c r="M979" s="45" t="str">
        <f t="shared" si="29"/>
        <v>OneCo Networks AS</v>
      </c>
      <c r="N979" s="40" t="str">
        <f ca="1">IFERROR(
VLOOKUP(BoM_Griptel[[#This Row],[Product code]],
IF(AND((BoQ!$N$3&lt;&gt;""),OR(BoM_Griptel[[#This Row],[Vendor]]="Griptel",BoM_Griptel[[#This Row],[Vendor]]="Solar")),INDIRECT(Aux!$A$1)),4,FALSE),"")</f>
        <v/>
      </c>
      <c r="O979" s="169" t="s">
        <v>1807</v>
      </c>
      <c r="P979" s="41" t="str">
        <f>IFERROR(IF(AND(BoM_Griptel[[#This Row],[Quantity]]&lt;&gt;"",BoM_Griptel[[#This Row],[Currency]]="NOK"),BoM_Griptel[[#This Row],[Quantity]]*BoM_Griptel[[#This Row],[Unit Price]],""),"")</f>
        <v/>
      </c>
      <c r="Q979" s="41" t="str">
        <f>IFERROR(IF(AND(BoM_Griptel[[#This Row],[ACT_Qty]]&lt;&gt;"",BoM_Griptel[[#This Row],[Currency]]="NOK"),BoM_Griptel[[#This Row],[ACT_Qty]]*BoM_Griptel[[#This Row],[Unit Price]],""),"")</f>
        <v/>
      </c>
      <c r="R979" s="41" t="str">
        <f>IFERROR(IF(AND(BoM_Griptel[[#This Row],[Quantity]]&lt;&gt;"",BoM_Griptel[[#This Row],[Currency]]="EUR"),BoM_Griptel[[#This Row],[Quantity]]*BoM_Griptel[[#This Row],[Unit Price]],""),"")</f>
        <v/>
      </c>
      <c r="S979" s="41" t="str">
        <f>IFERROR(IF(AND(BoM_Griptel[[#This Row],[ACT_Qty]]&lt;&gt;"",BoM_Griptel[[#This Row],[Currency]]="EUR"),BoM_Griptel[[#This Row],[ACT_Qty]]*BoM_Griptel[[#This Row],[Unit Price]],""),"")</f>
        <v/>
      </c>
      <c r="T979" s="185" t="s">
        <v>1802</v>
      </c>
      <c r="U979" s="45"/>
      <c r="V979" s="45"/>
      <c r="W979" s="45"/>
    </row>
    <row r="980" spans="1:23">
      <c r="A980" s="146" t="str">
        <f t="shared" si="30"/>
        <v>AKH12345</v>
      </c>
      <c r="B980" s="160"/>
      <c r="C980" s="69"/>
      <c r="D980" s="68"/>
      <c r="E980" s="89"/>
      <c r="F980" s="68"/>
      <c r="G980" s="89"/>
      <c r="H980" s="70"/>
      <c r="I980" s="78"/>
      <c r="J980" s="70"/>
      <c r="K980" s="70"/>
      <c r="L980" s="148" t="s">
        <v>1806</v>
      </c>
      <c r="M980" s="46" t="str">
        <f t="shared" ref="M980:M1014" si="31">IF($C$3&lt;&gt;"",$C$3,"")</f>
        <v>OneCo Networks AS</v>
      </c>
      <c r="N980" s="42" t="str">
        <f ca="1">IFERROR(
VLOOKUP(BoM_Griptel[[#This Row],[Product code]],
IF(AND((BoQ!$N$3&lt;&gt;""),OR(BoM_Griptel[[#This Row],[Vendor]]="Griptel",BoM_Griptel[[#This Row],[Vendor]]="Solar")),INDIRECT(Aux!$A$1)),4,FALSE),"")</f>
        <v/>
      </c>
      <c r="O980" s="170" t="s">
        <v>1807</v>
      </c>
      <c r="P980" s="43" t="str">
        <f>IFERROR(IF(AND(BoM_Griptel[[#This Row],[Quantity]]&lt;&gt;"",BoM_Griptel[[#This Row],[Currency]]="NOK"),BoM_Griptel[[#This Row],[Quantity]]*BoM_Griptel[[#This Row],[Unit Price]],""),"")</f>
        <v/>
      </c>
      <c r="Q980" s="43" t="str">
        <f>IFERROR(IF(AND(BoM_Griptel[[#This Row],[ACT_Qty]]&lt;&gt;"",BoM_Griptel[[#This Row],[Currency]]="NOK"),BoM_Griptel[[#This Row],[ACT_Qty]]*BoM_Griptel[[#This Row],[Unit Price]],""),"")</f>
        <v/>
      </c>
      <c r="R980" s="43" t="str">
        <f>IFERROR(IF(AND(BoM_Griptel[[#This Row],[Quantity]]&lt;&gt;"",BoM_Griptel[[#This Row],[Currency]]="EUR"),BoM_Griptel[[#This Row],[Quantity]]*BoM_Griptel[[#This Row],[Unit Price]],""),"")</f>
        <v/>
      </c>
      <c r="S980" s="43" t="str">
        <f>IFERROR(IF(AND(BoM_Griptel[[#This Row],[ACT_Qty]]&lt;&gt;"",BoM_Griptel[[#This Row],[Currency]]="EUR"),BoM_Griptel[[#This Row],[ACT_Qty]]*BoM_Griptel[[#This Row],[Unit Price]],""),"")</f>
        <v/>
      </c>
      <c r="T980" s="186" t="s">
        <v>1802</v>
      </c>
      <c r="U980" s="46"/>
      <c r="V980" s="46"/>
      <c r="W980" s="46"/>
    </row>
    <row r="981" spans="1:23">
      <c r="A981" s="143" t="str">
        <f t="shared" si="30"/>
        <v>AKH12345</v>
      </c>
      <c r="B981" s="159"/>
      <c r="C981" s="124"/>
      <c r="D981" s="105"/>
      <c r="E981" s="106"/>
      <c r="F981" s="105"/>
      <c r="G981" s="106"/>
      <c r="H981" s="125"/>
      <c r="I981" s="126"/>
      <c r="J981" s="125"/>
      <c r="K981" s="125"/>
      <c r="L981" s="145" t="s">
        <v>1806</v>
      </c>
      <c r="M981" s="45" t="str">
        <f t="shared" si="31"/>
        <v>OneCo Networks AS</v>
      </c>
      <c r="N981" s="40" t="str">
        <f ca="1">IFERROR(
VLOOKUP(BoM_Griptel[[#This Row],[Product code]],
IF(AND((BoQ!$N$3&lt;&gt;""),OR(BoM_Griptel[[#This Row],[Vendor]]="Griptel",BoM_Griptel[[#This Row],[Vendor]]="Solar")),INDIRECT(Aux!$A$1)),4,FALSE),"")</f>
        <v/>
      </c>
      <c r="O981" s="169" t="s">
        <v>1807</v>
      </c>
      <c r="P981" s="41" t="str">
        <f>IFERROR(IF(AND(BoM_Griptel[[#This Row],[Quantity]]&lt;&gt;"",BoM_Griptel[[#This Row],[Currency]]="NOK"),BoM_Griptel[[#This Row],[Quantity]]*BoM_Griptel[[#This Row],[Unit Price]],""),"")</f>
        <v/>
      </c>
      <c r="Q981" s="41" t="str">
        <f>IFERROR(IF(AND(BoM_Griptel[[#This Row],[ACT_Qty]]&lt;&gt;"",BoM_Griptel[[#This Row],[Currency]]="NOK"),BoM_Griptel[[#This Row],[ACT_Qty]]*BoM_Griptel[[#This Row],[Unit Price]],""),"")</f>
        <v/>
      </c>
      <c r="R981" s="41" t="str">
        <f>IFERROR(IF(AND(BoM_Griptel[[#This Row],[Quantity]]&lt;&gt;"",BoM_Griptel[[#This Row],[Currency]]="EUR"),BoM_Griptel[[#This Row],[Quantity]]*BoM_Griptel[[#This Row],[Unit Price]],""),"")</f>
        <v/>
      </c>
      <c r="S981" s="41" t="str">
        <f>IFERROR(IF(AND(BoM_Griptel[[#This Row],[ACT_Qty]]&lt;&gt;"",BoM_Griptel[[#This Row],[Currency]]="EUR"),BoM_Griptel[[#This Row],[ACT_Qty]]*BoM_Griptel[[#This Row],[Unit Price]],""),"")</f>
        <v/>
      </c>
      <c r="T981" s="185" t="s">
        <v>1802</v>
      </c>
      <c r="U981" s="45"/>
      <c r="V981" s="45"/>
      <c r="W981" s="45"/>
    </row>
    <row r="982" spans="1:23">
      <c r="A982" s="146" t="str">
        <f t="shared" si="30"/>
        <v>AKH12345</v>
      </c>
      <c r="B982" s="160"/>
      <c r="C982" s="69"/>
      <c r="D982" s="68"/>
      <c r="E982" s="89"/>
      <c r="F982" s="68"/>
      <c r="G982" s="89"/>
      <c r="H982" s="70"/>
      <c r="I982" s="78"/>
      <c r="J982" s="70"/>
      <c r="K982" s="70"/>
      <c r="L982" s="148" t="s">
        <v>1806</v>
      </c>
      <c r="M982" s="46" t="str">
        <f t="shared" si="31"/>
        <v>OneCo Networks AS</v>
      </c>
      <c r="N982" s="42" t="str">
        <f ca="1">IFERROR(
VLOOKUP(BoM_Griptel[[#This Row],[Product code]],
IF(AND((BoQ!$N$3&lt;&gt;""),OR(BoM_Griptel[[#This Row],[Vendor]]="Griptel",BoM_Griptel[[#This Row],[Vendor]]="Solar")),INDIRECT(Aux!$A$1)),4,FALSE),"")</f>
        <v/>
      </c>
      <c r="O982" s="170" t="s">
        <v>1807</v>
      </c>
      <c r="P982" s="43" t="str">
        <f>IFERROR(IF(AND(BoM_Griptel[[#This Row],[Quantity]]&lt;&gt;"",BoM_Griptel[[#This Row],[Currency]]="NOK"),BoM_Griptel[[#This Row],[Quantity]]*BoM_Griptel[[#This Row],[Unit Price]],""),"")</f>
        <v/>
      </c>
      <c r="Q982" s="43" t="str">
        <f>IFERROR(IF(AND(BoM_Griptel[[#This Row],[ACT_Qty]]&lt;&gt;"",BoM_Griptel[[#This Row],[Currency]]="NOK"),BoM_Griptel[[#This Row],[ACT_Qty]]*BoM_Griptel[[#This Row],[Unit Price]],""),"")</f>
        <v/>
      </c>
      <c r="R982" s="43" t="str">
        <f>IFERROR(IF(AND(BoM_Griptel[[#This Row],[Quantity]]&lt;&gt;"",BoM_Griptel[[#This Row],[Currency]]="EUR"),BoM_Griptel[[#This Row],[Quantity]]*BoM_Griptel[[#This Row],[Unit Price]],""),"")</f>
        <v/>
      </c>
      <c r="S982" s="43" t="str">
        <f>IFERROR(IF(AND(BoM_Griptel[[#This Row],[ACT_Qty]]&lt;&gt;"",BoM_Griptel[[#This Row],[Currency]]="EUR"),BoM_Griptel[[#This Row],[ACT_Qty]]*BoM_Griptel[[#This Row],[Unit Price]],""),"")</f>
        <v/>
      </c>
      <c r="T982" s="186" t="s">
        <v>1802</v>
      </c>
      <c r="U982" s="46"/>
      <c r="V982" s="46"/>
      <c r="W982" s="46"/>
    </row>
    <row r="983" spans="1:23">
      <c r="A983" s="143" t="str">
        <f t="shared" si="30"/>
        <v>AKH12345</v>
      </c>
      <c r="B983" s="159"/>
      <c r="C983" s="124"/>
      <c r="D983" s="105"/>
      <c r="E983" s="106"/>
      <c r="F983" s="105"/>
      <c r="G983" s="106"/>
      <c r="H983" s="125"/>
      <c r="I983" s="126"/>
      <c r="J983" s="125"/>
      <c r="K983" s="125"/>
      <c r="L983" s="145" t="s">
        <v>1806</v>
      </c>
      <c r="M983" s="45" t="str">
        <f t="shared" si="31"/>
        <v>OneCo Networks AS</v>
      </c>
      <c r="N983" s="40" t="str">
        <f ca="1">IFERROR(
VLOOKUP(BoM_Griptel[[#This Row],[Product code]],
IF(AND((BoQ!$N$3&lt;&gt;""),OR(BoM_Griptel[[#This Row],[Vendor]]="Griptel",BoM_Griptel[[#This Row],[Vendor]]="Solar")),INDIRECT(Aux!$A$1)),4,FALSE),"")</f>
        <v/>
      </c>
      <c r="O983" s="169" t="s">
        <v>1807</v>
      </c>
      <c r="P983" s="41" t="str">
        <f>IFERROR(IF(AND(BoM_Griptel[[#This Row],[Quantity]]&lt;&gt;"",BoM_Griptel[[#This Row],[Currency]]="NOK"),BoM_Griptel[[#This Row],[Quantity]]*BoM_Griptel[[#This Row],[Unit Price]],""),"")</f>
        <v/>
      </c>
      <c r="Q983" s="41" t="str">
        <f>IFERROR(IF(AND(BoM_Griptel[[#This Row],[ACT_Qty]]&lt;&gt;"",BoM_Griptel[[#This Row],[Currency]]="NOK"),BoM_Griptel[[#This Row],[ACT_Qty]]*BoM_Griptel[[#This Row],[Unit Price]],""),"")</f>
        <v/>
      </c>
      <c r="R983" s="41" t="str">
        <f>IFERROR(IF(AND(BoM_Griptel[[#This Row],[Quantity]]&lt;&gt;"",BoM_Griptel[[#This Row],[Currency]]="EUR"),BoM_Griptel[[#This Row],[Quantity]]*BoM_Griptel[[#This Row],[Unit Price]],""),"")</f>
        <v/>
      </c>
      <c r="S983" s="41" t="str">
        <f>IFERROR(IF(AND(BoM_Griptel[[#This Row],[ACT_Qty]]&lt;&gt;"",BoM_Griptel[[#This Row],[Currency]]="EUR"),BoM_Griptel[[#This Row],[ACT_Qty]]*BoM_Griptel[[#This Row],[Unit Price]],""),"")</f>
        <v/>
      </c>
      <c r="T983" s="185" t="s">
        <v>1802</v>
      </c>
      <c r="U983" s="45"/>
      <c r="V983" s="45"/>
      <c r="W983" s="45"/>
    </row>
    <row r="984" spans="1:23">
      <c r="A984" s="146" t="str">
        <f t="shared" si="30"/>
        <v>AKH12345</v>
      </c>
      <c r="B984" s="160"/>
      <c r="C984" s="69"/>
      <c r="D984" s="68"/>
      <c r="E984" s="89"/>
      <c r="F984" s="68"/>
      <c r="G984" s="89"/>
      <c r="H984" s="70"/>
      <c r="I984" s="78"/>
      <c r="J984" s="70"/>
      <c r="K984" s="70"/>
      <c r="L984" s="148" t="s">
        <v>1806</v>
      </c>
      <c r="M984" s="46" t="str">
        <f t="shared" si="31"/>
        <v>OneCo Networks AS</v>
      </c>
      <c r="N984" s="42" t="str">
        <f ca="1">IFERROR(
VLOOKUP(BoM_Griptel[[#This Row],[Product code]],
IF(AND((BoQ!$N$3&lt;&gt;""),OR(BoM_Griptel[[#This Row],[Vendor]]="Griptel",BoM_Griptel[[#This Row],[Vendor]]="Solar")),INDIRECT(Aux!$A$1)),4,FALSE),"")</f>
        <v/>
      </c>
      <c r="O984" s="170" t="s">
        <v>1807</v>
      </c>
      <c r="P984" s="43" t="str">
        <f>IFERROR(IF(AND(BoM_Griptel[[#This Row],[Quantity]]&lt;&gt;"",BoM_Griptel[[#This Row],[Currency]]="NOK"),BoM_Griptel[[#This Row],[Quantity]]*BoM_Griptel[[#This Row],[Unit Price]],""),"")</f>
        <v/>
      </c>
      <c r="Q984" s="43" t="str">
        <f>IFERROR(IF(AND(BoM_Griptel[[#This Row],[ACT_Qty]]&lt;&gt;"",BoM_Griptel[[#This Row],[Currency]]="NOK"),BoM_Griptel[[#This Row],[ACT_Qty]]*BoM_Griptel[[#This Row],[Unit Price]],""),"")</f>
        <v/>
      </c>
      <c r="R984" s="43" t="str">
        <f>IFERROR(IF(AND(BoM_Griptel[[#This Row],[Quantity]]&lt;&gt;"",BoM_Griptel[[#This Row],[Currency]]="EUR"),BoM_Griptel[[#This Row],[Quantity]]*BoM_Griptel[[#This Row],[Unit Price]],""),"")</f>
        <v/>
      </c>
      <c r="S984" s="43" t="str">
        <f>IFERROR(IF(AND(BoM_Griptel[[#This Row],[ACT_Qty]]&lt;&gt;"",BoM_Griptel[[#This Row],[Currency]]="EUR"),BoM_Griptel[[#This Row],[ACT_Qty]]*BoM_Griptel[[#This Row],[Unit Price]],""),"")</f>
        <v/>
      </c>
      <c r="T984" s="186" t="s">
        <v>1802</v>
      </c>
      <c r="U984" s="46"/>
      <c r="V984" s="46"/>
      <c r="W984" s="46"/>
    </row>
    <row r="985" spans="1:23">
      <c r="A985" s="143" t="str">
        <f t="shared" si="30"/>
        <v>AKH12345</v>
      </c>
      <c r="B985" s="159"/>
      <c r="C985" s="124"/>
      <c r="D985" s="105"/>
      <c r="E985" s="106"/>
      <c r="F985" s="105"/>
      <c r="G985" s="106"/>
      <c r="H985" s="125"/>
      <c r="I985" s="126"/>
      <c r="J985" s="125"/>
      <c r="K985" s="125"/>
      <c r="L985" s="145" t="s">
        <v>1806</v>
      </c>
      <c r="M985" s="45" t="str">
        <f t="shared" si="31"/>
        <v>OneCo Networks AS</v>
      </c>
      <c r="N985" s="40" t="str">
        <f ca="1">IFERROR(
VLOOKUP(BoM_Griptel[[#This Row],[Product code]],
IF(AND((BoQ!$N$3&lt;&gt;""),OR(BoM_Griptel[[#This Row],[Vendor]]="Griptel",BoM_Griptel[[#This Row],[Vendor]]="Solar")),INDIRECT(Aux!$A$1)),4,FALSE),"")</f>
        <v/>
      </c>
      <c r="O985" s="169" t="s">
        <v>1807</v>
      </c>
      <c r="P985" s="41" t="str">
        <f>IFERROR(IF(AND(BoM_Griptel[[#This Row],[Quantity]]&lt;&gt;"",BoM_Griptel[[#This Row],[Currency]]="NOK"),BoM_Griptel[[#This Row],[Quantity]]*BoM_Griptel[[#This Row],[Unit Price]],""),"")</f>
        <v/>
      </c>
      <c r="Q985" s="41" t="str">
        <f>IFERROR(IF(AND(BoM_Griptel[[#This Row],[ACT_Qty]]&lt;&gt;"",BoM_Griptel[[#This Row],[Currency]]="NOK"),BoM_Griptel[[#This Row],[ACT_Qty]]*BoM_Griptel[[#This Row],[Unit Price]],""),"")</f>
        <v/>
      </c>
      <c r="R985" s="41" t="str">
        <f>IFERROR(IF(AND(BoM_Griptel[[#This Row],[Quantity]]&lt;&gt;"",BoM_Griptel[[#This Row],[Currency]]="EUR"),BoM_Griptel[[#This Row],[Quantity]]*BoM_Griptel[[#This Row],[Unit Price]],""),"")</f>
        <v/>
      </c>
      <c r="S985" s="41" t="str">
        <f>IFERROR(IF(AND(BoM_Griptel[[#This Row],[ACT_Qty]]&lt;&gt;"",BoM_Griptel[[#This Row],[Currency]]="EUR"),BoM_Griptel[[#This Row],[ACT_Qty]]*BoM_Griptel[[#This Row],[Unit Price]],""),"")</f>
        <v/>
      </c>
      <c r="T985" s="185" t="s">
        <v>1802</v>
      </c>
      <c r="U985" s="45"/>
      <c r="V985" s="45"/>
      <c r="W985" s="45"/>
    </row>
    <row r="986" spans="1:23">
      <c r="A986" s="146" t="str">
        <f t="shared" si="30"/>
        <v>AKH12345</v>
      </c>
      <c r="B986" s="160"/>
      <c r="C986" s="69"/>
      <c r="D986" s="68"/>
      <c r="E986" s="89"/>
      <c r="F986" s="68"/>
      <c r="G986" s="89"/>
      <c r="H986" s="70"/>
      <c r="I986" s="78"/>
      <c r="J986" s="70"/>
      <c r="K986" s="70"/>
      <c r="L986" s="148" t="s">
        <v>1806</v>
      </c>
      <c r="M986" s="46" t="str">
        <f t="shared" si="31"/>
        <v>OneCo Networks AS</v>
      </c>
      <c r="N986" s="42" t="str">
        <f ca="1">IFERROR(
VLOOKUP(BoM_Griptel[[#This Row],[Product code]],
IF(AND((BoQ!$N$3&lt;&gt;""),OR(BoM_Griptel[[#This Row],[Vendor]]="Griptel",BoM_Griptel[[#This Row],[Vendor]]="Solar")),INDIRECT(Aux!$A$1)),4,FALSE),"")</f>
        <v/>
      </c>
      <c r="O986" s="170" t="s">
        <v>1807</v>
      </c>
      <c r="P986" s="43" t="str">
        <f>IFERROR(IF(AND(BoM_Griptel[[#This Row],[Quantity]]&lt;&gt;"",BoM_Griptel[[#This Row],[Currency]]="NOK"),BoM_Griptel[[#This Row],[Quantity]]*BoM_Griptel[[#This Row],[Unit Price]],""),"")</f>
        <v/>
      </c>
      <c r="Q986" s="43" t="str">
        <f>IFERROR(IF(AND(BoM_Griptel[[#This Row],[ACT_Qty]]&lt;&gt;"",BoM_Griptel[[#This Row],[Currency]]="NOK"),BoM_Griptel[[#This Row],[ACT_Qty]]*BoM_Griptel[[#This Row],[Unit Price]],""),"")</f>
        <v/>
      </c>
      <c r="R986" s="43" t="str">
        <f>IFERROR(IF(AND(BoM_Griptel[[#This Row],[Quantity]]&lt;&gt;"",BoM_Griptel[[#This Row],[Currency]]="EUR"),BoM_Griptel[[#This Row],[Quantity]]*BoM_Griptel[[#This Row],[Unit Price]],""),"")</f>
        <v/>
      </c>
      <c r="S986" s="43" t="str">
        <f>IFERROR(IF(AND(BoM_Griptel[[#This Row],[ACT_Qty]]&lt;&gt;"",BoM_Griptel[[#This Row],[Currency]]="EUR"),BoM_Griptel[[#This Row],[ACT_Qty]]*BoM_Griptel[[#This Row],[Unit Price]],""),"")</f>
        <v/>
      </c>
      <c r="T986" s="186" t="s">
        <v>1802</v>
      </c>
      <c r="U986" s="46"/>
      <c r="V986" s="46"/>
      <c r="W986" s="46"/>
    </row>
    <row r="987" spans="1:23">
      <c r="A987" s="143" t="str">
        <f t="shared" si="30"/>
        <v>AKH12345</v>
      </c>
      <c r="B987" s="159"/>
      <c r="C987" s="124"/>
      <c r="D987" s="105"/>
      <c r="E987" s="106"/>
      <c r="F987" s="105"/>
      <c r="G987" s="106"/>
      <c r="H987" s="125"/>
      <c r="I987" s="126"/>
      <c r="J987" s="125"/>
      <c r="K987" s="125"/>
      <c r="L987" s="145" t="s">
        <v>1806</v>
      </c>
      <c r="M987" s="45" t="str">
        <f t="shared" si="31"/>
        <v>OneCo Networks AS</v>
      </c>
      <c r="N987" s="40" t="str">
        <f ca="1">IFERROR(
VLOOKUP(BoM_Griptel[[#This Row],[Product code]],
IF(AND((BoQ!$N$3&lt;&gt;""),OR(BoM_Griptel[[#This Row],[Vendor]]="Griptel",BoM_Griptel[[#This Row],[Vendor]]="Solar")),INDIRECT(Aux!$A$1)),4,FALSE),"")</f>
        <v/>
      </c>
      <c r="O987" s="169" t="s">
        <v>1807</v>
      </c>
      <c r="P987" s="41" t="str">
        <f>IFERROR(IF(AND(BoM_Griptel[[#This Row],[Quantity]]&lt;&gt;"",BoM_Griptel[[#This Row],[Currency]]="NOK"),BoM_Griptel[[#This Row],[Quantity]]*BoM_Griptel[[#This Row],[Unit Price]],""),"")</f>
        <v/>
      </c>
      <c r="Q987" s="41" t="str">
        <f>IFERROR(IF(AND(BoM_Griptel[[#This Row],[ACT_Qty]]&lt;&gt;"",BoM_Griptel[[#This Row],[Currency]]="NOK"),BoM_Griptel[[#This Row],[ACT_Qty]]*BoM_Griptel[[#This Row],[Unit Price]],""),"")</f>
        <v/>
      </c>
      <c r="R987" s="41" t="str">
        <f>IFERROR(IF(AND(BoM_Griptel[[#This Row],[Quantity]]&lt;&gt;"",BoM_Griptel[[#This Row],[Currency]]="EUR"),BoM_Griptel[[#This Row],[Quantity]]*BoM_Griptel[[#This Row],[Unit Price]],""),"")</f>
        <v/>
      </c>
      <c r="S987" s="41" t="str">
        <f>IFERROR(IF(AND(BoM_Griptel[[#This Row],[ACT_Qty]]&lt;&gt;"",BoM_Griptel[[#This Row],[Currency]]="EUR"),BoM_Griptel[[#This Row],[ACT_Qty]]*BoM_Griptel[[#This Row],[Unit Price]],""),"")</f>
        <v/>
      </c>
      <c r="T987" s="185" t="s">
        <v>1802</v>
      </c>
      <c r="U987" s="45"/>
      <c r="V987" s="45"/>
      <c r="W987" s="45"/>
    </row>
    <row r="988" spans="1:23">
      <c r="A988" s="146" t="str">
        <f t="shared" si="30"/>
        <v>AKH12345</v>
      </c>
      <c r="B988" s="160"/>
      <c r="C988" s="69"/>
      <c r="D988" s="68"/>
      <c r="E988" s="89"/>
      <c r="F988" s="68"/>
      <c r="G988" s="89"/>
      <c r="H988" s="70"/>
      <c r="I988" s="78"/>
      <c r="J988" s="70"/>
      <c r="K988" s="70"/>
      <c r="L988" s="148" t="s">
        <v>1806</v>
      </c>
      <c r="M988" s="46" t="str">
        <f t="shared" si="31"/>
        <v>OneCo Networks AS</v>
      </c>
      <c r="N988" s="42" t="str">
        <f ca="1">IFERROR(
VLOOKUP(BoM_Griptel[[#This Row],[Product code]],
IF(AND((BoQ!$N$3&lt;&gt;""),OR(BoM_Griptel[[#This Row],[Vendor]]="Griptel",BoM_Griptel[[#This Row],[Vendor]]="Solar")),INDIRECT(Aux!$A$1)),4,FALSE),"")</f>
        <v/>
      </c>
      <c r="O988" s="170" t="s">
        <v>1807</v>
      </c>
      <c r="P988" s="43" t="str">
        <f>IFERROR(IF(AND(BoM_Griptel[[#This Row],[Quantity]]&lt;&gt;"",BoM_Griptel[[#This Row],[Currency]]="NOK"),BoM_Griptel[[#This Row],[Quantity]]*BoM_Griptel[[#This Row],[Unit Price]],""),"")</f>
        <v/>
      </c>
      <c r="Q988" s="43" t="str">
        <f>IFERROR(IF(AND(BoM_Griptel[[#This Row],[ACT_Qty]]&lt;&gt;"",BoM_Griptel[[#This Row],[Currency]]="NOK"),BoM_Griptel[[#This Row],[ACT_Qty]]*BoM_Griptel[[#This Row],[Unit Price]],""),"")</f>
        <v/>
      </c>
      <c r="R988" s="43" t="str">
        <f>IFERROR(IF(AND(BoM_Griptel[[#This Row],[Quantity]]&lt;&gt;"",BoM_Griptel[[#This Row],[Currency]]="EUR"),BoM_Griptel[[#This Row],[Quantity]]*BoM_Griptel[[#This Row],[Unit Price]],""),"")</f>
        <v/>
      </c>
      <c r="S988" s="43" t="str">
        <f>IFERROR(IF(AND(BoM_Griptel[[#This Row],[ACT_Qty]]&lt;&gt;"",BoM_Griptel[[#This Row],[Currency]]="EUR"),BoM_Griptel[[#This Row],[ACT_Qty]]*BoM_Griptel[[#This Row],[Unit Price]],""),"")</f>
        <v/>
      </c>
      <c r="T988" s="186" t="s">
        <v>1802</v>
      </c>
      <c r="U988" s="46"/>
      <c r="V988" s="46"/>
      <c r="W988" s="46"/>
    </row>
    <row r="989" spans="1:23">
      <c r="A989" s="143" t="str">
        <f t="shared" si="30"/>
        <v>AKH12345</v>
      </c>
      <c r="B989" s="159"/>
      <c r="C989" s="124"/>
      <c r="D989" s="105"/>
      <c r="E989" s="106"/>
      <c r="F989" s="105"/>
      <c r="G989" s="106"/>
      <c r="H989" s="125"/>
      <c r="I989" s="126"/>
      <c r="J989" s="125"/>
      <c r="K989" s="125"/>
      <c r="L989" s="145" t="s">
        <v>1806</v>
      </c>
      <c r="M989" s="45" t="str">
        <f t="shared" si="31"/>
        <v>OneCo Networks AS</v>
      </c>
      <c r="N989" s="40" t="str">
        <f ca="1">IFERROR(
VLOOKUP(BoM_Griptel[[#This Row],[Product code]],
IF(AND((BoQ!$N$3&lt;&gt;""),OR(BoM_Griptel[[#This Row],[Vendor]]="Griptel",BoM_Griptel[[#This Row],[Vendor]]="Solar")),INDIRECT(Aux!$A$1)),4,FALSE),"")</f>
        <v/>
      </c>
      <c r="O989" s="169" t="s">
        <v>1807</v>
      </c>
      <c r="P989" s="41" t="str">
        <f>IFERROR(IF(AND(BoM_Griptel[[#This Row],[Quantity]]&lt;&gt;"",BoM_Griptel[[#This Row],[Currency]]="NOK"),BoM_Griptel[[#This Row],[Quantity]]*BoM_Griptel[[#This Row],[Unit Price]],""),"")</f>
        <v/>
      </c>
      <c r="Q989" s="41" t="str">
        <f>IFERROR(IF(AND(BoM_Griptel[[#This Row],[ACT_Qty]]&lt;&gt;"",BoM_Griptel[[#This Row],[Currency]]="NOK"),BoM_Griptel[[#This Row],[ACT_Qty]]*BoM_Griptel[[#This Row],[Unit Price]],""),"")</f>
        <v/>
      </c>
      <c r="R989" s="41" t="str">
        <f>IFERROR(IF(AND(BoM_Griptel[[#This Row],[Quantity]]&lt;&gt;"",BoM_Griptel[[#This Row],[Currency]]="EUR"),BoM_Griptel[[#This Row],[Quantity]]*BoM_Griptel[[#This Row],[Unit Price]],""),"")</f>
        <v/>
      </c>
      <c r="S989" s="41" t="str">
        <f>IFERROR(IF(AND(BoM_Griptel[[#This Row],[ACT_Qty]]&lt;&gt;"",BoM_Griptel[[#This Row],[Currency]]="EUR"),BoM_Griptel[[#This Row],[ACT_Qty]]*BoM_Griptel[[#This Row],[Unit Price]],""),"")</f>
        <v/>
      </c>
      <c r="T989" s="185" t="s">
        <v>1802</v>
      </c>
      <c r="U989" s="45"/>
      <c r="V989" s="45"/>
      <c r="W989" s="45"/>
    </row>
    <row r="990" spans="1:23">
      <c r="A990" s="146" t="str">
        <f t="shared" si="30"/>
        <v>AKH12345</v>
      </c>
      <c r="B990" s="160"/>
      <c r="C990" s="69"/>
      <c r="D990" s="68"/>
      <c r="E990" s="89"/>
      <c r="F990" s="68"/>
      <c r="G990" s="89"/>
      <c r="H990" s="70"/>
      <c r="I990" s="78"/>
      <c r="J990" s="70"/>
      <c r="K990" s="70"/>
      <c r="L990" s="148" t="s">
        <v>1806</v>
      </c>
      <c r="M990" s="46" t="str">
        <f t="shared" si="31"/>
        <v>OneCo Networks AS</v>
      </c>
      <c r="N990" s="42" t="str">
        <f ca="1">IFERROR(
VLOOKUP(BoM_Griptel[[#This Row],[Product code]],
IF(AND((BoQ!$N$3&lt;&gt;""),OR(BoM_Griptel[[#This Row],[Vendor]]="Griptel",BoM_Griptel[[#This Row],[Vendor]]="Solar")),INDIRECT(Aux!$A$1)),4,FALSE),"")</f>
        <v/>
      </c>
      <c r="O990" s="170" t="s">
        <v>1807</v>
      </c>
      <c r="P990" s="43" t="str">
        <f>IFERROR(IF(AND(BoM_Griptel[[#This Row],[Quantity]]&lt;&gt;"",BoM_Griptel[[#This Row],[Currency]]="NOK"),BoM_Griptel[[#This Row],[Quantity]]*BoM_Griptel[[#This Row],[Unit Price]],""),"")</f>
        <v/>
      </c>
      <c r="Q990" s="43" t="str">
        <f>IFERROR(IF(AND(BoM_Griptel[[#This Row],[ACT_Qty]]&lt;&gt;"",BoM_Griptel[[#This Row],[Currency]]="NOK"),BoM_Griptel[[#This Row],[ACT_Qty]]*BoM_Griptel[[#This Row],[Unit Price]],""),"")</f>
        <v/>
      </c>
      <c r="R990" s="43" t="str">
        <f>IFERROR(IF(AND(BoM_Griptel[[#This Row],[Quantity]]&lt;&gt;"",BoM_Griptel[[#This Row],[Currency]]="EUR"),BoM_Griptel[[#This Row],[Quantity]]*BoM_Griptel[[#This Row],[Unit Price]],""),"")</f>
        <v/>
      </c>
      <c r="S990" s="43" t="str">
        <f>IFERROR(IF(AND(BoM_Griptel[[#This Row],[ACT_Qty]]&lt;&gt;"",BoM_Griptel[[#This Row],[Currency]]="EUR"),BoM_Griptel[[#This Row],[ACT_Qty]]*BoM_Griptel[[#This Row],[Unit Price]],""),"")</f>
        <v/>
      </c>
      <c r="T990" s="186" t="s">
        <v>1802</v>
      </c>
      <c r="U990" s="46"/>
      <c r="V990" s="46"/>
      <c r="W990" s="46"/>
    </row>
    <row r="991" spans="1:23">
      <c r="A991" s="143" t="str">
        <f t="shared" si="30"/>
        <v>AKH12345</v>
      </c>
      <c r="B991" s="159"/>
      <c r="C991" s="124"/>
      <c r="D991" s="105"/>
      <c r="E991" s="106"/>
      <c r="F991" s="105"/>
      <c r="G991" s="106"/>
      <c r="H991" s="125"/>
      <c r="I991" s="126"/>
      <c r="J991" s="125"/>
      <c r="K991" s="125"/>
      <c r="L991" s="145" t="s">
        <v>1806</v>
      </c>
      <c r="M991" s="45" t="str">
        <f t="shared" si="31"/>
        <v>OneCo Networks AS</v>
      </c>
      <c r="N991" s="40" t="str">
        <f ca="1">IFERROR(
VLOOKUP(BoM_Griptel[[#This Row],[Product code]],
IF(AND((BoQ!$N$3&lt;&gt;""),OR(BoM_Griptel[[#This Row],[Vendor]]="Griptel",BoM_Griptel[[#This Row],[Vendor]]="Solar")),INDIRECT(Aux!$A$1)),4,FALSE),"")</f>
        <v/>
      </c>
      <c r="O991" s="169" t="s">
        <v>1807</v>
      </c>
      <c r="P991" s="41" t="str">
        <f>IFERROR(IF(AND(BoM_Griptel[[#This Row],[Quantity]]&lt;&gt;"",BoM_Griptel[[#This Row],[Currency]]="NOK"),BoM_Griptel[[#This Row],[Quantity]]*BoM_Griptel[[#This Row],[Unit Price]],""),"")</f>
        <v/>
      </c>
      <c r="Q991" s="41" t="str">
        <f>IFERROR(IF(AND(BoM_Griptel[[#This Row],[ACT_Qty]]&lt;&gt;"",BoM_Griptel[[#This Row],[Currency]]="NOK"),BoM_Griptel[[#This Row],[ACT_Qty]]*BoM_Griptel[[#This Row],[Unit Price]],""),"")</f>
        <v/>
      </c>
      <c r="R991" s="41" t="str">
        <f>IFERROR(IF(AND(BoM_Griptel[[#This Row],[Quantity]]&lt;&gt;"",BoM_Griptel[[#This Row],[Currency]]="EUR"),BoM_Griptel[[#This Row],[Quantity]]*BoM_Griptel[[#This Row],[Unit Price]],""),"")</f>
        <v/>
      </c>
      <c r="S991" s="41" t="str">
        <f>IFERROR(IF(AND(BoM_Griptel[[#This Row],[ACT_Qty]]&lt;&gt;"",BoM_Griptel[[#This Row],[Currency]]="EUR"),BoM_Griptel[[#This Row],[ACT_Qty]]*BoM_Griptel[[#This Row],[Unit Price]],""),"")</f>
        <v/>
      </c>
      <c r="T991" s="185" t="s">
        <v>1802</v>
      </c>
      <c r="U991" s="45"/>
      <c r="V991" s="45"/>
      <c r="W991" s="45"/>
    </row>
    <row r="992" spans="1:23">
      <c r="A992" s="146" t="str">
        <f t="shared" si="30"/>
        <v>AKH12345</v>
      </c>
      <c r="B992" s="160"/>
      <c r="C992" s="69"/>
      <c r="D992" s="68"/>
      <c r="E992" s="89"/>
      <c r="F992" s="68"/>
      <c r="G992" s="89"/>
      <c r="H992" s="70"/>
      <c r="I992" s="78"/>
      <c r="J992" s="70"/>
      <c r="K992" s="70"/>
      <c r="L992" s="148" t="s">
        <v>1806</v>
      </c>
      <c r="M992" s="46" t="str">
        <f t="shared" si="31"/>
        <v>OneCo Networks AS</v>
      </c>
      <c r="N992" s="42" t="str">
        <f ca="1">IFERROR(
VLOOKUP(BoM_Griptel[[#This Row],[Product code]],
IF(AND((BoQ!$N$3&lt;&gt;""),OR(BoM_Griptel[[#This Row],[Vendor]]="Griptel",BoM_Griptel[[#This Row],[Vendor]]="Solar")),INDIRECT(Aux!$A$1)),4,FALSE),"")</f>
        <v/>
      </c>
      <c r="O992" s="170" t="s">
        <v>1807</v>
      </c>
      <c r="P992" s="43" t="str">
        <f>IFERROR(IF(AND(BoM_Griptel[[#This Row],[Quantity]]&lt;&gt;"",BoM_Griptel[[#This Row],[Currency]]="NOK"),BoM_Griptel[[#This Row],[Quantity]]*BoM_Griptel[[#This Row],[Unit Price]],""),"")</f>
        <v/>
      </c>
      <c r="Q992" s="43" t="str">
        <f>IFERROR(IF(AND(BoM_Griptel[[#This Row],[ACT_Qty]]&lt;&gt;"",BoM_Griptel[[#This Row],[Currency]]="NOK"),BoM_Griptel[[#This Row],[ACT_Qty]]*BoM_Griptel[[#This Row],[Unit Price]],""),"")</f>
        <v/>
      </c>
      <c r="R992" s="43" t="str">
        <f>IFERROR(IF(AND(BoM_Griptel[[#This Row],[Quantity]]&lt;&gt;"",BoM_Griptel[[#This Row],[Currency]]="EUR"),BoM_Griptel[[#This Row],[Quantity]]*BoM_Griptel[[#This Row],[Unit Price]],""),"")</f>
        <v/>
      </c>
      <c r="S992" s="43" t="str">
        <f>IFERROR(IF(AND(BoM_Griptel[[#This Row],[ACT_Qty]]&lt;&gt;"",BoM_Griptel[[#This Row],[Currency]]="EUR"),BoM_Griptel[[#This Row],[ACT_Qty]]*BoM_Griptel[[#This Row],[Unit Price]],""),"")</f>
        <v/>
      </c>
      <c r="T992" s="186" t="s">
        <v>1802</v>
      </c>
      <c r="U992" s="46"/>
      <c r="V992" s="46"/>
      <c r="W992" s="46"/>
    </row>
    <row r="993" spans="1:23">
      <c r="A993" s="143" t="str">
        <f t="shared" si="30"/>
        <v>AKH12345</v>
      </c>
      <c r="B993" s="159"/>
      <c r="C993" s="124"/>
      <c r="D993" s="105"/>
      <c r="E993" s="106"/>
      <c r="F993" s="105"/>
      <c r="G993" s="106"/>
      <c r="H993" s="125"/>
      <c r="I993" s="126"/>
      <c r="J993" s="125"/>
      <c r="K993" s="125"/>
      <c r="L993" s="145" t="s">
        <v>1806</v>
      </c>
      <c r="M993" s="45" t="str">
        <f t="shared" si="31"/>
        <v>OneCo Networks AS</v>
      </c>
      <c r="N993" s="40" t="str">
        <f ca="1">IFERROR(
VLOOKUP(BoM_Griptel[[#This Row],[Product code]],
IF(AND((BoQ!$N$3&lt;&gt;""),OR(BoM_Griptel[[#This Row],[Vendor]]="Griptel",BoM_Griptel[[#This Row],[Vendor]]="Solar")),INDIRECT(Aux!$A$1)),4,FALSE),"")</f>
        <v/>
      </c>
      <c r="O993" s="169" t="s">
        <v>1807</v>
      </c>
      <c r="P993" s="41" t="str">
        <f>IFERROR(IF(AND(BoM_Griptel[[#This Row],[Quantity]]&lt;&gt;"",BoM_Griptel[[#This Row],[Currency]]="NOK"),BoM_Griptel[[#This Row],[Quantity]]*BoM_Griptel[[#This Row],[Unit Price]],""),"")</f>
        <v/>
      </c>
      <c r="Q993" s="41" t="str">
        <f>IFERROR(IF(AND(BoM_Griptel[[#This Row],[ACT_Qty]]&lt;&gt;"",BoM_Griptel[[#This Row],[Currency]]="NOK"),BoM_Griptel[[#This Row],[ACT_Qty]]*BoM_Griptel[[#This Row],[Unit Price]],""),"")</f>
        <v/>
      </c>
      <c r="R993" s="41" t="str">
        <f>IFERROR(IF(AND(BoM_Griptel[[#This Row],[Quantity]]&lt;&gt;"",BoM_Griptel[[#This Row],[Currency]]="EUR"),BoM_Griptel[[#This Row],[Quantity]]*BoM_Griptel[[#This Row],[Unit Price]],""),"")</f>
        <v/>
      </c>
      <c r="S993" s="41" t="str">
        <f>IFERROR(IF(AND(BoM_Griptel[[#This Row],[ACT_Qty]]&lt;&gt;"",BoM_Griptel[[#This Row],[Currency]]="EUR"),BoM_Griptel[[#This Row],[ACT_Qty]]*BoM_Griptel[[#This Row],[Unit Price]],""),"")</f>
        <v/>
      </c>
      <c r="T993" s="185" t="s">
        <v>1802</v>
      </c>
      <c r="U993" s="45"/>
      <c r="V993" s="45"/>
      <c r="W993" s="45"/>
    </row>
    <row r="994" spans="1:23">
      <c r="A994" s="146" t="str">
        <f t="shared" si="30"/>
        <v>AKH12345</v>
      </c>
      <c r="B994" s="160"/>
      <c r="C994" s="69"/>
      <c r="D994" s="68"/>
      <c r="E994" s="89"/>
      <c r="F994" s="68"/>
      <c r="G994" s="89"/>
      <c r="H994" s="70"/>
      <c r="I994" s="78"/>
      <c r="J994" s="70"/>
      <c r="K994" s="70"/>
      <c r="L994" s="148" t="s">
        <v>1806</v>
      </c>
      <c r="M994" s="46" t="str">
        <f t="shared" si="31"/>
        <v>OneCo Networks AS</v>
      </c>
      <c r="N994" s="42" t="str">
        <f ca="1">IFERROR(
VLOOKUP(BoM_Griptel[[#This Row],[Product code]],
IF(AND((BoQ!$N$3&lt;&gt;""),OR(BoM_Griptel[[#This Row],[Vendor]]="Griptel",BoM_Griptel[[#This Row],[Vendor]]="Solar")),INDIRECT(Aux!$A$1)),4,FALSE),"")</f>
        <v/>
      </c>
      <c r="O994" s="170" t="s">
        <v>1807</v>
      </c>
      <c r="P994" s="43" t="str">
        <f>IFERROR(IF(AND(BoM_Griptel[[#This Row],[Quantity]]&lt;&gt;"",BoM_Griptel[[#This Row],[Currency]]="NOK"),BoM_Griptel[[#This Row],[Quantity]]*BoM_Griptel[[#This Row],[Unit Price]],""),"")</f>
        <v/>
      </c>
      <c r="Q994" s="43" t="str">
        <f>IFERROR(IF(AND(BoM_Griptel[[#This Row],[ACT_Qty]]&lt;&gt;"",BoM_Griptel[[#This Row],[Currency]]="NOK"),BoM_Griptel[[#This Row],[ACT_Qty]]*BoM_Griptel[[#This Row],[Unit Price]],""),"")</f>
        <v/>
      </c>
      <c r="R994" s="43" t="str">
        <f>IFERROR(IF(AND(BoM_Griptel[[#This Row],[Quantity]]&lt;&gt;"",BoM_Griptel[[#This Row],[Currency]]="EUR"),BoM_Griptel[[#This Row],[Quantity]]*BoM_Griptel[[#This Row],[Unit Price]],""),"")</f>
        <v/>
      </c>
      <c r="S994" s="43" t="str">
        <f>IFERROR(IF(AND(BoM_Griptel[[#This Row],[ACT_Qty]]&lt;&gt;"",BoM_Griptel[[#This Row],[Currency]]="EUR"),BoM_Griptel[[#This Row],[ACT_Qty]]*BoM_Griptel[[#This Row],[Unit Price]],""),"")</f>
        <v/>
      </c>
      <c r="T994" s="186" t="s">
        <v>1802</v>
      </c>
      <c r="U994" s="46"/>
      <c r="V994" s="46"/>
      <c r="W994" s="46"/>
    </row>
    <row r="995" spans="1:23">
      <c r="A995" s="143" t="str">
        <f t="shared" si="30"/>
        <v>AKH12345</v>
      </c>
      <c r="B995" s="159"/>
      <c r="C995" s="124"/>
      <c r="D995" s="105"/>
      <c r="E995" s="106"/>
      <c r="F995" s="105"/>
      <c r="G995" s="106"/>
      <c r="H995" s="125"/>
      <c r="I995" s="126"/>
      <c r="J995" s="125"/>
      <c r="K995" s="125"/>
      <c r="L995" s="145" t="s">
        <v>1806</v>
      </c>
      <c r="M995" s="45" t="str">
        <f t="shared" si="31"/>
        <v>OneCo Networks AS</v>
      </c>
      <c r="N995" s="40" t="str">
        <f ca="1">IFERROR(
VLOOKUP(BoM_Griptel[[#This Row],[Product code]],
IF(AND((BoQ!$N$3&lt;&gt;""),OR(BoM_Griptel[[#This Row],[Vendor]]="Griptel",BoM_Griptel[[#This Row],[Vendor]]="Solar")),INDIRECT(Aux!$A$1)),4,FALSE),"")</f>
        <v/>
      </c>
      <c r="O995" s="169" t="s">
        <v>1807</v>
      </c>
      <c r="P995" s="41" t="str">
        <f>IFERROR(IF(AND(BoM_Griptel[[#This Row],[Quantity]]&lt;&gt;"",BoM_Griptel[[#This Row],[Currency]]="NOK"),BoM_Griptel[[#This Row],[Quantity]]*BoM_Griptel[[#This Row],[Unit Price]],""),"")</f>
        <v/>
      </c>
      <c r="Q995" s="41" t="str">
        <f>IFERROR(IF(AND(BoM_Griptel[[#This Row],[ACT_Qty]]&lt;&gt;"",BoM_Griptel[[#This Row],[Currency]]="NOK"),BoM_Griptel[[#This Row],[ACT_Qty]]*BoM_Griptel[[#This Row],[Unit Price]],""),"")</f>
        <v/>
      </c>
      <c r="R995" s="41" t="str">
        <f>IFERROR(IF(AND(BoM_Griptel[[#This Row],[Quantity]]&lt;&gt;"",BoM_Griptel[[#This Row],[Currency]]="EUR"),BoM_Griptel[[#This Row],[Quantity]]*BoM_Griptel[[#This Row],[Unit Price]],""),"")</f>
        <v/>
      </c>
      <c r="S995" s="41" t="str">
        <f>IFERROR(IF(AND(BoM_Griptel[[#This Row],[ACT_Qty]]&lt;&gt;"",BoM_Griptel[[#This Row],[Currency]]="EUR"),BoM_Griptel[[#This Row],[ACT_Qty]]*BoM_Griptel[[#This Row],[Unit Price]],""),"")</f>
        <v/>
      </c>
      <c r="T995" s="185" t="s">
        <v>1802</v>
      </c>
      <c r="U995" s="45"/>
      <c r="V995" s="45"/>
      <c r="W995" s="45"/>
    </row>
    <row r="996" spans="1:23">
      <c r="A996" s="146" t="str">
        <f t="shared" si="30"/>
        <v>AKH12345</v>
      </c>
      <c r="B996" s="160"/>
      <c r="C996" s="69"/>
      <c r="D996" s="68"/>
      <c r="E996" s="89"/>
      <c r="F996" s="68"/>
      <c r="G996" s="89"/>
      <c r="H996" s="70"/>
      <c r="I996" s="78"/>
      <c r="J996" s="70"/>
      <c r="K996" s="70"/>
      <c r="L996" s="148" t="s">
        <v>1806</v>
      </c>
      <c r="M996" s="46" t="str">
        <f t="shared" si="31"/>
        <v>OneCo Networks AS</v>
      </c>
      <c r="N996" s="42" t="str">
        <f ca="1">IFERROR(
VLOOKUP(BoM_Griptel[[#This Row],[Product code]],
IF(AND((BoQ!$N$3&lt;&gt;""),OR(BoM_Griptel[[#This Row],[Vendor]]="Griptel",BoM_Griptel[[#This Row],[Vendor]]="Solar")),INDIRECT(Aux!$A$1)),4,FALSE),"")</f>
        <v/>
      </c>
      <c r="O996" s="170" t="s">
        <v>1807</v>
      </c>
      <c r="P996" s="43" t="str">
        <f>IFERROR(IF(AND(BoM_Griptel[[#This Row],[Quantity]]&lt;&gt;"",BoM_Griptel[[#This Row],[Currency]]="NOK"),BoM_Griptel[[#This Row],[Quantity]]*BoM_Griptel[[#This Row],[Unit Price]],""),"")</f>
        <v/>
      </c>
      <c r="Q996" s="43" t="str">
        <f>IFERROR(IF(AND(BoM_Griptel[[#This Row],[ACT_Qty]]&lt;&gt;"",BoM_Griptel[[#This Row],[Currency]]="NOK"),BoM_Griptel[[#This Row],[ACT_Qty]]*BoM_Griptel[[#This Row],[Unit Price]],""),"")</f>
        <v/>
      </c>
      <c r="R996" s="43" t="str">
        <f>IFERROR(IF(AND(BoM_Griptel[[#This Row],[Quantity]]&lt;&gt;"",BoM_Griptel[[#This Row],[Currency]]="EUR"),BoM_Griptel[[#This Row],[Quantity]]*BoM_Griptel[[#This Row],[Unit Price]],""),"")</f>
        <v/>
      </c>
      <c r="S996" s="43" t="str">
        <f>IFERROR(IF(AND(BoM_Griptel[[#This Row],[ACT_Qty]]&lt;&gt;"",BoM_Griptel[[#This Row],[Currency]]="EUR"),BoM_Griptel[[#This Row],[ACT_Qty]]*BoM_Griptel[[#This Row],[Unit Price]],""),"")</f>
        <v/>
      </c>
      <c r="T996" s="186" t="s">
        <v>1802</v>
      </c>
      <c r="U996" s="46"/>
      <c r="V996" s="46"/>
      <c r="W996" s="46"/>
    </row>
    <row r="997" spans="1:23">
      <c r="A997" s="143" t="str">
        <f t="shared" si="30"/>
        <v>AKH12345</v>
      </c>
      <c r="B997" s="159"/>
      <c r="C997" s="124"/>
      <c r="D997" s="105"/>
      <c r="E997" s="106"/>
      <c r="F997" s="105"/>
      <c r="G997" s="106"/>
      <c r="H997" s="125"/>
      <c r="I997" s="126"/>
      <c r="J997" s="125"/>
      <c r="K997" s="125"/>
      <c r="L997" s="145" t="s">
        <v>1806</v>
      </c>
      <c r="M997" s="45" t="str">
        <f t="shared" si="31"/>
        <v>OneCo Networks AS</v>
      </c>
      <c r="N997" s="40" t="str">
        <f ca="1">IFERROR(
VLOOKUP(BoM_Griptel[[#This Row],[Product code]],
IF(AND((BoQ!$N$3&lt;&gt;""),OR(BoM_Griptel[[#This Row],[Vendor]]="Griptel",BoM_Griptel[[#This Row],[Vendor]]="Solar")),INDIRECT(Aux!$A$1)),4,FALSE),"")</f>
        <v/>
      </c>
      <c r="O997" s="169" t="s">
        <v>1807</v>
      </c>
      <c r="P997" s="41" t="str">
        <f>IFERROR(IF(AND(BoM_Griptel[[#This Row],[Quantity]]&lt;&gt;"",BoM_Griptel[[#This Row],[Currency]]="NOK"),BoM_Griptel[[#This Row],[Quantity]]*BoM_Griptel[[#This Row],[Unit Price]],""),"")</f>
        <v/>
      </c>
      <c r="Q997" s="41" t="str">
        <f>IFERROR(IF(AND(BoM_Griptel[[#This Row],[ACT_Qty]]&lt;&gt;"",BoM_Griptel[[#This Row],[Currency]]="NOK"),BoM_Griptel[[#This Row],[ACT_Qty]]*BoM_Griptel[[#This Row],[Unit Price]],""),"")</f>
        <v/>
      </c>
      <c r="R997" s="41" t="str">
        <f>IFERROR(IF(AND(BoM_Griptel[[#This Row],[Quantity]]&lt;&gt;"",BoM_Griptel[[#This Row],[Currency]]="EUR"),BoM_Griptel[[#This Row],[Quantity]]*BoM_Griptel[[#This Row],[Unit Price]],""),"")</f>
        <v/>
      </c>
      <c r="S997" s="41" t="str">
        <f>IFERROR(IF(AND(BoM_Griptel[[#This Row],[ACT_Qty]]&lt;&gt;"",BoM_Griptel[[#This Row],[Currency]]="EUR"),BoM_Griptel[[#This Row],[ACT_Qty]]*BoM_Griptel[[#This Row],[Unit Price]],""),"")</f>
        <v/>
      </c>
      <c r="T997" s="185" t="s">
        <v>1802</v>
      </c>
      <c r="U997" s="45"/>
      <c r="V997" s="45"/>
      <c r="W997" s="45"/>
    </row>
    <row r="998" spans="1:23">
      <c r="A998" s="146" t="str">
        <f t="shared" si="30"/>
        <v>AKH12345</v>
      </c>
      <c r="B998" s="160"/>
      <c r="C998" s="69"/>
      <c r="D998" s="68"/>
      <c r="E998" s="89"/>
      <c r="F998" s="68"/>
      <c r="G998" s="89"/>
      <c r="H998" s="70"/>
      <c r="I998" s="78"/>
      <c r="J998" s="70"/>
      <c r="K998" s="70"/>
      <c r="L998" s="148" t="s">
        <v>1806</v>
      </c>
      <c r="M998" s="46" t="str">
        <f t="shared" si="31"/>
        <v>OneCo Networks AS</v>
      </c>
      <c r="N998" s="42" t="str">
        <f ca="1">IFERROR(
VLOOKUP(BoM_Griptel[[#This Row],[Product code]],
IF(AND((BoQ!$N$3&lt;&gt;""),OR(BoM_Griptel[[#This Row],[Vendor]]="Griptel",BoM_Griptel[[#This Row],[Vendor]]="Solar")),INDIRECT(Aux!$A$1)),4,FALSE),"")</f>
        <v/>
      </c>
      <c r="O998" s="170" t="s">
        <v>1807</v>
      </c>
      <c r="P998" s="43" t="str">
        <f>IFERROR(IF(AND(BoM_Griptel[[#This Row],[Quantity]]&lt;&gt;"",BoM_Griptel[[#This Row],[Currency]]="NOK"),BoM_Griptel[[#This Row],[Quantity]]*BoM_Griptel[[#This Row],[Unit Price]],""),"")</f>
        <v/>
      </c>
      <c r="Q998" s="43" t="str">
        <f>IFERROR(IF(AND(BoM_Griptel[[#This Row],[ACT_Qty]]&lt;&gt;"",BoM_Griptel[[#This Row],[Currency]]="NOK"),BoM_Griptel[[#This Row],[ACT_Qty]]*BoM_Griptel[[#This Row],[Unit Price]],""),"")</f>
        <v/>
      </c>
      <c r="R998" s="43" t="str">
        <f>IFERROR(IF(AND(BoM_Griptel[[#This Row],[Quantity]]&lt;&gt;"",BoM_Griptel[[#This Row],[Currency]]="EUR"),BoM_Griptel[[#This Row],[Quantity]]*BoM_Griptel[[#This Row],[Unit Price]],""),"")</f>
        <v/>
      </c>
      <c r="S998" s="43" t="str">
        <f>IFERROR(IF(AND(BoM_Griptel[[#This Row],[ACT_Qty]]&lt;&gt;"",BoM_Griptel[[#This Row],[Currency]]="EUR"),BoM_Griptel[[#This Row],[ACT_Qty]]*BoM_Griptel[[#This Row],[Unit Price]],""),"")</f>
        <v/>
      </c>
      <c r="T998" s="186" t="s">
        <v>1802</v>
      </c>
      <c r="U998" s="46"/>
      <c r="V998" s="46"/>
      <c r="W998" s="46"/>
    </row>
    <row r="999" spans="1:23">
      <c r="A999" s="143" t="str">
        <f t="shared" si="30"/>
        <v>AKH12345</v>
      </c>
      <c r="B999" s="159"/>
      <c r="C999" s="124"/>
      <c r="D999" s="105"/>
      <c r="E999" s="106"/>
      <c r="F999" s="105"/>
      <c r="G999" s="106"/>
      <c r="H999" s="125"/>
      <c r="I999" s="126"/>
      <c r="J999" s="125"/>
      <c r="K999" s="125"/>
      <c r="L999" s="145" t="s">
        <v>1806</v>
      </c>
      <c r="M999" s="45" t="str">
        <f t="shared" si="31"/>
        <v>OneCo Networks AS</v>
      </c>
      <c r="N999" s="40" t="str">
        <f ca="1">IFERROR(
VLOOKUP(BoM_Griptel[[#This Row],[Product code]],
IF(AND((BoQ!$N$3&lt;&gt;""),OR(BoM_Griptel[[#This Row],[Vendor]]="Griptel",BoM_Griptel[[#This Row],[Vendor]]="Solar")),INDIRECT(Aux!$A$1)),4,FALSE),"")</f>
        <v/>
      </c>
      <c r="O999" s="169" t="s">
        <v>1807</v>
      </c>
      <c r="P999" s="41" t="str">
        <f>IFERROR(IF(AND(BoM_Griptel[[#This Row],[Quantity]]&lt;&gt;"",BoM_Griptel[[#This Row],[Currency]]="NOK"),BoM_Griptel[[#This Row],[Quantity]]*BoM_Griptel[[#This Row],[Unit Price]],""),"")</f>
        <v/>
      </c>
      <c r="Q999" s="41" t="str">
        <f>IFERROR(IF(AND(BoM_Griptel[[#This Row],[ACT_Qty]]&lt;&gt;"",BoM_Griptel[[#This Row],[Currency]]="NOK"),BoM_Griptel[[#This Row],[ACT_Qty]]*BoM_Griptel[[#This Row],[Unit Price]],""),"")</f>
        <v/>
      </c>
      <c r="R999" s="41" t="str">
        <f>IFERROR(IF(AND(BoM_Griptel[[#This Row],[Quantity]]&lt;&gt;"",BoM_Griptel[[#This Row],[Currency]]="EUR"),BoM_Griptel[[#This Row],[Quantity]]*BoM_Griptel[[#This Row],[Unit Price]],""),"")</f>
        <v/>
      </c>
      <c r="S999" s="41" t="str">
        <f>IFERROR(IF(AND(BoM_Griptel[[#This Row],[ACT_Qty]]&lt;&gt;"",BoM_Griptel[[#This Row],[Currency]]="EUR"),BoM_Griptel[[#This Row],[ACT_Qty]]*BoM_Griptel[[#This Row],[Unit Price]],""),"")</f>
        <v/>
      </c>
      <c r="T999" s="185" t="s">
        <v>1802</v>
      </c>
      <c r="U999" s="45"/>
      <c r="V999" s="45"/>
      <c r="W999" s="45"/>
    </row>
    <row r="1000" spans="1:23">
      <c r="A1000" s="146" t="str">
        <f t="shared" si="30"/>
        <v>AKH12345</v>
      </c>
      <c r="B1000" s="160"/>
      <c r="C1000" s="69"/>
      <c r="D1000" s="68"/>
      <c r="E1000" s="89"/>
      <c r="F1000" s="68"/>
      <c r="G1000" s="89"/>
      <c r="H1000" s="70"/>
      <c r="I1000" s="78"/>
      <c r="J1000" s="70"/>
      <c r="K1000" s="70"/>
      <c r="L1000" s="148" t="s">
        <v>1806</v>
      </c>
      <c r="M1000" s="46" t="str">
        <f t="shared" si="31"/>
        <v>OneCo Networks AS</v>
      </c>
      <c r="N1000" s="42" t="str">
        <f ca="1">IFERROR(
VLOOKUP(BoM_Griptel[[#This Row],[Product code]],
IF(AND((BoQ!$N$3&lt;&gt;""),OR(BoM_Griptel[[#This Row],[Vendor]]="Griptel",BoM_Griptel[[#This Row],[Vendor]]="Solar")),INDIRECT(Aux!$A$1)),4,FALSE),"")</f>
        <v/>
      </c>
      <c r="O1000" s="170" t="s">
        <v>1807</v>
      </c>
      <c r="P1000" s="43" t="str">
        <f>IFERROR(IF(AND(BoM_Griptel[[#This Row],[Quantity]]&lt;&gt;"",BoM_Griptel[[#This Row],[Currency]]="NOK"),BoM_Griptel[[#This Row],[Quantity]]*BoM_Griptel[[#This Row],[Unit Price]],""),"")</f>
        <v/>
      </c>
      <c r="Q1000" s="43" t="str">
        <f>IFERROR(IF(AND(BoM_Griptel[[#This Row],[ACT_Qty]]&lt;&gt;"",BoM_Griptel[[#This Row],[Currency]]="NOK"),BoM_Griptel[[#This Row],[ACT_Qty]]*BoM_Griptel[[#This Row],[Unit Price]],""),"")</f>
        <v/>
      </c>
      <c r="R1000" s="43" t="str">
        <f>IFERROR(IF(AND(BoM_Griptel[[#This Row],[Quantity]]&lt;&gt;"",BoM_Griptel[[#This Row],[Currency]]="EUR"),BoM_Griptel[[#This Row],[Quantity]]*BoM_Griptel[[#This Row],[Unit Price]],""),"")</f>
        <v/>
      </c>
      <c r="S1000" s="43" t="str">
        <f>IFERROR(IF(AND(BoM_Griptel[[#This Row],[ACT_Qty]]&lt;&gt;"",BoM_Griptel[[#This Row],[Currency]]="EUR"),BoM_Griptel[[#This Row],[ACT_Qty]]*BoM_Griptel[[#This Row],[Unit Price]],""),"")</f>
        <v/>
      </c>
      <c r="T1000" s="186" t="s">
        <v>1802</v>
      </c>
      <c r="U1000" s="46"/>
      <c r="V1000" s="46"/>
      <c r="W1000" s="46"/>
    </row>
    <row r="1001" spans="1:23">
      <c r="A1001" s="143" t="str">
        <f t="shared" si="30"/>
        <v>AKH12345</v>
      </c>
      <c r="B1001" s="159"/>
      <c r="C1001" s="124"/>
      <c r="D1001" s="105"/>
      <c r="E1001" s="106"/>
      <c r="F1001" s="105"/>
      <c r="G1001" s="106"/>
      <c r="H1001" s="125"/>
      <c r="I1001" s="126"/>
      <c r="J1001" s="125"/>
      <c r="K1001" s="125"/>
      <c r="L1001" s="145" t="s">
        <v>1806</v>
      </c>
      <c r="M1001" s="45" t="str">
        <f t="shared" si="31"/>
        <v>OneCo Networks AS</v>
      </c>
      <c r="N1001" s="40" t="str">
        <f ca="1">IFERROR(
VLOOKUP(BoM_Griptel[[#This Row],[Product code]],
IF(AND((BoQ!$N$3&lt;&gt;""),OR(BoM_Griptel[[#This Row],[Vendor]]="Griptel",BoM_Griptel[[#This Row],[Vendor]]="Solar")),INDIRECT(Aux!$A$1)),4,FALSE),"")</f>
        <v/>
      </c>
      <c r="O1001" s="169" t="s">
        <v>1807</v>
      </c>
      <c r="P1001" s="41" t="str">
        <f>IFERROR(IF(AND(BoM_Griptel[[#This Row],[Quantity]]&lt;&gt;"",BoM_Griptel[[#This Row],[Currency]]="NOK"),BoM_Griptel[[#This Row],[Quantity]]*BoM_Griptel[[#This Row],[Unit Price]],""),"")</f>
        <v/>
      </c>
      <c r="Q1001" s="41" t="str">
        <f>IFERROR(IF(AND(BoM_Griptel[[#This Row],[ACT_Qty]]&lt;&gt;"",BoM_Griptel[[#This Row],[Currency]]="NOK"),BoM_Griptel[[#This Row],[ACT_Qty]]*BoM_Griptel[[#This Row],[Unit Price]],""),"")</f>
        <v/>
      </c>
      <c r="R1001" s="41" t="str">
        <f>IFERROR(IF(AND(BoM_Griptel[[#This Row],[Quantity]]&lt;&gt;"",BoM_Griptel[[#This Row],[Currency]]="EUR"),BoM_Griptel[[#This Row],[Quantity]]*BoM_Griptel[[#This Row],[Unit Price]],""),"")</f>
        <v/>
      </c>
      <c r="S1001" s="41" t="str">
        <f>IFERROR(IF(AND(BoM_Griptel[[#This Row],[ACT_Qty]]&lt;&gt;"",BoM_Griptel[[#This Row],[Currency]]="EUR"),BoM_Griptel[[#This Row],[ACT_Qty]]*BoM_Griptel[[#This Row],[Unit Price]],""),"")</f>
        <v/>
      </c>
      <c r="T1001" s="185" t="s">
        <v>1802</v>
      </c>
      <c r="U1001" s="45"/>
      <c r="V1001" s="45"/>
      <c r="W1001" s="45"/>
    </row>
    <row r="1002" spans="1:23">
      <c r="A1002" s="146" t="str">
        <f t="shared" si="30"/>
        <v>AKH12345</v>
      </c>
      <c r="B1002" s="160"/>
      <c r="C1002" s="69"/>
      <c r="D1002" s="68"/>
      <c r="E1002" s="89"/>
      <c r="F1002" s="68"/>
      <c r="G1002" s="89"/>
      <c r="H1002" s="70"/>
      <c r="I1002" s="78"/>
      <c r="J1002" s="70"/>
      <c r="K1002" s="70"/>
      <c r="L1002" s="148" t="s">
        <v>1806</v>
      </c>
      <c r="M1002" s="46" t="str">
        <f t="shared" si="31"/>
        <v>OneCo Networks AS</v>
      </c>
      <c r="N1002" s="42" t="str">
        <f ca="1">IFERROR(
VLOOKUP(BoM_Griptel[[#This Row],[Product code]],
IF(AND((BoQ!$N$3&lt;&gt;""),OR(BoM_Griptel[[#This Row],[Vendor]]="Griptel",BoM_Griptel[[#This Row],[Vendor]]="Solar")),INDIRECT(Aux!$A$1)),4,FALSE),"")</f>
        <v/>
      </c>
      <c r="O1002" s="170" t="s">
        <v>1807</v>
      </c>
      <c r="P1002" s="43" t="str">
        <f>IFERROR(IF(AND(BoM_Griptel[[#This Row],[Quantity]]&lt;&gt;"",BoM_Griptel[[#This Row],[Currency]]="NOK"),BoM_Griptel[[#This Row],[Quantity]]*BoM_Griptel[[#This Row],[Unit Price]],""),"")</f>
        <v/>
      </c>
      <c r="Q1002" s="43" t="str">
        <f>IFERROR(IF(AND(BoM_Griptel[[#This Row],[ACT_Qty]]&lt;&gt;"",BoM_Griptel[[#This Row],[Currency]]="NOK"),BoM_Griptel[[#This Row],[ACT_Qty]]*BoM_Griptel[[#This Row],[Unit Price]],""),"")</f>
        <v/>
      </c>
      <c r="R1002" s="43" t="str">
        <f>IFERROR(IF(AND(BoM_Griptel[[#This Row],[Quantity]]&lt;&gt;"",BoM_Griptel[[#This Row],[Currency]]="EUR"),BoM_Griptel[[#This Row],[Quantity]]*BoM_Griptel[[#This Row],[Unit Price]],""),"")</f>
        <v/>
      </c>
      <c r="S1002" s="43" t="str">
        <f>IFERROR(IF(AND(BoM_Griptel[[#This Row],[ACT_Qty]]&lt;&gt;"",BoM_Griptel[[#This Row],[Currency]]="EUR"),BoM_Griptel[[#This Row],[ACT_Qty]]*BoM_Griptel[[#This Row],[Unit Price]],""),"")</f>
        <v/>
      </c>
      <c r="T1002" s="186" t="s">
        <v>1802</v>
      </c>
      <c r="U1002" s="46"/>
      <c r="V1002" s="46"/>
      <c r="W1002" s="46"/>
    </row>
    <row r="1003" spans="1:23">
      <c r="A1003" s="143" t="str">
        <f t="shared" si="30"/>
        <v>AKH12345</v>
      </c>
      <c r="B1003" s="159"/>
      <c r="C1003" s="124"/>
      <c r="D1003" s="105"/>
      <c r="E1003" s="106"/>
      <c r="F1003" s="105"/>
      <c r="G1003" s="106"/>
      <c r="H1003" s="125"/>
      <c r="I1003" s="126"/>
      <c r="J1003" s="125"/>
      <c r="K1003" s="125"/>
      <c r="L1003" s="145" t="s">
        <v>1806</v>
      </c>
      <c r="M1003" s="45" t="str">
        <f t="shared" si="31"/>
        <v>OneCo Networks AS</v>
      </c>
      <c r="N1003" s="40" t="str">
        <f ca="1">IFERROR(
VLOOKUP(BoM_Griptel[[#This Row],[Product code]],
IF(AND((BoQ!$N$3&lt;&gt;""),OR(BoM_Griptel[[#This Row],[Vendor]]="Griptel",BoM_Griptel[[#This Row],[Vendor]]="Solar")),INDIRECT(Aux!$A$1)),4,FALSE),"")</f>
        <v/>
      </c>
      <c r="O1003" s="169" t="s">
        <v>1807</v>
      </c>
      <c r="P1003" s="41" t="str">
        <f>IFERROR(IF(AND(BoM_Griptel[[#This Row],[Quantity]]&lt;&gt;"",BoM_Griptel[[#This Row],[Currency]]="NOK"),BoM_Griptel[[#This Row],[Quantity]]*BoM_Griptel[[#This Row],[Unit Price]],""),"")</f>
        <v/>
      </c>
      <c r="Q1003" s="41" t="str">
        <f>IFERROR(IF(AND(BoM_Griptel[[#This Row],[ACT_Qty]]&lt;&gt;"",BoM_Griptel[[#This Row],[Currency]]="NOK"),BoM_Griptel[[#This Row],[ACT_Qty]]*BoM_Griptel[[#This Row],[Unit Price]],""),"")</f>
        <v/>
      </c>
      <c r="R1003" s="41" t="str">
        <f>IFERROR(IF(AND(BoM_Griptel[[#This Row],[Quantity]]&lt;&gt;"",BoM_Griptel[[#This Row],[Currency]]="EUR"),BoM_Griptel[[#This Row],[Quantity]]*BoM_Griptel[[#This Row],[Unit Price]],""),"")</f>
        <v/>
      </c>
      <c r="S1003" s="41" t="str">
        <f>IFERROR(IF(AND(BoM_Griptel[[#This Row],[ACT_Qty]]&lt;&gt;"",BoM_Griptel[[#This Row],[Currency]]="EUR"),BoM_Griptel[[#This Row],[ACT_Qty]]*BoM_Griptel[[#This Row],[Unit Price]],""),"")</f>
        <v/>
      </c>
      <c r="T1003" s="185" t="s">
        <v>1802</v>
      </c>
      <c r="U1003" s="45"/>
      <c r="V1003" s="45"/>
      <c r="W1003" s="45"/>
    </row>
    <row r="1004" spans="1:23">
      <c r="A1004" s="146" t="str">
        <f t="shared" si="30"/>
        <v>AKH12345</v>
      </c>
      <c r="B1004" s="160"/>
      <c r="C1004" s="69"/>
      <c r="D1004" s="68"/>
      <c r="E1004" s="89"/>
      <c r="F1004" s="68"/>
      <c r="G1004" s="89"/>
      <c r="H1004" s="70"/>
      <c r="I1004" s="78"/>
      <c r="J1004" s="70"/>
      <c r="K1004" s="70"/>
      <c r="L1004" s="148" t="s">
        <v>1806</v>
      </c>
      <c r="M1004" s="46" t="str">
        <f t="shared" si="31"/>
        <v>OneCo Networks AS</v>
      </c>
      <c r="N1004" s="42" t="str">
        <f ca="1">IFERROR(
VLOOKUP(BoM_Griptel[[#This Row],[Product code]],
IF(AND((BoQ!$N$3&lt;&gt;""),OR(BoM_Griptel[[#This Row],[Vendor]]="Griptel",BoM_Griptel[[#This Row],[Vendor]]="Solar")),INDIRECT(Aux!$A$1)),4,FALSE),"")</f>
        <v/>
      </c>
      <c r="O1004" s="170" t="s">
        <v>1807</v>
      </c>
      <c r="P1004" s="43" t="str">
        <f>IFERROR(IF(AND(BoM_Griptel[[#This Row],[Quantity]]&lt;&gt;"",BoM_Griptel[[#This Row],[Currency]]="NOK"),BoM_Griptel[[#This Row],[Quantity]]*BoM_Griptel[[#This Row],[Unit Price]],""),"")</f>
        <v/>
      </c>
      <c r="Q1004" s="43" t="str">
        <f>IFERROR(IF(AND(BoM_Griptel[[#This Row],[ACT_Qty]]&lt;&gt;"",BoM_Griptel[[#This Row],[Currency]]="NOK"),BoM_Griptel[[#This Row],[ACT_Qty]]*BoM_Griptel[[#This Row],[Unit Price]],""),"")</f>
        <v/>
      </c>
      <c r="R1004" s="43" t="str">
        <f>IFERROR(IF(AND(BoM_Griptel[[#This Row],[Quantity]]&lt;&gt;"",BoM_Griptel[[#This Row],[Currency]]="EUR"),BoM_Griptel[[#This Row],[Quantity]]*BoM_Griptel[[#This Row],[Unit Price]],""),"")</f>
        <v/>
      </c>
      <c r="S1004" s="43" t="str">
        <f>IFERROR(IF(AND(BoM_Griptel[[#This Row],[ACT_Qty]]&lt;&gt;"",BoM_Griptel[[#This Row],[Currency]]="EUR"),BoM_Griptel[[#This Row],[ACT_Qty]]*BoM_Griptel[[#This Row],[Unit Price]],""),"")</f>
        <v/>
      </c>
      <c r="T1004" s="186" t="s">
        <v>1802</v>
      </c>
      <c r="U1004" s="46"/>
      <c r="V1004" s="46"/>
      <c r="W1004" s="46"/>
    </row>
    <row r="1005" spans="1:23">
      <c r="A1005" s="143" t="str">
        <f t="shared" si="30"/>
        <v>AKH12345</v>
      </c>
      <c r="B1005" s="159"/>
      <c r="C1005" s="124"/>
      <c r="D1005" s="105"/>
      <c r="E1005" s="106"/>
      <c r="F1005" s="105"/>
      <c r="G1005" s="106"/>
      <c r="H1005" s="125"/>
      <c r="I1005" s="126"/>
      <c r="J1005" s="125"/>
      <c r="K1005" s="125"/>
      <c r="L1005" s="145" t="s">
        <v>1806</v>
      </c>
      <c r="M1005" s="45" t="str">
        <f t="shared" si="31"/>
        <v>OneCo Networks AS</v>
      </c>
      <c r="N1005" s="40" t="str">
        <f ca="1">IFERROR(
VLOOKUP(BoM_Griptel[[#This Row],[Product code]],
IF(AND((BoQ!$N$3&lt;&gt;""),OR(BoM_Griptel[[#This Row],[Vendor]]="Griptel",BoM_Griptel[[#This Row],[Vendor]]="Solar")),INDIRECT(Aux!$A$1)),4,FALSE),"")</f>
        <v/>
      </c>
      <c r="O1005" s="169" t="s">
        <v>1807</v>
      </c>
      <c r="P1005" s="41" t="str">
        <f>IFERROR(IF(AND(BoM_Griptel[[#This Row],[Quantity]]&lt;&gt;"",BoM_Griptel[[#This Row],[Currency]]="NOK"),BoM_Griptel[[#This Row],[Quantity]]*BoM_Griptel[[#This Row],[Unit Price]],""),"")</f>
        <v/>
      </c>
      <c r="Q1005" s="41" t="str">
        <f>IFERROR(IF(AND(BoM_Griptel[[#This Row],[ACT_Qty]]&lt;&gt;"",BoM_Griptel[[#This Row],[Currency]]="NOK"),BoM_Griptel[[#This Row],[ACT_Qty]]*BoM_Griptel[[#This Row],[Unit Price]],""),"")</f>
        <v/>
      </c>
      <c r="R1005" s="41" t="str">
        <f>IFERROR(IF(AND(BoM_Griptel[[#This Row],[Quantity]]&lt;&gt;"",BoM_Griptel[[#This Row],[Currency]]="EUR"),BoM_Griptel[[#This Row],[Quantity]]*BoM_Griptel[[#This Row],[Unit Price]],""),"")</f>
        <v/>
      </c>
      <c r="S1005" s="41" t="str">
        <f>IFERROR(IF(AND(BoM_Griptel[[#This Row],[ACT_Qty]]&lt;&gt;"",BoM_Griptel[[#This Row],[Currency]]="EUR"),BoM_Griptel[[#This Row],[ACT_Qty]]*BoM_Griptel[[#This Row],[Unit Price]],""),"")</f>
        <v/>
      </c>
      <c r="T1005" s="185" t="s">
        <v>1802</v>
      </c>
      <c r="U1005" s="45"/>
      <c r="V1005" s="45"/>
      <c r="W1005" s="45"/>
    </row>
    <row r="1006" spans="1:23">
      <c r="A1006" s="146" t="str">
        <f t="shared" si="30"/>
        <v>AKH12345</v>
      </c>
      <c r="B1006" s="160"/>
      <c r="C1006" s="69"/>
      <c r="D1006" s="68"/>
      <c r="E1006" s="89"/>
      <c r="F1006" s="68"/>
      <c r="G1006" s="89"/>
      <c r="H1006" s="70"/>
      <c r="I1006" s="78"/>
      <c r="J1006" s="70"/>
      <c r="K1006" s="70"/>
      <c r="L1006" s="148" t="s">
        <v>1806</v>
      </c>
      <c r="M1006" s="46" t="str">
        <f t="shared" si="31"/>
        <v>OneCo Networks AS</v>
      </c>
      <c r="N1006" s="42" t="str">
        <f ca="1">IFERROR(
VLOOKUP(BoM_Griptel[[#This Row],[Product code]],
IF(AND((BoQ!$N$3&lt;&gt;""),OR(BoM_Griptel[[#This Row],[Vendor]]="Griptel",BoM_Griptel[[#This Row],[Vendor]]="Solar")),INDIRECT(Aux!$A$1)),4,FALSE),"")</f>
        <v/>
      </c>
      <c r="O1006" s="170" t="s">
        <v>1807</v>
      </c>
      <c r="P1006" s="43" t="str">
        <f>IFERROR(IF(AND(BoM_Griptel[[#This Row],[Quantity]]&lt;&gt;"",BoM_Griptel[[#This Row],[Currency]]="NOK"),BoM_Griptel[[#This Row],[Quantity]]*BoM_Griptel[[#This Row],[Unit Price]],""),"")</f>
        <v/>
      </c>
      <c r="Q1006" s="43" t="str">
        <f>IFERROR(IF(AND(BoM_Griptel[[#This Row],[ACT_Qty]]&lt;&gt;"",BoM_Griptel[[#This Row],[Currency]]="NOK"),BoM_Griptel[[#This Row],[ACT_Qty]]*BoM_Griptel[[#This Row],[Unit Price]],""),"")</f>
        <v/>
      </c>
      <c r="R1006" s="43" t="str">
        <f>IFERROR(IF(AND(BoM_Griptel[[#This Row],[Quantity]]&lt;&gt;"",BoM_Griptel[[#This Row],[Currency]]="EUR"),BoM_Griptel[[#This Row],[Quantity]]*BoM_Griptel[[#This Row],[Unit Price]],""),"")</f>
        <v/>
      </c>
      <c r="S1006" s="43" t="str">
        <f>IFERROR(IF(AND(BoM_Griptel[[#This Row],[ACT_Qty]]&lt;&gt;"",BoM_Griptel[[#This Row],[Currency]]="EUR"),BoM_Griptel[[#This Row],[ACT_Qty]]*BoM_Griptel[[#This Row],[Unit Price]],""),"")</f>
        <v/>
      </c>
      <c r="T1006" s="186" t="s">
        <v>1802</v>
      </c>
      <c r="U1006" s="46"/>
      <c r="V1006" s="46"/>
      <c r="W1006" s="46"/>
    </row>
    <row r="1007" spans="1:23">
      <c r="A1007" s="143" t="str">
        <f t="shared" si="30"/>
        <v>AKH12345</v>
      </c>
      <c r="B1007" s="159"/>
      <c r="C1007" s="124"/>
      <c r="D1007" s="105"/>
      <c r="E1007" s="106"/>
      <c r="F1007" s="105"/>
      <c r="G1007" s="106"/>
      <c r="H1007" s="125"/>
      <c r="I1007" s="126"/>
      <c r="J1007" s="125"/>
      <c r="K1007" s="125"/>
      <c r="L1007" s="145" t="s">
        <v>1806</v>
      </c>
      <c r="M1007" s="45" t="str">
        <f t="shared" si="31"/>
        <v>OneCo Networks AS</v>
      </c>
      <c r="N1007" s="40" t="str">
        <f ca="1">IFERROR(
VLOOKUP(BoM_Griptel[[#This Row],[Product code]],
IF(AND((BoQ!$N$3&lt;&gt;""),OR(BoM_Griptel[[#This Row],[Vendor]]="Griptel",BoM_Griptel[[#This Row],[Vendor]]="Solar")),INDIRECT(Aux!$A$1)),4,FALSE),"")</f>
        <v/>
      </c>
      <c r="O1007" s="169" t="s">
        <v>1807</v>
      </c>
      <c r="P1007" s="41" t="str">
        <f>IFERROR(IF(AND(BoM_Griptel[[#This Row],[Quantity]]&lt;&gt;"",BoM_Griptel[[#This Row],[Currency]]="NOK"),BoM_Griptel[[#This Row],[Quantity]]*BoM_Griptel[[#This Row],[Unit Price]],""),"")</f>
        <v/>
      </c>
      <c r="Q1007" s="41" t="str">
        <f>IFERROR(IF(AND(BoM_Griptel[[#This Row],[ACT_Qty]]&lt;&gt;"",BoM_Griptel[[#This Row],[Currency]]="NOK"),BoM_Griptel[[#This Row],[ACT_Qty]]*BoM_Griptel[[#This Row],[Unit Price]],""),"")</f>
        <v/>
      </c>
      <c r="R1007" s="41" t="str">
        <f>IFERROR(IF(AND(BoM_Griptel[[#This Row],[Quantity]]&lt;&gt;"",BoM_Griptel[[#This Row],[Currency]]="EUR"),BoM_Griptel[[#This Row],[Quantity]]*BoM_Griptel[[#This Row],[Unit Price]],""),"")</f>
        <v/>
      </c>
      <c r="S1007" s="41" t="str">
        <f>IFERROR(IF(AND(BoM_Griptel[[#This Row],[ACT_Qty]]&lt;&gt;"",BoM_Griptel[[#This Row],[Currency]]="EUR"),BoM_Griptel[[#This Row],[ACT_Qty]]*BoM_Griptel[[#This Row],[Unit Price]],""),"")</f>
        <v/>
      </c>
      <c r="T1007" s="185" t="s">
        <v>1802</v>
      </c>
      <c r="U1007" s="45"/>
      <c r="V1007" s="45"/>
      <c r="W1007" s="45"/>
    </row>
    <row r="1008" spans="1:23">
      <c r="A1008" s="146" t="str">
        <f t="shared" si="30"/>
        <v>AKH12345</v>
      </c>
      <c r="B1008" s="160"/>
      <c r="C1008" s="69"/>
      <c r="D1008" s="68"/>
      <c r="E1008" s="89"/>
      <c r="F1008" s="68"/>
      <c r="G1008" s="89"/>
      <c r="H1008" s="70"/>
      <c r="I1008" s="78"/>
      <c r="J1008" s="70"/>
      <c r="K1008" s="70"/>
      <c r="L1008" s="148" t="s">
        <v>1806</v>
      </c>
      <c r="M1008" s="46" t="str">
        <f t="shared" si="31"/>
        <v>OneCo Networks AS</v>
      </c>
      <c r="N1008" s="42" t="str">
        <f ca="1">IFERROR(
VLOOKUP(BoM_Griptel[[#This Row],[Product code]],
IF(AND((BoQ!$N$3&lt;&gt;""),OR(BoM_Griptel[[#This Row],[Vendor]]="Griptel",BoM_Griptel[[#This Row],[Vendor]]="Solar")),INDIRECT(Aux!$A$1)),4,FALSE),"")</f>
        <v/>
      </c>
      <c r="O1008" s="170" t="s">
        <v>1807</v>
      </c>
      <c r="P1008" s="43" t="str">
        <f>IFERROR(IF(AND(BoM_Griptel[[#This Row],[Quantity]]&lt;&gt;"",BoM_Griptel[[#This Row],[Currency]]="NOK"),BoM_Griptel[[#This Row],[Quantity]]*BoM_Griptel[[#This Row],[Unit Price]],""),"")</f>
        <v/>
      </c>
      <c r="Q1008" s="43" t="str">
        <f>IFERROR(IF(AND(BoM_Griptel[[#This Row],[ACT_Qty]]&lt;&gt;"",BoM_Griptel[[#This Row],[Currency]]="NOK"),BoM_Griptel[[#This Row],[ACT_Qty]]*BoM_Griptel[[#This Row],[Unit Price]],""),"")</f>
        <v/>
      </c>
      <c r="R1008" s="43" t="str">
        <f>IFERROR(IF(AND(BoM_Griptel[[#This Row],[Quantity]]&lt;&gt;"",BoM_Griptel[[#This Row],[Currency]]="EUR"),BoM_Griptel[[#This Row],[Quantity]]*BoM_Griptel[[#This Row],[Unit Price]],""),"")</f>
        <v/>
      </c>
      <c r="S1008" s="43" t="str">
        <f>IFERROR(IF(AND(BoM_Griptel[[#This Row],[ACT_Qty]]&lt;&gt;"",BoM_Griptel[[#This Row],[Currency]]="EUR"),BoM_Griptel[[#This Row],[ACT_Qty]]*BoM_Griptel[[#This Row],[Unit Price]],""),"")</f>
        <v/>
      </c>
      <c r="T1008" s="186" t="s">
        <v>1802</v>
      </c>
      <c r="U1008" s="46"/>
      <c r="V1008" s="46"/>
      <c r="W1008" s="46"/>
    </row>
    <row r="1009" spans="1:23">
      <c r="A1009" s="143" t="str">
        <f t="shared" si="30"/>
        <v>AKH12345</v>
      </c>
      <c r="B1009" s="159"/>
      <c r="C1009" s="124"/>
      <c r="D1009" s="105"/>
      <c r="E1009" s="106"/>
      <c r="F1009" s="105"/>
      <c r="G1009" s="106"/>
      <c r="H1009" s="125"/>
      <c r="I1009" s="126"/>
      <c r="J1009" s="125"/>
      <c r="K1009" s="125"/>
      <c r="L1009" s="145" t="s">
        <v>1806</v>
      </c>
      <c r="M1009" s="45" t="str">
        <f t="shared" si="31"/>
        <v>OneCo Networks AS</v>
      </c>
      <c r="N1009" s="40" t="str">
        <f ca="1">IFERROR(
VLOOKUP(BoM_Griptel[[#This Row],[Product code]],
IF(AND((BoQ!$N$3&lt;&gt;""),OR(BoM_Griptel[[#This Row],[Vendor]]="Griptel",BoM_Griptel[[#This Row],[Vendor]]="Solar")),INDIRECT(Aux!$A$1)),4,FALSE),"")</f>
        <v/>
      </c>
      <c r="O1009" s="169" t="s">
        <v>1807</v>
      </c>
      <c r="P1009" s="41" t="str">
        <f>IFERROR(IF(AND(BoM_Griptel[[#This Row],[Quantity]]&lt;&gt;"",BoM_Griptel[[#This Row],[Currency]]="NOK"),BoM_Griptel[[#This Row],[Quantity]]*BoM_Griptel[[#This Row],[Unit Price]],""),"")</f>
        <v/>
      </c>
      <c r="Q1009" s="41" t="str">
        <f>IFERROR(IF(AND(BoM_Griptel[[#This Row],[ACT_Qty]]&lt;&gt;"",BoM_Griptel[[#This Row],[Currency]]="NOK"),BoM_Griptel[[#This Row],[ACT_Qty]]*BoM_Griptel[[#This Row],[Unit Price]],""),"")</f>
        <v/>
      </c>
      <c r="R1009" s="41" t="str">
        <f>IFERROR(IF(AND(BoM_Griptel[[#This Row],[Quantity]]&lt;&gt;"",BoM_Griptel[[#This Row],[Currency]]="EUR"),BoM_Griptel[[#This Row],[Quantity]]*BoM_Griptel[[#This Row],[Unit Price]],""),"")</f>
        <v/>
      </c>
      <c r="S1009" s="41" t="str">
        <f>IFERROR(IF(AND(BoM_Griptel[[#This Row],[ACT_Qty]]&lt;&gt;"",BoM_Griptel[[#This Row],[Currency]]="EUR"),BoM_Griptel[[#This Row],[ACT_Qty]]*BoM_Griptel[[#This Row],[Unit Price]],""),"")</f>
        <v/>
      </c>
      <c r="T1009" s="185" t="s">
        <v>1802</v>
      </c>
      <c r="U1009" s="45"/>
      <c r="V1009" s="45"/>
      <c r="W1009" s="45"/>
    </row>
    <row r="1010" spans="1:23">
      <c r="A1010" s="146" t="str">
        <f t="shared" si="30"/>
        <v>AKH12345</v>
      </c>
      <c r="B1010" s="160"/>
      <c r="C1010" s="69"/>
      <c r="D1010" s="68"/>
      <c r="E1010" s="89"/>
      <c r="F1010" s="68"/>
      <c r="G1010" s="89"/>
      <c r="H1010" s="70"/>
      <c r="I1010" s="78"/>
      <c r="J1010" s="70"/>
      <c r="K1010" s="70"/>
      <c r="L1010" s="148" t="s">
        <v>1806</v>
      </c>
      <c r="M1010" s="46" t="str">
        <f t="shared" si="31"/>
        <v>OneCo Networks AS</v>
      </c>
      <c r="N1010" s="42" t="str">
        <f ca="1">IFERROR(
VLOOKUP(BoM_Griptel[[#This Row],[Product code]],
IF(AND((BoQ!$N$3&lt;&gt;""),OR(BoM_Griptel[[#This Row],[Vendor]]="Griptel",BoM_Griptel[[#This Row],[Vendor]]="Solar")),INDIRECT(Aux!$A$1)),4,FALSE),"")</f>
        <v/>
      </c>
      <c r="O1010" s="170" t="s">
        <v>1807</v>
      </c>
      <c r="P1010" s="43" t="str">
        <f>IFERROR(IF(AND(BoM_Griptel[[#This Row],[Quantity]]&lt;&gt;"",BoM_Griptel[[#This Row],[Currency]]="NOK"),BoM_Griptel[[#This Row],[Quantity]]*BoM_Griptel[[#This Row],[Unit Price]],""),"")</f>
        <v/>
      </c>
      <c r="Q1010" s="43" t="str">
        <f>IFERROR(IF(AND(BoM_Griptel[[#This Row],[ACT_Qty]]&lt;&gt;"",BoM_Griptel[[#This Row],[Currency]]="NOK"),BoM_Griptel[[#This Row],[ACT_Qty]]*BoM_Griptel[[#This Row],[Unit Price]],""),"")</f>
        <v/>
      </c>
      <c r="R1010" s="43" t="str">
        <f>IFERROR(IF(AND(BoM_Griptel[[#This Row],[Quantity]]&lt;&gt;"",BoM_Griptel[[#This Row],[Currency]]="EUR"),BoM_Griptel[[#This Row],[Quantity]]*BoM_Griptel[[#This Row],[Unit Price]],""),"")</f>
        <v/>
      </c>
      <c r="S1010" s="43" t="str">
        <f>IFERROR(IF(AND(BoM_Griptel[[#This Row],[ACT_Qty]]&lt;&gt;"",BoM_Griptel[[#This Row],[Currency]]="EUR"),BoM_Griptel[[#This Row],[ACT_Qty]]*BoM_Griptel[[#This Row],[Unit Price]],""),"")</f>
        <v/>
      </c>
      <c r="T1010" s="186" t="s">
        <v>1802</v>
      </c>
      <c r="U1010" s="46"/>
      <c r="V1010" s="46"/>
      <c r="W1010" s="46"/>
    </row>
    <row r="1011" spans="1:23">
      <c r="A1011" s="143" t="str">
        <f t="shared" si="30"/>
        <v>AKH12345</v>
      </c>
      <c r="B1011" s="159"/>
      <c r="C1011" s="124"/>
      <c r="D1011" s="105"/>
      <c r="E1011" s="106"/>
      <c r="F1011" s="105"/>
      <c r="G1011" s="106"/>
      <c r="H1011" s="125"/>
      <c r="I1011" s="126"/>
      <c r="J1011" s="125"/>
      <c r="K1011" s="125"/>
      <c r="L1011" s="145" t="s">
        <v>1806</v>
      </c>
      <c r="M1011" s="45" t="str">
        <f t="shared" si="31"/>
        <v>OneCo Networks AS</v>
      </c>
      <c r="N1011" s="40" t="str">
        <f ca="1">IFERROR(
VLOOKUP(BoM_Griptel[[#This Row],[Product code]],
IF(AND((BoQ!$N$3&lt;&gt;""),OR(BoM_Griptel[[#This Row],[Vendor]]="Griptel",BoM_Griptel[[#This Row],[Vendor]]="Solar")),INDIRECT(Aux!$A$1)),4,FALSE),"")</f>
        <v/>
      </c>
      <c r="O1011" s="169" t="s">
        <v>1807</v>
      </c>
      <c r="P1011" s="41" t="str">
        <f>IFERROR(IF(AND(BoM_Griptel[[#This Row],[Quantity]]&lt;&gt;"",BoM_Griptel[[#This Row],[Currency]]="NOK"),BoM_Griptel[[#This Row],[Quantity]]*BoM_Griptel[[#This Row],[Unit Price]],""),"")</f>
        <v/>
      </c>
      <c r="Q1011" s="41" t="str">
        <f>IFERROR(IF(AND(BoM_Griptel[[#This Row],[ACT_Qty]]&lt;&gt;"",BoM_Griptel[[#This Row],[Currency]]="NOK"),BoM_Griptel[[#This Row],[ACT_Qty]]*BoM_Griptel[[#This Row],[Unit Price]],""),"")</f>
        <v/>
      </c>
      <c r="R1011" s="41" t="str">
        <f>IFERROR(IF(AND(BoM_Griptel[[#This Row],[Quantity]]&lt;&gt;"",BoM_Griptel[[#This Row],[Currency]]="EUR"),BoM_Griptel[[#This Row],[Quantity]]*BoM_Griptel[[#This Row],[Unit Price]],""),"")</f>
        <v/>
      </c>
      <c r="S1011" s="41" t="str">
        <f>IFERROR(IF(AND(BoM_Griptel[[#This Row],[ACT_Qty]]&lt;&gt;"",BoM_Griptel[[#This Row],[Currency]]="EUR"),BoM_Griptel[[#This Row],[ACT_Qty]]*BoM_Griptel[[#This Row],[Unit Price]],""),"")</f>
        <v/>
      </c>
      <c r="T1011" s="185" t="s">
        <v>1802</v>
      </c>
      <c r="U1011" s="45"/>
      <c r="V1011" s="45"/>
      <c r="W1011" s="45"/>
    </row>
    <row r="1012" spans="1:23">
      <c r="A1012" s="146" t="str">
        <f t="shared" si="30"/>
        <v>AKH12345</v>
      </c>
      <c r="B1012" s="160"/>
      <c r="C1012" s="69"/>
      <c r="D1012" s="68"/>
      <c r="E1012" s="89"/>
      <c r="F1012" s="68"/>
      <c r="G1012" s="89"/>
      <c r="H1012" s="70"/>
      <c r="I1012" s="78"/>
      <c r="J1012" s="70"/>
      <c r="K1012" s="70"/>
      <c r="L1012" s="148" t="s">
        <v>1806</v>
      </c>
      <c r="M1012" s="46" t="str">
        <f t="shared" si="31"/>
        <v>OneCo Networks AS</v>
      </c>
      <c r="N1012" s="42" t="str">
        <f ca="1">IFERROR(
VLOOKUP(BoM_Griptel[[#This Row],[Product code]],
IF(AND((BoQ!$N$3&lt;&gt;""),OR(BoM_Griptel[[#This Row],[Vendor]]="Griptel",BoM_Griptel[[#This Row],[Vendor]]="Solar")),INDIRECT(Aux!$A$1)),4,FALSE),"")</f>
        <v/>
      </c>
      <c r="O1012" s="170" t="s">
        <v>1807</v>
      </c>
      <c r="P1012" s="43" t="str">
        <f>IFERROR(IF(AND(BoM_Griptel[[#This Row],[Quantity]]&lt;&gt;"",BoM_Griptel[[#This Row],[Currency]]="NOK"),BoM_Griptel[[#This Row],[Quantity]]*BoM_Griptel[[#This Row],[Unit Price]],""),"")</f>
        <v/>
      </c>
      <c r="Q1012" s="43" t="str">
        <f>IFERROR(IF(AND(BoM_Griptel[[#This Row],[ACT_Qty]]&lt;&gt;"",BoM_Griptel[[#This Row],[Currency]]="NOK"),BoM_Griptel[[#This Row],[ACT_Qty]]*BoM_Griptel[[#This Row],[Unit Price]],""),"")</f>
        <v/>
      </c>
      <c r="R1012" s="43" t="str">
        <f>IFERROR(IF(AND(BoM_Griptel[[#This Row],[Quantity]]&lt;&gt;"",BoM_Griptel[[#This Row],[Currency]]="EUR"),BoM_Griptel[[#This Row],[Quantity]]*BoM_Griptel[[#This Row],[Unit Price]],""),"")</f>
        <v/>
      </c>
      <c r="S1012" s="43" t="str">
        <f>IFERROR(IF(AND(BoM_Griptel[[#This Row],[ACT_Qty]]&lt;&gt;"",BoM_Griptel[[#This Row],[Currency]]="EUR"),BoM_Griptel[[#This Row],[ACT_Qty]]*BoM_Griptel[[#This Row],[Unit Price]],""),"")</f>
        <v/>
      </c>
      <c r="T1012" s="186" t="s">
        <v>1802</v>
      </c>
      <c r="U1012" s="46"/>
      <c r="V1012" s="46"/>
      <c r="W1012" s="46"/>
    </row>
    <row r="1013" spans="1:23">
      <c r="A1013" s="143" t="str">
        <f t="shared" si="30"/>
        <v>AKH12345</v>
      </c>
      <c r="B1013" s="159"/>
      <c r="C1013" s="124"/>
      <c r="D1013" s="105"/>
      <c r="E1013" s="106"/>
      <c r="F1013" s="105"/>
      <c r="G1013" s="106"/>
      <c r="H1013" s="125"/>
      <c r="I1013" s="126"/>
      <c r="J1013" s="125"/>
      <c r="K1013" s="125"/>
      <c r="L1013" s="145" t="s">
        <v>1806</v>
      </c>
      <c r="M1013" s="45" t="str">
        <f t="shared" si="31"/>
        <v>OneCo Networks AS</v>
      </c>
      <c r="N1013" s="40" t="str">
        <f ca="1">IFERROR(
VLOOKUP(BoM_Griptel[[#This Row],[Product code]],
IF(AND((BoQ!$N$3&lt;&gt;""),OR(BoM_Griptel[[#This Row],[Vendor]]="Griptel",BoM_Griptel[[#This Row],[Vendor]]="Solar")),INDIRECT(Aux!$A$1)),4,FALSE),"")</f>
        <v/>
      </c>
      <c r="O1013" s="169" t="s">
        <v>1807</v>
      </c>
      <c r="P1013" s="41" t="str">
        <f>IFERROR(IF(AND(BoM_Griptel[[#This Row],[Quantity]]&lt;&gt;"",BoM_Griptel[[#This Row],[Currency]]="NOK"),BoM_Griptel[[#This Row],[Quantity]]*BoM_Griptel[[#This Row],[Unit Price]],""),"")</f>
        <v/>
      </c>
      <c r="Q1013" s="41" t="str">
        <f>IFERROR(IF(AND(BoM_Griptel[[#This Row],[ACT_Qty]]&lt;&gt;"",BoM_Griptel[[#This Row],[Currency]]="NOK"),BoM_Griptel[[#This Row],[ACT_Qty]]*BoM_Griptel[[#This Row],[Unit Price]],""),"")</f>
        <v/>
      </c>
      <c r="R1013" s="41" t="str">
        <f>IFERROR(IF(AND(BoM_Griptel[[#This Row],[Quantity]]&lt;&gt;"",BoM_Griptel[[#This Row],[Currency]]="EUR"),BoM_Griptel[[#This Row],[Quantity]]*BoM_Griptel[[#This Row],[Unit Price]],""),"")</f>
        <v/>
      </c>
      <c r="S1013" s="41" t="str">
        <f>IFERROR(IF(AND(BoM_Griptel[[#This Row],[ACT_Qty]]&lt;&gt;"",BoM_Griptel[[#This Row],[Currency]]="EUR"),BoM_Griptel[[#This Row],[ACT_Qty]]*BoM_Griptel[[#This Row],[Unit Price]],""),"")</f>
        <v/>
      </c>
      <c r="T1013" s="185" t="s">
        <v>1802</v>
      </c>
      <c r="U1013" s="45"/>
      <c r="V1013" s="45"/>
      <c r="W1013" s="45"/>
    </row>
    <row r="1014" spans="1:23">
      <c r="A1014" s="146" t="str">
        <f t="shared" si="30"/>
        <v>AKH12345</v>
      </c>
      <c r="B1014" s="160"/>
      <c r="C1014" s="69"/>
      <c r="D1014" s="68"/>
      <c r="E1014" s="89"/>
      <c r="F1014" s="68"/>
      <c r="G1014" s="89"/>
      <c r="H1014" s="70"/>
      <c r="I1014" s="78"/>
      <c r="J1014" s="70"/>
      <c r="K1014" s="70"/>
      <c r="L1014" s="148" t="s">
        <v>1806</v>
      </c>
      <c r="M1014" s="46" t="str">
        <f t="shared" si="31"/>
        <v>OneCo Networks AS</v>
      </c>
      <c r="N1014" s="42" t="str">
        <f ca="1">IFERROR(
VLOOKUP(BoM_Griptel[[#This Row],[Product code]],
IF(AND((BoQ!$N$3&lt;&gt;""),OR(BoM_Griptel[[#This Row],[Vendor]]="Griptel",BoM_Griptel[[#This Row],[Vendor]]="Solar")),INDIRECT(Aux!$A$1)),4,FALSE),"")</f>
        <v/>
      </c>
      <c r="O1014" s="170" t="s">
        <v>1807</v>
      </c>
      <c r="P1014" s="43" t="str">
        <f>IFERROR(IF(AND(BoM_Griptel[[#This Row],[Quantity]]&lt;&gt;"",BoM_Griptel[[#This Row],[Currency]]="NOK"),BoM_Griptel[[#This Row],[Quantity]]*BoM_Griptel[[#This Row],[Unit Price]],""),"")</f>
        <v/>
      </c>
      <c r="Q1014" s="43" t="str">
        <f>IFERROR(IF(AND(BoM_Griptel[[#This Row],[ACT_Qty]]&lt;&gt;"",BoM_Griptel[[#This Row],[Currency]]="NOK"),BoM_Griptel[[#This Row],[ACT_Qty]]*BoM_Griptel[[#This Row],[Unit Price]],""),"")</f>
        <v/>
      </c>
      <c r="R1014" s="43" t="str">
        <f>IFERROR(IF(AND(BoM_Griptel[[#This Row],[Quantity]]&lt;&gt;"",BoM_Griptel[[#This Row],[Currency]]="EUR"),BoM_Griptel[[#This Row],[Quantity]]*BoM_Griptel[[#This Row],[Unit Price]],""),"")</f>
        <v/>
      </c>
      <c r="S1014" s="43" t="str">
        <f>IFERROR(IF(AND(BoM_Griptel[[#This Row],[ACT_Qty]]&lt;&gt;"",BoM_Griptel[[#This Row],[Currency]]="EUR"),BoM_Griptel[[#This Row],[ACT_Qty]]*BoM_Griptel[[#This Row],[Unit Price]],""),"")</f>
        <v/>
      </c>
      <c r="T1014" s="186" t="s">
        <v>1802</v>
      </c>
      <c r="U1014" s="46"/>
      <c r="V1014" s="46"/>
      <c r="W1014" s="46"/>
    </row>
  </sheetData>
  <sheetProtection algorithmName="SHA-512" hashValue="kIxB1qLinevqlZ6CSLqH94bHgWkmwvIQ3VxHSZp2F/TizwiZCXKVf9dbBGGznr/5e0QYRMRc6PdZ+90H1o9p7g==" saltValue="BZIXLYWLHyH7+mJ0/Kjz4A==" spinCount="100000" sheet="1" formatColumns="0" autoFilter="0"/>
  <phoneticPr fontId="6" type="noConversion"/>
  <conditionalFormatting sqref="N11:T1014">
    <cfRule type="expression" dxfId="68" priority="2">
      <formula>($T11="TSSR")</formula>
    </cfRule>
    <cfRule type="expression" dxfId="67" priority="3">
      <formula>($T11="Office")</formula>
    </cfRule>
    <cfRule type="expression" dxfId="66" priority="4">
      <formula>($T11="On site")</formula>
    </cfRule>
  </conditionalFormatting>
  <conditionalFormatting sqref="B1:B1048576">
    <cfRule type="expression" dxfId="65" priority="5">
      <formula>AND(COUNTIF($B:$B,B1)&gt;1,B1&lt;&gt;"ice_add_service_1NOK",B1&lt;&gt;"ice_add_material_1NOK",B1&lt;&gt;"ice_spec_trans_1NOK")</formula>
    </cfRule>
  </conditionalFormatting>
  <pageMargins left="0.7" right="0.7" top="0.75" bottom="0.75" header="0.3" footer="0.3"/>
  <pageSetup orientation="portrait" r:id="rId1"/>
  <ignoredErrors>
    <ignoredError sqref="O665:O1014 O11:O34 O364:O663 O64:O362 O36:O62" calculatedColumn="1"/>
    <ignoredError sqref="M11:M1014" unlockedFormula="1"/>
  </ignoredErrors>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DF0A0-D615-4C31-9143-8F6708B79739}">
  <sheetPr codeName="Sheet6"/>
  <dimension ref="A1:W305"/>
  <sheetViews>
    <sheetView workbookViewId="0">
      <pane ySplit="10" topLeftCell="A45" activePane="bottomLeft" state="frozen"/>
      <selection pane="bottomLeft" activeCell="C61" sqref="C61"/>
      <selection activeCell="D31" sqref="D31"/>
    </sheetView>
  </sheetViews>
  <sheetFormatPr defaultColWidth="8.85546875" defaultRowHeight="14.45"/>
  <cols>
    <col min="1" max="1" width="10.7109375" customWidth="1"/>
    <col min="2" max="2" width="25.7109375" customWidth="1"/>
    <col min="3" max="3" width="60.7109375" customWidth="1"/>
    <col min="4" max="4" width="10.7109375" style="149" customWidth="1"/>
    <col min="5" max="5" width="52.85546875" style="66" customWidth="1"/>
    <col min="6" max="6" width="10.7109375" style="128" customWidth="1"/>
    <col min="7" max="7" width="15.7109375" style="66" customWidth="1"/>
    <col min="8" max="8" width="50.7109375" style="1" customWidth="1"/>
    <col min="9" max="9" width="17.7109375" style="1" customWidth="1" collapsed="1"/>
    <col min="10" max="10" width="24" style="1" customWidth="1"/>
    <col min="11" max="11" width="10.7109375" style="1" customWidth="1"/>
    <col min="12" max="12" width="11.140625" hidden="1" customWidth="1"/>
    <col min="13" max="13" width="11.85546875" style="1" hidden="1" customWidth="1"/>
    <col min="14" max="14" width="10.7109375" customWidth="1"/>
    <col min="15" max="15" width="7.42578125" customWidth="1"/>
    <col min="16" max="16" width="11.28515625" customWidth="1"/>
    <col min="17" max="19" width="13.28515625" customWidth="1"/>
    <col min="20" max="20" width="11.28515625" style="1" customWidth="1"/>
    <col min="21" max="23" width="8.85546875" style="1"/>
  </cols>
  <sheetData>
    <row r="1" spans="1:23" ht="15" customHeight="1">
      <c r="B1" s="161"/>
      <c r="C1" s="127" t="s">
        <v>0</v>
      </c>
      <c r="D1" s="162"/>
      <c r="E1" s="161"/>
      <c r="F1" s="162"/>
      <c r="G1" s="162"/>
      <c r="H1" s="193" t="s">
        <v>1800</v>
      </c>
      <c r="I1" s="189"/>
      <c r="J1" s="189"/>
      <c r="K1" s="189"/>
      <c r="L1" s="163"/>
      <c r="M1" s="179"/>
      <c r="N1" s="153"/>
      <c r="O1" s="153"/>
      <c r="P1" s="153" t="str">
        <f ca="1">IFERROR(IF(AND((BoQ!$N$3&lt;&gt;""),INDIRECT(Aux!$D$1)),"budget",""),"")</f>
        <v/>
      </c>
      <c r="Q1" s="153" t="str">
        <f ca="1">IFERROR(IF(AND((BoQ!$N$3&lt;&gt;""),INDIRECT(Aux!$D$1)),"actual",""),"")</f>
        <v/>
      </c>
      <c r="R1" s="153"/>
      <c r="S1" s="153"/>
      <c r="T1" s="179"/>
      <c r="U1" s="179"/>
      <c r="V1" s="179"/>
      <c r="W1" s="179"/>
    </row>
    <row r="2" spans="1:23" ht="15" customHeight="1">
      <c r="B2" s="66" t="s">
        <v>1801</v>
      </c>
      <c r="D2" s="128"/>
      <c r="G2"/>
      <c r="H2" s="190"/>
      <c r="I2" s="190"/>
      <c r="J2" s="190"/>
      <c r="K2" s="190"/>
      <c r="N2" s="37"/>
      <c r="O2" s="37"/>
      <c r="P2" s="154">
        <f>COUNTA(BoM_Solar[Quantity])</f>
        <v>0</v>
      </c>
      <c r="Q2" s="38">
        <f>COUNTA(BoM_Solar[ACT_Qty])</f>
        <v>0</v>
      </c>
      <c r="R2" s="44" t="str">
        <f ca="1">IFERROR(IF(AND((BoQ!$N$3&lt;&gt;""),INDIRECT(Aux!$D$1)),"Number of chosen products",""),"")</f>
        <v/>
      </c>
      <c r="S2" s="44"/>
      <c r="T2" s="183"/>
    </row>
    <row r="3" spans="1:23" ht="15" customHeight="1">
      <c r="B3" s="131" t="s">
        <v>8</v>
      </c>
      <c r="C3" s="79" t="str">
        <f>BoQ!C3</f>
        <v>OneCo Networks AS</v>
      </c>
      <c r="E3" s="164" t="s">
        <v>1802</v>
      </c>
      <c r="F3" s="165" t="s">
        <v>1802</v>
      </c>
      <c r="G3"/>
      <c r="H3" s="190"/>
      <c r="I3" s="190"/>
      <c r="J3" s="190"/>
      <c r="K3" s="190"/>
      <c r="N3" s="37"/>
      <c r="O3" s="197">
        <f>COUNTIF(BoM_Solar[Currency],"NOK")</f>
        <v>295</v>
      </c>
      <c r="P3" s="39">
        <f>$O$3-COUNTIF(BoM_Solar[Total Price NOK],"")</f>
        <v>0</v>
      </c>
      <c r="Q3" s="39">
        <f>$O$3-COUNTIF(BoM_Solar[Total ACT Price NOK],"")</f>
        <v>0</v>
      </c>
      <c r="R3" s="44" t="str">
        <f ca="1">IFERROR(IF(AND((BoQ!$N$3&lt;&gt;""),INDIRECT(Aux!$D$1)),"Num. of those products with price",""),"")</f>
        <v/>
      </c>
      <c r="S3" s="44"/>
      <c r="T3" s="183"/>
    </row>
    <row r="4" spans="1:23" ht="15" customHeight="1">
      <c r="B4" s="131" t="s">
        <v>11</v>
      </c>
      <c r="C4" s="79" t="str">
        <f>BoQ!C4</f>
        <v>AKH12345</v>
      </c>
      <c r="D4" s="133"/>
      <c r="G4"/>
      <c r="H4" s="190"/>
      <c r="I4" s="190"/>
      <c r="J4" s="190"/>
      <c r="K4" s="190"/>
      <c r="N4" s="37"/>
      <c r="O4" s="103" t="str">
        <f ca="1">IFERROR(IF(AND((BoQ!$N$3&lt;&gt;""),INDIRECT(Aux!$D$1)),"Coeficient for estimating total price:",""),"")</f>
        <v/>
      </c>
      <c r="P4" s="171" t="str">
        <f>IFERROR($P$2/P3,"")</f>
        <v/>
      </c>
      <c r="Q4" s="171" t="str">
        <f>IFERROR($Q$2/Q3,"")</f>
        <v/>
      </c>
      <c r="R4" s="44"/>
      <c r="S4" s="44"/>
      <c r="T4" s="183"/>
    </row>
    <row r="5" spans="1:23" ht="15" customHeight="1">
      <c r="B5" s="131" t="s">
        <v>14</v>
      </c>
      <c r="C5" s="79" t="str">
        <f>BoQ!C5</f>
        <v>Storgata (example)</v>
      </c>
      <c r="D5" s="132"/>
      <c r="G5"/>
      <c r="H5" s="190"/>
      <c r="I5" s="190"/>
      <c r="J5" s="190"/>
      <c r="K5" s="190"/>
      <c r="N5" s="37"/>
      <c r="O5" s="37"/>
      <c r="P5" s="172"/>
      <c r="Q5" s="37"/>
      <c r="R5" s="44"/>
      <c r="S5" s="44"/>
      <c r="T5" s="183"/>
    </row>
    <row r="6" spans="1:23" ht="15" customHeight="1">
      <c r="B6" s="131" t="s">
        <v>17</v>
      </c>
      <c r="C6" s="79" t="str">
        <f>BoQ!C6</f>
        <v>UMML_ (example)</v>
      </c>
      <c r="D6" s="132"/>
      <c r="E6" s="134" t="s">
        <v>1802</v>
      </c>
      <c r="F6" s="135" t="s">
        <v>1802</v>
      </c>
      <c r="G6"/>
      <c r="H6" s="190"/>
      <c r="I6" s="190"/>
      <c r="J6" s="190"/>
      <c r="K6" s="190"/>
      <c r="N6" s="37"/>
      <c r="O6" s="103" t="str">
        <f ca="1">IFERROR(IF(AND((BoQ!$N$3&lt;&gt;""),INDIRECT(Aux!$D$1)),"Total price for products present in pricing file:",""),"")</f>
        <v/>
      </c>
      <c r="P6" s="173" t="str">
        <f ca="1">IFERROR(IF(AND((BoQ!$N$3&lt;&gt;""),INDIRECT(Aux!$D$1)),SUM(BoM_Solar[Total Price NOK]),""),"")</f>
        <v/>
      </c>
      <c r="Q6" s="173" t="str">
        <f ca="1">IFERROR(IF(AND((BoQ!$N$3&lt;&gt;""),INDIRECT(Aux!$D$1)),SUM(BoM_Solar[Total ACT Price NOK]),""),"")</f>
        <v/>
      </c>
      <c r="R6" s="44"/>
      <c r="S6" s="44"/>
      <c r="T6" s="183"/>
    </row>
    <row r="7" spans="1:23" ht="15" customHeight="1">
      <c r="B7" s="131" t="s">
        <v>20</v>
      </c>
      <c r="C7" s="79">
        <f>BoQ!C7</f>
        <v>0</v>
      </c>
      <c r="D7" s="132"/>
      <c r="E7" s="134" t="s">
        <v>1802</v>
      </c>
      <c r="F7" s="135" t="s">
        <v>1802</v>
      </c>
      <c r="G7"/>
      <c r="H7" s="190"/>
      <c r="I7" s="190"/>
      <c r="J7" s="190"/>
      <c r="K7" s="190"/>
      <c r="N7" s="37"/>
      <c r="O7" s="103" t="str">
        <f ca="1">IFERROR(IF(AND((BoQ!$N$3&lt;&gt;""),INDIRECT(Aux!$D$1)),"Estimated total price:",""),"")</f>
        <v/>
      </c>
      <c r="P7" s="173" t="str">
        <f ca="1">IFERROR(P6*P4,"")</f>
        <v/>
      </c>
      <c r="Q7" s="173" t="str">
        <f ca="1">IFERROR(Q6*Q4,"")</f>
        <v/>
      </c>
      <c r="R7" s="44"/>
      <c r="S7" s="44"/>
      <c r="T7" s="183"/>
    </row>
    <row r="8" spans="1:23" ht="15" customHeight="1">
      <c r="B8" s="131" t="s">
        <v>21</v>
      </c>
      <c r="C8" s="104">
        <f>BoQ!C8</f>
        <v>0</v>
      </c>
      <c r="D8" s="136"/>
      <c r="E8" s="134"/>
      <c r="F8" s="135"/>
      <c r="G8" s="174"/>
      <c r="H8" s="191"/>
      <c r="I8" s="192"/>
      <c r="J8" s="192"/>
      <c r="K8" s="190"/>
      <c r="M8" s="180"/>
      <c r="N8" s="44"/>
      <c r="O8" s="44"/>
      <c r="P8" s="44"/>
      <c r="Q8" s="44"/>
      <c r="R8" s="44"/>
      <c r="S8" s="44"/>
      <c r="T8" s="183"/>
    </row>
    <row r="9" spans="1:23" ht="15" customHeight="1">
      <c r="B9" s="166"/>
      <c r="C9" s="166"/>
      <c r="D9" s="167"/>
      <c r="E9" s="168"/>
      <c r="F9" s="167"/>
      <c r="G9" s="168"/>
      <c r="H9" s="188"/>
      <c r="I9" s="188"/>
      <c r="J9" s="188"/>
      <c r="K9" s="188"/>
      <c r="L9" s="166"/>
      <c r="M9" s="181"/>
      <c r="N9" s="152"/>
      <c r="O9" s="152"/>
      <c r="P9" s="152"/>
      <c r="Q9" s="153"/>
      <c r="R9" s="153"/>
      <c r="S9" s="153"/>
      <c r="T9" s="179"/>
      <c r="U9" s="179"/>
      <c r="V9" s="179"/>
      <c r="W9" s="179"/>
    </row>
    <row r="10" spans="1:23" ht="30.75" customHeight="1">
      <c r="A10" s="138" t="s">
        <v>23</v>
      </c>
      <c r="B10" s="139" t="s">
        <v>24</v>
      </c>
      <c r="C10" s="140" t="s">
        <v>25</v>
      </c>
      <c r="D10" s="140" t="s">
        <v>26</v>
      </c>
      <c r="E10" s="140" t="s">
        <v>27</v>
      </c>
      <c r="F10" s="140" t="s">
        <v>28</v>
      </c>
      <c r="G10" s="140" t="s">
        <v>29</v>
      </c>
      <c r="H10" s="187" t="s">
        <v>30</v>
      </c>
      <c r="I10" s="187" t="s">
        <v>31</v>
      </c>
      <c r="J10" s="187" t="s">
        <v>32</v>
      </c>
      <c r="K10" s="187" t="s">
        <v>33</v>
      </c>
      <c r="L10" s="141" t="s">
        <v>34</v>
      </c>
      <c r="M10" s="182" t="s">
        <v>35</v>
      </c>
      <c r="N10" s="142" t="s">
        <v>36</v>
      </c>
      <c r="O10" s="142" t="s">
        <v>37</v>
      </c>
      <c r="P10" s="142" t="s">
        <v>38</v>
      </c>
      <c r="Q10" s="142" t="s">
        <v>39</v>
      </c>
      <c r="R10" s="142" t="s">
        <v>40</v>
      </c>
      <c r="S10" s="142" t="s">
        <v>41</v>
      </c>
      <c r="T10" s="184" t="s">
        <v>42</v>
      </c>
      <c r="U10" s="72" t="s">
        <v>44</v>
      </c>
      <c r="V10" s="72" t="s">
        <v>45</v>
      </c>
      <c r="W10" s="72" t="s">
        <v>46</v>
      </c>
    </row>
    <row r="11" spans="1:23" ht="15" customHeight="1">
      <c r="A11" s="143" t="str">
        <f t="shared" ref="A11:A155" si="0">IF($C$4&lt;&gt;"",$C$4,"")</f>
        <v>AKH12345</v>
      </c>
      <c r="B11" s="199">
        <v>1352305</v>
      </c>
      <c r="C11" s="200" t="s">
        <v>3323</v>
      </c>
      <c r="D11" s="105"/>
      <c r="E11" s="106"/>
      <c r="F11" s="105"/>
      <c r="G11" s="106"/>
      <c r="H11" s="175" t="s">
        <v>3324</v>
      </c>
      <c r="I11" s="176" t="s">
        <v>3325</v>
      </c>
      <c r="J11" s="176" t="s">
        <v>3325</v>
      </c>
      <c r="K11" s="176" t="s">
        <v>1235</v>
      </c>
      <c r="L11" s="145" t="s">
        <v>3326</v>
      </c>
      <c r="M11" s="45" t="str">
        <f t="shared" ref="M11:M75" si="1">IF($C$3&lt;&gt;"",$C$3,"")</f>
        <v>OneCo Networks AS</v>
      </c>
      <c r="N11" s="40" t="str">
        <f ca="1">IFERROR(
VLOOKUP(BoM_Solar[[#This Row],[Product code]],
IF(AND((BoQ!$N$3&lt;&gt;""),OR(BoM_Solar[[#This Row],[Vendor]]="Griptel",BoM_Solar[[#This Row],[Vendor]]="Solar")),INDIRECT(Aux!$A$1)),4,FALSE),"")</f>
        <v/>
      </c>
      <c r="O11" s="169" t="s">
        <v>1807</v>
      </c>
      <c r="P11" s="41" t="str">
        <f>IFERROR(IF(AND(BoM_Solar[[#This Row],[Quantity]]&lt;&gt;"",BoM_Solar[[#This Row],[Currency]]="NOK"),BoM_Solar[[#This Row],[Quantity]]*BoM_Solar[[#This Row],[Unit Price]],""),"")</f>
        <v/>
      </c>
      <c r="Q11" s="41" t="str">
        <f>IFERROR(IF(AND(BoM_Solar[[#This Row],[ACT_Qty]]&lt;&gt;"",BoM_Solar[[#This Row],[Currency]]="NOK"),BoM_Solar[[#This Row],[ACT_Qty]]*BoM_Solar[[#This Row],[Unit Price]],""),"")</f>
        <v/>
      </c>
      <c r="R11" s="41" t="str">
        <f>IFERROR(IF(AND(BoM_Solar[[#This Row],[Quantity]]&lt;&gt;"",BoM_Solar[[#This Row],[Currency]]="EUR"),BoM_Solar[[#This Row],[Quantity]]*BoM_Solar[[#This Row],[Unit Price]],""),"")</f>
        <v/>
      </c>
      <c r="S11" s="41" t="str">
        <f>IFERROR(IF(AND(BoM_Solar[[#This Row],[ACT_Qty]]&lt;&gt;"",BoM_Solar[[#This Row],[Currency]]="EUR"),BoM_Solar[[#This Row],[ACT_Qty]]*BoM_Solar[[#This Row],[Unit Price]],""),"")</f>
        <v/>
      </c>
      <c r="T11" s="185"/>
      <c r="U11" s="45"/>
      <c r="V11" s="45"/>
      <c r="W11" s="45"/>
    </row>
    <row r="12" spans="1:23" ht="15" customHeight="1">
      <c r="A12" s="146" t="str">
        <f t="shared" si="0"/>
        <v>AKH12345</v>
      </c>
      <c r="B12" s="199">
        <v>1352306</v>
      </c>
      <c r="C12" s="200" t="s">
        <v>3327</v>
      </c>
      <c r="D12" s="105"/>
      <c r="E12" s="106"/>
      <c r="F12" s="105"/>
      <c r="G12" s="106"/>
      <c r="H12" s="175" t="s">
        <v>3324</v>
      </c>
      <c r="I12" s="176" t="s">
        <v>3325</v>
      </c>
      <c r="J12" s="176" t="s">
        <v>3325</v>
      </c>
      <c r="K12" s="176" t="s">
        <v>1235</v>
      </c>
      <c r="L12" s="145" t="s">
        <v>3326</v>
      </c>
      <c r="M12" s="45" t="str">
        <f t="shared" si="1"/>
        <v>OneCo Networks AS</v>
      </c>
      <c r="N12" s="40" t="str">
        <f ca="1">IFERROR(
VLOOKUP(BoM_Solar[[#This Row],[Product code]],
IF(AND((BoQ!$N$3&lt;&gt;""),OR(BoM_Solar[[#This Row],[Vendor]]="Griptel",BoM_Solar[[#This Row],[Vendor]]="Solar")),INDIRECT(Aux!$A$1)),4,FALSE),"")</f>
        <v/>
      </c>
      <c r="O12" s="169" t="s">
        <v>1807</v>
      </c>
      <c r="P12" s="41" t="str">
        <f>IFERROR(IF(AND(BoM_Solar[[#This Row],[Quantity]]&lt;&gt;"",BoM_Solar[[#This Row],[Currency]]="NOK"),BoM_Solar[[#This Row],[Quantity]]*BoM_Solar[[#This Row],[Unit Price]],""),"")</f>
        <v/>
      </c>
      <c r="Q12" s="41" t="str">
        <f>IFERROR(IF(AND(BoM_Solar[[#This Row],[ACT_Qty]]&lt;&gt;"",BoM_Solar[[#This Row],[Currency]]="NOK"),BoM_Solar[[#This Row],[ACT_Qty]]*BoM_Solar[[#This Row],[Unit Price]],""),"")</f>
        <v/>
      </c>
      <c r="R12" s="41" t="str">
        <f>IFERROR(IF(AND(BoM_Solar[[#This Row],[Quantity]]&lt;&gt;"",BoM_Solar[[#This Row],[Currency]]="EUR"),BoM_Solar[[#This Row],[Quantity]]*BoM_Solar[[#This Row],[Unit Price]],""),"")</f>
        <v/>
      </c>
      <c r="S12" s="41" t="str">
        <f>IFERROR(IF(AND(BoM_Solar[[#This Row],[ACT_Qty]]&lt;&gt;"",BoM_Solar[[#This Row],[Currency]]="EUR"),BoM_Solar[[#This Row],[ACT_Qty]]*BoM_Solar[[#This Row],[Unit Price]],""),"")</f>
        <v/>
      </c>
      <c r="T12" s="185"/>
      <c r="U12" s="45"/>
      <c r="V12" s="45"/>
      <c r="W12" s="45"/>
    </row>
    <row r="13" spans="1:23" ht="15" customHeight="1">
      <c r="A13" s="146" t="str">
        <f t="shared" si="0"/>
        <v>AKH12345</v>
      </c>
      <c r="B13" s="199">
        <v>8837403</v>
      </c>
      <c r="C13" s="200" t="s">
        <v>3328</v>
      </c>
      <c r="D13" s="105"/>
      <c r="E13" s="106"/>
      <c r="F13" s="105"/>
      <c r="G13" s="106"/>
      <c r="H13" s="175" t="s">
        <v>3324</v>
      </c>
      <c r="I13" s="176" t="s">
        <v>3325</v>
      </c>
      <c r="J13" s="176" t="s">
        <v>3325</v>
      </c>
      <c r="K13" s="176" t="s">
        <v>1235</v>
      </c>
      <c r="L13" s="145" t="s">
        <v>3326</v>
      </c>
      <c r="M13" s="45" t="str">
        <f t="shared" si="1"/>
        <v>OneCo Networks AS</v>
      </c>
      <c r="N13" s="40" t="str">
        <f ca="1">IFERROR(
VLOOKUP(BoM_Solar[[#This Row],[Product code]],
IF(AND((BoQ!$N$3&lt;&gt;""),OR(BoM_Solar[[#This Row],[Vendor]]="Griptel",BoM_Solar[[#This Row],[Vendor]]="Solar")),INDIRECT(Aux!$A$1)),4,FALSE),"")</f>
        <v/>
      </c>
      <c r="O13" s="169" t="s">
        <v>1807</v>
      </c>
      <c r="P13" s="41" t="str">
        <f>IFERROR(IF(AND(BoM_Solar[[#This Row],[Quantity]]&lt;&gt;"",BoM_Solar[[#This Row],[Currency]]="NOK"),BoM_Solar[[#This Row],[Quantity]]*BoM_Solar[[#This Row],[Unit Price]],""),"")</f>
        <v/>
      </c>
      <c r="Q13" s="41" t="str">
        <f>IFERROR(IF(AND(BoM_Solar[[#This Row],[ACT_Qty]]&lt;&gt;"",BoM_Solar[[#This Row],[Currency]]="NOK"),BoM_Solar[[#This Row],[ACT_Qty]]*BoM_Solar[[#This Row],[Unit Price]],""),"")</f>
        <v/>
      </c>
      <c r="R13" s="41" t="str">
        <f>IFERROR(IF(AND(BoM_Solar[[#This Row],[Quantity]]&lt;&gt;"",BoM_Solar[[#This Row],[Currency]]="EUR"),BoM_Solar[[#This Row],[Quantity]]*BoM_Solar[[#This Row],[Unit Price]],""),"")</f>
        <v/>
      </c>
      <c r="S13" s="41" t="str">
        <f>IFERROR(IF(AND(BoM_Solar[[#This Row],[ACT_Qty]]&lt;&gt;"",BoM_Solar[[#This Row],[Currency]]="EUR"),BoM_Solar[[#This Row],[ACT_Qty]]*BoM_Solar[[#This Row],[Unit Price]],""),"")</f>
        <v/>
      </c>
      <c r="T13" s="185"/>
      <c r="U13" s="45"/>
      <c r="V13" s="45"/>
      <c r="W13" s="45"/>
    </row>
    <row r="14" spans="1:23" ht="15" customHeight="1">
      <c r="A14" s="146" t="str">
        <f t="shared" si="0"/>
        <v>AKH12345</v>
      </c>
      <c r="B14" s="199">
        <v>6910526</v>
      </c>
      <c r="C14" s="200" t="s">
        <v>3329</v>
      </c>
      <c r="D14" s="105"/>
      <c r="E14" s="106"/>
      <c r="F14" s="105"/>
      <c r="G14" s="106"/>
      <c r="H14" s="175" t="s">
        <v>3324</v>
      </c>
      <c r="I14" s="176" t="s">
        <v>3325</v>
      </c>
      <c r="J14" s="176" t="s">
        <v>3325</v>
      </c>
      <c r="K14" s="176" t="s">
        <v>1235</v>
      </c>
      <c r="L14" s="145" t="s">
        <v>3326</v>
      </c>
      <c r="M14" s="45" t="str">
        <f t="shared" si="1"/>
        <v>OneCo Networks AS</v>
      </c>
      <c r="N14" s="40" t="str">
        <f ca="1">IFERROR(
VLOOKUP(BoM_Solar[[#This Row],[Product code]],
IF(AND((BoQ!$N$3&lt;&gt;""),OR(BoM_Solar[[#This Row],[Vendor]]="Griptel",BoM_Solar[[#This Row],[Vendor]]="Solar")),INDIRECT(Aux!$A$1)),4,FALSE),"")</f>
        <v/>
      </c>
      <c r="O14" s="169" t="s">
        <v>1807</v>
      </c>
      <c r="P14" s="41" t="str">
        <f>IFERROR(IF(AND(BoM_Solar[[#This Row],[Quantity]]&lt;&gt;"",BoM_Solar[[#This Row],[Currency]]="NOK"),BoM_Solar[[#This Row],[Quantity]]*BoM_Solar[[#This Row],[Unit Price]],""),"")</f>
        <v/>
      </c>
      <c r="Q14" s="41" t="str">
        <f>IFERROR(IF(AND(BoM_Solar[[#This Row],[ACT_Qty]]&lt;&gt;"",BoM_Solar[[#This Row],[Currency]]="NOK"),BoM_Solar[[#This Row],[ACT_Qty]]*BoM_Solar[[#This Row],[Unit Price]],""),"")</f>
        <v/>
      </c>
      <c r="R14" s="41" t="str">
        <f>IFERROR(IF(AND(BoM_Solar[[#This Row],[Quantity]]&lt;&gt;"",BoM_Solar[[#This Row],[Currency]]="EUR"),BoM_Solar[[#This Row],[Quantity]]*BoM_Solar[[#This Row],[Unit Price]],""),"")</f>
        <v/>
      </c>
      <c r="S14" s="41" t="str">
        <f>IFERROR(IF(AND(BoM_Solar[[#This Row],[ACT_Qty]]&lt;&gt;"",BoM_Solar[[#This Row],[Currency]]="EUR"),BoM_Solar[[#This Row],[ACT_Qty]]*BoM_Solar[[#This Row],[Unit Price]],""),"")</f>
        <v/>
      </c>
      <c r="T14" s="185"/>
      <c r="U14" s="45"/>
      <c r="V14" s="45"/>
      <c r="W14" s="45"/>
    </row>
    <row r="15" spans="1:23" ht="15" customHeight="1">
      <c r="A15" s="146" t="str">
        <f t="shared" si="0"/>
        <v>AKH12345</v>
      </c>
      <c r="B15" s="199">
        <v>1695185</v>
      </c>
      <c r="C15" s="200" t="s">
        <v>3330</v>
      </c>
      <c r="D15" s="105"/>
      <c r="E15" s="106"/>
      <c r="F15" s="105"/>
      <c r="G15" s="106"/>
      <c r="H15" s="175" t="s">
        <v>3324</v>
      </c>
      <c r="I15" s="176" t="s">
        <v>3325</v>
      </c>
      <c r="J15" s="176" t="s">
        <v>3325</v>
      </c>
      <c r="K15" s="176" t="s">
        <v>1235</v>
      </c>
      <c r="L15" s="145" t="s">
        <v>3326</v>
      </c>
      <c r="M15" s="45" t="str">
        <f t="shared" si="1"/>
        <v>OneCo Networks AS</v>
      </c>
      <c r="N15" s="40" t="str">
        <f ca="1">IFERROR(
VLOOKUP(BoM_Solar[[#This Row],[Product code]],
IF(AND((BoQ!$N$3&lt;&gt;""),OR(BoM_Solar[[#This Row],[Vendor]]="Griptel",BoM_Solar[[#This Row],[Vendor]]="Solar")),INDIRECT(Aux!$A$1)),4,FALSE),"")</f>
        <v/>
      </c>
      <c r="O15" s="169" t="s">
        <v>1807</v>
      </c>
      <c r="P15" s="41" t="str">
        <f>IFERROR(IF(AND(BoM_Solar[[#This Row],[Quantity]]&lt;&gt;"",BoM_Solar[[#This Row],[Currency]]="NOK"),BoM_Solar[[#This Row],[Quantity]]*BoM_Solar[[#This Row],[Unit Price]],""),"")</f>
        <v/>
      </c>
      <c r="Q15" s="41" t="str">
        <f>IFERROR(IF(AND(BoM_Solar[[#This Row],[ACT_Qty]]&lt;&gt;"",BoM_Solar[[#This Row],[Currency]]="NOK"),BoM_Solar[[#This Row],[ACT_Qty]]*BoM_Solar[[#This Row],[Unit Price]],""),"")</f>
        <v/>
      </c>
      <c r="R15" s="41" t="str">
        <f>IFERROR(IF(AND(BoM_Solar[[#This Row],[Quantity]]&lt;&gt;"",BoM_Solar[[#This Row],[Currency]]="EUR"),BoM_Solar[[#This Row],[Quantity]]*BoM_Solar[[#This Row],[Unit Price]],""),"")</f>
        <v/>
      </c>
      <c r="S15" s="41" t="str">
        <f>IFERROR(IF(AND(BoM_Solar[[#This Row],[ACT_Qty]]&lt;&gt;"",BoM_Solar[[#This Row],[Currency]]="EUR"),BoM_Solar[[#This Row],[ACT_Qty]]*BoM_Solar[[#This Row],[Unit Price]],""),"")</f>
        <v/>
      </c>
      <c r="T15" s="185"/>
      <c r="U15" s="45"/>
      <c r="V15" s="45"/>
      <c r="W15" s="45"/>
    </row>
    <row r="16" spans="1:23" ht="15" customHeight="1">
      <c r="A16" s="146" t="str">
        <f t="shared" si="0"/>
        <v>AKH12345</v>
      </c>
      <c r="B16" s="199">
        <v>1003834</v>
      </c>
      <c r="C16" s="200" t="s">
        <v>3331</v>
      </c>
      <c r="D16" s="105"/>
      <c r="E16" s="106"/>
      <c r="F16" s="105"/>
      <c r="G16" s="106"/>
      <c r="H16" s="175" t="s">
        <v>3324</v>
      </c>
      <c r="I16" s="176" t="s">
        <v>3325</v>
      </c>
      <c r="J16" s="176" t="s">
        <v>3325</v>
      </c>
      <c r="K16" s="176" t="s">
        <v>1235</v>
      </c>
      <c r="L16" s="145" t="s">
        <v>3326</v>
      </c>
      <c r="M16" s="45" t="str">
        <f t="shared" si="1"/>
        <v>OneCo Networks AS</v>
      </c>
      <c r="N16" s="40" t="str">
        <f ca="1">IFERROR(
VLOOKUP(BoM_Solar[[#This Row],[Product code]],
IF(AND((BoQ!$N$3&lt;&gt;""),OR(BoM_Solar[[#This Row],[Vendor]]="Griptel",BoM_Solar[[#This Row],[Vendor]]="Solar")),INDIRECT(Aux!$A$1)),4,FALSE),"")</f>
        <v/>
      </c>
      <c r="O16" s="169" t="s">
        <v>1807</v>
      </c>
      <c r="P16" s="41" t="str">
        <f>IFERROR(IF(AND(BoM_Solar[[#This Row],[Quantity]]&lt;&gt;"",BoM_Solar[[#This Row],[Currency]]="NOK"),BoM_Solar[[#This Row],[Quantity]]*BoM_Solar[[#This Row],[Unit Price]],""),"")</f>
        <v/>
      </c>
      <c r="Q16" s="41" t="str">
        <f>IFERROR(IF(AND(BoM_Solar[[#This Row],[ACT_Qty]]&lt;&gt;"",BoM_Solar[[#This Row],[Currency]]="NOK"),BoM_Solar[[#This Row],[ACT_Qty]]*BoM_Solar[[#This Row],[Unit Price]],""),"")</f>
        <v/>
      </c>
      <c r="R16" s="41" t="str">
        <f>IFERROR(IF(AND(BoM_Solar[[#This Row],[Quantity]]&lt;&gt;"",BoM_Solar[[#This Row],[Currency]]="EUR"),BoM_Solar[[#This Row],[Quantity]]*BoM_Solar[[#This Row],[Unit Price]],""),"")</f>
        <v/>
      </c>
      <c r="S16" s="41" t="str">
        <f>IFERROR(IF(AND(BoM_Solar[[#This Row],[ACT_Qty]]&lt;&gt;"",BoM_Solar[[#This Row],[Currency]]="EUR"),BoM_Solar[[#This Row],[ACT_Qty]]*BoM_Solar[[#This Row],[Unit Price]],""),"")</f>
        <v/>
      </c>
      <c r="T16" s="185"/>
      <c r="U16" s="45"/>
      <c r="V16" s="45"/>
      <c r="W16" s="45"/>
    </row>
    <row r="17" spans="1:23" ht="15" customHeight="1">
      <c r="A17" s="146" t="str">
        <f t="shared" si="0"/>
        <v>AKH12345</v>
      </c>
      <c r="B17" s="199">
        <v>1087807</v>
      </c>
      <c r="C17" s="200" t="s">
        <v>3332</v>
      </c>
      <c r="D17" s="105"/>
      <c r="E17" s="106"/>
      <c r="F17" s="105"/>
      <c r="G17" s="106"/>
      <c r="H17" s="175" t="s">
        <v>3324</v>
      </c>
      <c r="I17" s="176" t="s">
        <v>3325</v>
      </c>
      <c r="J17" s="176" t="s">
        <v>3325</v>
      </c>
      <c r="K17" s="176" t="s">
        <v>1235</v>
      </c>
      <c r="L17" s="145" t="s">
        <v>3326</v>
      </c>
      <c r="M17" s="45" t="str">
        <f t="shared" si="1"/>
        <v>OneCo Networks AS</v>
      </c>
      <c r="N17" s="40" t="str">
        <f ca="1">IFERROR(
VLOOKUP(BoM_Solar[[#This Row],[Product code]],
IF(AND((BoQ!$N$3&lt;&gt;""),OR(BoM_Solar[[#This Row],[Vendor]]="Griptel",BoM_Solar[[#This Row],[Vendor]]="Solar")),INDIRECT(Aux!$A$1)),4,FALSE),"")</f>
        <v/>
      </c>
      <c r="O17" s="169" t="s">
        <v>1807</v>
      </c>
      <c r="P17" s="41" t="str">
        <f>IFERROR(IF(AND(BoM_Solar[[#This Row],[Quantity]]&lt;&gt;"",BoM_Solar[[#This Row],[Currency]]="NOK"),BoM_Solar[[#This Row],[Quantity]]*BoM_Solar[[#This Row],[Unit Price]],""),"")</f>
        <v/>
      </c>
      <c r="Q17" s="41" t="str">
        <f>IFERROR(IF(AND(BoM_Solar[[#This Row],[ACT_Qty]]&lt;&gt;"",BoM_Solar[[#This Row],[Currency]]="NOK"),BoM_Solar[[#This Row],[ACT_Qty]]*BoM_Solar[[#This Row],[Unit Price]],""),"")</f>
        <v/>
      </c>
      <c r="R17" s="41" t="str">
        <f>IFERROR(IF(AND(BoM_Solar[[#This Row],[Quantity]]&lt;&gt;"",BoM_Solar[[#This Row],[Currency]]="EUR"),BoM_Solar[[#This Row],[Quantity]]*BoM_Solar[[#This Row],[Unit Price]],""),"")</f>
        <v/>
      </c>
      <c r="S17" s="41" t="str">
        <f>IFERROR(IF(AND(BoM_Solar[[#This Row],[ACT_Qty]]&lt;&gt;"",BoM_Solar[[#This Row],[Currency]]="EUR"),BoM_Solar[[#This Row],[ACT_Qty]]*BoM_Solar[[#This Row],[Unit Price]],""),"")</f>
        <v/>
      </c>
      <c r="T17" s="185"/>
      <c r="U17" s="45"/>
      <c r="V17" s="45"/>
      <c r="W17" s="45"/>
    </row>
    <row r="18" spans="1:23" ht="15" customHeight="1">
      <c r="A18" s="146" t="str">
        <f t="shared" si="0"/>
        <v>AKH12345</v>
      </c>
      <c r="B18" s="199">
        <v>1087812</v>
      </c>
      <c r="C18" s="200" t="s">
        <v>3333</v>
      </c>
      <c r="D18" s="105"/>
      <c r="E18" s="106"/>
      <c r="F18" s="105"/>
      <c r="G18" s="106"/>
      <c r="H18" s="175" t="s">
        <v>3324</v>
      </c>
      <c r="I18" s="176" t="s">
        <v>3325</v>
      </c>
      <c r="J18" s="176" t="s">
        <v>3325</v>
      </c>
      <c r="K18" s="176" t="s">
        <v>1235</v>
      </c>
      <c r="L18" s="145" t="s">
        <v>3326</v>
      </c>
      <c r="M18" s="45" t="str">
        <f t="shared" si="1"/>
        <v>OneCo Networks AS</v>
      </c>
      <c r="N18" s="40" t="str">
        <f ca="1">IFERROR(
VLOOKUP(BoM_Solar[[#This Row],[Product code]],
IF(AND((BoQ!$N$3&lt;&gt;""),OR(BoM_Solar[[#This Row],[Vendor]]="Griptel",BoM_Solar[[#This Row],[Vendor]]="Solar")),INDIRECT(Aux!$A$1)),4,FALSE),"")</f>
        <v/>
      </c>
      <c r="O18" s="169" t="s">
        <v>1807</v>
      </c>
      <c r="P18" s="41" t="str">
        <f>IFERROR(IF(AND(BoM_Solar[[#This Row],[Quantity]]&lt;&gt;"",BoM_Solar[[#This Row],[Currency]]="NOK"),BoM_Solar[[#This Row],[Quantity]]*BoM_Solar[[#This Row],[Unit Price]],""),"")</f>
        <v/>
      </c>
      <c r="Q18" s="41" t="str">
        <f>IFERROR(IF(AND(BoM_Solar[[#This Row],[ACT_Qty]]&lt;&gt;"",BoM_Solar[[#This Row],[Currency]]="NOK"),BoM_Solar[[#This Row],[ACT_Qty]]*BoM_Solar[[#This Row],[Unit Price]],""),"")</f>
        <v/>
      </c>
      <c r="R18" s="41" t="str">
        <f>IFERROR(IF(AND(BoM_Solar[[#This Row],[Quantity]]&lt;&gt;"",BoM_Solar[[#This Row],[Currency]]="EUR"),BoM_Solar[[#This Row],[Quantity]]*BoM_Solar[[#This Row],[Unit Price]],""),"")</f>
        <v/>
      </c>
      <c r="S18" s="41" t="str">
        <f>IFERROR(IF(AND(BoM_Solar[[#This Row],[ACT_Qty]]&lt;&gt;"",BoM_Solar[[#This Row],[Currency]]="EUR"),BoM_Solar[[#This Row],[ACT_Qty]]*BoM_Solar[[#This Row],[Unit Price]],""),"")</f>
        <v/>
      </c>
      <c r="T18" s="185"/>
      <c r="U18" s="45"/>
      <c r="V18" s="45"/>
      <c r="W18" s="45"/>
    </row>
    <row r="19" spans="1:23" ht="15" customHeight="1">
      <c r="A19" s="146" t="str">
        <f t="shared" si="0"/>
        <v>AKH12345</v>
      </c>
      <c r="B19" s="199">
        <v>1066644</v>
      </c>
      <c r="C19" s="200" t="s">
        <v>3334</v>
      </c>
      <c r="D19" s="105"/>
      <c r="E19" s="106"/>
      <c r="F19" s="105"/>
      <c r="G19" s="106"/>
      <c r="H19" s="175" t="s">
        <v>3324</v>
      </c>
      <c r="I19" s="176" t="s">
        <v>3325</v>
      </c>
      <c r="J19" s="176" t="s">
        <v>3325</v>
      </c>
      <c r="K19" s="176" t="s">
        <v>1235</v>
      </c>
      <c r="L19" s="145" t="s">
        <v>3326</v>
      </c>
      <c r="M19" s="45" t="str">
        <f t="shared" si="1"/>
        <v>OneCo Networks AS</v>
      </c>
      <c r="N19" s="40" t="str">
        <f ca="1">IFERROR(
VLOOKUP(BoM_Solar[[#This Row],[Product code]],
IF(AND((BoQ!$N$3&lt;&gt;""),OR(BoM_Solar[[#This Row],[Vendor]]="Griptel",BoM_Solar[[#This Row],[Vendor]]="Solar")),INDIRECT(Aux!$A$1)),4,FALSE),"")</f>
        <v/>
      </c>
      <c r="O19" s="169" t="s">
        <v>1807</v>
      </c>
      <c r="P19" s="41" t="str">
        <f>IFERROR(IF(AND(BoM_Solar[[#This Row],[Quantity]]&lt;&gt;"",BoM_Solar[[#This Row],[Currency]]="NOK"),BoM_Solar[[#This Row],[Quantity]]*BoM_Solar[[#This Row],[Unit Price]],""),"")</f>
        <v/>
      </c>
      <c r="Q19" s="41" t="str">
        <f>IFERROR(IF(AND(BoM_Solar[[#This Row],[ACT_Qty]]&lt;&gt;"",BoM_Solar[[#This Row],[Currency]]="NOK"),BoM_Solar[[#This Row],[ACT_Qty]]*BoM_Solar[[#This Row],[Unit Price]],""),"")</f>
        <v/>
      </c>
      <c r="R19" s="41" t="str">
        <f>IFERROR(IF(AND(BoM_Solar[[#This Row],[Quantity]]&lt;&gt;"",BoM_Solar[[#This Row],[Currency]]="EUR"),BoM_Solar[[#This Row],[Quantity]]*BoM_Solar[[#This Row],[Unit Price]],""),"")</f>
        <v/>
      </c>
      <c r="S19" s="41" t="str">
        <f>IFERROR(IF(AND(BoM_Solar[[#This Row],[ACT_Qty]]&lt;&gt;"",BoM_Solar[[#This Row],[Currency]]="EUR"),BoM_Solar[[#This Row],[ACT_Qty]]*BoM_Solar[[#This Row],[Unit Price]],""),"")</f>
        <v/>
      </c>
      <c r="T19" s="185"/>
      <c r="U19" s="45"/>
      <c r="V19" s="45"/>
      <c r="W19" s="45"/>
    </row>
    <row r="20" spans="1:23" ht="15" customHeight="1">
      <c r="A20" s="146" t="str">
        <f t="shared" si="0"/>
        <v>AKH12345</v>
      </c>
      <c r="B20" s="199">
        <v>1202120</v>
      </c>
      <c r="C20" s="200" t="s">
        <v>3335</v>
      </c>
      <c r="D20" s="105"/>
      <c r="E20" s="106"/>
      <c r="F20" s="105"/>
      <c r="G20" s="106"/>
      <c r="H20" s="175" t="s">
        <v>3324</v>
      </c>
      <c r="I20" s="176" t="s">
        <v>3325</v>
      </c>
      <c r="J20" s="176" t="s">
        <v>3325</v>
      </c>
      <c r="K20" s="176" t="s">
        <v>1235</v>
      </c>
      <c r="L20" s="145" t="s">
        <v>3326</v>
      </c>
      <c r="M20" s="45" t="str">
        <f t="shared" si="1"/>
        <v>OneCo Networks AS</v>
      </c>
      <c r="N20" s="40" t="str">
        <f ca="1">IFERROR(
VLOOKUP(BoM_Solar[[#This Row],[Product code]],
IF(AND((BoQ!$N$3&lt;&gt;""),OR(BoM_Solar[[#This Row],[Vendor]]="Griptel",BoM_Solar[[#This Row],[Vendor]]="Solar")),INDIRECT(Aux!$A$1)),4,FALSE),"")</f>
        <v/>
      </c>
      <c r="O20" s="169" t="s">
        <v>1807</v>
      </c>
      <c r="P20" s="41" t="str">
        <f>IFERROR(IF(AND(BoM_Solar[[#This Row],[Quantity]]&lt;&gt;"",BoM_Solar[[#This Row],[Currency]]="NOK"),BoM_Solar[[#This Row],[Quantity]]*BoM_Solar[[#This Row],[Unit Price]],""),"")</f>
        <v/>
      </c>
      <c r="Q20" s="41" t="str">
        <f>IFERROR(IF(AND(BoM_Solar[[#This Row],[ACT_Qty]]&lt;&gt;"",BoM_Solar[[#This Row],[Currency]]="NOK"),BoM_Solar[[#This Row],[ACT_Qty]]*BoM_Solar[[#This Row],[Unit Price]],""),"")</f>
        <v/>
      </c>
      <c r="R20" s="41" t="str">
        <f>IFERROR(IF(AND(BoM_Solar[[#This Row],[Quantity]]&lt;&gt;"",BoM_Solar[[#This Row],[Currency]]="EUR"),BoM_Solar[[#This Row],[Quantity]]*BoM_Solar[[#This Row],[Unit Price]],""),"")</f>
        <v/>
      </c>
      <c r="S20" s="41" t="str">
        <f>IFERROR(IF(AND(BoM_Solar[[#This Row],[ACT_Qty]]&lt;&gt;"",BoM_Solar[[#This Row],[Currency]]="EUR"),BoM_Solar[[#This Row],[ACT_Qty]]*BoM_Solar[[#This Row],[Unit Price]],""),"")</f>
        <v/>
      </c>
      <c r="T20" s="185"/>
      <c r="U20" s="45"/>
      <c r="V20" s="45"/>
      <c r="W20" s="45"/>
    </row>
    <row r="21" spans="1:23" ht="15" customHeight="1">
      <c r="A21" s="146" t="str">
        <f t="shared" si="0"/>
        <v>AKH12345</v>
      </c>
      <c r="B21" s="199">
        <v>1202121</v>
      </c>
      <c r="C21" s="200" t="s">
        <v>3336</v>
      </c>
      <c r="D21" s="105"/>
      <c r="E21" s="106"/>
      <c r="F21" s="105"/>
      <c r="G21" s="106"/>
      <c r="H21" s="175" t="s">
        <v>3324</v>
      </c>
      <c r="I21" s="176" t="s">
        <v>3325</v>
      </c>
      <c r="J21" s="176" t="s">
        <v>3325</v>
      </c>
      <c r="K21" s="176" t="s">
        <v>1235</v>
      </c>
      <c r="L21" s="145" t="s">
        <v>3326</v>
      </c>
      <c r="M21" s="45" t="str">
        <f t="shared" si="1"/>
        <v>OneCo Networks AS</v>
      </c>
      <c r="N21" s="40" t="str">
        <f ca="1">IFERROR(
VLOOKUP(BoM_Solar[[#This Row],[Product code]],
IF(AND((BoQ!$N$3&lt;&gt;""),OR(BoM_Solar[[#This Row],[Vendor]]="Griptel",BoM_Solar[[#This Row],[Vendor]]="Solar")),INDIRECT(Aux!$A$1)),4,FALSE),"")</f>
        <v/>
      </c>
      <c r="O21" s="169" t="s">
        <v>1807</v>
      </c>
      <c r="P21" s="41" t="str">
        <f>IFERROR(IF(AND(BoM_Solar[[#This Row],[Quantity]]&lt;&gt;"",BoM_Solar[[#This Row],[Currency]]="NOK"),BoM_Solar[[#This Row],[Quantity]]*BoM_Solar[[#This Row],[Unit Price]],""),"")</f>
        <v/>
      </c>
      <c r="Q21" s="41" t="str">
        <f>IFERROR(IF(AND(BoM_Solar[[#This Row],[ACT_Qty]]&lt;&gt;"",BoM_Solar[[#This Row],[Currency]]="NOK"),BoM_Solar[[#This Row],[ACT_Qty]]*BoM_Solar[[#This Row],[Unit Price]],""),"")</f>
        <v/>
      </c>
      <c r="R21" s="41" t="str">
        <f>IFERROR(IF(AND(BoM_Solar[[#This Row],[Quantity]]&lt;&gt;"",BoM_Solar[[#This Row],[Currency]]="EUR"),BoM_Solar[[#This Row],[Quantity]]*BoM_Solar[[#This Row],[Unit Price]],""),"")</f>
        <v/>
      </c>
      <c r="S21" s="41" t="str">
        <f>IFERROR(IF(AND(BoM_Solar[[#This Row],[ACT_Qty]]&lt;&gt;"",BoM_Solar[[#This Row],[Currency]]="EUR"),BoM_Solar[[#This Row],[ACT_Qty]]*BoM_Solar[[#This Row],[Unit Price]],""),"")</f>
        <v/>
      </c>
      <c r="T21" s="185"/>
      <c r="U21" s="45"/>
      <c r="V21" s="45"/>
      <c r="W21" s="45"/>
    </row>
    <row r="22" spans="1:23" ht="15" customHeight="1">
      <c r="A22" s="146" t="str">
        <f t="shared" si="0"/>
        <v>AKH12345</v>
      </c>
      <c r="B22" s="199">
        <v>1228139</v>
      </c>
      <c r="C22" s="200" t="s">
        <v>3337</v>
      </c>
      <c r="D22" s="105"/>
      <c r="E22" s="106"/>
      <c r="F22" s="105"/>
      <c r="G22" s="106"/>
      <c r="H22" s="175" t="s">
        <v>3324</v>
      </c>
      <c r="I22" s="176" t="s">
        <v>3325</v>
      </c>
      <c r="J22" s="176" t="s">
        <v>3325</v>
      </c>
      <c r="K22" s="176" t="s">
        <v>1235</v>
      </c>
      <c r="L22" s="145" t="s">
        <v>3326</v>
      </c>
      <c r="M22" s="45" t="str">
        <f t="shared" si="1"/>
        <v>OneCo Networks AS</v>
      </c>
      <c r="N22" s="40" t="str">
        <f ca="1">IFERROR(
VLOOKUP(BoM_Solar[[#This Row],[Product code]],
IF(AND((BoQ!$N$3&lt;&gt;""),OR(BoM_Solar[[#This Row],[Vendor]]="Griptel",BoM_Solar[[#This Row],[Vendor]]="Solar")),INDIRECT(Aux!$A$1)),4,FALSE),"")</f>
        <v/>
      </c>
      <c r="O22" s="169" t="s">
        <v>1807</v>
      </c>
      <c r="P22" s="41" t="str">
        <f>IFERROR(IF(AND(BoM_Solar[[#This Row],[Quantity]]&lt;&gt;"",BoM_Solar[[#This Row],[Currency]]="NOK"),BoM_Solar[[#This Row],[Quantity]]*BoM_Solar[[#This Row],[Unit Price]],""),"")</f>
        <v/>
      </c>
      <c r="Q22" s="41" t="str">
        <f>IFERROR(IF(AND(BoM_Solar[[#This Row],[ACT_Qty]]&lt;&gt;"",BoM_Solar[[#This Row],[Currency]]="NOK"),BoM_Solar[[#This Row],[ACT_Qty]]*BoM_Solar[[#This Row],[Unit Price]],""),"")</f>
        <v/>
      </c>
      <c r="R22" s="41" t="str">
        <f>IFERROR(IF(AND(BoM_Solar[[#This Row],[Quantity]]&lt;&gt;"",BoM_Solar[[#This Row],[Currency]]="EUR"),BoM_Solar[[#This Row],[Quantity]]*BoM_Solar[[#This Row],[Unit Price]],""),"")</f>
        <v/>
      </c>
      <c r="S22" s="41" t="str">
        <f>IFERROR(IF(AND(BoM_Solar[[#This Row],[ACT_Qty]]&lt;&gt;"",BoM_Solar[[#This Row],[Currency]]="EUR"),BoM_Solar[[#This Row],[ACT_Qty]]*BoM_Solar[[#This Row],[Unit Price]],""),"")</f>
        <v/>
      </c>
      <c r="T22" s="185"/>
      <c r="U22" s="45"/>
      <c r="V22" s="45"/>
      <c r="W22" s="45"/>
    </row>
    <row r="23" spans="1:23" ht="15" customHeight="1">
      <c r="A23" s="146" t="str">
        <f t="shared" si="0"/>
        <v>AKH12345</v>
      </c>
      <c r="B23" s="199">
        <v>1228140</v>
      </c>
      <c r="C23" s="200" t="s">
        <v>3338</v>
      </c>
      <c r="D23" s="105"/>
      <c r="E23" s="106"/>
      <c r="F23" s="105"/>
      <c r="G23" s="106"/>
      <c r="H23" s="175" t="s">
        <v>3324</v>
      </c>
      <c r="I23" s="176" t="s">
        <v>3325</v>
      </c>
      <c r="J23" s="176" t="s">
        <v>3325</v>
      </c>
      <c r="K23" s="176" t="s">
        <v>1235</v>
      </c>
      <c r="L23" s="145" t="s">
        <v>3326</v>
      </c>
      <c r="M23" s="45" t="str">
        <f t="shared" si="1"/>
        <v>OneCo Networks AS</v>
      </c>
      <c r="N23" s="40" t="str">
        <f ca="1">IFERROR(
VLOOKUP(BoM_Solar[[#This Row],[Product code]],
IF(AND((BoQ!$N$3&lt;&gt;""),OR(BoM_Solar[[#This Row],[Vendor]]="Griptel",BoM_Solar[[#This Row],[Vendor]]="Solar")),INDIRECT(Aux!$A$1)),4,FALSE),"")</f>
        <v/>
      </c>
      <c r="O23" s="169" t="s">
        <v>1807</v>
      </c>
      <c r="P23" s="41" t="str">
        <f>IFERROR(IF(AND(BoM_Solar[[#This Row],[Quantity]]&lt;&gt;"",BoM_Solar[[#This Row],[Currency]]="NOK"),BoM_Solar[[#This Row],[Quantity]]*BoM_Solar[[#This Row],[Unit Price]],""),"")</f>
        <v/>
      </c>
      <c r="Q23" s="41" t="str">
        <f>IFERROR(IF(AND(BoM_Solar[[#This Row],[ACT_Qty]]&lt;&gt;"",BoM_Solar[[#This Row],[Currency]]="NOK"),BoM_Solar[[#This Row],[ACT_Qty]]*BoM_Solar[[#This Row],[Unit Price]],""),"")</f>
        <v/>
      </c>
      <c r="R23" s="41" t="str">
        <f>IFERROR(IF(AND(BoM_Solar[[#This Row],[Quantity]]&lt;&gt;"",BoM_Solar[[#This Row],[Currency]]="EUR"),BoM_Solar[[#This Row],[Quantity]]*BoM_Solar[[#This Row],[Unit Price]],""),"")</f>
        <v/>
      </c>
      <c r="S23" s="41" t="str">
        <f>IFERROR(IF(AND(BoM_Solar[[#This Row],[ACT_Qty]]&lt;&gt;"",BoM_Solar[[#This Row],[Currency]]="EUR"),BoM_Solar[[#This Row],[ACT_Qty]]*BoM_Solar[[#This Row],[Unit Price]],""),"")</f>
        <v/>
      </c>
      <c r="T23" s="185"/>
      <c r="U23" s="45"/>
      <c r="V23" s="45"/>
      <c r="W23" s="45"/>
    </row>
    <row r="24" spans="1:23" ht="15" customHeight="1">
      <c r="A24" s="146" t="str">
        <f t="shared" si="0"/>
        <v>AKH12345</v>
      </c>
      <c r="B24" s="199">
        <v>1352906</v>
      </c>
      <c r="C24" s="200" t="s">
        <v>3339</v>
      </c>
      <c r="D24" s="105"/>
      <c r="E24" s="106"/>
      <c r="F24" s="105"/>
      <c r="G24" s="106"/>
      <c r="H24" s="175" t="s">
        <v>3324</v>
      </c>
      <c r="I24" s="176" t="s">
        <v>3325</v>
      </c>
      <c r="J24" s="176" t="s">
        <v>3325</v>
      </c>
      <c r="K24" s="176" t="s">
        <v>1235</v>
      </c>
      <c r="L24" s="145" t="s">
        <v>3326</v>
      </c>
      <c r="M24" s="45" t="str">
        <f t="shared" si="1"/>
        <v>OneCo Networks AS</v>
      </c>
      <c r="N24" s="40" t="str">
        <f ca="1">IFERROR(
VLOOKUP(BoM_Solar[[#This Row],[Product code]],
IF(AND((BoQ!$N$3&lt;&gt;""),OR(BoM_Solar[[#This Row],[Vendor]]="Griptel",BoM_Solar[[#This Row],[Vendor]]="Solar")),INDIRECT(Aux!$A$1)),4,FALSE),"")</f>
        <v/>
      </c>
      <c r="O24" s="169" t="s">
        <v>1807</v>
      </c>
      <c r="P24" s="41" t="str">
        <f>IFERROR(IF(AND(BoM_Solar[[#This Row],[Quantity]]&lt;&gt;"",BoM_Solar[[#This Row],[Currency]]="NOK"),BoM_Solar[[#This Row],[Quantity]]*BoM_Solar[[#This Row],[Unit Price]],""),"")</f>
        <v/>
      </c>
      <c r="Q24" s="41" t="str">
        <f>IFERROR(IF(AND(BoM_Solar[[#This Row],[ACT_Qty]]&lt;&gt;"",BoM_Solar[[#This Row],[Currency]]="NOK"),BoM_Solar[[#This Row],[ACT_Qty]]*BoM_Solar[[#This Row],[Unit Price]],""),"")</f>
        <v/>
      </c>
      <c r="R24" s="41" t="str">
        <f>IFERROR(IF(AND(BoM_Solar[[#This Row],[Quantity]]&lt;&gt;"",BoM_Solar[[#This Row],[Currency]]="EUR"),BoM_Solar[[#This Row],[Quantity]]*BoM_Solar[[#This Row],[Unit Price]],""),"")</f>
        <v/>
      </c>
      <c r="S24" s="41" t="str">
        <f>IFERROR(IF(AND(BoM_Solar[[#This Row],[ACT_Qty]]&lt;&gt;"",BoM_Solar[[#This Row],[Currency]]="EUR"),BoM_Solar[[#This Row],[ACT_Qty]]*BoM_Solar[[#This Row],[Unit Price]],""),"")</f>
        <v/>
      </c>
      <c r="T24" s="185"/>
      <c r="U24" s="45"/>
      <c r="V24" s="45"/>
      <c r="W24" s="45"/>
    </row>
    <row r="25" spans="1:23" ht="15" customHeight="1">
      <c r="A25" s="146" t="str">
        <f t="shared" si="0"/>
        <v>AKH12345</v>
      </c>
      <c r="B25" s="199">
        <v>1274512</v>
      </c>
      <c r="C25" s="200" t="s">
        <v>3340</v>
      </c>
      <c r="D25" s="105"/>
      <c r="E25" s="106"/>
      <c r="F25" s="105"/>
      <c r="G25" s="106"/>
      <c r="H25" s="175" t="s">
        <v>3324</v>
      </c>
      <c r="I25" s="176" t="s">
        <v>3325</v>
      </c>
      <c r="J25" s="176" t="s">
        <v>3325</v>
      </c>
      <c r="K25" s="176" t="s">
        <v>1235</v>
      </c>
      <c r="L25" s="145" t="s">
        <v>3326</v>
      </c>
      <c r="M25" s="45" t="str">
        <f t="shared" si="1"/>
        <v>OneCo Networks AS</v>
      </c>
      <c r="N25" s="40" t="str">
        <f ca="1">IFERROR(
VLOOKUP(BoM_Solar[[#This Row],[Product code]],
IF(AND((BoQ!$N$3&lt;&gt;""),OR(BoM_Solar[[#This Row],[Vendor]]="Griptel",BoM_Solar[[#This Row],[Vendor]]="Solar")),INDIRECT(Aux!$A$1)),4,FALSE),"")</f>
        <v/>
      </c>
      <c r="O25" s="169" t="s">
        <v>1807</v>
      </c>
      <c r="P25" s="41" t="str">
        <f>IFERROR(IF(AND(BoM_Solar[[#This Row],[Quantity]]&lt;&gt;"",BoM_Solar[[#This Row],[Currency]]="NOK"),BoM_Solar[[#This Row],[Quantity]]*BoM_Solar[[#This Row],[Unit Price]],""),"")</f>
        <v/>
      </c>
      <c r="Q25" s="41" t="str">
        <f>IFERROR(IF(AND(BoM_Solar[[#This Row],[ACT_Qty]]&lt;&gt;"",BoM_Solar[[#This Row],[Currency]]="NOK"),BoM_Solar[[#This Row],[ACT_Qty]]*BoM_Solar[[#This Row],[Unit Price]],""),"")</f>
        <v/>
      </c>
      <c r="R25" s="41" t="str">
        <f>IFERROR(IF(AND(BoM_Solar[[#This Row],[Quantity]]&lt;&gt;"",BoM_Solar[[#This Row],[Currency]]="EUR"),BoM_Solar[[#This Row],[Quantity]]*BoM_Solar[[#This Row],[Unit Price]],""),"")</f>
        <v/>
      </c>
      <c r="S25" s="41" t="str">
        <f>IFERROR(IF(AND(BoM_Solar[[#This Row],[ACT_Qty]]&lt;&gt;"",BoM_Solar[[#This Row],[Currency]]="EUR"),BoM_Solar[[#This Row],[ACT_Qty]]*BoM_Solar[[#This Row],[Unit Price]],""),"")</f>
        <v/>
      </c>
      <c r="T25" s="185"/>
      <c r="U25" s="45"/>
      <c r="V25" s="45"/>
      <c r="W25" s="45"/>
    </row>
    <row r="26" spans="1:23" ht="15" customHeight="1">
      <c r="A26" s="146" t="str">
        <f t="shared" si="0"/>
        <v>AKH12345</v>
      </c>
      <c r="B26" s="199">
        <v>6901141</v>
      </c>
      <c r="C26" s="200" t="s">
        <v>3341</v>
      </c>
      <c r="D26" s="105"/>
      <c r="E26" s="106"/>
      <c r="F26" s="105"/>
      <c r="G26" s="106"/>
      <c r="H26" s="175" t="s">
        <v>3324</v>
      </c>
      <c r="I26" s="176" t="s">
        <v>3325</v>
      </c>
      <c r="J26" s="176" t="s">
        <v>3325</v>
      </c>
      <c r="K26" s="176" t="s">
        <v>1235</v>
      </c>
      <c r="L26" s="145" t="s">
        <v>3326</v>
      </c>
      <c r="M26" s="45" t="str">
        <f t="shared" si="1"/>
        <v>OneCo Networks AS</v>
      </c>
      <c r="N26" s="40" t="str">
        <f ca="1">IFERROR(
VLOOKUP(BoM_Solar[[#This Row],[Product code]],
IF(AND((BoQ!$N$3&lt;&gt;""),OR(BoM_Solar[[#This Row],[Vendor]]="Griptel",BoM_Solar[[#This Row],[Vendor]]="Solar")),INDIRECT(Aux!$A$1)),4,FALSE),"")</f>
        <v/>
      </c>
      <c r="O26" s="169" t="s">
        <v>1807</v>
      </c>
      <c r="P26" s="41" t="str">
        <f>IFERROR(IF(AND(BoM_Solar[[#This Row],[Quantity]]&lt;&gt;"",BoM_Solar[[#This Row],[Currency]]="NOK"),BoM_Solar[[#This Row],[Quantity]]*BoM_Solar[[#This Row],[Unit Price]],""),"")</f>
        <v/>
      </c>
      <c r="Q26" s="41" t="str">
        <f>IFERROR(IF(AND(BoM_Solar[[#This Row],[ACT_Qty]]&lt;&gt;"",BoM_Solar[[#This Row],[Currency]]="NOK"),BoM_Solar[[#This Row],[ACT_Qty]]*BoM_Solar[[#This Row],[Unit Price]],""),"")</f>
        <v/>
      </c>
      <c r="R26" s="41" t="str">
        <f>IFERROR(IF(AND(BoM_Solar[[#This Row],[Quantity]]&lt;&gt;"",BoM_Solar[[#This Row],[Currency]]="EUR"),BoM_Solar[[#This Row],[Quantity]]*BoM_Solar[[#This Row],[Unit Price]],""),"")</f>
        <v/>
      </c>
      <c r="S26" s="41" t="str">
        <f>IFERROR(IF(AND(BoM_Solar[[#This Row],[ACT_Qty]]&lt;&gt;"",BoM_Solar[[#This Row],[Currency]]="EUR"),BoM_Solar[[#This Row],[ACT_Qty]]*BoM_Solar[[#This Row],[Unit Price]],""),"")</f>
        <v/>
      </c>
      <c r="T26" s="185"/>
      <c r="U26" s="45"/>
      <c r="V26" s="45"/>
      <c r="W26" s="45"/>
    </row>
    <row r="27" spans="1:23" ht="15" customHeight="1">
      <c r="A27" s="146" t="str">
        <f t="shared" si="0"/>
        <v>AKH12345</v>
      </c>
      <c r="B27" s="199">
        <v>1624153</v>
      </c>
      <c r="C27" s="200" t="s">
        <v>3342</v>
      </c>
      <c r="D27" s="105"/>
      <c r="E27" s="106"/>
      <c r="F27" s="105"/>
      <c r="G27" s="106"/>
      <c r="H27" s="175" t="s">
        <v>3324</v>
      </c>
      <c r="I27" s="176" t="s">
        <v>3325</v>
      </c>
      <c r="J27" s="176" t="s">
        <v>3325</v>
      </c>
      <c r="K27" s="176" t="s">
        <v>1235</v>
      </c>
      <c r="L27" s="145" t="s">
        <v>3326</v>
      </c>
      <c r="M27" s="45" t="str">
        <f t="shared" si="1"/>
        <v>OneCo Networks AS</v>
      </c>
      <c r="N27" s="40" t="str">
        <f ca="1">IFERROR(
VLOOKUP(BoM_Solar[[#This Row],[Product code]],
IF(AND((BoQ!$N$3&lt;&gt;""),OR(BoM_Solar[[#This Row],[Vendor]]="Griptel",BoM_Solar[[#This Row],[Vendor]]="Solar")),INDIRECT(Aux!$A$1)),4,FALSE),"")</f>
        <v/>
      </c>
      <c r="O27" s="169" t="s">
        <v>1807</v>
      </c>
      <c r="P27" s="41" t="str">
        <f>IFERROR(IF(AND(BoM_Solar[[#This Row],[Quantity]]&lt;&gt;"",BoM_Solar[[#This Row],[Currency]]="NOK"),BoM_Solar[[#This Row],[Quantity]]*BoM_Solar[[#This Row],[Unit Price]],""),"")</f>
        <v/>
      </c>
      <c r="Q27" s="41" t="str">
        <f>IFERROR(IF(AND(BoM_Solar[[#This Row],[ACT_Qty]]&lt;&gt;"",BoM_Solar[[#This Row],[Currency]]="NOK"),BoM_Solar[[#This Row],[ACT_Qty]]*BoM_Solar[[#This Row],[Unit Price]],""),"")</f>
        <v/>
      </c>
      <c r="R27" s="41" t="str">
        <f>IFERROR(IF(AND(BoM_Solar[[#This Row],[Quantity]]&lt;&gt;"",BoM_Solar[[#This Row],[Currency]]="EUR"),BoM_Solar[[#This Row],[Quantity]]*BoM_Solar[[#This Row],[Unit Price]],""),"")</f>
        <v/>
      </c>
      <c r="S27" s="41" t="str">
        <f>IFERROR(IF(AND(BoM_Solar[[#This Row],[ACT_Qty]]&lt;&gt;"",BoM_Solar[[#This Row],[Currency]]="EUR"),BoM_Solar[[#This Row],[ACT_Qty]]*BoM_Solar[[#This Row],[Unit Price]],""),"")</f>
        <v/>
      </c>
      <c r="T27" s="185"/>
      <c r="U27" s="45"/>
      <c r="V27" s="45"/>
      <c r="W27" s="45"/>
    </row>
    <row r="28" spans="1:23" ht="15" customHeight="1">
      <c r="A28" s="146" t="str">
        <f t="shared" si="0"/>
        <v>AKH12345</v>
      </c>
      <c r="B28" s="199">
        <v>1054925</v>
      </c>
      <c r="C28" s="200" t="s">
        <v>3343</v>
      </c>
      <c r="D28" s="105"/>
      <c r="E28" s="106"/>
      <c r="F28" s="105"/>
      <c r="G28" s="106"/>
      <c r="H28" s="175" t="s">
        <v>3324</v>
      </c>
      <c r="I28" s="176" t="s">
        <v>3325</v>
      </c>
      <c r="J28" s="176" t="s">
        <v>3325</v>
      </c>
      <c r="K28" s="176" t="s">
        <v>1235</v>
      </c>
      <c r="L28" s="145" t="s">
        <v>3326</v>
      </c>
      <c r="M28" s="45" t="str">
        <f t="shared" si="1"/>
        <v>OneCo Networks AS</v>
      </c>
      <c r="N28" s="40" t="str">
        <f ca="1">IFERROR(
VLOOKUP(BoM_Solar[[#This Row],[Product code]],
IF(AND((BoQ!$N$3&lt;&gt;""),OR(BoM_Solar[[#This Row],[Vendor]]="Griptel",BoM_Solar[[#This Row],[Vendor]]="Solar")),INDIRECT(Aux!$A$1)),4,FALSE),"")</f>
        <v/>
      </c>
      <c r="O28" s="169" t="s">
        <v>1807</v>
      </c>
      <c r="P28" s="41" t="str">
        <f>IFERROR(IF(AND(BoM_Solar[[#This Row],[Quantity]]&lt;&gt;"",BoM_Solar[[#This Row],[Currency]]="NOK"),BoM_Solar[[#This Row],[Quantity]]*BoM_Solar[[#This Row],[Unit Price]],""),"")</f>
        <v/>
      </c>
      <c r="Q28" s="41" t="str">
        <f>IFERROR(IF(AND(BoM_Solar[[#This Row],[ACT_Qty]]&lt;&gt;"",BoM_Solar[[#This Row],[Currency]]="NOK"),BoM_Solar[[#This Row],[ACT_Qty]]*BoM_Solar[[#This Row],[Unit Price]],""),"")</f>
        <v/>
      </c>
      <c r="R28" s="41" t="str">
        <f>IFERROR(IF(AND(BoM_Solar[[#This Row],[Quantity]]&lt;&gt;"",BoM_Solar[[#This Row],[Currency]]="EUR"),BoM_Solar[[#This Row],[Quantity]]*BoM_Solar[[#This Row],[Unit Price]],""),"")</f>
        <v/>
      </c>
      <c r="S28" s="41" t="str">
        <f>IFERROR(IF(AND(BoM_Solar[[#This Row],[ACT_Qty]]&lt;&gt;"",BoM_Solar[[#This Row],[Currency]]="EUR"),BoM_Solar[[#This Row],[ACT_Qty]]*BoM_Solar[[#This Row],[Unit Price]],""),"")</f>
        <v/>
      </c>
      <c r="T28" s="185"/>
      <c r="U28" s="45"/>
      <c r="V28" s="45"/>
      <c r="W28" s="45"/>
    </row>
    <row r="29" spans="1:23" ht="15" customHeight="1">
      <c r="A29" s="146" t="str">
        <f t="shared" si="0"/>
        <v>AKH12345</v>
      </c>
      <c r="B29" s="199">
        <v>1804225</v>
      </c>
      <c r="C29" s="200" t="s">
        <v>3344</v>
      </c>
      <c r="D29" s="105"/>
      <c r="E29" s="106"/>
      <c r="F29" s="105"/>
      <c r="G29" s="106"/>
      <c r="H29" s="175" t="s">
        <v>3324</v>
      </c>
      <c r="I29" s="176" t="s">
        <v>3325</v>
      </c>
      <c r="J29" s="176" t="s">
        <v>3325</v>
      </c>
      <c r="K29" s="176" t="s">
        <v>1235</v>
      </c>
      <c r="L29" s="145" t="s">
        <v>3326</v>
      </c>
      <c r="M29" s="45" t="str">
        <f t="shared" si="1"/>
        <v>OneCo Networks AS</v>
      </c>
      <c r="N29" s="40" t="str">
        <f ca="1">IFERROR(
VLOOKUP(BoM_Solar[[#This Row],[Product code]],
IF(AND((BoQ!$N$3&lt;&gt;""),OR(BoM_Solar[[#This Row],[Vendor]]="Griptel",BoM_Solar[[#This Row],[Vendor]]="Solar")),INDIRECT(Aux!$A$1)),4,FALSE),"")</f>
        <v/>
      </c>
      <c r="O29" s="169" t="s">
        <v>1807</v>
      </c>
      <c r="P29" s="41" t="str">
        <f>IFERROR(IF(AND(BoM_Solar[[#This Row],[Quantity]]&lt;&gt;"",BoM_Solar[[#This Row],[Currency]]="NOK"),BoM_Solar[[#This Row],[Quantity]]*BoM_Solar[[#This Row],[Unit Price]],""),"")</f>
        <v/>
      </c>
      <c r="Q29" s="41" t="str">
        <f>IFERROR(IF(AND(BoM_Solar[[#This Row],[ACT_Qty]]&lt;&gt;"",BoM_Solar[[#This Row],[Currency]]="NOK"),BoM_Solar[[#This Row],[ACT_Qty]]*BoM_Solar[[#This Row],[Unit Price]],""),"")</f>
        <v/>
      </c>
      <c r="R29" s="41" t="str">
        <f>IFERROR(IF(AND(BoM_Solar[[#This Row],[Quantity]]&lt;&gt;"",BoM_Solar[[#This Row],[Currency]]="EUR"),BoM_Solar[[#This Row],[Quantity]]*BoM_Solar[[#This Row],[Unit Price]],""),"")</f>
        <v/>
      </c>
      <c r="S29" s="41" t="str">
        <f>IFERROR(IF(AND(BoM_Solar[[#This Row],[ACT_Qty]]&lt;&gt;"",BoM_Solar[[#This Row],[Currency]]="EUR"),BoM_Solar[[#This Row],[ACT_Qty]]*BoM_Solar[[#This Row],[Unit Price]],""),"")</f>
        <v/>
      </c>
      <c r="T29" s="185"/>
      <c r="U29" s="45"/>
      <c r="V29" s="45"/>
      <c r="W29" s="45"/>
    </row>
    <row r="30" spans="1:23" ht="15" customHeight="1">
      <c r="A30" s="146" t="str">
        <f t="shared" si="0"/>
        <v>AKH12345</v>
      </c>
      <c r="B30" s="199">
        <v>1202104</v>
      </c>
      <c r="C30" s="200" t="s">
        <v>3345</v>
      </c>
      <c r="D30" s="105"/>
      <c r="E30" s="106"/>
      <c r="F30" s="105"/>
      <c r="G30" s="106"/>
      <c r="H30" s="175" t="s">
        <v>3324</v>
      </c>
      <c r="I30" s="176" t="s">
        <v>3325</v>
      </c>
      <c r="J30" s="176" t="s">
        <v>3325</v>
      </c>
      <c r="K30" s="176" t="s">
        <v>1235</v>
      </c>
      <c r="L30" s="145" t="s">
        <v>3326</v>
      </c>
      <c r="M30" s="45" t="str">
        <f t="shared" si="1"/>
        <v>OneCo Networks AS</v>
      </c>
      <c r="N30" s="40" t="str">
        <f ca="1">IFERROR(
VLOOKUP(BoM_Solar[[#This Row],[Product code]],
IF(AND((BoQ!$N$3&lt;&gt;""),OR(BoM_Solar[[#This Row],[Vendor]]="Griptel",BoM_Solar[[#This Row],[Vendor]]="Solar")),INDIRECT(Aux!$A$1)),4,FALSE),"")</f>
        <v/>
      </c>
      <c r="O30" s="169" t="s">
        <v>1807</v>
      </c>
      <c r="P30" s="41" t="str">
        <f>IFERROR(IF(AND(BoM_Solar[[#This Row],[Quantity]]&lt;&gt;"",BoM_Solar[[#This Row],[Currency]]="NOK"),BoM_Solar[[#This Row],[Quantity]]*BoM_Solar[[#This Row],[Unit Price]],""),"")</f>
        <v/>
      </c>
      <c r="Q30" s="41" t="str">
        <f>IFERROR(IF(AND(BoM_Solar[[#This Row],[ACT_Qty]]&lt;&gt;"",BoM_Solar[[#This Row],[Currency]]="NOK"),BoM_Solar[[#This Row],[ACT_Qty]]*BoM_Solar[[#This Row],[Unit Price]],""),"")</f>
        <v/>
      </c>
      <c r="R30" s="41" t="str">
        <f>IFERROR(IF(AND(BoM_Solar[[#This Row],[Quantity]]&lt;&gt;"",BoM_Solar[[#This Row],[Currency]]="EUR"),BoM_Solar[[#This Row],[Quantity]]*BoM_Solar[[#This Row],[Unit Price]],""),"")</f>
        <v/>
      </c>
      <c r="S30" s="41" t="str">
        <f>IFERROR(IF(AND(BoM_Solar[[#This Row],[ACT_Qty]]&lt;&gt;"",BoM_Solar[[#This Row],[Currency]]="EUR"),BoM_Solar[[#This Row],[ACT_Qty]]*BoM_Solar[[#This Row],[Unit Price]],""),"")</f>
        <v/>
      </c>
      <c r="T30" s="185"/>
      <c r="U30" s="45"/>
      <c r="V30" s="45"/>
      <c r="W30" s="45"/>
    </row>
    <row r="31" spans="1:23" ht="15" customHeight="1">
      <c r="A31" s="146" t="str">
        <f t="shared" si="0"/>
        <v>AKH12345</v>
      </c>
      <c r="B31" s="199">
        <v>1067314</v>
      </c>
      <c r="C31" s="200" t="s">
        <v>3346</v>
      </c>
      <c r="D31" s="105"/>
      <c r="E31" s="106"/>
      <c r="F31" s="105"/>
      <c r="G31" s="106"/>
      <c r="H31" s="175" t="s">
        <v>3324</v>
      </c>
      <c r="I31" s="176" t="s">
        <v>3325</v>
      </c>
      <c r="J31" s="176" t="s">
        <v>3325</v>
      </c>
      <c r="K31" s="176" t="s">
        <v>1235</v>
      </c>
      <c r="L31" s="145" t="s">
        <v>3326</v>
      </c>
      <c r="M31" s="45" t="str">
        <f t="shared" si="1"/>
        <v>OneCo Networks AS</v>
      </c>
      <c r="N31" s="40" t="str">
        <f ca="1">IFERROR(
VLOOKUP(BoM_Solar[[#This Row],[Product code]],
IF(AND((BoQ!$N$3&lt;&gt;""),OR(BoM_Solar[[#This Row],[Vendor]]="Griptel",BoM_Solar[[#This Row],[Vendor]]="Solar")),INDIRECT(Aux!$A$1)),4,FALSE),"")</f>
        <v/>
      </c>
      <c r="O31" s="169" t="s">
        <v>1807</v>
      </c>
      <c r="P31" s="41" t="str">
        <f>IFERROR(IF(AND(BoM_Solar[[#This Row],[Quantity]]&lt;&gt;"",BoM_Solar[[#This Row],[Currency]]="NOK"),BoM_Solar[[#This Row],[Quantity]]*BoM_Solar[[#This Row],[Unit Price]],""),"")</f>
        <v/>
      </c>
      <c r="Q31" s="41" t="str">
        <f>IFERROR(IF(AND(BoM_Solar[[#This Row],[ACT_Qty]]&lt;&gt;"",BoM_Solar[[#This Row],[Currency]]="NOK"),BoM_Solar[[#This Row],[ACT_Qty]]*BoM_Solar[[#This Row],[Unit Price]],""),"")</f>
        <v/>
      </c>
      <c r="R31" s="41" t="str">
        <f>IFERROR(IF(AND(BoM_Solar[[#This Row],[Quantity]]&lt;&gt;"",BoM_Solar[[#This Row],[Currency]]="EUR"),BoM_Solar[[#This Row],[Quantity]]*BoM_Solar[[#This Row],[Unit Price]],""),"")</f>
        <v/>
      </c>
      <c r="S31" s="41" t="str">
        <f>IFERROR(IF(AND(BoM_Solar[[#This Row],[ACT_Qty]]&lt;&gt;"",BoM_Solar[[#This Row],[Currency]]="EUR"),BoM_Solar[[#This Row],[ACT_Qty]]*BoM_Solar[[#This Row],[Unit Price]],""),"")</f>
        <v/>
      </c>
      <c r="T31" s="185"/>
      <c r="U31" s="45"/>
      <c r="V31" s="45"/>
      <c r="W31" s="45"/>
    </row>
    <row r="32" spans="1:23" ht="15" customHeight="1">
      <c r="A32" s="146" t="str">
        <f t="shared" si="0"/>
        <v>AKH12345</v>
      </c>
      <c r="B32" s="199">
        <v>1067312</v>
      </c>
      <c r="C32" s="200" t="s">
        <v>3347</v>
      </c>
      <c r="D32" s="105"/>
      <c r="E32" s="106"/>
      <c r="F32" s="105"/>
      <c r="G32" s="106"/>
      <c r="H32" s="175" t="s">
        <v>3324</v>
      </c>
      <c r="I32" s="176" t="s">
        <v>3325</v>
      </c>
      <c r="J32" s="176" t="s">
        <v>3325</v>
      </c>
      <c r="K32" s="176" t="s">
        <v>1235</v>
      </c>
      <c r="L32" s="145" t="s">
        <v>3326</v>
      </c>
      <c r="M32" s="45" t="str">
        <f t="shared" si="1"/>
        <v>OneCo Networks AS</v>
      </c>
      <c r="N32" s="40" t="str">
        <f ca="1">IFERROR(
VLOOKUP(BoM_Solar[[#This Row],[Product code]],
IF(AND((BoQ!$N$3&lt;&gt;""),OR(BoM_Solar[[#This Row],[Vendor]]="Griptel",BoM_Solar[[#This Row],[Vendor]]="Solar")),INDIRECT(Aux!$A$1)),4,FALSE),"")</f>
        <v/>
      </c>
      <c r="O32" s="169" t="s">
        <v>1807</v>
      </c>
      <c r="P32" s="41" t="str">
        <f>IFERROR(IF(AND(BoM_Solar[[#This Row],[Quantity]]&lt;&gt;"",BoM_Solar[[#This Row],[Currency]]="NOK"),BoM_Solar[[#This Row],[Quantity]]*BoM_Solar[[#This Row],[Unit Price]],""),"")</f>
        <v/>
      </c>
      <c r="Q32" s="41" t="str">
        <f>IFERROR(IF(AND(BoM_Solar[[#This Row],[ACT_Qty]]&lt;&gt;"",BoM_Solar[[#This Row],[Currency]]="NOK"),BoM_Solar[[#This Row],[ACT_Qty]]*BoM_Solar[[#This Row],[Unit Price]],""),"")</f>
        <v/>
      </c>
      <c r="R32" s="41" t="str">
        <f>IFERROR(IF(AND(BoM_Solar[[#This Row],[Quantity]]&lt;&gt;"",BoM_Solar[[#This Row],[Currency]]="EUR"),BoM_Solar[[#This Row],[Quantity]]*BoM_Solar[[#This Row],[Unit Price]],""),"")</f>
        <v/>
      </c>
      <c r="S32" s="41" t="str">
        <f>IFERROR(IF(AND(BoM_Solar[[#This Row],[ACT_Qty]]&lt;&gt;"",BoM_Solar[[#This Row],[Currency]]="EUR"),BoM_Solar[[#This Row],[ACT_Qty]]*BoM_Solar[[#This Row],[Unit Price]],""),"")</f>
        <v/>
      </c>
      <c r="T32" s="185"/>
      <c r="U32" s="45"/>
      <c r="V32" s="45"/>
      <c r="W32" s="45"/>
    </row>
    <row r="33" spans="1:23" ht="15" customHeight="1">
      <c r="A33" s="146" t="str">
        <f t="shared" si="0"/>
        <v>AKH12345</v>
      </c>
      <c r="B33" s="199">
        <v>1067331</v>
      </c>
      <c r="C33" s="200" t="s">
        <v>3348</v>
      </c>
      <c r="D33" s="105"/>
      <c r="E33" s="106"/>
      <c r="F33" s="105"/>
      <c r="G33" s="106"/>
      <c r="H33" s="175" t="s">
        <v>3324</v>
      </c>
      <c r="I33" s="176" t="s">
        <v>3325</v>
      </c>
      <c r="J33" s="176" t="s">
        <v>3325</v>
      </c>
      <c r="K33" s="176" t="s">
        <v>1235</v>
      </c>
      <c r="L33" s="145" t="s">
        <v>3326</v>
      </c>
      <c r="M33" s="45" t="str">
        <f t="shared" si="1"/>
        <v>OneCo Networks AS</v>
      </c>
      <c r="N33" s="40" t="str">
        <f ca="1">IFERROR(
VLOOKUP(BoM_Solar[[#This Row],[Product code]],
IF(AND((BoQ!$N$3&lt;&gt;""),OR(BoM_Solar[[#This Row],[Vendor]]="Griptel",BoM_Solar[[#This Row],[Vendor]]="Solar")),INDIRECT(Aux!$A$1)),4,FALSE),"")</f>
        <v/>
      </c>
      <c r="O33" s="169" t="s">
        <v>1807</v>
      </c>
      <c r="P33" s="41" t="str">
        <f>IFERROR(IF(AND(BoM_Solar[[#This Row],[Quantity]]&lt;&gt;"",BoM_Solar[[#This Row],[Currency]]="NOK"),BoM_Solar[[#This Row],[Quantity]]*BoM_Solar[[#This Row],[Unit Price]],""),"")</f>
        <v/>
      </c>
      <c r="Q33" s="41" t="str">
        <f>IFERROR(IF(AND(BoM_Solar[[#This Row],[ACT_Qty]]&lt;&gt;"",BoM_Solar[[#This Row],[Currency]]="NOK"),BoM_Solar[[#This Row],[ACT_Qty]]*BoM_Solar[[#This Row],[Unit Price]],""),"")</f>
        <v/>
      </c>
      <c r="R33" s="41" t="str">
        <f>IFERROR(IF(AND(BoM_Solar[[#This Row],[Quantity]]&lt;&gt;"",BoM_Solar[[#This Row],[Currency]]="EUR"),BoM_Solar[[#This Row],[Quantity]]*BoM_Solar[[#This Row],[Unit Price]],""),"")</f>
        <v/>
      </c>
      <c r="S33" s="41" t="str">
        <f>IFERROR(IF(AND(BoM_Solar[[#This Row],[ACT_Qty]]&lt;&gt;"",BoM_Solar[[#This Row],[Currency]]="EUR"),BoM_Solar[[#This Row],[ACT_Qty]]*BoM_Solar[[#This Row],[Unit Price]],""),"")</f>
        <v/>
      </c>
      <c r="T33" s="185"/>
      <c r="U33" s="45"/>
      <c r="V33" s="45"/>
      <c r="W33" s="45"/>
    </row>
    <row r="34" spans="1:23" ht="15" customHeight="1">
      <c r="A34" s="146" t="str">
        <f t="shared" si="0"/>
        <v>AKH12345</v>
      </c>
      <c r="B34" s="199">
        <v>1046743</v>
      </c>
      <c r="C34" s="200" t="s">
        <v>3349</v>
      </c>
      <c r="D34" s="105"/>
      <c r="E34" s="106"/>
      <c r="F34" s="105"/>
      <c r="G34" s="106"/>
      <c r="H34" s="175" t="s">
        <v>3324</v>
      </c>
      <c r="I34" s="176" t="s">
        <v>3325</v>
      </c>
      <c r="J34" s="176" t="s">
        <v>3325</v>
      </c>
      <c r="K34" s="176" t="s">
        <v>1235</v>
      </c>
      <c r="L34" s="145" t="s">
        <v>3326</v>
      </c>
      <c r="M34" s="45" t="str">
        <f t="shared" si="1"/>
        <v>OneCo Networks AS</v>
      </c>
      <c r="N34" s="40" t="str">
        <f ca="1">IFERROR(
VLOOKUP(BoM_Solar[[#This Row],[Product code]],
IF(AND((BoQ!$N$3&lt;&gt;""),OR(BoM_Solar[[#This Row],[Vendor]]="Griptel",BoM_Solar[[#This Row],[Vendor]]="Solar")),INDIRECT(Aux!$A$1)),4,FALSE),"")</f>
        <v/>
      </c>
      <c r="O34" s="169" t="s">
        <v>1807</v>
      </c>
      <c r="P34" s="41" t="str">
        <f>IFERROR(IF(AND(BoM_Solar[[#This Row],[Quantity]]&lt;&gt;"",BoM_Solar[[#This Row],[Currency]]="NOK"),BoM_Solar[[#This Row],[Quantity]]*BoM_Solar[[#This Row],[Unit Price]],""),"")</f>
        <v/>
      </c>
      <c r="Q34" s="41" t="str">
        <f>IFERROR(IF(AND(BoM_Solar[[#This Row],[ACT_Qty]]&lt;&gt;"",BoM_Solar[[#This Row],[Currency]]="NOK"),BoM_Solar[[#This Row],[ACT_Qty]]*BoM_Solar[[#This Row],[Unit Price]],""),"")</f>
        <v/>
      </c>
      <c r="R34" s="41" t="str">
        <f>IFERROR(IF(AND(BoM_Solar[[#This Row],[Quantity]]&lt;&gt;"",BoM_Solar[[#This Row],[Currency]]="EUR"),BoM_Solar[[#This Row],[Quantity]]*BoM_Solar[[#This Row],[Unit Price]],""),"")</f>
        <v/>
      </c>
      <c r="S34" s="41" t="str">
        <f>IFERROR(IF(AND(BoM_Solar[[#This Row],[ACT_Qty]]&lt;&gt;"",BoM_Solar[[#This Row],[Currency]]="EUR"),BoM_Solar[[#This Row],[ACT_Qty]]*BoM_Solar[[#This Row],[Unit Price]],""),"")</f>
        <v/>
      </c>
      <c r="T34" s="185"/>
      <c r="U34" s="45"/>
      <c r="V34" s="45"/>
      <c r="W34" s="45"/>
    </row>
    <row r="35" spans="1:23" ht="15" customHeight="1">
      <c r="A35" s="146" t="str">
        <f t="shared" si="0"/>
        <v>AKH12345</v>
      </c>
      <c r="B35" s="199">
        <v>1046744</v>
      </c>
      <c r="C35" s="200" t="s">
        <v>3350</v>
      </c>
      <c r="D35" s="105"/>
      <c r="E35" s="106"/>
      <c r="F35" s="105"/>
      <c r="G35" s="106"/>
      <c r="H35" s="175" t="s">
        <v>3324</v>
      </c>
      <c r="I35" s="176" t="s">
        <v>3325</v>
      </c>
      <c r="J35" s="176" t="s">
        <v>3325</v>
      </c>
      <c r="K35" s="176" t="s">
        <v>1235</v>
      </c>
      <c r="L35" s="145" t="s">
        <v>3326</v>
      </c>
      <c r="M35" s="45" t="str">
        <f t="shared" si="1"/>
        <v>OneCo Networks AS</v>
      </c>
      <c r="N35" s="40" t="str">
        <f ca="1">IFERROR(
VLOOKUP(BoM_Solar[[#This Row],[Product code]],
IF(AND((BoQ!$N$3&lt;&gt;""),OR(BoM_Solar[[#This Row],[Vendor]]="Griptel",BoM_Solar[[#This Row],[Vendor]]="Solar")),INDIRECT(Aux!$A$1)),4,FALSE),"")</f>
        <v/>
      </c>
      <c r="O35" s="169" t="s">
        <v>1807</v>
      </c>
      <c r="P35" s="41" t="str">
        <f>IFERROR(IF(AND(BoM_Solar[[#This Row],[Quantity]]&lt;&gt;"",BoM_Solar[[#This Row],[Currency]]="NOK"),BoM_Solar[[#This Row],[Quantity]]*BoM_Solar[[#This Row],[Unit Price]],""),"")</f>
        <v/>
      </c>
      <c r="Q35" s="41" t="str">
        <f>IFERROR(IF(AND(BoM_Solar[[#This Row],[ACT_Qty]]&lt;&gt;"",BoM_Solar[[#This Row],[Currency]]="NOK"),BoM_Solar[[#This Row],[ACT_Qty]]*BoM_Solar[[#This Row],[Unit Price]],""),"")</f>
        <v/>
      </c>
      <c r="R35" s="41" t="str">
        <f>IFERROR(IF(AND(BoM_Solar[[#This Row],[Quantity]]&lt;&gt;"",BoM_Solar[[#This Row],[Currency]]="EUR"),BoM_Solar[[#This Row],[Quantity]]*BoM_Solar[[#This Row],[Unit Price]],""),"")</f>
        <v/>
      </c>
      <c r="S35" s="41" t="str">
        <f>IFERROR(IF(AND(BoM_Solar[[#This Row],[ACT_Qty]]&lt;&gt;"",BoM_Solar[[#This Row],[Currency]]="EUR"),BoM_Solar[[#This Row],[ACT_Qty]]*BoM_Solar[[#This Row],[Unit Price]],""),"")</f>
        <v/>
      </c>
      <c r="T35" s="185"/>
      <c r="U35" s="45"/>
      <c r="V35" s="45"/>
      <c r="W35" s="45"/>
    </row>
    <row r="36" spans="1:23" ht="15" customHeight="1">
      <c r="A36" s="146" t="str">
        <f t="shared" si="0"/>
        <v>AKH12345</v>
      </c>
      <c r="B36" s="199">
        <v>1042313</v>
      </c>
      <c r="C36" s="200" t="s">
        <v>3351</v>
      </c>
      <c r="D36" s="105"/>
      <c r="E36" s="106"/>
      <c r="F36" s="105"/>
      <c r="G36" s="106"/>
      <c r="H36" s="175" t="s">
        <v>3324</v>
      </c>
      <c r="I36" s="176" t="s">
        <v>3325</v>
      </c>
      <c r="J36" s="176" t="s">
        <v>3325</v>
      </c>
      <c r="K36" s="176" t="s">
        <v>1235</v>
      </c>
      <c r="L36" s="145" t="s">
        <v>3326</v>
      </c>
      <c r="M36" s="45" t="str">
        <f t="shared" si="1"/>
        <v>OneCo Networks AS</v>
      </c>
      <c r="N36" s="40" t="str">
        <f ca="1">IFERROR(
VLOOKUP(BoM_Solar[[#This Row],[Product code]],
IF(AND((BoQ!$N$3&lt;&gt;""),OR(BoM_Solar[[#This Row],[Vendor]]="Griptel",BoM_Solar[[#This Row],[Vendor]]="Solar")),INDIRECT(Aux!$A$1)),4,FALSE),"")</f>
        <v/>
      </c>
      <c r="O36" s="169" t="s">
        <v>1807</v>
      </c>
      <c r="P36" s="41" t="str">
        <f>IFERROR(IF(AND(BoM_Solar[[#This Row],[Quantity]]&lt;&gt;"",BoM_Solar[[#This Row],[Currency]]="NOK"),BoM_Solar[[#This Row],[Quantity]]*BoM_Solar[[#This Row],[Unit Price]],""),"")</f>
        <v/>
      </c>
      <c r="Q36" s="41" t="str">
        <f>IFERROR(IF(AND(BoM_Solar[[#This Row],[ACT_Qty]]&lt;&gt;"",BoM_Solar[[#This Row],[Currency]]="NOK"),BoM_Solar[[#This Row],[ACT_Qty]]*BoM_Solar[[#This Row],[Unit Price]],""),"")</f>
        <v/>
      </c>
      <c r="R36" s="41" t="str">
        <f>IFERROR(IF(AND(BoM_Solar[[#This Row],[Quantity]]&lt;&gt;"",BoM_Solar[[#This Row],[Currency]]="EUR"),BoM_Solar[[#This Row],[Quantity]]*BoM_Solar[[#This Row],[Unit Price]],""),"")</f>
        <v/>
      </c>
      <c r="S36" s="41" t="str">
        <f>IFERROR(IF(AND(BoM_Solar[[#This Row],[ACT_Qty]]&lt;&gt;"",BoM_Solar[[#This Row],[Currency]]="EUR"),BoM_Solar[[#This Row],[ACT_Qty]]*BoM_Solar[[#This Row],[Unit Price]],""),"")</f>
        <v/>
      </c>
      <c r="T36" s="185"/>
      <c r="U36" s="45"/>
      <c r="V36" s="45"/>
      <c r="W36" s="45"/>
    </row>
    <row r="37" spans="1:23" ht="15" customHeight="1">
      <c r="A37" s="146" t="str">
        <f t="shared" si="0"/>
        <v>AKH12345</v>
      </c>
      <c r="B37" s="199">
        <v>1067329</v>
      </c>
      <c r="C37" s="200" t="s">
        <v>3352</v>
      </c>
      <c r="D37" s="105"/>
      <c r="E37" s="106"/>
      <c r="F37" s="105"/>
      <c r="G37" s="106"/>
      <c r="H37" s="175" t="s">
        <v>3324</v>
      </c>
      <c r="I37" s="176" t="s">
        <v>3325</v>
      </c>
      <c r="J37" s="176" t="s">
        <v>3325</v>
      </c>
      <c r="K37" s="176" t="s">
        <v>1235</v>
      </c>
      <c r="L37" s="145" t="s">
        <v>3326</v>
      </c>
      <c r="M37" s="45" t="str">
        <f t="shared" si="1"/>
        <v>OneCo Networks AS</v>
      </c>
      <c r="N37" s="40" t="str">
        <f ca="1">IFERROR(
VLOOKUP(BoM_Solar[[#This Row],[Product code]],
IF(AND((BoQ!$N$3&lt;&gt;""),OR(BoM_Solar[[#This Row],[Vendor]]="Griptel",BoM_Solar[[#This Row],[Vendor]]="Solar")),INDIRECT(Aux!$A$1)),4,FALSE),"")</f>
        <v/>
      </c>
      <c r="O37" s="169" t="s">
        <v>1807</v>
      </c>
      <c r="P37" s="41" t="str">
        <f>IFERROR(IF(AND(BoM_Solar[[#This Row],[Quantity]]&lt;&gt;"",BoM_Solar[[#This Row],[Currency]]="NOK"),BoM_Solar[[#This Row],[Quantity]]*BoM_Solar[[#This Row],[Unit Price]],""),"")</f>
        <v/>
      </c>
      <c r="Q37" s="41" t="str">
        <f>IFERROR(IF(AND(BoM_Solar[[#This Row],[ACT_Qty]]&lt;&gt;"",BoM_Solar[[#This Row],[Currency]]="NOK"),BoM_Solar[[#This Row],[ACT_Qty]]*BoM_Solar[[#This Row],[Unit Price]],""),"")</f>
        <v/>
      </c>
      <c r="R37" s="41" t="str">
        <f>IFERROR(IF(AND(BoM_Solar[[#This Row],[Quantity]]&lt;&gt;"",BoM_Solar[[#This Row],[Currency]]="EUR"),BoM_Solar[[#This Row],[Quantity]]*BoM_Solar[[#This Row],[Unit Price]],""),"")</f>
        <v/>
      </c>
      <c r="S37" s="41" t="str">
        <f>IFERROR(IF(AND(BoM_Solar[[#This Row],[ACT_Qty]]&lt;&gt;"",BoM_Solar[[#This Row],[Currency]]="EUR"),BoM_Solar[[#This Row],[ACT_Qty]]*BoM_Solar[[#This Row],[Unit Price]],""),"")</f>
        <v/>
      </c>
      <c r="T37" s="185"/>
      <c r="U37" s="45"/>
      <c r="V37" s="45"/>
      <c r="W37" s="45"/>
    </row>
    <row r="38" spans="1:23" ht="15" customHeight="1">
      <c r="A38" s="146" t="str">
        <f t="shared" si="0"/>
        <v>AKH12345</v>
      </c>
      <c r="B38" s="199">
        <v>1067341</v>
      </c>
      <c r="C38" s="200" t="s">
        <v>3353</v>
      </c>
      <c r="D38" s="105"/>
      <c r="E38" s="106"/>
      <c r="F38" s="105"/>
      <c r="G38" s="106"/>
      <c r="H38" s="175" t="s">
        <v>3324</v>
      </c>
      <c r="I38" s="176" t="s">
        <v>3325</v>
      </c>
      <c r="J38" s="176" t="s">
        <v>3325</v>
      </c>
      <c r="K38" s="176" t="s">
        <v>1235</v>
      </c>
      <c r="L38" s="145" t="s">
        <v>3326</v>
      </c>
      <c r="M38" s="45" t="str">
        <f t="shared" si="1"/>
        <v>OneCo Networks AS</v>
      </c>
      <c r="N38" s="40" t="str">
        <f ca="1">IFERROR(
VLOOKUP(BoM_Solar[[#This Row],[Product code]],
IF(AND((BoQ!$N$3&lt;&gt;""),OR(BoM_Solar[[#This Row],[Vendor]]="Griptel",BoM_Solar[[#This Row],[Vendor]]="Solar")),INDIRECT(Aux!$A$1)),4,FALSE),"")</f>
        <v/>
      </c>
      <c r="O38" s="169" t="s">
        <v>1807</v>
      </c>
      <c r="P38" s="41" t="str">
        <f>IFERROR(IF(AND(BoM_Solar[[#This Row],[Quantity]]&lt;&gt;"",BoM_Solar[[#This Row],[Currency]]="NOK"),BoM_Solar[[#This Row],[Quantity]]*BoM_Solar[[#This Row],[Unit Price]],""),"")</f>
        <v/>
      </c>
      <c r="Q38" s="41" t="str">
        <f>IFERROR(IF(AND(BoM_Solar[[#This Row],[ACT_Qty]]&lt;&gt;"",BoM_Solar[[#This Row],[Currency]]="NOK"),BoM_Solar[[#This Row],[ACT_Qty]]*BoM_Solar[[#This Row],[Unit Price]],""),"")</f>
        <v/>
      </c>
      <c r="R38" s="41" t="str">
        <f>IFERROR(IF(AND(BoM_Solar[[#This Row],[Quantity]]&lt;&gt;"",BoM_Solar[[#This Row],[Currency]]="EUR"),BoM_Solar[[#This Row],[Quantity]]*BoM_Solar[[#This Row],[Unit Price]],""),"")</f>
        <v/>
      </c>
      <c r="S38" s="41" t="str">
        <f>IFERROR(IF(AND(BoM_Solar[[#This Row],[ACT_Qty]]&lt;&gt;"",BoM_Solar[[#This Row],[Currency]]="EUR"),BoM_Solar[[#This Row],[ACT_Qty]]*BoM_Solar[[#This Row],[Unit Price]],""),"")</f>
        <v/>
      </c>
      <c r="T38" s="185"/>
      <c r="U38" s="45"/>
      <c r="V38" s="45"/>
      <c r="W38" s="45"/>
    </row>
    <row r="39" spans="1:23" ht="15" customHeight="1">
      <c r="A39" s="146" t="str">
        <f t="shared" si="0"/>
        <v>AKH12345</v>
      </c>
      <c r="B39" s="199">
        <v>1067342</v>
      </c>
      <c r="C39" s="200" t="s">
        <v>3354</v>
      </c>
      <c r="D39" s="105"/>
      <c r="E39" s="106"/>
      <c r="F39" s="105"/>
      <c r="G39" s="106"/>
      <c r="H39" s="175" t="s">
        <v>3324</v>
      </c>
      <c r="I39" s="176" t="s">
        <v>3325</v>
      </c>
      <c r="J39" s="176" t="s">
        <v>3325</v>
      </c>
      <c r="K39" s="176" t="s">
        <v>1235</v>
      </c>
      <c r="L39" s="145" t="s">
        <v>3326</v>
      </c>
      <c r="M39" s="45" t="str">
        <f t="shared" si="1"/>
        <v>OneCo Networks AS</v>
      </c>
      <c r="N39" s="40" t="str">
        <f ca="1">IFERROR(
VLOOKUP(BoM_Solar[[#This Row],[Product code]],
IF(AND((BoQ!$N$3&lt;&gt;""),OR(BoM_Solar[[#This Row],[Vendor]]="Griptel",BoM_Solar[[#This Row],[Vendor]]="Solar")),INDIRECT(Aux!$A$1)),4,FALSE),"")</f>
        <v/>
      </c>
      <c r="O39" s="169" t="s">
        <v>1807</v>
      </c>
      <c r="P39" s="41" t="str">
        <f>IFERROR(IF(AND(BoM_Solar[[#This Row],[Quantity]]&lt;&gt;"",BoM_Solar[[#This Row],[Currency]]="NOK"),BoM_Solar[[#This Row],[Quantity]]*BoM_Solar[[#This Row],[Unit Price]],""),"")</f>
        <v/>
      </c>
      <c r="Q39" s="41" t="str">
        <f>IFERROR(IF(AND(BoM_Solar[[#This Row],[ACT_Qty]]&lt;&gt;"",BoM_Solar[[#This Row],[Currency]]="NOK"),BoM_Solar[[#This Row],[ACT_Qty]]*BoM_Solar[[#This Row],[Unit Price]],""),"")</f>
        <v/>
      </c>
      <c r="R39" s="41" t="str">
        <f>IFERROR(IF(AND(BoM_Solar[[#This Row],[Quantity]]&lt;&gt;"",BoM_Solar[[#This Row],[Currency]]="EUR"),BoM_Solar[[#This Row],[Quantity]]*BoM_Solar[[#This Row],[Unit Price]],""),"")</f>
        <v/>
      </c>
      <c r="S39" s="41" t="str">
        <f>IFERROR(IF(AND(BoM_Solar[[#This Row],[ACT_Qty]]&lt;&gt;"",BoM_Solar[[#This Row],[Currency]]="EUR"),BoM_Solar[[#This Row],[ACT_Qty]]*BoM_Solar[[#This Row],[Unit Price]],""),"")</f>
        <v/>
      </c>
      <c r="T39" s="185"/>
      <c r="U39" s="45"/>
      <c r="V39" s="45"/>
      <c r="W39" s="45"/>
    </row>
    <row r="40" spans="1:23" ht="15" customHeight="1">
      <c r="A40" s="146" t="str">
        <f t="shared" si="0"/>
        <v>AKH12345</v>
      </c>
      <c r="B40" s="199">
        <v>1067330</v>
      </c>
      <c r="C40" s="200" t="s">
        <v>3355</v>
      </c>
      <c r="D40" s="105"/>
      <c r="E40" s="106"/>
      <c r="F40" s="105"/>
      <c r="G40" s="106"/>
      <c r="H40" s="175" t="s">
        <v>3324</v>
      </c>
      <c r="I40" s="176" t="s">
        <v>3325</v>
      </c>
      <c r="J40" s="176" t="s">
        <v>3325</v>
      </c>
      <c r="K40" s="176" t="s">
        <v>1235</v>
      </c>
      <c r="L40" s="145" t="s">
        <v>3326</v>
      </c>
      <c r="M40" s="45" t="str">
        <f t="shared" si="1"/>
        <v>OneCo Networks AS</v>
      </c>
      <c r="N40" s="40" t="str">
        <f ca="1">IFERROR(
VLOOKUP(BoM_Solar[[#This Row],[Product code]],
IF(AND((BoQ!$N$3&lt;&gt;""),OR(BoM_Solar[[#This Row],[Vendor]]="Griptel",BoM_Solar[[#This Row],[Vendor]]="Solar")),INDIRECT(Aux!$A$1)),4,FALSE),"")</f>
        <v/>
      </c>
      <c r="O40" s="169" t="s">
        <v>1807</v>
      </c>
      <c r="P40" s="41" t="str">
        <f>IFERROR(IF(AND(BoM_Solar[[#This Row],[Quantity]]&lt;&gt;"",BoM_Solar[[#This Row],[Currency]]="NOK"),BoM_Solar[[#This Row],[Quantity]]*BoM_Solar[[#This Row],[Unit Price]],""),"")</f>
        <v/>
      </c>
      <c r="Q40" s="41" t="str">
        <f>IFERROR(IF(AND(BoM_Solar[[#This Row],[ACT_Qty]]&lt;&gt;"",BoM_Solar[[#This Row],[Currency]]="NOK"),BoM_Solar[[#This Row],[ACT_Qty]]*BoM_Solar[[#This Row],[Unit Price]],""),"")</f>
        <v/>
      </c>
      <c r="R40" s="41" t="str">
        <f>IFERROR(IF(AND(BoM_Solar[[#This Row],[Quantity]]&lt;&gt;"",BoM_Solar[[#This Row],[Currency]]="EUR"),BoM_Solar[[#This Row],[Quantity]]*BoM_Solar[[#This Row],[Unit Price]],""),"")</f>
        <v/>
      </c>
      <c r="S40" s="41" t="str">
        <f>IFERROR(IF(AND(BoM_Solar[[#This Row],[ACT_Qty]]&lt;&gt;"",BoM_Solar[[#This Row],[Currency]]="EUR"),BoM_Solar[[#This Row],[ACT_Qty]]*BoM_Solar[[#This Row],[Unit Price]],""),"")</f>
        <v/>
      </c>
      <c r="T40" s="185"/>
      <c r="U40" s="45"/>
      <c r="V40" s="45"/>
      <c r="W40" s="45"/>
    </row>
    <row r="41" spans="1:23" ht="15" customHeight="1">
      <c r="A41" s="146" t="str">
        <f t="shared" si="0"/>
        <v>AKH12345</v>
      </c>
      <c r="B41" s="199">
        <v>1355521</v>
      </c>
      <c r="C41" s="200" t="s">
        <v>3356</v>
      </c>
      <c r="D41" s="105"/>
      <c r="E41" s="106"/>
      <c r="F41" s="105"/>
      <c r="G41" s="106"/>
      <c r="H41" s="175" t="s">
        <v>3324</v>
      </c>
      <c r="I41" s="176" t="s">
        <v>3325</v>
      </c>
      <c r="J41" s="176" t="s">
        <v>3325</v>
      </c>
      <c r="K41" s="176" t="s">
        <v>1235</v>
      </c>
      <c r="L41" s="145" t="s">
        <v>3326</v>
      </c>
      <c r="M41" s="45" t="str">
        <f t="shared" si="1"/>
        <v>OneCo Networks AS</v>
      </c>
      <c r="N41" s="40" t="str">
        <f ca="1">IFERROR(
VLOOKUP(BoM_Solar[[#This Row],[Product code]],
IF(AND((BoQ!$N$3&lt;&gt;""),OR(BoM_Solar[[#This Row],[Vendor]]="Griptel",BoM_Solar[[#This Row],[Vendor]]="Solar")),INDIRECT(Aux!$A$1)),4,FALSE),"")</f>
        <v/>
      </c>
      <c r="O41" s="169" t="s">
        <v>1807</v>
      </c>
      <c r="P41" s="41" t="str">
        <f>IFERROR(IF(AND(BoM_Solar[[#This Row],[Quantity]]&lt;&gt;"",BoM_Solar[[#This Row],[Currency]]="NOK"),BoM_Solar[[#This Row],[Quantity]]*BoM_Solar[[#This Row],[Unit Price]],""),"")</f>
        <v/>
      </c>
      <c r="Q41" s="41" t="str">
        <f>IFERROR(IF(AND(BoM_Solar[[#This Row],[ACT_Qty]]&lt;&gt;"",BoM_Solar[[#This Row],[Currency]]="NOK"),BoM_Solar[[#This Row],[ACT_Qty]]*BoM_Solar[[#This Row],[Unit Price]],""),"")</f>
        <v/>
      </c>
      <c r="R41" s="41" t="str">
        <f>IFERROR(IF(AND(BoM_Solar[[#This Row],[Quantity]]&lt;&gt;"",BoM_Solar[[#This Row],[Currency]]="EUR"),BoM_Solar[[#This Row],[Quantity]]*BoM_Solar[[#This Row],[Unit Price]],""),"")</f>
        <v/>
      </c>
      <c r="S41" s="41" t="str">
        <f>IFERROR(IF(AND(BoM_Solar[[#This Row],[ACT_Qty]]&lt;&gt;"",BoM_Solar[[#This Row],[Currency]]="EUR"),BoM_Solar[[#This Row],[ACT_Qty]]*BoM_Solar[[#This Row],[Unit Price]],""),"")</f>
        <v/>
      </c>
      <c r="T41" s="185"/>
      <c r="U41" s="45"/>
      <c r="V41" s="45"/>
      <c r="W41" s="45"/>
    </row>
    <row r="42" spans="1:23" ht="15" customHeight="1">
      <c r="A42" s="146" t="str">
        <f t="shared" si="0"/>
        <v>AKH12345</v>
      </c>
      <c r="B42" s="199">
        <v>1358601</v>
      </c>
      <c r="C42" s="200" t="s">
        <v>3357</v>
      </c>
      <c r="D42" s="105"/>
      <c r="E42" s="106"/>
      <c r="F42" s="105"/>
      <c r="G42" s="106"/>
      <c r="H42" s="175" t="s">
        <v>3324</v>
      </c>
      <c r="I42" s="176" t="s">
        <v>3325</v>
      </c>
      <c r="J42" s="176" t="s">
        <v>3325</v>
      </c>
      <c r="K42" s="176" t="s">
        <v>1235</v>
      </c>
      <c r="L42" s="145" t="s">
        <v>3326</v>
      </c>
      <c r="M42" s="45" t="str">
        <f t="shared" si="1"/>
        <v>OneCo Networks AS</v>
      </c>
      <c r="N42" s="40" t="str">
        <f ca="1">IFERROR(
VLOOKUP(BoM_Solar[[#This Row],[Product code]],
IF(AND((BoQ!$N$3&lt;&gt;""),OR(BoM_Solar[[#This Row],[Vendor]]="Griptel",BoM_Solar[[#This Row],[Vendor]]="Solar")),INDIRECT(Aux!$A$1)),4,FALSE),"")</f>
        <v/>
      </c>
      <c r="O42" s="169" t="s">
        <v>1807</v>
      </c>
      <c r="P42" s="41" t="str">
        <f>IFERROR(IF(AND(BoM_Solar[[#This Row],[Quantity]]&lt;&gt;"",BoM_Solar[[#This Row],[Currency]]="NOK"),BoM_Solar[[#This Row],[Quantity]]*BoM_Solar[[#This Row],[Unit Price]],""),"")</f>
        <v/>
      </c>
      <c r="Q42" s="41" t="str">
        <f>IFERROR(IF(AND(BoM_Solar[[#This Row],[ACT_Qty]]&lt;&gt;"",BoM_Solar[[#This Row],[Currency]]="NOK"),BoM_Solar[[#This Row],[ACT_Qty]]*BoM_Solar[[#This Row],[Unit Price]],""),"")</f>
        <v/>
      </c>
      <c r="R42" s="41" t="str">
        <f>IFERROR(IF(AND(BoM_Solar[[#This Row],[Quantity]]&lt;&gt;"",BoM_Solar[[#This Row],[Currency]]="EUR"),BoM_Solar[[#This Row],[Quantity]]*BoM_Solar[[#This Row],[Unit Price]],""),"")</f>
        <v/>
      </c>
      <c r="S42" s="41" t="str">
        <f>IFERROR(IF(AND(BoM_Solar[[#This Row],[ACT_Qty]]&lt;&gt;"",BoM_Solar[[#This Row],[Currency]]="EUR"),BoM_Solar[[#This Row],[ACT_Qty]]*BoM_Solar[[#This Row],[Unit Price]],""),"")</f>
        <v/>
      </c>
      <c r="T42" s="185"/>
      <c r="U42" s="45"/>
      <c r="V42" s="45"/>
      <c r="W42" s="45"/>
    </row>
    <row r="43" spans="1:23" ht="15" customHeight="1">
      <c r="A43" s="146" t="str">
        <f t="shared" si="0"/>
        <v>AKH12345</v>
      </c>
      <c r="B43" s="199">
        <v>1357474</v>
      </c>
      <c r="C43" s="200" t="s">
        <v>3358</v>
      </c>
      <c r="D43" s="105"/>
      <c r="E43" s="106"/>
      <c r="F43" s="105"/>
      <c r="G43" s="106"/>
      <c r="H43" s="175" t="s">
        <v>3324</v>
      </c>
      <c r="I43" s="176" t="s">
        <v>3325</v>
      </c>
      <c r="J43" s="176" t="s">
        <v>3325</v>
      </c>
      <c r="K43" s="176" t="s">
        <v>1235</v>
      </c>
      <c r="L43" s="145" t="s">
        <v>3326</v>
      </c>
      <c r="M43" s="45" t="str">
        <f t="shared" si="1"/>
        <v>OneCo Networks AS</v>
      </c>
      <c r="N43" s="40" t="str">
        <f ca="1">IFERROR(
VLOOKUP(BoM_Solar[[#This Row],[Product code]],
IF(AND((BoQ!$N$3&lt;&gt;""),OR(BoM_Solar[[#This Row],[Vendor]]="Griptel",BoM_Solar[[#This Row],[Vendor]]="Solar")),INDIRECT(Aux!$A$1)),4,FALSE),"")</f>
        <v/>
      </c>
      <c r="O43" s="169" t="s">
        <v>1807</v>
      </c>
      <c r="P43" s="41" t="str">
        <f>IFERROR(IF(AND(BoM_Solar[[#This Row],[Quantity]]&lt;&gt;"",BoM_Solar[[#This Row],[Currency]]="NOK"),BoM_Solar[[#This Row],[Quantity]]*BoM_Solar[[#This Row],[Unit Price]],""),"")</f>
        <v/>
      </c>
      <c r="Q43" s="41" t="str">
        <f>IFERROR(IF(AND(BoM_Solar[[#This Row],[ACT_Qty]]&lt;&gt;"",BoM_Solar[[#This Row],[Currency]]="NOK"),BoM_Solar[[#This Row],[ACT_Qty]]*BoM_Solar[[#This Row],[Unit Price]],""),"")</f>
        <v/>
      </c>
      <c r="R43" s="41" t="str">
        <f>IFERROR(IF(AND(BoM_Solar[[#This Row],[Quantity]]&lt;&gt;"",BoM_Solar[[#This Row],[Currency]]="EUR"),BoM_Solar[[#This Row],[Quantity]]*BoM_Solar[[#This Row],[Unit Price]],""),"")</f>
        <v/>
      </c>
      <c r="S43" s="41" t="str">
        <f>IFERROR(IF(AND(BoM_Solar[[#This Row],[ACT_Qty]]&lt;&gt;"",BoM_Solar[[#This Row],[Currency]]="EUR"),BoM_Solar[[#This Row],[ACT_Qty]]*BoM_Solar[[#This Row],[Unit Price]],""),"")</f>
        <v/>
      </c>
      <c r="T43" s="185"/>
      <c r="U43" s="45"/>
      <c r="V43" s="45"/>
      <c r="W43" s="45"/>
    </row>
    <row r="44" spans="1:23" ht="15" customHeight="1">
      <c r="A44" s="146" t="str">
        <f t="shared" si="0"/>
        <v>AKH12345</v>
      </c>
      <c r="B44" s="199">
        <v>1357412</v>
      </c>
      <c r="C44" s="200" t="s">
        <v>3359</v>
      </c>
      <c r="D44" s="105"/>
      <c r="E44" s="106"/>
      <c r="F44" s="105"/>
      <c r="G44" s="106"/>
      <c r="H44" s="175" t="s">
        <v>3324</v>
      </c>
      <c r="I44" s="176" t="s">
        <v>3325</v>
      </c>
      <c r="J44" s="176" t="s">
        <v>3325</v>
      </c>
      <c r="K44" s="176" t="s">
        <v>1235</v>
      </c>
      <c r="L44" s="145" t="s">
        <v>3326</v>
      </c>
      <c r="M44" s="45" t="str">
        <f t="shared" si="1"/>
        <v>OneCo Networks AS</v>
      </c>
      <c r="N44" s="40" t="str">
        <f ca="1">IFERROR(
VLOOKUP(BoM_Solar[[#This Row],[Product code]],
IF(AND((BoQ!$N$3&lt;&gt;""),OR(BoM_Solar[[#This Row],[Vendor]]="Griptel",BoM_Solar[[#This Row],[Vendor]]="Solar")),INDIRECT(Aux!$A$1)),4,FALSE),"")</f>
        <v/>
      </c>
      <c r="O44" s="169" t="s">
        <v>1807</v>
      </c>
      <c r="P44" s="41" t="str">
        <f>IFERROR(IF(AND(BoM_Solar[[#This Row],[Quantity]]&lt;&gt;"",BoM_Solar[[#This Row],[Currency]]="NOK"),BoM_Solar[[#This Row],[Quantity]]*BoM_Solar[[#This Row],[Unit Price]],""),"")</f>
        <v/>
      </c>
      <c r="Q44" s="41" t="str">
        <f>IFERROR(IF(AND(BoM_Solar[[#This Row],[ACT_Qty]]&lt;&gt;"",BoM_Solar[[#This Row],[Currency]]="NOK"),BoM_Solar[[#This Row],[ACT_Qty]]*BoM_Solar[[#This Row],[Unit Price]],""),"")</f>
        <v/>
      </c>
      <c r="R44" s="41" t="str">
        <f>IFERROR(IF(AND(BoM_Solar[[#This Row],[Quantity]]&lt;&gt;"",BoM_Solar[[#This Row],[Currency]]="EUR"),BoM_Solar[[#This Row],[Quantity]]*BoM_Solar[[#This Row],[Unit Price]],""),"")</f>
        <v/>
      </c>
      <c r="S44" s="41" t="str">
        <f>IFERROR(IF(AND(BoM_Solar[[#This Row],[ACT_Qty]]&lt;&gt;"",BoM_Solar[[#This Row],[Currency]]="EUR"),BoM_Solar[[#This Row],[ACT_Qty]]*BoM_Solar[[#This Row],[Unit Price]],""),"")</f>
        <v/>
      </c>
      <c r="T44" s="185"/>
      <c r="U44" s="45"/>
      <c r="V44" s="45"/>
      <c r="W44" s="45"/>
    </row>
    <row r="45" spans="1:23" ht="15" customHeight="1">
      <c r="A45" s="146" t="str">
        <f t="shared" si="0"/>
        <v>AKH12345</v>
      </c>
      <c r="B45" s="199">
        <v>1357502</v>
      </c>
      <c r="C45" s="200" t="s">
        <v>3360</v>
      </c>
      <c r="D45" s="105"/>
      <c r="E45" s="106"/>
      <c r="F45" s="105"/>
      <c r="G45" s="106"/>
      <c r="H45" s="175" t="s">
        <v>3324</v>
      </c>
      <c r="I45" s="176" t="s">
        <v>3325</v>
      </c>
      <c r="J45" s="176" t="s">
        <v>3325</v>
      </c>
      <c r="K45" s="176" t="s">
        <v>1235</v>
      </c>
      <c r="L45" s="145" t="s">
        <v>3326</v>
      </c>
      <c r="M45" s="45" t="str">
        <f t="shared" si="1"/>
        <v>OneCo Networks AS</v>
      </c>
      <c r="N45" s="40" t="str">
        <f ca="1">IFERROR(
VLOOKUP(BoM_Solar[[#This Row],[Product code]],
IF(AND((BoQ!$N$3&lt;&gt;""),OR(BoM_Solar[[#This Row],[Vendor]]="Griptel",BoM_Solar[[#This Row],[Vendor]]="Solar")),INDIRECT(Aux!$A$1)),4,FALSE),"")</f>
        <v/>
      </c>
      <c r="O45" s="169" t="s">
        <v>1807</v>
      </c>
      <c r="P45" s="41" t="str">
        <f>IFERROR(IF(AND(BoM_Solar[[#This Row],[Quantity]]&lt;&gt;"",BoM_Solar[[#This Row],[Currency]]="NOK"),BoM_Solar[[#This Row],[Quantity]]*BoM_Solar[[#This Row],[Unit Price]],""),"")</f>
        <v/>
      </c>
      <c r="Q45" s="41" t="str">
        <f>IFERROR(IF(AND(BoM_Solar[[#This Row],[ACT_Qty]]&lt;&gt;"",BoM_Solar[[#This Row],[Currency]]="NOK"),BoM_Solar[[#This Row],[ACT_Qty]]*BoM_Solar[[#This Row],[Unit Price]],""),"")</f>
        <v/>
      </c>
      <c r="R45" s="41" t="str">
        <f>IFERROR(IF(AND(BoM_Solar[[#This Row],[Quantity]]&lt;&gt;"",BoM_Solar[[#This Row],[Currency]]="EUR"),BoM_Solar[[#This Row],[Quantity]]*BoM_Solar[[#This Row],[Unit Price]],""),"")</f>
        <v/>
      </c>
      <c r="S45" s="41" t="str">
        <f>IFERROR(IF(AND(BoM_Solar[[#This Row],[ACT_Qty]]&lt;&gt;"",BoM_Solar[[#This Row],[Currency]]="EUR"),BoM_Solar[[#This Row],[ACT_Qty]]*BoM_Solar[[#This Row],[Unit Price]],""),"")</f>
        <v/>
      </c>
      <c r="T45" s="185"/>
      <c r="U45" s="45"/>
      <c r="V45" s="45"/>
      <c r="W45" s="45"/>
    </row>
    <row r="46" spans="1:23" ht="15" customHeight="1">
      <c r="A46" s="146" t="str">
        <f t="shared" si="0"/>
        <v>AKH12345</v>
      </c>
      <c r="B46" s="199">
        <v>1204997</v>
      </c>
      <c r="C46" s="200" t="s">
        <v>3361</v>
      </c>
      <c r="D46" s="105"/>
      <c r="E46" s="106" t="s">
        <v>3362</v>
      </c>
      <c r="F46" s="105"/>
      <c r="G46" s="106"/>
      <c r="H46" s="175" t="s">
        <v>3324</v>
      </c>
      <c r="I46" s="176" t="s">
        <v>3325</v>
      </c>
      <c r="J46" s="176" t="s">
        <v>3325</v>
      </c>
      <c r="K46" s="176" t="s">
        <v>1235</v>
      </c>
      <c r="L46" s="145" t="s">
        <v>3326</v>
      </c>
      <c r="M46" s="45" t="str">
        <f t="shared" si="1"/>
        <v>OneCo Networks AS</v>
      </c>
      <c r="N46" s="40" t="str">
        <f ca="1">IFERROR(
VLOOKUP(BoM_Solar[[#This Row],[Product code]],
IF(AND((BoQ!$N$3&lt;&gt;""),OR(BoM_Solar[[#This Row],[Vendor]]="Griptel",BoM_Solar[[#This Row],[Vendor]]="Solar")),INDIRECT(Aux!$A$1)),4,FALSE),"")</f>
        <v/>
      </c>
      <c r="O46" s="169" t="s">
        <v>1807</v>
      </c>
      <c r="P46" s="41" t="str">
        <f>IFERROR(IF(AND(BoM_Solar[[#This Row],[Quantity]]&lt;&gt;"",BoM_Solar[[#This Row],[Currency]]="NOK"),BoM_Solar[[#This Row],[Quantity]]*BoM_Solar[[#This Row],[Unit Price]],""),"")</f>
        <v/>
      </c>
      <c r="Q46" s="41" t="str">
        <f>IFERROR(IF(AND(BoM_Solar[[#This Row],[ACT_Qty]]&lt;&gt;"",BoM_Solar[[#This Row],[Currency]]="NOK"),BoM_Solar[[#This Row],[ACT_Qty]]*BoM_Solar[[#This Row],[Unit Price]],""),"")</f>
        <v/>
      </c>
      <c r="R46" s="41" t="str">
        <f>IFERROR(IF(AND(BoM_Solar[[#This Row],[Quantity]]&lt;&gt;"",BoM_Solar[[#This Row],[Currency]]="EUR"),BoM_Solar[[#This Row],[Quantity]]*BoM_Solar[[#This Row],[Unit Price]],""),"")</f>
        <v/>
      </c>
      <c r="S46" s="41" t="str">
        <f>IFERROR(IF(AND(BoM_Solar[[#This Row],[ACT_Qty]]&lt;&gt;"",BoM_Solar[[#This Row],[Currency]]="EUR"),BoM_Solar[[#This Row],[ACT_Qty]]*BoM_Solar[[#This Row],[Unit Price]],""),"")</f>
        <v/>
      </c>
      <c r="T46" s="185"/>
      <c r="U46" s="45"/>
      <c r="V46" s="45"/>
      <c r="W46" s="45"/>
    </row>
    <row r="47" spans="1:23" ht="15" customHeight="1">
      <c r="A47" s="146" t="str">
        <f t="shared" si="0"/>
        <v>AKH12345</v>
      </c>
      <c r="B47" s="199">
        <v>1204999</v>
      </c>
      <c r="C47" s="200" t="s">
        <v>3363</v>
      </c>
      <c r="D47" s="105"/>
      <c r="E47" s="106" t="s">
        <v>3364</v>
      </c>
      <c r="F47" s="105"/>
      <c r="G47" s="106"/>
      <c r="H47" s="175" t="s">
        <v>3324</v>
      </c>
      <c r="I47" s="176" t="s">
        <v>3325</v>
      </c>
      <c r="J47" s="176" t="s">
        <v>3325</v>
      </c>
      <c r="K47" s="176" t="s">
        <v>1235</v>
      </c>
      <c r="L47" s="145" t="s">
        <v>3326</v>
      </c>
      <c r="M47" s="45" t="str">
        <f t="shared" si="1"/>
        <v>OneCo Networks AS</v>
      </c>
      <c r="N47" s="40" t="str">
        <f ca="1">IFERROR(
VLOOKUP(BoM_Solar[[#This Row],[Product code]],
IF(AND((BoQ!$N$3&lt;&gt;""),OR(BoM_Solar[[#This Row],[Vendor]]="Griptel",BoM_Solar[[#This Row],[Vendor]]="Solar")),INDIRECT(Aux!$A$1)),4,FALSE),"")</f>
        <v/>
      </c>
      <c r="O47" s="169" t="s">
        <v>1807</v>
      </c>
      <c r="P47" s="41" t="str">
        <f>IFERROR(IF(AND(BoM_Solar[[#This Row],[Quantity]]&lt;&gt;"",BoM_Solar[[#This Row],[Currency]]="NOK"),BoM_Solar[[#This Row],[Quantity]]*BoM_Solar[[#This Row],[Unit Price]],""),"")</f>
        <v/>
      </c>
      <c r="Q47" s="41" t="str">
        <f>IFERROR(IF(AND(BoM_Solar[[#This Row],[ACT_Qty]]&lt;&gt;"",BoM_Solar[[#This Row],[Currency]]="NOK"),BoM_Solar[[#This Row],[ACT_Qty]]*BoM_Solar[[#This Row],[Unit Price]],""),"")</f>
        <v/>
      </c>
      <c r="R47" s="41" t="str">
        <f>IFERROR(IF(AND(BoM_Solar[[#This Row],[Quantity]]&lt;&gt;"",BoM_Solar[[#This Row],[Currency]]="EUR"),BoM_Solar[[#This Row],[Quantity]]*BoM_Solar[[#This Row],[Unit Price]],""),"")</f>
        <v/>
      </c>
      <c r="S47" s="41" t="str">
        <f>IFERROR(IF(AND(BoM_Solar[[#This Row],[ACT_Qty]]&lt;&gt;"",BoM_Solar[[#This Row],[Currency]]="EUR"),BoM_Solar[[#This Row],[ACT_Qty]]*BoM_Solar[[#This Row],[Unit Price]],""),"")</f>
        <v/>
      </c>
      <c r="T47" s="185"/>
      <c r="U47" s="45"/>
      <c r="V47" s="45"/>
      <c r="W47" s="45"/>
    </row>
    <row r="48" spans="1:23" ht="15" customHeight="1">
      <c r="A48" s="146" t="str">
        <f t="shared" si="0"/>
        <v>AKH12345</v>
      </c>
      <c r="B48" s="199">
        <v>1204998</v>
      </c>
      <c r="C48" s="200" t="s">
        <v>3365</v>
      </c>
      <c r="D48" s="105"/>
      <c r="E48" s="106" t="s">
        <v>3366</v>
      </c>
      <c r="F48" s="105"/>
      <c r="G48" s="106"/>
      <c r="H48" s="175" t="s">
        <v>3324</v>
      </c>
      <c r="I48" s="176" t="s">
        <v>3325</v>
      </c>
      <c r="J48" s="176" t="s">
        <v>3325</v>
      </c>
      <c r="K48" s="176" t="s">
        <v>1235</v>
      </c>
      <c r="L48" s="145" t="s">
        <v>3326</v>
      </c>
      <c r="M48" s="45" t="str">
        <f t="shared" si="1"/>
        <v>OneCo Networks AS</v>
      </c>
      <c r="N48" s="40" t="str">
        <f ca="1">IFERROR(
VLOOKUP(BoM_Solar[[#This Row],[Product code]],
IF(AND((BoQ!$N$3&lt;&gt;""),OR(BoM_Solar[[#This Row],[Vendor]]="Griptel",BoM_Solar[[#This Row],[Vendor]]="Solar")),INDIRECT(Aux!$A$1)),4,FALSE),"")</f>
        <v/>
      </c>
      <c r="O48" s="169" t="s">
        <v>1807</v>
      </c>
      <c r="P48" s="41" t="str">
        <f>IFERROR(IF(AND(BoM_Solar[[#This Row],[Quantity]]&lt;&gt;"",BoM_Solar[[#This Row],[Currency]]="NOK"),BoM_Solar[[#This Row],[Quantity]]*BoM_Solar[[#This Row],[Unit Price]],""),"")</f>
        <v/>
      </c>
      <c r="Q48" s="41" t="str">
        <f>IFERROR(IF(AND(BoM_Solar[[#This Row],[ACT_Qty]]&lt;&gt;"",BoM_Solar[[#This Row],[Currency]]="NOK"),BoM_Solar[[#This Row],[ACT_Qty]]*BoM_Solar[[#This Row],[Unit Price]],""),"")</f>
        <v/>
      </c>
      <c r="R48" s="41" t="str">
        <f>IFERROR(IF(AND(BoM_Solar[[#This Row],[Quantity]]&lt;&gt;"",BoM_Solar[[#This Row],[Currency]]="EUR"),BoM_Solar[[#This Row],[Quantity]]*BoM_Solar[[#This Row],[Unit Price]],""),"")</f>
        <v/>
      </c>
      <c r="S48" s="41" t="str">
        <f>IFERROR(IF(AND(BoM_Solar[[#This Row],[ACT_Qty]]&lt;&gt;"",BoM_Solar[[#This Row],[Currency]]="EUR"),BoM_Solar[[#This Row],[ACT_Qty]]*BoM_Solar[[#This Row],[Unit Price]],""),"")</f>
        <v/>
      </c>
      <c r="T48" s="185"/>
      <c r="U48" s="45"/>
      <c r="V48" s="45"/>
      <c r="W48" s="45"/>
    </row>
    <row r="49" spans="1:23" ht="15" customHeight="1">
      <c r="A49" s="146" t="str">
        <f t="shared" si="0"/>
        <v>AKH12345</v>
      </c>
      <c r="B49" s="199">
        <v>1863220</v>
      </c>
      <c r="C49" s="200" t="s">
        <v>3367</v>
      </c>
      <c r="D49" s="105"/>
      <c r="E49" s="106"/>
      <c r="F49" s="105"/>
      <c r="G49" s="106"/>
      <c r="H49" s="175" t="s">
        <v>3324</v>
      </c>
      <c r="I49" s="176" t="s">
        <v>3325</v>
      </c>
      <c r="J49" s="176" t="s">
        <v>3325</v>
      </c>
      <c r="K49" s="176" t="s">
        <v>1235</v>
      </c>
      <c r="L49" s="145" t="s">
        <v>3326</v>
      </c>
      <c r="M49" s="45" t="str">
        <f t="shared" si="1"/>
        <v>OneCo Networks AS</v>
      </c>
      <c r="N49" s="40" t="str">
        <f ca="1">IFERROR(
VLOOKUP(BoM_Solar[[#This Row],[Product code]],
IF(AND((BoQ!$N$3&lt;&gt;""),OR(BoM_Solar[[#This Row],[Vendor]]="Griptel",BoM_Solar[[#This Row],[Vendor]]="Solar")),INDIRECT(Aux!$A$1)),4,FALSE),"")</f>
        <v/>
      </c>
      <c r="O49" s="169" t="s">
        <v>1807</v>
      </c>
      <c r="P49" s="41" t="str">
        <f>IFERROR(IF(AND(BoM_Solar[[#This Row],[Quantity]]&lt;&gt;"",BoM_Solar[[#This Row],[Currency]]="NOK"),BoM_Solar[[#This Row],[Quantity]]*BoM_Solar[[#This Row],[Unit Price]],""),"")</f>
        <v/>
      </c>
      <c r="Q49" s="41" t="str">
        <f>IFERROR(IF(AND(BoM_Solar[[#This Row],[ACT_Qty]]&lt;&gt;"",BoM_Solar[[#This Row],[Currency]]="NOK"),BoM_Solar[[#This Row],[ACT_Qty]]*BoM_Solar[[#This Row],[Unit Price]],""),"")</f>
        <v/>
      </c>
      <c r="R49" s="41" t="str">
        <f>IFERROR(IF(AND(BoM_Solar[[#This Row],[Quantity]]&lt;&gt;"",BoM_Solar[[#This Row],[Currency]]="EUR"),BoM_Solar[[#This Row],[Quantity]]*BoM_Solar[[#This Row],[Unit Price]],""),"")</f>
        <v/>
      </c>
      <c r="S49" s="41" t="str">
        <f>IFERROR(IF(AND(BoM_Solar[[#This Row],[ACT_Qty]]&lt;&gt;"",BoM_Solar[[#This Row],[Currency]]="EUR"),BoM_Solar[[#This Row],[ACT_Qty]]*BoM_Solar[[#This Row],[Unit Price]],""),"")</f>
        <v/>
      </c>
      <c r="T49" s="185"/>
      <c r="U49" s="45"/>
      <c r="V49" s="45"/>
      <c r="W49" s="45"/>
    </row>
    <row r="50" spans="1:23" ht="15" customHeight="1">
      <c r="A50" s="146" t="str">
        <f t="shared" si="0"/>
        <v>AKH12345</v>
      </c>
      <c r="B50" s="199">
        <v>1344930</v>
      </c>
      <c r="C50" s="200" t="s">
        <v>3368</v>
      </c>
      <c r="D50" s="105"/>
      <c r="E50" s="106"/>
      <c r="F50" s="105"/>
      <c r="G50" s="106"/>
      <c r="H50" s="175" t="s">
        <v>3324</v>
      </c>
      <c r="I50" s="176" t="s">
        <v>3325</v>
      </c>
      <c r="J50" s="176" t="s">
        <v>3325</v>
      </c>
      <c r="K50" s="176" t="s">
        <v>1235</v>
      </c>
      <c r="L50" s="145" t="s">
        <v>3326</v>
      </c>
      <c r="M50" s="45" t="str">
        <f t="shared" si="1"/>
        <v>OneCo Networks AS</v>
      </c>
      <c r="N50" s="40" t="str">
        <f ca="1">IFERROR(
VLOOKUP(BoM_Solar[[#This Row],[Product code]],
IF(AND((BoQ!$N$3&lt;&gt;""),OR(BoM_Solar[[#This Row],[Vendor]]="Griptel",BoM_Solar[[#This Row],[Vendor]]="Solar")),INDIRECT(Aux!$A$1)),4,FALSE),"")</f>
        <v/>
      </c>
      <c r="O50" s="169" t="s">
        <v>1807</v>
      </c>
      <c r="P50" s="41" t="str">
        <f>IFERROR(IF(AND(BoM_Solar[[#This Row],[Quantity]]&lt;&gt;"",BoM_Solar[[#This Row],[Currency]]="NOK"),BoM_Solar[[#This Row],[Quantity]]*BoM_Solar[[#This Row],[Unit Price]],""),"")</f>
        <v/>
      </c>
      <c r="Q50" s="41" t="str">
        <f>IFERROR(IF(AND(BoM_Solar[[#This Row],[ACT_Qty]]&lt;&gt;"",BoM_Solar[[#This Row],[Currency]]="NOK"),BoM_Solar[[#This Row],[ACT_Qty]]*BoM_Solar[[#This Row],[Unit Price]],""),"")</f>
        <v/>
      </c>
      <c r="R50" s="41" t="str">
        <f>IFERROR(IF(AND(BoM_Solar[[#This Row],[Quantity]]&lt;&gt;"",BoM_Solar[[#This Row],[Currency]]="EUR"),BoM_Solar[[#This Row],[Quantity]]*BoM_Solar[[#This Row],[Unit Price]],""),"")</f>
        <v/>
      </c>
      <c r="S50" s="41" t="str">
        <f>IFERROR(IF(AND(BoM_Solar[[#This Row],[ACT_Qty]]&lt;&gt;"",BoM_Solar[[#This Row],[Currency]]="EUR"),BoM_Solar[[#This Row],[ACT_Qty]]*BoM_Solar[[#This Row],[Unit Price]],""),"")</f>
        <v/>
      </c>
      <c r="T50" s="185"/>
      <c r="U50" s="45"/>
      <c r="V50" s="45"/>
      <c r="W50" s="45"/>
    </row>
    <row r="51" spans="1:23" ht="15" customHeight="1">
      <c r="A51" s="146" t="str">
        <f t="shared" si="0"/>
        <v>AKH12345</v>
      </c>
      <c r="B51" s="199">
        <v>1344947</v>
      </c>
      <c r="C51" s="200" t="s">
        <v>3369</v>
      </c>
      <c r="D51" s="105"/>
      <c r="E51" s="106"/>
      <c r="F51" s="105"/>
      <c r="G51" s="106"/>
      <c r="H51" s="175" t="s">
        <v>3324</v>
      </c>
      <c r="I51" s="176" t="s">
        <v>3325</v>
      </c>
      <c r="J51" s="176" t="s">
        <v>3325</v>
      </c>
      <c r="K51" s="176" t="s">
        <v>1235</v>
      </c>
      <c r="L51" s="145" t="s">
        <v>3326</v>
      </c>
      <c r="M51" s="45" t="str">
        <f t="shared" si="1"/>
        <v>OneCo Networks AS</v>
      </c>
      <c r="N51" s="40" t="str">
        <f ca="1">IFERROR(
VLOOKUP(BoM_Solar[[#This Row],[Product code]],
IF(AND((BoQ!$N$3&lt;&gt;""),OR(BoM_Solar[[#This Row],[Vendor]]="Griptel",BoM_Solar[[#This Row],[Vendor]]="Solar")),INDIRECT(Aux!$A$1)),4,FALSE),"")</f>
        <v/>
      </c>
      <c r="O51" s="169" t="s">
        <v>1807</v>
      </c>
      <c r="P51" s="41" t="str">
        <f>IFERROR(IF(AND(BoM_Solar[[#This Row],[Quantity]]&lt;&gt;"",BoM_Solar[[#This Row],[Currency]]="NOK"),BoM_Solar[[#This Row],[Quantity]]*BoM_Solar[[#This Row],[Unit Price]],""),"")</f>
        <v/>
      </c>
      <c r="Q51" s="41" t="str">
        <f>IFERROR(IF(AND(BoM_Solar[[#This Row],[ACT_Qty]]&lt;&gt;"",BoM_Solar[[#This Row],[Currency]]="NOK"),BoM_Solar[[#This Row],[ACT_Qty]]*BoM_Solar[[#This Row],[Unit Price]],""),"")</f>
        <v/>
      </c>
      <c r="R51" s="41" t="str">
        <f>IFERROR(IF(AND(BoM_Solar[[#This Row],[Quantity]]&lt;&gt;"",BoM_Solar[[#This Row],[Currency]]="EUR"),BoM_Solar[[#This Row],[Quantity]]*BoM_Solar[[#This Row],[Unit Price]],""),"")</f>
        <v/>
      </c>
      <c r="S51" s="41" t="str">
        <f>IFERROR(IF(AND(BoM_Solar[[#This Row],[ACT_Qty]]&lt;&gt;"",BoM_Solar[[#This Row],[Currency]]="EUR"),BoM_Solar[[#This Row],[ACT_Qty]]*BoM_Solar[[#This Row],[Unit Price]],""),"")</f>
        <v/>
      </c>
      <c r="T51" s="185"/>
      <c r="U51" s="45"/>
      <c r="V51" s="45"/>
      <c r="W51" s="45"/>
    </row>
    <row r="52" spans="1:23" ht="15" customHeight="1">
      <c r="A52" s="146" t="str">
        <f t="shared" si="0"/>
        <v>AKH12345</v>
      </c>
      <c r="B52" s="199">
        <v>1344946</v>
      </c>
      <c r="C52" s="200" t="s">
        <v>3370</v>
      </c>
      <c r="D52" s="105"/>
      <c r="E52" s="106"/>
      <c r="F52" s="105"/>
      <c r="G52" s="106"/>
      <c r="H52" s="175" t="s">
        <v>3324</v>
      </c>
      <c r="I52" s="176" t="s">
        <v>3325</v>
      </c>
      <c r="J52" s="176" t="s">
        <v>3325</v>
      </c>
      <c r="K52" s="176" t="s">
        <v>1235</v>
      </c>
      <c r="L52" s="145" t="s">
        <v>3326</v>
      </c>
      <c r="M52" s="45" t="str">
        <f t="shared" si="1"/>
        <v>OneCo Networks AS</v>
      </c>
      <c r="N52" s="40" t="str">
        <f ca="1">IFERROR(
VLOOKUP(BoM_Solar[[#This Row],[Product code]],
IF(AND((BoQ!$N$3&lt;&gt;""),OR(BoM_Solar[[#This Row],[Vendor]]="Griptel",BoM_Solar[[#This Row],[Vendor]]="Solar")),INDIRECT(Aux!$A$1)),4,FALSE),"")</f>
        <v/>
      </c>
      <c r="O52" s="169" t="s">
        <v>1807</v>
      </c>
      <c r="P52" s="41" t="str">
        <f>IFERROR(IF(AND(BoM_Solar[[#This Row],[Quantity]]&lt;&gt;"",BoM_Solar[[#This Row],[Currency]]="NOK"),BoM_Solar[[#This Row],[Quantity]]*BoM_Solar[[#This Row],[Unit Price]],""),"")</f>
        <v/>
      </c>
      <c r="Q52" s="41" t="str">
        <f>IFERROR(IF(AND(BoM_Solar[[#This Row],[ACT_Qty]]&lt;&gt;"",BoM_Solar[[#This Row],[Currency]]="NOK"),BoM_Solar[[#This Row],[ACT_Qty]]*BoM_Solar[[#This Row],[Unit Price]],""),"")</f>
        <v/>
      </c>
      <c r="R52" s="41" t="str">
        <f>IFERROR(IF(AND(BoM_Solar[[#This Row],[Quantity]]&lt;&gt;"",BoM_Solar[[#This Row],[Currency]]="EUR"),BoM_Solar[[#This Row],[Quantity]]*BoM_Solar[[#This Row],[Unit Price]],""),"")</f>
        <v/>
      </c>
      <c r="S52" s="41" t="str">
        <f>IFERROR(IF(AND(BoM_Solar[[#This Row],[ACT_Qty]]&lt;&gt;"",BoM_Solar[[#This Row],[Currency]]="EUR"),BoM_Solar[[#This Row],[ACT_Qty]]*BoM_Solar[[#This Row],[Unit Price]],""),"")</f>
        <v/>
      </c>
      <c r="T52" s="185"/>
      <c r="U52" s="45"/>
      <c r="V52" s="45"/>
      <c r="W52" s="45"/>
    </row>
    <row r="53" spans="1:23" ht="15" customHeight="1">
      <c r="A53" s="146" t="str">
        <f t="shared" si="0"/>
        <v>AKH12345</v>
      </c>
      <c r="B53" s="199">
        <v>2029715</v>
      </c>
      <c r="C53" s="200" t="s">
        <v>3371</v>
      </c>
      <c r="D53" s="105"/>
      <c r="E53" s="106"/>
      <c r="F53" s="105"/>
      <c r="G53" s="106"/>
      <c r="H53" s="175" t="s">
        <v>3324</v>
      </c>
      <c r="I53" s="176" t="s">
        <v>3325</v>
      </c>
      <c r="J53" s="176" t="s">
        <v>3325</v>
      </c>
      <c r="K53" s="176" t="s">
        <v>1235</v>
      </c>
      <c r="L53" s="145" t="s">
        <v>3326</v>
      </c>
      <c r="M53" s="45" t="str">
        <f t="shared" si="1"/>
        <v>OneCo Networks AS</v>
      </c>
      <c r="N53" s="40" t="str">
        <f ca="1">IFERROR(
VLOOKUP(BoM_Solar[[#This Row],[Product code]],
IF(AND((BoQ!$N$3&lt;&gt;""),OR(BoM_Solar[[#This Row],[Vendor]]="Griptel",BoM_Solar[[#This Row],[Vendor]]="Solar")),INDIRECT(Aux!$A$1)),4,FALSE),"")</f>
        <v/>
      </c>
      <c r="O53" s="169" t="s">
        <v>1807</v>
      </c>
      <c r="P53" s="41" t="str">
        <f>IFERROR(IF(AND(BoM_Solar[[#This Row],[Quantity]]&lt;&gt;"",BoM_Solar[[#This Row],[Currency]]="NOK"),BoM_Solar[[#This Row],[Quantity]]*BoM_Solar[[#This Row],[Unit Price]],""),"")</f>
        <v/>
      </c>
      <c r="Q53" s="41" t="str">
        <f>IFERROR(IF(AND(BoM_Solar[[#This Row],[ACT_Qty]]&lt;&gt;"",BoM_Solar[[#This Row],[Currency]]="NOK"),BoM_Solar[[#This Row],[ACT_Qty]]*BoM_Solar[[#This Row],[Unit Price]],""),"")</f>
        <v/>
      </c>
      <c r="R53" s="41" t="str">
        <f>IFERROR(IF(AND(BoM_Solar[[#This Row],[Quantity]]&lt;&gt;"",BoM_Solar[[#This Row],[Currency]]="EUR"),BoM_Solar[[#This Row],[Quantity]]*BoM_Solar[[#This Row],[Unit Price]],""),"")</f>
        <v/>
      </c>
      <c r="S53" s="41" t="str">
        <f>IFERROR(IF(AND(BoM_Solar[[#This Row],[ACT_Qty]]&lt;&gt;"",BoM_Solar[[#This Row],[Currency]]="EUR"),BoM_Solar[[#This Row],[ACT_Qty]]*BoM_Solar[[#This Row],[Unit Price]],""),"")</f>
        <v/>
      </c>
      <c r="T53" s="185"/>
      <c r="U53" s="45"/>
      <c r="V53" s="45"/>
      <c r="W53" s="45"/>
    </row>
    <row r="54" spans="1:23" ht="15" customHeight="1">
      <c r="A54" s="146" t="str">
        <f t="shared" si="0"/>
        <v>AKH12345</v>
      </c>
      <c r="B54" s="199">
        <v>2029716</v>
      </c>
      <c r="C54" s="200" t="s">
        <v>3372</v>
      </c>
      <c r="D54" s="105"/>
      <c r="E54" s="106"/>
      <c r="F54" s="105"/>
      <c r="G54" s="106"/>
      <c r="H54" s="175" t="s">
        <v>3324</v>
      </c>
      <c r="I54" s="176" t="s">
        <v>3325</v>
      </c>
      <c r="J54" s="176" t="s">
        <v>3325</v>
      </c>
      <c r="K54" s="176" t="s">
        <v>1235</v>
      </c>
      <c r="L54" s="145" t="s">
        <v>3326</v>
      </c>
      <c r="M54" s="45" t="str">
        <f t="shared" si="1"/>
        <v>OneCo Networks AS</v>
      </c>
      <c r="N54" s="40" t="str">
        <f ca="1">IFERROR(
VLOOKUP(BoM_Solar[[#This Row],[Product code]],
IF(AND((BoQ!$N$3&lt;&gt;""),OR(BoM_Solar[[#This Row],[Vendor]]="Griptel",BoM_Solar[[#This Row],[Vendor]]="Solar")),INDIRECT(Aux!$A$1)),4,FALSE),"")</f>
        <v/>
      </c>
      <c r="O54" s="169" t="s">
        <v>1807</v>
      </c>
      <c r="P54" s="41" t="str">
        <f>IFERROR(IF(AND(BoM_Solar[[#This Row],[Quantity]]&lt;&gt;"",BoM_Solar[[#This Row],[Currency]]="NOK"),BoM_Solar[[#This Row],[Quantity]]*BoM_Solar[[#This Row],[Unit Price]],""),"")</f>
        <v/>
      </c>
      <c r="Q54" s="41" t="str">
        <f>IFERROR(IF(AND(BoM_Solar[[#This Row],[ACT_Qty]]&lt;&gt;"",BoM_Solar[[#This Row],[Currency]]="NOK"),BoM_Solar[[#This Row],[ACT_Qty]]*BoM_Solar[[#This Row],[Unit Price]],""),"")</f>
        <v/>
      </c>
      <c r="R54" s="41" t="str">
        <f>IFERROR(IF(AND(BoM_Solar[[#This Row],[Quantity]]&lt;&gt;"",BoM_Solar[[#This Row],[Currency]]="EUR"),BoM_Solar[[#This Row],[Quantity]]*BoM_Solar[[#This Row],[Unit Price]],""),"")</f>
        <v/>
      </c>
      <c r="S54" s="41" t="str">
        <f>IFERROR(IF(AND(BoM_Solar[[#This Row],[ACT_Qty]]&lt;&gt;"",BoM_Solar[[#This Row],[Currency]]="EUR"),BoM_Solar[[#This Row],[ACT_Qty]]*BoM_Solar[[#This Row],[Unit Price]],""),"")</f>
        <v/>
      </c>
      <c r="T54" s="185"/>
      <c r="U54" s="45"/>
      <c r="V54" s="45"/>
      <c r="W54" s="45"/>
    </row>
    <row r="55" spans="1:23" ht="15" customHeight="1">
      <c r="A55" s="146" t="str">
        <f t="shared" si="0"/>
        <v>AKH12345</v>
      </c>
      <c r="B55" s="199">
        <v>2029712</v>
      </c>
      <c r="C55" s="200" t="s">
        <v>3373</v>
      </c>
      <c r="D55" s="105"/>
      <c r="E55" s="106"/>
      <c r="F55" s="105"/>
      <c r="G55" s="106"/>
      <c r="H55" s="175" t="s">
        <v>3324</v>
      </c>
      <c r="I55" s="176" t="s">
        <v>3325</v>
      </c>
      <c r="J55" s="176" t="s">
        <v>3325</v>
      </c>
      <c r="K55" s="176" t="s">
        <v>1235</v>
      </c>
      <c r="L55" s="145" t="s">
        <v>3326</v>
      </c>
      <c r="M55" s="45" t="str">
        <f t="shared" si="1"/>
        <v>OneCo Networks AS</v>
      </c>
      <c r="N55" s="40" t="str">
        <f ca="1">IFERROR(
VLOOKUP(BoM_Solar[[#This Row],[Product code]],
IF(AND((BoQ!$N$3&lt;&gt;""),OR(BoM_Solar[[#This Row],[Vendor]]="Griptel",BoM_Solar[[#This Row],[Vendor]]="Solar")),INDIRECT(Aux!$A$1)),4,FALSE),"")</f>
        <v/>
      </c>
      <c r="O55" s="169" t="s">
        <v>1807</v>
      </c>
      <c r="P55" s="41" t="str">
        <f>IFERROR(IF(AND(BoM_Solar[[#This Row],[Quantity]]&lt;&gt;"",BoM_Solar[[#This Row],[Currency]]="NOK"),BoM_Solar[[#This Row],[Quantity]]*BoM_Solar[[#This Row],[Unit Price]],""),"")</f>
        <v/>
      </c>
      <c r="Q55" s="41" t="str">
        <f>IFERROR(IF(AND(BoM_Solar[[#This Row],[ACT_Qty]]&lt;&gt;"",BoM_Solar[[#This Row],[Currency]]="NOK"),BoM_Solar[[#This Row],[ACT_Qty]]*BoM_Solar[[#This Row],[Unit Price]],""),"")</f>
        <v/>
      </c>
      <c r="R55" s="41" t="str">
        <f>IFERROR(IF(AND(BoM_Solar[[#This Row],[Quantity]]&lt;&gt;"",BoM_Solar[[#This Row],[Currency]]="EUR"),BoM_Solar[[#This Row],[Quantity]]*BoM_Solar[[#This Row],[Unit Price]],""),"")</f>
        <v/>
      </c>
      <c r="S55" s="41" t="str">
        <f>IFERROR(IF(AND(BoM_Solar[[#This Row],[ACT_Qty]]&lt;&gt;"",BoM_Solar[[#This Row],[Currency]]="EUR"),BoM_Solar[[#This Row],[ACT_Qty]]*BoM_Solar[[#This Row],[Unit Price]],""),"")</f>
        <v/>
      </c>
      <c r="T55" s="185"/>
      <c r="U55" s="45"/>
      <c r="V55" s="45"/>
      <c r="W55" s="45"/>
    </row>
    <row r="56" spans="1:23" ht="15" customHeight="1">
      <c r="A56" s="146" t="str">
        <f t="shared" si="0"/>
        <v>AKH12345</v>
      </c>
      <c r="B56" s="199">
        <v>2029711</v>
      </c>
      <c r="C56" s="200" t="s">
        <v>3374</v>
      </c>
      <c r="D56" s="105"/>
      <c r="E56" s="106"/>
      <c r="F56" s="105"/>
      <c r="G56" s="106"/>
      <c r="H56" s="175" t="s">
        <v>3324</v>
      </c>
      <c r="I56" s="176" t="s">
        <v>3325</v>
      </c>
      <c r="J56" s="176" t="s">
        <v>3325</v>
      </c>
      <c r="K56" s="176" t="s">
        <v>1235</v>
      </c>
      <c r="L56" s="145" t="s">
        <v>3326</v>
      </c>
      <c r="M56" s="45" t="str">
        <f t="shared" si="1"/>
        <v>OneCo Networks AS</v>
      </c>
      <c r="N56" s="40" t="str">
        <f ca="1">IFERROR(
VLOOKUP(BoM_Solar[[#This Row],[Product code]],
IF(AND((BoQ!$N$3&lt;&gt;""),OR(BoM_Solar[[#This Row],[Vendor]]="Griptel",BoM_Solar[[#This Row],[Vendor]]="Solar")),INDIRECT(Aux!$A$1)),4,FALSE),"")</f>
        <v/>
      </c>
      <c r="O56" s="169" t="s">
        <v>1807</v>
      </c>
      <c r="P56" s="41" t="str">
        <f>IFERROR(IF(AND(BoM_Solar[[#This Row],[Quantity]]&lt;&gt;"",BoM_Solar[[#This Row],[Currency]]="NOK"),BoM_Solar[[#This Row],[Quantity]]*BoM_Solar[[#This Row],[Unit Price]],""),"")</f>
        <v/>
      </c>
      <c r="Q56" s="41" t="str">
        <f>IFERROR(IF(AND(BoM_Solar[[#This Row],[ACT_Qty]]&lt;&gt;"",BoM_Solar[[#This Row],[Currency]]="NOK"),BoM_Solar[[#This Row],[ACT_Qty]]*BoM_Solar[[#This Row],[Unit Price]],""),"")</f>
        <v/>
      </c>
      <c r="R56" s="41" t="str">
        <f>IFERROR(IF(AND(BoM_Solar[[#This Row],[Quantity]]&lt;&gt;"",BoM_Solar[[#This Row],[Currency]]="EUR"),BoM_Solar[[#This Row],[Quantity]]*BoM_Solar[[#This Row],[Unit Price]],""),"")</f>
        <v/>
      </c>
      <c r="S56" s="41" t="str">
        <f>IFERROR(IF(AND(BoM_Solar[[#This Row],[ACT_Qty]]&lt;&gt;"",BoM_Solar[[#This Row],[Currency]]="EUR"),BoM_Solar[[#This Row],[ACT_Qty]]*BoM_Solar[[#This Row],[Unit Price]],""),"")</f>
        <v/>
      </c>
      <c r="T56" s="185"/>
      <c r="U56" s="45"/>
      <c r="V56" s="45"/>
      <c r="W56" s="45"/>
    </row>
    <row r="57" spans="1:23" ht="15" customHeight="1">
      <c r="A57" s="146" t="str">
        <f t="shared" si="0"/>
        <v>AKH12345</v>
      </c>
      <c r="B57" s="199">
        <v>2016033</v>
      </c>
      <c r="C57" s="200" t="s">
        <v>3375</v>
      </c>
      <c r="D57" s="105"/>
      <c r="E57" s="106"/>
      <c r="F57" s="105"/>
      <c r="G57" s="106"/>
      <c r="H57" s="175" t="s">
        <v>3324</v>
      </c>
      <c r="I57" s="176" t="s">
        <v>3325</v>
      </c>
      <c r="J57" s="176" t="s">
        <v>3325</v>
      </c>
      <c r="K57" s="176" t="s">
        <v>1235</v>
      </c>
      <c r="L57" s="145" t="s">
        <v>3326</v>
      </c>
      <c r="M57" s="45" t="str">
        <f t="shared" si="1"/>
        <v>OneCo Networks AS</v>
      </c>
      <c r="N57" s="40" t="str">
        <f ca="1">IFERROR(
VLOOKUP(BoM_Solar[[#This Row],[Product code]],
IF(AND((BoQ!$N$3&lt;&gt;""),OR(BoM_Solar[[#This Row],[Vendor]]="Griptel",BoM_Solar[[#This Row],[Vendor]]="Solar")),INDIRECT(Aux!$A$1)),4,FALSE),"")</f>
        <v/>
      </c>
      <c r="O57" s="169" t="s">
        <v>1807</v>
      </c>
      <c r="P57" s="41" t="str">
        <f>IFERROR(IF(AND(BoM_Solar[[#This Row],[Quantity]]&lt;&gt;"",BoM_Solar[[#This Row],[Currency]]="NOK"),BoM_Solar[[#This Row],[Quantity]]*BoM_Solar[[#This Row],[Unit Price]],""),"")</f>
        <v/>
      </c>
      <c r="Q57" s="41" t="str">
        <f>IFERROR(IF(AND(BoM_Solar[[#This Row],[ACT_Qty]]&lt;&gt;"",BoM_Solar[[#This Row],[Currency]]="NOK"),BoM_Solar[[#This Row],[ACT_Qty]]*BoM_Solar[[#This Row],[Unit Price]],""),"")</f>
        <v/>
      </c>
      <c r="R57" s="41" t="str">
        <f>IFERROR(IF(AND(BoM_Solar[[#This Row],[Quantity]]&lt;&gt;"",BoM_Solar[[#This Row],[Currency]]="EUR"),BoM_Solar[[#This Row],[Quantity]]*BoM_Solar[[#This Row],[Unit Price]],""),"")</f>
        <v/>
      </c>
      <c r="S57" s="41" t="str">
        <f>IFERROR(IF(AND(BoM_Solar[[#This Row],[ACT_Qty]]&lt;&gt;"",BoM_Solar[[#This Row],[Currency]]="EUR"),BoM_Solar[[#This Row],[ACT_Qty]]*BoM_Solar[[#This Row],[Unit Price]],""),"")</f>
        <v/>
      </c>
      <c r="T57" s="185"/>
      <c r="U57" s="45"/>
      <c r="V57" s="45"/>
      <c r="W57" s="45"/>
    </row>
    <row r="58" spans="1:23" ht="15" customHeight="1">
      <c r="A58" s="146" t="str">
        <f t="shared" si="0"/>
        <v>AKH12345</v>
      </c>
      <c r="B58" s="199">
        <v>2030042</v>
      </c>
      <c r="C58" s="200" t="s">
        <v>3376</v>
      </c>
      <c r="D58" s="105"/>
      <c r="E58" s="106"/>
      <c r="F58" s="105"/>
      <c r="G58" s="106"/>
      <c r="H58" s="175" t="s">
        <v>3324</v>
      </c>
      <c r="I58" s="176" t="s">
        <v>3325</v>
      </c>
      <c r="J58" s="176" t="s">
        <v>3325</v>
      </c>
      <c r="K58" s="176" t="s">
        <v>1235</v>
      </c>
      <c r="L58" s="145" t="s">
        <v>3326</v>
      </c>
      <c r="M58" s="45" t="str">
        <f t="shared" si="1"/>
        <v>OneCo Networks AS</v>
      </c>
      <c r="N58" s="40" t="str">
        <f ca="1">IFERROR(
VLOOKUP(BoM_Solar[[#This Row],[Product code]],
IF(AND((BoQ!$N$3&lt;&gt;""),OR(BoM_Solar[[#This Row],[Vendor]]="Griptel",BoM_Solar[[#This Row],[Vendor]]="Solar")),INDIRECT(Aux!$A$1)),4,FALSE),"")</f>
        <v/>
      </c>
      <c r="O58" s="169" t="s">
        <v>1807</v>
      </c>
      <c r="P58" s="41" t="str">
        <f>IFERROR(IF(AND(BoM_Solar[[#This Row],[Quantity]]&lt;&gt;"",BoM_Solar[[#This Row],[Currency]]="NOK"),BoM_Solar[[#This Row],[Quantity]]*BoM_Solar[[#This Row],[Unit Price]],""),"")</f>
        <v/>
      </c>
      <c r="Q58" s="41" t="str">
        <f>IFERROR(IF(AND(BoM_Solar[[#This Row],[ACT_Qty]]&lt;&gt;"",BoM_Solar[[#This Row],[Currency]]="NOK"),BoM_Solar[[#This Row],[ACT_Qty]]*BoM_Solar[[#This Row],[Unit Price]],""),"")</f>
        <v/>
      </c>
      <c r="R58" s="41" t="str">
        <f>IFERROR(IF(AND(BoM_Solar[[#This Row],[Quantity]]&lt;&gt;"",BoM_Solar[[#This Row],[Currency]]="EUR"),BoM_Solar[[#This Row],[Quantity]]*BoM_Solar[[#This Row],[Unit Price]],""),"")</f>
        <v/>
      </c>
      <c r="S58" s="41" t="str">
        <f>IFERROR(IF(AND(BoM_Solar[[#This Row],[ACT_Qty]]&lt;&gt;"",BoM_Solar[[#This Row],[Currency]]="EUR"),BoM_Solar[[#This Row],[ACT_Qty]]*BoM_Solar[[#This Row],[Unit Price]],""),"")</f>
        <v/>
      </c>
      <c r="T58" s="185"/>
      <c r="U58" s="45"/>
      <c r="V58" s="45"/>
      <c r="W58" s="45"/>
    </row>
    <row r="59" spans="1:23" ht="15" customHeight="1">
      <c r="A59" s="146" t="str">
        <f t="shared" si="0"/>
        <v>AKH12345</v>
      </c>
      <c r="B59" s="199">
        <v>2029757</v>
      </c>
      <c r="C59" s="200" t="s">
        <v>3377</v>
      </c>
      <c r="D59" s="105"/>
      <c r="E59" s="106"/>
      <c r="F59" s="105"/>
      <c r="G59" s="106"/>
      <c r="H59" s="175" t="s">
        <v>3324</v>
      </c>
      <c r="I59" s="176" t="s">
        <v>3325</v>
      </c>
      <c r="J59" s="176" t="s">
        <v>3325</v>
      </c>
      <c r="K59" s="176" t="s">
        <v>1235</v>
      </c>
      <c r="L59" s="145" t="s">
        <v>3326</v>
      </c>
      <c r="M59" s="45" t="str">
        <f t="shared" si="1"/>
        <v>OneCo Networks AS</v>
      </c>
      <c r="N59" s="40" t="str">
        <f ca="1">IFERROR(
VLOOKUP(BoM_Solar[[#This Row],[Product code]],
IF(AND((BoQ!$N$3&lt;&gt;""),OR(BoM_Solar[[#This Row],[Vendor]]="Griptel",BoM_Solar[[#This Row],[Vendor]]="Solar")),INDIRECT(Aux!$A$1)),4,FALSE),"")</f>
        <v/>
      </c>
      <c r="O59" s="169" t="s">
        <v>1807</v>
      </c>
      <c r="P59" s="41" t="str">
        <f>IFERROR(IF(AND(BoM_Solar[[#This Row],[Quantity]]&lt;&gt;"",BoM_Solar[[#This Row],[Currency]]="NOK"),BoM_Solar[[#This Row],[Quantity]]*BoM_Solar[[#This Row],[Unit Price]],""),"")</f>
        <v/>
      </c>
      <c r="Q59" s="41" t="str">
        <f>IFERROR(IF(AND(BoM_Solar[[#This Row],[ACT_Qty]]&lt;&gt;"",BoM_Solar[[#This Row],[Currency]]="NOK"),BoM_Solar[[#This Row],[ACT_Qty]]*BoM_Solar[[#This Row],[Unit Price]],""),"")</f>
        <v/>
      </c>
      <c r="R59" s="41" t="str">
        <f>IFERROR(IF(AND(BoM_Solar[[#This Row],[Quantity]]&lt;&gt;"",BoM_Solar[[#This Row],[Currency]]="EUR"),BoM_Solar[[#This Row],[Quantity]]*BoM_Solar[[#This Row],[Unit Price]],""),"")</f>
        <v/>
      </c>
      <c r="S59" s="41" t="str">
        <f>IFERROR(IF(AND(BoM_Solar[[#This Row],[ACT_Qty]]&lt;&gt;"",BoM_Solar[[#This Row],[Currency]]="EUR"),BoM_Solar[[#This Row],[ACT_Qty]]*BoM_Solar[[#This Row],[Unit Price]],""),"")</f>
        <v/>
      </c>
      <c r="T59" s="185"/>
      <c r="U59" s="45"/>
      <c r="V59" s="45"/>
      <c r="W59" s="45"/>
    </row>
    <row r="60" spans="1:23" ht="15" customHeight="1">
      <c r="A60" s="146" t="str">
        <f t="shared" si="0"/>
        <v>AKH12345</v>
      </c>
      <c r="B60" s="199">
        <v>2029758</v>
      </c>
      <c r="C60" s="200" t="s">
        <v>3378</v>
      </c>
      <c r="D60" s="105"/>
      <c r="E60" s="106"/>
      <c r="F60" s="105"/>
      <c r="G60" s="106"/>
      <c r="H60" s="175" t="s">
        <v>3324</v>
      </c>
      <c r="I60" s="176" t="s">
        <v>3325</v>
      </c>
      <c r="J60" s="176" t="s">
        <v>3325</v>
      </c>
      <c r="K60" s="176" t="s">
        <v>1235</v>
      </c>
      <c r="L60" s="145" t="s">
        <v>3326</v>
      </c>
      <c r="M60" s="45" t="str">
        <f t="shared" si="1"/>
        <v>OneCo Networks AS</v>
      </c>
      <c r="N60" s="40" t="str">
        <f ca="1">IFERROR(
VLOOKUP(BoM_Solar[[#This Row],[Product code]],
IF(AND((BoQ!$N$3&lt;&gt;""),OR(BoM_Solar[[#This Row],[Vendor]]="Griptel",BoM_Solar[[#This Row],[Vendor]]="Solar")),INDIRECT(Aux!$A$1)),4,FALSE),"")</f>
        <v/>
      </c>
      <c r="O60" s="169" t="s">
        <v>1807</v>
      </c>
      <c r="P60" s="41" t="str">
        <f>IFERROR(IF(AND(BoM_Solar[[#This Row],[Quantity]]&lt;&gt;"",BoM_Solar[[#This Row],[Currency]]="NOK"),BoM_Solar[[#This Row],[Quantity]]*BoM_Solar[[#This Row],[Unit Price]],""),"")</f>
        <v/>
      </c>
      <c r="Q60" s="41" t="str">
        <f>IFERROR(IF(AND(BoM_Solar[[#This Row],[ACT_Qty]]&lt;&gt;"",BoM_Solar[[#This Row],[Currency]]="NOK"),BoM_Solar[[#This Row],[ACT_Qty]]*BoM_Solar[[#This Row],[Unit Price]],""),"")</f>
        <v/>
      </c>
      <c r="R60" s="41" t="str">
        <f>IFERROR(IF(AND(BoM_Solar[[#This Row],[Quantity]]&lt;&gt;"",BoM_Solar[[#This Row],[Currency]]="EUR"),BoM_Solar[[#This Row],[Quantity]]*BoM_Solar[[#This Row],[Unit Price]],""),"")</f>
        <v/>
      </c>
      <c r="S60" s="41" t="str">
        <f>IFERROR(IF(AND(BoM_Solar[[#This Row],[ACT_Qty]]&lt;&gt;"",BoM_Solar[[#This Row],[Currency]]="EUR"),BoM_Solar[[#This Row],[ACT_Qty]]*BoM_Solar[[#This Row],[Unit Price]],""),"")</f>
        <v/>
      </c>
      <c r="T60" s="185"/>
      <c r="U60" s="45"/>
      <c r="V60" s="45"/>
      <c r="W60" s="45"/>
    </row>
    <row r="61" spans="1:23" ht="15" customHeight="1">
      <c r="A61" s="146" t="str">
        <f t="shared" si="0"/>
        <v>AKH12345</v>
      </c>
      <c r="B61" s="199">
        <v>2029661</v>
      </c>
      <c r="C61" s="200" t="s">
        <v>3379</v>
      </c>
      <c r="D61" s="105"/>
      <c r="E61" s="106"/>
      <c r="F61" s="105"/>
      <c r="G61" s="106"/>
      <c r="H61" s="175" t="s">
        <v>3324</v>
      </c>
      <c r="I61" s="176" t="s">
        <v>3325</v>
      </c>
      <c r="J61" s="176" t="s">
        <v>3325</v>
      </c>
      <c r="K61" s="176" t="s">
        <v>1235</v>
      </c>
      <c r="L61" s="145" t="s">
        <v>3326</v>
      </c>
      <c r="M61" s="45" t="str">
        <f t="shared" si="1"/>
        <v>OneCo Networks AS</v>
      </c>
      <c r="N61" s="40" t="str">
        <f ca="1">IFERROR(
VLOOKUP(BoM_Solar[[#This Row],[Product code]],
IF(AND((BoQ!$N$3&lt;&gt;""),OR(BoM_Solar[[#This Row],[Vendor]]="Griptel",BoM_Solar[[#This Row],[Vendor]]="Solar")),INDIRECT(Aux!$A$1)),4,FALSE),"")</f>
        <v/>
      </c>
      <c r="O61" s="169" t="s">
        <v>1807</v>
      </c>
      <c r="P61" s="41" t="str">
        <f>IFERROR(IF(AND(BoM_Solar[[#This Row],[Quantity]]&lt;&gt;"",BoM_Solar[[#This Row],[Currency]]="NOK"),BoM_Solar[[#This Row],[Quantity]]*BoM_Solar[[#This Row],[Unit Price]],""),"")</f>
        <v/>
      </c>
      <c r="Q61" s="41" t="str">
        <f>IFERROR(IF(AND(BoM_Solar[[#This Row],[ACT_Qty]]&lt;&gt;"",BoM_Solar[[#This Row],[Currency]]="NOK"),BoM_Solar[[#This Row],[ACT_Qty]]*BoM_Solar[[#This Row],[Unit Price]],""),"")</f>
        <v/>
      </c>
      <c r="R61" s="41" t="str">
        <f>IFERROR(IF(AND(BoM_Solar[[#This Row],[Quantity]]&lt;&gt;"",BoM_Solar[[#This Row],[Currency]]="EUR"),BoM_Solar[[#This Row],[Quantity]]*BoM_Solar[[#This Row],[Unit Price]],""),"")</f>
        <v/>
      </c>
      <c r="S61" s="41" t="str">
        <f>IFERROR(IF(AND(BoM_Solar[[#This Row],[ACT_Qty]]&lt;&gt;"",BoM_Solar[[#This Row],[Currency]]="EUR"),BoM_Solar[[#This Row],[ACT_Qty]]*BoM_Solar[[#This Row],[Unit Price]],""),"")</f>
        <v/>
      </c>
      <c r="T61" s="185"/>
      <c r="U61" s="45"/>
      <c r="V61" s="45"/>
      <c r="W61" s="45"/>
    </row>
    <row r="62" spans="1:23" ht="15" customHeight="1">
      <c r="A62" s="146" t="str">
        <f t="shared" si="0"/>
        <v>AKH12345</v>
      </c>
      <c r="B62" s="199">
        <v>2029760</v>
      </c>
      <c r="C62" s="200" t="s">
        <v>3380</v>
      </c>
      <c r="D62" s="105"/>
      <c r="E62" s="106"/>
      <c r="F62" s="105"/>
      <c r="G62" s="106"/>
      <c r="H62" s="175" t="s">
        <v>3324</v>
      </c>
      <c r="I62" s="176" t="s">
        <v>3325</v>
      </c>
      <c r="J62" s="176" t="s">
        <v>3325</v>
      </c>
      <c r="K62" s="176" t="s">
        <v>1235</v>
      </c>
      <c r="L62" s="145" t="s">
        <v>3326</v>
      </c>
      <c r="M62" s="45" t="str">
        <f t="shared" si="1"/>
        <v>OneCo Networks AS</v>
      </c>
      <c r="N62" s="40" t="str">
        <f ca="1">IFERROR(
VLOOKUP(BoM_Solar[[#This Row],[Product code]],
IF(AND((BoQ!$N$3&lt;&gt;""),OR(BoM_Solar[[#This Row],[Vendor]]="Griptel",BoM_Solar[[#This Row],[Vendor]]="Solar")),INDIRECT(Aux!$A$1)),4,FALSE),"")</f>
        <v/>
      </c>
      <c r="O62" s="169" t="s">
        <v>1807</v>
      </c>
      <c r="P62" s="41" t="str">
        <f>IFERROR(IF(AND(BoM_Solar[[#This Row],[Quantity]]&lt;&gt;"",BoM_Solar[[#This Row],[Currency]]="NOK"),BoM_Solar[[#This Row],[Quantity]]*BoM_Solar[[#This Row],[Unit Price]],""),"")</f>
        <v/>
      </c>
      <c r="Q62" s="41" t="str">
        <f>IFERROR(IF(AND(BoM_Solar[[#This Row],[ACT_Qty]]&lt;&gt;"",BoM_Solar[[#This Row],[Currency]]="NOK"),BoM_Solar[[#This Row],[ACT_Qty]]*BoM_Solar[[#This Row],[Unit Price]],""),"")</f>
        <v/>
      </c>
      <c r="R62" s="41" t="str">
        <f>IFERROR(IF(AND(BoM_Solar[[#This Row],[Quantity]]&lt;&gt;"",BoM_Solar[[#This Row],[Currency]]="EUR"),BoM_Solar[[#This Row],[Quantity]]*BoM_Solar[[#This Row],[Unit Price]],""),"")</f>
        <v/>
      </c>
      <c r="S62" s="41" t="str">
        <f>IFERROR(IF(AND(BoM_Solar[[#This Row],[ACT_Qty]]&lt;&gt;"",BoM_Solar[[#This Row],[Currency]]="EUR"),BoM_Solar[[#This Row],[ACT_Qty]]*BoM_Solar[[#This Row],[Unit Price]],""),"")</f>
        <v/>
      </c>
      <c r="T62" s="185"/>
      <c r="U62" s="45"/>
      <c r="V62" s="45"/>
      <c r="W62" s="45"/>
    </row>
    <row r="63" spans="1:23" ht="15" customHeight="1">
      <c r="A63" s="146" t="str">
        <f t="shared" si="0"/>
        <v>AKH12345</v>
      </c>
      <c r="B63" s="199">
        <v>2029759</v>
      </c>
      <c r="C63" s="200" t="s">
        <v>3381</v>
      </c>
      <c r="D63" s="105"/>
      <c r="E63" s="106"/>
      <c r="F63" s="105"/>
      <c r="G63" s="106"/>
      <c r="H63" s="175" t="s">
        <v>3324</v>
      </c>
      <c r="I63" s="176" t="s">
        <v>3325</v>
      </c>
      <c r="J63" s="176" t="s">
        <v>3325</v>
      </c>
      <c r="K63" s="176" t="s">
        <v>1235</v>
      </c>
      <c r="L63" s="145" t="s">
        <v>3326</v>
      </c>
      <c r="M63" s="45" t="str">
        <f t="shared" si="1"/>
        <v>OneCo Networks AS</v>
      </c>
      <c r="N63" s="40" t="str">
        <f ca="1">IFERROR(
VLOOKUP(BoM_Solar[[#This Row],[Product code]],
IF(AND((BoQ!$N$3&lt;&gt;""),OR(BoM_Solar[[#This Row],[Vendor]]="Griptel",BoM_Solar[[#This Row],[Vendor]]="Solar")),INDIRECT(Aux!$A$1)),4,FALSE),"")</f>
        <v/>
      </c>
      <c r="O63" s="169" t="s">
        <v>1807</v>
      </c>
      <c r="P63" s="41" t="str">
        <f>IFERROR(IF(AND(BoM_Solar[[#This Row],[Quantity]]&lt;&gt;"",BoM_Solar[[#This Row],[Currency]]="NOK"),BoM_Solar[[#This Row],[Quantity]]*BoM_Solar[[#This Row],[Unit Price]],""),"")</f>
        <v/>
      </c>
      <c r="Q63" s="41" t="str">
        <f>IFERROR(IF(AND(BoM_Solar[[#This Row],[ACT_Qty]]&lt;&gt;"",BoM_Solar[[#This Row],[Currency]]="NOK"),BoM_Solar[[#This Row],[ACT_Qty]]*BoM_Solar[[#This Row],[Unit Price]],""),"")</f>
        <v/>
      </c>
      <c r="R63" s="41" t="str">
        <f>IFERROR(IF(AND(BoM_Solar[[#This Row],[Quantity]]&lt;&gt;"",BoM_Solar[[#This Row],[Currency]]="EUR"),BoM_Solar[[#This Row],[Quantity]]*BoM_Solar[[#This Row],[Unit Price]],""),"")</f>
        <v/>
      </c>
      <c r="S63" s="41" t="str">
        <f>IFERROR(IF(AND(BoM_Solar[[#This Row],[ACT_Qty]]&lt;&gt;"",BoM_Solar[[#This Row],[Currency]]="EUR"),BoM_Solar[[#This Row],[ACT_Qty]]*BoM_Solar[[#This Row],[Unit Price]],""),"")</f>
        <v/>
      </c>
      <c r="T63" s="185"/>
      <c r="U63" s="45"/>
      <c r="V63" s="45"/>
      <c r="W63" s="45"/>
    </row>
    <row r="64" spans="1:23" ht="15" customHeight="1">
      <c r="A64" s="146" t="str">
        <f t="shared" si="0"/>
        <v>AKH12345</v>
      </c>
      <c r="B64" s="199">
        <v>2029761</v>
      </c>
      <c r="C64" s="200" t="s">
        <v>3382</v>
      </c>
      <c r="D64" s="105"/>
      <c r="E64" s="106"/>
      <c r="F64" s="105"/>
      <c r="G64" s="106"/>
      <c r="H64" s="175" t="s">
        <v>3324</v>
      </c>
      <c r="I64" s="176" t="s">
        <v>3325</v>
      </c>
      <c r="J64" s="176" t="s">
        <v>3325</v>
      </c>
      <c r="K64" s="176" t="s">
        <v>1235</v>
      </c>
      <c r="L64" s="145" t="s">
        <v>3326</v>
      </c>
      <c r="M64" s="45" t="str">
        <f t="shared" si="1"/>
        <v>OneCo Networks AS</v>
      </c>
      <c r="N64" s="40" t="str">
        <f ca="1">IFERROR(
VLOOKUP(BoM_Solar[[#This Row],[Product code]],
IF(AND((BoQ!$N$3&lt;&gt;""),OR(BoM_Solar[[#This Row],[Vendor]]="Griptel",BoM_Solar[[#This Row],[Vendor]]="Solar")),INDIRECT(Aux!$A$1)),4,FALSE),"")</f>
        <v/>
      </c>
      <c r="O64" s="169" t="s">
        <v>1807</v>
      </c>
      <c r="P64" s="41" t="str">
        <f>IFERROR(IF(AND(BoM_Solar[[#This Row],[Quantity]]&lt;&gt;"",BoM_Solar[[#This Row],[Currency]]="NOK"),BoM_Solar[[#This Row],[Quantity]]*BoM_Solar[[#This Row],[Unit Price]],""),"")</f>
        <v/>
      </c>
      <c r="Q64" s="41" t="str">
        <f>IFERROR(IF(AND(BoM_Solar[[#This Row],[ACT_Qty]]&lt;&gt;"",BoM_Solar[[#This Row],[Currency]]="NOK"),BoM_Solar[[#This Row],[ACT_Qty]]*BoM_Solar[[#This Row],[Unit Price]],""),"")</f>
        <v/>
      </c>
      <c r="R64" s="41" t="str">
        <f>IFERROR(IF(AND(BoM_Solar[[#This Row],[Quantity]]&lt;&gt;"",BoM_Solar[[#This Row],[Currency]]="EUR"),BoM_Solar[[#This Row],[Quantity]]*BoM_Solar[[#This Row],[Unit Price]],""),"")</f>
        <v/>
      </c>
      <c r="S64" s="41" t="str">
        <f>IFERROR(IF(AND(BoM_Solar[[#This Row],[ACT_Qty]]&lt;&gt;"",BoM_Solar[[#This Row],[Currency]]="EUR"),BoM_Solar[[#This Row],[ACT_Qty]]*BoM_Solar[[#This Row],[Unit Price]],""),"")</f>
        <v/>
      </c>
      <c r="T64" s="185"/>
      <c r="U64" s="45"/>
      <c r="V64" s="45"/>
      <c r="W64" s="45"/>
    </row>
    <row r="65" spans="1:23" ht="15" customHeight="1">
      <c r="A65" s="146" t="str">
        <f t="shared" si="0"/>
        <v>AKH12345</v>
      </c>
      <c r="B65" s="199">
        <v>2017378</v>
      </c>
      <c r="C65" s="200" t="s">
        <v>3383</v>
      </c>
      <c r="D65" s="105"/>
      <c r="E65" s="106"/>
      <c r="F65" s="105"/>
      <c r="G65" s="106"/>
      <c r="H65" s="175" t="s">
        <v>3324</v>
      </c>
      <c r="I65" s="176" t="s">
        <v>3325</v>
      </c>
      <c r="J65" s="176" t="s">
        <v>3325</v>
      </c>
      <c r="K65" s="176" t="s">
        <v>1235</v>
      </c>
      <c r="L65" s="145" t="s">
        <v>3326</v>
      </c>
      <c r="M65" s="45" t="str">
        <f t="shared" si="1"/>
        <v>OneCo Networks AS</v>
      </c>
      <c r="N65" s="40" t="str">
        <f ca="1">IFERROR(
VLOOKUP(BoM_Solar[[#This Row],[Product code]],
IF(AND((BoQ!$N$3&lt;&gt;""),OR(BoM_Solar[[#This Row],[Vendor]]="Griptel",BoM_Solar[[#This Row],[Vendor]]="Solar")),INDIRECT(Aux!$A$1)),4,FALSE),"")</f>
        <v/>
      </c>
      <c r="O65" s="169" t="s">
        <v>1807</v>
      </c>
      <c r="P65" s="41" t="str">
        <f>IFERROR(IF(AND(BoM_Solar[[#This Row],[Quantity]]&lt;&gt;"",BoM_Solar[[#This Row],[Currency]]="NOK"),BoM_Solar[[#This Row],[Quantity]]*BoM_Solar[[#This Row],[Unit Price]],""),"")</f>
        <v/>
      </c>
      <c r="Q65" s="41" t="str">
        <f>IFERROR(IF(AND(BoM_Solar[[#This Row],[ACT_Qty]]&lt;&gt;"",BoM_Solar[[#This Row],[Currency]]="NOK"),BoM_Solar[[#This Row],[ACT_Qty]]*BoM_Solar[[#This Row],[Unit Price]],""),"")</f>
        <v/>
      </c>
      <c r="R65" s="41" t="str">
        <f>IFERROR(IF(AND(BoM_Solar[[#This Row],[Quantity]]&lt;&gt;"",BoM_Solar[[#This Row],[Currency]]="EUR"),BoM_Solar[[#This Row],[Quantity]]*BoM_Solar[[#This Row],[Unit Price]],""),"")</f>
        <v/>
      </c>
      <c r="S65" s="41" t="str">
        <f>IFERROR(IF(AND(BoM_Solar[[#This Row],[ACT_Qty]]&lt;&gt;"",BoM_Solar[[#This Row],[Currency]]="EUR"),BoM_Solar[[#This Row],[ACT_Qty]]*BoM_Solar[[#This Row],[Unit Price]],""),"")</f>
        <v/>
      </c>
      <c r="T65" s="185"/>
      <c r="U65" s="45"/>
      <c r="V65" s="45"/>
      <c r="W65" s="45"/>
    </row>
    <row r="66" spans="1:23" ht="15" customHeight="1">
      <c r="A66" s="146" t="str">
        <f t="shared" si="0"/>
        <v>AKH12345</v>
      </c>
      <c r="B66" s="199">
        <v>1813145</v>
      </c>
      <c r="C66" s="200" t="s">
        <v>3384</v>
      </c>
      <c r="D66" s="105"/>
      <c r="E66" s="106"/>
      <c r="F66" s="105"/>
      <c r="G66" s="106"/>
      <c r="H66" s="175" t="s">
        <v>3324</v>
      </c>
      <c r="I66" s="176" t="s">
        <v>3325</v>
      </c>
      <c r="J66" s="176" t="s">
        <v>3325</v>
      </c>
      <c r="K66" s="176" t="s">
        <v>1235</v>
      </c>
      <c r="L66" s="145" t="s">
        <v>3326</v>
      </c>
      <c r="M66" s="45" t="str">
        <f t="shared" si="1"/>
        <v>OneCo Networks AS</v>
      </c>
      <c r="N66" s="40" t="str">
        <f ca="1">IFERROR(
VLOOKUP(BoM_Solar[[#This Row],[Product code]],
IF(AND((BoQ!$N$3&lt;&gt;""),OR(BoM_Solar[[#This Row],[Vendor]]="Griptel",BoM_Solar[[#This Row],[Vendor]]="Solar")),INDIRECT(Aux!$A$1)),4,FALSE),"")</f>
        <v/>
      </c>
      <c r="O66" s="169" t="s">
        <v>1807</v>
      </c>
      <c r="P66" s="41" t="str">
        <f>IFERROR(IF(AND(BoM_Solar[[#This Row],[Quantity]]&lt;&gt;"",BoM_Solar[[#This Row],[Currency]]="NOK"),BoM_Solar[[#This Row],[Quantity]]*BoM_Solar[[#This Row],[Unit Price]],""),"")</f>
        <v/>
      </c>
      <c r="Q66" s="41" t="str">
        <f>IFERROR(IF(AND(BoM_Solar[[#This Row],[ACT_Qty]]&lt;&gt;"",BoM_Solar[[#This Row],[Currency]]="NOK"),BoM_Solar[[#This Row],[ACT_Qty]]*BoM_Solar[[#This Row],[Unit Price]],""),"")</f>
        <v/>
      </c>
      <c r="R66" s="41" t="str">
        <f>IFERROR(IF(AND(BoM_Solar[[#This Row],[Quantity]]&lt;&gt;"",BoM_Solar[[#This Row],[Currency]]="EUR"),BoM_Solar[[#This Row],[Quantity]]*BoM_Solar[[#This Row],[Unit Price]],""),"")</f>
        <v/>
      </c>
      <c r="S66" s="41" t="str">
        <f>IFERROR(IF(AND(BoM_Solar[[#This Row],[ACT_Qty]]&lt;&gt;"",BoM_Solar[[#This Row],[Currency]]="EUR"),BoM_Solar[[#This Row],[ACT_Qty]]*BoM_Solar[[#This Row],[Unit Price]],""),"")</f>
        <v/>
      </c>
      <c r="T66" s="185"/>
      <c r="U66" s="45"/>
      <c r="V66" s="45"/>
      <c r="W66" s="45"/>
    </row>
    <row r="67" spans="1:23" ht="15" customHeight="1">
      <c r="A67" s="146" t="str">
        <f t="shared" si="0"/>
        <v>AKH12345</v>
      </c>
      <c r="B67" s="199">
        <v>7923528</v>
      </c>
      <c r="C67" s="200" t="s">
        <v>3385</v>
      </c>
      <c r="D67" s="105"/>
      <c r="E67" s="106"/>
      <c r="F67" s="105"/>
      <c r="G67" s="106"/>
      <c r="H67" s="175" t="s">
        <v>3324</v>
      </c>
      <c r="I67" s="176" t="s">
        <v>3325</v>
      </c>
      <c r="J67" s="176" t="s">
        <v>3325</v>
      </c>
      <c r="K67" s="176" t="s">
        <v>1235</v>
      </c>
      <c r="L67" s="145" t="s">
        <v>3326</v>
      </c>
      <c r="M67" s="45" t="str">
        <f t="shared" si="1"/>
        <v>OneCo Networks AS</v>
      </c>
      <c r="N67" s="40" t="str">
        <f ca="1">IFERROR(
VLOOKUP(BoM_Solar[[#This Row],[Product code]],
IF(AND((BoQ!$N$3&lt;&gt;""),OR(BoM_Solar[[#This Row],[Vendor]]="Griptel",BoM_Solar[[#This Row],[Vendor]]="Solar")),INDIRECT(Aux!$A$1)),4,FALSE),"")</f>
        <v/>
      </c>
      <c r="O67" s="169" t="s">
        <v>1807</v>
      </c>
      <c r="P67" s="41" t="str">
        <f>IFERROR(IF(AND(BoM_Solar[[#This Row],[Quantity]]&lt;&gt;"",BoM_Solar[[#This Row],[Currency]]="NOK"),BoM_Solar[[#This Row],[Quantity]]*BoM_Solar[[#This Row],[Unit Price]],""),"")</f>
        <v/>
      </c>
      <c r="Q67" s="41" t="str">
        <f>IFERROR(IF(AND(BoM_Solar[[#This Row],[ACT_Qty]]&lt;&gt;"",BoM_Solar[[#This Row],[Currency]]="NOK"),BoM_Solar[[#This Row],[ACT_Qty]]*BoM_Solar[[#This Row],[Unit Price]],""),"")</f>
        <v/>
      </c>
      <c r="R67" s="41" t="str">
        <f>IFERROR(IF(AND(BoM_Solar[[#This Row],[Quantity]]&lt;&gt;"",BoM_Solar[[#This Row],[Currency]]="EUR"),BoM_Solar[[#This Row],[Quantity]]*BoM_Solar[[#This Row],[Unit Price]],""),"")</f>
        <v/>
      </c>
      <c r="S67" s="41" t="str">
        <f>IFERROR(IF(AND(BoM_Solar[[#This Row],[ACT_Qty]]&lt;&gt;"",BoM_Solar[[#This Row],[Currency]]="EUR"),BoM_Solar[[#This Row],[ACT_Qty]]*BoM_Solar[[#This Row],[Unit Price]],""),"")</f>
        <v/>
      </c>
      <c r="T67" s="185"/>
      <c r="U67" s="45"/>
      <c r="V67" s="45"/>
      <c r="W67" s="45"/>
    </row>
    <row r="68" spans="1:23" ht="15" customHeight="1">
      <c r="A68" s="146" t="str">
        <f t="shared" si="0"/>
        <v>AKH12345</v>
      </c>
      <c r="B68" s="199">
        <v>1221902</v>
      </c>
      <c r="C68" s="200" t="s">
        <v>3386</v>
      </c>
      <c r="D68" s="105"/>
      <c r="E68" s="106"/>
      <c r="F68" s="105"/>
      <c r="G68" s="106"/>
      <c r="H68" s="175" t="s">
        <v>3324</v>
      </c>
      <c r="I68" s="176" t="s">
        <v>3325</v>
      </c>
      <c r="J68" s="176" t="s">
        <v>3325</v>
      </c>
      <c r="K68" s="176" t="s">
        <v>1235</v>
      </c>
      <c r="L68" s="145" t="s">
        <v>3326</v>
      </c>
      <c r="M68" s="45" t="str">
        <f t="shared" si="1"/>
        <v>OneCo Networks AS</v>
      </c>
      <c r="N68" s="40" t="str">
        <f ca="1">IFERROR(
VLOOKUP(BoM_Solar[[#This Row],[Product code]],
IF(AND((BoQ!$N$3&lt;&gt;""),OR(BoM_Solar[[#This Row],[Vendor]]="Griptel",BoM_Solar[[#This Row],[Vendor]]="Solar")),INDIRECT(Aux!$A$1)),4,FALSE),"")</f>
        <v/>
      </c>
      <c r="O68" s="169" t="s">
        <v>1807</v>
      </c>
      <c r="P68" s="41" t="str">
        <f>IFERROR(IF(AND(BoM_Solar[[#This Row],[Quantity]]&lt;&gt;"",BoM_Solar[[#This Row],[Currency]]="NOK"),BoM_Solar[[#This Row],[Quantity]]*BoM_Solar[[#This Row],[Unit Price]],""),"")</f>
        <v/>
      </c>
      <c r="Q68" s="41" t="str">
        <f>IFERROR(IF(AND(BoM_Solar[[#This Row],[ACT_Qty]]&lt;&gt;"",BoM_Solar[[#This Row],[Currency]]="NOK"),BoM_Solar[[#This Row],[ACT_Qty]]*BoM_Solar[[#This Row],[Unit Price]],""),"")</f>
        <v/>
      </c>
      <c r="R68" s="41" t="str">
        <f>IFERROR(IF(AND(BoM_Solar[[#This Row],[Quantity]]&lt;&gt;"",BoM_Solar[[#This Row],[Currency]]="EUR"),BoM_Solar[[#This Row],[Quantity]]*BoM_Solar[[#This Row],[Unit Price]],""),"")</f>
        <v/>
      </c>
      <c r="S68" s="41" t="str">
        <f>IFERROR(IF(AND(BoM_Solar[[#This Row],[ACT_Qty]]&lt;&gt;"",BoM_Solar[[#This Row],[Currency]]="EUR"),BoM_Solar[[#This Row],[ACT_Qty]]*BoM_Solar[[#This Row],[Unit Price]],""),"")</f>
        <v/>
      </c>
      <c r="T68" s="185"/>
      <c r="U68" s="45"/>
      <c r="V68" s="45"/>
      <c r="W68" s="45"/>
    </row>
    <row r="69" spans="1:23" ht="15" customHeight="1">
      <c r="A69" s="146" t="str">
        <f t="shared" si="0"/>
        <v>AKH12345</v>
      </c>
      <c r="B69" s="199">
        <v>1221903</v>
      </c>
      <c r="C69" s="200" t="s">
        <v>3387</v>
      </c>
      <c r="D69" s="105"/>
      <c r="E69" s="106"/>
      <c r="F69" s="105"/>
      <c r="G69" s="106"/>
      <c r="H69" s="175" t="s">
        <v>3324</v>
      </c>
      <c r="I69" s="176" t="s">
        <v>3325</v>
      </c>
      <c r="J69" s="176" t="s">
        <v>3325</v>
      </c>
      <c r="K69" s="176" t="s">
        <v>1235</v>
      </c>
      <c r="L69" s="145" t="s">
        <v>3326</v>
      </c>
      <c r="M69" s="45" t="str">
        <f t="shared" si="1"/>
        <v>OneCo Networks AS</v>
      </c>
      <c r="N69" s="40" t="str">
        <f ca="1">IFERROR(
VLOOKUP(BoM_Solar[[#This Row],[Product code]],
IF(AND((BoQ!$N$3&lt;&gt;""),OR(BoM_Solar[[#This Row],[Vendor]]="Griptel",BoM_Solar[[#This Row],[Vendor]]="Solar")),INDIRECT(Aux!$A$1)),4,FALSE),"")</f>
        <v/>
      </c>
      <c r="O69" s="169" t="s">
        <v>1807</v>
      </c>
      <c r="P69" s="41" t="str">
        <f>IFERROR(IF(AND(BoM_Solar[[#This Row],[Quantity]]&lt;&gt;"",BoM_Solar[[#This Row],[Currency]]="NOK"),BoM_Solar[[#This Row],[Quantity]]*BoM_Solar[[#This Row],[Unit Price]],""),"")</f>
        <v/>
      </c>
      <c r="Q69" s="41" t="str">
        <f>IFERROR(IF(AND(BoM_Solar[[#This Row],[ACT_Qty]]&lt;&gt;"",BoM_Solar[[#This Row],[Currency]]="NOK"),BoM_Solar[[#This Row],[ACT_Qty]]*BoM_Solar[[#This Row],[Unit Price]],""),"")</f>
        <v/>
      </c>
      <c r="R69" s="41" t="str">
        <f>IFERROR(IF(AND(BoM_Solar[[#This Row],[Quantity]]&lt;&gt;"",BoM_Solar[[#This Row],[Currency]]="EUR"),BoM_Solar[[#This Row],[Quantity]]*BoM_Solar[[#This Row],[Unit Price]],""),"")</f>
        <v/>
      </c>
      <c r="S69" s="41" t="str">
        <f>IFERROR(IF(AND(BoM_Solar[[#This Row],[ACT_Qty]]&lt;&gt;"",BoM_Solar[[#This Row],[Currency]]="EUR"),BoM_Solar[[#This Row],[ACT_Qty]]*BoM_Solar[[#This Row],[Unit Price]],""),"")</f>
        <v/>
      </c>
      <c r="T69" s="185"/>
      <c r="U69" s="45"/>
      <c r="V69" s="45"/>
      <c r="W69" s="45"/>
    </row>
    <row r="70" spans="1:23" ht="15" customHeight="1">
      <c r="A70" s="146" t="str">
        <f t="shared" si="0"/>
        <v>AKH12345</v>
      </c>
      <c r="B70" s="199">
        <v>1344957</v>
      </c>
      <c r="C70" s="200" t="s">
        <v>3388</v>
      </c>
      <c r="D70" s="105"/>
      <c r="E70" s="106"/>
      <c r="F70" s="105"/>
      <c r="G70" s="106"/>
      <c r="H70" s="175" t="s">
        <v>3324</v>
      </c>
      <c r="I70" s="176" t="s">
        <v>3325</v>
      </c>
      <c r="J70" s="176" t="s">
        <v>3325</v>
      </c>
      <c r="K70" s="176" t="s">
        <v>1235</v>
      </c>
      <c r="L70" s="145" t="s">
        <v>3326</v>
      </c>
      <c r="M70" s="45" t="str">
        <f t="shared" si="1"/>
        <v>OneCo Networks AS</v>
      </c>
      <c r="N70" s="40" t="str">
        <f ca="1">IFERROR(
VLOOKUP(BoM_Solar[[#This Row],[Product code]],
IF(AND((BoQ!$N$3&lt;&gt;""),OR(BoM_Solar[[#This Row],[Vendor]]="Griptel",BoM_Solar[[#This Row],[Vendor]]="Solar")),INDIRECT(Aux!$A$1)),4,FALSE),"")</f>
        <v/>
      </c>
      <c r="O70" s="169" t="s">
        <v>1807</v>
      </c>
      <c r="P70" s="41" t="str">
        <f>IFERROR(IF(AND(BoM_Solar[[#This Row],[Quantity]]&lt;&gt;"",BoM_Solar[[#This Row],[Currency]]="NOK"),BoM_Solar[[#This Row],[Quantity]]*BoM_Solar[[#This Row],[Unit Price]],""),"")</f>
        <v/>
      </c>
      <c r="Q70" s="41" t="str">
        <f>IFERROR(IF(AND(BoM_Solar[[#This Row],[ACT_Qty]]&lt;&gt;"",BoM_Solar[[#This Row],[Currency]]="NOK"),BoM_Solar[[#This Row],[ACT_Qty]]*BoM_Solar[[#This Row],[Unit Price]],""),"")</f>
        <v/>
      </c>
      <c r="R70" s="41" t="str">
        <f>IFERROR(IF(AND(BoM_Solar[[#This Row],[Quantity]]&lt;&gt;"",BoM_Solar[[#This Row],[Currency]]="EUR"),BoM_Solar[[#This Row],[Quantity]]*BoM_Solar[[#This Row],[Unit Price]],""),"")</f>
        <v/>
      </c>
      <c r="S70" s="41" t="str">
        <f>IFERROR(IF(AND(BoM_Solar[[#This Row],[ACT_Qty]]&lt;&gt;"",BoM_Solar[[#This Row],[Currency]]="EUR"),BoM_Solar[[#This Row],[ACT_Qty]]*BoM_Solar[[#This Row],[Unit Price]],""),"")</f>
        <v/>
      </c>
      <c r="T70" s="185"/>
      <c r="U70" s="45"/>
      <c r="V70" s="45"/>
      <c r="W70" s="45"/>
    </row>
    <row r="71" spans="1:23" ht="15" customHeight="1">
      <c r="A71" s="146" t="str">
        <f t="shared" si="0"/>
        <v>AKH12345</v>
      </c>
      <c r="B71" s="199">
        <v>1339923</v>
      </c>
      <c r="C71" s="200" t="s">
        <v>3389</v>
      </c>
      <c r="D71" s="105"/>
      <c r="E71" s="106"/>
      <c r="F71" s="105"/>
      <c r="G71" s="106"/>
      <c r="H71" s="175" t="s">
        <v>3324</v>
      </c>
      <c r="I71" s="176" t="s">
        <v>3325</v>
      </c>
      <c r="J71" s="176" t="s">
        <v>3325</v>
      </c>
      <c r="K71" s="176" t="s">
        <v>1235</v>
      </c>
      <c r="L71" s="145" t="s">
        <v>3326</v>
      </c>
      <c r="M71" s="45" t="str">
        <f t="shared" si="1"/>
        <v>OneCo Networks AS</v>
      </c>
      <c r="N71" s="40" t="str">
        <f ca="1">IFERROR(
VLOOKUP(BoM_Solar[[#This Row],[Product code]],
IF(AND((BoQ!$N$3&lt;&gt;""),OR(BoM_Solar[[#This Row],[Vendor]]="Griptel",BoM_Solar[[#This Row],[Vendor]]="Solar")),INDIRECT(Aux!$A$1)),4,FALSE),"")</f>
        <v/>
      </c>
      <c r="O71" s="169" t="s">
        <v>1807</v>
      </c>
      <c r="P71" s="41" t="str">
        <f>IFERROR(IF(AND(BoM_Solar[[#This Row],[Quantity]]&lt;&gt;"",BoM_Solar[[#This Row],[Currency]]="NOK"),BoM_Solar[[#This Row],[Quantity]]*BoM_Solar[[#This Row],[Unit Price]],""),"")</f>
        <v/>
      </c>
      <c r="Q71" s="41" t="str">
        <f>IFERROR(IF(AND(BoM_Solar[[#This Row],[ACT_Qty]]&lt;&gt;"",BoM_Solar[[#This Row],[Currency]]="NOK"),BoM_Solar[[#This Row],[ACT_Qty]]*BoM_Solar[[#This Row],[Unit Price]],""),"")</f>
        <v/>
      </c>
      <c r="R71" s="41" t="str">
        <f>IFERROR(IF(AND(BoM_Solar[[#This Row],[Quantity]]&lt;&gt;"",BoM_Solar[[#This Row],[Currency]]="EUR"),BoM_Solar[[#This Row],[Quantity]]*BoM_Solar[[#This Row],[Unit Price]],""),"")</f>
        <v/>
      </c>
      <c r="S71" s="41" t="str">
        <f>IFERROR(IF(AND(BoM_Solar[[#This Row],[ACT_Qty]]&lt;&gt;"",BoM_Solar[[#This Row],[Currency]]="EUR"),BoM_Solar[[#This Row],[ACT_Qty]]*BoM_Solar[[#This Row],[Unit Price]],""),"")</f>
        <v/>
      </c>
      <c r="T71" s="185"/>
      <c r="U71" s="45"/>
      <c r="V71" s="45"/>
      <c r="W71" s="45"/>
    </row>
    <row r="72" spans="1:23" ht="15" customHeight="1">
      <c r="A72" s="146" t="str">
        <f t="shared" si="0"/>
        <v>AKH12345</v>
      </c>
      <c r="B72" s="199">
        <v>6901467</v>
      </c>
      <c r="C72" s="200" t="s">
        <v>3390</v>
      </c>
      <c r="D72" s="105"/>
      <c r="E72" s="106"/>
      <c r="F72" s="105"/>
      <c r="G72" s="106"/>
      <c r="H72" s="175" t="s">
        <v>3324</v>
      </c>
      <c r="I72" s="176" t="s">
        <v>3325</v>
      </c>
      <c r="J72" s="176" t="s">
        <v>3325</v>
      </c>
      <c r="K72" s="176" t="s">
        <v>1235</v>
      </c>
      <c r="L72" s="145" t="s">
        <v>3326</v>
      </c>
      <c r="M72" s="45" t="str">
        <f t="shared" si="1"/>
        <v>OneCo Networks AS</v>
      </c>
      <c r="N72" s="40" t="str">
        <f ca="1">IFERROR(
VLOOKUP(BoM_Solar[[#This Row],[Product code]],
IF(AND((BoQ!$N$3&lt;&gt;""),OR(BoM_Solar[[#This Row],[Vendor]]="Griptel",BoM_Solar[[#This Row],[Vendor]]="Solar")),INDIRECT(Aux!$A$1)),4,FALSE),"")</f>
        <v/>
      </c>
      <c r="O72" s="169" t="s">
        <v>1807</v>
      </c>
      <c r="P72" s="41" t="str">
        <f>IFERROR(IF(AND(BoM_Solar[[#This Row],[Quantity]]&lt;&gt;"",BoM_Solar[[#This Row],[Currency]]="NOK"),BoM_Solar[[#This Row],[Quantity]]*BoM_Solar[[#This Row],[Unit Price]],""),"")</f>
        <v/>
      </c>
      <c r="Q72" s="41" t="str">
        <f>IFERROR(IF(AND(BoM_Solar[[#This Row],[ACT_Qty]]&lt;&gt;"",BoM_Solar[[#This Row],[Currency]]="NOK"),BoM_Solar[[#This Row],[ACT_Qty]]*BoM_Solar[[#This Row],[Unit Price]],""),"")</f>
        <v/>
      </c>
      <c r="R72" s="41" t="str">
        <f>IFERROR(IF(AND(BoM_Solar[[#This Row],[Quantity]]&lt;&gt;"",BoM_Solar[[#This Row],[Currency]]="EUR"),BoM_Solar[[#This Row],[Quantity]]*BoM_Solar[[#This Row],[Unit Price]],""),"")</f>
        <v/>
      </c>
      <c r="S72" s="41" t="str">
        <f>IFERROR(IF(AND(BoM_Solar[[#This Row],[ACT_Qty]]&lt;&gt;"",BoM_Solar[[#This Row],[Currency]]="EUR"),BoM_Solar[[#This Row],[ACT_Qty]]*BoM_Solar[[#This Row],[Unit Price]],""),"")</f>
        <v/>
      </c>
      <c r="T72" s="185"/>
      <c r="U72" s="45"/>
      <c r="V72" s="45"/>
      <c r="W72" s="45"/>
    </row>
    <row r="73" spans="1:23" ht="15" customHeight="1">
      <c r="A73" s="146" t="str">
        <f t="shared" si="0"/>
        <v>AKH12345</v>
      </c>
      <c r="B73" s="199">
        <v>7100340</v>
      </c>
      <c r="C73" s="200" t="s">
        <v>3391</v>
      </c>
      <c r="D73" s="105"/>
      <c r="E73" s="106"/>
      <c r="F73" s="105"/>
      <c r="G73" s="106"/>
      <c r="H73" s="175" t="s">
        <v>3324</v>
      </c>
      <c r="I73" s="176" t="s">
        <v>3325</v>
      </c>
      <c r="J73" s="176" t="s">
        <v>3325</v>
      </c>
      <c r="K73" s="176" t="s">
        <v>1235</v>
      </c>
      <c r="L73" s="145" t="s">
        <v>3326</v>
      </c>
      <c r="M73" s="45" t="str">
        <f t="shared" si="1"/>
        <v>OneCo Networks AS</v>
      </c>
      <c r="N73" s="40" t="str">
        <f ca="1">IFERROR(
VLOOKUP(BoM_Solar[[#This Row],[Product code]],
IF(AND((BoQ!$N$3&lt;&gt;""),OR(BoM_Solar[[#This Row],[Vendor]]="Griptel",BoM_Solar[[#This Row],[Vendor]]="Solar")),INDIRECT(Aux!$A$1)),4,FALSE),"")</f>
        <v/>
      </c>
      <c r="O73" s="169" t="s">
        <v>1807</v>
      </c>
      <c r="P73" s="41" t="str">
        <f>IFERROR(IF(AND(BoM_Solar[[#This Row],[Quantity]]&lt;&gt;"",BoM_Solar[[#This Row],[Currency]]="NOK"),BoM_Solar[[#This Row],[Quantity]]*BoM_Solar[[#This Row],[Unit Price]],""),"")</f>
        <v/>
      </c>
      <c r="Q73" s="41" t="str">
        <f>IFERROR(IF(AND(BoM_Solar[[#This Row],[ACT_Qty]]&lt;&gt;"",BoM_Solar[[#This Row],[Currency]]="NOK"),BoM_Solar[[#This Row],[ACT_Qty]]*BoM_Solar[[#This Row],[Unit Price]],""),"")</f>
        <v/>
      </c>
      <c r="R73" s="41" t="str">
        <f>IFERROR(IF(AND(BoM_Solar[[#This Row],[Quantity]]&lt;&gt;"",BoM_Solar[[#This Row],[Currency]]="EUR"),BoM_Solar[[#This Row],[Quantity]]*BoM_Solar[[#This Row],[Unit Price]],""),"")</f>
        <v/>
      </c>
      <c r="S73" s="41" t="str">
        <f>IFERROR(IF(AND(BoM_Solar[[#This Row],[ACT_Qty]]&lt;&gt;"",BoM_Solar[[#This Row],[Currency]]="EUR"),BoM_Solar[[#This Row],[ACT_Qty]]*BoM_Solar[[#This Row],[Unit Price]],""),"")</f>
        <v/>
      </c>
      <c r="T73" s="185"/>
      <c r="U73" s="45"/>
      <c r="V73" s="45"/>
      <c r="W73" s="45"/>
    </row>
    <row r="74" spans="1:23" ht="15" customHeight="1">
      <c r="A74" s="146" t="str">
        <f t="shared" si="0"/>
        <v>AKH12345</v>
      </c>
      <c r="B74" s="199">
        <v>2030142</v>
      </c>
      <c r="C74" s="200" t="s">
        <v>3392</v>
      </c>
      <c r="D74" s="105"/>
      <c r="E74" s="106"/>
      <c r="F74" s="105"/>
      <c r="G74" s="106"/>
      <c r="H74" s="175" t="s">
        <v>3324</v>
      </c>
      <c r="I74" s="176" t="s">
        <v>3325</v>
      </c>
      <c r="J74" s="176" t="s">
        <v>3325</v>
      </c>
      <c r="K74" s="176" t="s">
        <v>1235</v>
      </c>
      <c r="L74" s="145" t="s">
        <v>3326</v>
      </c>
      <c r="M74" s="45" t="str">
        <f t="shared" si="1"/>
        <v>OneCo Networks AS</v>
      </c>
      <c r="N74" s="40" t="str">
        <f ca="1">IFERROR(
VLOOKUP(BoM_Solar[[#This Row],[Product code]],
IF(AND((BoQ!$N$3&lt;&gt;""),OR(BoM_Solar[[#This Row],[Vendor]]="Griptel",BoM_Solar[[#This Row],[Vendor]]="Solar")),INDIRECT(Aux!$A$1)),4,FALSE),"")</f>
        <v/>
      </c>
      <c r="O74" s="169" t="s">
        <v>1807</v>
      </c>
      <c r="P74" s="41" t="str">
        <f>IFERROR(IF(AND(BoM_Solar[[#This Row],[Quantity]]&lt;&gt;"",BoM_Solar[[#This Row],[Currency]]="NOK"),BoM_Solar[[#This Row],[Quantity]]*BoM_Solar[[#This Row],[Unit Price]],""),"")</f>
        <v/>
      </c>
      <c r="Q74" s="41" t="str">
        <f>IFERROR(IF(AND(BoM_Solar[[#This Row],[ACT_Qty]]&lt;&gt;"",BoM_Solar[[#This Row],[Currency]]="NOK"),BoM_Solar[[#This Row],[ACT_Qty]]*BoM_Solar[[#This Row],[Unit Price]],""),"")</f>
        <v/>
      </c>
      <c r="R74" s="41" t="str">
        <f>IFERROR(IF(AND(BoM_Solar[[#This Row],[Quantity]]&lt;&gt;"",BoM_Solar[[#This Row],[Currency]]="EUR"),BoM_Solar[[#This Row],[Quantity]]*BoM_Solar[[#This Row],[Unit Price]],""),"")</f>
        <v/>
      </c>
      <c r="S74" s="41" t="str">
        <f>IFERROR(IF(AND(BoM_Solar[[#This Row],[ACT_Qty]]&lt;&gt;"",BoM_Solar[[#This Row],[Currency]]="EUR"),BoM_Solar[[#This Row],[ACT_Qty]]*BoM_Solar[[#This Row],[Unit Price]],""),"")</f>
        <v/>
      </c>
      <c r="T74" s="185"/>
      <c r="U74" s="45"/>
      <c r="V74" s="45"/>
      <c r="W74" s="45"/>
    </row>
    <row r="75" spans="1:23" ht="15" customHeight="1">
      <c r="A75" s="146" t="str">
        <f t="shared" si="0"/>
        <v>AKH12345</v>
      </c>
      <c r="B75" s="199">
        <v>2021819</v>
      </c>
      <c r="C75" s="200" t="s">
        <v>3393</v>
      </c>
      <c r="D75" s="105"/>
      <c r="E75" s="106"/>
      <c r="F75" s="105"/>
      <c r="G75" s="106"/>
      <c r="H75" s="175" t="s">
        <v>3324</v>
      </c>
      <c r="I75" s="176" t="s">
        <v>3325</v>
      </c>
      <c r="J75" s="176" t="s">
        <v>3325</v>
      </c>
      <c r="K75" s="176" t="s">
        <v>1235</v>
      </c>
      <c r="L75" s="145" t="s">
        <v>3326</v>
      </c>
      <c r="M75" s="45" t="str">
        <f t="shared" si="1"/>
        <v>OneCo Networks AS</v>
      </c>
      <c r="N75" s="40" t="str">
        <f ca="1">IFERROR(
VLOOKUP(BoM_Solar[[#This Row],[Product code]],
IF(AND((BoQ!$N$3&lt;&gt;""),OR(BoM_Solar[[#This Row],[Vendor]]="Griptel",BoM_Solar[[#This Row],[Vendor]]="Solar")),INDIRECT(Aux!$A$1)),4,FALSE),"")</f>
        <v/>
      </c>
      <c r="O75" s="169" t="s">
        <v>1807</v>
      </c>
      <c r="P75" s="41" t="str">
        <f>IFERROR(IF(AND(BoM_Solar[[#This Row],[Quantity]]&lt;&gt;"",BoM_Solar[[#This Row],[Currency]]="NOK"),BoM_Solar[[#This Row],[Quantity]]*BoM_Solar[[#This Row],[Unit Price]],""),"")</f>
        <v/>
      </c>
      <c r="Q75" s="41" t="str">
        <f>IFERROR(IF(AND(BoM_Solar[[#This Row],[ACT_Qty]]&lt;&gt;"",BoM_Solar[[#This Row],[Currency]]="NOK"),BoM_Solar[[#This Row],[ACT_Qty]]*BoM_Solar[[#This Row],[Unit Price]],""),"")</f>
        <v/>
      </c>
      <c r="R75" s="41" t="str">
        <f>IFERROR(IF(AND(BoM_Solar[[#This Row],[Quantity]]&lt;&gt;"",BoM_Solar[[#This Row],[Currency]]="EUR"),BoM_Solar[[#This Row],[Quantity]]*BoM_Solar[[#This Row],[Unit Price]],""),"")</f>
        <v/>
      </c>
      <c r="S75" s="41" t="str">
        <f>IFERROR(IF(AND(BoM_Solar[[#This Row],[ACT_Qty]]&lt;&gt;"",BoM_Solar[[#This Row],[Currency]]="EUR"),BoM_Solar[[#This Row],[ACT_Qty]]*BoM_Solar[[#This Row],[Unit Price]],""),"")</f>
        <v/>
      </c>
      <c r="T75" s="185"/>
      <c r="U75" s="45"/>
      <c r="V75" s="45"/>
      <c r="W75" s="45"/>
    </row>
    <row r="76" spans="1:23" ht="15" customHeight="1">
      <c r="A76" s="146" t="str">
        <f t="shared" si="0"/>
        <v>AKH12345</v>
      </c>
      <c r="B76" s="199">
        <v>2029708</v>
      </c>
      <c r="C76" s="200" t="s">
        <v>3394</v>
      </c>
      <c r="D76" s="105"/>
      <c r="E76" s="106"/>
      <c r="F76" s="105"/>
      <c r="G76" s="106"/>
      <c r="H76" s="175" t="s">
        <v>3324</v>
      </c>
      <c r="I76" s="176" t="s">
        <v>3325</v>
      </c>
      <c r="J76" s="176" t="s">
        <v>3325</v>
      </c>
      <c r="K76" s="176" t="s">
        <v>1235</v>
      </c>
      <c r="L76" s="145" t="s">
        <v>3326</v>
      </c>
      <c r="M76" s="45" t="str">
        <f t="shared" ref="M76:M136" si="2">IF($C$3&lt;&gt;"",$C$3,"")</f>
        <v>OneCo Networks AS</v>
      </c>
      <c r="N76" s="40" t="str">
        <f ca="1">IFERROR(
VLOOKUP(BoM_Solar[[#This Row],[Product code]],
IF(AND((BoQ!$N$3&lt;&gt;""),OR(BoM_Solar[[#This Row],[Vendor]]="Griptel",BoM_Solar[[#This Row],[Vendor]]="Solar")),INDIRECT(Aux!$A$1)),4,FALSE),"")</f>
        <v/>
      </c>
      <c r="O76" s="169" t="s">
        <v>1807</v>
      </c>
      <c r="P76" s="41" t="str">
        <f>IFERROR(IF(AND(BoM_Solar[[#This Row],[Quantity]]&lt;&gt;"",BoM_Solar[[#This Row],[Currency]]="NOK"),BoM_Solar[[#This Row],[Quantity]]*BoM_Solar[[#This Row],[Unit Price]],""),"")</f>
        <v/>
      </c>
      <c r="Q76" s="41" t="str">
        <f>IFERROR(IF(AND(BoM_Solar[[#This Row],[ACT_Qty]]&lt;&gt;"",BoM_Solar[[#This Row],[Currency]]="NOK"),BoM_Solar[[#This Row],[ACT_Qty]]*BoM_Solar[[#This Row],[Unit Price]],""),"")</f>
        <v/>
      </c>
      <c r="R76" s="41" t="str">
        <f>IFERROR(IF(AND(BoM_Solar[[#This Row],[Quantity]]&lt;&gt;"",BoM_Solar[[#This Row],[Currency]]="EUR"),BoM_Solar[[#This Row],[Quantity]]*BoM_Solar[[#This Row],[Unit Price]],""),"")</f>
        <v/>
      </c>
      <c r="S76" s="41" t="str">
        <f>IFERROR(IF(AND(BoM_Solar[[#This Row],[ACT_Qty]]&lt;&gt;"",BoM_Solar[[#This Row],[Currency]]="EUR"),BoM_Solar[[#This Row],[ACT_Qty]]*BoM_Solar[[#This Row],[Unit Price]],""),"")</f>
        <v/>
      </c>
      <c r="T76" s="185"/>
      <c r="U76" s="45"/>
      <c r="V76" s="45"/>
      <c r="W76" s="45"/>
    </row>
    <row r="77" spans="1:23" ht="15" customHeight="1">
      <c r="A77" s="146" t="str">
        <f t="shared" si="0"/>
        <v>AKH12345</v>
      </c>
      <c r="B77" s="199">
        <v>7902097</v>
      </c>
      <c r="C77" s="200" t="s">
        <v>3395</v>
      </c>
      <c r="D77" s="105"/>
      <c r="E77" s="106"/>
      <c r="F77" s="105"/>
      <c r="G77" s="106"/>
      <c r="H77" s="175" t="s">
        <v>3324</v>
      </c>
      <c r="I77" s="176" t="s">
        <v>3325</v>
      </c>
      <c r="J77" s="176" t="s">
        <v>3325</v>
      </c>
      <c r="K77" s="176" t="s">
        <v>1235</v>
      </c>
      <c r="L77" s="145" t="s">
        <v>3326</v>
      </c>
      <c r="M77" s="45" t="str">
        <f t="shared" si="2"/>
        <v>OneCo Networks AS</v>
      </c>
      <c r="N77" s="40" t="str">
        <f ca="1">IFERROR(
VLOOKUP(BoM_Solar[[#This Row],[Product code]],
IF(AND((BoQ!$N$3&lt;&gt;""),OR(BoM_Solar[[#This Row],[Vendor]]="Griptel",BoM_Solar[[#This Row],[Vendor]]="Solar")),INDIRECT(Aux!$A$1)),4,FALSE),"")</f>
        <v/>
      </c>
      <c r="O77" s="169" t="s">
        <v>1807</v>
      </c>
      <c r="P77" s="41" t="str">
        <f>IFERROR(IF(AND(BoM_Solar[[#This Row],[Quantity]]&lt;&gt;"",BoM_Solar[[#This Row],[Currency]]="NOK"),BoM_Solar[[#This Row],[Quantity]]*BoM_Solar[[#This Row],[Unit Price]],""),"")</f>
        <v/>
      </c>
      <c r="Q77" s="41" t="str">
        <f>IFERROR(IF(AND(BoM_Solar[[#This Row],[ACT_Qty]]&lt;&gt;"",BoM_Solar[[#This Row],[Currency]]="NOK"),BoM_Solar[[#This Row],[ACT_Qty]]*BoM_Solar[[#This Row],[Unit Price]],""),"")</f>
        <v/>
      </c>
      <c r="R77" s="41" t="str">
        <f>IFERROR(IF(AND(BoM_Solar[[#This Row],[Quantity]]&lt;&gt;"",BoM_Solar[[#This Row],[Currency]]="EUR"),BoM_Solar[[#This Row],[Quantity]]*BoM_Solar[[#This Row],[Unit Price]],""),"")</f>
        <v/>
      </c>
      <c r="S77" s="41" t="str">
        <f>IFERROR(IF(AND(BoM_Solar[[#This Row],[ACT_Qty]]&lt;&gt;"",BoM_Solar[[#This Row],[Currency]]="EUR"),BoM_Solar[[#This Row],[ACT_Qty]]*BoM_Solar[[#This Row],[Unit Price]],""),"")</f>
        <v/>
      </c>
      <c r="T77" s="185"/>
      <c r="U77" s="45"/>
      <c r="V77" s="45"/>
      <c r="W77" s="45"/>
    </row>
    <row r="78" spans="1:23" ht="15" customHeight="1">
      <c r="A78" s="146" t="str">
        <f t="shared" si="0"/>
        <v>AKH12345</v>
      </c>
      <c r="B78" s="199">
        <v>2467345</v>
      </c>
      <c r="C78" s="200" t="s">
        <v>3396</v>
      </c>
      <c r="D78" s="105"/>
      <c r="E78" s="106"/>
      <c r="F78" s="105"/>
      <c r="G78" s="106"/>
      <c r="H78" s="175" t="s">
        <v>3324</v>
      </c>
      <c r="I78" s="176" t="s">
        <v>3325</v>
      </c>
      <c r="J78" s="176" t="s">
        <v>3325</v>
      </c>
      <c r="K78" s="176" t="s">
        <v>1235</v>
      </c>
      <c r="L78" s="145" t="s">
        <v>3326</v>
      </c>
      <c r="M78" s="45" t="str">
        <f t="shared" si="2"/>
        <v>OneCo Networks AS</v>
      </c>
      <c r="N78" s="40" t="str">
        <f ca="1">IFERROR(
VLOOKUP(BoM_Solar[[#This Row],[Product code]],
IF(AND((BoQ!$N$3&lt;&gt;""),OR(BoM_Solar[[#This Row],[Vendor]]="Griptel",BoM_Solar[[#This Row],[Vendor]]="Solar")),INDIRECT(Aux!$A$1)),4,FALSE),"")</f>
        <v/>
      </c>
      <c r="O78" s="169" t="s">
        <v>1807</v>
      </c>
      <c r="P78" s="41" t="str">
        <f>IFERROR(IF(AND(BoM_Solar[[#This Row],[Quantity]]&lt;&gt;"",BoM_Solar[[#This Row],[Currency]]="NOK"),BoM_Solar[[#This Row],[Quantity]]*BoM_Solar[[#This Row],[Unit Price]],""),"")</f>
        <v/>
      </c>
      <c r="Q78" s="41" t="str">
        <f>IFERROR(IF(AND(BoM_Solar[[#This Row],[ACT_Qty]]&lt;&gt;"",BoM_Solar[[#This Row],[Currency]]="NOK"),BoM_Solar[[#This Row],[ACT_Qty]]*BoM_Solar[[#This Row],[Unit Price]],""),"")</f>
        <v/>
      </c>
      <c r="R78" s="41" t="str">
        <f>IFERROR(IF(AND(BoM_Solar[[#This Row],[Quantity]]&lt;&gt;"",BoM_Solar[[#This Row],[Currency]]="EUR"),BoM_Solar[[#This Row],[Quantity]]*BoM_Solar[[#This Row],[Unit Price]],""),"")</f>
        <v/>
      </c>
      <c r="S78" s="41" t="str">
        <f>IFERROR(IF(AND(BoM_Solar[[#This Row],[ACT_Qty]]&lt;&gt;"",BoM_Solar[[#This Row],[Currency]]="EUR"),BoM_Solar[[#This Row],[ACT_Qty]]*BoM_Solar[[#This Row],[Unit Price]],""),"")</f>
        <v/>
      </c>
      <c r="T78" s="185"/>
      <c r="U78" s="45"/>
      <c r="V78" s="45"/>
      <c r="W78" s="45"/>
    </row>
    <row r="79" spans="1:23" ht="15" customHeight="1">
      <c r="A79" s="146" t="str">
        <f t="shared" si="0"/>
        <v>AKH12345</v>
      </c>
      <c r="B79" s="199">
        <v>2030047</v>
      </c>
      <c r="C79" s="200" t="s">
        <v>3397</v>
      </c>
      <c r="D79" s="105"/>
      <c r="E79" s="106"/>
      <c r="F79" s="105"/>
      <c r="G79" s="106"/>
      <c r="H79" s="175" t="s">
        <v>3324</v>
      </c>
      <c r="I79" s="176" t="s">
        <v>3325</v>
      </c>
      <c r="J79" s="176" t="s">
        <v>3325</v>
      </c>
      <c r="K79" s="176" t="s">
        <v>1235</v>
      </c>
      <c r="L79" s="145" t="s">
        <v>3326</v>
      </c>
      <c r="M79" s="45" t="str">
        <f t="shared" si="2"/>
        <v>OneCo Networks AS</v>
      </c>
      <c r="N79" s="40" t="str">
        <f ca="1">IFERROR(
VLOOKUP(BoM_Solar[[#This Row],[Product code]],
IF(AND((BoQ!$N$3&lt;&gt;""),OR(BoM_Solar[[#This Row],[Vendor]]="Griptel",BoM_Solar[[#This Row],[Vendor]]="Solar")),INDIRECT(Aux!$A$1)),4,FALSE),"")</f>
        <v/>
      </c>
      <c r="O79" s="169" t="s">
        <v>1807</v>
      </c>
      <c r="P79" s="41" t="str">
        <f>IFERROR(IF(AND(BoM_Solar[[#This Row],[Quantity]]&lt;&gt;"",BoM_Solar[[#This Row],[Currency]]="NOK"),BoM_Solar[[#This Row],[Quantity]]*BoM_Solar[[#This Row],[Unit Price]],""),"")</f>
        <v/>
      </c>
      <c r="Q79" s="41" t="str">
        <f>IFERROR(IF(AND(BoM_Solar[[#This Row],[ACT_Qty]]&lt;&gt;"",BoM_Solar[[#This Row],[Currency]]="NOK"),BoM_Solar[[#This Row],[ACT_Qty]]*BoM_Solar[[#This Row],[Unit Price]],""),"")</f>
        <v/>
      </c>
      <c r="R79" s="41" t="str">
        <f>IFERROR(IF(AND(BoM_Solar[[#This Row],[Quantity]]&lt;&gt;"",BoM_Solar[[#This Row],[Currency]]="EUR"),BoM_Solar[[#This Row],[Quantity]]*BoM_Solar[[#This Row],[Unit Price]],""),"")</f>
        <v/>
      </c>
      <c r="S79" s="41" t="str">
        <f>IFERROR(IF(AND(BoM_Solar[[#This Row],[ACT_Qty]]&lt;&gt;"",BoM_Solar[[#This Row],[Currency]]="EUR"),BoM_Solar[[#This Row],[ACT_Qty]]*BoM_Solar[[#This Row],[Unit Price]],""),"")</f>
        <v/>
      </c>
      <c r="T79" s="185"/>
      <c r="U79" s="45"/>
      <c r="V79" s="45"/>
      <c r="W79" s="45"/>
    </row>
    <row r="80" spans="1:23" ht="15" customHeight="1">
      <c r="A80" s="146" t="str">
        <f t="shared" si="0"/>
        <v>AKH12345</v>
      </c>
      <c r="B80" s="199">
        <v>1808557</v>
      </c>
      <c r="C80" s="200" t="s">
        <v>3398</v>
      </c>
      <c r="D80" s="105"/>
      <c r="E80" s="106"/>
      <c r="F80" s="105"/>
      <c r="G80" s="106"/>
      <c r="H80" s="175" t="s">
        <v>3324</v>
      </c>
      <c r="I80" s="176" t="s">
        <v>3325</v>
      </c>
      <c r="J80" s="176" t="s">
        <v>3325</v>
      </c>
      <c r="K80" s="176" t="s">
        <v>1235</v>
      </c>
      <c r="L80" s="145" t="s">
        <v>3326</v>
      </c>
      <c r="M80" s="45" t="str">
        <f t="shared" si="2"/>
        <v>OneCo Networks AS</v>
      </c>
      <c r="N80" s="40" t="str">
        <f ca="1">IFERROR(
VLOOKUP(BoM_Solar[[#This Row],[Product code]],
IF(AND((BoQ!$N$3&lt;&gt;""),OR(BoM_Solar[[#This Row],[Vendor]]="Griptel",BoM_Solar[[#This Row],[Vendor]]="Solar")),INDIRECT(Aux!$A$1)),4,FALSE),"")</f>
        <v/>
      </c>
      <c r="O80" s="169" t="s">
        <v>1807</v>
      </c>
      <c r="P80" s="41" t="str">
        <f>IFERROR(IF(AND(BoM_Solar[[#This Row],[Quantity]]&lt;&gt;"",BoM_Solar[[#This Row],[Currency]]="NOK"),BoM_Solar[[#This Row],[Quantity]]*BoM_Solar[[#This Row],[Unit Price]],""),"")</f>
        <v/>
      </c>
      <c r="Q80" s="41" t="str">
        <f>IFERROR(IF(AND(BoM_Solar[[#This Row],[ACT_Qty]]&lt;&gt;"",BoM_Solar[[#This Row],[Currency]]="NOK"),BoM_Solar[[#This Row],[ACT_Qty]]*BoM_Solar[[#This Row],[Unit Price]],""),"")</f>
        <v/>
      </c>
      <c r="R80" s="41" t="str">
        <f>IFERROR(IF(AND(BoM_Solar[[#This Row],[Quantity]]&lt;&gt;"",BoM_Solar[[#This Row],[Currency]]="EUR"),BoM_Solar[[#This Row],[Quantity]]*BoM_Solar[[#This Row],[Unit Price]],""),"")</f>
        <v/>
      </c>
      <c r="S80" s="41" t="str">
        <f>IFERROR(IF(AND(BoM_Solar[[#This Row],[ACT_Qty]]&lt;&gt;"",BoM_Solar[[#This Row],[Currency]]="EUR"),BoM_Solar[[#This Row],[ACT_Qty]]*BoM_Solar[[#This Row],[Unit Price]],""),"")</f>
        <v/>
      </c>
      <c r="T80" s="185"/>
      <c r="U80" s="45"/>
      <c r="V80" s="45"/>
      <c r="W80" s="45"/>
    </row>
    <row r="81" spans="1:23" ht="15" customHeight="1">
      <c r="A81" s="146" t="str">
        <f t="shared" si="0"/>
        <v>AKH12345</v>
      </c>
      <c r="B81" s="199">
        <v>1808597</v>
      </c>
      <c r="C81" s="200" t="s">
        <v>3399</v>
      </c>
      <c r="D81" s="105"/>
      <c r="E81" s="106"/>
      <c r="F81" s="105"/>
      <c r="G81" s="106"/>
      <c r="H81" s="175" t="s">
        <v>3324</v>
      </c>
      <c r="I81" s="176" t="s">
        <v>3325</v>
      </c>
      <c r="J81" s="176" t="s">
        <v>3325</v>
      </c>
      <c r="K81" s="176" t="s">
        <v>1235</v>
      </c>
      <c r="L81" s="145" t="s">
        <v>3326</v>
      </c>
      <c r="M81" s="45" t="str">
        <f t="shared" si="2"/>
        <v>OneCo Networks AS</v>
      </c>
      <c r="N81" s="40" t="str">
        <f ca="1">IFERROR(
VLOOKUP(BoM_Solar[[#This Row],[Product code]],
IF(AND((BoQ!$N$3&lt;&gt;""),OR(BoM_Solar[[#This Row],[Vendor]]="Griptel",BoM_Solar[[#This Row],[Vendor]]="Solar")),INDIRECT(Aux!$A$1)),4,FALSE),"")</f>
        <v/>
      </c>
      <c r="O81" s="169" t="s">
        <v>1807</v>
      </c>
      <c r="P81" s="41" t="str">
        <f>IFERROR(IF(AND(BoM_Solar[[#This Row],[Quantity]]&lt;&gt;"",BoM_Solar[[#This Row],[Currency]]="NOK"),BoM_Solar[[#This Row],[Quantity]]*BoM_Solar[[#This Row],[Unit Price]],""),"")</f>
        <v/>
      </c>
      <c r="Q81" s="41" t="str">
        <f>IFERROR(IF(AND(BoM_Solar[[#This Row],[ACT_Qty]]&lt;&gt;"",BoM_Solar[[#This Row],[Currency]]="NOK"),BoM_Solar[[#This Row],[ACT_Qty]]*BoM_Solar[[#This Row],[Unit Price]],""),"")</f>
        <v/>
      </c>
      <c r="R81" s="41" t="str">
        <f>IFERROR(IF(AND(BoM_Solar[[#This Row],[Quantity]]&lt;&gt;"",BoM_Solar[[#This Row],[Currency]]="EUR"),BoM_Solar[[#This Row],[Quantity]]*BoM_Solar[[#This Row],[Unit Price]],""),"")</f>
        <v/>
      </c>
      <c r="S81" s="41" t="str">
        <f>IFERROR(IF(AND(BoM_Solar[[#This Row],[ACT_Qty]]&lt;&gt;"",BoM_Solar[[#This Row],[Currency]]="EUR"),BoM_Solar[[#This Row],[ACT_Qty]]*BoM_Solar[[#This Row],[Unit Price]],""),"")</f>
        <v/>
      </c>
      <c r="T81" s="185"/>
      <c r="U81" s="45"/>
      <c r="V81" s="45"/>
      <c r="W81" s="45"/>
    </row>
    <row r="82" spans="1:23" ht="15" customHeight="1">
      <c r="A82" s="146" t="str">
        <f t="shared" si="0"/>
        <v>AKH12345</v>
      </c>
      <c r="B82" s="199">
        <v>2017380</v>
      </c>
      <c r="C82" s="200" t="s">
        <v>3400</v>
      </c>
      <c r="D82" s="105"/>
      <c r="E82" s="106"/>
      <c r="F82" s="105"/>
      <c r="G82" s="106"/>
      <c r="H82" s="175" t="s">
        <v>3324</v>
      </c>
      <c r="I82" s="176" t="s">
        <v>3325</v>
      </c>
      <c r="J82" s="176" t="s">
        <v>3325</v>
      </c>
      <c r="K82" s="176" t="s">
        <v>1235</v>
      </c>
      <c r="L82" s="145" t="s">
        <v>3326</v>
      </c>
      <c r="M82" s="45" t="str">
        <f t="shared" si="2"/>
        <v>OneCo Networks AS</v>
      </c>
      <c r="N82" s="40" t="str">
        <f ca="1">IFERROR(
VLOOKUP(BoM_Solar[[#This Row],[Product code]],
IF(AND((BoQ!$N$3&lt;&gt;""),OR(BoM_Solar[[#This Row],[Vendor]]="Griptel",BoM_Solar[[#This Row],[Vendor]]="Solar")),INDIRECT(Aux!$A$1)),4,FALSE),"")</f>
        <v/>
      </c>
      <c r="O82" s="169" t="s">
        <v>1807</v>
      </c>
      <c r="P82" s="41" t="str">
        <f>IFERROR(IF(AND(BoM_Solar[[#This Row],[Quantity]]&lt;&gt;"",BoM_Solar[[#This Row],[Currency]]="NOK"),BoM_Solar[[#This Row],[Quantity]]*BoM_Solar[[#This Row],[Unit Price]],""),"")</f>
        <v/>
      </c>
      <c r="Q82" s="41" t="str">
        <f>IFERROR(IF(AND(BoM_Solar[[#This Row],[ACT_Qty]]&lt;&gt;"",BoM_Solar[[#This Row],[Currency]]="NOK"),BoM_Solar[[#This Row],[ACT_Qty]]*BoM_Solar[[#This Row],[Unit Price]],""),"")</f>
        <v/>
      </c>
      <c r="R82" s="41" t="str">
        <f>IFERROR(IF(AND(BoM_Solar[[#This Row],[Quantity]]&lt;&gt;"",BoM_Solar[[#This Row],[Currency]]="EUR"),BoM_Solar[[#This Row],[Quantity]]*BoM_Solar[[#This Row],[Unit Price]],""),"")</f>
        <v/>
      </c>
      <c r="S82" s="41" t="str">
        <f>IFERROR(IF(AND(BoM_Solar[[#This Row],[ACT_Qty]]&lt;&gt;"",BoM_Solar[[#This Row],[Currency]]="EUR"),BoM_Solar[[#This Row],[ACT_Qty]]*BoM_Solar[[#This Row],[Unit Price]],""),"")</f>
        <v/>
      </c>
      <c r="T82" s="185"/>
      <c r="U82" s="45"/>
      <c r="V82" s="45"/>
      <c r="W82" s="45"/>
    </row>
    <row r="83" spans="1:23" ht="15" customHeight="1">
      <c r="A83" s="146" t="str">
        <f t="shared" si="0"/>
        <v>AKH12345</v>
      </c>
      <c r="B83" s="199">
        <v>2030132</v>
      </c>
      <c r="C83" s="200" t="s">
        <v>3401</v>
      </c>
      <c r="D83" s="105"/>
      <c r="E83" s="106"/>
      <c r="F83" s="105"/>
      <c r="G83" s="106"/>
      <c r="H83" s="175" t="s">
        <v>3324</v>
      </c>
      <c r="I83" s="176" t="s">
        <v>3325</v>
      </c>
      <c r="J83" s="176" t="s">
        <v>3325</v>
      </c>
      <c r="K83" s="176" t="s">
        <v>1235</v>
      </c>
      <c r="L83" s="145" t="s">
        <v>3326</v>
      </c>
      <c r="M83" s="45" t="str">
        <f t="shared" si="2"/>
        <v>OneCo Networks AS</v>
      </c>
      <c r="N83" s="40" t="str">
        <f ca="1">IFERROR(
VLOOKUP(BoM_Solar[[#This Row],[Product code]],
IF(AND((BoQ!$N$3&lt;&gt;""),OR(BoM_Solar[[#This Row],[Vendor]]="Griptel",BoM_Solar[[#This Row],[Vendor]]="Solar")),INDIRECT(Aux!$A$1)),4,FALSE),"")</f>
        <v/>
      </c>
      <c r="O83" s="169" t="s">
        <v>1807</v>
      </c>
      <c r="P83" s="41" t="str">
        <f>IFERROR(IF(AND(BoM_Solar[[#This Row],[Quantity]]&lt;&gt;"",BoM_Solar[[#This Row],[Currency]]="NOK"),BoM_Solar[[#This Row],[Quantity]]*BoM_Solar[[#This Row],[Unit Price]],""),"")</f>
        <v/>
      </c>
      <c r="Q83" s="41" t="str">
        <f>IFERROR(IF(AND(BoM_Solar[[#This Row],[ACT_Qty]]&lt;&gt;"",BoM_Solar[[#This Row],[Currency]]="NOK"),BoM_Solar[[#This Row],[ACT_Qty]]*BoM_Solar[[#This Row],[Unit Price]],""),"")</f>
        <v/>
      </c>
      <c r="R83" s="41" t="str">
        <f>IFERROR(IF(AND(BoM_Solar[[#This Row],[Quantity]]&lt;&gt;"",BoM_Solar[[#This Row],[Currency]]="EUR"),BoM_Solar[[#This Row],[Quantity]]*BoM_Solar[[#This Row],[Unit Price]],""),"")</f>
        <v/>
      </c>
      <c r="S83" s="41" t="str">
        <f>IFERROR(IF(AND(BoM_Solar[[#This Row],[ACT_Qty]]&lt;&gt;"",BoM_Solar[[#This Row],[Currency]]="EUR"),BoM_Solar[[#This Row],[ACT_Qty]]*BoM_Solar[[#This Row],[Unit Price]],""),"")</f>
        <v/>
      </c>
      <c r="T83" s="185"/>
      <c r="U83" s="45"/>
      <c r="V83" s="45"/>
      <c r="W83" s="45"/>
    </row>
    <row r="84" spans="1:23" ht="15" customHeight="1">
      <c r="A84" s="146" t="str">
        <f t="shared" si="0"/>
        <v>AKH12345</v>
      </c>
      <c r="B84" s="199">
        <v>1345042</v>
      </c>
      <c r="C84" s="200" t="s">
        <v>3402</v>
      </c>
      <c r="D84" s="105"/>
      <c r="E84" s="106"/>
      <c r="F84" s="105"/>
      <c r="G84" s="106"/>
      <c r="H84" s="175" t="s">
        <v>3324</v>
      </c>
      <c r="I84" s="176" t="s">
        <v>3325</v>
      </c>
      <c r="J84" s="176" t="s">
        <v>3325</v>
      </c>
      <c r="K84" s="176" t="s">
        <v>1235</v>
      </c>
      <c r="L84" s="145" t="s">
        <v>3326</v>
      </c>
      <c r="M84" s="45" t="str">
        <f t="shared" si="2"/>
        <v>OneCo Networks AS</v>
      </c>
      <c r="N84" s="40" t="str">
        <f ca="1">IFERROR(
VLOOKUP(BoM_Solar[[#This Row],[Product code]],
IF(AND((BoQ!$N$3&lt;&gt;""),OR(BoM_Solar[[#This Row],[Vendor]]="Griptel",BoM_Solar[[#This Row],[Vendor]]="Solar")),INDIRECT(Aux!$A$1)),4,FALSE),"")</f>
        <v/>
      </c>
      <c r="O84" s="169" t="s">
        <v>1807</v>
      </c>
      <c r="P84" s="41" t="str">
        <f>IFERROR(IF(AND(BoM_Solar[[#This Row],[Quantity]]&lt;&gt;"",BoM_Solar[[#This Row],[Currency]]="NOK"),BoM_Solar[[#This Row],[Quantity]]*BoM_Solar[[#This Row],[Unit Price]],""),"")</f>
        <v/>
      </c>
      <c r="Q84" s="41" t="str">
        <f>IFERROR(IF(AND(BoM_Solar[[#This Row],[ACT_Qty]]&lt;&gt;"",BoM_Solar[[#This Row],[Currency]]="NOK"),BoM_Solar[[#This Row],[ACT_Qty]]*BoM_Solar[[#This Row],[Unit Price]],""),"")</f>
        <v/>
      </c>
      <c r="R84" s="41" t="str">
        <f>IFERROR(IF(AND(BoM_Solar[[#This Row],[Quantity]]&lt;&gt;"",BoM_Solar[[#This Row],[Currency]]="EUR"),BoM_Solar[[#This Row],[Quantity]]*BoM_Solar[[#This Row],[Unit Price]],""),"")</f>
        <v/>
      </c>
      <c r="S84" s="41" t="str">
        <f>IFERROR(IF(AND(BoM_Solar[[#This Row],[ACT_Qty]]&lt;&gt;"",BoM_Solar[[#This Row],[Currency]]="EUR"),BoM_Solar[[#This Row],[ACT_Qty]]*BoM_Solar[[#This Row],[Unit Price]],""),"")</f>
        <v/>
      </c>
      <c r="T84" s="185"/>
      <c r="U84" s="45"/>
      <c r="V84" s="45"/>
      <c r="W84" s="45"/>
    </row>
    <row r="85" spans="1:23" ht="15" customHeight="1">
      <c r="A85" s="146" t="str">
        <f t="shared" si="0"/>
        <v>AKH12345</v>
      </c>
      <c r="B85" s="199">
        <v>2030041</v>
      </c>
      <c r="C85" s="200" t="s">
        <v>3403</v>
      </c>
      <c r="D85" s="105"/>
      <c r="E85" s="106"/>
      <c r="F85" s="105"/>
      <c r="G85" s="106"/>
      <c r="H85" s="175" t="s">
        <v>3324</v>
      </c>
      <c r="I85" s="176" t="s">
        <v>3325</v>
      </c>
      <c r="J85" s="176" t="s">
        <v>3325</v>
      </c>
      <c r="K85" s="176" t="s">
        <v>1235</v>
      </c>
      <c r="L85" s="145" t="s">
        <v>3326</v>
      </c>
      <c r="M85" s="45" t="str">
        <f t="shared" si="2"/>
        <v>OneCo Networks AS</v>
      </c>
      <c r="N85" s="40" t="str">
        <f ca="1">IFERROR(
VLOOKUP(BoM_Solar[[#This Row],[Product code]],
IF(AND((BoQ!$N$3&lt;&gt;""),OR(BoM_Solar[[#This Row],[Vendor]]="Griptel",BoM_Solar[[#This Row],[Vendor]]="Solar")),INDIRECT(Aux!$A$1)),4,FALSE),"")</f>
        <v/>
      </c>
      <c r="O85" s="169" t="s">
        <v>1807</v>
      </c>
      <c r="P85" s="41" t="str">
        <f>IFERROR(IF(AND(BoM_Solar[[#This Row],[Quantity]]&lt;&gt;"",BoM_Solar[[#This Row],[Currency]]="NOK"),BoM_Solar[[#This Row],[Quantity]]*BoM_Solar[[#This Row],[Unit Price]],""),"")</f>
        <v/>
      </c>
      <c r="Q85" s="41" t="str">
        <f>IFERROR(IF(AND(BoM_Solar[[#This Row],[ACT_Qty]]&lt;&gt;"",BoM_Solar[[#This Row],[Currency]]="NOK"),BoM_Solar[[#This Row],[ACT_Qty]]*BoM_Solar[[#This Row],[Unit Price]],""),"")</f>
        <v/>
      </c>
      <c r="R85" s="41" t="str">
        <f>IFERROR(IF(AND(BoM_Solar[[#This Row],[Quantity]]&lt;&gt;"",BoM_Solar[[#This Row],[Currency]]="EUR"),BoM_Solar[[#This Row],[Quantity]]*BoM_Solar[[#This Row],[Unit Price]],""),"")</f>
        <v/>
      </c>
      <c r="S85" s="41" t="str">
        <f>IFERROR(IF(AND(BoM_Solar[[#This Row],[ACT_Qty]]&lt;&gt;"",BoM_Solar[[#This Row],[Currency]]="EUR"),BoM_Solar[[#This Row],[ACT_Qty]]*BoM_Solar[[#This Row],[Unit Price]],""),"")</f>
        <v/>
      </c>
      <c r="T85" s="185"/>
      <c r="U85" s="45"/>
      <c r="V85" s="45"/>
      <c r="W85" s="45"/>
    </row>
    <row r="86" spans="1:23" ht="15" customHeight="1">
      <c r="A86" s="146" t="str">
        <f t="shared" si="0"/>
        <v>AKH12345</v>
      </c>
      <c r="B86" s="199">
        <v>1339926</v>
      </c>
      <c r="C86" s="200" t="s">
        <v>3404</v>
      </c>
      <c r="D86" s="105"/>
      <c r="E86" s="106"/>
      <c r="F86" s="105"/>
      <c r="G86" s="106"/>
      <c r="H86" s="175" t="s">
        <v>3324</v>
      </c>
      <c r="I86" s="176" t="s">
        <v>3325</v>
      </c>
      <c r="J86" s="176" t="s">
        <v>3325</v>
      </c>
      <c r="K86" s="176" t="s">
        <v>1235</v>
      </c>
      <c r="L86" s="145" t="s">
        <v>3326</v>
      </c>
      <c r="M86" s="45" t="str">
        <f t="shared" si="2"/>
        <v>OneCo Networks AS</v>
      </c>
      <c r="N86" s="40" t="str">
        <f ca="1">IFERROR(
VLOOKUP(BoM_Solar[[#This Row],[Product code]],
IF(AND((BoQ!$N$3&lt;&gt;""),OR(BoM_Solar[[#This Row],[Vendor]]="Griptel",BoM_Solar[[#This Row],[Vendor]]="Solar")),INDIRECT(Aux!$A$1)),4,FALSE),"")</f>
        <v/>
      </c>
      <c r="O86" s="169" t="s">
        <v>1807</v>
      </c>
      <c r="P86" s="41" t="str">
        <f>IFERROR(IF(AND(BoM_Solar[[#This Row],[Quantity]]&lt;&gt;"",BoM_Solar[[#This Row],[Currency]]="NOK"),BoM_Solar[[#This Row],[Quantity]]*BoM_Solar[[#This Row],[Unit Price]],""),"")</f>
        <v/>
      </c>
      <c r="Q86" s="41" t="str">
        <f>IFERROR(IF(AND(BoM_Solar[[#This Row],[ACT_Qty]]&lt;&gt;"",BoM_Solar[[#This Row],[Currency]]="NOK"),BoM_Solar[[#This Row],[ACT_Qty]]*BoM_Solar[[#This Row],[Unit Price]],""),"")</f>
        <v/>
      </c>
      <c r="R86" s="41" t="str">
        <f>IFERROR(IF(AND(BoM_Solar[[#This Row],[Quantity]]&lt;&gt;"",BoM_Solar[[#This Row],[Currency]]="EUR"),BoM_Solar[[#This Row],[Quantity]]*BoM_Solar[[#This Row],[Unit Price]],""),"")</f>
        <v/>
      </c>
      <c r="S86" s="41" t="str">
        <f>IFERROR(IF(AND(BoM_Solar[[#This Row],[ACT_Qty]]&lt;&gt;"",BoM_Solar[[#This Row],[Currency]]="EUR"),BoM_Solar[[#This Row],[ACT_Qty]]*BoM_Solar[[#This Row],[Unit Price]],""),"")</f>
        <v/>
      </c>
      <c r="T86" s="185"/>
      <c r="U86" s="45"/>
      <c r="V86" s="45"/>
      <c r="W86" s="45"/>
    </row>
    <row r="87" spans="1:23" ht="15" customHeight="1">
      <c r="A87" s="146" t="str">
        <f t="shared" si="0"/>
        <v>AKH12345</v>
      </c>
      <c r="B87" s="199">
        <v>8818635</v>
      </c>
      <c r="C87" s="200" t="s">
        <v>3405</v>
      </c>
      <c r="D87" s="105"/>
      <c r="E87" s="106"/>
      <c r="F87" s="105"/>
      <c r="G87" s="106"/>
      <c r="H87" s="175" t="s">
        <v>3324</v>
      </c>
      <c r="I87" s="176" t="s">
        <v>3325</v>
      </c>
      <c r="J87" s="176" t="s">
        <v>3325</v>
      </c>
      <c r="K87" s="176" t="s">
        <v>1235</v>
      </c>
      <c r="L87" s="145" t="s">
        <v>3326</v>
      </c>
      <c r="M87" s="45" t="str">
        <f t="shared" si="2"/>
        <v>OneCo Networks AS</v>
      </c>
      <c r="N87" s="40" t="str">
        <f ca="1">IFERROR(
VLOOKUP(BoM_Solar[[#This Row],[Product code]],
IF(AND((BoQ!$N$3&lt;&gt;""),OR(BoM_Solar[[#This Row],[Vendor]]="Griptel",BoM_Solar[[#This Row],[Vendor]]="Solar")),INDIRECT(Aux!$A$1)),4,FALSE),"")</f>
        <v/>
      </c>
      <c r="O87" s="169" t="s">
        <v>1807</v>
      </c>
      <c r="P87" s="41" t="str">
        <f>IFERROR(IF(AND(BoM_Solar[[#This Row],[Quantity]]&lt;&gt;"",BoM_Solar[[#This Row],[Currency]]="NOK"),BoM_Solar[[#This Row],[Quantity]]*BoM_Solar[[#This Row],[Unit Price]],""),"")</f>
        <v/>
      </c>
      <c r="Q87" s="41" t="str">
        <f>IFERROR(IF(AND(BoM_Solar[[#This Row],[ACT_Qty]]&lt;&gt;"",BoM_Solar[[#This Row],[Currency]]="NOK"),BoM_Solar[[#This Row],[ACT_Qty]]*BoM_Solar[[#This Row],[Unit Price]],""),"")</f>
        <v/>
      </c>
      <c r="R87" s="41" t="str">
        <f>IFERROR(IF(AND(BoM_Solar[[#This Row],[Quantity]]&lt;&gt;"",BoM_Solar[[#This Row],[Currency]]="EUR"),BoM_Solar[[#This Row],[Quantity]]*BoM_Solar[[#This Row],[Unit Price]],""),"")</f>
        <v/>
      </c>
      <c r="S87" s="41" t="str">
        <f>IFERROR(IF(AND(BoM_Solar[[#This Row],[ACT_Qty]]&lt;&gt;"",BoM_Solar[[#This Row],[Currency]]="EUR"),BoM_Solar[[#This Row],[ACT_Qty]]*BoM_Solar[[#This Row],[Unit Price]],""),"")</f>
        <v/>
      </c>
      <c r="T87" s="185"/>
      <c r="U87" s="45"/>
      <c r="V87" s="45"/>
      <c r="W87" s="45"/>
    </row>
    <row r="88" spans="1:23" ht="15" customHeight="1">
      <c r="A88" s="146" t="str">
        <f t="shared" si="0"/>
        <v>AKH12345</v>
      </c>
      <c r="B88" s="199">
        <v>1200236</v>
      </c>
      <c r="C88" s="200" t="s">
        <v>3406</v>
      </c>
      <c r="D88" s="105"/>
      <c r="E88" s="106"/>
      <c r="F88" s="105"/>
      <c r="G88" s="106"/>
      <c r="H88" s="175" t="s">
        <v>3324</v>
      </c>
      <c r="I88" s="176" t="s">
        <v>3325</v>
      </c>
      <c r="J88" s="176" t="s">
        <v>3325</v>
      </c>
      <c r="K88" s="176" t="s">
        <v>1235</v>
      </c>
      <c r="L88" s="145" t="s">
        <v>3326</v>
      </c>
      <c r="M88" s="45" t="str">
        <f t="shared" si="2"/>
        <v>OneCo Networks AS</v>
      </c>
      <c r="N88" s="40" t="str">
        <f ca="1">IFERROR(
VLOOKUP(BoM_Solar[[#This Row],[Product code]],
IF(AND((BoQ!$N$3&lt;&gt;""),OR(BoM_Solar[[#This Row],[Vendor]]="Griptel",BoM_Solar[[#This Row],[Vendor]]="Solar")),INDIRECT(Aux!$A$1)),4,FALSE),"")</f>
        <v/>
      </c>
      <c r="O88" s="169" t="s">
        <v>1807</v>
      </c>
      <c r="P88" s="41" t="str">
        <f>IFERROR(IF(AND(BoM_Solar[[#This Row],[Quantity]]&lt;&gt;"",BoM_Solar[[#This Row],[Currency]]="NOK"),BoM_Solar[[#This Row],[Quantity]]*BoM_Solar[[#This Row],[Unit Price]],""),"")</f>
        <v/>
      </c>
      <c r="Q88" s="41" t="str">
        <f>IFERROR(IF(AND(BoM_Solar[[#This Row],[ACT_Qty]]&lt;&gt;"",BoM_Solar[[#This Row],[Currency]]="NOK"),BoM_Solar[[#This Row],[ACT_Qty]]*BoM_Solar[[#This Row],[Unit Price]],""),"")</f>
        <v/>
      </c>
      <c r="R88" s="41" t="str">
        <f>IFERROR(IF(AND(BoM_Solar[[#This Row],[Quantity]]&lt;&gt;"",BoM_Solar[[#This Row],[Currency]]="EUR"),BoM_Solar[[#This Row],[Quantity]]*BoM_Solar[[#This Row],[Unit Price]],""),"")</f>
        <v/>
      </c>
      <c r="S88" s="41" t="str">
        <f>IFERROR(IF(AND(BoM_Solar[[#This Row],[ACT_Qty]]&lt;&gt;"",BoM_Solar[[#This Row],[Currency]]="EUR"),BoM_Solar[[#This Row],[ACT_Qty]]*BoM_Solar[[#This Row],[Unit Price]],""),"")</f>
        <v/>
      </c>
      <c r="T88" s="185"/>
      <c r="U88" s="45"/>
      <c r="V88" s="45"/>
      <c r="W88" s="45"/>
    </row>
    <row r="89" spans="1:23" ht="15" customHeight="1">
      <c r="A89" s="146" t="str">
        <f t="shared" si="0"/>
        <v>AKH12345</v>
      </c>
      <c r="B89" s="199">
        <v>1200235</v>
      </c>
      <c r="C89" s="200" t="s">
        <v>3407</v>
      </c>
      <c r="D89" s="105"/>
      <c r="E89" s="106"/>
      <c r="F89" s="105"/>
      <c r="G89" s="106"/>
      <c r="H89" s="175" t="s">
        <v>3324</v>
      </c>
      <c r="I89" s="176" t="s">
        <v>3325</v>
      </c>
      <c r="J89" s="176" t="s">
        <v>3325</v>
      </c>
      <c r="K89" s="176" t="s">
        <v>1235</v>
      </c>
      <c r="L89" s="145" t="s">
        <v>3326</v>
      </c>
      <c r="M89" s="45" t="str">
        <f t="shared" si="2"/>
        <v>OneCo Networks AS</v>
      </c>
      <c r="N89" s="40" t="str">
        <f ca="1">IFERROR(
VLOOKUP(BoM_Solar[[#This Row],[Product code]],
IF(AND((BoQ!$N$3&lt;&gt;""),OR(BoM_Solar[[#This Row],[Vendor]]="Griptel",BoM_Solar[[#This Row],[Vendor]]="Solar")),INDIRECT(Aux!$A$1)),4,FALSE),"")</f>
        <v/>
      </c>
      <c r="O89" s="169" t="s">
        <v>1807</v>
      </c>
      <c r="P89" s="41" t="str">
        <f>IFERROR(IF(AND(BoM_Solar[[#This Row],[Quantity]]&lt;&gt;"",BoM_Solar[[#This Row],[Currency]]="NOK"),BoM_Solar[[#This Row],[Quantity]]*BoM_Solar[[#This Row],[Unit Price]],""),"")</f>
        <v/>
      </c>
      <c r="Q89" s="41" t="str">
        <f>IFERROR(IF(AND(BoM_Solar[[#This Row],[ACT_Qty]]&lt;&gt;"",BoM_Solar[[#This Row],[Currency]]="NOK"),BoM_Solar[[#This Row],[ACT_Qty]]*BoM_Solar[[#This Row],[Unit Price]],""),"")</f>
        <v/>
      </c>
      <c r="R89" s="41" t="str">
        <f>IFERROR(IF(AND(BoM_Solar[[#This Row],[Quantity]]&lt;&gt;"",BoM_Solar[[#This Row],[Currency]]="EUR"),BoM_Solar[[#This Row],[Quantity]]*BoM_Solar[[#This Row],[Unit Price]],""),"")</f>
        <v/>
      </c>
      <c r="S89" s="41" t="str">
        <f>IFERROR(IF(AND(BoM_Solar[[#This Row],[ACT_Qty]]&lt;&gt;"",BoM_Solar[[#This Row],[Currency]]="EUR"),BoM_Solar[[#This Row],[ACT_Qty]]*BoM_Solar[[#This Row],[Unit Price]],""),"")</f>
        <v/>
      </c>
      <c r="T89" s="185"/>
      <c r="U89" s="45"/>
      <c r="V89" s="45"/>
      <c r="W89" s="45"/>
    </row>
    <row r="90" spans="1:23" ht="15" customHeight="1">
      <c r="A90" s="146" t="str">
        <f t="shared" si="0"/>
        <v>AKH12345</v>
      </c>
      <c r="B90" s="199">
        <v>1200240</v>
      </c>
      <c r="C90" s="200" t="s">
        <v>3408</v>
      </c>
      <c r="D90" s="105"/>
      <c r="E90" s="106"/>
      <c r="F90" s="105"/>
      <c r="G90" s="106"/>
      <c r="H90" s="175" t="s">
        <v>3324</v>
      </c>
      <c r="I90" s="176" t="s">
        <v>3325</v>
      </c>
      <c r="J90" s="176" t="s">
        <v>3325</v>
      </c>
      <c r="K90" s="176" t="s">
        <v>1235</v>
      </c>
      <c r="L90" s="145" t="s">
        <v>3326</v>
      </c>
      <c r="M90" s="45" t="str">
        <f t="shared" si="2"/>
        <v>OneCo Networks AS</v>
      </c>
      <c r="N90" s="40" t="str">
        <f ca="1">IFERROR(
VLOOKUP(BoM_Solar[[#This Row],[Product code]],
IF(AND((BoQ!$N$3&lt;&gt;""),OR(BoM_Solar[[#This Row],[Vendor]]="Griptel",BoM_Solar[[#This Row],[Vendor]]="Solar")),INDIRECT(Aux!$A$1)),4,FALSE),"")</f>
        <v/>
      </c>
      <c r="O90" s="169" t="s">
        <v>1807</v>
      </c>
      <c r="P90" s="41" t="str">
        <f>IFERROR(IF(AND(BoM_Solar[[#This Row],[Quantity]]&lt;&gt;"",BoM_Solar[[#This Row],[Currency]]="NOK"),BoM_Solar[[#This Row],[Quantity]]*BoM_Solar[[#This Row],[Unit Price]],""),"")</f>
        <v/>
      </c>
      <c r="Q90" s="41" t="str">
        <f>IFERROR(IF(AND(BoM_Solar[[#This Row],[ACT_Qty]]&lt;&gt;"",BoM_Solar[[#This Row],[Currency]]="NOK"),BoM_Solar[[#This Row],[ACT_Qty]]*BoM_Solar[[#This Row],[Unit Price]],""),"")</f>
        <v/>
      </c>
      <c r="R90" s="41" t="str">
        <f>IFERROR(IF(AND(BoM_Solar[[#This Row],[Quantity]]&lt;&gt;"",BoM_Solar[[#This Row],[Currency]]="EUR"),BoM_Solar[[#This Row],[Quantity]]*BoM_Solar[[#This Row],[Unit Price]],""),"")</f>
        <v/>
      </c>
      <c r="S90" s="41" t="str">
        <f>IFERROR(IF(AND(BoM_Solar[[#This Row],[ACT_Qty]]&lt;&gt;"",BoM_Solar[[#This Row],[Currency]]="EUR"),BoM_Solar[[#This Row],[ACT_Qty]]*BoM_Solar[[#This Row],[Unit Price]],""),"")</f>
        <v/>
      </c>
      <c r="T90" s="185"/>
      <c r="U90" s="45"/>
      <c r="V90" s="45"/>
      <c r="W90" s="45"/>
    </row>
    <row r="91" spans="1:23" ht="15" customHeight="1">
      <c r="A91" s="146" t="str">
        <f t="shared" si="0"/>
        <v>AKH12345</v>
      </c>
      <c r="B91" s="199">
        <v>1202106</v>
      </c>
      <c r="C91" s="200" t="s">
        <v>3409</v>
      </c>
      <c r="D91" s="105"/>
      <c r="E91" s="106"/>
      <c r="F91" s="105"/>
      <c r="G91" s="106"/>
      <c r="H91" s="175" t="s">
        <v>3324</v>
      </c>
      <c r="I91" s="176" t="s">
        <v>3325</v>
      </c>
      <c r="J91" s="176" t="s">
        <v>3325</v>
      </c>
      <c r="K91" s="176" t="s">
        <v>1235</v>
      </c>
      <c r="L91" s="145" t="s">
        <v>3326</v>
      </c>
      <c r="M91" s="45" t="str">
        <f t="shared" si="2"/>
        <v>OneCo Networks AS</v>
      </c>
      <c r="N91" s="40" t="str">
        <f ca="1">IFERROR(
VLOOKUP(BoM_Solar[[#This Row],[Product code]],
IF(AND((BoQ!$N$3&lt;&gt;""),OR(BoM_Solar[[#This Row],[Vendor]]="Griptel",BoM_Solar[[#This Row],[Vendor]]="Solar")),INDIRECT(Aux!$A$1)),4,FALSE),"")</f>
        <v/>
      </c>
      <c r="O91" s="169" t="s">
        <v>1807</v>
      </c>
      <c r="P91" s="41" t="str">
        <f>IFERROR(IF(AND(BoM_Solar[[#This Row],[Quantity]]&lt;&gt;"",BoM_Solar[[#This Row],[Currency]]="NOK"),BoM_Solar[[#This Row],[Quantity]]*BoM_Solar[[#This Row],[Unit Price]],""),"")</f>
        <v/>
      </c>
      <c r="Q91" s="41" t="str">
        <f>IFERROR(IF(AND(BoM_Solar[[#This Row],[ACT_Qty]]&lt;&gt;"",BoM_Solar[[#This Row],[Currency]]="NOK"),BoM_Solar[[#This Row],[ACT_Qty]]*BoM_Solar[[#This Row],[Unit Price]],""),"")</f>
        <v/>
      </c>
      <c r="R91" s="41" t="str">
        <f>IFERROR(IF(AND(BoM_Solar[[#This Row],[Quantity]]&lt;&gt;"",BoM_Solar[[#This Row],[Currency]]="EUR"),BoM_Solar[[#This Row],[Quantity]]*BoM_Solar[[#This Row],[Unit Price]],""),"")</f>
        <v/>
      </c>
      <c r="S91" s="41" t="str">
        <f>IFERROR(IF(AND(BoM_Solar[[#This Row],[ACT_Qty]]&lt;&gt;"",BoM_Solar[[#This Row],[Currency]]="EUR"),BoM_Solar[[#This Row],[ACT_Qty]]*BoM_Solar[[#This Row],[Unit Price]],""),"")</f>
        <v/>
      </c>
      <c r="T91" s="185"/>
      <c r="U91" s="45"/>
      <c r="V91" s="45"/>
      <c r="W91" s="45"/>
    </row>
    <row r="92" spans="1:23" ht="15" customHeight="1">
      <c r="A92" s="146" t="str">
        <f t="shared" si="0"/>
        <v>AKH12345</v>
      </c>
      <c r="B92" s="199">
        <v>6918687</v>
      </c>
      <c r="C92" s="200" t="s">
        <v>3410</v>
      </c>
      <c r="D92" s="105"/>
      <c r="E92" s="106"/>
      <c r="F92" s="105"/>
      <c r="G92" s="106"/>
      <c r="H92" s="175" t="s">
        <v>3324</v>
      </c>
      <c r="I92" s="176" t="s">
        <v>3325</v>
      </c>
      <c r="J92" s="176" t="s">
        <v>3325</v>
      </c>
      <c r="K92" s="176" t="s">
        <v>1235</v>
      </c>
      <c r="L92" s="145" t="s">
        <v>3326</v>
      </c>
      <c r="M92" s="45" t="str">
        <f t="shared" si="2"/>
        <v>OneCo Networks AS</v>
      </c>
      <c r="N92" s="40" t="str">
        <f ca="1">IFERROR(
VLOOKUP(BoM_Solar[[#This Row],[Product code]],
IF(AND((BoQ!$N$3&lt;&gt;""),OR(BoM_Solar[[#This Row],[Vendor]]="Griptel",BoM_Solar[[#This Row],[Vendor]]="Solar")),INDIRECT(Aux!$A$1)),4,FALSE),"")</f>
        <v/>
      </c>
      <c r="O92" s="169" t="s">
        <v>1807</v>
      </c>
      <c r="P92" s="41" t="str">
        <f>IFERROR(IF(AND(BoM_Solar[[#This Row],[Quantity]]&lt;&gt;"",BoM_Solar[[#This Row],[Currency]]="NOK"),BoM_Solar[[#This Row],[Quantity]]*BoM_Solar[[#This Row],[Unit Price]],""),"")</f>
        <v/>
      </c>
      <c r="Q92" s="41" t="str">
        <f>IFERROR(IF(AND(BoM_Solar[[#This Row],[ACT_Qty]]&lt;&gt;"",BoM_Solar[[#This Row],[Currency]]="NOK"),BoM_Solar[[#This Row],[ACT_Qty]]*BoM_Solar[[#This Row],[Unit Price]],""),"")</f>
        <v/>
      </c>
      <c r="R92" s="41" t="str">
        <f>IFERROR(IF(AND(BoM_Solar[[#This Row],[Quantity]]&lt;&gt;"",BoM_Solar[[#This Row],[Currency]]="EUR"),BoM_Solar[[#This Row],[Quantity]]*BoM_Solar[[#This Row],[Unit Price]],""),"")</f>
        <v/>
      </c>
      <c r="S92" s="41" t="str">
        <f>IFERROR(IF(AND(BoM_Solar[[#This Row],[ACT_Qty]]&lt;&gt;"",BoM_Solar[[#This Row],[Currency]]="EUR"),BoM_Solar[[#This Row],[ACT_Qty]]*BoM_Solar[[#This Row],[Unit Price]],""),"")</f>
        <v/>
      </c>
      <c r="T92" s="185"/>
      <c r="U92" s="45"/>
      <c r="V92" s="45"/>
      <c r="W92" s="45"/>
    </row>
    <row r="93" spans="1:23" ht="15" customHeight="1">
      <c r="A93" s="146" t="str">
        <f t="shared" si="0"/>
        <v>AKH12345</v>
      </c>
      <c r="B93" s="199">
        <v>2878721</v>
      </c>
      <c r="C93" s="200" t="s">
        <v>3411</v>
      </c>
      <c r="D93" s="105"/>
      <c r="E93" s="106"/>
      <c r="F93" s="105"/>
      <c r="G93" s="106"/>
      <c r="H93" s="175" t="s">
        <v>3324</v>
      </c>
      <c r="I93" s="176" t="s">
        <v>3325</v>
      </c>
      <c r="J93" s="176" t="s">
        <v>3325</v>
      </c>
      <c r="K93" s="176" t="s">
        <v>1235</v>
      </c>
      <c r="L93" s="145" t="s">
        <v>3326</v>
      </c>
      <c r="M93" s="45" t="str">
        <f t="shared" si="2"/>
        <v>OneCo Networks AS</v>
      </c>
      <c r="N93" s="40" t="str">
        <f ca="1">IFERROR(
VLOOKUP(BoM_Solar[[#This Row],[Product code]],
IF(AND((BoQ!$N$3&lt;&gt;""),OR(BoM_Solar[[#This Row],[Vendor]]="Griptel",BoM_Solar[[#This Row],[Vendor]]="Solar")),INDIRECT(Aux!$A$1)),4,FALSE),"")</f>
        <v/>
      </c>
      <c r="O93" s="169" t="s">
        <v>1807</v>
      </c>
      <c r="P93" s="41" t="str">
        <f>IFERROR(IF(AND(BoM_Solar[[#This Row],[Quantity]]&lt;&gt;"",BoM_Solar[[#This Row],[Currency]]="NOK"),BoM_Solar[[#This Row],[Quantity]]*BoM_Solar[[#This Row],[Unit Price]],""),"")</f>
        <v/>
      </c>
      <c r="Q93" s="41" t="str">
        <f>IFERROR(IF(AND(BoM_Solar[[#This Row],[ACT_Qty]]&lt;&gt;"",BoM_Solar[[#This Row],[Currency]]="NOK"),BoM_Solar[[#This Row],[ACT_Qty]]*BoM_Solar[[#This Row],[Unit Price]],""),"")</f>
        <v/>
      </c>
      <c r="R93" s="41" t="str">
        <f>IFERROR(IF(AND(BoM_Solar[[#This Row],[Quantity]]&lt;&gt;"",BoM_Solar[[#This Row],[Currency]]="EUR"),BoM_Solar[[#This Row],[Quantity]]*BoM_Solar[[#This Row],[Unit Price]],""),"")</f>
        <v/>
      </c>
      <c r="S93" s="41" t="str">
        <f>IFERROR(IF(AND(BoM_Solar[[#This Row],[ACT_Qty]]&lt;&gt;"",BoM_Solar[[#This Row],[Currency]]="EUR"),BoM_Solar[[#This Row],[ACT_Qty]]*BoM_Solar[[#This Row],[Unit Price]],""),"")</f>
        <v/>
      </c>
      <c r="T93" s="185"/>
      <c r="U93" s="45"/>
      <c r="V93" s="45"/>
      <c r="W93" s="45"/>
    </row>
    <row r="94" spans="1:23" ht="15" customHeight="1">
      <c r="A94" s="146" t="str">
        <f t="shared" si="0"/>
        <v>AKH12345</v>
      </c>
      <c r="B94" s="199">
        <v>1356566</v>
      </c>
      <c r="C94" s="200" t="s">
        <v>3412</v>
      </c>
      <c r="D94" s="105"/>
      <c r="E94" s="106"/>
      <c r="F94" s="105"/>
      <c r="G94" s="106"/>
      <c r="H94" s="175" t="s">
        <v>3324</v>
      </c>
      <c r="I94" s="176" t="s">
        <v>3325</v>
      </c>
      <c r="J94" s="176" t="s">
        <v>3325</v>
      </c>
      <c r="K94" s="176" t="s">
        <v>1235</v>
      </c>
      <c r="L94" s="145" t="s">
        <v>3326</v>
      </c>
      <c r="M94" s="45" t="str">
        <f t="shared" si="2"/>
        <v>OneCo Networks AS</v>
      </c>
      <c r="N94" s="40" t="str">
        <f ca="1">IFERROR(
VLOOKUP(BoM_Solar[[#This Row],[Product code]],
IF(AND((BoQ!$N$3&lt;&gt;""),OR(BoM_Solar[[#This Row],[Vendor]]="Griptel",BoM_Solar[[#This Row],[Vendor]]="Solar")),INDIRECT(Aux!$A$1)),4,FALSE),"")</f>
        <v/>
      </c>
      <c r="O94" s="169" t="s">
        <v>1807</v>
      </c>
      <c r="P94" s="41" t="str">
        <f>IFERROR(IF(AND(BoM_Solar[[#This Row],[Quantity]]&lt;&gt;"",BoM_Solar[[#This Row],[Currency]]="NOK"),BoM_Solar[[#This Row],[Quantity]]*BoM_Solar[[#This Row],[Unit Price]],""),"")</f>
        <v/>
      </c>
      <c r="Q94" s="41" t="str">
        <f>IFERROR(IF(AND(BoM_Solar[[#This Row],[ACT_Qty]]&lt;&gt;"",BoM_Solar[[#This Row],[Currency]]="NOK"),BoM_Solar[[#This Row],[ACT_Qty]]*BoM_Solar[[#This Row],[Unit Price]],""),"")</f>
        <v/>
      </c>
      <c r="R94" s="41" t="str">
        <f>IFERROR(IF(AND(BoM_Solar[[#This Row],[Quantity]]&lt;&gt;"",BoM_Solar[[#This Row],[Currency]]="EUR"),BoM_Solar[[#This Row],[Quantity]]*BoM_Solar[[#This Row],[Unit Price]],""),"")</f>
        <v/>
      </c>
      <c r="S94" s="41" t="str">
        <f>IFERROR(IF(AND(BoM_Solar[[#This Row],[ACT_Qty]]&lt;&gt;"",BoM_Solar[[#This Row],[Currency]]="EUR"),BoM_Solar[[#This Row],[ACT_Qty]]*BoM_Solar[[#This Row],[Unit Price]],""),"")</f>
        <v/>
      </c>
      <c r="T94" s="185"/>
      <c r="U94" s="45"/>
      <c r="V94" s="45"/>
      <c r="W94" s="45"/>
    </row>
    <row r="95" spans="1:23" ht="15" customHeight="1">
      <c r="A95" s="146" t="str">
        <f t="shared" si="0"/>
        <v>AKH12345</v>
      </c>
      <c r="B95" s="199">
        <v>1008145</v>
      </c>
      <c r="C95" s="200" t="s">
        <v>3413</v>
      </c>
      <c r="D95" s="105"/>
      <c r="E95" s="106"/>
      <c r="F95" s="105"/>
      <c r="G95" s="106"/>
      <c r="H95" s="175" t="s">
        <v>3324</v>
      </c>
      <c r="I95" s="176" t="s">
        <v>3325</v>
      </c>
      <c r="J95" s="176" t="s">
        <v>3325</v>
      </c>
      <c r="K95" s="176" t="s">
        <v>1235</v>
      </c>
      <c r="L95" s="145" t="s">
        <v>3326</v>
      </c>
      <c r="M95" s="45" t="str">
        <f t="shared" si="2"/>
        <v>OneCo Networks AS</v>
      </c>
      <c r="N95" s="40" t="str">
        <f ca="1">IFERROR(
VLOOKUP(BoM_Solar[[#This Row],[Product code]],
IF(AND((BoQ!$N$3&lt;&gt;""),OR(BoM_Solar[[#This Row],[Vendor]]="Griptel",BoM_Solar[[#This Row],[Vendor]]="Solar")),INDIRECT(Aux!$A$1)),4,FALSE),"")</f>
        <v/>
      </c>
      <c r="O95" s="169" t="s">
        <v>1807</v>
      </c>
      <c r="P95" s="41" t="str">
        <f>IFERROR(IF(AND(BoM_Solar[[#This Row],[Quantity]]&lt;&gt;"",BoM_Solar[[#This Row],[Currency]]="NOK"),BoM_Solar[[#This Row],[Quantity]]*BoM_Solar[[#This Row],[Unit Price]],""),"")</f>
        <v/>
      </c>
      <c r="Q95" s="41" t="str">
        <f>IFERROR(IF(AND(BoM_Solar[[#This Row],[ACT_Qty]]&lt;&gt;"",BoM_Solar[[#This Row],[Currency]]="NOK"),BoM_Solar[[#This Row],[ACT_Qty]]*BoM_Solar[[#This Row],[Unit Price]],""),"")</f>
        <v/>
      </c>
      <c r="R95" s="41" t="str">
        <f>IFERROR(IF(AND(BoM_Solar[[#This Row],[Quantity]]&lt;&gt;"",BoM_Solar[[#This Row],[Currency]]="EUR"),BoM_Solar[[#This Row],[Quantity]]*BoM_Solar[[#This Row],[Unit Price]],""),"")</f>
        <v/>
      </c>
      <c r="S95" s="41" t="str">
        <f>IFERROR(IF(AND(BoM_Solar[[#This Row],[ACT_Qty]]&lt;&gt;"",BoM_Solar[[#This Row],[Currency]]="EUR"),BoM_Solar[[#This Row],[ACT_Qty]]*BoM_Solar[[#This Row],[Unit Price]],""),"")</f>
        <v/>
      </c>
      <c r="T95" s="185"/>
      <c r="U95" s="45"/>
      <c r="V95" s="45"/>
      <c r="W95" s="45"/>
    </row>
    <row r="96" spans="1:23" ht="15" customHeight="1">
      <c r="A96" s="146" t="str">
        <f t="shared" si="0"/>
        <v>AKH12345</v>
      </c>
      <c r="B96" s="199">
        <v>1354182</v>
      </c>
      <c r="C96" s="200" t="s">
        <v>3414</v>
      </c>
      <c r="D96" s="105"/>
      <c r="E96" s="106" t="s">
        <v>3415</v>
      </c>
      <c r="F96" s="105"/>
      <c r="G96" s="106"/>
      <c r="H96" s="175" t="s">
        <v>3324</v>
      </c>
      <c r="I96" s="176" t="s">
        <v>3325</v>
      </c>
      <c r="J96" s="176" t="s">
        <v>3325</v>
      </c>
      <c r="K96" s="176" t="s">
        <v>1235</v>
      </c>
      <c r="L96" s="145" t="s">
        <v>3326</v>
      </c>
      <c r="M96" s="45" t="str">
        <f t="shared" si="2"/>
        <v>OneCo Networks AS</v>
      </c>
      <c r="N96" s="40" t="str">
        <f ca="1">IFERROR(
VLOOKUP(BoM_Solar[[#This Row],[Product code]],
IF(AND((BoQ!$N$3&lt;&gt;""),OR(BoM_Solar[[#This Row],[Vendor]]="Griptel",BoM_Solar[[#This Row],[Vendor]]="Solar")),INDIRECT(Aux!$A$1)),4,FALSE),"")</f>
        <v/>
      </c>
      <c r="O96" s="169" t="s">
        <v>1807</v>
      </c>
      <c r="P96" s="41" t="str">
        <f>IFERROR(IF(AND(BoM_Solar[[#This Row],[Quantity]]&lt;&gt;"",BoM_Solar[[#This Row],[Currency]]="NOK"),BoM_Solar[[#This Row],[Quantity]]*BoM_Solar[[#This Row],[Unit Price]],""),"")</f>
        <v/>
      </c>
      <c r="Q96" s="41" t="str">
        <f>IFERROR(IF(AND(BoM_Solar[[#This Row],[ACT_Qty]]&lt;&gt;"",BoM_Solar[[#This Row],[Currency]]="NOK"),BoM_Solar[[#This Row],[ACT_Qty]]*BoM_Solar[[#This Row],[Unit Price]],""),"")</f>
        <v/>
      </c>
      <c r="R96" s="41" t="str">
        <f>IFERROR(IF(AND(BoM_Solar[[#This Row],[Quantity]]&lt;&gt;"",BoM_Solar[[#This Row],[Currency]]="EUR"),BoM_Solar[[#This Row],[Quantity]]*BoM_Solar[[#This Row],[Unit Price]],""),"")</f>
        <v/>
      </c>
      <c r="S96" s="41" t="str">
        <f>IFERROR(IF(AND(BoM_Solar[[#This Row],[ACT_Qty]]&lt;&gt;"",BoM_Solar[[#This Row],[Currency]]="EUR"),BoM_Solar[[#This Row],[ACT_Qty]]*BoM_Solar[[#This Row],[Unit Price]],""),"")</f>
        <v/>
      </c>
      <c r="T96" s="185"/>
      <c r="U96" s="45"/>
      <c r="V96" s="45"/>
      <c r="W96" s="45"/>
    </row>
    <row r="97" spans="1:23" ht="15" customHeight="1">
      <c r="A97" s="146" t="str">
        <f t="shared" si="0"/>
        <v>AKH12345</v>
      </c>
      <c r="B97" s="199">
        <v>1354197</v>
      </c>
      <c r="C97" s="200" t="s">
        <v>3416</v>
      </c>
      <c r="D97" s="105"/>
      <c r="E97" s="106" t="s">
        <v>3415</v>
      </c>
      <c r="F97" s="105"/>
      <c r="G97" s="106"/>
      <c r="H97" s="175" t="s">
        <v>3324</v>
      </c>
      <c r="I97" s="176" t="s">
        <v>3325</v>
      </c>
      <c r="J97" s="176" t="s">
        <v>3325</v>
      </c>
      <c r="K97" s="176" t="s">
        <v>1235</v>
      </c>
      <c r="L97" s="145" t="s">
        <v>3326</v>
      </c>
      <c r="M97" s="45" t="str">
        <f t="shared" si="2"/>
        <v>OneCo Networks AS</v>
      </c>
      <c r="N97" s="40" t="str">
        <f ca="1">IFERROR(
VLOOKUP(BoM_Solar[[#This Row],[Product code]],
IF(AND((BoQ!$N$3&lt;&gt;""),OR(BoM_Solar[[#This Row],[Vendor]]="Griptel",BoM_Solar[[#This Row],[Vendor]]="Solar")),INDIRECT(Aux!$A$1)),4,FALSE),"")</f>
        <v/>
      </c>
      <c r="O97" s="169" t="s">
        <v>1807</v>
      </c>
      <c r="P97" s="41" t="str">
        <f>IFERROR(IF(AND(BoM_Solar[[#This Row],[Quantity]]&lt;&gt;"",BoM_Solar[[#This Row],[Currency]]="NOK"),BoM_Solar[[#This Row],[Quantity]]*BoM_Solar[[#This Row],[Unit Price]],""),"")</f>
        <v/>
      </c>
      <c r="Q97" s="41" t="str">
        <f>IFERROR(IF(AND(BoM_Solar[[#This Row],[ACT_Qty]]&lt;&gt;"",BoM_Solar[[#This Row],[Currency]]="NOK"),BoM_Solar[[#This Row],[ACT_Qty]]*BoM_Solar[[#This Row],[Unit Price]],""),"")</f>
        <v/>
      </c>
      <c r="R97" s="41" t="str">
        <f>IFERROR(IF(AND(BoM_Solar[[#This Row],[Quantity]]&lt;&gt;"",BoM_Solar[[#This Row],[Currency]]="EUR"),BoM_Solar[[#This Row],[Quantity]]*BoM_Solar[[#This Row],[Unit Price]],""),"")</f>
        <v/>
      </c>
      <c r="S97" s="41" t="str">
        <f>IFERROR(IF(AND(BoM_Solar[[#This Row],[ACT_Qty]]&lt;&gt;"",BoM_Solar[[#This Row],[Currency]]="EUR"),BoM_Solar[[#This Row],[ACT_Qty]]*BoM_Solar[[#This Row],[Unit Price]],""),"")</f>
        <v/>
      </c>
      <c r="T97" s="185"/>
      <c r="U97" s="45"/>
      <c r="V97" s="45"/>
      <c r="W97" s="45"/>
    </row>
    <row r="98" spans="1:23" ht="15" customHeight="1">
      <c r="A98" s="146" t="str">
        <f t="shared" si="0"/>
        <v>AKH12345</v>
      </c>
      <c r="B98" s="199">
        <v>1354198</v>
      </c>
      <c r="C98" s="200" t="s">
        <v>3417</v>
      </c>
      <c r="D98" s="105"/>
      <c r="E98" s="106" t="s">
        <v>3415</v>
      </c>
      <c r="F98" s="105"/>
      <c r="G98" s="106"/>
      <c r="H98" s="175" t="s">
        <v>3324</v>
      </c>
      <c r="I98" s="176" t="s">
        <v>3325</v>
      </c>
      <c r="J98" s="176" t="s">
        <v>3325</v>
      </c>
      <c r="K98" s="176" t="s">
        <v>1235</v>
      </c>
      <c r="L98" s="145" t="s">
        <v>3326</v>
      </c>
      <c r="M98" s="45" t="str">
        <f t="shared" si="2"/>
        <v>OneCo Networks AS</v>
      </c>
      <c r="N98" s="40" t="str">
        <f ca="1">IFERROR(
VLOOKUP(BoM_Solar[[#This Row],[Product code]],
IF(AND((BoQ!$N$3&lt;&gt;""),OR(BoM_Solar[[#This Row],[Vendor]]="Griptel",BoM_Solar[[#This Row],[Vendor]]="Solar")),INDIRECT(Aux!$A$1)),4,FALSE),"")</f>
        <v/>
      </c>
      <c r="O98" s="169" t="s">
        <v>1807</v>
      </c>
      <c r="P98" s="41" t="str">
        <f>IFERROR(IF(AND(BoM_Solar[[#This Row],[Quantity]]&lt;&gt;"",BoM_Solar[[#This Row],[Currency]]="NOK"),BoM_Solar[[#This Row],[Quantity]]*BoM_Solar[[#This Row],[Unit Price]],""),"")</f>
        <v/>
      </c>
      <c r="Q98" s="41" t="str">
        <f>IFERROR(IF(AND(BoM_Solar[[#This Row],[ACT_Qty]]&lt;&gt;"",BoM_Solar[[#This Row],[Currency]]="NOK"),BoM_Solar[[#This Row],[ACT_Qty]]*BoM_Solar[[#This Row],[Unit Price]],""),"")</f>
        <v/>
      </c>
      <c r="R98" s="41" t="str">
        <f>IFERROR(IF(AND(BoM_Solar[[#This Row],[Quantity]]&lt;&gt;"",BoM_Solar[[#This Row],[Currency]]="EUR"),BoM_Solar[[#This Row],[Quantity]]*BoM_Solar[[#This Row],[Unit Price]],""),"")</f>
        <v/>
      </c>
      <c r="S98" s="41" t="str">
        <f>IFERROR(IF(AND(BoM_Solar[[#This Row],[ACT_Qty]]&lt;&gt;"",BoM_Solar[[#This Row],[Currency]]="EUR"),BoM_Solar[[#This Row],[ACT_Qty]]*BoM_Solar[[#This Row],[Unit Price]],""),"")</f>
        <v/>
      </c>
      <c r="T98" s="185"/>
      <c r="U98" s="45"/>
      <c r="V98" s="45"/>
      <c r="W98" s="45"/>
    </row>
    <row r="99" spans="1:23" ht="15" customHeight="1">
      <c r="A99" s="146" t="str">
        <f t="shared" si="0"/>
        <v>AKH12345</v>
      </c>
      <c r="B99" s="199">
        <v>1352462</v>
      </c>
      <c r="C99" s="200" t="s">
        <v>3418</v>
      </c>
      <c r="D99" s="105"/>
      <c r="E99" s="106" t="s">
        <v>3415</v>
      </c>
      <c r="F99" s="105"/>
      <c r="G99" s="106"/>
      <c r="H99" s="175" t="s">
        <v>3324</v>
      </c>
      <c r="I99" s="176" t="s">
        <v>3325</v>
      </c>
      <c r="J99" s="176" t="s">
        <v>3325</v>
      </c>
      <c r="K99" s="176" t="s">
        <v>1235</v>
      </c>
      <c r="L99" s="145" t="s">
        <v>3326</v>
      </c>
      <c r="M99" s="45" t="str">
        <f t="shared" si="2"/>
        <v>OneCo Networks AS</v>
      </c>
      <c r="N99" s="40" t="str">
        <f ca="1">IFERROR(
VLOOKUP(BoM_Solar[[#This Row],[Product code]],
IF(AND((BoQ!$N$3&lt;&gt;""),OR(BoM_Solar[[#This Row],[Vendor]]="Griptel",BoM_Solar[[#This Row],[Vendor]]="Solar")),INDIRECT(Aux!$A$1)),4,FALSE),"")</f>
        <v/>
      </c>
      <c r="O99" s="169" t="s">
        <v>1807</v>
      </c>
      <c r="P99" s="41" t="str">
        <f>IFERROR(IF(AND(BoM_Solar[[#This Row],[Quantity]]&lt;&gt;"",BoM_Solar[[#This Row],[Currency]]="NOK"),BoM_Solar[[#This Row],[Quantity]]*BoM_Solar[[#This Row],[Unit Price]],""),"")</f>
        <v/>
      </c>
      <c r="Q99" s="41" t="str">
        <f>IFERROR(IF(AND(BoM_Solar[[#This Row],[ACT_Qty]]&lt;&gt;"",BoM_Solar[[#This Row],[Currency]]="NOK"),BoM_Solar[[#This Row],[ACT_Qty]]*BoM_Solar[[#This Row],[Unit Price]],""),"")</f>
        <v/>
      </c>
      <c r="R99" s="41" t="str">
        <f>IFERROR(IF(AND(BoM_Solar[[#This Row],[Quantity]]&lt;&gt;"",BoM_Solar[[#This Row],[Currency]]="EUR"),BoM_Solar[[#This Row],[Quantity]]*BoM_Solar[[#This Row],[Unit Price]],""),"")</f>
        <v/>
      </c>
      <c r="S99" s="41" t="str">
        <f>IFERROR(IF(AND(BoM_Solar[[#This Row],[ACT_Qty]]&lt;&gt;"",BoM_Solar[[#This Row],[Currency]]="EUR"),BoM_Solar[[#This Row],[ACT_Qty]]*BoM_Solar[[#This Row],[Unit Price]],""),"")</f>
        <v/>
      </c>
      <c r="T99" s="185"/>
      <c r="U99" s="45"/>
      <c r="V99" s="45"/>
      <c r="W99" s="45"/>
    </row>
    <row r="100" spans="1:23" ht="15" customHeight="1">
      <c r="A100" s="146" t="str">
        <f t="shared" si="0"/>
        <v>AKH12345</v>
      </c>
      <c r="B100" s="199">
        <v>1352035</v>
      </c>
      <c r="C100" s="200" t="s">
        <v>3419</v>
      </c>
      <c r="D100" s="105"/>
      <c r="E100" s="106" t="s">
        <v>3415</v>
      </c>
      <c r="F100" s="105"/>
      <c r="G100" s="106"/>
      <c r="H100" s="175" t="s">
        <v>3324</v>
      </c>
      <c r="I100" s="176" t="s">
        <v>3325</v>
      </c>
      <c r="J100" s="176" t="s">
        <v>3325</v>
      </c>
      <c r="K100" s="176" t="s">
        <v>1235</v>
      </c>
      <c r="L100" s="145" t="s">
        <v>3326</v>
      </c>
      <c r="M100" s="45" t="str">
        <f t="shared" si="2"/>
        <v>OneCo Networks AS</v>
      </c>
      <c r="N100" s="40" t="str">
        <f ca="1">IFERROR(
VLOOKUP(BoM_Solar[[#This Row],[Product code]],
IF(AND((BoQ!$N$3&lt;&gt;""),OR(BoM_Solar[[#This Row],[Vendor]]="Griptel",BoM_Solar[[#This Row],[Vendor]]="Solar")),INDIRECT(Aux!$A$1)),4,FALSE),"")</f>
        <v/>
      </c>
      <c r="O100" s="169" t="s">
        <v>1807</v>
      </c>
      <c r="P100" s="41" t="str">
        <f>IFERROR(IF(AND(BoM_Solar[[#This Row],[Quantity]]&lt;&gt;"",BoM_Solar[[#This Row],[Currency]]="NOK"),BoM_Solar[[#This Row],[Quantity]]*BoM_Solar[[#This Row],[Unit Price]],""),"")</f>
        <v/>
      </c>
      <c r="Q100" s="41" t="str">
        <f>IFERROR(IF(AND(BoM_Solar[[#This Row],[ACT_Qty]]&lt;&gt;"",BoM_Solar[[#This Row],[Currency]]="NOK"),BoM_Solar[[#This Row],[ACT_Qty]]*BoM_Solar[[#This Row],[Unit Price]],""),"")</f>
        <v/>
      </c>
      <c r="R100" s="41" t="str">
        <f>IFERROR(IF(AND(BoM_Solar[[#This Row],[Quantity]]&lt;&gt;"",BoM_Solar[[#This Row],[Currency]]="EUR"),BoM_Solar[[#This Row],[Quantity]]*BoM_Solar[[#This Row],[Unit Price]],""),"")</f>
        <v/>
      </c>
      <c r="S100" s="41" t="str">
        <f>IFERROR(IF(AND(BoM_Solar[[#This Row],[ACT_Qty]]&lt;&gt;"",BoM_Solar[[#This Row],[Currency]]="EUR"),BoM_Solar[[#This Row],[ACT_Qty]]*BoM_Solar[[#This Row],[Unit Price]],""),"")</f>
        <v/>
      </c>
      <c r="T100" s="185"/>
      <c r="U100" s="45"/>
      <c r="V100" s="45"/>
      <c r="W100" s="45"/>
    </row>
    <row r="101" spans="1:23" ht="15" customHeight="1">
      <c r="A101" s="146" t="str">
        <f t="shared" si="0"/>
        <v>AKH12345</v>
      </c>
      <c r="B101" s="199">
        <v>1353396</v>
      </c>
      <c r="C101" s="200" t="s">
        <v>3420</v>
      </c>
      <c r="D101" s="105"/>
      <c r="E101" s="106" t="s">
        <v>3415</v>
      </c>
      <c r="F101" s="105"/>
      <c r="G101" s="106"/>
      <c r="H101" s="175" t="s">
        <v>3324</v>
      </c>
      <c r="I101" s="176" t="s">
        <v>3325</v>
      </c>
      <c r="J101" s="176" t="s">
        <v>3325</v>
      </c>
      <c r="K101" s="176" t="s">
        <v>1235</v>
      </c>
      <c r="L101" s="145" t="s">
        <v>3326</v>
      </c>
      <c r="M101" s="45" t="str">
        <f t="shared" si="2"/>
        <v>OneCo Networks AS</v>
      </c>
      <c r="N101" s="40" t="str">
        <f ca="1">IFERROR(
VLOOKUP(BoM_Solar[[#This Row],[Product code]],
IF(AND((BoQ!$N$3&lt;&gt;""),OR(BoM_Solar[[#This Row],[Vendor]]="Griptel",BoM_Solar[[#This Row],[Vendor]]="Solar")),INDIRECT(Aux!$A$1)),4,FALSE),"")</f>
        <v/>
      </c>
      <c r="O101" s="169" t="s">
        <v>1807</v>
      </c>
      <c r="P101" s="41" t="str">
        <f>IFERROR(IF(AND(BoM_Solar[[#This Row],[Quantity]]&lt;&gt;"",BoM_Solar[[#This Row],[Currency]]="NOK"),BoM_Solar[[#This Row],[Quantity]]*BoM_Solar[[#This Row],[Unit Price]],""),"")</f>
        <v/>
      </c>
      <c r="Q101" s="41" t="str">
        <f>IFERROR(IF(AND(BoM_Solar[[#This Row],[ACT_Qty]]&lt;&gt;"",BoM_Solar[[#This Row],[Currency]]="NOK"),BoM_Solar[[#This Row],[ACT_Qty]]*BoM_Solar[[#This Row],[Unit Price]],""),"")</f>
        <v/>
      </c>
      <c r="R101" s="41" t="str">
        <f>IFERROR(IF(AND(BoM_Solar[[#This Row],[Quantity]]&lt;&gt;"",BoM_Solar[[#This Row],[Currency]]="EUR"),BoM_Solar[[#This Row],[Quantity]]*BoM_Solar[[#This Row],[Unit Price]],""),"")</f>
        <v/>
      </c>
      <c r="S101" s="41" t="str">
        <f>IFERROR(IF(AND(BoM_Solar[[#This Row],[ACT_Qty]]&lt;&gt;"",BoM_Solar[[#This Row],[Currency]]="EUR"),BoM_Solar[[#This Row],[ACT_Qty]]*BoM_Solar[[#This Row],[Unit Price]],""),"")</f>
        <v/>
      </c>
      <c r="T101" s="185"/>
      <c r="U101" s="45"/>
      <c r="V101" s="45"/>
      <c r="W101" s="45"/>
    </row>
    <row r="102" spans="1:23" ht="15" customHeight="1">
      <c r="A102" s="146" t="str">
        <f t="shared" si="0"/>
        <v>AKH12345</v>
      </c>
      <c r="B102" s="199">
        <v>1354100</v>
      </c>
      <c r="C102" s="200" t="s">
        <v>3421</v>
      </c>
      <c r="D102" s="105"/>
      <c r="E102" s="106" t="s">
        <v>3415</v>
      </c>
      <c r="F102" s="105"/>
      <c r="G102" s="106"/>
      <c r="H102" s="175" t="s">
        <v>3324</v>
      </c>
      <c r="I102" s="176" t="s">
        <v>3325</v>
      </c>
      <c r="J102" s="176" t="s">
        <v>3325</v>
      </c>
      <c r="K102" s="176" t="s">
        <v>1235</v>
      </c>
      <c r="L102" s="145" t="s">
        <v>3326</v>
      </c>
      <c r="M102" s="45" t="str">
        <f t="shared" si="2"/>
        <v>OneCo Networks AS</v>
      </c>
      <c r="N102" s="40" t="str">
        <f ca="1">IFERROR(
VLOOKUP(BoM_Solar[[#This Row],[Product code]],
IF(AND((BoQ!$N$3&lt;&gt;""),OR(BoM_Solar[[#This Row],[Vendor]]="Griptel",BoM_Solar[[#This Row],[Vendor]]="Solar")),INDIRECT(Aux!$A$1)),4,FALSE),"")</f>
        <v/>
      </c>
      <c r="O102" s="169" t="s">
        <v>1807</v>
      </c>
      <c r="P102" s="41" t="str">
        <f>IFERROR(IF(AND(BoM_Solar[[#This Row],[Quantity]]&lt;&gt;"",BoM_Solar[[#This Row],[Currency]]="NOK"),BoM_Solar[[#This Row],[Quantity]]*BoM_Solar[[#This Row],[Unit Price]],""),"")</f>
        <v/>
      </c>
      <c r="Q102" s="41" t="str">
        <f>IFERROR(IF(AND(BoM_Solar[[#This Row],[ACT_Qty]]&lt;&gt;"",BoM_Solar[[#This Row],[Currency]]="NOK"),BoM_Solar[[#This Row],[ACT_Qty]]*BoM_Solar[[#This Row],[Unit Price]],""),"")</f>
        <v/>
      </c>
      <c r="R102" s="41" t="str">
        <f>IFERROR(IF(AND(BoM_Solar[[#This Row],[Quantity]]&lt;&gt;"",BoM_Solar[[#This Row],[Currency]]="EUR"),BoM_Solar[[#This Row],[Quantity]]*BoM_Solar[[#This Row],[Unit Price]],""),"")</f>
        <v/>
      </c>
      <c r="S102" s="41" t="str">
        <f>IFERROR(IF(AND(BoM_Solar[[#This Row],[ACT_Qty]]&lt;&gt;"",BoM_Solar[[#This Row],[Currency]]="EUR"),BoM_Solar[[#This Row],[ACT_Qty]]*BoM_Solar[[#This Row],[Unit Price]],""),"")</f>
        <v/>
      </c>
      <c r="T102" s="185"/>
      <c r="U102" s="45"/>
      <c r="V102" s="45"/>
      <c r="W102" s="45"/>
    </row>
    <row r="103" spans="1:23" ht="15" customHeight="1">
      <c r="A103" s="146" t="str">
        <f t="shared" si="0"/>
        <v>AKH12345</v>
      </c>
      <c r="B103" s="199">
        <v>1351803</v>
      </c>
      <c r="C103" s="200" t="s">
        <v>3422</v>
      </c>
      <c r="D103" s="105"/>
      <c r="E103" s="106" t="s">
        <v>3415</v>
      </c>
      <c r="F103" s="105"/>
      <c r="G103" s="106"/>
      <c r="H103" s="175" t="s">
        <v>3324</v>
      </c>
      <c r="I103" s="176" t="s">
        <v>3325</v>
      </c>
      <c r="J103" s="176" t="s">
        <v>3325</v>
      </c>
      <c r="K103" s="176" t="s">
        <v>1235</v>
      </c>
      <c r="L103" s="145" t="s">
        <v>3326</v>
      </c>
      <c r="M103" s="45" t="str">
        <f t="shared" si="2"/>
        <v>OneCo Networks AS</v>
      </c>
      <c r="N103" s="40" t="str">
        <f ca="1">IFERROR(
VLOOKUP(BoM_Solar[[#This Row],[Product code]],
IF(AND((BoQ!$N$3&lt;&gt;""),OR(BoM_Solar[[#This Row],[Vendor]]="Griptel",BoM_Solar[[#This Row],[Vendor]]="Solar")),INDIRECT(Aux!$A$1)),4,FALSE),"")</f>
        <v/>
      </c>
      <c r="O103" s="169" t="s">
        <v>1807</v>
      </c>
      <c r="P103" s="41" t="str">
        <f>IFERROR(IF(AND(BoM_Solar[[#This Row],[Quantity]]&lt;&gt;"",BoM_Solar[[#This Row],[Currency]]="NOK"),BoM_Solar[[#This Row],[Quantity]]*BoM_Solar[[#This Row],[Unit Price]],""),"")</f>
        <v/>
      </c>
      <c r="Q103" s="41" t="str">
        <f>IFERROR(IF(AND(BoM_Solar[[#This Row],[ACT_Qty]]&lt;&gt;"",BoM_Solar[[#This Row],[Currency]]="NOK"),BoM_Solar[[#This Row],[ACT_Qty]]*BoM_Solar[[#This Row],[Unit Price]],""),"")</f>
        <v/>
      </c>
      <c r="R103" s="41" t="str">
        <f>IFERROR(IF(AND(BoM_Solar[[#This Row],[Quantity]]&lt;&gt;"",BoM_Solar[[#This Row],[Currency]]="EUR"),BoM_Solar[[#This Row],[Quantity]]*BoM_Solar[[#This Row],[Unit Price]],""),"")</f>
        <v/>
      </c>
      <c r="S103" s="41" t="str">
        <f>IFERROR(IF(AND(BoM_Solar[[#This Row],[ACT_Qty]]&lt;&gt;"",BoM_Solar[[#This Row],[Currency]]="EUR"),BoM_Solar[[#This Row],[ACT_Qty]]*BoM_Solar[[#This Row],[Unit Price]],""),"")</f>
        <v/>
      </c>
      <c r="T103" s="185"/>
      <c r="U103" s="45"/>
      <c r="V103" s="45"/>
      <c r="W103" s="45"/>
    </row>
    <row r="104" spans="1:23" ht="15" customHeight="1">
      <c r="A104" s="146" t="str">
        <f t="shared" si="0"/>
        <v>AKH12345</v>
      </c>
      <c r="B104" s="199">
        <v>1352040</v>
      </c>
      <c r="C104" s="200" t="s">
        <v>3423</v>
      </c>
      <c r="D104" s="105"/>
      <c r="E104" s="106" t="s">
        <v>3415</v>
      </c>
      <c r="F104" s="105"/>
      <c r="G104" s="106"/>
      <c r="H104" s="175" t="s">
        <v>3324</v>
      </c>
      <c r="I104" s="176" t="s">
        <v>3325</v>
      </c>
      <c r="J104" s="176" t="s">
        <v>3325</v>
      </c>
      <c r="K104" s="176" t="s">
        <v>1235</v>
      </c>
      <c r="L104" s="145" t="s">
        <v>3326</v>
      </c>
      <c r="M104" s="45" t="str">
        <f t="shared" si="2"/>
        <v>OneCo Networks AS</v>
      </c>
      <c r="N104" s="40" t="str">
        <f ca="1">IFERROR(
VLOOKUP(BoM_Solar[[#This Row],[Product code]],
IF(AND((BoQ!$N$3&lt;&gt;""),OR(BoM_Solar[[#This Row],[Vendor]]="Griptel",BoM_Solar[[#This Row],[Vendor]]="Solar")),INDIRECT(Aux!$A$1)),4,FALSE),"")</f>
        <v/>
      </c>
      <c r="O104" s="169" t="s">
        <v>1807</v>
      </c>
      <c r="P104" s="41" t="str">
        <f>IFERROR(IF(AND(BoM_Solar[[#This Row],[Quantity]]&lt;&gt;"",BoM_Solar[[#This Row],[Currency]]="NOK"),BoM_Solar[[#This Row],[Quantity]]*BoM_Solar[[#This Row],[Unit Price]],""),"")</f>
        <v/>
      </c>
      <c r="Q104" s="41" t="str">
        <f>IFERROR(IF(AND(BoM_Solar[[#This Row],[ACT_Qty]]&lt;&gt;"",BoM_Solar[[#This Row],[Currency]]="NOK"),BoM_Solar[[#This Row],[ACT_Qty]]*BoM_Solar[[#This Row],[Unit Price]],""),"")</f>
        <v/>
      </c>
      <c r="R104" s="41" t="str">
        <f>IFERROR(IF(AND(BoM_Solar[[#This Row],[Quantity]]&lt;&gt;"",BoM_Solar[[#This Row],[Currency]]="EUR"),BoM_Solar[[#This Row],[Quantity]]*BoM_Solar[[#This Row],[Unit Price]],""),"")</f>
        <v/>
      </c>
      <c r="S104" s="41" t="str">
        <f>IFERROR(IF(AND(BoM_Solar[[#This Row],[ACT_Qty]]&lt;&gt;"",BoM_Solar[[#This Row],[Currency]]="EUR"),BoM_Solar[[#This Row],[ACT_Qty]]*BoM_Solar[[#This Row],[Unit Price]],""),"")</f>
        <v/>
      </c>
      <c r="T104" s="185"/>
      <c r="U104" s="45"/>
      <c r="V104" s="45"/>
      <c r="W104" s="45"/>
    </row>
    <row r="105" spans="1:23" ht="15" customHeight="1">
      <c r="A105" s="146" t="str">
        <f t="shared" si="0"/>
        <v>AKH12345</v>
      </c>
      <c r="B105" s="199">
        <v>1016530</v>
      </c>
      <c r="C105" s="200" t="s">
        <v>3424</v>
      </c>
      <c r="D105" s="105"/>
      <c r="E105" s="106"/>
      <c r="F105" s="105"/>
      <c r="G105" s="106"/>
      <c r="H105" s="175" t="s">
        <v>3324</v>
      </c>
      <c r="I105" s="176" t="s">
        <v>3325</v>
      </c>
      <c r="J105" s="176" t="s">
        <v>3325</v>
      </c>
      <c r="K105" s="176" t="s">
        <v>1235</v>
      </c>
      <c r="L105" s="145" t="s">
        <v>3326</v>
      </c>
      <c r="M105" s="45" t="str">
        <f t="shared" si="2"/>
        <v>OneCo Networks AS</v>
      </c>
      <c r="N105" s="40" t="str">
        <f ca="1">IFERROR(
VLOOKUP(BoM_Solar[[#This Row],[Product code]],
IF(AND((BoQ!$N$3&lt;&gt;""),OR(BoM_Solar[[#This Row],[Vendor]]="Griptel",BoM_Solar[[#This Row],[Vendor]]="Solar")),INDIRECT(Aux!$A$1)),4,FALSE),"")</f>
        <v/>
      </c>
      <c r="O105" s="169" t="s">
        <v>1807</v>
      </c>
      <c r="P105" s="41" t="str">
        <f>IFERROR(IF(AND(BoM_Solar[[#This Row],[Quantity]]&lt;&gt;"",BoM_Solar[[#This Row],[Currency]]="NOK"),BoM_Solar[[#This Row],[Quantity]]*BoM_Solar[[#This Row],[Unit Price]],""),"")</f>
        <v/>
      </c>
      <c r="Q105" s="41" t="str">
        <f>IFERROR(IF(AND(BoM_Solar[[#This Row],[ACT_Qty]]&lt;&gt;"",BoM_Solar[[#This Row],[Currency]]="NOK"),BoM_Solar[[#This Row],[ACT_Qty]]*BoM_Solar[[#This Row],[Unit Price]],""),"")</f>
        <v/>
      </c>
      <c r="R105" s="41" t="str">
        <f>IFERROR(IF(AND(BoM_Solar[[#This Row],[Quantity]]&lt;&gt;"",BoM_Solar[[#This Row],[Currency]]="EUR"),BoM_Solar[[#This Row],[Quantity]]*BoM_Solar[[#This Row],[Unit Price]],""),"")</f>
        <v/>
      </c>
      <c r="S105" s="41" t="str">
        <f>IFERROR(IF(AND(BoM_Solar[[#This Row],[ACT_Qty]]&lt;&gt;"",BoM_Solar[[#This Row],[Currency]]="EUR"),BoM_Solar[[#This Row],[ACT_Qty]]*BoM_Solar[[#This Row],[Unit Price]],""),"")</f>
        <v/>
      </c>
      <c r="T105" s="185"/>
      <c r="U105" s="45"/>
      <c r="V105" s="45"/>
      <c r="W105" s="45"/>
    </row>
    <row r="106" spans="1:23" ht="15" customHeight="1">
      <c r="A106" s="146" t="str">
        <f t="shared" si="0"/>
        <v>AKH12345</v>
      </c>
      <c r="B106" s="199">
        <v>1345036</v>
      </c>
      <c r="C106" s="200" t="s">
        <v>3425</v>
      </c>
      <c r="D106" s="105"/>
      <c r="E106" s="106"/>
      <c r="F106" s="105"/>
      <c r="G106" s="106"/>
      <c r="H106" s="175" t="s">
        <v>3324</v>
      </c>
      <c r="I106" s="176" t="s">
        <v>3325</v>
      </c>
      <c r="J106" s="176" t="s">
        <v>3325</v>
      </c>
      <c r="K106" s="176" t="s">
        <v>1235</v>
      </c>
      <c r="L106" s="145" t="s">
        <v>3326</v>
      </c>
      <c r="M106" s="45" t="str">
        <f t="shared" si="2"/>
        <v>OneCo Networks AS</v>
      </c>
      <c r="N106" s="40" t="str">
        <f ca="1">IFERROR(
VLOOKUP(BoM_Solar[[#This Row],[Product code]],
IF(AND((BoQ!$N$3&lt;&gt;""),OR(BoM_Solar[[#This Row],[Vendor]]="Griptel",BoM_Solar[[#This Row],[Vendor]]="Solar")),INDIRECT(Aux!$A$1)),4,FALSE),"")</f>
        <v/>
      </c>
      <c r="O106" s="169" t="s">
        <v>1807</v>
      </c>
      <c r="P106" s="41" t="str">
        <f>IFERROR(IF(AND(BoM_Solar[[#This Row],[Quantity]]&lt;&gt;"",BoM_Solar[[#This Row],[Currency]]="NOK"),BoM_Solar[[#This Row],[Quantity]]*BoM_Solar[[#This Row],[Unit Price]],""),"")</f>
        <v/>
      </c>
      <c r="Q106" s="41" t="str">
        <f>IFERROR(IF(AND(BoM_Solar[[#This Row],[ACT_Qty]]&lt;&gt;"",BoM_Solar[[#This Row],[Currency]]="NOK"),BoM_Solar[[#This Row],[ACT_Qty]]*BoM_Solar[[#This Row],[Unit Price]],""),"")</f>
        <v/>
      </c>
      <c r="R106" s="41" t="str">
        <f>IFERROR(IF(AND(BoM_Solar[[#This Row],[Quantity]]&lt;&gt;"",BoM_Solar[[#This Row],[Currency]]="EUR"),BoM_Solar[[#This Row],[Quantity]]*BoM_Solar[[#This Row],[Unit Price]],""),"")</f>
        <v/>
      </c>
      <c r="S106" s="41" t="str">
        <f>IFERROR(IF(AND(BoM_Solar[[#This Row],[ACT_Qty]]&lt;&gt;"",BoM_Solar[[#This Row],[Currency]]="EUR"),BoM_Solar[[#This Row],[ACT_Qty]]*BoM_Solar[[#This Row],[Unit Price]],""),"")</f>
        <v/>
      </c>
      <c r="T106" s="185"/>
      <c r="U106" s="45"/>
      <c r="V106" s="45"/>
      <c r="W106" s="45"/>
    </row>
    <row r="107" spans="1:23" ht="15" customHeight="1">
      <c r="A107" s="146" t="str">
        <f t="shared" si="0"/>
        <v>AKH12345</v>
      </c>
      <c r="B107" s="199">
        <v>8818635</v>
      </c>
      <c r="C107" s="200" t="s">
        <v>3426</v>
      </c>
      <c r="D107" s="105"/>
      <c r="E107" s="106"/>
      <c r="F107" s="105"/>
      <c r="G107" s="106"/>
      <c r="H107" s="175" t="s">
        <v>3324</v>
      </c>
      <c r="I107" s="176" t="s">
        <v>3325</v>
      </c>
      <c r="J107" s="176" t="s">
        <v>3325</v>
      </c>
      <c r="K107" s="176" t="s">
        <v>1235</v>
      </c>
      <c r="L107" s="145" t="s">
        <v>3326</v>
      </c>
      <c r="M107" s="45" t="str">
        <f t="shared" si="2"/>
        <v>OneCo Networks AS</v>
      </c>
      <c r="N107" s="40" t="str">
        <f ca="1">IFERROR(
VLOOKUP(BoM_Solar[[#This Row],[Product code]],
IF(AND((BoQ!$N$3&lt;&gt;""),OR(BoM_Solar[[#This Row],[Vendor]]="Griptel",BoM_Solar[[#This Row],[Vendor]]="Solar")),INDIRECT(Aux!$A$1)),4,FALSE),"")</f>
        <v/>
      </c>
      <c r="O107" s="169" t="s">
        <v>1807</v>
      </c>
      <c r="P107" s="41" t="str">
        <f>IFERROR(IF(AND(BoM_Solar[[#This Row],[Quantity]]&lt;&gt;"",BoM_Solar[[#This Row],[Currency]]="NOK"),BoM_Solar[[#This Row],[Quantity]]*BoM_Solar[[#This Row],[Unit Price]],""),"")</f>
        <v/>
      </c>
      <c r="Q107" s="41" t="str">
        <f>IFERROR(IF(AND(BoM_Solar[[#This Row],[ACT_Qty]]&lt;&gt;"",BoM_Solar[[#This Row],[Currency]]="NOK"),BoM_Solar[[#This Row],[ACT_Qty]]*BoM_Solar[[#This Row],[Unit Price]],""),"")</f>
        <v/>
      </c>
      <c r="R107" s="41" t="str">
        <f>IFERROR(IF(AND(BoM_Solar[[#This Row],[Quantity]]&lt;&gt;"",BoM_Solar[[#This Row],[Currency]]="EUR"),BoM_Solar[[#This Row],[Quantity]]*BoM_Solar[[#This Row],[Unit Price]],""),"")</f>
        <v/>
      </c>
      <c r="S107" s="41" t="str">
        <f>IFERROR(IF(AND(BoM_Solar[[#This Row],[ACT_Qty]]&lt;&gt;"",BoM_Solar[[#This Row],[Currency]]="EUR"),BoM_Solar[[#This Row],[ACT_Qty]]*BoM_Solar[[#This Row],[Unit Price]],""),"")</f>
        <v/>
      </c>
      <c r="T107" s="185"/>
      <c r="U107" s="45"/>
      <c r="V107" s="45"/>
      <c r="W107" s="45"/>
    </row>
    <row r="108" spans="1:23" ht="15" customHeight="1">
      <c r="A108" s="146" t="str">
        <f t="shared" si="0"/>
        <v>AKH12345</v>
      </c>
      <c r="B108" s="199">
        <v>1460825</v>
      </c>
      <c r="C108" s="200" t="s">
        <v>3427</v>
      </c>
      <c r="D108" s="105"/>
      <c r="E108" s="106"/>
      <c r="F108" s="105"/>
      <c r="G108" s="106"/>
      <c r="H108" s="175" t="s">
        <v>3324</v>
      </c>
      <c r="I108" s="176" t="s">
        <v>3325</v>
      </c>
      <c r="J108" s="176" t="s">
        <v>3325</v>
      </c>
      <c r="K108" s="176" t="s">
        <v>1235</v>
      </c>
      <c r="L108" s="145" t="s">
        <v>3326</v>
      </c>
      <c r="M108" s="45" t="str">
        <f t="shared" si="2"/>
        <v>OneCo Networks AS</v>
      </c>
      <c r="N108" s="40" t="str">
        <f ca="1">IFERROR(
VLOOKUP(BoM_Solar[[#This Row],[Product code]],
IF(AND((BoQ!$N$3&lt;&gt;""),OR(BoM_Solar[[#This Row],[Vendor]]="Griptel",BoM_Solar[[#This Row],[Vendor]]="Solar")),INDIRECT(Aux!$A$1)),4,FALSE),"")</f>
        <v/>
      </c>
      <c r="O108" s="169" t="s">
        <v>1807</v>
      </c>
      <c r="P108" s="41" t="str">
        <f>IFERROR(IF(AND(BoM_Solar[[#This Row],[Quantity]]&lt;&gt;"",BoM_Solar[[#This Row],[Currency]]="NOK"),BoM_Solar[[#This Row],[Quantity]]*BoM_Solar[[#This Row],[Unit Price]],""),"")</f>
        <v/>
      </c>
      <c r="Q108" s="41" t="str">
        <f>IFERROR(IF(AND(BoM_Solar[[#This Row],[ACT_Qty]]&lt;&gt;"",BoM_Solar[[#This Row],[Currency]]="NOK"),BoM_Solar[[#This Row],[ACT_Qty]]*BoM_Solar[[#This Row],[Unit Price]],""),"")</f>
        <v/>
      </c>
      <c r="R108" s="41" t="str">
        <f>IFERROR(IF(AND(BoM_Solar[[#This Row],[Quantity]]&lt;&gt;"",BoM_Solar[[#This Row],[Currency]]="EUR"),BoM_Solar[[#This Row],[Quantity]]*BoM_Solar[[#This Row],[Unit Price]],""),"")</f>
        <v/>
      </c>
      <c r="S108" s="41" t="str">
        <f>IFERROR(IF(AND(BoM_Solar[[#This Row],[ACT_Qty]]&lt;&gt;"",BoM_Solar[[#This Row],[Currency]]="EUR"),BoM_Solar[[#This Row],[ACT_Qty]]*BoM_Solar[[#This Row],[Unit Price]],""),"")</f>
        <v/>
      </c>
      <c r="T108" s="185"/>
      <c r="U108" s="45"/>
      <c r="V108" s="45"/>
      <c r="W108" s="45"/>
    </row>
    <row r="109" spans="1:23" ht="15" customHeight="1">
      <c r="A109" s="146" t="str">
        <f t="shared" si="0"/>
        <v>AKH12345</v>
      </c>
      <c r="B109" s="199">
        <v>1460823</v>
      </c>
      <c r="C109" s="200" t="s">
        <v>3428</v>
      </c>
      <c r="D109" s="105"/>
      <c r="E109" s="106"/>
      <c r="F109" s="105"/>
      <c r="G109" s="106"/>
      <c r="H109" s="175" t="s">
        <v>3324</v>
      </c>
      <c r="I109" s="176" t="s">
        <v>3325</v>
      </c>
      <c r="J109" s="176" t="s">
        <v>3325</v>
      </c>
      <c r="K109" s="176" t="s">
        <v>1235</v>
      </c>
      <c r="L109" s="145" t="s">
        <v>3326</v>
      </c>
      <c r="M109" s="45" t="str">
        <f t="shared" si="2"/>
        <v>OneCo Networks AS</v>
      </c>
      <c r="N109" s="40" t="str">
        <f ca="1">IFERROR(
VLOOKUP(BoM_Solar[[#This Row],[Product code]],
IF(AND((BoQ!$N$3&lt;&gt;""),OR(BoM_Solar[[#This Row],[Vendor]]="Griptel",BoM_Solar[[#This Row],[Vendor]]="Solar")),INDIRECT(Aux!$A$1)),4,FALSE),"")</f>
        <v/>
      </c>
      <c r="O109" s="169" t="s">
        <v>1807</v>
      </c>
      <c r="P109" s="41" t="str">
        <f>IFERROR(IF(AND(BoM_Solar[[#This Row],[Quantity]]&lt;&gt;"",BoM_Solar[[#This Row],[Currency]]="NOK"),BoM_Solar[[#This Row],[Quantity]]*BoM_Solar[[#This Row],[Unit Price]],""),"")</f>
        <v/>
      </c>
      <c r="Q109" s="41" t="str">
        <f>IFERROR(IF(AND(BoM_Solar[[#This Row],[ACT_Qty]]&lt;&gt;"",BoM_Solar[[#This Row],[Currency]]="NOK"),BoM_Solar[[#This Row],[ACT_Qty]]*BoM_Solar[[#This Row],[Unit Price]],""),"")</f>
        <v/>
      </c>
      <c r="R109" s="41" t="str">
        <f>IFERROR(IF(AND(BoM_Solar[[#This Row],[Quantity]]&lt;&gt;"",BoM_Solar[[#This Row],[Currency]]="EUR"),BoM_Solar[[#This Row],[Quantity]]*BoM_Solar[[#This Row],[Unit Price]],""),"")</f>
        <v/>
      </c>
      <c r="S109" s="41" t="str">
        <f>IFERROR(IF(AND(BoM_Solar[[#This Row],[ACT_Qty]]&lt;&gt;"",BoM_Solar[[#This Row],[Currency]]="EUR"),BoM_Solar[[#This Row],[ACT_Qty]]*BoM_Solar[[#This Row],[Unit Price]],""),"")</f>
        <v/>
      </c>
      <c r="T109" s="185"/>
      <c r="U109" s="45"/>
      <c r="V109" s="45"/>
      <c r="W109" s="45"/>
    </row>
    <row r="110" spans="1:23" ht="15" customHeight="1">
      <c r="A110" s="146" t="str">
        <f t="shared" si="0"/>
        <v>AKH12345</v>
      </c>
      <c r="B110" s="199">
        <v>1609649</v>
      </c>
      <c r="C110" s="200" t="s">
        <v>3429</v>
      </c>
      <c r="D110" s="105"/>
      <c r="E110" s="106"/>
      <c r="F110" s="105"/>
      <c r="G110" s="106"/>
      <c r="H110" s="175" t="s">
        <v>3324</v>
      </c>
      <c r="I110" s="176" t="s">
        <v>3325</v>
      </c>
      <c r="J110" s="176" t="s">
        <v>3325</v>
      </c>
      <c r="K110" s="176" t="s">
        <v>1235</v>
      </c>
      <c r="L110" s="145" t="s">
        <v>3326</v>
      </c>
      <c r="M110" s="45" t="str">
        <f t="shared" si="2"/>
        <v>OneCo Networks AS</v>
      </c>
      <c r="N110" s="40" t="str">
        <f ca="1">IFERROR(
VLOOKUP(BoM_Solar[[#This Row],[Product code]],
IF(AND((BoQ!$N$3&lt;&gt;""),OR(BoM_Solar[[#This Row],[Vendor]]="Griptel",BoM_Solar[[#This Row],[Vendor]]="Solar")),INDIRECT(Aux!$A$1)),4,FALSE),"")</f>
        <v/>
      </c>
      <c r="O110" s="169" t="s">
        <v>1807</v>
      </c>
      <c r="P110" s="41" t="str">
        <f>IFERROR(IF(AND(BoM_Solar[[#This Row],[Quantity]]&lt;&gt;"",BoM_Solar[[#This Row],[Currency]]="NOK"),BoM_Solar[[#This Row],[Quantity]]*BoM_Solar[[#This Row],[Unit Price]],""),"")</f>
        <v/>
      </c>
      <c r="Q110" s="41" t="str">
        <f>IFERROR(IF(AND(BoM_Solar[[#This Row],[ACT_Qty]]&lt;&gt;"",BoM_Solar[[#This Row],[Currency]]="NOK"),BoM_Solar[[#This Row],[ACT_Qty]]*BoM_Solar[[#This Row],[Unit Price]],""),"")</f>
        <v/>
      </c>
      <c r="R110" s="41" t="str">
        <f>IFERROR(IF(AND(BoM_Solar[[#This Row],[Quantity]]&lt;&gt;"",BoM_Solar[[#This Row],[Currency]]="EUR"),BoM_Solar[[#This Row],[Quantity]]*BoM_Solar[[#This Row],[Unit Price]],""),"")</f>
        <v/>
      </c>
      <c r="S110" s="41" t="str">
        <f>IFERROR(IF(AND(BoM_Solar[[#This Row],[ACT_Qty]]&lt;&gt;"",BoM_Solar[[#This Row],[Currency]]="EUR"),BoM_Solar[[#This Row],[ACT_Qty]]*BoM_Solar[[#This Row],[Unit Price]],""),"")</f>
        <v/>
      </c>
      <c r="T110" s="185"/>
      <c r="U110" s="45"/>
      <c r="V110" s="45"/>
      <c r="W110" s="45"/>
    </row>
    <row r="111" spans="1:23" ht="15" customHeight="1">
      <c r="A111" s="146" t="str">
        <f t="shared" si="0"/>
        <v>AKH12345</v>
      </c>
      <c r="B111" s="199">
        <v>1624144</v>
      </c>
      <c r="C111" s="200" t="s">
        <v>3430</v>
      </c>
      <c r="D111" s="105"/>
      <c r="E111" s="106"/>
      <c r="F111" s="105"/>
      <c r="G111" s="106"/>
      <c r="H111" s="175" t="s">
        <v>3324</v>
      </c>
      <c r="I111" s="176" t="s">
        <v>3325</v>
      </c>
      <c r="J111" s="176" t="s">
        <v>3325</v>
      </c>
      <c r="K111" s="176" t="s">
        <v>1235</v>
      </c>
      <c r="L111" s="145" t="s">
        <v>3326</v>
      </c>
      <c r="M111" s="45" t="str">
        <f t="shared" si="2"/>
        <v>OneCo Networks AS</v>
      </c>
      <c r="N111" s="40" t="str">
        <f ca="1">IFERROR(
VLOOKUP(BoM_Solar[[#This Row],[Product code]],
IF(AND((BoQ!$N$3&lt;&gt;""),OR(BoM_Solar[[#This Row],[Vendor]]="Griptel",BoM_Solar[[#This Row],[Vendor]]="Solar")),INDIRECT(Aux!$A$1)),4,FALSE),"")</f>
        <v/>
      </c>
      <c r="O111" s="169" t="s">
        <v>1807</v>
      </c>
      <c r="P111" s="41" t="str">
        <f>IFERROR(IF(AND(BoM_Solar[[#This Row],[Quantity]]&lt;&gt;"",BoM_Solar[[#This Row],[Currency]]="NOK"),BoM_Solar[[#This Row],[Quantity]]*BoM_Solar[[#This Row],[Unit Price]],""),"")</f>
        <v/>
      </c>
      <c r="Q111" s="41" t="str">
        <f>IFERROR(IF(AND(BoM_Solar[[#This Row],[ACT_Qty]]&lt;&gt;"",BoM_Solar[[#This Row],[Currency]]="NOK"),BoM_Solar[[#This Row],[ACT_Qty]]*BoM_Solar[[#This Row],[Unit Price]],""),"")</f>
        <v/>
      </c>
      <c r="R111" s="41" t="str">
        <f>IFERROR(IF(AND(BoM_Solar[[#This Row],[Quantity]]&lt;&gt;"",BoM_Solar[[#This Row],[Currency]]="EUR"),BoM_Solar[[#This Row],[Quantity]]*BoM_Solar[[#This Row],[Unit Price]],""),"")</f>
        <v/>
      </c>
      <c r="S111" s="41" t="str">
        <f>IFERROR(IF(AND(BoM_Solar[[#This Row],[ACT_Qty]]&lt;&gt;"",BoM_Solar[[#This Row],[Currency]]="EUR"),BoM_Solar[[#This Row],[ACT_Qty]]*BoM_Solar[[#This Row],[Unit Price]],""),"")</f>
        <v/>
      </c>
      <c r="T111" s="185"/>
      <c r="U111" s="45"/>
      <c r="V111" s="45"/>
      <c r="W111" s="45"/>
    </row>
    <row r="112" spans="1:23" ht="15" customHeight="1">
      <c r="A112" s="146" t="str">
        <f t="shared" si="0"/>
        <v>AKH12345</v>
      </c>
      <c r="B112" s="199">
        <v>1695194</v>
      </c>
      <c r="C112" s="200" t="s">
        <v>3431</v>
      </c>
      <c r="D112" s="105"/>
      <c r="E112" s="106"/>
      <c r="F112" s="105"/>
      <c r="G112" s="106"/>
      <c r="H112" s="175" t="s">
        <v>3324</v>
      </c>
      <c r="I112" s="176" t="s">
        <v>3325</v>
      </c>
      <c r="J112" s="176" t="s">
        <v>3325</v>
      </c>
      <c r="K112" s="176" t="s">
        <v>1235</v>
      </c>
      <c r="L112" s="145" t="s">
        <v>3326</v>
      </c>
      <c r="M112" s="45" t="str">
        <f t="shared" si="2"/>
        <v>OneCo Networks AS</v>
      </c>
      <c r="N112" s="40" t="str">
        <f ca="1">IFERROR(
VLOOKUP(BoM_Solar[[#This Row],[Product code]],
IF(AND((BoQ!$N$3&lt;&gt;""),OR(BoM_Solar[[#This Row],[Vendor]]="Griptel",BoM_Solar[[#This Row],[Vendor]]="Solar")),INDIRECT(Aux!$A$1)),4,FALSE),"")</f>
        <v/>
      </c>
      <c r="O112" s="169" t="s">
        <v>1807</v>
      </c>
      <c r="P112" s="41" t="str">
        <f>IFERROR(IF(AND(BoM_Solar[[#This Row],[Quantity]]&lt;&gt;"",BoM_Solar[[#This Row],[Currency]]="NOK"),BoM_Solar[[#This Row],[Quantity]]*BoM_Solar[[#This Row],[Unit Price]],""),"")</f>
        <v/>
      </c>
      <c r="Q112" s="41" t="str">
        <f>IFERROR(IF(AND(BoM_Solar[[#This Row],[ACT_Qty]]&lt;&gt;"",BoM_Solar[[#This Row],[Currency]]="NOK"),BoM_Solar[[#This Row],[ACT_Qty]]*BoM_Solar[[#This Row],[Unit Price]],""),"")</f>
        <v/>
      </c>
      <c r="R112" s="41" t="str">
        <f>IFERROR(IF(AND(BoM_Solar[[#This Row],[Quantity]]&lt;&gt;"",BoM_Solar[[#This Row],[Currency]]="EUR"),BoM_Solar[[#This Row],[Quantity]]*BoM_Solar[[#This Row],[Unit Price]],""),"")</f>
        <v/>
      </c>
      <c r="S112" s="41" t="str">
        <f>IFERROR(IF(AND(BoM_Solar[[#This Row],[ACT_Qty]]&lt;&gt;"",BoM_Solar[[#This Row],[Currency]]="EUR"),BoM_Solar[[#This Row],[ACT_Qty]]*BoM_Solar[[#This Row],[Unit Price]],""),"")</f>
        <v/>
      </c>
      <c r="T112" s="185"/>
      <c r="U112" s="45"/>
      <c r="V112" s="45"/>
      <c r="W112" s="45"/>
    </row>
    <row r="113" spans="1:23" ht="15" customHeight="1">
      <c r="A113" s="146" t="str">
        <f t="shared" si="0"/>
        <v>AKH12345</v>
      </c>
      <c r="B113" s="199">
        <v>1654910</v>
      </c>
      <c r="C113" s="200" t="s">
        <v>3432</v>
      </c>
      <c r="D113" s="105"/>
      <c r="E113" s="106"/>
      <c r="F113" s="105"/>
      <c r="G113" s="106"/>
      <c r="H113" s="175" t="s">
        <v>3324</v>
      </c>
      <c r="I113" s="176" t="s">
        <v>3325</v>
      </c>
      <c r="J113" s="176" t="s">
        <v>3325</v>
      </c>
      <c r="K113" s="176" t="s">
        <v>1235</v>
      </c>
      <c r="L113" s="145" t="s">
        <v>3326</v>
      </c>
      <c r="M113" s="45" t="str">
        <f t="shared" si="2"/>
        <v>OneCo Networks AS</v>
      </c>
      <c r="N113" s="40" t="str">
        <f ca="1">IFERROR(
VLOOKUP(BoM_Solar[[#This Row],[Product code]],
IF(AND((BoQ!$N$3&lt;&gt;""),OR(BoM_Solar[[#This Row],[Vendor]]="Griptel",BoM_Solar[[#This Row],[Vendor]]="Solar")),INDIRECT(Aux!$A$1)),4,FALSE),"")</f>
        <v/>
      </c>
      <c r="O113" s="169" t="s">
        <v>1807</v>
      </c>
      <c r="P113" s="41" t="str">
        <f>IFERROR(IF(AND(BoM_Solar[[#This Row],[Quantity]]&lt;&gt;"",BoM_Solar[[#This Row],[Currency]]="NOK"),BoM_Solar[[#This Row],[Quantity]]*BoM_Solar[[#This Row],[Unit Price]],""),"")</f>
        <v/>
      </c>
      <c r="Q113" s="41" t="str">
        <f>IFERROR(IF(AND(BoM_Solar[[#This Row],[ACT_Qty]]&lt;&gt;"",BoM_Solar[[#This Row],[Currency]]="NOK"),BoM_Solar[[#This Row],[ACT_Qty]]*BoM_Solar[[#This Row],[Unit Price]],""),"")</f>
        <v/>
      </c>
      <c r="R113" s="41" t="str">
        <f>IFERROR(IF(AND(BoM_Solar[[#This Row],[Quantity]]&lt;&gt;"",BoM_Solar[[#This Row],[Currency]]="EUR"),BoM_Solar[[#This Row],[Quantity]]*BoM_Solar[[#This Row],[Unit Price]],""),"")</f>
        <v/>
      </c>
      <c r="S113" s="41" t="str">
        <f>IFERROR(IF(AND(BoM_Solar[[#This Row],[ACT_Qty]]&lt;&gt;"",BoM_Solar[[#This Row],[Currency]]="EUR"),BoM_Solar[[#This Row],[ACT_Qty]]*BoM_Solar[[#This Row],[Unit Price]],""),"")</f>
        <v/>
      </c>
      <c r="T113" s="185"/>
      <c r="U113" s="45"/>
      <c r="V113" s="45"/>
      <c r="W113" s="45"/>
    </row>
    <row r="114" spans="1:23" ht="15" customHeight="1">
      <c r="A114" s="146" t="str">
        <f t="shared" si="0"/>
        <v>AKH12345</v>
      </c>
      <c r="B114" s="199">
        <v>1067318</v>
      </c>
      <c r="C114" s="200" t="s">
        <v>3433</v>
      </c>
      <c r="D114" s="105"/>
      <c r="E114" s="106"/>
      <c r="F114" s="105"/>
      <c r="G114" s="106"/>
      <c r="H114" s="175" t="s">
        <v>3324</v>
      </c>
      <c r="I114" s="176" t="s">
        <v>3325</v>
      </c>
      <c r="J114" s="176" t="s">
        <v>3325</v>
      </c>
      <c r="K114" s="176" t="s">
        <v>1235</v>
      </c>
      <c r="L114" s="145" t="s">
        <v>3326</v>
      </c>
      <c r="M114" s="45" t="str">
        <f t="shared" si="2"/>
        <v>OneCo Networks AS</v>
      </c>
      <c r="N114" s="40" t="str">
        <f ca="1">IFERROR(
VLOOKUP(BoM_Solar[[#This Row],[Product code]],
IF(AND((BoQ!$N$3&lt;&gt;""),OR(BoM_Solar[[#This Row],[Vendor]]="Griptel",BoM_Solar[[#This Row],[Vendor]]="Solar")),INDIRECT(Aux!$A$1)),4,FALSE),"")</f>
        <v/>
      </c>
      <c r="O114" s="169" t="s">
        <v>1807</v>
      </c>
      <c r="P114" s="41" t="str">
        <f>IFERROR(IF(AND(BoM_Solar[[#This Row],[Quantity]]&lt;&gt;"",BoM_Solar[[#This Row],[Currency]]="NOK"),BoM_Solar[[#This Row],[Quantity]]*BoM_Solar[[#This Row],[Unit Price]],""),"")</f>
        <v/>
      </c>
      <c r="Q114" s="41" t="str">
        <f>IFERROR(IF(AND(BoM_Solar[[#This Row],[ACT_Qty]]&lt;&gt;"",BoM_Solar[[#This Row],[Currency]]="NOK"),BoM_Solar[[#This Row],[ACT_Qty]]*BoM_Solar[[#This Row],[Unit Price]],""),"")</f>
        <v/>
      </c>
      <c r="R114" s="41" t="str">
        <f>IFERROR(IF(AND(BoM_Solar[[#This Row],[Quantity]]&lt;&gt;"",BoM_Solar[[#This Row],[Currency]]="EUR"),BoM_Solar[[#This Row],[Quantity]]*BoM_Solar[[#This Row],[Unit Price]],""),"")</f>
        <v/>
      </c>
      <c r="S114" s="41" t="str">
        <f>IFERROR(IF(AND(BoM_Solar[[#This Row],[ACT_Qty]]&lt;&gt;"",BoM_Solar[[#This Row],[Currency]]="EUR"),BoM_Solar[[#This Row],[ACT_Qty]]*BoM_Solar[[#This Row],[Unit Price]],""),"")</f>
        <v/>
      </c>
      <c r="T114" s="185"/>
      <c r="U114" s="45"/>
      <c r="V114" s="45"/>
      <c r="W114" s="45"/>
    </row>
    <row r="115" spans="1:23" ht="15" customHeight="1">
      <c r="A115" s="146" t="str">
        <f t="shared" si="0"/>
        <v>AKH12345</v>
      </c>
      <c r="B115" s="199">
        <v>1067327</v>
      </c>
      <c r="C115" s="200" t="s">
        <v>3434</v>
      </c>
      <c r="D115" s="105"/>
      <c r="E115" s="106"/>
      <c r="F115" s="105"/>
      <c r="G115" s="106"/>
      <c r="H115" s="175" t="s">
        <v>3324</v>
      </c>
      <c r="I115" s="176" t="s">
        <v>3325</v>
      </c>
      <c r="J115" s="176" t="s">
        <v>3325</v>
      </c>
      <c r="K115" s="176" t="s">
        <v>1235</v>
      </c>
      <c r="L115" s="145" t="s">
        <v>3326</v>
      </c>
      <c r="M115" s="45" t="str">
        <f t="shared" si="2"/>
        <v>OneCo Networks AS</v>
      </c>
      <c r="N115" s="40" t="str">
        <f ca="1">IFERROR(
VLOOKUP(BoM_Solar[[#This Row],[Product code]],
IF(AND((BoQ!$N$3&lt;&gt;""),OR(BoM_Solar[[#This Row],[Vendor]]="Griptel",BoM_Solar[[#This Row],[Vendor]]="Solar")),INDIRECT(Aux!$A$1)),4,FALSE),"")</f>
        <v/>
      </c>
      <c r="O115" s="169" t="s">
        <v>1807</v>
      </c>
      <c r="P115" s="41" t="str">
        <f>IFERROR(IF(AND(BoM_Solar[[#This Row],[Quantity]]&lt;&gt;"",BoM_Solar[[#This Row],[Currency]]="NOK"),BoM_Solar[[#This Row],[Quantity]]*BoM_Solar[[#This Row],[Unit Price]],""),"")</f>
        <v/>
      </c>
      <c r="Q115" s="41" t="str">
        <f>IFERROR(IF(AND(BoM_Solar[[#This Row],[ACT_Qty]]&lt;&gt;"",BoM_Solar[[#This Row],[Currency]]="NOK"),BoM_Solar[[#This Row],[ACT_Qty]]*BoM_Solar[[#This Row],[Unit Price]],""),"")</f>
        <v/>
      </c>
      <c r="R115" s="41" t="str">
        <f>IFERROR(IF(AND(BoM_Solar[[#This Row],[Quantity]]&lt;&gt;"",BoM_Solar[[#This Row],[Currency]]="EUR"),BoM_Solar[[#This Row],[Quantity]]*BoM_Solar[[#This Row],[Unit Price]],""),"")</f>
        <v/>
      </c>
      <c r="S115" s="41" t="str">
        <f>IFERROR(IF(AND(BoM_Solar[[#This Row],[ACT_Qty]]&lt;&gt;"",BoM_Solar[[#This Row],[Currency]]="EUR"),BoM_Solar[[#This Row],[ACT_Qty]]*BoM_Solar[[#This Row],[Unit Price]],""),"")</f>
        <v/>
      </c>
      <c r="T115" s="185"/>
      <c r="U115" s="45"/>
      <c r="V115" s="45"/>
      <c r="W115" s="45"/>
    </row>
    <row r="116" spans="1:23" ht="15" customHeight="1">
      <c r="A116" s="146" t="str">
        <f t="shared" si="0"/>
        <v>AKH12345</v>
      </c>
      <c r="B116" s="199">
        <v>1654706</v>
      </c>
      <c r="C116" s="200" t="s">
        <v>3435</v>
      </c>
      <c r="D116" s="105"/>
      <c r="E116" s="106"/>
      <c r="F116" s="105"/>
      <c r="G116" s="106"/>
      <c r="H116" s="175" t="s">
        <v>3324</v>
      </c>
      <c r="I116" s="176" t="s">
        <v>3325</v>
      </c>
      <c r="J116" s="176" t="s">
        <v>3325</v>
      </c>
      <c r="K116" s="176" t="s">
        <v>1235</v>
      </c>
      <c r="L116" s="145" t="s">
        <v>3326</v>
      </c>
      <c r="M116" s="45" t="str">
        <f t="shared" si="2"/>
        <v>OneCo Networks AS</v>
      </c>
      <c r="N116" s="40" t="str">
        <f ca="1">IFERROR(
VLOOKUP(BoM_Solar[[#This Row],[Product code]],
IF(AND((BoQ!$N$3&lt;&gt;""),OR(BoM_Solar[[#This Row],[Vendor]]="Griptel",BoM_Solar[[#This Row],[Vendor]]="Solar")),INDIRECT(Aux!$A$1)),4,FALSE),"")</f>
        <v/>
      </c>
      <c r="O116" s="169" t="s">
        <v>1807</v>
      </c>
      <c r="P116" s="41" t="str">
        <f>IFERROR(IF(AND(BoM_Solar[[#This Row],[Quantity]]&lt;&gt;"",BoM_Solar[[#This Row],[Currency]]="NOK"),BoM_Solar[[#This Row],[Quantity]]*BoM_Solar[[#This Row],[Unit Price]],""),"")</f>
        <v/>
      </c>
      <c r="Q116" s="41" t="str">
        <f>IFERROR(IF(AND(BoM_Solar[[#This Row],[ACT_Qty]]&lt;&gt;"",BoM_Solar[[#This Row],[Currency]]="NOK"),BoM_Solar[[#This Row],[ACT_Qty]]*BoM_Solar[[#This Row],[Unit Price]],""),"")</f>
        <v/>
      </c>
      <c r="R116" s="41" t="str">
        <f>IFERROR(IF(AND(BoM_Solar[[#This Row],[Quantity]]&lt;&gt;"",BoM_Solar[[#This Row],[Currency]]="EUR"),BoM_Solar[[#This Row],[Quantity]]*BoM_Solar[[#This Row],[Unit Price]],""),"")</f>
        <v/>
      </c>
      <c r="S116" s="41" t="str">
        <f>IFERROR(IF(AND(BoM_Solar[[#This Row],[ACT_Qty]]&lt;&gt;"",BoM_Solar[[#This Row],[Currency]]="EUR"),BoM_Solar[[#This Row],[ACT_Qty]]*BoM_Solar[[#This Row],[Unit Price]],""),"")</f>
        <v/>
      </c>
      <c r="T116" s="185"/>
      <c r="U116" s="45"/>
      <c r="V116" s="45"/>
      <c r="W116" s="45"/>
    </row>
    <row r="117" spans="1:23" ht="15" customHeight="1">
      <c r="A117" s="146" t="str">
        <f t="shared" si="0"/>
        <v>AKH12345</v>
      </c>
      <c r="B117" s="199">
        <v>1808612</v>
      </c>
      <c r="C117" s="200" t="s">
        <v>3436</v>
      </c>
      <c r="D117" s="105"/>
      <c r="E117" s="106"/>
      <c r="F117" s="105"/>
      <c r="G117" s="106"/>
      <c r="H117" s="175" t="s">
        <v>3324</v>
      </c>
      <c r="I117" s="176" t="s">
        <v>3325</v>
      </c>
      <c r="J117" s="176" t="s">
        <v>3325</v>
      </c>
      <c r="K117" s="176" t="s">
        <v>1235</v>
      </c>
      <c r="L117" s="145" t="s">
        <v>3326</v>
      </c>
      <c r="M117" s="45" t="str">
        <f t="shared" si="2"/>
        <v>OneCo Networks AS</v>
      </c>
      <c r="N117" s="40" t="str">
        <f ca="1">IFERROR(
VLOOKUP(BoM_Solar[[#This Row],[Product code]],
IF(AND((BoQ!$N$3&lt;&gt;""),OR(BoM_Solar[[#This Row],[Vendor]]="Griptel",BoM_Solar[[#This Row],[Vendor]]="Solar")),INDIRECT(Aux!$A$1)),4,FALSE),"")</f>
        <v/>
      </c>
      <c r="O117" s="169" t="s">
        <v>1807</v>
      </c>
      <c r="P117" s="41" t="str">
        <f>IFERROR(IF(AND(BoM_Solar[[#This Row],[Quantity]]&lt;&gt;"",BoM_Solar[[#This Row],[Currency]]="NOK"),BoM_Solar[[#This Row],[Quantity]]*BoM_Solar[[#This Row],[Unit Price]],""),"")</f>
        <v/>
      </c>
      <c r="Q117" s="41" t="str">
        <f>IFERROR(IF(AND(BoM_Solar[[#This Row],[ACT_Qty]]&lt;&gt;"",BoM_Solar[[#This Row],[Currency]]="NOK"),BoM_Solar[[#This Row],[ACT_Qty]]*BoM_Solar[[#This Row],[Unit Price]],""),"")</f>
        <v/>
      </c>
      <c r="R117" s="41" t="str">
        <f>IFERROR(IF(AND(BoM_Solar[[#This Row],[Quantity]]&lt;&gt;"",BoM_Solar[[#This Row],[Currency]]="EUR"),BoM_Solar[[#This Row],[Quantity]]*BoM_Solar[[#This Row],[Unit Price]],""),"")</f>
        <v/>
      </c>
      <c r="S117" s="41" t="str">
        <f>IFERROR(IF(AND(BoM_Solar[[#This Row],[ACT_Qty]]&lt;&gt;"",BoM_Solar[[#This Row],[Currency]]="EUR"),BoM_Solar[[#This Row],[ACT_Qty]]*BoM_Solar[[#This Row],[Unit Price]],""),"")</f>
        <v/>
      </c>
      <c r="T117" s="185"/>
      <c r="U117" s="45"/>
      <c r="V117" s="45"/>
      <c r="W117" s="45"/>
    </row>
    <row r="118" spans="1:23" ht="15" customHeight="1">
      <c r="A118" s="146" t="str">
        <f t="shared" si="0"/>
        <v>AKH12345</v>
      </c>
      <c r="B118" s="199">
        <v>1808613</v>
      </c>
      <c r="C118" s="200" t="s">
        <v>3437</v>
      </c>
      <c r="D118" s="105"/>
      <c r="E118" s="106"/>
      <c r="F118" s="105"/>
      <c r="G118" s="106"/>
      <c r="H118" s="175" t="s">
        <v>3324</v>
      </c>
      <c r="I118" s="176" t="s">
        <v>3325</v>
      </c>
      <c r="J118" s="176" t="s">
        <v>3325</v>
      </c>
      <c r="K118" s="176" t="s">
        <v>1235</v>
      </c>
      <c r="L118" s="145" t="s">
        <v>3326</v>
      </c>
      <c r="M118" s="45" t="str">
        <f t="shared" si="2"/>
        <v>OneCo Networks AS</v>
      </c>
      <c r="N118" s="40" t="str">
        <f ca="1">IFERROR(
VLOOKUP(BoM_Solar[[#This Row],[Product code]],
IF(AND((BoQ!$N$3&lt;&gt;""),OR(BoM_Solar[[#This Row],[Vendor]]="Griptel",BoM_Solar[[#This Row],[Vendor]]="Solar")),INDIRECT(Aux!$A$1)),4,FALSE),"")</f>
        <v/>
      </c>
      <c r="O118" s="169" t="s">
        <v>1807</v>
      </c>
      <c r="P118" s="41" t="str">
        <f>IFERROR(IF(AND(BoM_Solar[[#This Row],[Quantity]]&lt;&gt;"",BoM_Solar[[#This Row],[Currency]]="NOK"),BoM_Solar[[#This Row],[Quantity]]*BoM_Solar[[#This Row],[Unit Price]],""),"")</f>
        <v/>
      </c>
      <c r="Q118" s="41" t="str">
        <f>IFERROR(IF(AND(BoM_Solar[[#This Row],[ACT_Qty]]&lt;&gt;"",BoM_Solar[[#This Row],[Currency]]="NOK"),BoM_Solar[[#This Row],[ACT_Qty]]*BoM_Solar[[#This Row],[Unit Price]],""),"")</f>
        <v/>
      </c>
      <c r="R118" s="41" t="str">
        <f>IFERROR(IF(AND(BoM_Solar[[#This Row],[Quantity]]&lt;&gt;"",BoM_Solar[[#This Row],[Currency]]="EUR"),BoM_Solar[[#This Row],[Quantity]]*BoM_Solar[[#This Row],[Unit Price]],""),"")</f>
        <v/>
      </c>
      <c r="S118" s="41" t="str">
        <f>IFERROR(IF(AND(BoM_Solar[[#This Row],[ACT_Qty]]&lt;&gt;"",BoM_Solar[[#This Row],[Currency]]="EUR"),BoM_Solar[[#This Row],[ACT_Qty]]*BoM_Solar[[#This Row],[Unit Price]],""),"")</f>
        <v/>
      </c>
      <c r="T118" s="185"/>
      <c r="U118" s="45"/>
      <c r="V118" s="45"/>
      <c r="W118" s="45"/>
    </row>
    <row r="119" spans="1:23" ht="15" customHeight="1">
      <c r="A119" s="146" t="str">
        <f t="shared" si="0"/>
        <v>AKH12345</v>
      </c>
      <c r="B119" s="199">
        <v>1204230</v>
      </c>
      <c r="C119" s="200" t="s">
        <v>3438</v>
      </c>
      <c r="D119" s="105"/>
      <c r="E119" s="106"/>
      <c r="F119" s="105"/>
      <c r="G119" s="106"/>
      <c r="H119" s="175" t="s">
        <v>3324</v>
      </c>
      <c r="I119" s="176" t="s">
        <v>3325</v>
      </c>
      <c r="J119" s="176" t="s">
        <v>3325</v>
      </c>
      <c r="K119" s="176" t="s">
        <v>1235</v>
      </c>
      <c r="L119" s="145" t="s">
        <v>3326</v>
      </c>
      <c r="M119" s="45" t="str">
        <f t="shared" si="2"/>
        <v>OneCo Networks AS</v>
      </c>
      <c r="N119" s="40" t="str">
        <f ca="1">IFERROR(
VLOOKUP(BoM_Solar[[#This Row],[Product code]],
IF(AND((BoQ!$N$3&lt;&gt;""),OR(BoM_Solar[[#This Row],[Vendor]]="Griptel",BoM_Solar[[#This Row],[Vendor]]="Solar")),INDIRECT(Aux!$A$1)),4,FALSE),"")</f>
        <v/>
      </c>
      <c r="O119" s="169" t="s">
        <v>1807</v>
      </c>
      <c r="P119" s="41" t="str">
        <f>IFERROR(IF(AND(BoM_Solar[[#This Row],[Quantity]]&lt;&gt;"",BoM_Solar[[#This Row],[Currency]]="NOK"),BoM_Solar[[#This Row],[Quantity]]*BoM_Solar[[#This Row],[Unit Price]],""),"")</f>
        <v/>
      </c>
      <c r="Q119" s="41" t="str">
        <f>IFERROR(IF(AND(BoM_Solar[[#This Row],[ACT_Qty]]&lt;&gt;"",BoM_Solar[[#This Row],[Currency]]="NOK"),BoM_Solar[[#This Row],[ACT_Qty]]*BoM_Solar[[#This Row],[Unit Price]],""),"")</f>
        <v/>
      </c>
      <c r="R119" s="41" t="str">
        <f>IFERROR(IF(AND(BoM_Solar[[#This Row],[Quantity]]&lt;&gt;"",BoM_Solar[[#This Row],[Currency]]="EUR"),BoM_Solar[[#This Row],[Quantity]]*BoM_Solar[[#This Row],[Unit Price]],""),"")</f>
        <v/>
      </c>
      <c r="S119" s="41" t="str">
        <f>IFERROR(IF(AND(BoM_Solar[[#This Row],[ACT_Qty]]&lt;&gt;"",BoM_Solar[[#This Row],[Currency]]="EUR"),BoM_Solar[[#This Row],[ACT_Qty]]*BoM_Solar[[#This Row],[Unit Price]],""),"")</f>
        <v/>
      </c>
      <c r="T119" s="185"/>
      <c r="U119" s="45"/>
      <c r="V119" s="45"/>
      <c r="W119" s="45"/>
    </row>
    <row r="120" spans="1:23" ht="15" customHeight="1">
      <c r="A120" s="146" t="str">
        <f t="shared" si="0"/>
        <v>AKH12345</v>
      </c>
      <c r="B120" s="199">
        <v>6972447</v>
      </c>
      <c r="C120" s="200" t="s">
        <v>3439</v>
      </c>
      <c r="D120" s="105"/>
      <c r="E120" s="106"/>
      <c r="F120" s="105"/>
      <c r="G120" s="106"/>
      <c r="H120" s="175" t="s">
        <v>3324</v>
      </c>
      <c r="I120" s="176" t="s">
        <v>3325</v>
      </c>
      <c r="J120" s="176" t="s">
        <v>3325</v>
      </c>
      <c r="K120" s="176" t="s">
        <v>1235</v>
      </c>
      <c r="L120" s="145" t="s">
        <v>3326</v>
      </c>
      <c r="M120" s="45" t="str">
        <f t="shared" si="2"/>
        <v>OneCo Networks AS</v>
      </c>
      <c r="N120" s="40" t="str">
        <f ca="1">IFERROR(
VLOOKUP(BoM_Solar[[#This Row],[Product code]],
IF(AND((BoQ!$N$3&lt;&gt;""),OR(BoM_Solar[[#This Row],[Vendor]]="Griptel",BoM_Solar[[#This Row],[Vendor]]="Solar")),INDIRECT(Aux!$A$1)),4,FALSE),"")</f>
        <v/>
      </c>
      <c r="O120" s="169" t="s">
        <v>1807</v>
      </c>
      <c r="P120" s="41" t="str">
        <f>IFERROR(IF(AND(BoM_Solar[[#This Row],[Quantity]]&lt;&gt;"",BoM_Solar[[#This Row],[Currency]]="NOK"),BoM_Solar[[#This Row],[Quantity]]*BoM_Solar[[#This Row],[Unit Price]],""),"")</f>
        <v/>
      </c>
      <c r="Q120" s="41" t="str">
        <f>IFERROR(IF(AND(BoM_Solar[[#This Row],[ACT_Qty]]&lt;&gt;"",BoM_Solar[[#This Row],[Currency]]="NOK"),BoM_Solar[[#This Row],[ACT_Qty]]*BoM_Solar[[#This Row],[Unit Price]],""),"")</f>
        <v/>
      </c>
      <c r="R120" s="41" t="str">
        <f>IFERROR(IF(AND(BoM_Solar[[#This Row],[Quantity]]&lt;&gt;"",BoM_Solar[[#This Row],[Currency]]="EUR"),BoM_Solar[[#This Row],[Quantity]]*BoM_Solar[[#This Row],[Unit Price]],""),"")</f>
        <v/>
      </c>
      <c r="S120" s="41" t="str">
        <f>IFERROR(IF(AND(BoM_Solar[[#This Row],[ACT_Qty]]&lt;&gt;"",BoM_Solar[[#This Row],[Currency]]="EUR"),BoM_Solar[[#This Row],[ACT_Qty]]*BoM_Solar[[#This Row],[Unit Price]],""),"")</f>
        <v/>
      </c>
      <c r="T120" s="185"/>
      <c r="U120" s="45"/>
      <c r="V120" s="45"/>
      <c r="W120" s="45"/>
    </row>
    <row r="121" spans="1:23" ht="15" customHeight="1">
      <c r="A121" s="146" t="str">
        <f t="shared" si="0"/>
        <v>AKH12345</v>
      </c>
      <c r="B121" s="199">
        <v>1821026</v>
      </c>
      <c r="C121" s="200" t="s">
        <v>3440</v>
      </c>
      <c r="D121" s="105"/>
      <c r="E121" s="106"/>
      <c r="F121" s="105"/>
      <c r="G121" s="106"/>
      <c r="H121" s="175" t="s">
        <v>3324</v>
      </c>
      <c r="I121" s="176" t="s">
        <v>3325</v>
      </c>
      <c r="J121" s="176" t="s">
        <v>3325</v>
      </c>
      <c r="K121" s="176" t="s">
        <v>1235</v>
      </c>
      <c r="L121" s="145" t="s">
        <v>3326</v>
      </c>
      <c r="M121" s="45" t="str">
        <f t="shared" si="2"/>
        <v>OneCo Networks AS</v>
      </c>
      <c r="N121" s="40" t="str">
        <f ca="1">IFERROR(
VLOOKUP(BoM_Solar[[#This Row],[Product code]],
IF(AND((BoQ!$N$3&lt;&gt;""),OR(BoM_Solar[[#This Row],[Vendor]]="Griptel",BoM_Solar[[#This Row],[Vendor]]="Solar")),INDIRECT(Aux!$A$1)),4,FALSE),"")</f>
        <v/>
      </c>
      <c r="O121" s="169" t="s">
        <v>1807</v>
      </c>
      <c r="P121" s="41" t="str">
        <f>IFERROR(IF(AND(BoM_Solar[[#This Row],[Quantity]]&lt;&gt;"",BoM_Solar[[#This Row],[Currency]]="NOK"),BoM_Solar[[#This Row],[Quantity]]*BoM_Solar[[#This Row],[Unit Price]],""),"")</f>
        <v/>
      </c>
      <c r="Q121" s="41" t="str">
        <f>IFERROR(IF(AND(BoM_Solar[[#This Row],[ACT_Qty]]&lt;&gt;"",BoM_Solar[[#This Row],[Currency]]="NOK"),BoM_Solar[[#This Row],[ACT_Qty]]*BoM_Solar[[#This Row],[Unit Price]],""),"")</f>
        <v/>
      </c>
      <c r="R121" s="41" t="str">
        <f>IFERROR(IF(AND(BoM_Solar[[#This Row],[Quantity]]&lt;&gt;"",BoM_Solar[[#This Row],[Currency]]="EUR"),BoM_Solar[[#This Row],[Quantity]]*BoM_Solar[[#This Row],[Unit Price]],""),"")</f>
        <v/>
      </c>
      <c r="S121" s="41" t="str">
        <f>IFERROR(IF(AND(BoM_Solar[[#This Row],[ACT_Qty]]&lt;&gt;"",BoM_Solar[[#This Row],[Currency]]="EUR"),BoM_Solar[[#This Row],[ACT_Qty]]*BoM_Solar[[#This Row],[Unit Price]],""),"")</f>
        <v/>
      </c>
      <c r="T121" s="185"/>
      <c r="U121" s="45"/>
      <c r="V121" s="45"/>
      <c r="W121" s="45"/>
    </row>
    <row r="122" spans="1:23" ht="15" customHeight="1">
      <c r="A122" s="146" t="str">
        <f t="shared" si="0"/>
        <v>AKH12345</v>
      </c>
      <c r="B122" s="199">
        <v>1103870</v>
      </c>
      <c r="C122" s="200" t="s">
        <v>3441</v>
      </c>
      <c r="D122" s="105"/>
      <c r="E122" s="106"/>
      <c r="F122" s="105"/>
      <c r="G122" s="106"/>
      <c r="H122" s="175" t="s">
        <v>3324</v>
      </c>
      <c r="I122" s="176" t="s">
        <v>3325</v>
      </c>
      <c r="J122" s="176" t="s">
        <v>3325</v>
      </c>
      <c r="K122" s="176" t="s">
        <v>1235</v>
      </c>
      <c r="L122" s="145" t="s">
        <v>3326</v>
      </c>
      <c r="M122" s="45" t="str">
        <f t="shared" si="2"/>
        <v>OneCo Networks AS</v>
      </c>
      <c r="N122" s="40" t="str">
        <f ca="1">IFERROR(
VLOOKUP(BoM_Solar[[#This Row],[Product code]],
IF(AND((BoQ!$N$3&lt;&gt;""),OR(BoM_Solar[[#This Row],[Vendor]]="Griptel",BoM_Solar[[#This Row],[Vendor]]="Solar")),INDIRECT(Aux!$A$1)),4,FALSE),"")</f>
        <v/>
      </c>
      <c r="O122" s="169" t="s">
        <v>1807</v>
      </c>
      <c r="P122" s="41" t="str">
        <f>IFERROR(IF(AND(BoM_Solar[[#This Row],[Quantity]]&lt;&gt;"",BoM_Solar[[#This Row],[Currency]]="NOK"),BoM_Solar[[#This Row],[Quantity]]*BoM_Solar[[#This Row],[Unit Price]],""),"")</f>
        <v/>
      </c>
      <c r="Q122" s="41" t="str">
        <f>IFERROR(IF(AND(BoM_Solar[[#This Row],[ACT_Qty]]&lt;&gt;"",BoM_Solar[[#This Row],[Currency]]="NOK"),BoM_Solar[[#This Row],[ACT_Qty]]*BoM_Solar[[#This Row],[Unit Price]],""),"")</f>
        <v/>
      </c>
      <c r="R122" s="41" t="str">
        <f>IFERROR(IF(AND(BoM_Solar[[#This Row],[Quantity]]&lt;&gt;"",BoM_Solar[[#This Row],[Currency]]="EUR"),BoM_Solar[[#This Row],[Quantity]]*BoM_Solar[[#This Row],[Unit Price]],""),"")</f>
        <v/>
      </c>
      <c r="S122" s="41" t="str">
        <f>IFERROR(IF(AND(BoM_Solar[[#This Row],[ACT_Qty]]&lt;&gt;"",BoM_Solar[[#This Row],[Currency]]="EUR"),BoM_Solar[[#This Row],[ACT_Qty]]*BoM_Solar[[#This Row],[Unit Price]],""),"")</f>
        <v/>
      </c>
      <c r="T122" s="185"/>
      <c r="U122" s="45"/>
      <c r="V122" s="45"/>
      <c r="W122" s="45"/>
    </row>
    <row r="123" spans="1:23" ht="15" customHeight="1">
      <c r="A123" s="146" t="str">
        <f t="shared" si="0"/>
        <v>AKH12345</v>
      </c>
      <c r="B123" s="199">
        <v>1103879</v>
      </c>
      <c r="C123" s="200" t="s">
        <v>3442</v>
      </c>
      <c r="D123" s="105"/>
      <c r="E123" s="106"/>
      <c r="F123" s="105"/>
      <c r="G123" s="106"/>
      <c r="H123" s="175" t="s">
        <v>3324</v>
      </c>
      <c r="I123" s="176" t="s">
        <v>3325</v>
      </c>
      <c r="J123" s="176" t="s">
        <v>3325</v>
      </c>
      <c r="K123" s="176" t="s">
        <v>1235</v>
      </c>
      <c r="L123" s="145" t="s">
        <v>3326</v>
      </c>
      <c r="M123" s="45" t="str">
        <f t="shared" si="2"/>
        <v>OneCo Networks AS</v>
      </c>
      <c r="N123" s="40" t="str">
        <f ca="1">IFERROR(
VLOOKUP(BoM_Solar[[#This Row],[Product code]],
IF(AND((BoQ!$N$3&lt;&gt;""),OR(BoM_Solar[[#This Row],[Vendor]]="Griptel",BoM_Solar[[#This Row],[Vendor]]="Solar")),INDIRECT(Aux!$A$1)),4,FALSE),"")</f>
        <v/>
      </c>
      <c r="O123" s="169" t="s">
        <v>1807</v>
      </c>
      <c r="P123" s="41" t="str">
        <f>IFERROR(IF(AND(BoM_Solar[[#This Row],[Quantity]]&lt;&gt;"",BoM_Solar[[#This Row],[Currency]]="NOK"),BoM_Solar[[#This Row],[Quantity]]*BoM_Solar[[#This Row],[Unit Price]],""),"")</f>
        <v/>
      </c>
      <c r="Q123" s="41" t="str">
        <f>IFERROR(IF(AND(BoM_Solar[[#This Row],[ACT_Qty]]&lt;&gt;"",BoM_Solar[[#This Row],[Currency]]="NOK"),BoM_Solar[[#This Row],[ACT_Qty]]*BoM_Solar[[#This Row],[Unit Price]],""),"")</f>
        <v/>
      </c>
      <c r="R123" s="41" t="str">
        <f>IFERROR(IF(AND(BoM_Solar[[#This Row],[Quantity]]&lt;&gt;"",BoM_Solar[[#This Row],[Currency]]="EUR"),BoM_Solar[[#This Row],[Quantity]]*BoM_Solar[[#This Row],[Unit Price]],""),"")</f>
        <v/>
      </c>
      <c r="S123" s="41" t="str">
        <f>IFERROR(IF(AND(BoM_Solar[[#This Row],[ACT_Qty]]&lt;&gt;"",BoM_Solar[[#This Row],[Currency]]="EUR"),BoM_Solar[[#This Row],[ACT_Qty]]*BoM_Solar[[#This Row],[Unit Price]],""),"")</f>
        <v/>
      </c>
      <c r="T123" s="185"/>
      <c r="U123" s="45"/>
      <c r="V123" s="45"/>
      <c r="W123" s="45"/>
    </row>
    <row r="124" spans="1:23" ht="15" customHeight="1">
      <c r="A124" s="146" t="str">
        <f t="shared" si="0"/>
        <v>AKH12345</v>
      </c>
      <c r="B124" s="199">
        <v>1750022</v>
      </c>
      <c r="C124" s="200" t="s">
        <v>3443</v>
      </c>
      <c r="D124" s="105"/>
      <c r="E124" s="106"/>
      <c r="F124" s="105"/>
      <c r="G124" s="106"/>
      <c r="H124" s="175" t="s">
        <v>3324</v>
      </c>
      <c r="I124" s="176" t="s">
        <v>3325</v>
      </c>
      <c r="J124" s="176" t="s">
        <v>3325</v>
      </c>
      <c r="K124" s="176" t="s">
        <v>1235</v>
      </c>
      <c r="L124" s="145" t="s">
        <v>3326</v>
      </c>
      <c r="M124" s="45" t="str">
        <f t="shared" si="2"/>
        <v>OneCo Networks AS</v>
      </c>
      <c r="N124" s="40" t="str">
        <f ca="1">IFERROR(
VLOOKUP(BoM_Solar[[#This Row],[Product code]],
IF(AND((BoQ!$N$3&lt;&gt;""),OR(BoM_Solar[[#This Row],[Vendor]]="Griptel",BoM_Solar[[#This Row],[Vendor]]="Solar")),INDIRECT(Aux!$A$1)),4,FALSE),"")</f>
        <v/>
      </c>
      <c r="O124" s="169" t="s">
        <v>1807</v>
      </c>
      <c r="P124" s="41" t="str">
        <f>IFERROR(IF(AND(BoM_Solar[[#This Row],[Quantity]]&lt;&gt;"",BoM_Solar[[#This Row],[Currency]]="NOK"),BoM_Solar[[#This Row],[Quantity]]*BoM_Solar[[#This Row],[Unit Price]],""),"")</f>
        <v/>
      </c>
      <c r="Q124" s="41" t="str">
        <f>IFERROR(IF(AND(BoM_Solar[[#This Row],[ACT_Qty]]&lt;&gt;"",BoM_Solar[[#This Row],[Currency]]="NOK"),BoM_Solar[[#This Row],[ACT_Qty]]*BoM_Solar[[#This Row],[Unit Price]],""),"")</f>
        <v/>
      </c>
      <c r="R124" s="41" t="str">
        <f>IFERROR(IF(AND(BoM_Solar[[#This Row],[Quantity]]&lt;&gt;"",BoM_Solar[[#This Row],[Currency]]="EUR"),BoM_Solar[[#This Row],[Quantity]]*BoM_Solar[[#This Row],[Unit Price]],""),"")</f>
        <v/>
      </c>
      <c r="S124" s="41" t="str">
        <f>IFERROR(IF(AND(BoM_Solar[[#This Row],[ACT_Qty]]&lt;&gt;"",BoM_Solar[[#This Row],[Currency]]="EUR"),BoM_Solar[[#This Row],[ACT_Qty]]*BoM_Solar[[#This Row],[Unit Price]],""),"")</f>
        <v/>
      </c>
      <c r="T124" s="185"/>
      <c r="U124" s="45"/>
      <c r="V124" s="45"/>
      <c r="W124" s="45"/>
    </row>
    <row r="125" spans="1:23" ht="15" customHeight="1">
      <c r="A125" s="146" t="str">
        <f t="shared" si="0"/>
        <v>AKH12345</v>
      </c>
      <c r="B125" s="199">
        <v>1728001</v>
      </c>
      <c r="C125" s="200" t="s">
        <v>3444</v>
      </c>
      <c r="D125" s="105"/>
      <c r="E125" s="106"/>
      <c r="F125" s="105"/>
      <c r="G125" s="106"/>
      <c r="H125" s="175" t="s">
        <v>3324</v>
      </c>
      <c r="I125" s="176" t="s">
        <v>3325</v>
      </c>
      <c r="J125" s="176" t="s">
        <v>3325</v>
      </c>
      <c r="K125" s="176" t="s">
        <v>1235</v>
      </c>
      <c r="L125" s="145" t="s">
        <v>3326</v>
      </c>
      <c r="M125" s="45" t="str">
        <f t="shared" si="2"/>
        <v>OneCo Networks AS</v>
      </c>
      <c r="N125" s="40" t="str">
        <f ca="1">IFERROR(
VLOOKUP(BoM_Solar[[#This Row],[Product code]],
IF(AND((BoQ!$N$3&lt;&gt;""),OR(BoM_Solar[[#This Row],[Vendor]]="Griptel",BoM_Solar[[#This Row],[Vendor]]="Solar")),INDIRECT(Aux!$A$1)),4,FALSE),"")</f>
        <v/>
      </c>
      <c r="O125" s="169" t="s">
        <v>1807</v>
      </c>
      <c r="P125" s="41" t="str">
        <f>IFERROR(IF(AND(BoM_Solar[[#This Row],[Quantity]]&lt;&gt;"",BoM_Solar[[#This Row],[Currency]]="NOK"),BoM_Solar[[#This Row],[Quantity]]*BoM_Solar[[#This Row],[Unit Price]],""),"")</f>
        <v/>
      </c>
      <c r="Q125" s="41" t="str">
        <f>IFERROR(IF(AND(BoM_Solar[[#This Row],[ACT_Qty]]&lt;&gt;"",BoM_Solar[[#This Row],[Currency]]="NOK"),BoM_Solar[[#This Row],[ACT_Qty]]*BoM_Solar[[#This Row],[Unit Price]],""),"")</f>
        <v/>
      </c>
      <c r="R125" s="41" t="str">
        <f>IFERROR(IF(AND(BoM_Solar[[#This Row],[Quantity]]&lt;&gt;"",BoM_Solar[[#This Row],[Currency]]="EUR"),BoM_Solar[[#This Row],[Quantity]]*BoM_Solar[[#This Row],[Unit Price]],""),"")</f>
        <v/>
      </c>
      <c r="S125" s="41" t="str">
        <f>IFERROR(IF(AND(BoM_Solar[[#This Row],[ACT_Qty]]&lt;&gt;"",BoM_Solar[[#This Row],[Currency]]="EUR"),BoM_Solar[[#This Row],[ACT_Qty]]*BoM_Solar[[#This Row],[Unit Price]],""),"")</f>
        <v/>
      </c>
      <c r="T125" s="185"/>
      <c r="U125" s="45"/>
      <c r="V125" s="45"/>
      <c r="W125" s="45"/>
    </row>
    <row r="126" spans="1:23" ht="15" customHeight="1">
      <c r="A126" s="146" t="str">
        <f t="shared" si="0"/>
        <v>AKH12345</v>
      </c>
      <c r="B126" s="199">
        <v>1266000</v>
      </c>
      <c r="C126" s="200" t="s">
        <v>3445</v>
      </c>
      <c r="D126" s="105"/>
      <c r="E126" s="106"/>
      <c r="F126" s="105"/>
      <c r="G126" s="106"/>
      <c r="H126" s="175" t="s">
        <v>3324</v>
      </c>
      <c r="I126" s="176" t="s">
        <v>3325</v>
      </c>
      <c r="J126" s="176" t="s">
        <v>3325</v>
      </c>
      <c r="K126" s="176" t="s">
        <v>1235</v>
      </c>
      <c r="L126" s="145" t="s">
        <v>3326</v>
      </c>
      <c r="M126" s="45" t="str">
        <f t="shared" si="2"/>
        <v>OneCo Networks AS</v>
      </c>
      <c r="N126" s="40" t="str">
        <f ca="1">IFERROR(
VLOOKUP(BoM_Solar[[#This Row],[Product code]],
IF(AND((BoQ!$N$3&lt;&gt;""),OR(BoM_Solar[[#This Row],[Vendor]]="Griptel",BoM_Solar[[#This Row],[Vendor]]="Solar")),INDIRECT(Aux!$A$1)),4,FALSE),"")</f>
        <v/>
      </c>
      <c r="O126" s="169" t="s">
        <v>1807</v>
      </c>
      <c r="P126" s="41" t="str">
        <f>IFERROR(IF(AND(BoM_Solar[[#This Row],[Quantity]]&lt;&gt;"",BoM_Solar[[#This Row],[Currency]]="NOK"),BoM_Solar[[#This Row],[Quantity]]*BoM_Solar[[#This Row],[Unit Price]],""),"")</f>
        <v/>
      </c>
      <c r="Q126" s="41" t="str">
        <f>IFERROR(IF(AND(BoM_Solar[[#This Row],[ACT_Qty]]&lt;&gt;"",BoM_Solar[[#This Row],[Currency]]="NOK"),BoM_Solar[[#This Row],[ACT_Qty]]*BoM_Solar[[#This Row],[Unit Price]],""),"")</f>
        <v/>
      </c>
      <c r="R126" s="41" t="str">
        <f>IFERROR(IF(AND(BoM_Solar[[#This Row],[Quantity]]&lt;&gt;"",BoM_Solar[[#This Row],[Currency]]="EUR"),BoM_Solar[[#This Row],[Quantity]]*BoM_Solar[[#This Row],[Unit Price]],""),"")</f>
        <v/>
      </c>
      <c r="S126" s="41" t="str">
        <f>IFERROR(IF(AND(BoM_Solar[[#This Row],[ACT_Qty]]&lt;&gt;"",BoM_Solar[[#This Row],[Currency]]="EUR"),BoM_Solar[[#This Row],[ACT_Qty]]*BoM_Solar[[#This Row],[Unit Price]],""),"")</f>
        <v/>
      </c>
      <c r="T126" s="185"/>
      <c r="U126" s="45"/>
      <c r="V126" s="45"/>
      <c r="W126" s="45"/>
    </row>
    <row r="127" spans="1:23" ht="15" customHeight="1">
      <c r="A127" s="146" t="str">
        <f t="shared" si="0"/>
        <v>AKH12345</v>
      </c>
      <c r="B127" s="199">
        <v>1807950</v>
      </c>
      <c r="C127" s="200" t="s">
        <v>3446</v>
      </c>
      <c r="D127" s="105"/>
      <c r="E127" s="106"/>
      <c r="F127" s="105"/>
      <c r="G127" s="106"/>
      <c r="H127" s="175" t="s">
        <v>3324</v>
      </c>
      <c r="I127" s="176" t="s">
        <v>3325</v>
      </c>
      <c r="J127" s="176" t="s">
        <v>3325</v>
      </c>
      <c r="K127" s="176" t="s">
        <v>1235</v>
      </c>
      <c r="L127" s="145" t="s">
        <v>3326</v>
      </c>
      <c r="M127" s="45" t="str">
        <f t="shared" si="2"/>
        <v>OneCo Networks AS</v>
      </c>
      <c r="N127" s="40" t="str">
        <f ca="1">IFERROR(
VLOOKUP(BoM_Solar[[#This Row],[Product code]],
IF(AND((BoQ!$N$3&lt;&gt;""),OR(BoM_Solar[[#This Row],[Vendor]]="Griptel",BoM_Solar[[#This Row],[Vendor]]="Solar")),INDIRECT(Aux!$A$1)),4,FALSE),"")</f>
        <v/>
      </c>
      <c r="O127" s="169" t="s">
        <v>1807</v>
      </c>
      <c r="P127" s="41" t="str">
        <f>IFERROR(IF(AND(BoM_Solar[[#This Row],[Quantity]]&lt;&gt;"",BoM_Solar[[#This Row],[Currency]]="NOK"),BoM_Solar[[#This Row],[Quantity]]*BoM_Solar[[#This Row],[Unit Price]],""),"")</f>
        <v/>
      </c>
      <c r="Q127" s="41" t="str">
        <f>IFERROR(IF(AND(BoM_Solar[[#This Row],[ACT_Qty]]&lt;&gt;"",BoM_Solar[[#This Row],[Currency]]="NOK"),BoM_Solar[[#This Row],[ACT_Qty]]*BoM_Solar[[#This Row],[Unit Price]],""),"")</f>
        <v/>
      </c>
      <c r="R127" s="41" t="str">
        <f>IFERROR(IF(AND(BoM_Solar[[#This Row],[Quantity]]&lt;&gt;"",BoM_Solar[[#This Row],[Currency]]="EUR"),BoM_Solar[[#This Row],[Quantity]]*BoM_Solar[[#This Row],[Unit Price]],""),"")</f>
        <v/>
      </c>
      <c r="S127" s="41" t="str">
        <f>IFERROR(IF(AND(BoM_Solar[[#This Row],[ACT_Qty]]&lt;&gt;"",BoM_Solar[[#This Row],[Currency]]="EUR"),BoM_Solar[[#This Row],[ACT_Qty]]*BoM_Solar[[#This Row],[Unit Price]],""),"")</f>
        <v/>
      </c>
      <c r="T127" s="185"/>
      <c r="U127" s="45"/>
      <c r="V127" s="45"/>
      <c r="W127" s="45"/>
    </row>
    <row r="128" spans="1:23" ht="15" customHeight="1">
      <c r="A128" s="146" t="str">
        <f t="shared" si="0"/>
        <v>AKH12345</v>
      </c>
      <c r="B128" s="199">
        <v>1048176</v>
      </c>
      <c r="C128" s="200" t="s">
        <v>3447</v>
      </c>
      <c r="D128" s="105"/>
      <c r="E128" s="106"/>
      <c r="F128" s="105"/>
      <c r="G128" s="106"/>
      <c r="H128" s="175" t="s">
        <v>3324</v>
      </c>
      <c r="I128" s="176" t="s">
        <v>3325</v>
      </c>
      <c r="J128" s="176" t="s">
        <v>3325</v>
      </c>
      <c r="K128" s="176" t="s">
        <v>1235</v>
      </c>
      <c r="L128" s="145" t="s">
        <v>3326</v>
      </c>
      <c r="M128" s="45" t="str">
        <f t="shared" si="2"/>
        <v>OneCo Networks AS</v>
      </c>
      <c r="N128" s="40" t="str">
        <f ca="1">IFERROR(
VLOOKUP(BoM_Solar[[#This Row],[Product code]],
IF(AND((BoQ!$N$3&lt;&gt;""),OR(BoM_Solar[[#This Row],[Vendor]]="Griptel",BoM_Solar[[#This Row],[Vendor]]="Solar")),INDIRECT(Aux!$A$1)),4,FALSE),"")</f>
        <v/>
      </c>
      <c r="O128" s="169" t="s">
        <v>1807</v>
      </c>
      <c r="P128" s="41" t="str">
        <f>IFERROR(IF(AND(BoM_Solar[[#This Row],[Quantity]]&lt;&gt;"",BoM_Solar[[#This Row],[Currency]]="NOK"),BoM_Solar[[#This Row],[Quantity]]*BoM_Solar[[#This Row],[Unit Price]],""),"")</f>
        <v/>
      </c>
      <c r="Q128" s="41" t="str">
        <f>IFERROR(IF(AND(BoM_Solar[[#This Row],[ACT_Qty]]&lt;&gt;"",BoM_Solar[[#This Row],[Currency]]="NOK"),BoM_Solar[[#This Row],[ACT_Qty]]*BoM_Solar[[#This Row],[Unit Price]],""),"")</f>
        <v/>
      </c>
      <c r="R128" s="41" t="str">
        <f>IFERROR(IF(AND(BoM_Solar[[#This Row],[Quantity]]&lt;&gt;"",BoM_Solar[[#This Row],[Currency]]="EUR"),BoM_Solar[[#This Row],[Quantity]]*BoM_Solar[[#This Row],[Unit Price]],""),"")</f>
        <v/>
      </c>
      <c r="S128" s="41" t="str">
        <f>IFERROR(IF(AND(BoM_Solar[[#This Row],[ACT_Qty]]&lt;&gt;"",BoM_Solar[[#This Row],[Currency]]="EUR"),BoM_Solar[[#This Row],[ACT_Qty]]*BoM_Solar[[#This Row],[Unit Price]],""),"")</f>
        <v/>
      </c>
      <c r="T128" s="185"/>
      <c r="U128" s="45"/>
      <c r="V128" s="45"/>
      <c r="W128" s="45"/>
    </row>
    <row r="129" spans="1:23" ht="15" customHeight="1">
      <c r="A129" s="146" t="str">
        <f t="shared" si="0"/>
        <v>AKH12345</v>
      </c>
      <c r="B129" s="199">
        <v>1048174</v>
      </c>
      <c r="C129" s="200" t="s">
        <v>3448</v>
      </c>
      <c r="D129" s="105"/>
      <c r="E129" s="106"/>
      <c r="F129" s="105"/>
      <c r="G129" s="106"/>
      <c r="H129" s="175" t="s">
        <v>3324</v>
      </c>
      <c r="I129" s="176" t="s">
        <v>3325</v>
      </c>
      <c r="J129" s="176" t="s">
        <v>3325</v>
      </c>
      <c r="K129" s="176" t="s">
        <v>1235</v>
      </c>
      <c r="L129" s="145" t="s">
        <v>3326</v>
      </c>
      <c r="M129" s="45" t="str">
        <f t="shared" si="2"/>
        <v>OneCo Networks AS</v>
      </c>
      <c r="N129" s="40" t="str">
        <f ca="1">IFERROR(
VLOOKUP(BoM_Solar[[#This Row],[Product code]],
IF(AND((BoQ!$N$3&lt;&gt;""),OR(BoM_Solar[[#This Row],[Vendor]]="Griptel",BoM_Solar[[#This Row],[Vendor]]="Solar")),INDIRECT(Aux!$A$1)),4,FALSE),"")</f>
        <v/>
      </c>
      <c r="O129" s="169" t="s">
        <v>1807</v>
      </c>
      <c r="P129" s="41" t="str">
        <f>IFERROR(IF(AND(BoM_Solar[[#This Row],[Quantity]]&lt;&gt;"",BoM_Solar[[#This Row],[Currency]]="NOK"),BoM_Solar[[#This Row],[Quantity]]*BoM_Solar[[#This Row],[Unit Price]],""),"")</f>
        <v/>
      </c>
      <c r="Q129" s="41" t="str">
        <f>IFERROR(IF(AND(BoM_Solar[[#This Row],[ACT_Qty]]&lt;&gt;"",BoM_Solar[[#This Row],[Currency]]="NOK"),BoM_Solar[[#This Row],[ACT_Qty]]*BoM_Solar[[#This Row],[Unit Price]],""),"")</f>
        <v/>
      </c>
      <c r="R129" s="41" t="str">
        <f>IFERROR(IF(AND(BoM_Solar[[#This Row],[Quantity]]&lt;&gt;"",BoM_Solar[[#This Row],[Currency]]="EUR"),BoM_Solar[[#This Row],[Quantity]]*BoM_Solar[[#This Row],[Unit Price]],""),"")</f>
        <v/>
      </c>
      <c r="S129" s="41" t="str">
        <f>IFERROR(IF(AND(BoM_Solar[[#This Row],[ACT_Qty]]&lt;&gt;"",BoM_Solar[[#This Row],[Currency]]="EUR"),BoM_Solar[[#This Row],[ACT_Qty]]*BoM_Solar[[#This Row],[Unit Price]],""),"")</f>
        <v/>
      </c>
      <c r="T129" s="185"/>
      <c r="U129" s="45"/>
      <c r="V129" s="45"/>
      <c r="W129" s="45"/>
    </row>
    <row r="130" spans="1:23" ht="15" customHeight="1">
      <c r="A130" s="146" t="str">
        <f t="shared" si="0"/>
        <v>AKH12345</v>
      </c>
      <c r="B130" s="199">
        <v>1048175</v>
      </c>
      <c r="C130" s="200" t="s">
        <v>3449</v>
      </c>
      <c r="D130" s="105"/>
      <c r="E130" s="106"/>
      <c r="F130" s="105"/>
      <c r="G130" s="106"/>
      <c r="H130" s="175" t="s">
        <v>3324</v>
      </c>
      <c r="I130" s="176" t="s">
        <v>3325</v>
      </c>
      <c r="J130" s="176" t="s">
        <v>3325</v>
      </c>
      <c r="K130" s="176" t="s">
        <v>1235</v>
      </c>
      <c r="L130" s="145" t="s">
        <v>3326</v>
      </c>
      <c r="M130" s="45" t="str">
        <f t="shared" si="2"/>
        <v>OneCo Networks AS</v>
      </c>
      <c r="N130" s="40" t="str">
        <f ca="1">IFERROR(
VLOOKUP(BoM_Solar[[#This Row],[Product code]],
IF(AND((BoQ!$N$3&lt;&gt;""),OR(BoM_Solar[[#This Row],[Vendor]]="Griptel",BoM_Solar[[#This Row],[Vendor]]="Solar")),INDIRECT(Aux!$A$1)),4,FALSE),"")</f>
        <v/>
      </c>
      <c r="O130" s="169" t="s">
        <v>1807</v>
      </c>
      <c r="P130" s="41" t="str">
        <f>IFERROR(IF(AND(BoM_Solar[[#This Row],[Quantity]]&lt;&gt;"",BoM_Solar[[#This Row],[Currency]]="NOK"),BoM_Solar[[#This Row],[Quantity]]*BoM_Solar[[#This Row],[Unit Price]],""),"")</f>
        <v/>
      </c>
      <c r="Q130" s="41" t="str">
        <f>IFERROR(IF(AND(BoM_Solar[[#This Row],[ACT_Qty]]&lt;&gt;"",BoM_Solar[[#This Row],[Currency]]="NOK"),BoM_Solar[[#This Row],[ACT_Qty]]*BoM_Solar[[#This Row],[Unit Price]],""),"")</f>
        <v/>
      </c>
      <c r="R130" s="41" t="str">
        <f>IFERROR(IF(AND(BoM_Solar[[#This Row],[Quantity]]&lt;&gt;"",BoM_Solar[[#This Row],[Currency]]="EUR"),BoM_Solar[[#This Row],[Quantity]]*BoM_Solar[[#This Row],[Unit Price]],""),"")</f>
        <v/>
      </c>
      <c r="S130" s="41" t="str">
        <f>IFERROR(IF(AND(BoM_Solar[[#This Row],[ACT_Qty]]&lt;&gt;"",BoM_Solar[[#This Row],[Currency]]="EUR"),BoM_Solar[[#This Row],[ACT_Qty]]*BoM_Solar[[#This Row],[Unit Price]],""),"")</f>
        <v/>
      </c>
      <c r="T130" s="185"/>
      <c r="U130" s="45"/>
      <c r="V130" s="45"/>
      <c r="W130" s="45"/>
    </row>
    <row r="131" spans="1:23" ht="15" customHeight="1">
      <c r="A131" s="146" t="str">
        <f t="shared" si="0"/>
        <v>AKH12345</v>
      </c>
      <c r="B131" s="199">
        <v>1048177</v>
      </c>
      <c r="C131" s="200" t="s">
        <v>3450</v>
      </c>
      <c r="D131" s="105"/>
      <c r="E131" s="106"/>
      <c r="F131" s="105"/>
      <c r="G131" s="106"/>
      <c r="H131" s="175" t="s">
        <v>3324</v>
      </c>
      <c r="I131" s="176" t="s">
        <v>3325</v>
      </c>
      <c r="J131" s="176" t="s">
        <v>3325</v>
      </c>
      <c r="K131" s="176" t="s">
        <v>1235</v>
      </c>
      <c r="L131" s="145" t="s">
        <v>3326</v>
      </c>
      <c r="M131" s="45" t="str">
        <f t="shared" si="2"/>
        <v>OneCo Networks AS</v>
      </c>
      <c r="N131" s="40" t="str">
        <f ca="1">IFERROR(
VLOOKUP(BoM_Solar[[#This Row],[Product code]],
IF(AND((BoQ!$N$3&lt;&gt;""),OR(BoM_Solar[[#This Row],[Vendor]]="Griptel",BoM_Solar[[#This Row],[Vendor]]="Solar")),INDIRECT(Aux!$A$1)),4,FALSE),"")</f>
        <v/>
      </c>
      <c r="O131" s="169" t="s">
        <v>1807</v>
      </c>
      <c r="P131" s="41" t="str">
        <f>IFERROR(IF(AND(BoM_Solar[[#This Row],[Quantity]]&lt;&gt;"",BoM_Solar[[#This Row],[Currency]]="NOK"),BoM_Solar[[#This Row],[Quantity]]*BoM_Solar[[#This Row],[Unit Price]],""),"")</f>
        <v/>
      </c>
      <c r="Q131" s="41" t="str">
        <f>IFERROR(IF(AND(BoM_Solar[[#This Row],[ACT_Qty]]&lt;&gt;"",BoM_Solar[[#This Row],[Currency]]="NOK"),BoM_Solar[[#This Row],[ACT_Qty]]*BoM_Solar[[#This Row],[Unit Price]],""),"")</f>
        <v/>
      </c>
      <c r="R131" s="41" t="str">
        <f>IFERROR(IF(AND(BoM_Solar[[#This Row],[Quantity]]&lt;&gt;"",BoM_Solar[[#This Row],[Currency]]="EUR"),BoM_Solar[[#This Row],[Quantity]]*BoM_Solar[[#This Row],[Unit Price]],""),"")</f>
        <v/>
      </c>
      <c r="S131" s="41" t="str">
        <f>IFERROR(IF(AND(BoM_Solar[[#This Row],[ACT_Qty]]&lt;&gt;"",BoM_Solar[[#This Row],[Currency]]="EUR"),BoM_Solar[[#This Row],[ACT_Qty]]*BoM_Solar[[#This Row],[Unit Price]],""),"")</f>
        <v/>
      </c>
      <c r="T131" s="185"/>
      <c r="U131" s="45"/>
      <c r="V131" s="45"/>
      <c r="W131" s="45"/>
    </row>
    <row r="132" spans="1:23" ht="15" customHeight="1">
      <c r="A132" s="146" t="str">
        <f t="shared" si="0"/>
        <v>AKH12345</v>
      </c>
      <c r="B132" s="199">
        <v>1048178</v>
      </c>
      <c r="C132" s="200" t="s">
        <v>3451</v>
      </c>
      <c r="D132" s="105"/>
      <c r="E132" s="106"/>
      <c r="F132" s="105"/>
      <c r="G132" s="106"/>
      <c r="H132" s="175" t="s">
        <v>3324</v>
      </c>
      <c r="I132" s="176" t="s">
        <v>3325</v>
      </c>
      <c r="J132" s="176" t="s">
        <v>3325</v>
      </c>
      <c r="K132" s="176" t="s">
        <v>1235</v>
      </c>
      <c r="L132" s="145" t="s">
        <v>3326</v>
      </c>
      <c r="M132" s="45" t="str">
        <f t="shared" si="2"/>
        <v>OneCo Networks AS</v>
      </c>
      <c r="N132" s="40" t="str">
        <f ca="1">IFERROR(
VLOOKUP(BoM_Solar[[#This Row],[Product code]],
IF(AND((BoQ!$N$3&lt;&gt;""),OR(BoM_Solar[[#This Row],[Vendor]]="Griptel",BoM_Solar[[#This Row],[Vendor]]="Solar")),INDIRECT(Aux!$A$1)),4,FALSE),"")</f>
        <v/>
      </c>
      <c r="O132" s="169" t="s">
        <v>1807</v>
      </c>
      <c r="P132" s="41" t="str">
        <f>IFERROR(IF(AND(BoM_Solar[[#This Row],[Quantity]]&lt;&gt;"",BoM_Solar[[#This Row],[Currency]]="NOK"),BoM_Solar[[#This Row],[Quantity]]*BoM_Solar[[#This Row],[Unit Price]],""),"")</f>
        <v/>
      </c>
      <c r="Q132" s="41" t="str">
        <f>IFERROR(IF(AND(BoM_Solar[[#This Row],[ACT_Qty]]&lt;&gt;"",BoM_Solar[[#This Row],[Currency]]="NOK"),BoM_Solar[[#This Row],[ACT_Qty]]*BoM_Solar[[#This Row],[Unit Price]],""),"")</f>
        <v/>
      </c>
      <c r="R132" s="41" t="str">
        <f>IFERROR(IF(AND(BoM_Solar[[#This Row],[Quantity]]&lt;&gt;"",BoM_Solar[[#This Row],[Currency]]="EUR"),BoM_Solar[[#This Row],[Quantity]]*BoM_Solar[[#This Row],[Unit Price]],""),"")</f>
        <v/>
      </c>
      <c r="S132" s="41" t="str">
        <f>IFERROR(IF(AND(BoM_Solar[[#This Row],[ACT_Qty]]&lt;&gt;"",BoM_Solar[[#This Row],[Currency]]="EUR"),BoM_Solar[[#This Row],[ACT_Qty]]*BoM_Solar[[#This Row],[Unit Price]],""),"")</f>
        <v/>
      </c>
      <c r="T132" s="185"/>
      <c r="U132" s="45"/>
      <c r="V132" s="45"/>
      <c r="W132" s="45"/>
    </row>
    <row r="133" spans="1:23" ht="15" customHeight="1">
      <c r="A133" s="146" t="str">
        <f t="shared" si="0"/>
        <v>AKH12345</v>
      </c>
      <c r="B133" s="199">
        <v>1013878</v>
      </c>
      <c r="C133" s="200" t="s">
        <v>3452</v>
      </c>
      <c r="D133" s="105"/>
      <c r="E133" s="106"/>
      <c r="F133" s="105"/>
      <c r="G133" s="106"/>
      <c r="H133" s="175" t="s">
        <v>3324</v>
      </c>
      <c r="I133" s="176" t="s">
        <v>3325</v>
      </c>
      <c r="J133" s="176" t="s">
        <v>3325</v>
      </c>
      <c r="K133" s="176" t="s">
        <v>1235</v>
      </c>
      <c r="L133" s="145" t="s">
        <v>3326</v>
      </c>
      <c r="M133" s="45" t="str">
        <f t="shared" si="2"/>
        <v>OneCo Networks AS</v>
      </c>
      <c r="N133" s="40" t="str">
        <f ca="1">IFERROR(
VLOOKUP(BoM_Solar[[#This Row],[Product code]],
IF(AND((BoQ!$N$3&lt;&gt;""),OR(BoM_Solar[[#This Row],[Vendor]]="Griptel",BoM_Solar[[#This Row],[Vendor]]="Solar")),INDIRECT(Aux!$A$1)),4,FALSE),"")</f>
        <v/>
      </c>
      <c r="O133" s="169" t="s">
        <v>1807</v>
      </c>
      <c r="P133" s="41" t="str">
        <f>IFERROR(IF(AND(BoM_Solar[[#This Row],[Quantity]]&lt;&gt;"",BoM_Solar[[#This Row],[Currency]]="NOK"),BoM_Solar[[#This Row],[Quantity]]*BoM_Solar[[#This Row],[Unit Price]],""),"")</f>
        <v/>
      </c>
      <c r="Q133" s="41" t="str">
        <f>IFERROR(IF(AND(BoM_Solar[[#This Row],[ACT_Qty]]&lt;&gt;"",BoM_Solar[[#This Row],[Currency]]="NOK"),BoM_Solar[[#This Row],[ACT_Qty]]*BoM_Solar[[#This Row],[Unit Price]],""),"")</f>
        <v/>
      </c>
      <c r="R133" s="41" t="str">
        <f>IFERROR(IF(AND(BoM_Solar[[#This Row],[Quantity]]&lt;&gt;"",BoM_Solar[[#This Row],[Currency]]="EUR"),BoM_Solar[[#This Row],[Quantity]]*BoM_Solar[[#This Row],[Unit Price]],""),"")</f>
        <v/>
      </c>
      <c r="S133" s="41" t="str">
        <f>IFERROR(IF(AND(BoM_Solar[[#This Row],[ACT_Qty]]&lt;&gt;"",BoM_Solar[[#This Row],[Currency]]="EUR"),BoM_Solar[[#This Row],[ACT_Qty]]*BoM_Solar[[#This Row],[Unit Price]],""),"")</f>
        <v/>
      </c>
      <c r="T133" s="185"/>
      <c r="U133" s="45"/>
      <c r="V133" s="45"/>
      <c r="W133" s="45"/>
    </row>
    <row r="134" spans="1:23" ht="15" customHeight="1">
      <c r="A134" s="146" t="str">
        <f t="shared" si="0"/>
        <v>AKH12345</v>
      </c>
      <c r="B134" s="199">
        <v>1013879</v>
      </c>
      <c r="C134" s="200" t="s">
        <v>3453</v>
      </c>
      <c r="D134" s="105"/>
      <c r="E134" s="106"/>
      <c r="F134" s="105"/>
      <c r="G134" s="106"/>
      <c r="H134" s="175" t="s">
        <v>3324</v>
      </c>
      <c r="I134" s="176" t="s">
        <v>3325</v>
      </c>
      <c r="J134" s="176" t="s">
        <v>3325</v>
      </c>
      <c r="K134" s="176" t="s">
        <v>1235</v>
      </c>
      <c r="L134" s="145" t="s">
        <v>3326</v>
      </c>
      <c r="M134" s="45" t="str">
        <f t="shared" si="2"/>
        <v>OneCo Networks AS</v>
      </c>
      <c r="N134" s="40" t="str">
        <f ca="1">IFERROR(
VLOOKUP(BoM_Solar[[#This Row],[Product code]],
IF(AND((BoQ!$N$3&lt;&gt;""),OR(BoM_Solar[[#This Row],[Vendor]]="Griptel",BoM_Solar[[#This Row],[Vendor]]="Solar")),INDIRECT(Aux!$A$1)),4,FALSE),"")</f>
        <v/>
      </c>
      <c r="O134" s="169" t="s">
        <v>1807</v>
      </c>
      <c r="P134" s="41" t="str">
        <f>IFERROR(IF(AND(BoM_Solar[[#This Row],[Quantity]]&lt;&gt;"",BoM_Solar[[#This Row],[Currency]]="NOK"),BoM_Solar[[#This Row],[Quantity]]*BoM_Solar[[#This Row],[Unit Price]],""),"")</f>
        <v/>
      </c>
      <c r="Q134" s="41" t="str">
        <f>IFERROR(IF(AND(BoM_Solar[[#This Row],[ACT_Qty]]&lt;&gt;"",BoM_Solar[[#This Row],[Currency]]="NOK"),BoM_Solar[[#This Row],[ACT_Qty]]*BoM_Solar[[#This Row],[Unit Price]],""),"")</f>
        <v/>
      </c>
      <c r="R134" s="41" t="str">
        <f>IFERROR(IF(AND(BoM_Solar[[#This Row],[Quantity]]&lt;&gt;"",BoM_Solar[[#This Row],[Currency]]="EUR"),BoM_Solar[[#This Row],[Quantity]]*BoM_Solar[[#This Row],[Unit Price]],""),"")</f>
        <v/>
      </c>
      <c r="S134" s="41" t="str">
        <f>IFERROR(IF(AND(BoM_Solar[[#This Row],[ACT_Qty]]&lt;&gt;"",BoM_Solar[[#This Row],[Currency]]="EUR"),BoM_Solar[[#This Row],[ACT_Qty]]*BoM_Solar[[#This Row],[Unit Price]],""),"")</f>
        <v/>
      </c>
      <c r="T134" s="185"/>
      <c r="U134" s="45"/>
      <c r="V134" s="45"/>
      <c r="W134" s="45"/>
    </row>
    <row r="135" spans="1:23" ht="15" customHeight="1">
      <c r="A135" s="146" t="str">
        <f t="shared" si="0"/>
        <v>AKH12345</v>
      </c>
      <c r="B135" s="199">
        <v>1013876</v>
      </c>
      <c r="C135" s="200" t="s">
        <v>3454</v>
      </c>
      <c r="D135" s="105"/>
      <c r="E135" s="106"/>
      <c r="F135" s="105"/>
      <c r="G135" s="106"/>
      <c r="H135" s="175" t="s">
        <v>3324</v>
      </c>
      <c r="I135" s="176" t="s">
        <v>3325</v>
      </c>
      <c r="J135" s="176" t="s">
        <v>3325</v>
      </c>
      <c r="K135" s="176" t="s">
        <v>1235</v>
      </c>
      <c r="L135" s="145" t="s">
        <v>3326</v>
      </c>
      <c r="M135" s="45" t="str">
        <f t="shared" si="2"/>
        <v>OneCo Networks AS</v>
      </c>
      <c r="N135" s="40" t="str">
        <f ca="1">IFERROR(
VLOOKUP(BoM_Solar[[#This Row],[Product code]],
IF(AND((BoQ!$N$3&lt;&gt;""),OR(BoM_Solar[[#This Row],[Vendor]]="Griptel",BoM_Solar[[#This Row],[Vendor]]="Solar")),INDIRECT(Aux!$A$1)),4,FALSE),"")</f>
        <v/>
      </c>
      <c r="O135" s="169" t="s">
        <v>1807</v>
      </c>
      <c r="P135" s="41" t="str">
        <f>IFERROR(IF(AND(BoM_Solar[[#This Row],[Quantity]]&lt;&gt;"",BoM_Solar[[#This Row],[Currency]]="NOK"),BoM_Solar[[#This Row],[Quantity]]*BoM_Solar[[#This Row],[Unit Price]],""),"")</f>
        <v/>
      </c>
      <c r="Q135" s="41" t="str">
        <f>IFERROR(IF(AND(BoM_Solar[[#This Row],[ACT_Qty]]&lt;&gt;"",BoM_Solar[[#This Row],[Currency]]="NOK"),BoM_Solar[[#This Row],[ACT_Qty]]*BoM_Solar[[#This Row],[Unit Price]],""),"")</f>
        <v/>
      </c>
      <c r="R135" s="41" t="str">
        <f>IFERROR(IF(AND(BoM_Solar[[#This Row],[Quantity]]&lt;&gt;"",BoM_Solar[[#This Row],[Currency]]="EUR"),BoM_Solar[[#This Row],[Quantity]]*BoM_Solar[[#This Row],[Unit Price]],""),"")</f>
        <v/>
      </c>
      <c r="S135" s="41" t="str">
        <f>IFERROR(IF(AND(BoM_Solar[[#This Row],[ACT_Qty]]&lt;&gt;"",BoM_Solar[[#This Row],[Currency]]="EUR"),BoM_Solar[[#This Row],[ACT_Qty]]*BoM_Solar[[#This Row],[Unit Price]],""),"")</f>
        <v/>
      </c>
      <c r="T135" s="185"/>
      <c r="U135" s="45"/>
      <c r="V135" s="45"/>
      <c r="W135" s="45"/>
    </row>
    <row r="136" spans="1:23" ht="15" customHeight="1">
      <c r="A136" s="146" t="str">
        <f t="shared" si="0"/>
        <v>AKH12345</v>
      </c>
      <c r="B136" s="199">
        <v>1013877</v>
      </c>
      <c r="C136" s="200" t="s">
        <v>3455</v>
      </c>
      <c r="D136" s="105"/>
      <c r="E136" s="106"/>
      <c r="F136" s="105"/>
      <c r="G136" s="106"/>
      <c r="H136" s="175" t="s">
        <v>3324</v>
      </c>
      <c r="I136" s="176" t="s">
        <v>3325</v>
      </c>
      <c r="J136" s="176" t="s">
        <v>3325</v>
      </c>
      <c r="K136" s="176" t="s">
        <v>1235</v>
      </c>
      <c r="L136" s="145" t="s">
        <v>3326</v>
      </c>
      <c r="M136" s="45" t="str">
        <f t="shared" si="2"/>
        <v>OneCo Networks AS</v>
      </c>
      <c r="N136" s="40" t="str">
        <f ca="1">IFERROR(
VLOOKUP(BoM_Solar[[#This Row],[Product code]],
IF(AND((BoQ!$N$3&lt;&gt;""),OR(BoM_Solar[[#This Row],[Vendor]]="Griptel",BoM_Solar[[#This Row],[Vendor]]="Solar")),INDIRECT(Aux!$A$1)),4,FALSE),"")</f>
        <v/>
      </c>
      <c r="O136" s="169" t="s">
        <v>1807</v>
      </c>
      <c r="P136" s="41" t="str">
        <f>IFERROR(IF(AND(BoM_Solar[[#This Row],[Quantity]]&lt;&gt;"",BoM_Solar[[#This Row],[Currency]]="NOK"),BoM_Solar[[#This Row],[Quantity]]*BoM_Solar[[#This Row],[Unit Price]],""),"")</f>
        <v/>
      </c>
      <c r="Q136" s="41" t="str">
        <f>IFERROR(IF(AND(BoM_Solar[[#This Row],[ACT_Qty]]&lt;&gt;"",BoM_Solar[[#This Row],[Currency]]="NOK"),BoM_Solar[[#This Row],[ACT_Qty]]*BoM_Solar[[#This Row],[Unit Price]],""),"")</f>
        <v/>
      </c>
      <c r="R136" s="41" t="str">
        <f>IFERROR(IF(AND(BoM_Solar[[#This Row],[Quantity]]&lt;&gt;"",BoM_Solar[[#This Row],[Currency]]="EUR"),BoM_Solar[[#This Row],[Quantity]]*BoM_Solar[[#This Row],[Unit Price]],""),"")</f>
        <v/>
      </c>
      <c r="S136" s="41" t="str">
        <f>IFERROR(IF(AND(BoM_Solar[[#This Row],[ACT_Qty]]&lt;&gt;"",BoM_Solar[[#This Row],[Currency]]="EUR"),BoM_Solar[[#This Row],[ACT_Qty]]*BoM_Solar[[#This Row],[Unit Price]],""),"")</f>
        <v/>
      </c>
      <c r="T136" s="185"/>
      <c r="U136" s="45"/>
      <c r="V136" s="45"/>
      <c r="W136" s="45"/>
    </row>
    <row r="137" spans="1:23" ht="15" customHeight="1">
      <c r="A137" s="146" t="str">
        <f t="shared" si="0"/>
        <v>AKH12345</v>
      </c>
      <c r="B137" s="199">
        <v>1028580</v>
      </c>
      <c r="C137" s="200" t="s">
        <v>3456</v>
      </c>
      <c r="D137" s="105"/>
      <c r="E137" s="106"/>
      <c r="F137" s="105"/>
      <c r="G137" s="106"/>
      <c r="H137" s="175" t="s">
        <v>3324</v>
      </c>
      <c r="I137" s="176" t="s">
        <v>3325</v>
      </c>
      <c r="J137" s="176" t="s">
        <v>3325</v>
      </c>
      <c r="K137" s="176" t="s">
        <v>1235</v>
      </c>
      <c r="L137" s="145"/>
      <c r="M137" s="176" t="str">
        <f t="shared" ref="M137:M138" si="3">IF($C$3&lt;&gt;"",$C$3,"")</f>
        <v>OneCo Networks AS</v>
      </c>
      <c r="N137" s="40" t="str">
        <f ca="1">IFERROR(
VLOOKUP(BoM_Solar[[#This Row],[Product code]],
IF(AND((BoQ!$N$3&lt;&gt;""),OR(BoM_Solar[[#This Row],[Vendor]]="Griptel",BoM_Solar[[#This Row],[Vendor]]="Solar")),INDIRECT(Aux!$A$1)),4,FALSE),"")</f>
        <v/>
      </c>
      <c r="O137" s="288" t="s">
        <v>1807</v>
      </c>
      <c r="P137" s="41" t="str">
        <f>IFERROR(IF(AND(BoM_Solar[[#This Row],[Quantity]]&lt;&gt;"",BoM_Solar[[#This Row],[Currency]]="NOK"),BoM_Solar[[#This Row],[Quantity]]*BoM_Solar[[#This Row],[Unit Price]],""),"")</f>
        <v/>
      </c>
      <c r="Q137" s="41" t="str">
        <f>IFERROR(IF(AND(BoM_Solar[[#This Row],[ACT_Qty]]&lt;&gt;"",BoM_Solar[[#This Row],[Currency]]="NOK"),BoM_Solar[[#This Row],[ACT_Qty]]*BoM_Solar[[#This Row],[Unit Price]],""),"")</f>
        <v/>
      </c>
      <c r="R137" s="40" t="str">
        <f>IFERROR(IF(AND(BoM_Solar[[#This Row],[Quantity]]&lt;&gt;"",BoM_Solar[[#This Row],[Currency]]="EUR"),BoM_Solar[[#This Row],[Quantity]]*BoM_Solar[[#This Row],[Unit Price]],""),"")</f>
        <v/>
      </c>
      <c r="S137" s="40" t="str">
        <f>IFERROR(IF(AND(BoM_Solar[[#This Row],[ACT_Qty]]&lt;&gt;"",BoM_Solar[[#This Row],[Currency]]="EUR"),BoM_Solar[[#This Row],[ACT_Qty]]*BoM_Solar[[#This Row],[Unit Price]],""),"")</f>
        <v/>
      </c>
      <c r="T137" s="185"/>
      <c r="U137" s="45"/>
      <c r="V137" s="45"/>
      <c r="W137" s="45"/>
    </row>
    <row r="138" spans="1:23" ht="15" customHeight="1">
      <c r="A138" s="146" t="str">
        <f t="shared" si="0"/>
        <v>AKH12345</v>
      </c>
      <c r="B138" s="199">
        <v>1028579</v>
      </c>
      <c r="C138" s="200" t="s">
        <v>3457</v>
      </c>
      <c r="D138" s="105"/>
      <c r="E138" s="106"/>
      <c r="F138" s="105"/>
      <c r="G138" s="106"/>
      <c r="H138" s="175" t="s">
        <v>3324</v>
      </c>
      <c r="I138" s="176" t="s">
        <v>3325</v>
      </c>
      <c r="J138" s="176" t="s">
        <v>3325</v>
      </c>
      <c r="K138" s="176" t="s">
        <v>1235</v>
      </c>
      <c r="L138" s="145"/>
      <c r="M138" s="176" t="str">
        <f t="shared" si="3"/>
        <v>OneCo Networks AS</v>
      </c>
      <c r="N138" s="40" t="str">
        <f ca="1">IFERROR(
VLOOKUP(BoM_Solar[[#This Row],[Product code]],
IF(AND((BoQ!$N$3&lt;&gt;""),OR(BoM_Solar[[#This Row],[Vendor]]="Griptel",BoM_Solar[[#This Row],[Vendor]]="Solar")),INDIRECT(Aux!$A$1)),4,FALSE),"")</f>
        <v/>
      </c>
      <c r="O138" s="288" t="s">
        <v>1807</v>
      </c>
      <c r="P138" s="41" t="str">
        <f>IFERROR(IF(AND(BoM_Solar[[#This Row],[Quantity]]&lt;&gt;"",BoM_Solar[[#This Row],[Currency]]="NOK"),BoM_Solar[[#This Row],[Quantity]]*BoM_Solar[[#This Row],[Unit Price]],""),"")</f>
        <v/>
      </c>
      <c r="Q138" s="41" t="str">
        <f>IFERROR(IF(AND(BoM_Solar[[#This Row],[ACT_Qty]]&lt;&gt;"",BoM_Solar[[#This Row],[Currency]]="NOK"),BoM_Solar[[#This Row],[ACT_Qty]]*BoM_Solar[[#This Row],[Unit Price]],""),"")</f>
        <v/>
      </c>
      <c r="R138" s="40" t="str">
        <f>IFERROR(IF(AND(BoM_Solar[[#This Row],[Quantity]]&lt;&gt;"",BoM_Solar[[#This Row],[Currency]]="EUR"),BoM_Solar[[#This Row],[Quantity]]*BoM_Solar[[#This Row],[Unit Price]],""),"")</f>
        <v/>
      </c>
      <c r="S138" s="40" t="str">
        <f>IFERROR(IF(AND(BoM_Solar[[#This Row],[ACT_Qty]]&lt;&gt;"",BoM_Solar[[#This Row],[Currency]]="EUR"),BoM_Solar[[#This Row],[ACT_Qty]]*BoM_Solar[[#This Row],[Unit Price]],""),"")</f>
        <v/>
      </c>
      <c r="T138" s="185"/>
      <c r="U138" s="45"/>
      <c r="V138" s="45"/>
      <c r="W138" s="45"/>
    </row>
    <row r="139" spans="1:23" ht="15" customHeight="1">
      <c r="A139" s="289" t="str">
        <f t="shared" si="0"/>
        <v>AKH12345</v>
      </c>
      <c r="B139" s="290" t="s">
        <v>3321</v>
      </c>
      <c r="C139" s="290" t="s">
        <v>3322</v>
      </c>
      <c r="D139" s="291"/>
      <c r="E139" s="292"/>
      <c r="F139" s="291"/>
      <c r="G139" s="292"/>
      <c r="H139" s="293"/>
      <c r="I139" s="186"/>
      <c r="J139" s="186"/>
      <c r="K139" s="186"/>
      <c r="L139" s="170" t="s">
        <v>3326</v>
      </c>
      <c r="M139" s="294" t="str">
        <f t="shared" ref="M139:M158" si="4">IF($C$3&lt;&gt;"",$C$3,"")</f>
        <v>OneCo Networks AS</v>
      </c>
      <c r="N139" s="42" t="str">
        <f ca="1">IFERROR(
VLOOKUP(BoM_Solar[[#This Row],[Product code]],
IF(AND((BoQ!$N$3&lt;&gt;""),OR(BoM_Solar[[#This Row],[Vendor]]="Griptel",BoM_Solar[[#This Row],[Vendor]]="Solar")),INDIRECT(Aux!$A$1)),4,FALSE),"")</f>
        <v/>
      </c>
      <c r="O139" s="170" t="s">
        <v>1807</v>
      </c>
      <c r="P139" s="43" t="str">
        <f>IFERROR(IF(AND(BoM_Solar[[#This Row],[Quantity]]&lt;&gt;"",BoM_Solar[[#This Row],[Currency]]="NOK"),BoM_Solar[[#This Row],[Quantity]]*BoM_Solar[[#This Row],[Unit Price]],""),"")</f>
        <v/>
      </c>
      <c r="Q139" s="43" t="str">
        <f>IFERROR(IF(AND(BoM_Solar[[#This Row],[ACT_Qty]]&lt;&gt;"",BoM_Solar[[#This Row],[Currency]]="NOK"),BoM_Solar[[#This Row],[ACT_Qty]]*BoM_Solar[[#This Row],[Unit Price]],""),"")</f>
        <v/>
      </c>
      <c r="R139" s="43" t="str">
        <f>IFERROR(IF(AND(BoM_Solar[[#This Row],[Quantity]]&lt;&gt;"",BoM_Solar[[#This Row],[Currency]]="EUR"),BoM_Solar[[#This Row],[Quantity]]*BoM_Solar[[#This Row],[Unit Price]],""),"")</f>
        <v/>
      </c>
      <c r="S139" s="43" t="str">
        <f>IFERROR(IF(AND(BoM_Solar[[#This Row],[ACT_Qty]]&lt;&gt;"",BoM_Solar[[#This Row],[Currency]]="EUR"),BoM_Solar[[#This Row],[ACT_Qty]]*BoM_Solar[[#This Row],[Unit Price]],""),"")</f>
        <v/>
      </c>
      <c r="T139" s="186"/>
      <c r="U139" s="294"/>
      <c r="V139" s="294"/>
      <c r="W139" s="294"/>
    </row>
    <row r="140" spans="1:23">
      <c r="A140" s="146" t="str">
        <f t="shared" si="0"/>
        <v>AKH12345</v>
      </c>
      <c r="B140">
        <v>1010203</v>
      </c>
      <c r="C140" t="s">
        <v>3458</v>
      </c>
      <c r="D140" s="105"/>
      <c r="E140" s="106"/>
      <c r="F140" s="105"/>
      <c r="G140" s="106"/>
      <c r="H140" s="175"/>
      <c r="I140" s="176"/>
      <c r="J140" s="176"/>
      <c r="K140" s="176"/>
      <c r="L140" s="145" t="s">
        <v>3326</v>
      </c>
      <c r="M140" s="45" t="str">
        <f t="shared" si="4"/>
        <v>OneCo Networks AS</v>
      </c>
      <c r="N140" s="40" t="str">
        <f ca="1">IFERROR(
VLOOKUP(BoM_Solar[[#This Row],[Product code]],
IF(AND((BoQ!$N$3&lt;&gt;""),OR(BoM_Solar[[#This Row],[Vendor]]="Griptel",BoM_Solar[[#This Row],[Vendor]]="Solar")),INDIRECT(Aux!$A$1)),4,FALSE),"")</f>
        <v/>
      </c>
      <c r="O140" s="169" t="s">
        <v>1807</v>
      </c>
      <c r="P140" s="41" t="str">
        <f>IFERROR(IF(AND(BoM_Solar[[#This Row],[Quantity]]&lt;&gt;"",BoM_Solar[[#This Row],[Currency]]="NOK"),BoM_Solar[[#This Row],[Quantity]]*BoM_Solar[[#This Row],[Unit Price]],""),"")</f>
        <v/>
      </c>
      <c r="Q140" s="41" t="str">
        <f>IFERROR(IF(AND(BoM_Solar[[#This Row],[ACT_Qty]]&lt;&gt;"",BoM_Solar[[#This Row],[Currency]]="NOK"),BoM_Solar[[#This Row],[ACT_Qty]]*BoM_Solar[[#This Row],[Unit Price]],""),"")</f>
        <v/>
      </c>
      <c r="R140" s="41" t="str">
        <f>IFERROR(IF(AND(BoM_Solar[[#This Row],[Quantity]]&lt;&gt;"",BoM_Solar[[#This Row],[Currency]]="EUR"),BoM_Solar[[#This Row],[Quantity]]*BoM_Solar[[#This Row],[Unit Price]],""),"")</f>
        <v/>
      </c>
      <c r="S140" s="41" t="str">
        <f>IFERROR(IF(AND(BoM_Solar[[#This Row],[ACT_Qty]]&lt;&gt;"",BoM_Solar[[#This Row],[Currency]]="EUR"),BoM_Solar[[#This Row],[ACT_Qty]]*BoM_Solar[[#This Row],[Unit Price]],""),"")</f>
        <v/>
      </c>
      <c r="T140" s="185"/>
      <c r="U140" s="45"/>
      <c r="V140" s="45"/>
      <c r="W140" s="45"/>
    </row>
    <row r="141" spans="1:23">
      <c r="A141" s="146" t="str">
        <f t="shared" si="0"/>
        <v>AKH12345</v>
      </c>
      <c r="B141">
        <v>1010315</v>
      </c>
      <c r="C141" t="s">
        <v>3459</v>
      </c>
      <c r="D141" s="105"/>
      <c r="E141" s="106"/>
      <c r="F141" s="105"/>
      <c r="G141" s="106"/>
      <c r="H141" s="175"/>
      <c r="I141" s="176"/>
      <c r="J141" s="176"/>
      <c r="K141" s="176"/>
      <c r="L141" s="145" t="s">
        <v>3326</v>
      </c>
      <c r="M141" s="45" t="str">
        <f t="shared" si="4"/>
        <v>OneCo Networks AS</v>
      </c>
      <c r="N141" s="40" t="str">
        <f ca="1">IFERROR(
VLOOKUP(BoM_Solar[[#This Row],[Product code]],
IF(AND((BoQ!$N$3&lt;&gt;""),OR(BoM_Solar[[#This Row],[Vendor]]="Griptel",BoM_Solar[[#This Row],[Vendor]]="Solar")),INDIRECT(Aux!$A$1)),4,FALSE),"")</f>
        <v/>
      </c>
      <c r="O141" s="169" t="s">
        <v>1807</v>
      </c>
      <c r="P141" s="41" t="str">
        <f>IFERROR(IF(AND(BoM_Solar[[#This Row],[Quantity]]&lt;&gt;"",BoM_Solar[[#This Row],[Currency]]="NOK"),BoM_Solar[[#This Row],[Quantity]]*BoM_Solar[[#This Row],[Unit Price]],""),"")</f>
        <v/>
      </c>
      <c r="Q141" s="41" t="str">
        <f>IFERROR(IF(AND(BoM_Solar[[#This Row],[ACT_Qty]]&lt;&gt;"",BoM_Solar[[#This Row],[Currency]]="NOK"),BoM_Solar[[#This Row],[ACT_Qty]]*BoM_Solar[[#This Row],[Unit Price]],""),"")</f>
        <v/>
      </c>
      <c r="R141" s="41" t="str">
        <f>IFERROR(IF(AND(BoM_Solar[[#This Row],[Quantity]]&lt;&gt;"",BoM_Solar[[#This Row],[Currency]]="EUR"),BoM_Solar[[#This Row],[Quantity]]*BoM_Solar[[#This Row],[Unit Price]],""),"")</f>
        <v/>
      </c>
      <c r="S141" s="41" t="str">
        <f>IFERROR(IF(AND(BoM_Solar[[#This Row],[ACT_Qty]]&lt;&gt;"",BoM_Solar[[#This Row],[Currency]]="EUR"),BoM_Solar[[#This Row],[ACT_Qty]]*BoM_Solar[[#This Row],[Unit Price]],""),"")</f>
        <v/>
      </c>
      <c r="T141" s="185"/>
      <c r="U141" s="45"/>
      <c r="V141" s="45"/>
      <c r="W141" s="45"/>
    </row>
    <row r="142" spans="1:23">
      <c r="A142" s="146" t="str">
        <f t="shared" si="0"/>
        <v>AKH12345</v>
      </c>
      <c r="B142">
        <v>1040401</v>
      </c>
      <c r="C142" t="s">
        <v>3460</v>
      </c>
      <c r="D142" s="105"/>
      <c r="E142" s="106"/>
      <c r="F142" s="105"/>
      <c r="G142" s="106"/>
      <c r="H142" s="175"/>
      <c r="I142" s="176"/>
      <c r="J142" s="176"/>
      <c r="K142" s="176"/>
      <c r="L142" s="145" t="s">
        <v>3326</v>
      </c>
      <c r="M142" s="45" t="str">
        <f t="shared" si="4"/>
        <v>OneCo Networks AS</v>
      </c>
      <c r="N142" s="40" t="str">
        <f ca="1">IFERROR(
VLOOKUP(BoM_Solar[[#This Row],[Product code]],
IF(AND((BoQ!$N$3&lt;&gt;""),OR(BoM_Solar[[#This Row],[Vendor]]="Griptel",BoM_Solar[[#This Row],[Vendor]]="Solar")),INDIRECT(Aux!$A$1)),4,FALSE),"")</f>
        <v/>
      </c>
      <c r="O142" s="169" t="s">
        <v>1807</v>
      </c>
      <c r="P142" s="41" t="str">
        <f>IFERROR(IF(AND(BoM_Solar[[#This Row],[Quantity]]&lt;&gt;"",BoM_Solar[[#This Row],[Currency]]="NOK"),BoM_Solar[[#This Row],[Quantity]]*BoM_Solar[[#This Row],[Unit Price]],""),"")</f>
        <v/>
      </c>
      <c r="Q142" s="41" t="str">
        <f>IFERROR(IF(AND(BoM_Solar[[#This Row],[ACT_Qty]]&lt;&gt;"",BoM_Solar[[#This Row],[Currency]]="NOK"),BoM_Solar[[#This Row],[ACT_Qty]]*BoM_Solar[[#This Row],[Unit Price]],""),"")</f>
        <v/>
      </c>
      <c r="R142" s="41" t="str">
        <f>IFERROR(IF(AND(BoM_Solar[[#This Row],[Quantity]]&lt;&gt;"",BoM_Solar[[#This Row],[Currency]]="EUR"),BoM_Solar[[#This Row],[Quantity]]*BoM_Solar[[#This Row],[Unit Price]],""),"")</f>
        <v/>
      </c>
      <c r="S142" s="41" t="str">
        <f>IFERROR(IF(AND(BoM_Solar[[#This Row],[ACT_Qty]]&lt;&gt;"",BoM_Solar[[#This Row],[Currency]]="EUR"),BoM_Solar[[#This Row],[ACT_Qty]]*BoM_Solar[[#This Row],[Unit Price]],""),"")</f>
        <v/>
      </c>
      <c r="T142" s="185"/>
      <c r="U142" s="45"/>
      <c r="V142" s="45"/>
      <c r="W142" s="45"/>
    </row>
    <row r="143" spans="1:23">
      <c r="A143" s="146" t="str">
        <f t="shared" si="0"/>
        <v>AKH12345</v>
      </c>
      <c r="B143">
        <v>1210739</v>
      </c>
      <c r="C143" t="s">
        <v>3461</v>
      </c>
      <c r="D143" s="105"/>
      <c r="E143" s="106"/>
      <c r="F143" s="105"/>
      <c r="G143" s="106"/>
      <c r="H143" s="175"/>
      <c r="I143" s="176"/>
      <c r="J143" s="176"/>
      <c r="K143" s="176"/>
      <c r="L143" s="145" t="s">
        <v>3326</v>
      </c>
      <c r="M143" s="45" t="str">
        <f t="shared" si="4"/>
        <v>OneCo Networks AS</v>
      </c>
      <c r="N143" s="40" t="str">
        <f ca="1">IFERROR(
VLOOKUP(BoM_Solar[[#This Row],[Product code]],
IF(AND((BoQ!$N$3&lt;&gt;""),OR(BoM_Solar[[#This Row],[Vendor]]="Griptel",BoM_Solar[[#This Row],[Vendor]]="Solar")),INDIRECT(Aux!$A$1)),4,FALSE),"")</f>
        <v/>
      </c>
      <c r="O143" s="169" t="s">
        <v>1807</v>
      </c>
      <c r="P143" s="41" t="str">
        <f>IFERROR(IF(AND(BoM_Solar[[#This Row],[Quantity]]&lt;&gt;"",BoM_Solar[[#This Row],[Currency]]="NOK"),BoM_Solar[[#This Row],[Quantity]]*BoM_Solar[[#This Row],[Unit Price]],""),"")</f>
        <v/>
      </c>
      <c r="Q143" s="41" t="str">
        <f>IFERROR(IF(AND(BoM_Solar[[#This Row],[ACT_Qty]]&lt;&gt;"",BoM_Solar[[#This Row],[Currency]]="NOK"),BoM_Solar[[#This Row],[ACT_Qty]]*BoM_Solar[[#This Row],[Unit Price]],""),"")</f>
        <v/>
      </c>
      <c r="R143" s="41" t="str">
        <f>IFERROR(IF(AND(BoM_Solar[[#This Row],[Quantity]]&lt;&gt;"",BoM_Solar[[#This Row],[Currency]]="EUR"),BoM_Solar[[#This Row],[Quantity]]*BoM_Solar[[#This Row],[Unit Price]],""),"")</f>
        <v/>
      </c>
      <c r="S143" s="41" t="str">
        <f>IFERROR(IF(AND(BoM_Solar[[#This Row],[ACT_Qty]]&lt;&gt;"",BoM_Solar[[#This Row],[Currency]]="EUR"),BoM_Solar[[#This Row],[ACT_Qty]]*BoM_Solar[[#This Row],[Unit Price]],""),"")</f>
        <v/>
      </c>
      <c r="T143" s="185"/>
      <c r="U143" s="45"/>
      <c r="V143" s="45"/>
      <c r="W143" s="45"/>
    </row>
    <row r="144" spans="1:23">
      <c r="A144" s="146" t="str">
        <f t="shared" si="0"/>
        <v>AKH12345</v>
      </c>
      <c r="B144">
        <v>1210740</v>
      </c>
      <c r="C144" t="s">
        <v>3462</v>
      </c>
      <c r="D144" s="105"/>
      <c r="E144" s="106"/>
      <c r="F144" s="105"/>
      <c r="G144" s="106"/>
      <c r="H144" s="175"/>
      <c r="I144" s="176"/>
      <c r="J144" s="176"/>
      <c r="K144" s="176"/>
      <c r="L144" s="145" t="s">
        <v>3326</v>
      </c>
      <c r="M144" s="45" t="str">
        <f t="shared" si="4"/>
        <v>OneCo Networks AS</v>
      </c>
      <c r="N144" s="40" t="str">
        <f ca="1">IFERROR(
VLOOKUP(BoM_Solar[[#This Row],[Product code]],
IF(AND((BoQ!$N$3&lt;&gt;""),OR(BoM_Solar[[#This Row],[Vendor]]="Griptel",BoM_Solar[[#This Row],[Vendor]]="Solar")),INDIRECT(Aux!$A$1)),4,FALSE),"")</f>
        <v/>
      </c>
      <c r="O144" s="169" t="s">
        <v>1807</v>
      </c>
      <c r="P144" s="41" t="str">
        <f>IFERROR(IF(AND(BoM_Solar[[#This Row],[Quantity]]&lt;&gt;"",BoM_Solar[[#This Row],[Currency]]="NOK"),BoM_Solar[[#This Row],[Quantity]]*BoM_Solar[[#This Row],[Unit Price]],""),"")</f>
        <v/>
      </c>
      <c r="Q144" s="41" t="str">
        <f>IFERROR(IF(AND(BoM_Solar[[#This Row],[ACT_Qty]]&lt;&gt;"",BoM_Solar[[#This Row],[Currency]]="NOK"),BoM_Solar[[#This Row],[ACT_Qty]]*BoM_Solar[[#This Row],[Unit Price]],""),"")</f>
        <v/>
      </c>
      <c r="R144" s="41" t="str">
        <f>IFERROR(IF(AND(BoM_Solar[[#This Row],[Quantity]]&lt;&gt;"",BoM_Solar[[#This Row],[Currency]]="EUR"),BoM_Solar[[#This Row],[Quantity]]*BoM_Solar[[#This Row],[Unit Price]],""),"")</f>
        <v/>
      </c>
      <c r="S144" s="41" t="str">
        <f>IFERROR(IF(AND(BoM_Solar[[#This Row],[ACT_Qty]]&lt;&gt;"",BoM_Solar[[#This Row],[Currency]]="EUR"),BoM_Solar[[#This Row],[ACT_Qty]]*BoM_Solar[[#This Row],[Unit Price]],""),"")</f>
        <v/>
      </c>
      <c r="T144" s="185"/>
      <c r="U144" s="45"/>
      <c r="V144" s="45"/>
      <c r="W144" s="45"/>
    </row>
    <row r="145" spans="1:23">
      <c r="A145" s="146" t="str">
        <f t="shared" si="0"/>
        <v>AKH12345</v>
      </c>
      <c r="B145">
        <v>1220628</v>
      </c>
      <c r="C145" t="s">
        <v>3463</v>
      </c>
      <c r="D145" s="105"/>
      <c r="E145" s="106"/>
      <c r="F145" s="105"/>
      <c r="G145" s="106"/>
      <c r="H145" s="175"/>
      <c r="I145" s="176"/>
      <c r="J145" s="176"/>
      <c r="K145" s="176"/>
      <c r="L145" s="145" t="s">
        <v>3326</v>
      </c>
      <c r="M145" s="45" t="str">
        <f t="shared" si="4"/>
        <v>OneCo Networks AS</v>
      </c>
      <c r="N145" s="40" t="str">
        <f ca="1">IFERROR(
VLOOKUP(BoM_Solar[[#This Row],[Product code]],
IF(AND((BoQ!$N$3&lt;&gt;""),OR(BoM_Solar[[#This Row],[Vendor]]="Griptel",BoM_Solar[[#This Row],[Vendor]]="Solar")),INDIRECT(Aux!$A$1)),4,FALSE),"")</f>
        <v/>
      </c>
      <c r="O145" s="169" t="s">
        <v>1807</v>
      </c>
      <c r="P145" s="41" t="str">
        <f>IFERROR(IF(AND(BoM_Solar[[#This Row],[Quantity]]&lt;&gt;"",BoM_Solar[[#This Row],[Currency]]="NOK"),BoM_Solar[[#This Row],[Quantity]]*BoM_Solar[[#This Row],[Unit Price]],""),"")</f>
        <v/>
      </c>
      <c r="Q145" s="41" t="str">
        <f>IFERROR(IF(AND(BoM_Solar[[#This Row],[ACT_Qty]]&lt;&gt;"",BoM_Solar[[#This Row],[Currency]]="NOK"),BoM_Solar[[#This Row],[ACT_Qty]]*BoM_Solar[[#This Row],[Unit Price]],""),"")</f>
        <v/>
      </c>
      <c r="R145" s="41" t="str">
        <f>IFERROR(IF(AND(BoM_Solar[[#This Row],[Quantity]]&lt;&gt;"",BoM_Solar[[#This Row],[Currency]]="EUR"),BoM_Solar[[#This Row],[Quantity]]*BoM_Solar[[#This Row],[Unit Price]],""),"")</f>
        <v/>
      </c>
      <c r="S145" s="41" t="str">
        <f>IFERROR(IF(AND(BoM_Solar[[#This Row],[ACT_Qty]]&lt;&gt;"",BoM_Solar[[#This Row],[Currency]]="EUR"),BoM_Solar[[#This Row],[ACT_Qty]]*BoM_Solar[[#This Row],[Unit Price]],""),"")</f>
        <v/>
      </c>
      <c r="T145" s="185"/>
      <c r="U145" s="45"/>
      <c r="V145" s="45"/>
      <c r="W145" s="45"/>
    </row>
    <row r="146" spans="1:23" s="47" customFormat="1">
      <c r="A146" s="146" t="str">
        <f t="shared" si="0"/>
        <v>AKH12345</v>
      </c>
      <c r="B146">
        <v>1227942</v>
      </c>
      <c r="C146" t="s">
        <v>3464</v>
      </c>
      <c r="D146" s="105"/>
      <c r="E146" s="106"/>
      <c r="F146" s="105"/>
      <c r="G146" s="106"/>
      <c r="H146" s="175"/>
      <c r="I146" s="176"/>
      <c r="J146" s="176"/>
      <c r="K146" s="176"/>
      <c r="L146" s="145" t="s">
        <v>3326</v>
      </c>
      <c r="M146" s="45" t="str">
        <f t="shared" si="4"/>
        <v>OneCo Networks AS</v>
      </c>
      <c r="N146" s="40" t="str">
        <f ca="1">IFERROR(
VLOOKUP(BoM_Solar[[#This Row],[Product code]],
IF(AND((BoQ!$N$3&lt;&gt;""),OR(BoM_Solar[[#This Row],[Vendor]]="Griptel",BoM_Solar[[#This Row],[Vendor]]="Solar")),INDIRECT(Aux!$A$1)),4,FALSE),"")</f>
        <v/>
      </c>
      <c r="O146" s="169" t="s">
        <v>1807</v>
      </c>
      <c r="P146" s="41" t="str">
        <f>IFERROR(IF(AND(BoM_Solar[[#This Row],[Quantity]]&lt;&gt;"",BoM_Solar[[#This Row],[Currency]]="NOK"),BoM_Solar[[#This Row],[Quantity]]*BoM_Solar[[#This Row],[Unit Price]],""),"")</f>
        <v/>
      </c>
      <c r="Q146" s="41" t="str">
        <f>IFERROR(IF(AND(BoM_Solar[[#This Row],[ACT_Qty]]&lt;&gt;"",BoM_Solar[[#This Row],[Currency]]="NOK"),BoM_Solar[[#This Row],[ACT_Qty]]*BoM_Solar[[#This Row],[Unit Price]],""),"")</f>
        <v/>
      </c>
      <c r="R146" s="41" t="str">
        <f>IFERROR(IF(AND(BoM_Solar[[#This Row],[Quantity]]&lt;&gt;"",BoM_Solar[[#This Row],[Currency]]="EUR"),BoM_Solar[[#This Row],[Quantity]]*BoM_Solar[[#This Row],[Unit Price]],""),"")</f>
        <v/>
      </c>
      <c r="S146" s="41" t="str">
        <f>IFERROR(IF(AND(BoM_Solar[[#This Row],[ACT_Qty]]&lt;&gt;"",BoM_Solar[[#This Row],[Currency]]="EUR"),BoM_Solar[[#This Row],[ACT_Qty]]*BoM_Solar[[#This Row],[Unit Price]],""),"")</f>
        <v/>
      </c>
      <c r="T146" s="185"/>
      <c r="U146" s="45"/>
      <c r="V146" s="45"/>
      <c r="W146" s="45"/>
    </row>
    <row r="147" spans="1:23" s="47" customFormat="1">
      <c r="A147" s="146" t="str">
        <f t="shared" si="0"/>
        <v>AKH12345</v>
      </c>
      <c r="B147">
        <v>1227943</v>
      </c>
      <c r="C147" t="s">
        <v>3465</v>
      </c>
      <c r="D147" s="105"/>
      <c r="E147" s="106"/>
      <c r="F147" s="105"/>
      <c r="G147" s="106"/>
      <c r="H147" s="175"/>
      <c r="I147" s="176"/>
      <c r="J147" s="176"/>
      <c r="K147" s="176"/>
      <c r="L147" s="145" t="s">
        <v>3326</v>
      </c>
      <c r="M147" s="45" t="str">
        <f t="shared" si="4"/>
        <v>OneCo Networks AS</v>
      </c>
      <c r="N147" s="40" t="str">
        <f ca="1">IFERROR(
VLOOKUP(BoM_Solar[[#This Row],[Product code]],
IF(AND((BoQ!$N$3&lt;&gt;""),OR(BoM_Solar[[#This Row],[Vendor]]="Griptel",BoM_Solar[[#This Row],[Vendor]]="Solar")),INDIRECT(Aux!$A$1)),4,FALSE),"")</f>
        <v/>
      </c>
      <c r="O147" s="169" t="s">
        <v>1807</v>
      </c>
      <c r="P147" s="41" t="str">
        <f>IFERROR(IF(AND(BoM_Solar[[#This Row],[Quantity]]&lt;&gt;"",BoM_Solar[[#This Row],[Currency]]="NOK"),BoM_Solar[[#This Row],[Quantity]]*BoM_Solar[[#This Row],[Unit Price]],""),"")</f>
        <v/>
      </c>
      <c r="Q147" s="41" t="str">
        <f>IFERROR(IF(AND(BoM_Solar[[#This Row],[ACT_Qty]]&lt;&gt;"",BoM_Solar[[#This Row],[Currency]]="NOK"),BoM_Solar[[#This Row],[ACT_Qty]]*BoM_Solar[[#This Row],[Unit Price]],""),"")</f>
        <v/>
      </c>
      <c r="R147" s="41" t="str">
        <f>IFERROR(IF(AND(BoM_Solar[[#This Row],[Quantity]]&lt;&gt;"",BoM_Solar[[#This Row],[Currency]]="EUR"),BoM_Solar[[#This Row],[Quantity]]*BoM_Solar[[#This Row],[Unit Price]],""),"")</f>
        <v/>
      </c>
      <c r="S147" s="41" t="str">
        <f>IFERROR(IF(AND(BoM_Solar[[#This Row],[ACT_Qty]]&lt;&gt;"",BoM_Solar[[#This Row],[Currency]]="EUR"),BoM_Solar[[#This Row],[ACT_Qty]]*BoM_Solar[[#This Row],[Unit Price]],""),"")</f>
        <v/>
      </c>
      <c r="T147" s="185"/>
      <c r="U147" s="45"/>
      <c r="V147" s="45"/>
      <c r="W147" s="45"/>
    </row>
    <row r="148" spans="1:23" s="47" customFormat="1">
      <c r="A148" s="146" t="str">
        <f t="shared" si="0"/>
        <v>AKH12345</v>
      </c>
      <c r="B148">
        <v>1227944</v>
      </c>
      <c r="C148" t="s">
        <v>3466</v>
      </c>
      <c r="D148" s="105"/>
      <c r="E148" s="106"/>
      <c r="F148" s="105"/>
      <c r="G148" s="106"/>
      <c r="H148" s="175"/>
      <c r="I148" s="176"/>
      <c r="J148" s="176"/>
      <c r="K148" s="176"/>
      <c r="L148" s="145" t="s">
        <v>3326</v>
      </c>
      <c r="M148" s="45" t="str">
        <f t="shared" si="4"/>
        <v>OneCo Networks AS</v>
      </c>
      <c r="N148" s="40" t="str">
        <f ca="1">IFERROR(
VLOOKUP(BoM_Solar[[#This Row],[Product code]],
IF(AND((BoQ!$N$3&lt;&gt;""),OR(BoM_Solar[[#This Row],[Vendor]]="Griptel",BoM_Solar[[#This Row],[Vendor]]="Solar")),INDIRECT(Aux!$A$1)),4,FALSE),"")</f>
        <v/>
      </c>
      <c r="O148" s="169" t="s">
        <v>1807</v>
      </c>
      <c r="P148" s="41" t="str">
        <f>IFERROR(IF(AND(BoM_Solar[[#This Row],[Quantity]]&lt;&gt;"",BoM_Solar[[#This Row],[Currency]]="NOK"),BoM_Solar[[#This Row],[Quantity]]*BoM_Solar[[#This Row],[Unit Price]],""),"")</f>
        <v/>
      </c>
      <c r="Q148" s="41" t="str">
        <f>IFERROR(IF(AND(BoM_Solar[[#This Row],[ACT_Qty]]&lt;&gt;"",BoM_Solar[[#This Row],[Currency]]="NOK"),BoM_Solar[[#This Row],[ACT_Qty]]*BoM_Solar[[#This Row],[Unit Price]],""),"")</f>
        <v/>
      </c>
      <c r="R148" s="41" t="str">
        <f>IFERROR(IF(AND(BoM_Solar[[#This Row],[Quantity]]&lt;&gt;"",BoM_Solar[[#This Row],[Currency]]="EUR"),BoM_Solar[[#This Row],[Quantity]]*BoM_Solar[[#This Row],[Unit Price]],""),"")</f>
        <v/>
      </c>
      <c r="S148" s="41" t="str">
        <f>IFERROR(IF(AND(BoM_Solar[[#This Row],[ACT_Qty]]&lt;&gt;"",BoM_Solar[[#This Row],[Currency]]="EUR"),BoM_Solar[[#This Row],[ACT_Qty]]*BoM_Solar[[#This Row],[Unit Price]],""),"")</f>
        <v/>
      </c>
      <c r="T148" s="185"/>
      <c r="U148" s="45"/>
      <c r="V148" s="45"/>
      <c r="W148" s="45"/>
    </row>
    <row r="149" spans="1:23" s="47" customFormat="1">
      <c r="A149" s="146" t="str">
        <f t="shared" si="0"/>
        <v>AKH12345</v>
      </c>
      <c r="B149">
        <v>1227947</v>
      </c>
      <c r="C149" t="s">
        <v>3467</v>
      </c>
      <c r="D149" s="105"/>
      <c r="E149" s="106"/>
      <c r="F149" s="105"/>
      <c r="G149" s="106"/>
      <c r="H149" s="175"/>
      <c r="I149" s="176"/>
      <c r="J149" s="176"/>
      <c r="K149" s="176"/>
      <c r="L149" s="145" t="s">
        <v>3326</v>
      </c>
      <c r="M149" s="45" t="str">
        <f t="shared" si="4"/>
        <v>OneCo Networks AS</v>
      </c>
      <c r="N149" s="40" t="str">
        <f ca="1">IFERROR(
VLOOKUP(BoM_Solar[[#This Row],[Product code]],
IF(AND((BoQ!$N$3&lt;&gt;""),OR(BoM_Solar[[#This Row],[Vendor]]="Griptel",BoM_Solar[[#This Row],[Vendor]]="Solar")),INDIRECT(Aux!$A$1)),4,FALSE),"")</f>
        <v/>
      </c>
      <c r="O149" s="169" t="s">
        <v>1807</v>
      </c>
      <c r="P149" s="41" t="str">
        <f>IFERROR(IF(AND(BoM_Solar[[#This Row],[Quantity]]&lt;&gt;"",BoM_Solar[[#This Row],[Currency]]="NOK"),BoM_Solar[[#This Row],[Quantity]]*BoM_Solar[[#This Row],[Unit Price]],""),"")</f>
        <v/>
      </c>
      <c r="Q149" s="41" t="str">
        <f>IFERROR(IF(AND(BoM_Solar[[#This Row],[ACT_Qty]]&lt;&gt;"",BoM_Solar[[#This Row],[Currency]]="NOK"),BoM_Solar[[#This Row],[ACT_Qty]]*BoM_Solar[[#This Row],[Unit Price]],""),"")</f>
        <v/>
      </c>
      <c r="R149" s="41" t="str">
        <f>IFERROR(IF(AND(BoM_Solar[[#This Row],[Quantity]]&lt;&gt;"",BoM_Solar[[#This Row],[Currency]]="EUR"),BoM_Solar[[#This Row],[Quantity]]*BoM_Solar[[#This Row],[Unit Price]],""),"")</f>
        <v/>
      </c>
      <c r="S149" s="41" t="str">
        <f>IFERROR(IF(AND(BoM_Solar[[#This Row],[ACT_Qty]]&lt;&gt;"",BoM_Solar[[#This Row],[Currency]]="EUR"),BoM_Solar[[#This Row],[ACT_Qty]]*BoM_Solar[[#This Row],[Unit Price]],""),"")</f>
        <v/>
      </c>
      <c r="T149" s="185"/>
      <c r="U149" s="45"/>
      <c r="V149" s="45"/>
      <c r="W149" s="45"/>
    </row>
    <row r="150" spans="1:23" s="47" customFormat="1">
      <c r="A150" s="146" t="str">
        <f t="shared" si="0"/>
        <v>AKH12345</v>
      </c>
      <c r="B150">
        <v>1227948</v>
      </c>
      <c r="C150" t="s">
        <v>3468</v>
      </c>
      <c r="D150" s="105"/>
      <c r="E150" s="106"/>
      <c r="F150" s="105"/>
      <c r="G150" s="106"/>
      <c r="H150" s="175"/>
      <c r="I150" s="176"/>
      <c r="J150" s="176"/>
      <c r="K150" s="176"/>
      <c r="L150" s="145" t="s">
        <v>3326</v>
      </c>
      <c r="M150" s="45" t="str">
        <f t="shared" si="4"/>
        <v>OneCo Networks AS</v>
      </c>
      <c r="N150" s="40" t="str">
        <f ca="1">IFERROR(
VLOOKUP(BoM_Solar[[#This Row],[Product code]],
IF(AND((BoQ!$N$3&lt;&gt;""),OR(BoM_Solar[[#This Row],[Vendor]]="Griptel",BoM_Solar[[#This Row],[Vendor]]="Solar")),INDIRECT(Aux!$A$1)),4,FALSE),"")</f>
        <v/>
      </c>
      <c r="O150" s="169" t="s">
        <v>1807</v>
      </c>
      <c r="P150" s="41" t="str">
        <f>IFERROR(IF(AND(BoM_Solar[[#This Row],[Quantity]]&lt;&gt;"",BoM_Solar[[#This Row],[Currency]]="NOK"),BoM_Solar[[#This Row],[Quantity]]*BoM_Solar[[#This Row],[Unit Price]],""),"")</f>
        <v/>
      </c>
      <c r="Q150" s="41" t="str">
        <f>IFERROR(IF(AND(BoM_Solar[[#This Row],[ACT_Qty]]&lt;&gt;"",BoM_Solar[[#This Row],[Currency]]="NOK"),BoM_Solar[[#This Row],[ACT_Qty]]*BoM_Solar[[#This Row],[Unit Price]],""),"")</f>
        <v/>
      </c>
      <c r="R150" s="41" t="str">
        <f>IFERROR(IF(AND(BoM_Solar[[#This Row],[Quantity]]&lt;&gt;"",BoM_Solar[[#This Row],[Currency]]="EUR"),BoM_Solar[[#This Row],[Quantity]]*BoM_Solar[[#This Row],[Unit Price]],""),"")</f>
        <v/>
      </c>
      <c r="S150" s="41" t="str">
        <f>IFERROR(IF(AND(BoM_Solar[[#This Row],[ACT_Qty]]&lt;&gt;"",BoM_Solar[[#This Row],[Currency]]="EUR"),BoM_Solar[[#This Row],[ACT_Qty]]*BoM_Solar[[#This Row],[Unit Price]],""),"")</f>
        <v/>
      </c>
      <c r="T150" s="185"/>
      <c r="U150" s="45"/>
      <c r="V150" s="45"/>
      <c r="W150" s="45"/>
    </row>
    <row r="151" spans="1:23" s="47" customFormat="1">
      <c r="A151" s="146" t="str">
        <f t="shared" si="0"/>
        <v>AKH12345</v>
      </c>
      <c r="B151">
        <v>1228137</v>
      </c>
      <c r="C151" t="s">
        <v>3469</v>
      </c>
      <c r="D151" s="105"/>
      <c r="E151" s="106"/>
      <c r="F151" s="105"/>
      <c r="G151" s="106"/>
      <c r="H151" s="175"/>
      <c r="I151" s="176"/>
      <c r="J151" s="176"/>
      <c r="K151" s="176"/>
      <c r="L151" s="145" t="s">
        <v>3326</v>
      </c>
      <c r="M151" s="45" t="str">
        <f t="shared" si="4"/>
        <v>OneCo Networks AS</v>
      </c>
      <c r="N151" s="40" t="str">
        <f ca="1">IFERROR(
VLOOKUP(BoM_Solar[[#This Row],[Product code]],
IF(AND((BoQ!$N$3&lt;&gt;""),OR(BoM_Solar[[#This Row],[Vendor]]="Griptel",BoM_Solar[[#This Row],[Vendor]]="Solar")),INDIRECT(Aux!$A$1)),4,FALSE),"")</f>
        <v/>
      </c>
      <c r="O151" s="169" t="s">
        <v>1807</v>
      </c>
      <c r="P151" s="41" t="str">
        <f>IFERROR(IF(AND(BoM_Solar[[#This Row],[Quantity]]&lt;&gt;"",BoM_Solar[[#This Row],[Currency]]="NOK"),BoM_Solar[[#This Row],[Quantity]]*BoM_Solar[[#This Row],[Unit Price]],""),"")</f>
        <v/>
      </c>
      <c r="Q151" s="41" t="str">
        <f>IFERROR(IF(AND(BoM_Solar[[#This Row],[ACT_Qty]]&lt;&gt;"",BoM_Solar[[#This Row],[Currency]]="NOK"),BoM_Solar[[#This Row],[ACT_Qty]]*BoM_Solar[[#This Row],[Unit Price]],""),"")</f>
        <v/>
      </c>
      <c r="R151" s="41" t="str">
        <f>IFERROR(IF(AND(BoM_Solar[[#This Row],[Quantity]]&lt;&gt;"",BoM_Solar[[#This Row],[Currency]]="EUR"),BoM_Solar[[#This Row],[Quantity]]*BoM_Solar[[#This Row],[Unit Price]],""),"")</f>
        <v/>
      </c>
      <c r="S151" s="41" t="str">
        <f>IFERROR(IF(AND(BoM_Solar[[#This Row],[ACT_Qty]]&lt;&gt;"",BoM_Solar[[#This Row],[Currency]]="EUR"),BoM_Solar[[#This Row],[ACT_Qty]]*BoM_Solar[[#This Row],[Unit Price]],""),"")</f>
        <v/>
      </c>
      <c r="T151" s="185"/>
      <c r="U151" s="45"/>
      <c r="V151" s="45"/>
      <c r="W151" s="45"/>
    </row>
    <row r="152" spans="1:23" s="47" customFormat="1">
      <c r="A152" s="146" t="str">
        <f t="shared" si="0"/>
        <v>AKH12345</v>
      </c>
      <c r="B152">
        <v>1228138</v>
      </c>
      <c r="C152" t="s">
        <v>3470</v>
      </c>
      <c r="D152" s="105"/>
      <c r="E152" s="106"/>
      <c r="F152" s="105"/>
      <c r="G152" s="106"/>
      <c r="H152" s="175"/>
      <c r="I152" s="176"/>
      <c r="J152" s="176"/>
      <c r="K152" s="176"/>
      <c r="L152" s="145" t="s">
        <v>3326</v>
      </c>
      <c r="M152" s="45" t="str">
        <f t="shared" si="4"/>
        <v>OneCo Networks AS</v>
      </c>
      <c r="N152" s="40" t="str">
        <f ca="1">IFERROR(
VLOOKUP(BoM_Solar[[#This Row],[Product code]],
IF(AND((BoQ!$N$3&lt;&gt;""),OR(BoM_Solar[[#This Row],[Vendor]]="Griptel",BoM_Solar[[#This Row],[Vendor]]="Solar")),INDIRECT(Aux!$A$1)),4,FALSE),"")</f>
        <v/>
      </c>
      <c r="O152" s="169" t="s">
        <v>1807</v>
      </c>
      <c r="P152" s="41" t="str">
        <f>IFERROR(IF(AND(BoM_Solar[[#This Row],[Quantity]]&lt;&gt;"",BoM_Solar[[#This Row],[Currency]]="NOK"),BoM_Solar[[#This Row],[Quantity]]*BoM_Solar[[#This Row],[Unit Price]],""),"")</f>
        <v/>
      </c>
      <c r="Q152" s="41" t="str">
        <f>IFERROR(IF(AND(BoM_Solar[[#This Row],[ACT_Qty]]&lt;&gt;"",BoM_Solar[[#This Row],[Currency]]="NOK"),BoM_Solar[[#This Row],[ACT_Qty]]*BoM_Solar[[#This Row],[Unit Price]],""),"")</f>
        <v/>
      </c>
      <c r="R152" s="41" t="str">
        <f>IFERROR(IF(AND(BoM_Solar[[#This Row],[Quantity]]&lt;&gt;"",BoM_Solar[[#This Row],[Currency]]="EUR"),BoM_Solar[[#This Row],[Quantity]]*BoM_Solar[[#This Row],[Unit Price]],""),"")</f>
        <v/>
      </c>
      <c r="S152" s="41" t="str">
        <f>IFERROR(IF(AND(BoM_Solar[[#This Row],[ACT_Qty]]&lt;&gt;"",BoM_Solar[[#This Row],[Currency]]="EUR"),BoM_Solar[[#This Row],[ACT_Qty]]*BoM_Solar[[#This Row],[Unit Price]],""),"")</f>
        <v/>
      </c>
      <c r="T152" s="185"/>
      <c r="U152" s="45"/>
      <c r="V152" s="45"/>
      <c r="W152" s="45"/>
    </row>
    <row r="153" spans="1:23" s="47" customFormat="1">
      <c r="A153" s="146" t="str">
        <f t="shared" si="0"/>
        <v>AKH12345</v>
      </c>
      <c r="B153">
        <v>1261820</v>
      </c>
      <c r="C153" t="s">
        <v>3471</v>
      </c>
      <c r="D153" s="105"/>
      <c r="E153" s="106"/>
      <c r="F153" s="105"/>
      <c r="G153" s="106"/>
      <c r="H153" s="175"/>
      <c r="I153" s="176"/>
      <c r="J153" s="176"/>
      <c r="K153" s="176"/>
      <c r="L153" s="145" t="s">
        <v>3326</v>
      </c>
      <c r="M153" s="45" t="str">
        <f t="shared" si="4"/>
        <v>OneCo Networks AS</v>
      </c>
      <c r="N153" s="40" t="str">
        <f ca="1">IFERROR(
VLOOKUP(BoM_Solar[[#This Row],[Product code]],
IF(AND((BoQ!$N$3&lt;&gt;""),OR(BoM_Solar[[#This Row],[Vendor]]="Griptel",BoM_Solar[[#This Row],[Vendor]]="Solar")),INDIRECT(Aux!$A$1)),4,FALSE),"")</f>
        <v/>
      </c>
      <c r="O153" s="169" t="s">
        <v>1807</v>
      </c>
      <c r="P153" s="41" t="str">
        <f>IFERROR(IF(AND(BoM_Solar[[#This Row],[Quantity]]&lt;&gt;"",BoM_Solar[[#This Row],[Currency]]="NOK"),BoM_Solar[[#This Row],[Quantity]]*BoM_Solar[[#This Row],[Unit Price]],""),"")</f>
        <v/>
      </c>
      <c r="Q153" s="41" t="str">
        <f>IFERROR(IF(AND(BoM_Solar[[#This Row],[ACT_Qty]]&lt;&gt;"",BoM_Solar[[#This Row],[Currency]]="NOK"),BoM_Solar[[#This Row],[ACT_Qty]]*BoM_Solar[[#This Row],[Unit Price]],""),"")</f>
        <v/>
      </c>
      <c r="R153" s="41" t="str">
        <f>IFERROR(IF(AND(BoM_Solar[[#This Row],[Quantity]]&lt;&gt;"",BoM_Solar[[#This Row],[Currency]]="EUR"),BoM_Solar[[#This Row],[Quantity]]*BoM_Solar[[#This Row],[Unit Price]],""),"")</f>
        <v/>
      </c>
      <c r="S153" s="41" t="str">
        <f>IFERROR(IF(AND(BoM_Solar[[#This Row],[ACT_Qty]]&lt;&gt;"",BoM_Solar[[#This Row],[Currency]]="EUR"),BoM_Solar[[#This Row],[ACT_Qty]]*BoM_Solar[[#This Row],[Unit Price]],""),"")</f>
        <v/>
      </c>
      <c r="T153" s="185"/>
      <c r="U153" s="45"/>
      <c r="V153" s="45"/>
      <c r="W153" s="45"/>
    </row>
    <row r="154" spans="1:23" s="47" customFormat="1">
      <c r="A154" s="146" t="str">
        <f t="shared" si="0"/>
        <v>AKH12345</v>
      </c>
      <c r="B154">
        <v>1277339</v>
      </c>
      <c r="C154" t="s">
        <v>3472</v>
      </c>
      <c r="D154" s="105"/>
      <c r="E154" s="106"/>
      <c r="F154" s="105"/>
      <c r="G154" s="106"/>
      <c r="H154" s="175"/>
      <c r="I154" s="176"/>
      <c r="J154" s="176"/>
      <c r="K154" s="176"/>
      <c r="L154" s="145" t="s">
        <v>3326</v>
      </c>
      <c r="M154" s="45" t="str">
        <f t="shared" si="4"/>
        <v>OneCo Networks AS</v>
      </c>
      <c r="N154" s="40" t="str">
        <f ca="1">IFERROR(
VLOOKUP(BoM_Solar[[#This Row],[Product code]],
IF(AND((BoQ!$N$3&lt;&gt;""),OR(BoM_Solar[[#This Row],[Vendor]]="Griptel",BoM_Solar[[#This Row],[Vendor]]="Solar")),INDIRECT(Aux!$A$1)),4,FALSE),"")</f>
        <v/>
      </c>
      <c r="O154" s="169" t="s">
        <v>1807</v>
      </c>
      <c r="P154" s="41" t="str">
        <f>IFERROR(IF(AND(BoM_Solar[[#This Row],[Quantity]]&lt;&gt;"",BoM_Solar[[#This Row],[Currency]]="NOK"),BoM_Solar[[#This Row],[Quantity]]*BoM_Solar[[#This Row],[Unit Price]],""),"")</f>
        <v/>
      </c>
      <c r="Q154" s="41" t="str">
        <f>IFERROR(IF(AND(BoM_Solar[[#This Row],[ACT_Qty]]&lt;&gt;"",BoM_Solar[[#This Row],[Currency]]="NOK"),BoM_Solar[[#This Row],[ACT_Qty]]*BoM_Solar[[#This Row],[Unit Price]],""),"")</f>
        <v/>
      </c>
      <c r="R154" s="41" t="str">
        <f>IFERROR(IF(AND(BoM_Solar[[#This Row],[Quantity]]&lt;&gt;"",BoM_Solar[[#This Row],[Currency]]="EUR"),BoM_Solar[[#This Row],[Quantity]]*BoM_Solar[[#This Row],[Unit Price]],""),"")</f>
        <v/>
      </c>
      <c r="S154" s="41" t="str">
        <f>IFERROR(IF(AND(BoM_Solar[[#This Row],[ACT_Qty]]&lt;&gt;"",BoM_Solar[[#This Row],[Currency]]="EUR"),BoM_Solar[[#This Row],[ACT_Qty]]*BoM_Solar[[#This Row],[Unit Price]],""),"")</f>
        <v/>
      </c>
      <c r="T154" s="185"/>
      <c r="U154" s="45"/>
      <c r="V154" s="45"/>
      <c r="W154" s="45"/>
    </row>
    <row r="155" spans="1:23" s="47" customFormat="1">
      <c r="A155" s="146" t="str">
        <f t="shared" si="0"/>
        <v>AKH12345</v>
      </c>
      <c r="B155">
        <v>1277430</v>
      </c>
      <c r="C155" t="s">
        <v>3473</v>
      </c>
      <c r="D155" s="105"/>
      <c r="E155" s="106"/>
      <c r="F155" s="105"/>
      <c r="G155" s="106"/>
      <c r="H155" s="175"/>
      <c r="I155" s="176"/>
      <c r="J155" s="176"/>
      <c r="K155" s="176"/>
      <c r="L155" s="145" t="s">
        <v>3326</v>
      </c>
      <c r="M155" s="45" t="str">
        <f t="shared" si="4"/>
        <v>OneCo Networks AS</v>
      </c>
      <c r="N155" s="40" t="str">
        <f ca="1">IFERROR(
VLOOKUP(BoM_Solar[[#This Row],[Product code]],
IF(AND((BoQ!$N$3&lt;&gt;""),OR(BoM_Solar[[#This Row],[Vendor]]="Griptel",BoM_Solar[[#This Row],[Vendor]]="Solar")),INDIRECT(Aux!$A$1)),4,FALSE),"")</f>
        <v/>
      </c>
      <c r="O155" s="169" t="s">
        <v>1807</v>
      </c>
      <c r="P155" s="41" t="str">
        <f>IFERROR(IF(AND(BoM_Solar[[#This Row],[Quantity]]&lt;&gt;"",BoM_Solar[[#This Row],[Currency]]="NOK"),BoM_Solar[[#This Row],[Quantity]]*BoM_Solar[[#This Row],[Unit Price]],""),"")</f>
        <v/>
      </c>
      <c r="Q155" s="41" t="str">
        <f>IFERROR(IF(AND(BoM_Solar[[#This Row],[ACT_Qty]]&lt;&gt;"",BoM_Solar[[#This Row],[Currency]]="NOK"),BoM_Solar[[#This Row],[ACT_Qty]]*BoM_Solar[[#This Row],[Unit Price]],""),"")</f>
        <v/>
      </c>
      <c r="R155" s="41" t="str">
        <f>IFERROR(IF(AND(BoM_Solar[[#This Row],[Quantity]]&lt;&gt;"",BoM_Solar[[#This Row],[Currency]]="EUR"),BoM_Solar[[#This Row],[Quantity]]*BoM_Solar[[#This Row],[Unit Price]],""),"")</f>
        <v/>
      </c>
      <c r="S155" s="41" t="str">
        <f>IFERROR(IF(AND(BoM_Solar[[#This Row],[ACT_Qty]]&lt;&gt;"",BoM_Solar[[#This Row],[Currency]]="EUR"),BoM_Solar[[#This Row],[ACT_Qty]]*BoM_Solar[[#This Row],[Unit Price]],""),"")</f>
        <v/>
      </c>
      <c r="T155" s="185"/>
      <c r="U155" s="45"/>
      <c r="V155" s="45"/>
      <c r="W155" s="45"/>
    </row>
    <row r="156" spans="1:23" s="47" customFormat="1">
      <c r="A156" s="146" t="str">
        <f t="shared" ref="A156:A218" si="5">IF($C$4&lt;&gt;"",$C$4,"")</f>
        <v>AKH12345</v>
      </c>
      <c r="B156">
        <v>1277655</v>
      </c>
      <c r="C156" t="s">
        <v>3474</v>
      </c>
      <c r="D156" s="105"/>
      <c r="E156" s="106"/>
      <c r="F156" s="105"/>
      <c r="G156" s="106"/>
      <c r="H156" s="175"/>
      <c r="I156" s="176"/>
      <c r="J156" s="176"/>
      <c r="K156" s="176"/>
      <c r="L156" s="145" t="s">
        <v>3326</v>
      </c>
      <c r="M156" s="45" t="str">
        <f t="shared" si="4"/>
        <v>OneCo Networks AS</v>
      </c>
      <c r="N156" s="40" t="str">
        <f ca="1">IFERROR(
VLOOKUP(BoM_Solar[[#This Row],[Product code]],
IF(AND((BoQ!$N$3&lt;&gt;""),OR(BoM_Solar[[#This Row],[Vendor]]="Griptel",BoM_Solar[[#This Row],[Vendor]]="Solar")),INDIRECT(Aux!$A$1)),4,FALSE),"")</f>
        <v/>
      </c>
      <c r="O156" s="169" t="s">
        <v>1807</v>
      </c>
      <c r="P156" s="41" t="str">
        <f>IFERROR(IF(AND(BoM_Solar[[#This Row],[Quantity]]&lt;&gt;"",BoM_Solar[[#This Row],[Currency]]="NOK"),BoM_Solar[[#This Row],[Quantity]]*BoM_Solar[[#This Row],[Unit Price]],""),"")</f>
        <v/>
      </c>
      <c r="Q156" s="41" t="str">
        <f>IFERROR(IF(AND(BoM_Solar[[#This Row],[ACT_Qty]]&lt;&gt;"",BoM_Solar[[#This Row],[Currency]]="NOK"),BoM_Solar[[#This Row],[ACT_Qty]]*BoM_Solar[[#This Row],[Unit Price]],""),"")</f>
        <v/>
      </c>
      <c r="R156" s="41" t="str">
        <f>IFERROR(IF(AND(BoM_Solar[[#This Row],[Quantity]]&lt;&gt;"",BoM_Solar[[#This Row],[Currency]]="EUR"),BoM_Solar[[#This Row],[Quantity]]*BoM_Solar[[#This Row],[Unit Price]],""),"")</f>
        <v/>
      </c>
      <c r="S156" s="41" t="str">
        <f>IFERROR(IF(AND(BoM_Solar[[#This Row],[ACT_Qty]]&lt;&gt;"",BoM_Solar[[#This Row],[Currency]]="EUR"),BoM_Solar[[#This Row],[ACT_Qty]]*BoM_Solar[[#This Row],[Unit Price]],""),"")</f>
        <v/>
      </c>
      <c r="T156" s="185"/>
      <c r="U156" s="45"/>
      <c r="V156" s="45"/>
      <c r="W156" s="45"/>
    </row>
    <row r="157" spans="1:23" s="47" customFormat="1">
      <c r="A157" s="146" t="str">
        <f t="shared" si="5"/>
        <v>AKH12345</v>
      </c>
      <c r="B157">
        <v>1322533</v>
      </c>
      <c r="C157" t="s">
        <v>3475</v>
      </c>
      <c r="D157" s="105"/>
      <c r="E157" s="106"/>
      <c r="F157" s="105"/>
      <c r="G157" s="106"/>
      <c r="H157" s="175"/>
      <c r="I157" s="176"/>
      <c r="J157" s="176"/>
      <c r="K157" s="176"/>
      <c r="L157" s="145" t="s">
        <v>3326</v>
      </c>
      <c r="M157" s="45" t="str">
        <f t="shared" si="4"/>
        <v>OneCo Networks AS</v>
      </c>
      <c r="N157" s="40" t="str">
        <f ca="1">IFERROR(
VLOOKUP(BoM_Solar[[#This Row],[Product code]],
IF(AND((BoQ!$N$3&lt;&gt;""),OR(BoM_Solar[[#This Row],[Vendor]]="Griptel",BoM_Solar[[#This Row],[Vendor]]="Solar")),INDIRECT(Aux!$A$1)),4,FALSE),"")</f>
        <v/>
      </c>
      <c r="O157" s="169" t="s">
        <v>1807</v>
      </c>
      <c r="P157" s="41" t="str">
        <f>IFERROR(IF(AND(BoM_Solar[[#This Row],[Quantity]]&lt;&gt;"",BoM_Solar[[#This Row],[Currency]]="NOK"),BoM_Solar[[#This Row],[Quantity]]*BoM_Solar[[#This Row],[Unit Price]],""),"")</f>
        <v/>
      </c>
      <c r="Q157" s="41" t="str">
        <f>IFERROR(IF(AND(BoM_Solar[[#This Row],[ACT_Qty]]&lt;&gt;"",BoM_Solar[[#This Row],[Currency]]="NOK"),BoM_Solar[[#This Row],[ACT_Qty]]*BoM_Solar[[#This Row],[Unit Price]],""),"")</f>
        <v/>
      </c>
      <c r="R157" s="41" t="str">
        <f>IFERROR(IF(AND(BoM_Solar[[#This Row],[Quantity]]&lt;&gt;"",BoM_Solar[[#This Row],[Currency]]="EUR"),BoM_Solar[[#This Row],[Quantity]]*BoM_Solar[[#This Row],[Unit Price]],""),"")</f>
        <v/>
      </c>
      <c r="S157" s="41" t="str">
        <f>IFERROR(IF(AND(BoM_Solar[[#This Row],[ACT_Qty]]&lt;&gt;"",BoM_Solar[[#This Row],[Currency]]="EUR"),BoM_Solar[[#This Row],[ACT_Qty]]*BoM_Solar[[#This Row],[Unit Price]],""),"")</f>
        <v/>
      </c>
      <c r="T157" s="185"/>
      <c r="U157" s="45"/>
      <c r="V157" s="45"/>
      <c r="W157" s="45"/>
    </row>
    <row r="158" spans="1:23" s="47" customFormat="1">
      <c r="A158" s="146" t="str">
        <f t="shared" si="5"/>
        <v>AKH12345</v>
      </c>
      <c r="B158">
        <v>1339922</v>
      </c>
      <c r="C158" t="s">
        <v>3476</v>
      </c>
      <c r="D158" s="105"/>
      <c r="E158" s="106"/>
      <c r="F158" s="105"/>
      <c r="G158" s="106"/>
      <c r="H158" s="175"/>
      <c r="I158" s="176"/>
      <c r="J158" s="176"/>
      <c r="K158" s="176"/>
      <c r="L158" s="145" t="s">
        <v>3326</v>
      </c>
      <c r="M158" s="45" t="str">
        <f t="shared" si="4"/>
        <v>OneCo Networks AS</v>
      </c>
      <c r="N158" s="40" t="str">
        <f ca="1">IFERROR(
VLOOKUP(BoM_Solar[[#This Row],[Product code]],
IF(AND((BoQ!$N$3&lt;&gt;""),OR(BoM_Solar[[#This Row],[Vendor]]="Griptel",BoM_Solar[[#This Row],[Vendor]]="Solar")),INDIRECT(Aux!$A$1)),4,FALSE),"")</f>
        <v/>
      </c>
      <c r="O158" s="169" t="s">
        <v>1807</v>
      </c>
      <c r="P158" s="41" t="str">
        <f>IFERROR(IF(AND(BoM_Solar[[#This Row],[Quantity]]&lt;&gt;"",BoM_Solar[[#This Row],[Currency]]="NOK"),BoM_Solar[[#This Row],[Quantity]]*BoM_Solar[[#This Row],[Unit Price]],""),"")</f>
        <v/>
      </c>
      <c r="Q158" s="41" t="str">
        <f>IFERROR(IF(AND(BoM_Solar[[#This Row],[ACT_Qty]]&lt;&gt;"",BoM_Solar[[#This Row],[Currency]]="NOK"),BoM_Solar[[#This Row],[ACT_Qty]]*BoM_Solar[[#This Row],[Unit Price]],""),"")</f>
        <v/>
      </c>
      <c r="R158" s="41" t="str">
        <f>IFERROR(IF(AND(BoM_Solar[[#This Row],[Quantity]]&lt;&gt;"",BoM_Solar[[#This Row],[Currency]]="EUR"),BoM_Solar[[#This Row],[Quantity]]*BoM_Solar[[#This Row],[Unit Price]],""),"")</f>
        <v/>
      </c>
      <c r="S158" s="41" t="str">
        <f>IFERROR(IF(AND(BoM_Solar[[#This Row],[ACT_Qty]]&lt;&gt;"",BoM_Solar[[#This Row],[Currency]]="EUR"),BoM_Solar[[#This Row],[ACT_Qty]]*BoM_Solar[[#This Row],[Unit Price]],""),"")</f>
        <v/>
      </c>
      <c r="T158" s="185"/>
      <c r="U158" s="45"/>
      <c r="V158" s="45"/>
      <c r="W158" s="45"/>
    </row>
    <row r="159" spans="1:23">
      <c r="A159" s="146" t="str">
        <f t="shared" si="5"/>
        <v>AKH12345</v>
      </c>
      <c r="B159">
        <v>1372382</v>
      </c>
      <c r="C159" t="s">
        <v>3477</v>
      </c>
      <c r="D159" s="105"/>
      <c r="E159" s="106"/>
      <c r="F159" s="105"/>
      <c r="G159" s="106"/>
      <c r="H159" s="175"/>
      <c r="I159" s="176"/>
      <c r="J159" s="176"/>
      <c r="K159" s="176"/>
      <c r="L159" s="145" t="s">
        <v>3326</v>
      </c>
      <c r="M159" s="45" t="str">
        <f t="shared" ref="M159:M180" si="6">IF($C$3&lt;&gt;"",$C$3,"")</f>
        <v>OneCo Networks AS</v>
      </c>
      <c r="N159" s="40" t="str">
        <f ca="1">IFERROR(
VLOOKUP(BoM_Solar[[#This Row],[Product code]],
IF(AND((BoQ!$N$3&lt;&gt;""),OR(BoM_Solar[[#This Row],[Vendor]]="Griptel",BoM_Solar[[#This Row],[Vendor]]="Solar")),INDIRECT(Aux!$A$1)),4,FALSE),"")</f>
        <v/>
      </c>
      <c r="O159" s="169" t="s">
        <v>1807</v>
      </c>
      <c r="P159" s="41" t="str">
        <f>IFERROR(IF(AND(BoM_Solar[[#This Row],[Quantity]]&lt;&gt;"",BoM_Solar[[#This Row],[Currency]]="NOK"),BoM_Solar[[#This Row],[Quantity]]*BoM_Solar[[#This Row],[Unit Price]],""),"")</f>
        <v/>
      </c>
      <c r="Q159" s="41" t="str">
        <f>IFERROR(IF(AND(BoM_Solar[[#This Row],[ACT_Qty]]&lt;&gt;"",BoM_Solar[[#This Row],[Currency]]="NOK"),BoM_Solar[[#This Row],[ACT_Qty]]*BoM_Solar[[#This Row],[Unit Price]],""),"")</f>
        <v/>
      </c>
      <c r="R159" s="41" t="str">
        <f>IFERROR(IF(AND(BoM_Solar[[#This Row],[Quantity]]&lt;&gt;"",BoM_Solar[[#This Row],[Currency]]="EUR"),BoM_Solar[[#This Row],[Quantity]]*BoM_Solar[[#This Row],[Unit Price]],""),"")</f>
        <v/>
      </c>
      <c r="S159" s="41" t="str">
        <f>IFERROR(IF(AND(BoM_Solar[[#This Row],[ACT_Qty]]&lt;&gt;"",BoM_Solar[[#This Row],[Currency]]="EUR"),BoM_Solar[[#This Row],[ACT_Qty]]*BoM_Solar[[#This Row],[Unit Price]],""),"")</f>
        <v/>
      </c>
      <c r="T159" s="185"/>
      <c r="U159" s="45"/>
      <c r="V159" s="45"/>
      <c r="W159" s="45"/>
    </row>
    <row r="160" spans="1:23">
      <c r="A160" s="146" t="str">
        <f t="shared" si="5"/>
        <v>AKH12345</v>
      </c>
      <c r="B160">
        <v>1205618</v>
      </c>
      <c r="C160" t="s">
        <v>3478</v>
      </c>
      <c r="D160" s="105"/>
      <c r="E160" s="106"/>
      <c r="F160" s="105"/>
      <c r="G160" s="106"/>
      <c r="H160" s="175"/>
      <c r="I160" s="176"/>
      <c r="J160" s="176"/>
      <c r="K160" s="176"/>
      <c r="L160" s="145" t="s">
        <v>3326</v>
      </c>
      <c r="M160" s="45" t="str">
        <f t="shared" si="6"/>
        <v>OneCo Networks AS</v>
      </c>
      <c r="N160" s="40" t="str">
        <f ca="1">IFERROR(
VLOOKUP(BoM_Solar[[#This Row],[Product code]],
IF(AND((BoQ!$N$3&lt;&gt;""),OR(BoM_Solar[[#This Row],[Vendor]]="Griptel",BoM_Solar[[#This Row],[Vendor]]="Solar")),INDIRECT(Aux!$A$1)),4,FALSE),"")</f>
        <v/>
      </c>
      <c r="O160" s="169" t="s">
        <v>1807</v>
      </c>
      <c r="P160" s="41" t="str">
        <f>IFERROR(IF(AND(BoM_Solar[[#This Row],[Quantity]]&lt;&gt;"",BoM_Solar[[#This Row],[Currency]]="NOK"),BoM_Solar[[#This Row],[Quantity]]*BoM_Solar[[#This Row],[Unit Price]],""),"")</f>
        <v/>
      </c>
      <c r="Q160" s="41" t="str">
        <f>IFERROR(IF(AND(BoM_Solar[[#This Row],[ACT_Qty]]&lt;&gt;"",BoM_Solar[[#This Row],[Currency]]="NOK"),BoM_Solar[[#This Row],[ACT_Qty]]*BoM_Solar[[#This Row],[Unit Price]],""),"")</f>
        <v/>
      </c>
      <c r="R160" s="41" t="str">
        <f>IFERROR(IF(AND(BoM_Solar[[#This Row],[Quantity]]&lt;&gt;"",BoM_Solar[[#This Row],[Currency]]="EUR"),BoM_Solar[[#This Row],[Quantity]]*BoM_Solar[[#This Row],[Unit Price]],""),"")</f>
        <v/>
      </c>
      <c r="S160" s="41" t="str">
        <f>IFERROR(IF(AND(BoM_Solar[[#This Row],[ACT_Qty]]&lt;&gt;"",BoM_Solar[[#This Row],[Currency]]="EUR"),BoM_Solar[[#This Row],[ACT_Qty]]*BoM_Solar[[#This Row],[Unit Price]],""),"")</f>
        <v/>
      </c>
      <c r="T160" s="185"/>
      <c r="U160" s="45"/>
      <c r="V160" s="45"/>
      <c r="W160" s="45"/>
    </row>
    <row r="161" spans="1:23">
      <c r="A161" s="146" t="str">
        <f t="shared" si="5"/>
        <v>AKH12345</v>
      </c>
      <c r="B161">
        <v>1355231</v>
      </c>
      <c r="C161" t="s">
        <v>3479</v>
      </c>
      <c r="D161" s="105"/>
      <c r="E161" s="106"/>
      <c r="F161" s="105"/>
      <c r="G161" s="106"/>
      <c r="H161" s="175"/>
      <c r="I161" s="176"/>
      <c r="J161" s="176"/>
      <c r="K161" s="176"/>
      <c r="L161" s="145" t="s">
        <v>3326</v>
      </c>
      <c r="M161" s="45" t="str">
        <f t="shared" si="6"/>
        <v>OneCo Networks AS</v>
      </c>
      <c r="N161" s="40" t="str">
        <f ca="1">IFERROR(
VLOOKUP(BoM_Solar[[#This Row],[Product code]],
IF(AND((BoQ!$N$3&lt;&gt;""),OR(BoM_Solar[[#This Row],[Vendor]]="Griptel",BoM_Solar[[#This Row],[Vendor]]="Solar")),INDIRECT(Aux!$A$1)),4,FALSE),"")</f>
        <v/>
      </c>
      <c r="O161" s="169" t="s">
        <v>1807</v>
      </c>
      <c r="P161" s="41" t="str">
        <f>IFERROR(IF(AND(BoM_Solar[[#This Row],[Quantity]]&lt;&gt;"",BoM_Solar[[#This Row],[Currency]]="NOK"),BoM_Solar[[#This Row],[Quantity]]*BoM_Solar[[#This Row],[Unit Price]],""),"")</f>
        <v/>
      </c>
      <c r="Q161" s="41" t="str">
        <f>IFERROR(IF(AND(BoM_Solar[[#This Row],[ACT_Qty]]&lt;&gt;"",BoM_Solar[[#This Row],[Currency]]="NOK"),BoM_Solar[[#This Row],[ACT_Qty]]*BoM_Solar[[#This Row],[Unit Price]],""),"")</f>
        <v/>
      </c>
      <c r="R161" s="41" t="str">
        <f>IFERROR(IF(AND(BoM_Solar[[#This Row],[Quantity]]&lt;&gt;"",BoM_Solar[[#This Row],[Currency]]="EUR"),BoM_Solar[[#This Row],[Quantity]]*BoM_Solar[[#This Row],[Unit Price]],""),"")</f>
        <v/>
      </c>
      <c r="S161" s="41" t="str">
        <f>IFERROR(IF(AND(BoM_Solar[[#This Row],[ACT_Qty]]&lt;&gt;"",BoM_Solar[[#This Row],[Currency]]="EUR"),BoM_Solar[[#This Row],[ACT_Qty]]*BoM_Solar[[#This Row],[Unit Price]],""),"")</f>
        <v/>
      </c>
      <c r="T161" s="185"/>
      <c r="U161" s="45"/>
      <c r="V161" s="45"/>
      <c r="W161" s="45"/>
    </row>
    <row r="162" spans="1:23">
      <c r="A162" s="146" t="str">
        <f t="shared" si="5"/>
        <v>AKH12345</v>
      </c>
      <c r="B162">
        <v>1263108</v>
      </c>
      <c r="C162" t="s">
        <v>3480</v>
      </c>
      <c r="D162" s="105"/>
      <c r="E162" s="106"/>
      <c r="F162" s="105"/>
      <c r="G162" s="106"/>
      <c r="H162" s="175"/>
      <c r="I162" s="176"/>
      <c r="J162" s="176"/>
      <c r="K162" s="176"/>
      <c r="L162" s="145" t="s">
        <v>3326</v>
      </c>
      <c r="M162" s="45" t="str">
        <f t="shared" si="6"/>
        <v>OneCo Networks AS</v>
      </c>
      <c r="N162" s="40" t="str">
        <f ca="1">IFERROR(
VLOOKUP(BoM_Solar[[#This Row],[Product code]],
IF(AND((BoQ!$N$3&lt;&gt;""),OR(BoM_Solar[[#This Row],[Vendor]]="Griptel",BoM_Solar[[#This Row],[Vendor]]="Solar")),INDIRECT(Aux!$A$1)),4,FALSE),"")</f>
        <v/>
      </c>
      <c r="O162" s="169" t="s">
        <v>1807</v>
      </c>
      <c r="P162" s="41" t="str">
        <f>IFERROR(IF(AND(BoM_Solar[[#This Row],[Quantity]]&lt;&gt;"",BoM_Solar[[#This Row],[Currency]]="NOK"),BoM_Solar[[#This Row],[Quantity]]*BoM_Solar[[#This Row],[Unit Price]],""),"")</f>
        <v/>
      </c>
      <c r="Q162" s="41" t="str">
        <f>IFERROR(IF(AND(BoM_Solar[[#This Row],[ACT_Qty]]&lt;&gt;"",BoM_Solar[[#This Row],[Currency]]="NOK"),BoM_Solar[[#This Row],[ACT_Qty]]*BoM_Solar[[#This Row],[Unit Price]],""),"")</f>
        <v/>
      </c>
      <c r="R162" s="41" t="str">
        <f>IFERROR(IF(AND(BoM_Solar[[#This Row],[Quantity]]&lt;&gt;"",BoM_Solar[[#This Row],[Currency]]="EUR"),BoM_Solar[[#This Row],[Quantity]]*BoM_Solar[[#This Row],[Unit Price]],""),"")</f>
        <v/>
      </c>
      <c r="S162" s="41" t="str">
        <f>IFERROR(IF(AND(BoM_Solar[[#This Row],[ACT_Qty]]&lt;&gt;"",BoM_Solar[[#This Row],[Currency]]="EUR"),BoM_Solar[[#This Row],[ACT_Qty]]*BoM_Solar[[#This Row],[Unit Price]],""),"")</f>
        <v/>
      </c>
      <c r="T162" s="185"/>
      <c r="U162" s="45"/>
      <c r="V162" s="45"/>
      <c r="W162" s="45"/>
    </row>
    <row r="163" spans="1:23">
      <c r="A163" s="146" t="str">
        <f t="shared" si="5"/>
        <v>AKH12345</v>
      </c>
      <c r="B163">
        <v>1291200</v>
      </c>
      <c r="C163" t="s">
        <v>3481</v>
      </c>
      <c r="D163" s="105"/>
      <c r="E163" s="106"/>
      <c r="F163" s="105"/>
      <c r="G163" s="106"/>
      <c r="H163" s="175"/>
      <c r="I163" s="176"/>
      <c r="J163" s="176"/>
      <c r="K163" s="176"/>
      <c r="L163" s="145" t="s">
        <v>3326</v>
      </c>
      <c r="M163" s="45" t="str">
        <f t="shared" si="6"/>
        <v>OneCo Networks AS</v>
      </c>
      <c r="N163" s="40" t="str">
        <f ca="1">IFERROR(
VLOOKUP(BoM_Solar[[#This Row],[Product code]],
IF(AND((BoQ!$N$3&lt;&gt;""),OR(BoM_Solar[[#This Row],[Vendor]]="Griptel",BoM_Solar[[#This Row],[Vendor]]="Solar")),INDIRECT(Aux!$A$1)),4,FALSE),"")</f>
        <v/>
      </c>
      <c r="O163" s="169" t="s">
        <v>1807</v>
      </c>
      <c r="P163" s="41" t="str">
        <f>IFERROR(IF(AND(BoM_Solar[[#This Row],[Quantity]]&lt;&gt;"",BoM_Solar[[#This Row],[Currency]]="NOK"),BoM_Solar[[#This Row],[Quantity]]*BoM_Solar[[#This Row],[Unit Price]],""),"")</f>
        <v/>
      </c>
      <c r="Q163" s="41" t="str">
        <f>IFERROR(IF(AND(BoM_Solar[[#This Row],[ACT_Qty]]&lt;&gt;"",BoM_Solar[[#This Row],[Currency]]="NOK"),BoM_Solar[[#This Row],[ACT_Qty]]*BoM_Solar[[#This Row],[Unit Price]],""),"")</f>
        <v/>
      </c>
      <c r="R163" s="41" t="str">
        <f>IFERROR(IF(AND(BoM_Solar[[#This Row],[Quantity]]&lt;&gt;"",BoM_Solar[[#This Row],[Currency]]="EUR"),BoM_Solar[[#This Row],[Quantity]]*BoM_Solar[[#This Row],[Unit Price]],""),"")</f>
        <v/>
      </c>
      <c r="S163" s="41" t="str">
        <f>IFERROR(IF(AND(BoM_Solar[[#This Row],[ACT_Qty]]&lt;&gt;"",BoM_Solar[[#This Row],[Currency]]="EUR"),BoM_Solar[[#This Row],[ACT_Qty]]*BoM_Solar[[#This Row],[Unit Price]],""),"")</f>
        <v/>
      </c>
      <c r="T163" s="185"/>
      <c r="U163" s="45"/>
      <c r="V163" s="45"/>
      <c r="W163" s="45"/>
    </row>
    <row r="164" spans="1:23">
      <c r="A164" s="146" t="str">
        <f t="shared" si="5"/>
        <v>AKH12345</v>
      </c>
      <c r="B164">
        <v>1010191</v>
      </c>
      <c r="C164" t="s">
        <v>3482</v>
      </c>
      <c r="D164" s="105"/>
      <c r="E164" s="106"/>
      <c r="F164" s="105"/>
      <c r="G164" s="106"/>
      <c r="H164" s="175"/>
      <c r="I164" s="176"/>
      <c r="J164" s="176"/>
      <c r="K164" s="176"/>
      <c r="L164" s="145" t="s">
        <v>3326</v>
      </c>
      <c r="M164" s="45" t="str">
        <f t="shared" si="6"/>
        <v>OneCo Networks AS</v>
      </c>
      <c r="N164" s="40" t="str">
        <f ca="1">IFERROR(
VLOOKUP(BoM_Solar[[#This Row],[Product code]],
IF(AND((BoQ!$N$3&lt;&gt;""),OR(BoM_Solar[[#This Row],[Vendor]]="Griptel",BoM_Solar[[#This Row],[Vendor]]="Solar")),INDIRECT(Aux!$A$1)),4,FALSE),"")</f>
        <v/>
      </c>
      <c r="O164" s="169" t="s">
        <v>1807</v>
      </c>
      <c r="P164" s="41" t="str">
        <f>IFERROR(IF(AND(BoM_Solar[[#This Row],[Quantity]]&lt;&gt;"",BoM_Solar[[#This Row],[Currency]]="NOK"),BoM_Solar[[#This Row],[Quantity]]*BoM_Solar[[#This Row],[Unit Price]],""),"")</f>
        <v/>
      </c>
      <c r="Q164" s="41" t="str">
        <f>IFERROR(IF(AND(BoM_Solar[[#This Row],[ACT_Qty]]&lt;&gt;"",BoM_Solar[[#This Row],[Currency]]="NOK"),BoM_Solar[[#This Row],[ACT_Qty]]*BoM_Solar[[#This Row],[Unit Price]],""),"")</f>
        <v/>
      </c>
      <c r="R164" s="41" t="str">
        <f>IFERROR(IF(AND(BoM_Solar[[#This Row],[Quantity]]&lt;&gt;"",BoM_Solar[[#This Row],[Currency]]="EUR"),BoM_Solar[[#This Row],[Quantity]]*BoM_Solar[[#This Row],[Unit Price]],""),"")</f>
        <v/>
      </c>
      <c r="S164" s="41" t="str">
        <f>IFERROR(IF(AND(BoM_Solar[[#This Row],[ACT_Qty]]&lt;&gt;"",BoM_Solar[[#This Row],[Currency]]="EUR"),BoM_Solar[[#This Row],[ACT_Qty]]*BoM_Solar[[#This Row],[Unit Price]],""),"")</f>
        <v/>
      </c>
      <c r="T164" s="185"/>
      <c r="U164" s="45"/>
      <c r="V164" s="45"/>
      <c r="W164" s="45"/>
    </row>
    <row r="165" spans="1:23">
      <c r="A165" s="146" t="str">
        <f t="shared" si="5"/>
        <v>AKH12345</v>
      </c>
      <c r="B165">
        <v>1211292</v>
      </c>
      <c r="C165" t="s">
        <v>3483</v>
      </c>
      <c r="D165" s="105"/>
      <c r="E165" s="106"/>
      <c r="F165" s="105"/>
      <c r="G165" s="106"/>
      <c r="H165" s="175"/>
      <c r="I165" s="176"/>
      <c r="J165" s="176"/>
      <c r="K165" s="176"/>
      <c r="L165" s="145" t="s">
        <v>3326</v>
      </c>
      <c r="M165" s="45" t="str">
        <f t="shared" si="6"/>
        <v>OneCo Networks AS</v>
      </c>
      <c r="N165" s="40" t="str">
        <f ca="1">IFERROR(
VLOOKUP(BoM_Solar[[#This Row],[Product code]],
IF(AND((BoQ!$N$3&lt;&gt;""),OR(BoM_Solar[[#This Row],[Vendor]]="Griptel",BoM_Solar[[#This Row],[Vendor]]="Solar")),INDIRECT(Aux!$A$1)),4,FALSE),"")</f>
        <v/>
      </c>
      <c r="O165" s="169" t="s">
        <v>1807</v>
      </c>
      <c r="P165" s="41" t="str">
        <f>IFERROR(IF(AND(BoM_Solar[[#This Row],[Quantity]]&lt;&gt;"",BoM_Solar[[#This Row],[Currency]]="NOK"),BoM_Solar[[#This Row],[Quantity]]*BoM_Solar[[#This Row],[Unit Price]],""),"")</f>
        <v/>
      </c>
      <c r="Q165" s="41" t="str">
        <f>IFERROR(IF(AND(BoM_Solar[[#This Row],[ACT_Qty]]&lt;&gt;"",BoM_Solar[[#This Row],[Currency]]="NOK"),BoM_Solar[[#This Row],[ACT_Qty]]*BoM_Solar[[#This Row],[Unit Price]],""),"")</f>
        <v/>
      </c>
      <c r="R165" s="41" t="str">
        <f>IFERROR(IF(AND(BoM_Solar[[#This Row],[Quantity]]&lt;&gt;"",BoM_Solar[[#This Row],[Currency]]="EUR"),BoM_Solar[[#This Row],[Quantity]]*BoM_Solar[[#This Row],[Unit Price]],""),"")</f>
        <v/>
      </c>
      <c r="S165" s="41" t="str">
        <f>IFERROR(IF(AND(BoM_Solar[[#This Row],[ACT_Qty]]&lt;&gt;"",BoM_Solar[[#This Row],[Currency]]="EUR"),BoM_Solar[[#This Row],[ACT_Qty]]*BoM_Solar[[#This Row],[Unit Price]],""),"")</f>
        <v/>
      </c>
      <c r="T165" s="185"/>
      <c r="U165" s="45"/>
      <c r="V165" s="45"/>
      <c r="W165" s="45"/>
    </row>
    <row r="166" spans="1:23">
      <c r="A166" s="146" t="str">
        <f t="shared" si="5"/>
        <v>AKH12345</v>
      </c>
      <c r="B166">
        <v>1538701</v>
      </c>
      <c r="C166" t="s">
        <v>3484</v>
      </c>
      <c r="D166" s="105"/>
      <c r="E166" s="106"/>
      <c r="F166" s="105"/>
      <c r="G166" s="106"/>
      <c r="H166" s="175"/>
      <c r="I166" s="176"/>
      <c r="J166" s="176"/>
      <c r="K166" s="176"/>
      <c r="L166" s="145" t="s">
        <v>3326</v>
      </c>
      <c r="M166" s="45" t="str">
        <f t="shared" si="6"/>
        <v>OneCo Networks AS</v>
      </c>
      <c r="N166" s="40" t="str">
        <f ca="1">IFERROR(
VLOOKUP(BoM_Solar[[#This Row],[Product code]],
IF(AND((BoQ!$N$3&lt;&gt;""),OR(BoM_Solar[[#This Row],[Vendor]]="Griptel",BoM_Solar[[#This Row],[Vendor]]="Solar")),INDIRECT(Aux!$A$1)),4,FALSE),"")</f>
        <v/>
      </c>
      <c r="O166" s="169" t="s">
        <v>1807</v>
      </c>
      <c r="P166" s="41" t="str">
        <f>IFERROR(IF(AND(BoM_Solar[[#This Row],[Quantity]]&lt;&gt;"",BoM_Solar[[#This Row],[Currency]]="NOK"),BoM_Solar[[#This Row],[Quantity]]*BoM_Solar[[#This Row],[Unit Price]],""),"")</f>
        <v/>
      </c>
      <c r="Q166" s="41" t="str">
        <f>IFERROR(IF(AND(BoM_Solar[[#This Row],[ACT_Qty]]&lt;&gt;"",BoM_Solar[[#This Row],[Currency]]="NOK"),BoM_Solar[[#This Row],[ACT_Qty]]*BoM_Solar[[#This Row],[Unit Price]],""),"")</f>
        <v/>
      </c>
      <c r="R166" s="41" t="str">
        <f>IFERROR(IF(AND(BoM_Solar[[#This Row],[Quantity]]&lt;&gt;"",BoM_Solar[[#This Row],[Currency]]="EUR"),BoM_Solar[[#This Row],[Quantity]]*BoM_Solar[[#This Row],[Unit Price]],""),"")</f>
        <v/>
      </c>
      <c r="S166" s="41" t="str">
        <f>IFERROR(IF(AND(BoM_Solar[[#This Row],[ACT_Qty]]&lt;&gt;"",BoM_Solar[[#This Row],[Currency]]="EUR"),BoM_Solar[[#This Row],[ACT_Qty]]*BoM_Solar[[#This Row],[Unit Price]],""),"")</f>
        <v/>
      </c>
      <c r="T166" s="185"/>
      <c r="U166" s="45"/>
      <c r="V166" s="45"/>
      <c r="W166" s="45"/>
    </row>
    <row r="167" spans="1:23">
      <c r="A167" s="146" t="str">
        <f t="shared" si="5"/>
        <v>AKH12345</v>
      </c>
      <c r="B167">
        <v>1166660</v>
      </c>
      <c r="C167" t="s">
        <v>3485</v>
      </c>
      <c r="D167" s="105"/>
      <c r="E167" s="106"/>
      <c r="F167" s="105"/>
      <c r="G167" s="106"/>
      <c r="H167" s="175"/>
      <c r="I167" s="176"/>
      <c r="J167" s="176"/>
      <c r="K167" s="176"/>
      <c r="L167" s="145" t="s">
        <v>3326</v>
      </c>
      <c r="M167" s="45" t="str">
        <f t="shared" si="6"/>
        <v>OneCo Networks AS</v>
      </c>
      <c r="N167" s="40" t="str">
        <f ca="1">IFERROR(
VLOOKUP(BoM_Solar[[#This Row],[Product code]],
IF(AND((BoQ!$N$3&lt;&gt;""),OR(BoM_Solar[[#This Row],[Vendor]]="Griptel",BoM_Solar[[#This Row],[Vendor]]="Solar")),INDIRECT(Aux!$A$1)),4,FALSE),"")</f>
        <v/>
      </c>
      <c r="O167" s="169" t="s">
        <v>1807</v>
      </c>
      <c r="P167" s="41" t="str">
        <f>IFERROR(IF(AND(BoM_Solar[[#This Row],[Quantity]]&lt;&gt;"",BoM_Solar[[#This Row],[Currency]]="NOK"),BoM_Solar[[#This Row],[Quantity]]*BoM_Solar[[#This Row],[Unit Price]],""),"")</f>
        <v/>
      </c>
      <c r="Q167" s="41" t="str">
        <f>IFERROR(IF(AND(BoM_Solar[[#This Row],[ACT_Qty]]&lt;&gt;"",BoM_Solar[[#This Row],[Currency]]="NOK"),BoM_Solar[[#This Row],[ACT_Qty]]*BoM_Solar[[#This Row],[Unit Price]],""),"")</f>
        <v/>
      </c>
      <c r="R167" s="41" t="str">
        <f>IFERROR(IF(AND(BoM_Solar[[#This Row],[Quantity]]&lt;&gt;"",BoM_Solar[[#This Row],[Currency]]="EUR"),BoM_Solar[[#This Row],[Quantity]]*BoM_Solar[[#This Row],[Unit Price]],""),"")</f>
        <v/>
      </c>
      <c r="S167" s="41" t="str">
        <f>IFERROR(IF(AND(BoM_Solar[[#This Row],[ACT_Qty]]&lt;&gt;"",BoM_Solar[[#This Row],[Currency]]="EUR"),BoM_Solar[[#This Row],[ACT_Qty]]*BoM_Solar[[#This Row],[Unit Price]],""),"")</f>
        <v/>
      </c>
      <c r="T167" s="185"/>
      <c r="U167" s="45"/>
      <c r="V167" s="45"/>
      <c r="W167" s="45"/>
    </row>
    <row r="168" spans="1:23">
      <c r="A168" s="146" t="str">
        <f t="shared" si="5"/>
        <v>AKH12345</v>
      </c>
      <c r="B168">
        <v>1213093</v>
      </c>
      <c r="C168" t="s">
        <v>3486</v>
      </c>
      <c r="D168" s="105"/>
      <c r="E168" s="106"/>
      <c r="F168" s="105"/>
      <c r="G168" s="106"/>
      <c r="H168" s="175"/>
      <c r="I168" s="176"/>
      <c r="J168" s="176"/>
      <c r="K168" s="176"/>
      <c r="L168" s="145" t="s">
        <v>3326</v>
      </c>
      <c r="M168" s="45" t="str">
        <f t="shared" si="6"/>
        <v>OneCo Networks AS</v>
      </c>
      <c r="N168" s="40" t="str">
        <f ca="1">IFERROR(
VLOOKUP(BoM_Solar[[#This Row],[Product code]],
IF(AND((BoQ!$N$3&lt;&gt;""),OR(BoM_Solar[[#This Row],[Vendor]]="Griptel",BoM_Solar[[#This Row],[Vendor]]="Solar")),INDIRECT(Aux!$A$1)),4,FALSE),"")</f>
        <v/>
      </c>
      <c r="O168" s="169" t="s">
        <v>1807</v>
      </c>
      <c r="P168" s="41" t="str">
        <f>IFERROR(IF(AND(BoM_Solar[[#This Row],[Quantity]]&lt;&gt;"",BoM_Solar[[#This Row],[Currency]]="NOK"),BoM_Solar[[#This Row],[Quantity]]*BoM_Solar[[#This Row],[Unit Price]],""),"")</f>
        <v/>
      </c>
      <c r="Q168" s="41" t="str">
        <f>IFERROR(IF(AND(BoM_Solar[[#This Row],[ACT_Qty]]&lt;&gt;"",BoM_Solar[[#This Row],[Currency]]="NOK"),BoM_Solar[[#This Row],[ACT_Qty]]*BoM_Solar[[#This Row],[Unit Price]],""),"")</f>
        <v/>
      </c>
      <c r="R168" s="41" t="str">
        <f>IFERROR(IF(AND(BoM_Solar[[#This Row],[Quantity]]&lt;&gt;"",BoM_Solar[[#This Row],[Currency]]="EUR"),BoM_Solar[[#This Row],[Quantity]]*BoM_Solar[[#This Row],[Unit Price]],""),"")</f>
        <v/>
      </c>
      <c r="S168" s="41" t="str">
        <f>IFERROR(IF(AND(BoM_Solar[[#This Row],[ACT_Qty]]&lt;&gt;"",BoM_Solar[[#This Row],[Currency]]="EUR"),BoM_Solar[[#This Row],[ACT_Qty]]*BoM_Solar[[#This Row],[Unit Price]],""),"")</f>
        <v/>
      </c>
      <c r="T168" s="185"/>
      <c r="U168" s="45"/>
      <c r="V168" s="45"/>
      <c r="W168" s="45"/>
    </row>
    <row r="169" spans="1:23">
      <c r="A169" s="146" t="str">
        <f t="shared" si="5"/>
        <v>AKH12345</v>
      </c>
      <c r="B169">
        <v>6255901</v>
      </c>
      <c r="C169" t="s">
        <v>3487</v>
      </c>
      <c r="D169" s="105"/>
      <c r="E169" s="106"/>
      <c r="F169" s="105"/>
      <c r="G169" s="106"/>
      <c r="H169" s="175"/>
      <c r="I169" s="176"/>
      <c r="J169" s="176"/>
      <c r="K169" s="176"/>
      <c r="L169" s="145" t="s">
        <v>3326</v>
      </c>
      <c r="M169" s="45" t="str">
        <f t="shared" si="6"/>
        <v>OneCo Networks AS</v>
      </c>
      <c r="N169" s="40" t="str">
        <f ca="1">IFERROR(
VLOOKUP(BoM_Solar[[#This Row],[Product code]],
IF(AND((BoQ!$N$3&lt;&gt;""),OR(BoM_Solar[[#This Row],[Vendor]]="Griptel",BoM_Solar[[#This Row],[Vendor]]="Solar")),INDIRECT(Aux!$A$1)),4,FALSE),"")</f>
        <v/>
      </c>
      <c r="O169" s="169" t="s">
        <v>1807</v>
      </c>
      <c r="P169" s="41" t="str">
        <f>IFERROR(IF(AND(BoM_Solar[[#This Row],[Quantity]]&lt;&gt;"",BoM_Solar[[#This Row],[Currency]]="NOK"),BoM_Solar[[#This Row],[Quantity]]*BoM_Solar[[#This Row],[Unit Price]],""),"")</f>
        <v/>
      </c>
      <c r="Q169" s="41" t="str">
        <f>IFERROR(IF(AND(BoM_Solar[[#This Row],[ACT_Qty]]&lt;&gt;"",BoM_Solar[[#This Row],[Currency]]="NOK"),BoM_Solar[[#This Row],[ACT_Qty]]*BoM_Solar[[#This Row],[Unit Price]],""),"")</f>
        <v/>
      </c>
      <c r="R169" s="41" t="str">
        <f>IFERROR(IF(AND(BoM_Solar[[#This Row],[Quantity]]&lt;&gt;"",BoM_Solar[[#This Row],[Currency]]="EUR"),BoM_Solar[[#This Row],[Quantity]]*BoM_Solar[[#This Row],[Unit Price]],""),"")</f>
        <v/>
      </c>
      <c r="S169" s="41" t="str">
        <f>IFERROR(IF(AND(BoM_Solar[[#This Row],[ACT_Qty]]&lt;&gt;"",BoM_Solar[[#This Row],[Currency]]="EUR"),BoM_Solar[[#This Row],[ACT_Qty]]*BoM_Solar[[#This Row],[Unit Price]],""),"")</f>
        <v/>
      </c>
      <c r="T169" s="185"/>
      <c r="U169" s="45"/>
      <c r="V169" s="45"/>
      <c r="W169" s="45"/>
    </row>
    <row r="170" spans="1:23">
      <c r="A170" s="146" t="str">
        <f t="shared" si="5"/>
        <v>AKH12345</v>
      </c>
      <c r="B170">
        <v>1202130</v>
      </c>
      <c r="C170" t="s">
        <v>3488</v>
      </c>
      <c r="D170" s="105"/>
      <c r="E170" s="106"/>
      <c r="F170" s="105"/>
      <c r="G170" s="106"/>
      <c r="H170" s="175"/>
      <c r="I170" s="176"/>
      <c r="J170" s="176"/>
      <c r="K170" s="176"/>
      <c r="L170" s="145" t="s">
        <v>3326</v>
      </c>
      <c r="M170" s="45" t="str">
        <f t="shared" si="6"/>
        <v>OneCo Networks AS</v>
      </c>
      <c r="N170" s="40" t="str">
        <f ca="1">IFERROR(
VLOOKUP(BoM_Solar[[#This Row],[Product code]],
IF(AND((BoQ!$N$3&lt;&gt;""),OR(BoM_Solar[[#This Row],[Vendor]]="Griptel",BoM_Solar[[#This Row],[Vendor]]="Solar")),INDIRECT(Aux!$A$1)),4,FALSE),"")</f>
        <v/>
      </c>
      <c r="O170" s="169" t="s">
        <v>1807</v>
      </c>
      <c r="P170" s="41" t="str">
        <f>IFERROR(IF(AND(BoM_Solar[[#This Row],[Quantity]]&lt;&gt;"",BoM_Solar[[#This Row],[Currency]]="NOK"),BoM_Solar[[#This Row],[Quantity]]*BoM_Solar[[#This Row],[Unit Price]],""),"")</f>
        <v/>
      </c>
      <c r="Q170" s="41" t="str">
        <f>IFERROR(IF(AND(BoM_Solar[[#This Row],[ACT_Qty]]&lt;&gt;"",BoM_Solar[[#This Row],[Currency]]="NOK"),BoM_Solar[[#This Row],[ACT_Qty]]*BoM_Solar[[#This Row],[Unit Price]],""),"")</f>
        <v/>
      </c>
      <c r="R170" s="41" t="str">
        <f>IFERROR(IF(AND(BoM_Solar[[#This Row],[Quantity]]&lt;&gt;"",BoM_Solar[[#This Row],[Currency]]="EUR"),BoM_Solar[[#This Row],[Quantity]]*BoM_Solar[[#This Row],[Unit Price]],""),"")</f>
        <v/>
      </c>
      <c r="S170" s="41" t="str">
        <f>IFERROR(IF(AND(BoM_Solar[[#This Row],[ACT_Qty]]&lt;&gt;"",BoM_Solar[[#This Row],[Currency]]="EUR"),BoM_Solar[[#This Row],[ACT_Qty]]*BoM_Solar[[#This Row],[Unit Price]],""),"")</f>
        <v/>
      </c>
      <c r="T170" s="185"/>
      <c r="U170" s="45"/>
      <c r="V170" s="45"/>
      <c r="W170" s="45"/>
    </row>
    <row r="171" spans="1:23">
      <c r="A171" s="146" t="str">
        <f t="shared" si="5"/>
        <v>AKH12345</v>
      </c>
      <c r="B171">
        <v>1205315</v>
      </c>
      <c r="C171" t="s">
        <v>3489</v>
      </c>
      <c r="D171" s="105"/>
      <c r="E171" s="106"/>
      <c r="F171" s="105"/>
      <c r="G171" s="106"/>
      <c r="H171" s="175"/>
      <c r="I171" s="176"/>
      <c r="J171" s="176"/>
      <c r="K171" s="176"/>
      <c r="L171" s="145" t="s">
        <v>3326</v>
      </c>
      <c r="M171" s="45" t="str">
        <f t="shared" si="6"/>
        <v>OneCo Networks AS</v>
      </c>
      <c r="N171" s="40" t="str">
        <f ca="1">IFERROR(
VLOOKUP(BoM_Solar[[#This Row],[Product code]],
IF(AND((BoQ!$N$3&lt;&gt;""),OR(BoM_Solar[[#This Row],[Vendor]]="Griptel",BoM_Solar[[#This Row],[Vendor]]="Solar")),INDIRECT(Aux!$A$1)),4,FALSE),"")</f>
        <v/>
      </c>
      <c r="O171" s="169" t="s">
        <v>1807</v>
      </c>
      <c r="P171" s="41" t="str">
        <f>IFERROR(IF(AND(BoM_Solar[[#This Row],[Quantity]]&lt;&gt;"",BoM_Solar[[#This Row],[Currency]]="NOK"),BoM_Solar[[#This Row],[Quantity]]*BoM_Solar[[#This Row],[Unit Price]],""),"")</f>
        <v/>
      </c>
      <c r="Q171" s="41" t="str">
        <f>IFERROR(IF(AND(BoM_Solar[[#This Row],[ACT_Qty]]&lt;&gt;"",BoM_Solar[[#This Row],[Currency]]="NOK"),BoM_Solar[[#This Row],[ACT_Qty]]*BoM_Solar[[#This Row],[Unit Price]],""),"")</f>
        <v/>
      </c>
      <c r="R171" s="41" t="str">
        <f>IFERROR(IF(AND(BoM_Solar[[#This Row],[Quantity]]&lt;&gt;"",BoM_Solar[[#This Row],[Currency]]="EUR"),BoM_Solar[[#This Row],[Quantity]]*BoM_Solar[[#This Row],[Unit Price]],""),"")</f>
        <v/>
      </c>
      <c r="S171" s="41" t="str">
        <f>IFERROR(IF(AND(BoM_Solar[[#This Row],[ACT_Qty]]&lt;&gt;"",BoM_Solar[[#This Row],[Currency]]="EUR"),BoM_Solar[[#This Row],[ACT_Qty]]*BoM_Solar[[#This Row],[Unit Price]],""),"")</f>
        <v/>
      </c>
      <c r="T171" s="185"/>
      <c r="U171" s="45"/>
      <c r="V171" s="45"/>
      <c r="W171" s="45"/>
    </row>
    <row r="172" spans="1:23">
      <c r="A172" s="146" t="str">
        <f t="shared" si="5"/>
        <v>AKH12345</v>
      </c>
      <c r="B172">
        <v>2857701</v>
      </c>
      <c r="C172" t="s">
        <v>3490</v>
      </c>
      <c r="D172" s="105"/>
      <c r="E172" s="106"/>
      <c r="F172" s="105"/>
      <c r="G172" s="106"/>
      <c r="H172" s="175"/>
      <c r="I172" s="176"/>
      <c r="J172" s="176"/>
      <c r="K172" s="176"/>
      <c r="L172" s="145" t="s">
        <v>3326</v>
      </c>
      <c r="M172" s="45" t="str">
        <f t="shared" si="6"/>
        <v>OneCo Networks AS</v>
      </c>
      <c r="N172" s="40" t="str">
        <f ca="1">IFERROR(
VLOOKUP(BoM_Solar[[#This Row],[Product code]],
IF(AND((BoQ!$N$3&lt;&gt;""),OR(BoM_Solar[[#This Row],[Vendor]]="Griptel",BoM_Solar[[#This Row],[Vendor]]="Solar")),INDIRECT(Aux!$A$1)),4,FALSE),"")</f>
        <v/>
      </c>
      <c r="O172" s="169" t="s">
        <v>1807</v>
      </c>
      <c r="P172" s="41" t="str">
        <f>IFERROR(IF(AND(BoM_Solar[[#This Row],[Quantity]]&lt;&gt;"",BoM_Solar[[#This Row],[Currency]]="NOK"),BoM_Solar[[#This Row],[Quantity]]*BoM_Solar[[#This Row],[Unit Price]],""),"")</f>
        <v/>
      </c>
      <c r="Q172" s="41" t="str">
        <f>IFERROR(IF(AND(BoM_Solar[[#This Row],[ACT_Qty]]&lt;&gt;"",BoM_Solar[[#This Row],[Currency]]="NOK"),BoM_Solar[[#This Row],[ACT_Qty]]*BoM_Solar[[#This Row],[Unit Price]],""),"")</f>
        <v/>
      </c>
      <c r="R172" s="41" t="str">
        <f>IFERROR(IF(AND(BoM_Solar[[#This Row],[Quantity]]&lt;&gt;"",BoM_Solar[[#This Row],[Currency]]="EUR"),BoM_Solar[[#This Row],[Quantity]]*BoM_Solar[[#This Row],[Unit Price]],""),"")</f>
        <v/>
      </c>
      <c r="S172" s="41" t="str">
        <f>IFERROR(IF(AND(BoM_Solar[[#This Row],[ACT_Qty]]&lt;&gt;"",BoM_Solar[[#This Row],[Currency]]="EUR"),BoM_Solar[[#This Row],[ACT_Qty]]*BoM_Solar[[#This Row],[Unit Price]],""),"")</f>
        <v/>
      </c>
      <c r="T172" s="185"/>
      <c r="U172" s="45"/>
      <c r="V172" s="45"/>
      <c r="W172" s="45"/>
    </row>
    <row r="173" spans="1:23">
      <c r="A173" s="146" t="str">
        <f t="shared" si="5"/>
        <v>AKH12345</v>
      </c>
      <c r="B173">
        <v>2801967</v>
      </c>
      <c r="C173" t="s">
        <v>3491</v>
      </c>
      <c r="D173" s="105"/>
      <c r="E173" s="106"/>
      <c r="F173" s="105"/>
      <c r="G173" s="106"/>
      <c r="H173" s="175"/>
      <c r="I173" s="176"/>
      <c r="J173" s="176"/>
      <c r="K173" s="176"/>
      <c r="L173" s="145" t="s">
        <v>3326</v>
      </c>
      <c r="M173" s="45" t="str">
        <f t="shared" si="6"/>
        <v>OneCo Networks AS</v>
      </c>
      <c r="N173" s="40" t="str">
        <f ca="1">IFERROR(
VLOOKUP(BoM_Solar[[#This Row],[Product code]],
IF(AND((BoQ!$N$3&lt;&gt;""),OR(BoM_Solar[[#This Row],[Vendor]]="Griptel",BoM_Solar[[#This Row],[Vendor]]="Solar")),INDIRECT(Aux!$A$1)),4,FALSE),"")</f>
        <v/>
      </c>
      <c r="O173" s="169" t="s">
        <v>1807</v>
      </c>
      <c r="P173" s="41" t="str">
        <f>IFERROR(IF(AND(BoM_Solar[[#This Row],[Quantity]]&lt;&gt;"",BoM_Solar[[#This Row],[Currency]]="NOK"),BoM_Solar[[#This Row],[Quantity]]*BoM_Solar[[#This Row],[Unit Price]],""),"")</f>
        <v/>
      </c>
      <c r="Q173" s="41" t="str">
        <f>IFERROR(IF(AND(BoM_Solar[[#This Row],[ACT_Qty]]&lt;&gt;"",BoM_Solar[[#This Row],[Currency]]="NOK"),BoM_Solar[[#This Row],[ACT_Qty]]*BoM_Solar[[#This Row],[Unit Price]],""),"")</f>
        <v/>
      </c>
      <c r="R173" s="41" t="str">
        <f>IFERROR(IF(AND(BoM_Solar[[#This Row],[Quantity]]&lt;&gt;"",BoM_Solar[[#This Row],[Currency]]="EUR"),BoM_Solar[[#This Row],[Quantity]]*BoM_Solar[[#This Row],[Unit Price]],""),"")</f>
        <v/>
      </c>
      <c r="S173" s="41" t="str">
        <f>IFERROR(IF(AND(BoM_Solar[[#This Row],[ACT_Qty]]&lt;&gt;"",BoM_Solar[[#This Row],[Currency]]="EUR"),BoM_Solar[[#This Row],[ACT_Qty]]*BoM_Solar[[#This Row],[Unit Price]],""),"")</f>
        <v/>
      </c>
      <c r="T173" s="185"/>
      <c r="U173" s="45"/>
      <c r="V173" s="45"/>
      <c r="W173" s="45"/>
    </row>
    <row r="174" spans="1:23">
      <c r="A174" s="146" t="str">
        <f t="shared" si="5"/>
        <v>AKH12345</v>
      </c>
      <c r="B174">
        <v>1358673</v>
      </c>
      <c r="C174" t="s">
        <v>3492</v>
      </c>
      <c r="D174" s="105"/>
      <c r="E174" s="106"/>
      <c r="F174" s="105"/>
      <c r="G174" s="106"/>
      <c r="H174" s="175"/>
      <c r="I174" s="176"/>
      <c r="J174" s="176"/>
      <c r="K174" s="176"/>
      <c r="L174" s="145" t="s">
        <v>3326</v>
      </c>
      <c r="M174" s="45" t="str">
        <f t="shared" si="6"/>
        <v>OneCo Networks AS</v>
      </c>
      <c r="N174" s="40" t="str">
        <f ca="1">IFERROR(
VLOOKUP(BoM_Solar[[#This Row],[Product code]],
IF(AND((BoQ!$N$3&lt;&gt;""),OR(BoM_Solar[[#This Row],[Vendor]]="Griptel",BoM_Solar[[#This Row],[Vendor]]="Solar")),INDIRECT(Aux!$A$1)),4,FALSE),"")</f>
        <v/>
      </c>
      <c r="O174" s="169" t="s">
        <v>1807</v>
      </c>
      <c r="P174" s="41" t="str">
        <f>IFERROR(IF(AND(BoM_Solar[[#This Row],[Quantity]]&lt;&gt;"",BoM_Solar[[#This Row],[Currency]]="NOK"),BoM_Solar[[#This Row],[Quantity]]*BoM_Solar[[#This Row],[Unit Price]],""),"")</f>
        <v/>
      </c>
      <c r="Q174" s="41" t="str">
        <f>IFERROR(IF(AND(BoM_Solar[[#This Row],[ACT_Qty]]&lt;&gt;"",BoM_Solar[[#This Row],[Currency]]="NOK"),BoM_Solar[[#This Row],[ACT_Qty]]*BoM_Solar[[#This Row],[Unit Price]],""),"")</f>
        <v/>
      </c>
      <c r="R174" s="41" t="str">
        <f>IFERROR(IF(AND(BoM_Solar[[#This Row],[Quantity]]&lt;&gt;"",BoM_Solar[[#This Row],[Currency]]="EUR"),BoM_Solar[[#This Row],[Quantity]]*BoM_Solar[[#This Row],[Unit Price]],""),"")</f>
        <v/>
      </c>
      <c r="S174" s="41" t="str">
        <f>IFERROR(IF(AND(BoM_Solar[[#This Row],[ACT_Qty]]&lt;&gt;"",BoM_Solar[[#This Row],[Currency]]="EUR"),BoM_Solar[[#This Row],[ACT_Qty]]*BoM_Solar[[#This Row],[Unit Price]],""),"")</f>
        <v/>
      </c>
      <c r="T174" s="185"/>
      <c r="U174" s="45"/>
      <c r="V174" s="45"/>
      <c r="W174" s="45"/>
    </row>
    <row r="175" spans="1:23">
      <c r="A175" s="146" t="str">
        <f t="shared" si="5"/>
        <v>AKH12345</v>
      </c>
      <c r="B175">
        <v>1351102</v>
      </c>
      <c r="C175" t="s">
        <v>3493</v>
      </c>
      <c r="D175" s="105"/>
      <c r="E175" s="106"/>
      <c r="F175" s="105"/>
      <c r="G175" s="106"/>
      <c r="H175" s="175"/>
      <c r="I175" s="176"/>
      <c r="J175" s="176"/>
      <c r="K175" s="176"/>
      <c r="L175" s="145" t="s">
        <v>3326</v>
      </c>
      <c r="M175" s="45" t="str">
        <f t="shared" si="6"/>
        <v>OneCo Networks AS</v>
      </c>
      <c r="N175" s="40" t="str">
        <f ca="1">IFERROR(
VLOOKUP(BoM_Solar[[#This Row],[Product code]],
IF(AND((BoQ!$N$3&lt;&gt;""),OR(BoM_Solar[[#This Row],[Vendor]]="Griptel",BoM_Solar[[#This Row],[Vendor]]="Solar")),INDIRECT(Aux!$A$1)),4,FALSE),"")</f>
        <v/>
      </c>
      <c r="O175" s="169" t="s">
        <v>1807</v>
      </c>
      <c r="P175" s="41" t="str">
        <f>IFERROR(IF(AND(BoM_Solar[[#This Row],[Quantity]]&lt;&gt;"",BoM_Solar[[#This Row],[Currency]]="NOK"),BoM_Solar[[#This Row],[Quantity]]*BoM_Solar[[#This Row],[Unit Price]],""),"")</f>
        <v/>
      </c>
      <c r="Q175" s="41" t="str">
        <f>IFERROR(IF(AND(BoM_Solar[[#This Row],[ACT_Qty]]&lt;&gt;"",BoM_Solar[[#This Row],[Currency]]="NOK"),BoM_Solar[[#This Row],[ACT_Qty]]*BoM_Solar[[#This Row],[Unit Price]],""),"")</f>
        <v/>
      </c>
      <c r="R175" s="41" t="str">
        <f>IFERROR(IF(AND(BoM_Solar[[#This Row],[Quantity]]&lt;&gt;"",BoM_Solar[[#This Row],[Currency]]="EUR"),BoM_Solar[[#This Row],[Quantity]]*BoM_Solar[[#This Row],[Unit Price]],""),"")</f>
        <v/>
      </c>
      <c r="S175" s="41" t="str">
        <f>IFERROR(IF(AND(BoM_Solar[[#This Row],[ACT_Qty]]&lt;&gt;"",BoM_Solar[[#This Row],[Currency]]="EUR"),BoM_Solar[[#This Row],[ACT_Qty]]*BoM_Solar[[#This Row],[Unit Price]],""),"")</f>
        <v/>
      </c>
      <c r="T175" s="185"/>
      <c r="U175" s="45"/>
      <c r="V175" s="45"/>
      <c r="W175" s="45"/>
    </row>
    <row r="176" spans="1:23">
      <c r="A176" s="146" t="str">
        <f t="shared" si="5"/>
        <v>AKH12345</v>
      </c>
      <c r="B176">
        <v>7921114</v>
      </c>
      <c r="C176" t="s">
        <v>3494</v>
      </c>
      <c r="D176" s="105"/>
      <c r="E176" s="106"/>
      <c r="F176" s="105"/>
      <c r="G176" s="106"/>
      <c r="H176" s="175"/>
      <c r="I176" s="176"/>
      <c r="J176" s="176"/>
      <c r="K176" s="176"/>
      <c r="L176" s="145" t="s">
        <v>3326</v>
      </c>
      <c r="M176" s="45" t="str">
        <f t="shared" si="6"/>
        <v>OneCo Networks AS</v>
      </c>
      <c r="N176" s="40" t="str">
        <f ca="1">IFERROR(
VLOOKUP(BoM_Solar[[#This Row],[Product code]],
IF(AND((BoQ!$N$3&lt;&gt;""),OR(BoM_Solar[[#This Row],[Vendor]]="Griptel",BoM_Solar[[#This Row],[Vendor]]="Solar")),INDIRECT(Aux!$A$1)),4,FALSE),"")</f>
        <v/>
      </c>
      <c r="O176" s="169" t="s">
        <v>1807</v>
      </c>
      <c r="P176" s="41" t="str">
        <f>IFERROR(IF(AND(BoM_Solar[[#This Row],[Quantity]]&lt;&gt;"",BoM_Solar[[#This Row],[Currency]]="NOK"),BoM_Solar[[#This Row],[Quantity]]*BoM_Solar[[#This Row],[Unit Price]],""),"")</f>
        <v/>
      </c>
      <c r="Q176" s="41" t="str">
        <f>IFERROR(IF(AND(BoM_Solar[[#This Row],[ACT_Qty]]&lt;&gt;"",BoM_Solar[[#This Row],[Currency]]="NOK"),BoM_Solar[[#This Row],[ACT_Qty]]*BoM_Solar[[#This Row],[Unit Price]],""),"")</f>
        <v/>
      </c>
      <c r="R176" s="41" t="str">
        <f>IFERROR(IF(AND(BoM_Solar[[#This Row],[Quantity]]&lt;&gt;"",BoM_Solar[[#This Row],[Currency]]="EUR"),BoM_Solar[[#This Row],[Quantity]]*BoM_Solar[[#This Row],[Unit Price]],""),"")</f>
        <v/>
      </c>
      <c r="S176" s="41" t="str">
        <f>IFERROR(IF(AND(BoM_Solar[[#This Row],[ACT_Qty]]&lt;&gt;"",BoM_Solar[[#This Row],[Currency]]="EUR"),BoM_Solar[[#This Row],[ACT_Qty]]*BoM_Solar[[#This Row],[Unit Price]],""),"")</f>
        <v/>
      </c>
      <c r="T176" s="185"/>
      <c r="U176" s="45"/>
      <c r="V176" s="45"/>
      <c r="W176" s="45"/>
    </row>
    <row r="177" spans="1:23">
      <c r="A177" s="146" t="str">
        <f t="shared" si="5"/>
        <v>AKH12345</v>
      </c>
      <c r="B177">
        <v>7923271</v>
      </c>
      <c r="C177" t="s">
        <v>3495</v>
      </c>
      <c r="D177" s="105"/>
      <c r="E177" s="106"/>
      <c r="F177" s="105"/>
      <c r="G177" s="106"/>
      <c r="H177" s="175"/>
      <c r="I177" s="176"/>
      <c r="J177" s="176"/>
      <c r="K177" s="176"/>
      <c r="L177" s="145" t="s">
        <v>3326</v>
      </c>
      <c r="M177" s="45" t="str">
        <f t="shared" si="6"/>
        <v>OneCo Networks AS</v>
      </c>
      <c r="N177" s="40" t="str">
        <f ca="1">IFERROR(
VLOOKUP(BoM_Solar[[#This Row],[Product code]],
IF(AND((BoQ!$N$3&lt;&gt;""),OR(BoM_Solar[[#This Row],[Vendor]]="Griptel",BoM_Solar[[#This Row],[Vendor]]="Solar")),INDIRECT(Aux!$A$1)),4,FALSE),"")</f>
        <v/>
      </c>
      <c r="O177" s="169" t="s">
        <v>1807</v>
      </c>
      <c r="P177" s="41" t="str">
        <f>IFERROR(IF(AND(BoM_Solar[[#This Row],[Quantity]]&lt;&gt;"",BoM_Solar[[#This Row],[Currency]]="NOK"),BoM_Solar[[#This Row],[Quantity]]*BoM_Solar[[#This Row],[Unit Price]],""),"")</f>
        <v/>
      </c>
      <c r="Q177" s="41" t="str">
        <f>IFERROR(IF(AND(BoM_Solar[[#This Row],[ACT_Qty]]&lt;&gt;"",BoM_Solar[[#This Row],[Currency]]="NOK"),BoM_Solar[[#This Row],[ACT_Qty]]*BoM_Solar[[#This Row],[Unit Price]],""),"")</f>
        <v/>
      </c>
      <c r="R177" s="41" t="str">
        <f>IFERROR(IF(AND(BoM_Solar[[#This Row],[Quantity]]&lt;&gt;"",BoM_Solar[[#This Row],[Currency]]="EUR"),BoM_Solar[[#This Row],[Quantity]]*BoM_Solar[[#This Row],[Unit Price]],""),"")</f>
        <v/>
      </c>
      <c r="S177" s="41" t="str">
        <f>IFERROR(IF(AND(BoM_Solar[[#This Row],[ACT_Qty]]&lt;&gt;"",BoM_Solar[[#This Row],[Currency]]="EUR"),BoM_Solar[[#This Row],[ACT_Qty]]*BoM_Solar[[#This Row],[Unit Price]],""),"")</f>
        <v/>
      </c>
      <c r="T177" s="185"/>
      <c r="U177" s="45"/>
      <c r="V177" s="45"/>
      <c r="W177" s="45"/>
    </row>
    <row r="178" spans="1:23">
      <c r="A178" s="146" t="str">
        <f t="shared" si="5"/>
        <v>AKH12345</v>
      </c>
      <c r="B178">
        <v>1808616</v>
      </c>
      <c r="C178" t="s">
        <v>3496</v>
      </c>
      <c r="D178" s="105"/>
      <c r="E178" s="106"/>
      <c r="F178" s="105"/>
      <c r="G178" s="106"/>
      <c r="H178" s="175"/>
      <c r="I178" s="176"/>
      <c r="J178" s="176"/>
      <c r="K178" s="176"/>
      <c r="L178" s="145" t="s">
        <v>3326</v>
      </c>
      <c r="M178" s="45" t="str">
        <f t="shared" si="6"/>
        <v>OneCo Networks AS</v>
      </c>
      <c r="N178" s="40" t="str">
        <f ca="1">IFERROR(
VLOOKUP(BoM_Solar[[#This Row],[Product code]],
IF(AND((BoQ!$N$3&lt;&gt;""),OR(BoM_Solar[[#This Row],[Vendor]]="Griptel",BoM_Solar[[#This Row],[Vendor]]="Solar")),INDIRECT(Aux!$A$1)),4,FALSE),"")</f>
        <v/>
      </c>
      <c r="O178" s="169" t="s">
        <v>1807</v>
      </c>
      <c r="P178" s="41" t="str">
        <f>IFERROR(IF(AND(BoM_Solar[[#This Row],[Quantity]]&lt;&gt;"",BoM_Solar[[#This Row],[Currency]]="NOK"),BoM_Solar[[#This Row],[Quantity]]*BoM_Solar[[#This Row],[Unit Price]],""),"")</f>
        <v/>
      </c>
      <c r="Q178" s="41" t="str">
        <f>IFERROR(IF(AND(BoM_Solar[[#This Row],[ACT_Qty]]&lt;&gt;"",BoM_Solar[[#This Row],[Currency]]="NOK"),BoM_Solar[[#This Row],[ACT_Qty]]*BoM_Solar[[#This Row],[Unit Price]],""),"")</f>
        <v/>
      </c>
      <c r="R178" s="41" t="str">
        <f>IFERROR(IF(AND(BoM_Solar[[#This Row],[Quantity]]&lt;&gt;"",BoM_Solar[[#This Row],[Currency]]="EUR"),BoM_Solar[[#This Row],[Quantity]]*BoM_Solar[[#This Row],[Unit Price]],""),"")</f>
        <v/>
      </c>
      <c r="S178" s="41" t="str">
        <f>IFERROR(IF(AND(BoM_Solar[[#This Row],[ACT_Qty]]&lt;&gt;"",BoM_Solar[[#This Row],[Currency]]="EUR"),BoM_Solar[[#This Row],[ACT_Qty]]*BoM_Solar[[#This Row],[Unit Price]],""),"")</f>
        <v/>
      </c>
      <c r="T178" s="185"/>
      <c r="U178" s="45"/>
      <c r="V178" s="45"/>
      <c r="W178" s="45"/>
    </row>
    <row r="179" spans="1:23">
      <c r="A179" s="146" t="str">
        <f t="shared" si="5"/>
        <v>AKH12345</v>
      </c>
      <c r="B179">
        <v>1220874</v>
      </c>
      <c r="C179" t="s">
        <v>3497</v>
      </c>
      <c r="D179" s="105"/>
      <c r="E179" s="106"/>
      <c r="F179" s="105"/>
      <c r="G179" s="106"/>
      <c r="H179" s="175"/>
      <c r="I179" s="176"/>
      <c r="J179" s="176"/>
      <c r="K179" s="176"/>
      <c r="L179" s="145" t="s">
        <v>3326</v>
      </c>
      <c r="M179" s="45" t="str">
        <f t="shared" si="6"/>
        <v>OneCo Networks AS</v>
      </c>
      <c r="N179" s="40" t="str">
        <f ca="1">IFERROR(
VLOOKUP(BoM_Solar[[#This Row],[Product code]],
IF(AND((BoQ!$N$3&lt;&gt;""),OR(BoM_Solar[[#This Row],[Vendor]]="Griptel",BoM_Solar[[#This Row],[Vendor]]="Solar")),INDIRECT(Aux!$A$1)),4,FALSE),"")</f>
        <v/>
      </c>
      <c r="O179" s="169" t="s">
        <v>1807</v>
      </c>
      <c r="P179" s="41" t="str">
        <f>IFERROR(IF(AND(BoM_Solar[[#This Row],[Quantity]]&lt;&gt;"",BoM_Solar[[#This Row],[Currency]]="NOK"),BoM_Solar[[#This Row],[Quantity]]*BoM_Solar[[#This Row],[Unit Price]],""),"")</f>
        <v/>
      </c>
      <c r="Q179" s="41" t="str">
        <f>IFERROR(IF(AND(BoM_Solar[[#This Row],[ACT_Qty]]&lt;&gt;"",BoM_Solar[[#This Row],[Currency]]="NOK"),BoM_Solar[[#This Row],[ACT_Qty]]*BoM_Solar[[#This Row],[Unit Price]],""),"")</f>
        <v/>
      </c>
      <c r="R179" s="41" t="str">
        <f>IFERROR(IF(AND(BoM_Solar[[#This Row],[Quantity]]&lt;&gt;"",BoM_Solar[[#This Row],[Currency]]="EUR"),BoM_Solar[[#This Row],[Quantity]]*BoM_Solar[[#This Row],[Unit Price]],""),"")</f>
        <v/>
      </c>
      <c r="S179" s="41" t="str">
        <f>IFERROR(IF(AND(BoM_Solar[[#This Row],[ACT_Qty]]&lt;&gt;"",BoM_Solar[[#This Row],[Currency]]="EUR"),BoM_Solar[[#This Row],[ACT_Qty]]*BoM_Solar[[#This Row],[Unit Price]],""),"")</f>
        <v/>
      </c>
      <c r="T179" s="185"/>
      <c r="U179" s="45"/>
      <c r="V179" s="45"/>
      <c r="W179" s="45"/>
    </row>
    <row r="180" spans="1:23">
      <c r="A180" s="146" t="str">
        <f t="shared" si="5"/>
        <v>AKH12345</v>
      </c>
      <c r="B180">
        <v>1352001</v>
      </c>
      <c r="C180" t="s">
        <v>3498</v>
      </c>
      <c r="D180" s="105"/>
      <c r="E180" s="106"/>
      <c r="F180" s="105"/>
      <c r="G180" s="106"/>
      <c r="H180" s="175"/>
      <c r="I180" s="176"/>
      <c r="J180" s="176"/>
      <c r="K180" s="176"/>
      <c r="L180" s="145" t="s">
        <v>3326</v>
      </c>
      <c r="M180" s="45" t="str">
        <f t="shared" si="6"/>
        <v>OneCo Networks AS</v>
      </c>
      <c r="N180" s="40" t="str">
        <f ca="1">IFERROR(
VLOOKUP(BoM_Solar[[#This Row],[Product code]],
IF(AND((BoQ!$N$3&lt;&gt;""),OR(BoM_Solar[[#This Row],[Vendor]]="Griptel",BoM_Solar[[#This Row],[Vendor]]="Solar")),INDIRECT(Aux!$A$1)),4,FALSE),"")</f>
        <v/>
      </c>
      <c r="O180" s="169" t="s">
        <v>1807</v>
      </c>
      <c r="P180" s="41" t="str">
        <f>IFERROR(IF(AND(BoM_Solar[[#This Row],[Quantity]]&lt;&gt;"",BoM_Solar[[#This Row],[Currency]]="NOK"),BoM_Solar[[#This Row],[Quantity]]*BoM_Solar[[#This Row],[Unit Price]],""),"")</f>
        <v/>
      </c>
      <c r="Q180" s="41" t="str">
        <f>IFERROR(IF(AND(BoM_Solar[[#This Row],[ACT_Qty]]&lt;&gt;"",BoM_Solar[[#This Row],[Currency]]="NOK"),BoM_Solar[[#This Row],[ACT_Qty]]*BoM_Solar[[#This Row],[Unit Price]],""),"")</f>
        <v/>
      </c>
      <c r="R180" s="41" t="str">
        <f>IFERROR(IF(AND(BoM_Solar[[#This Row],[Quantity]]&lt;&gt;"",BoM_Solar[[#This Row],[Currency]]="EUR"),BoM_Solar[[#This Row],[Quantity]]*BoM_Solar[[#This Row],[Unit Price]],""),"")</f>
        <v/>
      </c>
      <c r="S180" s="41" t="str">
        <f>IFERROR(IF(AND(BoM_Solar[[#This Row],[ACT_Qty]]&lt;&gt;"",BoM_Solar[[#This Row],[Currency]]="EUR"),BoM_Solar[[#This Row],[ACT_Qty]]*BoM_Solar[[#This Row],[Unit Price]],""),"")</f>
        <v/>
      </c>
      <c r="T180" s="185"/>
      <c r="U180" s="45"/>
      <c r="V180" s="45"/>
      <c r="W180" s="45"/>
    </row>
    <row r="181" spans="1:23">
      <c r="A181" s="146" t="str">
        <f t="shared" si="5"/>
        <v>AKH12345</v>
      </c>
      <c r="B181">
        <v>1352039</v>
      </c>
      <c r="C181" t="s">
        <v>3499</v>
      </c>
      <c r="D181" s="105"/>
      <c r="E181" s="106"/>
      <c r="F181" s="105"/>
      <c r="G181" s="106"/>
      <c r="H181" s="175"/>
      <c r="I181" s="176"/>
      <c r="J181" s="176"/>
      <c r="K181" s="176"/>
      <c r="L181" s="145" t="s">
        <v>3326</v>
      </c>
      <c r="M181" s="45" t="str">
        <f t="shared" ref="M181:M243" si="7">IF($C$3&lt;&gt;"",$C$3,"")</f>
        <v>OneCo Networks AS</v>
      </c>
      <c r="N181" s="40" t="str">
        <f ca="1">IFERROR(
VLOOKUP(BoM_Solar[[#This Row],[Product code]],
IF(AND((BoQ!$N$3&lt;&gt;""),OR(BoM_Solar[[#This Row],[Vendor]]="Griptel",BoM_Solar[[#This Row],[Vendor]]="Solar")),INDIRECT(Aux!$A$1)),4,FALSE),"")</f>
        <v/>
      </c>
      <c r="O181" s="169" t="s">
        <v>1807</v>
      </c>
      <c r="P181" s="41" t="str">
        <f>IFERROR(IF(AND(BoM_Solar[[#This Row],[Quantity]]&lt;&gt;"",BoM_Solar[[#This Row],[Currency]]="NOK"),BoM_Solar[[#This Row],[Quantity]]*BoM_Solar[[#This Row],[Unit Price]],""),"")</f>
        <v/>
      </c>
      <c r="Q181" s="41" t="str">
        <f>IFERROR(IF(AND(BoM_Solar[[#This Row],[ACT_Qty]]&lt;&gt;"",BoM_Solar[[#This Row],[Currency]]="NOK"),BoM_Solar[[#This Row],[ACT_Qty]]*BoM_Solar[[#This Row],[Unit Price]],""),"")</f>
        <v/>
      </c>
      <c r="R181" s="41" t="str">
        <f>IFERROR(IF(AND(BoM_Solar[[#This Row],[Quantity]]&lt;&gt;"",BoM_Solar[[#This Row],[Currency]]="EUR"),BoM_Solar[[#This Row],[Quantity]]*BoM_Solar[[#This Row],[Unit Price]],""),"")</f>
        <v/>
      </c>
      <c r="S181" s="41" t="str">
        <f>IFERROR(IF(AND(BoM_Solar[[#This Row],[ACT_Qty]]&lt;&gt;"",BoM_Solar[[#This Row],[Currency]]="EUR"),BoM_Solar[[#This Row],[ACT_Qty]]*BoM_Solar[[#This Row],[Unit Price]],""),"")</f>
        <v/>
      </c>
      <c r="T181" s="185"/>
      <c r="U181" s="45"/>
      <c r="V181" s="45"/>
      <c r="W181" s="45"/>
    </row>
    <row r="182" spans="1:23">
      <c r="A182" s="146" t="str">
        <f t="shared" si="5"/>
        <v>AKH12345</v>
      </c>
      <c r="B182">
        <v>1200295</v>
      </c>
      <c r="C182" t="s">
        <v>3500</v>
      </c>
      <c r="D182" s="105"/>
      <c r="E182" s="106"/>
      <c r="F182" s="105"/>
      <c r="G182" s="106"/>
      <c r="H182" s="175"/>
      <c r="I182" s="176"/>
      <c r="J182" s="176"/>
      <c r="K182" s="176"/>
      <c r="L182" s="145" t="s">
        <v>3326</v>
      </c>
      <c r="M182" s="45" t="str">
        <f t="shared" si="7"/>
        <v>OneCo Networks AS</v>
      </c>
      <c r="N182" s="40" t="str">
        <f ca="1">IFERROR(
VLOOKUP(BoM_Solar[[#This Row],[Product code]],
IF(AND((BoQ!$N$3&lt;&gt;""),OR(BoM_Solar[[#This Row],[Vendor]]="Griptel",BoM_Solar[[#This Row],[Vendor]]="Solar")),INDIRECT(Aux!$A$1)),4,FALSE),"")</f>
        <v/>
      </c>
      <c r="O182" s="169" t="s">
        <v>1807</v>
      </c>
      <c r="P182" s="41" t="str">
        <f>IFERROR(IF(AND(BoM_Solar[[#This Row],[Quantity]]&lt;&gt;"",BoM_Solar[[#This Row],[Currency]]="NOK"),BoM_Solar[[#This Row],[Quantity]]*BoM_Solar[[#This Row],[Unit Price]],""),"")</f>
        <v/>
      </c>
      <c r="Q182" s="41" t="str">
        <f>IFERROR(IF(AND(BoM_Solar[[#This Row],[ACT_Qty]]&lt;&gt;"",BoM_Solar[[#This Row],[Currency]]="NOK"),BoM_Solar[[#This Row],[ACT_Qty]]*BoM_Solar[[#This Row],[Unit Price]],""),"")</f>
        <v/>
      </c>
      <c r="R182" s="41" t="str">
        <f>IFERROR(IF(AND(BoM_Solar[[#This Row],[Quantity]]&lt;&gt;"",BoM_Solar[[#This Row],[Currency]]="EUR"),BoM_Solar[[#This Row],[Quantity]]*BoM_Solar[[#This Row],[Unit Price]],""),"")</f>
        <v/>
      </c>
      <c r="S182" s="41" t="str">
        <f>IFERROR(IF(AND(BoM_Solar[[#This Row],[ACT_Qty]]&lt;&gt;"",BoM_Solar[[#This Row],[Currency]]="EUR"),BoM_Solar[[#This Row],[ACT_Qty]]*BoM_Solar[[#This Row],[Unit Price]],""),"")</f>
        <v/>
      </c>
      <c r="T182" s="185"/>
      <c r="U182" s="45"/>
      <c r="V182" s="45"/>
      <c r="W182" s="45"/>
    </row>
    <row r="183" spans="1:23">
      <c r="A183" s="146" t="str">
        <f t="shared" si="5"/>
        <v>AKH12345</v>
      </c>
      <c r="B183">
        <v>1202128</v>
      </c>
      <c r="C183" t="s">
        <v>3501</v>
      </c>
      <c r="D183" s="105"/>
      <c r="E183" s="106"/>
      <c r="F183" s="105"/>
      <c r="G183" s="106"/>
      <c r="H183" s="175"/>
      <c r="I183" s="176"/>
      <c r="J183" s="176"/>
      <c r="K183" s="176"/>
      <c r="L183" s="145" t="s">
        <v>3326</v>
      </c>
      <c r="M183" s="45" t="str">
        <f t="shared" si="7"/>
        <v>OneCo Networks AS</v>
      </c>
      <c r="N183" s="40" t="str">
        <f ca="1">IFERROR(
VLOOKUP(BoM_Solar[[#This Row],[Product code]],
IF(AND((BoQ!$N$3&lt;&gt;""),OR(BoM_Solar[[#This Row],[Vendor]]="Griptel",BoM_Solar[[#This Row],[Vendor]]="Solar")),INDIRECT(Aux!$A$1)),4,FALSE),"")</f>
        <v/>
      </c>
      <c r="O183" s="169" t="s">
        <v>1807</v>
      </c>
      <c r="P183" s="41" t="str">
        <f>IFERROR(IF(AND(BoM_Solar[[#This Row],[Quantity]]&lt;&gt;"",BoM_Solar[[#This Row],[Currency]]="NOK"),BoM_Solar[[#This Row],[Quantity]]*BoM_Solar[[#This Row],[Unit Price]],""),"")</f>
        <v/>
      </c>
      <c r="Q183" s="41" t="str">
        <f>IFERROR(IF(AND(BoM_Solar[[#This Row],[ACT_Qty]]&lt;&gt;"",BoM_Solar[[#This Row],[Currency]]="NOK"),BoM_Solar[[#This Row],[ACT_Qty]]*BoM_Solar[[#This Row],[Unit Price]],""),"")</f>
        <v/>
      </c>
      <c r="R183" s="41" t="str">
        <f>IFERROR(IF(AND(BoM_Solar[[#This Row],[Quantity]]&lt;&gt;"",BoM_Solar[[#This Row],[Currency]]="EUR"),BoM_Solar[[#This Row],[Quantity]]*BoM_Solar[[#This Row],[Unit Price]],""),"")</f>
        <v/>
      </c>
      <c r="S183" s="41" t="str">
        <f>IFERROR(IF(AND(BoM_Solar[[#This Row],[ACT_Qty]]&lt;&gt;"",BoM_Solar[[#This Row],[Currency]]="EUR"),BoM_Solar[[#This Row],[ACT_Qty]]*BoM_Solar[[#This Row],[Unit Price]],""),"")</f>
        <v/>
      </c>
      <c r="T183" s="185"/>
      <c r="U183" s="45"/>
      <c r="V183" s="45"/>
      <c r="W183" s="45"/>
    </row>
    <row r="184" spans="1:23">
      <c r="A184" s="146" t="str">
        <f t="shared" si="5"/>
        <v>AKH12345</v>
      </c>
      <c r="B184">
        <v>1642867</v>
      </c>
      <c r="C184" t="s">
        <v>3502</v>
      </c>
      <c r="D184" s="105"/>
      <c r="E184" s="106"/>
      <c r="F184" s="105"/>
      <c r="G184" s="106"/>
      <c r="H184" s="175"/>
      <c r="I184" s="176"/>
      <c r="J184" s="176"/>
      <c r="K184" s="176"/>
      <c r="L184" s="145" t="s">
        <v>3326</v>
      </c>
      <c r="M184" s="45" t="str">
        <f t="shared" si="7"/>
        <v>OneCo Networks AS</v>
      </c>
      <c r="N184" s="40" t="str">
        <f ca="1">IFERROR(
VLOOKUP(BoM_Solar[[#This Row],[Product code]],
IF(AND((BoQ!$N$3&lt;&gt;""),OR(BoM_Solar[[#This Row],[Vendor]]="Griptel",BoM_Solar[[#This Row],[Vendor]]="Solar")),INDIRECT(Aux!$A$1)),4,FALSE),"")</f>
        <v/>
      </c>
      <c r="O184" s="169" t="s">
        <v>1807</v>
      </c>
      <c r="P184" s="41" t="str">
        <f>IFERROR(IF(AND(BoM_Solar[[#This Row],[Quantity]]&lt;&gt;"",BoM_Solar[[#This Row],[Currency]]="NOK"),BoM_Solar[[#This Row],[Quantity]]*BoM_Solar[[#This Row],[Unit Price]],""),"")</f>
        <v/>
      </c>
      <c r="Q184" s="41" t="str">
        <f>IFERROR(IF(AND(BoM_Solar[[#This Row],[ACT_Qty]]&lt;&gt;"",BoM_Solar[[#This Row],[Currency]]="NOK"),BoM_Solar[[#This Row],[ACT_Qty]]*BoM_Solar[[#This Row],[Unit Price]],""),"")</f>
        <v/>
      </c>
      <c r="R184" s="41" t="str">
        <f>IFERROR(IF(AND(BoM_Solar[[#This Row],[Quantity]]&lt;&gt;"",BoM_Solar[[#This Row],[Currency]]="EUR"),BoM_Solar[[#This Row],[Quantity]]*BoM_Solar[[#This Row],[Unit Price]],""),"")</f>
        <v/>
      </c>
      <c r="S184" s="41" t="str">
        <f>IFERROR(IF(AND(BoM_Solar[[#This Row],[ACT_Qty]]&lt;&gt;"",BoM_Solar[[#This Row],[Currency]]="EUR"),BoM_Solar[[#This Row],[ACT_Qty]]*BoM_Solar[[#This Row],[Unit Price]],""),"")</f>
        <v/>
      </c>
      <c r="T184" s="185"/>
      <c r="U184" s="45"/>
      <c r="V184" s="45"/>
      <c r="W184" s="45"/>
    </row>
    <row r="185" spans="1:23">
      <c r="A185" s="146" t="str">
        <f t="shared" si="5"/>
        <v>AKH12345</v>
      </c>
      <c r="B185">
        <v>1600325</v>
      </c>
      <c r="C185" t="s">
        <v>3503</v>
      </c>
      <c r="D185" s="105"/>
      <c r="E185" s="106"/>
      <c r="F185" s="105"/>
      <c r="G185" s="106"/>
      <c r="H185" s="175"/>
      <c r="I185" s="176"/>
      <c r="J185" s="176"/>
      <c r="K185" s="176"/>
      <c r="L185" s="145" t="s">
        <v>3326</v>
      </c>
      <c r="M185" s="45" t="str">
        <f t="shared" si="7"/>
        <v>OneCo Networks AS</v>
      </c>
      <c r="N185" s="40" t="str">
        <f ca="1">IFERROR(
VLOOKUP(BoM_Solar[[#This Row],[Product code]],
IF(AND((BoQ!$N$3&lt;&gt;""),OR(BoM_Solar[[#This Row],[Vendor]]="Griptel",BoM_Solar[[#This Row],[Vendor]]="Solar")),INDIRECT(Aux!$A$1)),4,FALSE),"")</f>
        <v/>
      </c>
      <c r="O185" s="169" t="s">
        <v>1807</v>
      </c>
      <c r="P185" s="41" t="str">
        <f>IFERROR(IF(AND(BoM_Solar[[#This Row],[Quantity]]&lt;&gt;"",BoM_Solar[[#This Row],[Currency]]="NOK"),BoM_Solar[[#This Row],[Quantity]]*BoM_Solar[[#This Row],[Unit Price]],""),"")</f>
        <v/>
      </c>
      <c r="Q185" s="41" t="str">
        <f>IFERROR(IF(AND(BoM_Solar[[#This Row],[ACT_Qty]]&lt;&gt;"",BoM_Solar[[#This Row],[Currency]]="NOK"),BoM_Solar[[#This Row],[ACT_Qty]]*BoM_Solar[[#This Row],[Unit Price]],""),"")</f>
        <v/>
      </c>
      <c r="R185" s="41" t="str">
        <f>IFERROR(IF(AND(BoM_Solar[[#This Row],[Quantity]]&lt;&gt;"",BoM_Solar[[#This Row],[Currency]]="EUR"),BoM_Solar[[#This Row],[Quantity]]*BoM_Solar[[#This Row],[Unit Price]],""),"")</f>
        <v/>
      </c>
      <c r="S185" s="41" t="str">
        <f>IFERROR(IF(AND(BoM_Solar[[#This Row],[ACT_Qty]]&lt;&gt;"",BoM_Solar[[#This Row],[Currency]]="EUR"),BoM_Solar[[#This Row],[ACT_Qty]]*BoM_Solar[[#This Row],[Unit Price]],""),"")</f>
        <v/>
      </c>
      <c r="T185" s="185"/>
      <c r="U185" s="45"/>
      <c r="V185" s="45"/>
      <c r="W185" s="45"/>
    </row>
    <row r="186" spans="1:23">
      <c r="A186" s="146" t="str">
        <f t="shared" si="5"/>
        <v>AKH12345</v>
      </c>
      <c r="B186">
        <v>1084573</v>
      </c>
      <c r="C186" t="s">
        <v>3504</v>
      </c>
      <c r="D186" s="105"/>
      <c r="E186" s="106"/>
      <c r="F186" s="105"/>
      <c r="G186" s="106"/>
      <c r="H186" s="175"/>
      <c r="I186" s="176"/>
      <c r="J186" s="176"/>
      <c r="K186" s="176"/>
      <c r="L186" s="145" t="s">
        <v>3326</v>
      </c>
      <c r="M186" s="45" t="str">
        <f t="shared" si="7"/>
        <v>OneCo Networks AS</v>
      </c>
      <c r="N186" s="40" t="str">
        <f ca="1">IFERROR(
VLOOKUP(BoM_Solar[[#This Row],[Product code]],
IF(AND((BoQ!$N$3&lt;&gt;""),OR(BoM_Solar[[#This Row],[Vendor]]="Griptel",BoM_Solar[[#This Row],[Vendor]]="Solar")),INDIRECT(Aux!$A$1)),4,FALSE),"")</f>
        <v/>
      </c>
      <c r="O186" s="169" t="s">
        <v>1807</v>
      </c>
      <c r="P186" s="41" t="str">
        <f>IFERROR(IF(AND(BoM_Solar[[#This Row],[Quantity]]&lt;&gt;"",BoM_Solar[[#This Row],[Currency]]="NOK"),BoM_Solar[[#This Row],[Quantity]]*BoM_Solar[[#This Row],[Unit Price]],""),"")</f>
        <v/>
      </c>
      <c r="Q186" s="41" t="str">
        <f>IFERROR(IF(AND(BoM_Solar[[#This Row],[ACT_Qty]]&lt;&gt;"",BoM_Solar[[#This Row],[Currency]]="NOK"),BoM_Solar[[#This Row],[ACT_Qty]]*BoM_Solar[[#This Row],[Unit Price]],""),"")</f>
        <v/>
      </c>
      <c r="R186" s="41" t="str">
        <f>IFERROR(IF(AND(BoM_Solar[[#This Row],[Quantity]]&lt;&gt;"",BoM_Solar[[#This Row],[Currency]]="EUR"),BoM_Solar[[#This Row],[Quantity]]*BoM_Solar[[#This Row],[Unit Price]],""),"")</f>
        <v/>
      </c>
      <c r="S186" s="41" t="str">
        <f>IFERROR(IF(AND(BoM_Solar[[#This Row],[ACT_Qty]]&lt;&gt;"",BoM_Solar[[#This Row],[Currency]]="EUR"),BoM_Solar[[#This Row],[ACT_Qty]]*BoM_Solar[[#This Row],[Unit Price]],""),"")</f>
        <v/>
      </c>
      <c r="T186" s="185"/>
      <c r="U186" s="45"/>
      <c r="V186" s="45"/>
      <c r="W186" s="45"/>
    </row>
    <row r="187" spans="1:23">
      <c r="A187" s="146" t="str">
        <f t="shared" si="5"/>
        <v>AKH12345</v>
      </c>
      <c r="B187">
        <v>6993789</v>
      </c>
      <c r="C187" t="s">
        <v>3505</v>
      </c>
      <c r="D187" s="105"/>
      <c r="E187" s="106"/>
      <c r="F187" s="105"/>
      <c r="G187" s="106"/>
      <c r="H187" s="175"/>
      <c r="I187" s="176"/>
      <c r="J187" s="176"/>
      <c r="K187" s="176"/>
      <c r="L187" s="145" t="s">
        <v>3326</v>
      </c>
      <c r="M187" s="45" t="str">
        <f t="shared" si="7"/>
        <v>OneCo Networks AS</v>
      </c>
      <c r="N187" s="40" t="str">
        <f ca="1">IFERROR(
VLOOKUP(BoM_Solar[[#This Row],[Product code]],
IF(AND((BoQ!$N$3&lt;&gt;""),OR(BoM_Solar[[#This Row],[Vendor]]="Griptel",BoM_Solar[[#This Row],[Vendor]]="Solar")),INDIRECT(Aux!$A$1)),4,FALSE),"")</f>
        <v/>
      </c>
      <c r="O187" s="169" t="s">
        <v>1807</v>
      </c>
      <c r="P187" s="41" t="str">
        <f>IFERROR(IF(AND(BoM_Solar[[#This Row],[Quantity]]&lt;&gt;"",BoM_Solar[[#This Row],[Currency]]="NOK"),BoM_Solar[[#This Row],[Quantity]]*BoM_Solar[[#This Row],[Unit Price]],""),"")</f>
        <v/>
      </c>
      <c r="Q187" s="41" t="str">
        <f>IFERROR(IF(AND(BoM_Solar[[#This Row],[ACT_Qty]]&lt;&gt;"",BoM_Solar[[#This Row],[Currency]]="NOK"),BoM_Solar[[#This Row],[ACT_Qty]]*BoM_Solar[[#This Row],[Unit Price]],""),"")</f>
        <v/>
      </c>
      <c r="R187" s="41" t="str">
        <f>IFERROR(IF(AND(BoM_Solar[[#This Row],[Quantity]]&lt;&gt;"",BoM_Solar[[#This Row],[Currency]]="EUR"),BoM_Solar[[#This Row],[Quantity]]*BoM_Solar[[#This Row],[Unit Price]],""),"")</f>
        <v/>
      </c>
      <c r="S187" s="41" t="str">
        <f>IFERROR(IF(AND(BoM_Solar[[#This Row],[ACT_Qty]]&lt;&gt;"",BoM_Solar[[#This Row],[Currency]]="EUR"),BoM_Solar[[#This Row],[ACT_Qty]]*BoM_Solar[[#This Row],[Unit Price]],""),"")</f>
        <v/>
      </c>
      <c r="T187" s="185"/>
      <c r="U187" s="45"/>
      <c r="V187" s="45"/>
      <c r="W187" s="45"/>
    </row>
    <row r="188" spans="1:23">
      <c r="A188" s="146" t="str">
        <f t="shared" si="5"/>
        <v>AKH12345</v>
      </c>
      <c r="B188">
        <v>1653588</v>
      </c>
      <c r="C188" t="s">
        <v>3506</v>
      </c>
      <c r="D188" s="105"/>
      <c r="E188" s="106"/>
      <c r="F188" s="105"/>
      <c r="G188" s="106"/>
      <c r="H188" s="175"/>
      <c r="I188" s="176"/>
      <c r="J188" s="176"/>
      <c r="K188" s="176"/>
      <c r="L188" s="145" t="s">
        <v>3326</v>
      </c>
      <c r="M188" s="45" t="str">
        <f t="shared" si="7"/>
        <v>OneCo Networks AS</v>
      </c>
      <c r="N188" s="40" t="str">
        <f ca="1">IFERROR(
VLOOKUP(BoM_Solar[[#This Row],[Product code]],
IF(AND((BoQ!$N$3&lt;&gt;""),OR(BoM_Solar[[#This Row],[Vendor]]="Griptel",BoM_Solar[[#This Row],[Vendor]]="Solar")),INDIRECT(Aux!$A$1)),4,FALSE),"")</f>
        <v/>
      </c>
      <c r="O188" s="169" t="s">
        <v>1807</v>
      </c>
      <c r="P188" s="41" t="str">
        <f>IFERROR(IF(AND(BoM_Solar[[#This Row],[Quantity]]&lt;&gt;"",BoM_Solar[[#This Row],[Currency]]="NOK"),BoM_Solar[[#This Row],[Quantity]]*BoM_Solar[[#This Row],[Unit Price]],""),"")</f>
        <v/>
      </c>
      <c r="Q188" s="41" t="str">
        <f>IFERROR(IF(AND(BoM_Solar[[#This Row],[ACT_Qty]]&lt;&gt;"",BoM_Solar[[#This Row],[Currency]]="NOK"),BoM_Solar[[#This Row],[ACT_Qty]]*BoM_Solar[[#This Row],[Unit Price]],""),"")</f>
        <v/>
      </c>
      <c r="R188" s="41" t="str">
        <f>IFERROR(IF(AND(BoM_Solar[[#This Row],[Quantity]]&lt;&gt;"",BoM_Solar[[#This Row],[Currency]]="EUR"),BoM_Solar[[#This Row],[Quantity]]*BoM_Solar[[#This Row],[Unit Price]],""),"")</f>
        <v/>
      </c>
      <c r="S188" s="41" t="str">
        <f>IFERROR(IF(AND(BoM_Solar[[#This Row],[ACT_Qty]]&lt;&gt;"",BoM_Solar[[#This Row],[Currency]]="EUR"),BoM_Solar[[#This Row],[ACT_Qty]]*BoM_Solar[[#This Row],[Unit Price]],""),"")</f>
        <v/>
      </c>
      <c r="T188" s="185"/>
      <c r="U188" s="45"/>
      <c r="V188" s="45"/>
      <c r="W188" s="45"/>
    </row>
    <row r="189" spans="1:23">
      <c r="A189" s="146" t="str">
        <f t="shared" si="5"/>
        <v>AKH12345</v>
      </c>
      <c r="B189">
        <v>2014390</v>
      </c>
      <c r="C189" t="s">
        <v>3507</v>
      </c>
      <c r="D189" s="105"/>
      <c r="E189" s="106"/>
      <c r="F189" s="105"/>
      <c r="G189" s="106"/>
      <c r="H189" s="175"/>
      <c r="I189" s="176"/>
      <c r="J189" s="176"/>
      <c r="K189" s="176"/>
      <c r="L189" s="145" t="s">
        <v>3326</v>
      </c>
      <c r="M189" s="45" t="str">
        <f t="shared" si="7"/>
        <v>OneCo Networks AS</v>
      </c>
      <c r="N189" s="40" t="str">
        <f ca="1">IFERROR(
VLOOKUP(BoM_Solar[[#This Row],[Product code]],
IF(AND((BoQ!$N$3&lt;&gt;""),OR(BoM_Solar[[#This Row],[Vendor]]="Griptel",BoM_Solar[[#This Row],[Vendor]]="Solar")),INDIRECT(Aux!$A$1)),4,FALSE),"")</f>
        <v/>
      </c>
      <c r="O189" s="169" t="s">
        <v>1807</v>
      </c>
      <c r="P189" s="41" t="str">
        <f>IFERROR(IF(AND(BoM_Solar[[#This Row],[Quantity]]&lt;&gt;"",BoM_Solar[[#This Row],[Currency]]="NOK"),BoM_Solar[[#This Row],[Quantity]]*BoM_Solar[[#This Row],[Unit Price]],""),"")</f>
        <v/>
      </c>
      <c r="Q189" s="41" t="str">
        <f>IFERROR(IF(AND(BoM_Solar[[#This Row],[ACT_Qty]]&lt;&gt;"",BoM_Solar[[#This Row],[Currency]]="NOK"),BoM_Solar[[#This Row],[ACT_Qty]]*BoM_Solar[[#This Row],[Unit Price]],""),"")</f>
        <v/>
      </c>
      <c r="R189" s="41" t="str">
        <f>IFERROR(IF(AND(BoM_Solar[[#This Row],[Quantity]]&lt;&gt;"",BoM_Solar[[#This Row],[Currency]]="EUR"),BoM_Solar[[#This Row],[Quantity]]*BoM_Solar[[#This Row],[Unit Price]],""),"")</f>
        <v/>
      </c>
      <c r="S189" s="41" t="str">
        <f>IFERROR(IF(AND(BoM_Solar[[#This Row],[ACT_Qty]]&lt;&gt;"",BoM_Solar[[#This Row],[Currency]]="EUR"),BoM_Solar[[#This Row],[ACT_Qty]]*BoM_Solar[[#This Row],[Unit Price]],""),"")</f>
        <v/>
      </c>
      <c r="T189" s="185"/>
      <c r="U189" s="45"/>
      <c r="V189" s="45"/>
      <c r="W189" s="45"/>
    </row>
    <row r="190" spans="1:23">
      <c r="A190" s="146" t="str">
        <f t="shared" si="5"/>
        <v>AKH12345</v>
      </c>
      <c r="B190">
        <v>1642473</v>
      </c>
      <c r="C190" t="s">
        <v>3508</v>
      </c>
      <c r="D190" s="105"/>
      <c r="E190" s="106"/>
      <c r="F190" s="105"/>
      <c r="G190" s="106"/>
      <c r="H190" s="175"/>
      <c r="I190" s="176"/>
      <c r="J190" s="176"/>
      <c r="K190" s="176"/>
      <c r="L190" s="145" t="s">
        <v>3326</v>
      </c>
      <c r="M190" s="45" t="str">
        <f t="shared" si="7"/>
        <v>OneCo Networks AS</v>
      </c>
      <c r="N190" s="40" t="str">
        <f ca="1">IFERROR(
VLOOKUP(BoM_Solar[[#This Row],[Product code]],
IF(AND((BoQ!$N$3&lt;&gt;""),OR(BoM_Solar[[#This Row],[Vendor]]="Griptel",BoM_Solar[[#This Row],[Vendor]]="Solar")),INDIRECT(Aux!$A$1)),4,FALSE),"")</f>
        <v/>
      </c>
      <c r="O190" s="169" t="s">
        <v>1807</v>
      </c>
      <c r="P190" s="41" t="str">
        <f>IFERROR(IF(AND(BoM_Solar[[#This Row],[Quantity]]&lt;&gt;"",BoM_Solar[[#This Row],[Currency]]="NOK"),BoM_Solar[[#This Row],[Quantity]]*BoM_Solar[[#This Row],[Unit Price]],""),"")</f>
        <v/>
      </c>
      <c r="Q190" s="41" t="str">
        <f>IFERROR(IF(AND(BoM_Solar[[#This Row],[ACT_Qty]]&lt;&gt;"",BoM_Solar[[#This Row],[Currency]]="NOK"),BoM_Solar[[#This Row],[ACT_Qty]]*BoM_Solar[[#This Row],[Unit Price]],""),"")</f>
        <v/>
      </c>
      <c r="R190" s="41" t="str">
        <f>IFERROR(IF(AND(BoM_Solar[[#This Row],[Quantity]]&lt;&gt;"",BoM_Solar[[#This Row],[Currency]]="EUR"),BoM_Solar[[#This Row],[Quantity]]*BoM_Solar[[#This Row],[Unit Price]],""),"")</f>
        <v/>
      </c>
      <c r="S190" s="41" t="str">
        <f>IFERROR(IF(AND(BoM_Solar[[#This Row],[ACT_Qty]]&lt;&gt;"",BoM_Solar[[#This Row],[Currency]]="EUR"),BoM_Solar[[#This Row],[ACT_Qty]]*BoM_Solar[[#This Row],[Unit Price]],""),"")</f>
        <v/>
      </c>
      <c r="T190" s="185"/>
      <c r="U190" s="45"/>
      <c r="V190" s="45"/>
      <c r="W190" s="45"/>
    </row>
    <row r="191" spans="1:23">
      <c r="A191" s="146" t="str">
        <f t="shared" si="5"/>
        <v>AKH12345</v>
      </c>
      <c r="B191">
        <v>1654700</v>
      </c>
      <c r="C191" t="s">
        <v>3509</v>
      </c>
      <c r="D191" s="105"/>
      <c r="E191" s="106"/>
      <c r="F191" s="105"/>
      <c r="G191" s="106"/>
      <c r="H191" s="175"/>
      <c r="I191" s="176"/>
      <c r="J191" s="176"/>
      <c r="K191" s="176"/>
      <c r="L191" s="145" t="s">
        <v>3326</v>
      </c>
      <c r="M191" s="45" t="str">
        <f t="shared" si="7"/>
        <v>OneCo Networks AS</v>
      </c>
      <c r="N191" s="40" t="str">
        <f ca="1">IFERROR(
VLOOKUP(BoM_Solar[[#This Row],[Product code]],
IF(AND((BoQ!$N$3&lt;&gt;""),OR(BoM_Solar[[#This Row],[Vendor]]="Griptel",BoM_Solar[[#This Row],[Vendor]]="Solar")),INDIRECT(Aux!$A$1)),4,FALSE),"")</f>
        <v/>
      </c>
      <c r="O191" s="169" t="s">
        <v>1807</v>
      </c>
      <c r="P191" s="41" t="str">
        <f>IFERROR(IF(AND(BoM_Solar[[#This Row],[Quantity]]&lt;&gt;"",BoM_Solar[[#This Row],[Currency]]="NOK"),BoM_Solar[[#This Row],[Quantity]]*BoM_Solar[[#This Row],[Unit Price]],""),"")</f>
        <v/>
      </c>
      <c r="Q191" s="41" t="str">
        <f>IFERROR(IF(AND(BoM_Solar[[#This Row],[ACT_Qty]]&lt;&gt;"",BoM_Solar[[#This Row],[Currency]]="NOK"),BoM_Solar[[#This Row],[ACT_Qty]]*BoM_Solar[[#This Row],[Unit Price]],""),"")</f>
        <v/>
      </c>
      <c r="R191" s="41" t="str">
        <f>IFERROR(IF(AND(BoM_Solar[[#This Row],[Quantity]]&lt;&gt;"",BoM_Solar[[#This Row],[Currency]]="EUR"),BoM_Solar[[#This Row],[Quantity]]*BoM_Solar[[#This Row],[Unit Price]],""),"")</f>
        <v/>
      </c>
      <c r="S191" s="41" t="str">
        <f>IFERROR(IF(AND(BoM_Solar[[#This Row],[ACT_Qty]]&lt;&gt;"",BoM_Solar[[#This Row],[Currency]]="EUR"),BoM_Solar[[#This Row],[ACT_Qty]]*BoM_Solar[[#This Row],[Unit Price]],""),"")</f>
        <v/>
      </c>
      <c r="T191" s="185"/>
      <c r="U191" s="45"/>
      <c r="V191" s="45"/>
      <c r="W191" s="45"/>
    </row>
    <row r="192" spans="1:23">
      <c r="A192" s="146" t="str">
        <f t="shared" si="5"/>
        <v>AKH12345</v>
      </c>
      <c r="B192">
        <v>1725120</v>
      </c>
      <c r="C192" t="s">
        <v>3510</v>
      </c>
      <c r="D192" s="105"/>
      <c r="E192" s="106"/>
      <c r="F192" s="105"/>
      <c r="G192" s="106"/>
      <c r="H192" s="175"/>
      <c r="I192" s="176"/>
      <c r="J192" s="176"/>
      <c r="K192" s="176"/>
      <c r="L192" s="145" t="s">
        <v>3326</v>
      </c>
      <c r="M192" s="45" t="str">
        <f t="shared" si="7"/>
        <v>OneCo Networks AS</v>
      </c>
      <c r="N192" s="40" t="str">
        <f ca="1">IFERROR(
VLOOKUP(BoM_Solar[[#This Row],[Product code]],
IF(AND((BoQ!$N$3&lt;&gt;""),OR(BoM_Solar[[#This Row],[Vendor]]="Griptel",BoM_Solar[[#This Row],[Vendor]]="Solar")),INDIRECT(Aux!$A$1)),4,FALSE),"")</f>
        <v/>
      </c>
      <c r="O192" s="169" t="s">
        <v>1807</v>
      </c>
      <c r="P192" s="41" t="str">
        <f>IFERROR(IF(AND(BoM_Solar[[#This Row],[Quantity]]&lt;&gt;"",BoM_Solar[[#This Row],[Currency]]="NOK"),BoM_Solar[[#This Row],[Quantity]]*BoM_Solar[[#This Row],[Unit Price]],""),"")</f>
        <v/>
      </c>
      <c r="Q192" s="41" t="str">
        <f>IFERROR(IF(AND(BoM_Solar[[#This Row],[ACT_Qty]]&lt;&gt;"",BoM_Solar[[#This Row],[Currency]]="NOK"),BoM_Solar[[#This Row],[ACT_Qty]]*BoM_Solar[[#This Row],[Unit Price]],""),"")</f>
        <v/>
      </c>
      <c r="R192" s="41" t="str">
        <f>IFERROR(IF(AND(BoM_Solar[[#This Row],[Quantity]]&lt;&gt;"",BoM_Solar[[#This Row],[Currency]]="EUR"),BoM_Solar[[#This Row],[Quantity]]*BoM_Solar[[#This Row],[Unit Price]],""),"")</f>
        <v/>
      </c>
      <c r="S192" s="41" t="str">
        <f>IFERROR(IF(AND(BoM_Solar[[#This Row],[ACT_Qty]]&lt;&gt;"",BoM_Solar[[#This Row],[Currency]]="EUR"),BoM_Solar[[#This Row],[ACT_Qty]]*BoM_Solar[[#This Row],[Unit Price]],""),"")</f>
        <v/>
      </c>
      <c r="T192" s="185"/>
      <c r="U192" s="45"/>
      <c r="V192" s="45"/>
      <c r="W192" s="45"/>
    </row>
    <row r="193" spans="1:23">
      <c r="A193" s="146" t="str">
        <f t="shared" si="5"/>
        <v>AKH12345</v>
      </c>
      <c r="B193">
        <v>1261832</v>
      </c>
      <c r="C193" t="s">
        <v>3511</v>
      </c>
      <c r="D193" s="105"/>
      <c r="E193" s="106"/>
      <c r="F193" s="105"/>
      <c r="G193" s="106"/>
      <c r="H193" s="175"/>
      <c r="I193" s="176"/>
      <c r="J193" s="176"/>
      <c r="K193" s="176"/>
      <c r="L193" s="145" t="s">
        <v>3326</v>
      </c>
      <c r="M193" s="45" t="str">
        <f t="shared" si="7"/>
        <v>OneCo Networks AS</v>
      </c>
      <c r="N193" s="40" t="str">
        <f ca="1">IFERROR(
VLOOKUP(BoM_Solar[[#This Row],[Product code]],
IF(AND((BoQ!$N$3&lt;&gt;""),OR(BoM_Solar[[#This Row],[Vendor]]="Griptel",BoM_Solar[[#This Row],[Vendor]]="Solar")),INDIRECT(Aux!$A$1)),4,FALSE),"")</f>
        <v/>
      </c>
      <c r="O193" s="169" t="s">
        <v>1807</v>
      </c>
      <c r="P193" s="41" t="str">
        <f>IFERROR(IF(AND(BoM_Solar[[#This Row],[Quantity]]&lt;&gt;"",BoM_Solar[[#This Row],[Currency]]="NOK"),BoM_Solar[[#This Row],[Quantity]]*BoM_Solar[[#This Row],[Unit Price]],""),"")</f>
        <v/>
      </c>
      <c r="Q193" s="41" t="str">
        <f>IFERROR(IF(AND(BoM_Solar[[#This Row],[ACT_Qty]]&lt;&gt;"",BoM_Solar[[#This Row],[Currency]]="NOK"),BoM_Solar[[#This Row],[ACT_Qty]]*BoM_Solar[[#This Row],[Unit Price]],""),"")</f>
        <v/>
      </c>
      <c r="R193" s="41" t="str">
        <f>IFERROR(IF(AND(BoM_Solar[[#This Row],[Quantity]]&lt;&gt;"",BoM_Solar[[#This Row],[Currency]]="EUR"),BoM_Solar[[#This Row],[Quantity]]*BoM_Solar[[#This Row],[Unit Price]],""),"")</f>
        <v/>
      </c>
      <c r="S193" s="41" t="str">
        <f>IFERROR(IF(AND(BoM_Solar[[#This Row],[ACT_Qty]]&lt;&gt;"",BoM_Solar[[#This Row],[Currency]]="EUR"),BoM_Solar[[#This Row],[ACT_Qty]]*BoM_Solar[[#This Row],[Unit Price]],""),"")</f>
        <v/>
      </c>
      <c r="T193" s="185"/>
      <c r="U193" s="45"/>
      <c r="V193" s="45"/>
      <c r="W193" s="45"/>
    </row>
    <row r="194" spans="1:23">
      <c r="A194" s="146" t="str">
        <f t="shared" si="5"/>
        <v>AKH12345</v>
      </c>
      <c r="B194">
        <v>1221546</v>
      </c>
      <c r="C194" t="s">
        <v>3512</v>
      </c>
      <c r="D194" s="105"/>
      <c r="E194" s="106"/>
      <c r="F194" s="105"/>
      <c r="G194" s="106"/>
      <c r="H194" s="175"/>
      <c r="I194" s="176"/>
      <c r="J194" s="176"/>
      <c r="K194" s="176"/>
      <c r="L194" s="145" t="s">
        <v>3326</v>
      </c>
      <c r="M194" s="45" t="str">
        <f t="shared" si="7"/>
        <v>OneCo Networks AS</v>
      </c>
      <c r="N194" s="40" t="str">
        <f ca="1">IFERROR(
VLOOKUP(BoM_Solar[[#This Row],[Product code]],
IF(AND((BoQ!$N$3&lt;&gt;""),OR(BoM_Solar[[#This Row],[Vendor]]="Griptel",BoM_Solar[[#This Row],[Vendor]]="Solar")),INDIRECT(Aux!$A$1)),4,FALSE),"")</f>
        <v/>
      </c>
      <c r="O194" s="169" t="s">
        <v>1807</v>
      </c>
      <c r="P194" s="41" t="str">
        <f>IFERROR(IF(AND(BoM_Solar[[#This Row],[Quantity]]&lt;&gt;"",BoM_Solar[[#This Row],[Currency]]="NOK"),BoM_Solar[[#This Row],[Quantity]]*BoM_Solar[[#This Row],[Unit Price]],""),"")</f>
        <v/>
      </c>
      <c r="Q194" s="41" t="str">
        <f>IFERROR(IF(AND(BoM_Solar[[#This Row],[ACT_Qty]]&lt;&gt;"",BoM_Solar[[#This Row],[Currency]]="NOK"),BoM_Solar[[#This Row],[ACT_Qty]]*BoM_Solar[[#This Row],[Unit Price]],""),"")</f>
        <v/>
      </c>
      <c r="R194" s="41" t="str">
        <f>IFERROR(IF(AND(BoM_Solar[[#This Row],[Quantity]]&lt;&gt;"",BoM_Solar[[#This Row],[Currency]]="EUR"),BoM_Solar[[#This Row],[Quantity]]*BoM_Solar[[#This Row],[Unit Price]],""),"")</f>
        <v/>
      </c>
      <c r="S194" s="41" t="str">
        <f>IFERROR(IF(AND(BoM_Solar[[#This Row],[ACT_Qty]]&lt;&gt;"",BoM_Solar[[#This Row],[Currency]]="EUR"),BoM_Solar[[#This Row],[ACT_Qty]]*BoM_Solar[[#This Row],[Unit Price]],""),"")</f>
        <v/>
      </c>
      <c r="T194" s="185"/>
      <c r="U194" s="45"/>
      <c r="V194" s="45"/>
      <c r="W194" s="45"/>
    </row>
    <row r="195" spans="1:23">
      <c r="A195" s="146" t="str">
        <f t="shared" si="5"/>
        <v>AKH12345</v>
      </c>
      <c r="B195">
        <v>1219100</v>
      </c>
      <c r="C195" t="s">
        <v>3513</v>
      </c>
      <c r="D195" s="105"/>
      <c r="E195" s="106"/>
      <c r="F195" s="105"/>
      <c r="G195" s="106"/>
      <c r="H195" s="175"/>
      <c r="I195" s="176"/>
      <c r="J195" s="176"/>
      <c r="K195" s="176"/>
      <c r="L195" s="145" t="s">
        <v>3326</v>
      </c>
      <c r="M195" s="45" t="str">
        <f t="shared" si="7"/>
        <v>OneCo Networks AS</v>
      </c>
      <c r="N195" s="40" t="str">
        <f ca="1">IFERROR(
VLOOKUP(BoM_Solar[[#This Row],[Product code]],
IF(AND((BoQ!$N$3&lt;&gt;""),OR(BoM_Solar[[#This Row],[Vendor]]="Griptel",BoM_Solar[[#This Row],[Vendor]]="Solar")),INDIRECT(Aux!$A$1)),4,FALSE),"")</f>
        <v/>
      </c>
      <c r="O195" s="169" t="s">
        <v>1807</v>
      </c>
      <c r="P195" s="41" t="str">
        <f>IFERROR(IF(AND(BoM_Solar[[#This Row],[Quantity]]&lt;&gt;"",BoM_Solar[[#This Row],[Currency]]="NOK"),BoM_Solar[[#This Row],[Quantity]]*BoM_Solar[[#This Row],[Unit Price]],""),"")</f>
        <v/>
      </c>
      <c r="Q195" s="41" t="str">
        <f>IFERROR(IF(AND(BoM_Solar[[#This Row],[ACT_Qty]]&lt;&gt;"",BoM_Solar[[#This Row],[Currency]]="NOK"),BoM_Solar[[#This Row],[ACT_Qty]]*BoM_Solar[[#This Row],[Unit Price]],""),"")</f>
        <v/>
      </c>
      <c r="R195" s="41" t="str">
        <f>IFERROR(IF(AND(BoM_Solar[[#This Row],[Quantity]]&lt;&gt;"",BoM_Solar[[#This Row],[Currency]]="EUR"),BoM_Solar[[#This Row],[Quantity]]*BoM_Solar[[#This Row],[Unit Price]],""),"")</f>
        <v/>
      </c>
      <c r="S195" s="41" t="str">
        <f>IFERROR(IF(AND(BoM_Solar[[#This Row],[ACT_Qty]]&lt;&gt;"",BoM_Solar[[#This Row],[Currency]]="EUR"),BoM_Solar[[#This Row],[ACT_Qty]]*BoM_Solar[[#This Row],[Unit Price]],""),"")</f>
        <v/>
      </c>
      <c r="T195" s="185"/>
      <c r="U195" s="45"/>
      <c r="V195" s="45"/>
      <c r="W195" s="45"/>
    </row>
    <row r="196" spans="1:23">
      <c r="A196" s="146" t="str">
        <f t="shared" si="5"/>
        <v>AKH12345</v>
      </c>
      <c r="B196">
        <v>1022738</v>
      </c>
      <c r="C196" t="s">
        <v>3514</v>
      </c>
      <c r="D196" s="105"/>
      <c r="E196" s="106"/>
      <c r="F196" s="105"/>
      <c r="G196" s="106"/>
      <c r="H196" s="175"/>
      <c r="I196" s="176"/>
      <c r="J196" s="176"/>
      <c r="K196" s="176"/>
      <c r="L196" s="145" t="s">
        <v>3326</v>
      </c>
      <c r="M196" s="45" t="str">
        <f t="shared" si="7"/>
        <v>OneCo Networks AS</v>
      </c>
      <c r="N196" s="40" t="str">
        <f ca="1">IFERROR(
VLOOKUP(BoM_Solar[[#This Row],[Product code]],
IF(AND((BoQ!$N$3&lt;&gt;""),OR(BoM_Solar[[#This Row],[Vendor]]="Griptel",BoM_Solar[[#This Row],[Vendor]]="Solar")),INDIRECT(Aux!$A$1)),4,FALSE),"")</f>
        <v/>
      </c>
      <c r="O196" s="169" t="s">
        <v>1807</v>
      </c>
      <c r="P196" s="41" t="str">
        <f>IFERROR(IF(AND(BoM_Solar[[#This Row],[Quantity]]&lt;&gt;"",BoM_Solar[[#This Row],[Currency]]="NOK"),BoM_Solar[[#This Row],[Quantity]]*BoM_Solar[[#This Row],[Unit Price]],""),"")</f>
        <v/>
      </c>
      <c r="Q196" s="41" t="str">
        <f>IFERROR(IF(AND(BoM_Solar[[#This Row],[ACT_Qty]]&lt;&gt;"",BoM_Solar[[#This Row],[Currency]]="NOK"),BoM_Solar[[#This Row],[ACT_Qty]]*BoM_Solar[[#This Row],[Unit Price]],""),"")</f>
        <v/>
      </c>
      <c r="R196" s="41" t="str">
        <f>IFERROR(IF(AND(BoM_Solar[[#This Row],[Quantity]]&lt;&gt;"",BoM_Solar[[#This Row],[Currency]]="EUR"),BoM_Solar[[#This Row],[Quantity]]*BoM_Solar[[#This Row],[Unit Price]],""),"")</f>
        <v/>
      </c>
      <c r="S196" s="41" t="str">
        <f>IFERROR(IF(AND(BoM_Solar[[#This Row],[ACT_Qty]]&lt;&gt;"",BoM_Solar[[#This Row],[Currency]]="EUR"),BoM_Solar[[#This Row],[ACT_Qty]]*BoM_Solar[[#This Row],[Unit Price]],""),"")</f>
        <v/>
      </c>
      <c r="T196" s="185"/>
      <c r="U196" s="45"/>
      <c r="V196" s="45"/>
      <c r="W196" s="45"/>
    </row>
    <row r="197" spans="1:23">
      <c r="A197" s="146" t="str">
        <f t="shared" si="5"/>
        <v>AKH12345</v>
      </c>
      <c r="B197">
        <v>1624142</v>
      </c>
      <c r="C197" t="s">
        <v>3515</v>
      </c>
      <c r="D197" s="105"/>
      <c r="E197" s="106"/>
      <c r="F197" s="105"/>
      <c r="G197" s="106"/>
      <c r="H197" s="175"/>
      <c r="I197" s="176"/>
      <c r="J197" s="176"/>
      <c r="K197" s="176"/>
      <c r="L197" s="145" t="s">
        <v>3326</v>
      </c>
      <c r="M197" s="45" t="str">
        <f t="shared" si="7"/>
        <v>OneCo Networks AS</v>
      </c>
      <c r="N197" s="40" t="str">
        <f ca="1">IFERROR(
VLOOKUP(BoM_Solar[[#This Row],[Product code]],
IF(AND((BoQ!$N$3&lt;&gt;""),OR(BoM_Solar[[#This Row],[Vendor]]="Griptel",BoM_Solar[[#This Row],[Vendor]]="Solar")),INDIRECT(Aux!$A$1)),4,FALSE),"")</f>
        <v/>
      </c>
      <c r="O197" s="169" t="s">
        <v>1807</v>
      </c>
      <c r="P197" s="41" t="str">
        <f>IFERROR(IF(AND(BoM_Solar[[#This Row],[Quantity]]&lt;&gt;"",BoM_Solar[[#This Row],[Currency]]="NOK"),BoM_Solar[[#This Row],[Quantity]]*BoM_Solar[[#This Row],[Unit Price]],""),"")</f>
        <v/>
      </c>
      <c r="Q197" s="41" t="str">
        <f>IFERROR(IF(AND(BoM_Solar[[#This Row],[ACT_Qty]]&lt;&gt;"",BoM_Solar[[#This Row],[Currency]]="NOK"),BoM_Solar[[#This Row],[ACT_Qty]]*BoM_Solar[[#This Row],[Unit Price]],""),"")</f>
        <v/>
      </c>
      <c r="R197" s="41" t="str">
        <f>IFERROR(IF(AND(BoM_Solar[[#This Row],[Quantity]]&lt;&gt;"",BoM_Solar[[#This Row],[Currency]]="EUR"),BoM_Solar[[#This Row],[Quantity]]*BoM_Solar[[#This Row],[Unit Price]],""),"")</f>
        <v/>
      </c>
      <c r="S197" s="41" t="str">
        <f>IFERROR(IF(AND(BoM_Solar[[#This Row],[ACT_Qty]]&lt;&gt;"",BoM_Solar[[#This Row],[Currency]]="EUR"),BoM_Solar[[#This Row],[ACT_Qty]]*BoM_Solar[[#This Row],[Unit Price]],""),"")</f>
        <v/>
      </c>
      <c r="T197" s="185"/>
      <c r="U197" s="45"/>
      <c r="V197" s="45"/>
      <c r="W197" s="45"/>
    </row>
    <row r="198" spans="1:23">
      <c r="A198" s="146" t="str">
        <f t="shared" si="5"/>
        <v>AKH12345</v>
      </c>
      <c r="B198">
        <v>2800151</v>
      </c>
      <c r="C198" t="s">
        <v>3516</v>
      </c>
      <c r="D198" s="105"/>
      <c r="E198" s="106"/>
      <c r="F198" s="105"/>
      <c r="G198" s="106"/>
      <c r="H198" s="175"/>
      <c r="I198" s="176"/>
      <c r="J198" s="176"/>
      <c r="K198" s="176"/>
      <c r="L198" s="145" t="s">
        <v>3326</v>
      </c>
      <c r="M198" s="45" t="str">
        <f t="shared" si="7"/>
        <v>OneCo Networks AS</v>
      </c>
      <c r="N198" s="40" t="str">
        <f ca="1">IFERROR(
VLOOKUP(BoM_Solar[[#This Row],[Product code]],
IF(AND((BoQ!$N$3&lt;&gt;""),OR(BoM_Solar[[#This Row],[Vendor]]="Griptel",BoM_Solar[[#This Row],[Vendor]]="Solar")),INDIRECT(Aux!$A$1)),4,FALSE),"")</f>
        <v/>
      </c>
      <c r="O198" s="169" t="s">
        <v>1807</v>
      </c>
      <c r="P198" s="41" t="str">
        <f>IFERROR(IF(AND(BoM_Solar[[#This Row],[Quantity]]&lt;&gt;"",BoM_Solar[[#This Row],[Currency]]="NOK"),BoM_Solar[[#This Row],[Quantity]]*BoM_Solar[[#This Row],[Unit Price]],""),"")</f>
        <v/>
      </c>
      <c r="Q198" s="41" t="str">
        <f>IFERROR(IF(AND(BoM_Solar[[#This Row],[ACT_Qty]]&lt;&gt;"",BoM_Solar[[#This Row],[Currency]]="NOK"),BoM_Solar[[#This Row],[ACT_Qty]]*BoM_Solar[[#This Row],[Unit Price]],""),"")</f>
        <v/>
      </c>
      <c r="R198" s="41" t="str">
        <f>IFERROR(IF(AND(BoM_Solar[[#This Row],[Quantity]]&lt;&gt;"",BoM_Solar[[#This Row],[Currency]]="EUR"),BoM_Solar[[#This Row],[Quantity]]*BoM_Solar[[#This Row],[Unit Price]],""),"")</f>
        <v/>
      </c>
      <c r="S198" s="41" t="str">
        <f>IFERROR(IF(AND(BoM_Solar[[#This Row],[ACT_Qty]]&lt;&gt;"",BoM_Solar[[#This Row],[Currency]]="EUR"),BoM_Solar[[#This Row],[ACT_Qty]]*BoM_Solar[[#This Row],[Unit Price]],""),"")</f>
        <v/>
      </c>
      <c r="T198" s="185"/>
      <c r="U198" s="45"/>
      <c r="V198" s="45"/>
      <c r="W198" s="45"/>
    </row>
    <row r="199" spans="1:23">
      <c r="A199" s="146" t="str">
        <f t="shared" si="5"/>
        <v>AKH12345</v>
      </c>
      <c r="B199">
        <v>1166670</v>
      </c>
      <c r="C199" t="s">
        <v>3517</v>
      </c>
      <c r="D199" s="105"/>
      <c r="E199" s="106"/>
      <c r="F199" s="105"/>
      <c r="G199" s="106"/>
      <c r="H199" s="175"/>
      <c r="I199" s="176"/>
      <c r="J199" s="176"/>
      <c r="K199" s="176"/>
      <c r="L199" s="145" t="s">
        <v>3326</v>
      </c>
      <c r="M199" s="45" t="str">
        <f t="shared" si="7"/>
        <v>OneCo Networks AS</v>
      </c>
      <c r="N199" s="40" t="str">
        <f ca="1">IFERROR(
VLOOKUP(BoM_Solar[[#This Row],[Product code]],
IF(AND((BoQ!$N$3&lt;&gt;""),OR(BoM_Solar[[#This Row],[Vendor]]="Griptel",BoM_Solar[[#This Row],[Vendor]]="Solar")),INDIRECT(Aux!$A$1)),4,FALSE),"")</f>
        <v/>
      </c>
      <c r="O199" s="169" t="s">
        <v>1807</v>
      </c>
      <c r="P199" s="41" t="str">
        <f>IFERROR(IF(AND(BoM_Solar[[#This Row],[Quantity]]&lt;&gt;"",BoM_Solar[[#This Row],[Currency]]="NOK"),BoM_Solar[[#This Row],[Quantity]]*BoM_Solar[[#This Row],[Unit Price]],""),"")</f>
        <v/>
      </c>
      <c r="Q199" s="41" t="str">
        <f>IFERROR(IF(AND(BoM_Solar[[#This Row],[ACT_Qty]]&lt;&gt;"",BoM_Solar[[#This Row],[Currency]]="NOK"),BoM_Solar[[#This Row],[ACT_Qty]]*BoM_Solar[[#This Row],[Unit Price]],""),"")</f>
        <v/>
      </c>
      <c r="R199" s="41" t="str">
        <f>IFERROR(IF(AND(BoM_Solar[[#This Row],[Quantity]]&lt;&gt;"",BoM_Solar[[#This Row],[Currency]]="EUR"),BoM_Solar[[#This Row],[Quantity]]*BoM_Solar[[#This Row],[Unit Price]],""),"")</f>
        <v/>
      </c>
      <c r="S199" s="41" t="str">
        <f>IFERROR(IF(AND(BoM_Solar[[#This Row],[ACT_Qty]]&lt;&gt;"",BoM_Solar[[#This Row],[Currency]]="EUR"),BoM_Solar[[#This Row],[ACT_Qty]]*BoM_Solar[[#This Row],[Unit Price]],""),"")</f>
        <v/>
      </c>
      <c r="T199" s="185"/>
      <c r="U199" s="45"/>
      <c r="V199" s="45"/>
      <c r="W199" s="45"/>
    </row>
    <row r="200" spans="1:23">
      <c r="A200" s="146" t="str">
        <f t="shared" si="5"/>
        <v>AKH12345</v>
      </c>
      <c r="B200">
        <v>7921557</v>
      </c>
      <c r="C200" t="s">
        <v>3518</v>
      </c>
      <c r="D200" s="105"/>
      <c r="E200" s="106"/>
      <c r="F200" s="105"/>
      <c r="G200" s="106"/>
      <c r="H200" s="175"/>
      <c r="I200" s="176"/>
      <c r="J200" s="176"/>
      <c r="K200" s="176"/>
      <c r="L200" s="145" t="s">
        <v>3326</v>
      </c>
      <c r="M200" s="45" t="str">
        <f t="shared" si="7"/>
        <v>OneCo Networks AS</v>
      </c>
      <c r="N200" s="40" t="str">
        <f ca="1">IFERROR(
VLOOKUP(BoM_Solar[[#This Row],[Product code]],
IF(AND((BoQ!$N$3&lt;&gt;""),OR(BoM_Solar[[#This Row],[Vendor]]="Griptel",BoM_Solar[[#This Row],[Vendor]]="Solar")),INDIRECT(Aux!$A$1)),4,FALSE),"")</f>
        <v/>
      </c>
      <c r="O200" s="169" t="s">
        <v>1807</v>
      </c>
      <c r="P200" s="41" t="str">
        <f>IFERROR(IF(AND(BoM_Solar[[#This Row],[Quantity]]&lt;&gt;"",BoM_Solar[[#This Row],[Currency]]="NOK"),BoM_Solar[[#This Row],[Quantity]]*BoM_Solar[[#This Row],[Unit Price]],""),"")</f>
        <v/>
      </c>
      <c r="Q200" s="41" t="str">
        <f>IFERROR(IF(AND(BoM_Solar[[#This Row],[ACT_Qty]]&lt;&gt;"",BoM_Solar[[#This Row],[Currency]]="NOK"),BoM_Solar[[#This Row],[ACT_Qty]]*BoM_Solar[[#This Row],[Unit Price]],""),"")</f>
        <v/>
      </c>
      <c r="R200" s="41" t="str">
        <f>IFERROR(IF(AND(BoM_Solar[[#This Row],[Quantity]]&lt;&gt;"",BoM_Solar[[#This Row],[Currency]]="EUR"),BoM_Solar[[#This Row],[Quantity]]*BoM_Solar[[#This Row],[Unit Price]],""),"")</f>
        <v/>
      </c>
      <c r="S200" s="41" t="str">
        <f>IFERROR(IF(AND(BoM_Solar[[#This Row],[ACT_Qty]]&lt;&gt;"",BoM_Solar[[#This Row],[Currency]]="EUR"),BoM_Solar[[#This Row],[ACT_Qty]]*BoM_Solar[[#This Row],[Unit Price]],""),"")</f>
        <v/>
      </c>
      <c r="T200" s="185"/>
      <c r="U200" s="45"/>
      <c r="V200" s="45"/>
      <c r="W200" s="45"/>
    </row>
    <row r="201" spans="1:23">
      <c r="A201" s="146" t="str">
        <f t="shared" si="5"/>
        <v>AKH12345</v>
      </c>
      <c r="B201">
        <v>1804503</v>
      </c>
      <c r="C201" t="s">
        <v>3519</v>
      </c>
      <c r="D201" s="105"/>
      <c r="E201" s="106"/>
      <c r="F201" s="105"/>
      <c r="G201" s="106"/>
      <c r="H201" s="175"/>
      <c r="I201" s="176"/>
      <c r="J201" s="176"/>
      <c r="K201" s="176"/>
      <c r="L201" s="145" t="s">
        <v>3326</v>
      </c>
      <c r="M201" s="45" t="str">
        <f t="shared" si="7"/>
        <v>OneCo Networks AS</v>
      </c>
      <c r="N201" s="40" t="str">
        <f ca="1">IFERROR(
VLOOKUP(BoM_Solar[[#This Row],[Product code]],
IF(AND((BoQ!$N$3&lt;&gt;""),OR(BoM_Solar[[#This Row],[Vendor]]="Griptel",BoM_Solar[[#This Row],[Vendor]]="Solar")),INDIRECT(Aux!$A$1)),4,FALSE),"")</f>
        <v/>
      </c>
      <c r="O201" s="169" t="s">
        <v>1807</v>
      </c>
      <c r="P201" s="41" t="str">
        <f>IFERROR(IF(AND(BoM_Solar[[#This Row],[Quantity]]&lt;&gt;"",BoM_Solar[[#This Row],[Currency]]="NOK"),BoM_Solar[[#This Row],[Quantity]]*BoM_Solar[[#This Row],[Unit Price]],""),"")</f>
        <v/>
      </c>
      <c r="Q201" s="41" t="str">
        <f>IFERROR(IF(AND(BoM_Solar[[#This Row],[ACT_Qty]]&lt;&gt;"",BoM_Solar[[#This Row],[Currency]]="NOK"),BoM_Solar[[#This Row],[ACT_Qty]]*BoM_Solar[[#This Row],[Unit Price]],""),"")</f>
        <v/>
      </c>
      <c r="R201" s="41" t="str">
        <f>IFERROR(IF(AND(BoM_Solar[[#This Row],[Quantity]]&lt;&gt;"",BoM_Solar[[#This Row],[Currency]]="EUR"),BoM_Solar[[#This Row],[Quantity]]*BoM_Solar[[#This Row],[Unit Price]],""),"")</f>
        <v/>
      </c>
      <c r="S201" s="41" t="str">
        <f>IFERROR(IF(AND(BoM_Solar[[#This Row],[ACT_Qty]]&lt;&gt;"",BoM_Solar[[#This Row],[Currency]]="EUR"),BoM_Solar[[#This Row],[ACT_Qty]]*BoM_Solar[[#This Row],[Unit Price]],""),"")</f>
        <v/>
      </c>
      <c r="T201" s="185"/>
      <c r="U201" s="45"/>
      <c r="V201" s="45"/>
      <c r="W201" s="45"/>
    </row>
    <row r="202" spans="1:23">
      <c r="A202" s="146" t="str">
        <f t="shared" si="5"/>
        <v>AKH12345</v>
      </c>
      <c r="B202">
        <v>1302228</v>
      </c>
      <c r="C202" t="s">
        <v>3520</v>
      </c>
      <c r="D202" s="105"/>
      <c r="E202" s="106"/>
      <c r="F202" s="105"/>
      <c r="G202" s="106"/>
      <c r="H202" s="175"/>
      <c r="I202" s="176"/>
      <c r="J202" s="176"/>
      <c r="K202" s="176"/>
      <c r="L202" s="145" t="s">
        <v>3326</v>
      </c>
      <c r="M202" s="45" t="str">
        <f t="shared" si="7"/>
        <v>OneCo Networks AS</v>
      </c>
      <c r="N202" s="40" t="str">
        <f ca="1">IFERROR(
VLOOKUP(BoM_Solar[[#This Row],[Product code]],
IF(AND((BoQ!$N$3&lt;&gt;""),OR(BoM_Solar[[#This Row],[Vendor]]="Griptel",BoM_Solar[[#This Row],[Vendor]]="Solar")),INDIRECT(Aux!$A$1)),4,FALSE),"")</f>
        <v/>
      </c>
      <c r="O202" s="169" t="s">
        <v>1807</v>
      </c>
      <c r="P202" s="41" t="str">
        <f>IFERROR(IF(AND(BoM_Solar[[#This Row],[Quantity]]&lt;&gt;"",BoM_Solar[[#This Row],[Currency]]="NOK"),BoM_Solar[[#This Row],[Quantity]]*BoM_Solar[[#This Row],[Unit Price]],""),"")</f>
        <v/>
      </c>
      <c r="Q202" s="41" t="str">
        <f>IFERROR(IF(AND(BoM_Solar[[#This Row],[ACT_Qty]]&lt;&gt;"",BoM_Solar[[#This Row],[Currency]]="NOK"),BoM_Solar[[#This Row],[ACT_Qty]]*BoM_Solar[[#This Row],[Unit Price]],""),"")</f>
        <v/>
      </c>
      <c r="R202" s="41" t="str">
        <f>IFERROR(IF(AND(BoM_Solar[[#This Row],[Quantity]]&lt;&gt;"",BoM_Solar[[#This Row],[Currency]]="EUR"),BoM_Solar[[#This Row],[Quantity]]*BoM_Solar[[#This Row],[Unit Price]],""),"")</f>
        <v/>
      </c>
      <c r="S202" s="41" t="str">
        <f>IFERROR(IF(AND(BoM_Solar[[#This Row],[ACT_Qty]]&lt;&gt;"",BoM_Solar[[#This Row],[Currency]]="EUR"),BoM_Solar[[#This Row],[ACT_Qty]]*BoM_Solar[[#This Row],[Unit Price]],""),"")</f>
        <v/>
      </c>
      <c r="T202" s="185"/>
      <c r="U202" s="45"/>
      <c r="V202" s="45"/>
      <c r="W202" s="45"/>
    </row>
    <row r="203" spans="1:23">
      <c r="A203" s="146" t="str">
        <f t="shared" si="5"/>
        <v>AKH12345</v>
      </c>
      <c r="B203">
        <v>1372111</v>
      </c>
      <c r="C203" t="s">
        <v>3521</v>
      </c>
      <c r="D203" s="105"/>
      <c r="E203" s="106"/>
      <c r="F203" s="105"/>
      <c r="G203" s="106"/>
      <c r="H203" s="175"/>
      <c r="I203" s="176"/>
      <c r="J203" s="176"/>
      <c r="K203" s="176"/>
      <c r="L203" s="145" t="s">
        <v>3326</v>
      </c>
      <c r="M203" s="45" t="str">
        <f t="shared" si="7"/>
        <v>OneCo Networks AS</v>
      </c>
      <c r="N203" s="40" t="str">
        <f ca="1">IFERROR(
VLOOKUP(BoM_Solar[[#This Row],[Product code]],
IF(AND((BoQ!$N$3&lt;&gt;""),OR(BoM_Solar[[#This Row],[Vendor]]="Griptel",BoM_Solar[[#This Row],[Vendor]]="Solar")),INDIRECT(Aux!$A$1)),4,FALSE),"")</f>
        <v/>
      </c>
      <c r="O203" s="169" t="s">
        <v>1807</v>
      </c>
      <c r="P203" s="41" t="str">
        <f>IFERROR(IF(AND(BoM_Solar[[#This Row],[Quantity]]&lt;&gt;"",BoM_Solar[[#This Row],[Currency]]="NOK"),BoM_Solar[[#This Row],[Quantity]]*BoM_Solar[[#This Row],[Unit Price]],""),"")</f>
        <v/>
      </c>
      <c r="Q203" s="41" t="str">
        <f>IFERROR(IF(AND(BoM_Solar[[#This Row],[ACT_Qty]]&lt;&gt;"",BoM_Solar[[#This Row],[Currency]]="NOK"),BoM_Solar[[#This Row],[ACT_Qty]]*BoM_Solar[[#This Row],[Unit Price]],""),"")</f>
        <v/>
      </c>
      <c r="R203" s="41" t="str">
        <f>IFERROR(IF(AND(BoM_Solar[[#This Row],[Quantity]]&lt;&gt;"",BoM_Solar[[#This Row],[Currency]]="EUR"),BoM_Solar[[#This Row],[Quantity]]*BoM_Solar[[#This Row],[Unit Price]],""),"")</f>
        <v/>
      </c>
      <c r="S203" s="41" t="str">
        <f>IFERROR(IF(AND(BoM_Solar[[#This Row],[ACT_Qty]]&lt;&gt;"",BoM_Solar[[#This Row],[Currency]]="EUR"),BoM_Solar[[#This Row],[ACT_Qty]]*BoM_Solar[[#This Row],[Unit Price]],""),"")</f>
        <v/>
      </c>
      <c r="T203" s="185"/>
      <c r="U203" s="45"/>
      <c r="V203" s="45"/>
      <c r="W203" s="45"/>
    </row>
    <row r="204" spans="1:23">
      <c r="A204" s="146" t="str">
        <f t="shared" si="5"/>
        <v>AKH12345</v>
      </c>
      <c r="B204">
        <v>1098657</v>
      </c>
      <c r="C204" t="s">
        <v>3522</v>
      </c>
      <c r="D204" s="105"/>
      <c r="E204" s="106"/>
      <c r="F204" s="105"/>
      <c r="G204" s="106"/>
      <c r="H204" s="175"/>
      <c r="I204" s="176"/>
      <c r="J204" s="176"/>
      <c r="K204" s="176"/>
      <c r="L204" s="145" t="s">
        <v>3326</v>
      </c>
      <c r="M204" s="45" t="str">
        <f t="shared" si="7"/>
        <v>OneCo Networks AS</v>
      </c>
      <c r="N204" s="40" t="str">
        <f ca="1">IFERROR(
VLOOKUP(BoM_Solar[[#This Row],[Product code]],
IF(AND((BoQ!$N$3&lt;&gt;""),OR(BoM_Solar[[#This Row],[Vendor]]="Griptel",BoM_Solar[[#This Row],[Vendor]]="Solar")),INDIRECT(Aux!$A$1)),4,FALSE),"")</f>
        <v/>
      </c>
      <c r="O204" s="169" t="s">
        <v>1807</v>
      </c>
      <c r="P204" s="41" t="str">
        <f>IFERROR(IF(AND(BoM_Solar[[#This Row],[Quantity]]&lt;&gt;"",BoM_Solar[[#This Row],[Currency]]="NOK"),BoM_Solar[[#This Row],[Quantity]]*BoM_Solar[[#This Row],[Unit Price]],""),"")</f>
        <v/>
      </c>
      <c r="Q204" s="41" t="str">
        <f>IFERROR(IF(AND(BoM_Solar[[#This Row],[ACT_Qty]]&lt;&gt;"",BoM_Solar[[#This Row],[Currency]]="NOK"),BoM_Solar[[#This Row],[ACT_Qty]]*BoM_Solar[[#This Row],[Unit Price]],""),"")</f>
        <v/>
      </c>
      <c r="R204" s="41" t="str">
        <f>IFERROR(IF(AND(BoM_Solar[[#This Row],[Quantity]]&lt;&gt;"",BoM_Solar[[#This Row],[Currency]]="EUR"),BoM_Solar[[#This Row],[Quantity]]*BoM_Solar[[#This Row],[Unit Price]],""),"")</f>
        <v/>
      </c>
      <c r="S204" s="41" t="str">
        <f>IFERROR(IF(AND(BoM_Solar[[#This Row],[ACT_Qty]]&lt;&gt;"",BoM_Solar[[#This Row],[Currency]]="EUR"),BoM_Solar[[#This Row],[ACT_Qty]]*BoM_Solar[[#This Row],[Unit Price]],""),"")</f>
        <v/>
      </c>
      <c r="T204" s="185"/>
      <c r="U204" s="45"/>
      <c r="V204" s="45"/>
      <c r="W204" s="45"/>
    </row>
    <row r="205" spans="1:23">
      <c r="A205" s="146" t="str">
        <f t="shared" si="5"/>
        <v>AKH12345</v>
      </c>
      <c r="B205">
        <v>2017311</v>
      </c>
      <c r="C205" t="s">
        <v>3523</v>
      </c>
      <c r="D205" s="105"/>
      <c r="E205" s="106"/>
      <c r="F205" s="105"/>
      <c r="G205" s="106"/>
      <c r="H205" s="175"/>
      <c r="I205" s="176"/>
      <c r="J205" s="176"/>
      <c r="K205" s="176"/>
      <c r="L205" s="145" t="s">
        <v>3326</v>
      </c>
      <c r="M205" s="45" t="str">
        <f t="shared" si="7"/>
        <v>OneCo Networks AS</v>
      </c>
      <c r="N205" s="40" t="str">
        <f ca="1">IFERROR(
VLOOKUP(BoM_Solar[[#This Row],[Product code]],
IF(AND((BoQ!$N$3&lt;&gt;""),OR(BoM_Solar[[#This Row],[Vendor]]="Griptel",BoM_Solar[[#This Row],[Vendor]]="Solar")),INDIRECT(Aux!$A$1)),4,FALSE),"")</f>
        <v/>
      </c>
      <c r="O205" s="169" t="s">
        <v>1807</v>
      </c>
      <c r="P205" s="41" t="str">
        <f>IFERROR(IF(AND(BoM_Solar[[#This Row],[Quantity]]&lt;&gt;"",BoM_Solar[[#This Row],[Currency]]="NOK"),BoM_Solar[[#This Row],[Quantity]]*BoM_Solar[[#This Row],[Unit Price]],""),"")</f>
        <v/>
      </c>
      <c r="Q205" s="41" t="str">
        <f>IFERROR(IF(AND(BoM_Solar[[#This Row],[ACT_Qty]]&lt;&gt;"",BoM_Solar[[#This Row],[Currency]]="NOK"),BoM_Solar[[#This Row],[ACT_Qty]]*BoM_Solar[[#This Row],[Unit Price]],""),"")</f>
        <v/>
      </c>
      <c r="R205" s="41" t="str">
        <f>IFERROR(IF(AND(BoM_Solar[[#This Row],[Quantity]]&lt;&gt;"",BoM_Solar[[#This Row],[Currency]]="EUR"),BoM_Solar[[#This Row],[Quantity]]*BoM_Solar[[#This Row],[Unit Price]],""),"")</f>
        <v/>
      </c>
      <c r="S205" s="41" t="str">
        <f>IFERROR(IF(AND(BoM_Solar[[#This Row],[ACT_Qty]]&lt;&gt;"",BoM_Solar[[#This Row],[Currency]]="EUR"),BoM_Solar[[#This Row],[ACT_Qty]]*BoM_Solar[[#This Row],[Unit Price]],""),"")</f>
        <v/>
      </c>
      <c r="T205" s="185"/>
      <c r="U205" s="45"/>
      <c r="V205" s="45"/>
      <c r="W205" s="45"/>
    </row>
    <row r="206" spans="1:23">
      <c r="A206" s="146" t="str">
        <f t="shared" si="5"/>
        <v>AKH12345</v>
      </c>
      <c r="B206">
        <v>1048386</v>
      </c>
      <c r="C206" t="s">
        <v>3524</v>
      </c>
      <c r="D206" s="105"/>
      <c r="E206" s="106"/>
      <c r="F206" s="105"/>
      <c r="G206" s="106"/>
      <c r="H206" s="175"/>
      <c r="I206" s="176"/>
      <c r="J206" s="176"/>
      <c r="K206" s="176"/>
      <c r="L206" s="145" t="s">
        <v>3326</v>
      </c>
      <c r="M206" s="45" t="str">
        <f t="shared" si="7"/>
        <v>OneCo Networks AS</v>
      </c>
      <c r="N206" s="40" t="str">
        <f ca="1">IFERROR(
VLOOKUP(BoM_Solar[[#This Row],[Product code]],
IF(AND((BoQ!$N$3&lt;&gt;""),OR(BoM_Solar[[#This Row],[Vendor]]="Griptel",BoM_Solar[[#This Row],[Vendor]]="Solar")),INDIRECT(Aux!$A$1)),4,FALSE),"")</f>
        <v/>
      </c>
      <c r="O206" s="169" t="s">
        <v>1807</v>
      </c>
      <c r="P206" s="41" t="str">
        <f>IFERROR(IF(AND(BoM_Solar[[#This Row],[Quantity]]&lt;&gt;"",BoM_Solar[[#This Row],[Currency]]="NOK"),BoM_Solar[[#This Row],[Quantity]]*BoM_Solar[[#This Row],[Unit Price]],""),"")</f>
        <v/>
      </c>
      <c r="Q206" s="41" t="str">
        <f>IFERROR(IF(AND(BoM_Solar[[#This Row],[ACT_Qty]]&lt;&gt;"",BoM_Solar[[#This Row],[Currency]]="NOK"),BoM_Solar[[#This Row],[ACT_Qty]]*BoM_Solar[[#This Row],[Unit Price]],""),"")</f>
        <v/>
      </c>
      <c r="R206" s="41" t="str">
        <f>IFERROR(IF(AND(BoM_Solar[[#This Row],[Quantity]]&lt;&gt;"",BoM_Solar[[#This Row],[Currency]]="EUR"),BoM_Solar[[#This Row],[Quantity]]*BoM_Solar[[#This Row],[Unit Price]],""),"")</f>
        <v/>
      </c>
      <c r="S206" s="41" t="str">
        <f>IFERROR(IF(AND(BoM_Solar[[#This Row],[ACT_Qty]]&lt;&gt;"",BoM_Solar[[#This Row],[Currency]]="EUR"),BoM_Solar[[#This Row],[ACT_Qty]]*BoM_Solar[[#This Row],[Unit Price]],""),"")</f>
        <v/>
      </c>
      <c r="T206" s="185"/>
      <c r="U206" s="45"/>
      <c r="V206" s="45"/>
      <c r="W206" s="45"/>
    </row>
    <row r="207" spans="1:23">
      <c r="A207" s="146" t="str">
        <f t="shared" si="5"/>
        <v>AKH12345</v>
      </c>
      <c r="B207">
        <v>1676055</v>
      </c>
      <c r="C207" t="s">
        <v>3525</v>
      </c>
      <c r="D207" s="105"/>
      <c r="E207" s="106"/>
      <c r="F207" s="105"/>
      <c r="G207" s="106"/>
      <c r="H207" s="175"/>
      <c r="I207" s="176"/>
      <c r="J207" s="176"/>
      <c r="K207" s="176"/>
      <c r="L207" s="145" t="s">
        <v>3326</v>
      </c>
      <c r="M207" s="45" t="str">
        <f t="shared" si="7"/>
        <v>OneCo Networks AS</v>
      </c>
      <c r="N207" s="40" t="str">
        <f ca="1">IFERROR(
VLOOKUP(BoM_Solar[[#This Row],[Product code]],
IF(AND((BoQ!$N$3&lt;&gt;""),OR(BoM_Solar[[#This Row],[Vendor]]="Griptel",BoM_Solar[[#This Row],[Vendor]]="Solar")),INDIRECT(Aux!$A$1)),4,FALSE),"")</f>
        <v/>
      </c>
      <c r="O207" s="169" t="s">
        <v>1807</v>
      </c>
      <c r="P207" s="41" t="str">
        <f>IFERROR(IF(AND(BoM_Solar[[#This Row],[Quantity]]&lt;&gt;"",BoM_Solar[[#This Row],[Currency]]="NOK"),BoM_Solar[[#This Row],[Quantity]]*BoM_Solar[[#This Row],[Unit Price]],""),"")</f>
        <v/>
      </c>
      <c r="Q207" s="41" t="str">
        <f>IFERROR(IF(AND(BoM_Solar[[#This Row],[ACT_Qty]]&lt;&gt;"",BoM_Solar[[#This Row],[Currency]]="NOK"),BoM_Solar[[#This Row],[ACT_Qty]]*BoM_Solar[[#This Row],[Unit Price]],""),"")</f>
        <v/>
      </c>
      <c r="R207" s="41" t="str">
        <f>IFERROR(IF(AND(BoM_Solar[[#This Row],[Quantity]]&lt;&gt;"",BoM_Solar[[#This Row],[Currency]]="EUR"),BoM_Solar[[#This Row],[Quantity]]*BoM_Solar[[#This Row],[Unit Price]],""),"")</f>
        <v/>
      </c>
      <c r="S207" s="41" t="str">
        <f>IFERROR(IF(AND(BoM_Solar[[#This Row],[ACT_Qty]]&lt;&gt;"",BoM_Solar[[#This Row],[Currency]]="EUR"),BoM_Solar[[#This Row],[ACT_Qty]]*BoM_Solar[[#This Row],[Unit Price]],""),"")</f>
        <v/>
      </c>
      <c r="T207" s="185"/>
      <c r="U207" s="45"/>
      <c r="V207" s="45"/>
      <c r="W207" s="45"/>
    </row>
    <row r="208" spans="1:23">
      <c r="A208" s="146" t="str">
        <f t="shared" si="5"/>
        <v>AKH12345</v>
      </c>
      <c r="B208">
        <v>1642483</v>
      </c>
      <c r="C208" t="s">
        <v>3526</v>
      </c>
      <c r="D208" s="105"/>
      <c r="E208" s="106"/>
      <c r="F208" s="105"/>
      <c r="G208" s="106"/>
      <c r="H208" s="175"/>
      <c r="I208" s="176"/>
      <c r="J208" s="176"/>
      <c r="K208" s="176"/>
      <c r="L208" s="145" t="s">
        <v>3326</v>
      </c>
      <c r="M208" s="45" t="str">
        <f t="shared" si="7"/>
        <v>OneCo Networks AS</v>
      </c>
      <c r="N208" s="40" t="str">
        <f ca="1">IFERROR(
VLOOKUP(BoM_Solar[[#This Row],[Product code]],
IF(AND((BoQ!$N$3&lt;&gt;""),OR(BoM_Solar[[#This Row],[Vendor]]="Griptel",BoM_Solar[[#This Row],[Vendor]]="Solar")),INDIRECT(Aux!$A$1)),4,FALSE),"")</f>
        <v/>
      </c>
      <c r="O208" s="169" t="s">
        <v>1807</v>
      </c>
      <c r="P208" s="41" t="str">
        <f>IFERROR(IF(AND(BoM_Solar[[#This Row],[Quantity]]&lt;&gt;"",BoM_Solar[[#This Row],[Currency]]="NOK"),BoM_Solar[[#This Row],[Quantity]]*BoM_Solar[[#This Row],[Unit Price]],""),"")</f>
        <v/>
      </c>
      <c r="Q208" s="41" t="str">
        <f>IFERROR(IF(AND(BoM_Solar[[#This Row],[ACT_Qty]]&lt;&gt;"",BoM_Solar[[#This Row],[Currency]]="NOK"),BoM_Solar[[#This Row],[ACT_Qty]]*BoM_Solar[[#This Row],[Unit Price]],""),"")</f>
        <v/>
      </c>
      <c r="R208" s="41" t="str">
        <f>IFERROR(IF(AND(BoM_Solar[[#This Row],[Quantity]]&lt;&gt;"",BoM_Solar[[#This Row],[Currency]]="EUR"),BoM_Solar[[#This Row],[Quantity]]*BoM_Solar[[#This Row],[Unit Price]],""),"")</f>
        <v/>
      </c>
      <c r="S208" s="41" t="str">
        <f>IFERROR(IF(AND(BoM_Solar[[#This Row],[ACT_Qty]]&lt;&gt;"",BoM_Solar[[#This Row],[Currency]]="EUR"),BoM_Solar[[#This Row],[ACT_Qty]]*BoM_Solar[[#This Row],[Unit Price]],""),"")</f>
        <v/>
      </c>
      <c r="T208" s="185"/>
      <c r="U208" s="45"/>
      <c r="V208" s="45"/>
      <c r="W208" s="45"/>
    </row>
    <row r="209" spans="1:23">
      <c r="A209" s="146" t="str">
        <f t="shared" si="5"/>
        <v>AKH12345</v>
      </c>
      <c r="B209">
        <v>1641068</v>
      </c>
      <c r="C209" t="s">
        <v>3527</v>
      </c>
      <c r="D209" s="105"/>
      <c r="E209" s="106"/>
      <c r="F209" s="105"/>
      <c r="G209" s="106"/>
      <c r="H209" s="175"/>
      <c r="I209" s="176"/>
      <c r="J209" s="176"/>
      <c r="K209" s="176"/>
      <c r="L209" s="145" t="s">
        <v>3326</v>
      </c>
      <c r="M209" s="45" t="str">
        <f t="shared" si="7"/>
        <v>OneCo Networks AS</v>
      </c>
      <c r="N209" s="40" t="str">
        <f ca="1">IFERROR(
VLOOKUP(BoM_Solar[[#This Row],[Product code]],
IF(AND((BoQ!$N$3&lt;&gt;""),OR(BoM_Solar[[#This Row],[Vendor]]="Griptel",BoM_Solar[[#This Row],[Vendor]]="Solar")),INDIRECT(Aux!$A$1)),4,FALSE),"")</f>
        <v/>
      </c>
      <c r="O209" s="169" t="s">
        <v>1807</v>
      </c>
      <c r="P209" s="41" t="str">
        <f>IFERROR(IF(AND(BoM_Solar[[#This Row],[Quantity]]&lt;&gt;"",BoM_Solar[[#This Row],[Currency]]="NOK"),BoM_Solar[[#This Row],[Quantity]]*BoM_Solar[[#This Row],[Unit Price]],""),"")</f>
        <v/>
      </c>
      <c r="Q209" s="41" t="str">
        <f>IFERROR(IF(AND(BoM_Solar[[#This Row],[ACT_Qty]]&lt;&gt;"",BoM_Solar[[#This Row],[Currency]]="NOK"),BoM_Solar[[#This Row],[ACT_Qty]]*BoM_Solar[[#This Row],[Unit Price]],""),"")</f>
        <v/>
      </c>
      <c r="R209" s="41" t="str">
        <f>IFERROR(IF(AND(BoM_Solar[[#This Row],[Quantity]]&lt;&gt;"",BoM_Solar[[#This Row],[Currency]]="EUR"),BoM_Solar[[#This Row],[Quantity]]*BoM_Solar[[#This Row],[Unit Price]],""),"")</f>
        <v/>
      </c>
      <c r="S209" s="41" t="str">
        <f>IFERROR(IF(AND(BoM_Solar[[#This Row],[ACT_Qty]]&lt;&gt;"",BoM_Solar[[#This Row],[Currency]]="EUR"),BoM_Solar[[#This Row],[ACT_Qty]]*BoM_Solar[[#This Row],[Unit Price]],""),"")</f>
        <v/>
      </c>
      <c r="T209" s="185"/>
      <c r="U209" s="45"/>
      <c r="V209" s="45"/>
      <c r="W209" s="45"/>
    </row>
    <row r="210" spans="1:23">
      <c r="A210" s="146" t="str">
        <f t="shared" si="5"/>
        <v>AKH12345</v>
      </c>
      <c r="B210">
        <v>1040435</v>
      </c>
      <c r="C210" t="s">
        <v>3528</v>
      </c>
      <c r="D210" s="105"/>
      <c r="E210" s="106"/>
      <c r="F210" s="105"/>
      <c r="G210" s="106"/>
      <c r="H210" s="175"/>
      <c r="I210" s="176"/>
      <c r="J210" s="176"/>
      <c r="K210" s="176"/>
      <c r="L210" s="145" t="s">
        <v>3326</v>
      </c>
      <c r="M210" s="45" t="str">
        <f t="shared" si="7"/>
        <v>OneCo Networks AS</v>
      </c>
      <c r="N210" s="40" t="str">
        <f ca="1">IFERROR(
VLOOKUP(BoM_Solar[[#This Row],[Product code]],
IF(AND((BoQ!$N$3&lt;&gt;""),OR(BoM_Solar[[#This Row],[Vendor]]="Griptel",BoM_Solar[[#This Row],[Vendor]]="Solar")),INDIRECT(Aux!$A$1)),4,FALSE),"")</f>
        <v/>
      </c>
      <c r="O210" s="169" t="s">
        <v>1807</v>
      </c>
      <c r="P210" s="41" t="str">
        <f>IFERROR(IF(AND(BoM_Solar[[#This Row],[Quantity]]&lt;&gt;"",BoM_Solar[[#This Row],[Currency]]="NOK"),BoM_Solar[[#This Row],[Quantity]]*BoM_Solar[[#This Row],[Unit Price]],""),"")</f>
        <v/>
      </c>
      <c r="Q210" s="41" t="str">
        <f>IFERROR(IF(AND(BoM_Solar[[#This Row],[ACT_Qty]]&lt;&gt;"",BoM_Solar[[#This Row],[Currency]]="NOK"),BoM_Solar[[#This Row],[ACT_Qty]]*BoM_Solar[[#This Row],[Unit Price]],""),"")</f>
        <v/>
      </c>
      <c r="R210" s="41" t="str">
        <f>IFERROR(IF(AND(BoM_Solar[[#This Row],[Quantity]]&lt;&gt;"",BoM_Solar[[#This Row],[Currency]]="EUR"),BoM_Solar[[#This Row],[Quantity]]*BoM_Solar[[#This Row],[Unit Price]],""),"")</f>
        <v/>
      </c>
      <c r="S210" s="41" t="str">
        <f>IFERROR(IF(AND(BoM_Solar[[#This Row],[ACT_Qty]]&lt;&gt;"",BoM_Solar[[#This Row],[Currency]]="EUR"),BoM_Solar[[#This Row],[ACT_Qty]]*BoM_Solar[[#This Row],[Unit Price]],""),"")</f>
        <v/>
      </c>
      <c r="T210" s="185"/>
      <c r="U210" s="45"/>
      <c r="V210" s="45"/>
      <c r="W210" s="45"/>
    </row>
    <row r="211" spans="1:23">
      <c r="A211" s="146" t="str">
        <f t="shared" si="5"/>
        <v>AKH12345</v>
      </c>
      <c r="B211">
        <v>1251600</v>
      </c>
      <c r="C211" t="s">
        <v>3529</v>
      </c>
      <c r="D211" s="105"/>
      <c r="E211" s="106"/>
      <c r="F211" s="105"/>
      <c r="G211" s="106"/>
      <c r="H211" s="175"/>
      <c r="I211" s="176"/>
      <c r="J211" s="176"/>
      <c r="K211" s="176"/>
      <c r="L211" s="145" t="s">
        <v>3326</v>
      </c>
      <c r="M211" s="45" t="str">
        <f t="shared" si="7"/>
        <v>OneCo Networks AS</v>
      </c>
      <c r="N211" s="40" t="str">
        <f ca="1">IFERROR(
VLOOKUP(BoM_Solar[[#This Row],[Product code]],
IF(AND((BoQ!$N$3&lt;&gt;""),OR(BoM_Solar[[#This Row],[Vendor]]="Griptel",BoM_Solar[[#This Row],[Vendor]]="Solar")),INDIRECT(Aux!$A$1)),4,FALSE),"")</f>
        <v/>
      </c>
      <c r="O211" s="169" t="s">
        <v>1807</v>
      </c>
      <c r="P211" s="41" t="str">
        <f>IFERROR(IF(AND(BoM_Solar[[#This Row],[Quantity]]&lt;&gt;"",BoM_Solar[[#This Row],[Currency]]="NOK"),BoM_Solar[[#This Row],[Quantity]]*BoM_Solar[[#This Row],[Unit Price]],""),"")</f>
        <v/>
      </c>
      <c r="Q211" s="41" t="str">
        <f>IFERROR(IF(AND(BoM_Solar[[#This Row],[ACT_Qty]]&lt;&gt;"",BoM_Solar[[#This Row],[Currency]]="NOK"),BoM_Solar[[#This Row],[ACT_Qty]]*BoM_Solar[[#This Row],[Unit Price]],""),"")</f>
        <v/>
      </c>
      <c r="R211" s="41" t="str">
        <f>IFERROR(IF(AND(BoM_Solar[[#This Row],[Quantity]]&lt;&gt;"",BoM_Solar[[#This Row],[Currency]]="EUR"),BoM_Solar[[#This Row],[Quantity]]*BoM_Solar[[#This Row],[Unit Price]],""),"")</f>
        <v/>
      </c>
      <c r="S211" s="41" t="str">
        <f>IFERROR(IF(AND(BoM_Solar[[#This Row],[ACT_Qty]]&lt;&gt;"",BoM_Solar[[#This Row],[Currency]]="EUR"),BoM_Solar[[#This Row],[ACT_Qty]]*BoM_Solar[[#This Row],[Unit Price]],""),"")</f>
        <v/>
      </c>
      <c r="T211" s="185"/>
      <c r="U211" s="45"/>
      <c r="V211" s="45"/>
      <c r="W211" s="45"/>
    </row>
    <row r="212" spans="1:23">
      <c r="A212" s="146" t="str">
        <f t="shared" si="5"/>
        <v>AKH12345</v>
      </c>
      <c r="B212">
        <v>6970747</v>
      </c>
      <c r="C212" t="s">
        <v>3530</v>
      </c>
      <c r="D212" s="105"/>
      <c r="E212" s="106"/>
      <c r="F212" s="105"/>
      <c r="G212" s="106"/>
      <c r="H212" s="175"/>
      <c r="I212" s="176"/>
      <c r="J212" s="176"/>
      <c r="K212" s="176"/>
      <c r="L212" s="145" t="s">
        <v>3326</v>
      </c>
      <c r="M212" s="45" t="str">
        <f t="shared" si="7"/>
        <v>OneCo Networks AS</v>
      </c>
      <c r="N212" s="40" t="str">
        <f ca="1">IFERROR(
VLOOKUP(BoM_Solar[[#This Row],[Product code]],
IF(AND((BoQ!$N$3&lt;&gt;""),OR(BoM_Solar[[#This Row],[Vendor]]="Griptel",BoM_Solar[[#This Row],[Vendor]]="Solar")),INDIRECT(Aux!$A$1)),4,FALSE),"")</f>
        <v/>
      </c>
      <c r="O212" s="169" t="s">
        <v>1807</v>
      </c>
      <c r="P212" s="41" t="str">
        <f>IFERROR(IF(AND(BoM_Solar[[#This Row],[Quantity]]&lt;&gt;"",BoM_Solar[[#This Row],[Currency]]="NOK"),BoM_Solar[[#This Row],[Quantity]]*BoM_Solar[[#This Row],[Unit Price]],""),"")</f>
        <v/>
      </c>
      <c r="Q212" s="41" t="str">
        <f>IFERROR(IF(AND(BoM_Solar[[#This Row],[ACT_Qty]]&lt;&gt;"",BoM_Solar[[#This Row],[Currency]]="NOK"),BoM_Solar[[#This Row],[ACT_Qty]]*BoM_Solar[[#This Row],[Unit Price]],""),"")</f>
        <v/>
      </c>
      <c r="R212" s="41" t="str">
        <f>IFERROR(IF(AND(BoM_Solar[[#This Row],[Quantity]]&lt;&gt;"",BoM_Solar[[#This Row],[Currency]]="EUR"),BoM_Solar[[#This Row],[Quantity]]*BoM_Solar[[#This Row],[Unit Price]],""),"")</f>
        <v/>
      </c>
      <c r="S212" s="41" t="str">
        <f>IFERROR(IF(AND(BoM_Solar[[#This Row],[ACT_Qty]]&lt;&gt;"",BoM_Solar[[#This Row],[Currency]]="EUR"),BoM_Solar[[#This Row],[ACT_Qty]]*BoM_Solar[[#This Row],[Unit Price]],""),"")</f>
        <v/>
      </c>
      <c r="T212" s="185"/>
      <c r="U212" s="45"/>
      <c r="V212" s="45"/>
      <c r="W212" s="45"/>
    </row>
    <row r="213" spans="1:23">
      <c r="A213" s="146" t="str">
        <f t="shared" si="5"/>
        <v>AKH12345</v>
      </c>
      <c r="B213">
        <v>6900162</v>
      </c>
      <c r="C213" t="s">
        <v>3531</v>
      </c>
      <c r="D213" s="105"/>
      <c r="E213" s="106"/>
      <c r="F213" s="105"/>
      <c r="G213" s="106"/>
      <c r="H213" s="175"/>
      <c r="I213" s="176"/>
      <c r="J213" s="176"/>
      <c r="K213" s="176"/>
      <c r="L213" s="145" t="s">
        <v>3326</v>
      </c>
      <c r="M213" s="45" t="str">
        <f t="shared" si="7"/>
        <v>OneCo Networks AS</v>
      </c>
      <c r="N213" s="40" t="str">
        <f ca="1">IFERROR(
VLOOKUP(BoM_Solar[[#This Row],[Product code]],
IF(AND((BoQ!$N$3&lt;&gt;""),OR(BoM_Solar[[#This Row],[Vendor]]="Griptel",BoM_Solar[[#This Row],[Vendor]]="Solar")),INDIRECT(Aux!$A$1)),4,FALSE),"")</f>
        <v/>
      </c>
      <c r="O213" s="169" t="s">
        <v>1807</v>
      </c>
      <c r="P213" s="41" t="str">
        <f>IFERROR(IF(AND(BoM_Solar[[#This Row],[Quantity]]&lt;&gt;"",BoM_Solar[[#This Row],[Currency]]="NOK"),BoM_Solar[[#This Row],[Quantity]]*BoM_Solar[[#This Row],[Unit Price]],""),"")</f>
        <v/>
      </c>
      <c r="Q213" s="41" t="str">
        <f>IFERROR(IF(AND(BoM_Solar[[#This Row],[ACT_Qty]]&lt;&gt;"",BoM_Solar[[#This Row],[Currency]]="NOK"),BoM_Solar[[#This Row],[ACT_Qty]]*BoM_Solar[[#This Row],[Unit Price]],""),"")</f>
        <v/>
      </c>
      <c r="R213" s="41" t="str">
        <f>IFERROR(IF(AND(BoM_Solar[[#This Row],[Quantity]]&lt;&gt;"",BoM_Solar[[#This Row],[Currency]]="EUR"),BoM_Solar[[#This Row],[Quantity]]*BoM_Solar[[#This Row],[Unit Price]],""),"")</f>
        <v/>
      </c>
      <c r="S213" s="41" t="str">
        <f>IFERROR(IF(AND(BoM_Solar[[#This Row],[ACT_Qty]]&lt;&gt;"",BoM_Solar[[#This Row],[Currency]]="EUR"),BoM_Solar[[#This Row],[ACT_Qty]]*BoM_Solar[[#This Row],[Unit Price]],""),"")</f>
        <v/>
      </c>
      <c r="T213" s="185"/>
      <c r="U213" s="45"/>
      <c r="V213" s="45"/>
      <c r="W213" s="45"/>
    </row>
    <row r="214" spans="1:23">
      <c r="A214" s="146" t="str">
        <f t="shared" si="5"/>
        <v>AKH12345</v>
      </c>
      <c r="B214">
        <v>1654597</v>
      </c>
      <c r="C214" t="s">
        <v>3532</v>
      </c>
      <c r="D214" s="105"/>
      <c r="E214" s="106"/>
      <c r="F214" s="105"/>
      <c r="G214" s="106"/>
      <c r="H214" s="175"/>
      <c r="I214" s="176"/>
      <c r="J214" s="176"/>
      <c r="K214" s="176"/>
      <c r="L214" s="145" t="s">
        <v>3326</v>
      </c>
      <c r="M214" s="45" t="str">
        <f t="shared" si="7"/>
        <v>OneCo Networks AS</v>
      </c>
      <c r="N214" s="40" t="str">
        <f ca="1">IFERROR(
VLOOKUP(BoM_Solar[[#This Row],[Product code]],
IF(AND((BoQ!$N$3&lt;&gt;""),OR(BoM_Solar[[#This Row],[Vendor]]="Griptel",BoM_Solar[[#This Row],[Vendor]]="Solar")),INDIRECT(Aux!$A$1)),4,FALSE),"")</f>
        <v/>
      </c>
      <c r="O214" s="169" t="s">
        <v>1807</v>
      </c>
      <c r="P214" s="41" t="str">
        <f>IFERROR(IF(AND(BoM_Solar[[#This Row],[Quantity]]&lt;&gt;"",BoM_Solar[[#This Row],[Currency]]="NOK"),BoM_Solar[[#This Row],[Quantity]]*BoM_Solar[[#This Row],[Unit Price]],""),"")</f>
        <v/>
      </c>
      <c r="Q214" s="41" t="str">
        <f>IFERROR(IF(AND(BoM_Solar[[#This Row],[ACT_Qty]]&lt;&gt;"",BoM_Solar[[#This Row],[Currency]]="NOK"),BoM_Solar[[#This Row],[ACT_Qty]]*BoM_Solar[[#This Row],[Unit Price]],""),"")</f>
        <v/>
      </c>
      <c r="R214" s="41" t="str">
        <f>IFERROR(IF(AND(BoM_Solar[[#This Row],[Quantity]]&lt;&gt;"",BoM_Solar[[#This Row],[Currency]]="EUR"),BoM_Solar[[#This Row],[Quantity]]*BoM_Solar[[#This Row],[Unit Price]],""),"")</f>
        <v/>
      </c>
      <c r="S214" s="41" t="str">
        <f>IFERROR(IF(AND(BoM_Solar[[#This Row],[ACT_Qty]]&lt;&gt;"",BoM_Solar[[#This Row],[Currency]]="EUR"),BoM_Solar[[#This Row],[ACT_Qty]]*BoM_Solar[[#This Row],[Unit Price]],""),"")</f>
        <v/>
      </c>
      <c r="T214" s="185"/>
      <c r="U214" s="45"/>
      <c r="V214" s="45"/>
      <c r="W214" s="45"/>
    </row>
    <row r="215" spans="1:23">
      <c r="A215" s="146" t="str">
        <f t="shared" si="5"/>
        <v>AKH12345</v>
      </c>
      <c r="B215">
        <v>1302255</v>
      </c>
      <c r="C215" t="s">
        <v>3533</v>
      </c>
      <c r="D215" s="105"/>
      <c r="E215" s="106"/>
      <c r="F215" s="105"/>
      <c r="G215" s="106"/>
      <c r="H215" s="175"/>
      <c r="I215" s="176"/>
      <c r="J215" s="176"/>
      <c r="K215" s="176"/>
      <c r="L215" s="145" t="s">
        <v>3326</v>
      </c>
      <c r="M215" s="45" t="str">
        <f t="shared" si="7"/>
        <v>OneCo Networks AS</v>
      </c>
      <c r="N215" s="40" t="str">
        <f ca="1">IFERROR(
VLOOKUP(BoM_Solar[[#This Row],[Product code]],
IF(AND((BoQ!$N$3&lt;&gt;""),OR(BoM_Solar[[#This Row],[Vendor]]="Griptel",BoM_Solar[[#This Row],[Vendor]]="Solar")),INDIRECT(Aux!$A$1)),4,FALSE),"")</f>
        <v/>
      </c>
      <c r="O215" s="169" t="s">
        <v>1807</v>
      </c>
      <c r="P215" s="41" t="str">
        <f>IFERROR(IF(AND(BoM_Solar[[#This Row],[Quantity]]&lt;&gt;"",BoM_Solar[[#This Row],[Currency]]="NOK"),BoM_Solar[[#This Row],[Quantity]]*BoM_Solar[[#This Row],[Unit Price]],""),"")</f>
        <v/>
      </c>
      <c r="Q215" s="41" t="str">
        <f>IFERROR(IF(AND(BoM_Solar[[#This Row],[ACT_Qty]]&lt;&gt;"",BoM_Solar[[#This Row],[Currency]]="NOK"),BoM_Solar[[#This Row],[ACT_Qty]]*BoM_Solar[[#This Row],[Unit Price]],""),"")</f>
        <v/>
      </c>
      <c r="R215" s="41" t="str">
        <f>IFERROR(IF(AND(BoM_Solar[[#This Row],[Quantity]]&lt;&gt;"",BoM_Solar[[#This Row],[Currency]]="EUR"),BoM_Solar[[#This Row],[Quantity]]*BoM_Solar[[#This Row],[Unit Price]],""),"")</f>
        <v/>
      </c>
      <c r="S215" s="41" t="str">
        <f>IFERROR(IF(AND(BoM_Solar[[#This Row],[ACT_Qty]]&lt;&gt;"",BoM_Solar[[#This Row],[Currency]]="EUR"),BoM_Solar[[#This Row],[ACT_Qty]]*BoM_Solar[[#This Row],[Unit Price]],""),"")</f>
        <v/>
      </c>
      <c r="T215" s="185"/>
      <c r="U215" s="45"/>
      <c r="V215" s="45"/>
      <c r="W215" s="45"/>
    </row>
    <row r="216" spans="1:23">
      <c r="A216" s="146" t="str">
        <f t="shared" si="5"/>
        <v>AKH12345</v>
      </c>
      <c r="B216">
        <v>1106183</v>
      </c>
      <c r="C216" t="s">
        <v>3534</v>
      </c>
      <c r="D216" s="105"/>
      <c r="E216" s="106"/>
      <c r="F216" s="105"/>
      <c r="G216" s="106"/>
      <c r="H216" s="175"/>
      <c r="I216" s="176"/>
      <c r="J216" s="176"/>
      <c r="K216" s="176"/>
      <c r="L216" s="145" t="s">
        <v>3326</v>
      </c>
      <c r="M216" s="45" t="str">
        <f t="shared" si="7"/>
        <v>OneCo Networks AS</v>
      </c>
      <c r="N216" s="40" t="str">
        <f ca="1">IFERROR(
VLOOKUP(BoM_Solar[[#This Row],[Product code]],
IF(AND((BoQ!$N$3&lt;&gt;""),OR(BoM_Solar[[#This Row],[Vendor]]="Griptel",BoM_Solar[[#This Row],[Vendor]]="Solar")),INDIRECT(Aux!$A$1)),4,FALSE),"")</f>
        <v/>
      </c>
      <c r="O216" s="169" t="s">
        <v>1807</v>
      </c>
      <c r="P216" s="41" t="str">
        <f>IFERROR(IF(AND(BoM_Solar[[#This Row],[Quantity]]&lt;&gt;"",BoM_Solar[[#This Row],[Currency]]="NOK"),BoM_Solar[[#This Row],[Quantity]]*BoM_Solar[[#This Row],[Unit Price]],""),"")</f>
        <v/>
      </c>
      <c r="Q216" s="41" t="str">
        <f>IFERROR(IF(AND(BoM_Solar[[#This Row],[ACT_Qty]]&lt;&gt;"",BoM_Solar[[#This Row],[Currency]]="NOK"),BoM_Solar[[#This Row],[ACT_Qty]]*BoM_Solar[[#This Row],[Unit Price]],""),"")</f>
        <v/>
      </c>
      <c r="R216" s="41" t="str">
        <f>IFERROR(IF(AND(BoM_Solar[[#This Row],[Quantity]]&lt;&gt;"",BoM_Solar[[#This Row],[Currency]]="EUR"),BoM_Solar[[#This Row],[Quantity]]*BoM_Solar[[#This Row],[Unit Price]],""),"")</f>
        <v/>
      </c>
      <c r="S216" s="41" t="str">
        <f>IFERROR(IF(AND(BoM_Solar[[#This Row],[ACT_Qty]]&lt;&gt;"",BoM_Solar[[#This Row],[Currency]]="EUR"),BoM_Solar[[#This Row],[ACT_Qty]]*BoM_Solar[[#This Row],[Unit Price]],""),"")</f>
        <v/>
      </c>
      <c r="T216" s="185"/>
      <c r="U216" s="45"/>
      <c r="V216" s="45"/>
      <c r="W216" s="45"/>
    </row>
    <row r="217" spans="1:23">
      <c r="A217" s="146" t="str">
        <f t="shared" si="5"/>
        <v>AKH12345</v>
      </c>
      <c r="B217">
        <v>1654959</v>
      </c>
      <c r="C217" t="s">
        <v>3535</v>
      </c>
      <c r="D217" s="105"/>
      <c r="E217" s="106"/>
      <c r="F217" s="105"/>
      <c r="G217" s="106"/>
      <c r="H217" s="175"/>
      <c r="I217" s="176"/>
      <c r="J217" s="176"/>
      <c r="K217" s="176"/>
      <c r="L217" s="145" t="s">
        <v>3326</v>
      </c>
      <c r="M217" s="45" t="str">
        <f t="shared" si="7"/>
        <v>OneCo Networks AS</v>
      </c>
      <c r="N217" s="40" t="str">
        <f ca="1">IFERROR(
VLOOKUP(BoM_Solar[[#This Row],[Product code]],
IF(AND((BoQ!$N$3&lt;&gt;""),OR(BoM_Solar[[#This Row],[Vendor]]="Griptel",BoM_Solar[[#This Row],[Vendor]]="Solar")),INDIRECT(Aux!$A$1)),4,FALSE),"")</f>
        <v/>
      </c>
      <c r="O217" s="169" t="s">
        <v>1807</v>
      </c>
      <c r="P217" s="41" t="str">
        <f>IFERROR(IF(AND(BoM_Solar[[#This Row],[Quantity]]&lt;&gt;"",BoM_Solar[[#This Row],[Currency]]="NOK"),BoM_Solar[[#This Row],[Quantity]]*BoM_Solar[[#This Row],[Unit Price]],""),"")</f>
        <v/>
      </c>
      <c r="Q217" s="41" t="str">
        <f>IFERROR(IF(AND(BoM_Solar[[#This Row],[ACT_Qty]]&lt;&gt;"",BoM_Solar[[#This Row],[Currency]]="NOK"),BoM_Solar[[#This Row],[ACT_Qty]]*BoM_Solar[[#This Row],[Unit Price]],""),"")</f>
        <v/>
      </c>
      <c r="R217" s="41" t="str">
        <f>IFERROR(IF(AND(BoM_Solar[[#This Row],[Quantity]]&lt;&gt;"",BoM_Solar[[#This Row],[Currency]]="EUR"),BoM_Solar[[#This Row],[Quantity]]*BoM_Solar[[#This Row],[Unit Price]],""),"")</f>
        <v/>
      </c>
      <c r="S217" s="41" t="str">
        <f>IFERROR(IF(AND(BoM_Solar[[#This Row],[ACT_Qty]]&lt;&gt;"",BoM_Solar[[#This Row],[Currency]]="EUR"),BoM_Solar[[#This Row],[ACT_Qty]]*BoM_Solar[[#This Row],[Unit Price]],""),"")</f>
        <v/>
      </c>
      <c r="T217" s="185"/>
      <c r="U217" s="45"/>
      <c r="V217" s="45"/>
      <c r="W217" s="45"/>
    </row>
    <row r="218" spans="1:23">
      <c r="A218" s="146" t="str">
        <f t="shared" si="5"/>
        <v>AKH12345</v>
      </c>
      <c r="B218">
        <v>2873000</v>
      </c>
      <c r="C218" t="s">
        <v>3536</v>
      </c>
      <c r="D218" s="105"/>
      <c r="E218" s="106"/>
      <c r="F218" s="105"/>
      <c r="G218" s="106"/>
      <c r="H218" s="175"/>
      <c r="I218" s="176"/>
      <c r="J218" s="176"/>
      <c r="K218" s="176"/>
      <c r="L218" s="145" t="s">
        <v>3326</v>
      </c>
      <c r="M218" s="45" t="str">
        <f t="shared" si="7"/>
        <v>OneCo Networks AS</v>
      </c>
      <c r="N218" s="40" t="str">
        <f ca="1">IFERROR(
VLOOKUP(BoM_Solar[[#This Row],[Product code]],
IF(AND((BoQ!$N$3&lt;&gt;""),OR(BoM_Solar[[#This Row],[Vendor]]="Griptel",BoM_Solar[[#This Row],[Vendor]]="Solar")),INDIRECT(Aux!$A$1)),4,FALSE),"")</f>
        <v/>
      </c>
      <c r="O218" s="169" t="s">
        <v>1807</v>
      </c>
      <c r="P218" s="41" t="str">
        <f>IFERROR(IF(AND(BoM_Solar[[#This Row],[Quantity]]&lt;&gt;"",BoM_Solar[[#This Row],[Currency]]="NOK"),BoM_Solar[[#This Row],[Quantity]]*BoM_Solar[[#This Row],[Unit Price]],""),"")</f>
        <v/>
      </c>
      <c r="Q218" s="41" t="str">
        <f>IFERROR(IF(AND(BoM_Solar[[#This Row],[ACT_Qty]]&lt;&gt;"",BoM_Solar[[#This Row],[Currency]]="NOK"),BoM_Solar[[#This Row],[ACT_Qty]]*BoM_Solar[[#This Row],[Unit Price]],""),"")</f>
        <v/>
      </c>
      <c r="R218" s="41" t="str">
        <f>IFERROR(IF(AND(BoM_Solar[[#This Row],[Quantity]]&lt;&gt;"",BoM_Solar[[#This Row],[Currency]]="EUR"),BoM_Solar[[#This Row],[Quantity]]*BoM_Solar[[#This Row],[Unit Price]],""),"")</f>
        <v/>
      </c>
      <c r="S218" s="41" t="str">
        <f>IFERROR(IF(AND(BoM_Solar[[#This Row],[ACT_Qty]]&lt;&gt;"",BoM_Solar[[#This Row],[Currency]]="EUR"),BoM_Solar[[#This Row],[ACT_Qty]]*BoM_Solar[[#This Row],[Unit Price]],""),"")</f>
        <v/>
      </c>
      <c r="T218" s="185"/>
      <c r="U218" s="45"/>
      <c r="V218" s="45"/>
      <c r="W218" s="45"/>
    </row>
    <row r="219" spans="1:23">
      <c r="A219" s="146" t="str">
        <f t="shared" ref="A219:A253" si="8">IF($C$4&lt;&gt;"",$C$4,"")</f>
        <v>AKH12345</v>
      </c>
      <c r="B219">
        <v>2016969</v>
      </c>
      <c r="C219" t="s">
        <v>3537</v>
      </c>
      <c r="D219" s="105"/>
      <c r="E219" s="106"/>
      <c r="F219" s="105"/>
      <c r="G219" s="106"/>
      <c r="H219" s="175"/>
      <c r="I219" s="176"/>
      <c r="J219" s="176"/>
      <c r="K219" s="176"/>
      <c r="L219" s="145" t="s">
        <v>3326</v>
      </c>
      <c r="M219" s="45" t="str">
        <f t="shared" si="7"/>
        <v>OneCo Networks AS</v>
      </c>
      <c r="N219" s="40" t="str">
        <f ca="1">IFERROR(
VLOOKUP(BoM_Solar[[#This Row],[Product code]],
IF(AND((BoQ!$N$3&lt;&gt;""),OR(BoM_Solar[[#This Row],[Vendor]]="Griptel",BoM_Solar[[#This Row],[Vendor]]="Solar")),INDIRECT(Aux!$A$1)),4,FALSE),"")</f>
        <v/>
      </c>
      <c r="O219" s="169" t="s">
        <v>1807</v>
      </c>
      <c r="P219" s="41" t="str">
        <f>IFERROR(IF(AND(BoM_Solar[[#This Row],[Quantity]]&lt;&gt;"",BoM_Solar[[#This Row],[Currency]]="NOK"),BoM_Solar[[#This Row],[Quantity]]*BoM_Solar[[#This Row],[Unit Price]],""),"")</f>
        <v/>
      </c>
      <c r="Q219" s="41" t="str">
        <f>IFERROR(IF(AND(BoM_Solar[[#This Row],[ACT_Qty]]&lt;&gt;"",BoM_Solar[[#This Row],[Currency]]="NOK"),BoM_Solar[[#This Row],[ACT_Qty]]*BoM_Solar[[#This Row],[Unit Price]],""),"")</f>
        <v/>
      </c>
      <c r="R219" s="41" t="str">
        <f>IFERROR(IF(AND(BoM_Solar[[#This Row],[Quantity]]&lt;&gt;"",BoM_Solar[[#This Row],[Currency]]="EUR"),BoM_Solar[[#This Row],[Quantity]]*BoM_Solar[[#This Row],[Unit Price]],""),"")</f>
        <v/>
      </c>
      <c r="S219" s="41" t="str">
        <f>IFERROR(IF(AND(BoM_Solar[[#This Row],[ACT_Qty]]&lt;&gt;"",BoM_Solar[[#This Row],[Currency]]="EUR"),BoM_Solar[[#This Row],[ACT_Qty]]*BoM_Solar[[#This Row],[Unit Price]],""),"")</f>
        <v/>
      </c>
      <c r="T219" s="185"/>
      <c r="U219" s="45"/>
      <c r="V219" s="45"/>
      <c r="W219" s="45"/>
    </row>
    <row r="220" spans="1:23">
      <c r="A220" s="146" t="str">
        <f t="shared" si="8"/>
        <v>AKH12345</v>
      </c>
      <c r="B220">
        <v>2016194</v>
      </c>
      <c r="C220" t="s">
        <v>3538</v>
      </c>
      <c r="D220" s="105"/>
      <c r="E220" s="106"/>
      <c r="F220" s="105"/>
      <c r="G220" s="106"/>
      <c r="H220" s="175"/>
      <c r="I220" s="176"/>
      <c r="J220" s="176"/>
      <c r="K220" s="176"/>
      <c r="L220" s="145" t="s">
        <v>3326</v>
      </c>
      <c r="M220" s="45" t="str">
        <f t="shared" si="7"/>
        <v>OneCo Networks AS</v>
      </c>
      <c r="N220" s="40" t="str">
        <f ca="1">IFERROR(
VLOOKUP(BoM_Solar[[#This Row],[Product code]],
IF(AND((BoQ!$N$3&lt;&gt;""),OR(BoM_Solar[[#This Row],[Vendor]]="Griptel",BoM_Solar[[#This Row],[Vendor]]="Solar")),INDIRECT(Aux!$A$1)),4,FALSE),"")</f>
        <v/>
      </c>
      <c r="O220" s="169" t="s">
        <v>1807</v>
      </c>
      <c r="P220" s="41" t="str">
        <f>IFERROR(IF(AND(BoM_Solar[[#This Row],[Quantity]]&lt;&gt;"",BoM_Solar[[#This Row],[Currency]]="NOK"),BoM_Solar[[#This Row],[Quantity]]*BoM_Solar[[#This Row],[Unit Price]],""),"")</f>
        <v/>
      </c>
      <c r="Q220" s="41" t="str">
        <f>IFERROR(IF(AND(BoM_Solar[[#This Row],[ACT_Qty]]&lt;&gt;"",BoM_Solar[[#This Row],[Currency]]="NOK"),BoM_Solar[[#This Row],[ACT_Qty]]*BoM_Solar[[#This Row],[Unit Price]],""),"")</f>
        <v/>
      </c>
      <c r="R220" s="41" t="str">
        <f>IFERROR(IF(AND(BoM_Solar[[#This Row],[Quantity]]&lt;&gt;"",BoM_Solar[[#This Row],[Currency]]="EUR"),BoM_Solar[[#This Row],[Quantity]]*BoM_Solar[[#This Row],[Unit Price]],""),"")</f>
        <v/>
      </c>
      <c r="S220" s="41" t="str">
        <f>IFERROR(IF(AND(BoM_Solar[[#This Row],[ACT_Qty]]&lt;&gt;"",BoM_Solar[[#This Row],[Currency]]="EUR"),BoM_Solar[[#This Row],[ACT_Qty]]*BoM_Solar[[#This Row],[Unit Price]],""),"")</f>
        <v/>
      </c>
      <c r="T220" s="185"/>
      <c r="U220" s="45"/>
      <c r="V220" s="45"/>
      <c r="W220" s="45"/>
    </row>
    <row r="221" spans="1:23">
      <c r="A221" s="146" t="str">
        <f t="shared" si="8"/>
        <v>AKH12345</v>
      </c>
      <c r="B221">
        <v>1643227</v>
      </c>
      <c r="C221" t="s">
        <v>3539</v>
      </c>
      <c r="D221" s="105"/>
      <c r="E221" s="106"/>
      <c r="F221" s="105"/>
      <c r="G221" s="106"/>
      <c r="H221" s="175"/>
      <c r="I221" s="176"/>
      <c r="J221" s="176"/>
      <c r="K221" s="176"/>
      <c r="L221" s="145" t="s">
        <v>3326</v>
      </c>
      <c r="M221" s="45" t="str">
        <f t="shared" si="7"/>
        <v>OneCo Networks AS</v>
      </c>
      <c r="N221" s="40" t="str">
        <f ca="1">IFERROR(
VLOOKUP(BoM_Solar[[#This Row],[Product code]],
IF(AND((BoQ!$N$3&lt;&gt;""),OR(BoM_Solar[[#This Row],[Vendor]]="Griptel",BoM_Solar[[#This Row],[Vendor]]="Solar")),INDIRECT(Aux!$A$1)),4,FALSE),"")</f>
        <v/>
      </c>
      <c r="O221" s="169" t="s">
        <v>1807</v>
      </c>
      <c r="P221" s="41" t="str">
        <f>IFERROR(IF(AND(BoM_Solar[[#This Row],[Quantity]]&lt;&gt;"",BoM_Solar[[#This Row],[Currency]]="NOK"),BoM_Solar[[#This Row],[Quantity]]*BoM_Solar[[#This Row],[Unit Price]],""),"")</f>
        <v/>
      </c>
      <c r="Q221" s="41" t="str">
        <f>IFERROR(IF(AND(BoM_Solar[[#This Row],[ACT_Qty]]&lt;&gt;"",BoM_Solar[[#This Row],[Currency]]="NOK"),BoM_Solar[[#This Row],[ACT_Qty]]*BoM_Solar[[#This Row],[Unit Price]],""),"")</f>
        <v/>
      </c>
      <c r="R221" s="41" t="str">
        <f>IFERROR(IF(AND(BoM_Solar[[#This Row],[Quantity]]&lt;&gt;"",BoM_Solar[[#This Row],[Currency]]="EUR"),BoM_Solar[[#This Row],[Quantity]]*BoM_Solar[[#This Row],[Unit Price]],""),"")</f>
        <v/>
      </c>
      <c r="S221" s="41" t="str">
        <f>IFERROR(IF(AND(BoM_Solar[[#This Row],[ACT_Qty]]&lt;&gt;"",BoM_Solar[[#This Row],[Currency]]="EUR"),BoM_Solar[[#This Row],[ACT_Qty]]*BoM_Solar[[#This Row],[Unit Price]],""),"")</f>
        <v/>
      </c>
      <c r="T221" s="185"/>
      <c r="U221" s="45"/>
      <c r="V221" s="45"/>
      <c r="W221" s="45"/>
    </row>
    <row r="222" spans="1:23">
      <c r="A222" s="146" t="str">
        <f t="shared" si="8"/>
        <v>AKH12345</v>
      </c>
      <c r="B222">
        <v>1166652</v>
      </c>
      <c r="C222" t="s">
        <v>3540</v>
      </c>
      <c r="D222" s="105"/>
      <c r="E222" s="106"/>
      <c r="F222" s="105"/>
      <c r="G222" s="106"/>
      <c r="H222" s="175"/>
      <c r="I222" s="176"/>
      <c r="J222" s="176"/>
      <c r="K222" s="176"/>
      <c r="L222" s="145" t="s">
        <v>3326</v>
      </c>
      <c r="M222" s="45" t="str">
        <f t="shared" si="7"/>
        <v>OneCo Networks AS</v>
      </c>
      <c r="N222" s="40" t="str">
        <f ca="1">IFERROR(
VLOOKUP(BoM_Solar[[#This Row],[Product code]],
IF(AND((BoQ!$N$3&lt;&gt;""),OR(BoM_Solar[[#This Row],[Vendor]]="Griptel",BoM_Solar[[#This Row],[Vendor]]="Solar")),INDIRECT(Aux!$A$1)),4,FALSE),"")</f>
        <v/>
      </c>
      <c r="O222" s="169" t="s">
        <v>1807</v>
      </c>
      <c r="P222" s="41" t="str">
        <f>IFERROR(IF(AND(BoM_Solar[[#This Row],[Quantity]]&lt;&gt;"",BoM_Solar[[#This Row],[Currency]]="NOK"),BoM_Solar[[#This Row],[Quantity]]*BoM_Solar[[#This Row],[Unit Price]],""),"")</f>
        <v/>
      </c>
      <c r="Q222" s="41" t="str">
        <f>IFERROR(IF(AND(BoM_Solar[[#This Row],[ACT_Qty]]&lt;&gt;"",BoM_Solar[[#This Row],[Currency]]="NOK"),BoM_Solar[[#This Row],[ACT_Qty]]*BoM_Solar[[#This Row],[Unit Price]],""),"")</f>
        <v/>
      </c>
      <c r="R222" s="41" t="str">
        <f>IFERROR(IF(AND(BoM_Solar[[#This Row],[Quantity]]&lt;&gt;"",BoM_Solar[[#This Row],[Currency]]="EUR"),BoM_Solar[[#This Row],[Quantity]]*BoM_Solar[[#This Row],[Unit Price]],""),"")</f>
        <v/>
      </c>
      <c r="S222" s="41" t="str">
        <f>IFERROR(IF(AND(BoM_Solar[[#This Row],[ACT_Qty]]&lt;&gt;"",BoM_Solar[[#This Row],[Currency]]="EUR"),BoM_Solar[[#This Row],[ACT_Qty]]*BoM_Solar[[#This Row],[Unit Price]],""),"")</f>
        <v/>
      </c>
      <c r="T222" s="185"/>
      <c r="U222" s="45"/>
      <c r="V222" s="45"/>
      <c r="W222" s="45"/>
    </row>
    <row r="223" spans="1:23">
      <c r="A223" s="146" t="str">
        <f t="shared" si="8"/>
        <v>AKH12345</v>
      </c>
      <c r="B223">
        <v>6900699</v>
      </c>
      <c r="C223" t="s">
        <v>3541</v>
      </c>
      <c r="D223" s="105"/>
      <c r="E223" s="106"/>
      <c r="F223" s="105"/>
      <c r="G223" s="106"/>
      <c r="H223" s="175"/>
      <c r="I223" s="176"/>
      <c r="J223" s="176"/>
      <c r="K223" s="176"/>
      <c r="L223" s="145" t="s">
        <v>3326</v>
      </c>
      <c r="M223" s="45" t="str">
        <f t="shared" si="7"/>
        <v>OneCo Networks AS</v>
      </c>
      <c r="N223" s="40" t="str">
        <f ca="1">IFERROR(
VLOOKUP(BoM_Solar[[#This Row],[Product code]],
IF(AND((BoQ!$N$3&lt;&gt;""),OR(BoM_Solar[[#This Row],[Vendor]]="Griptel",BoM_Solar[[#This Row],[Vendor]]="Solar")),INDIRECT(Aux!$A$1)),4,FALSE),"")</f>
        <v/>
      </c>
      <c r="O223" s="169" t="s">
        <v>1807</v>
      </c>
      <c r="P223" s="41" t="str">
        <f>IFERROR(IF(AND(BoM_Solar[[#This Row],[Quantity]]&lt;&gt;"",BoM_Solar[[#This Row],[Currency]]="NOK"),BoM_Solar[[#This Row],[Quantity]]*BoM_Solar[[#This Row],[Unit Price]],""),"")</f>
        <v/>
      </c>
      <c r="Q223" s="41" t="str">
        <f>IFERROR(IF(AND(BoM_Solar[[#This Row],[ACT_Qty]]&lt;&gt;"",BoM_Solar[[#This Row],[Currency]]="NOK"),BoM_Solar[[#This Row],[ACT_Qty]]*BoM_Solar[[#This Row],[Unit Price]],""),"")</f>
        <v/>
      </c>
      <c r="R223" s="41" t="str">
        <f>IFERROR(IF(AND(BoM_Solar[[#This Row],[Quantity]]&lt;&gt;"",BoM_Solar[[#This Row],[Currency]]="EUR"),BoM_Solar[[#This Row],[Quantity]]*BoM_Solar[[#This Row],[Unit Price]],""),"")</f>
        <v/>
      </c>
      <c r="S223" s="41" t="str">
        <f>IFERROR(IF(AND(BoM_Solar[[#This Row],[ACT_Qty]]&lt;&gt;"",BoM_Solar[[#This Row],[Currency]]="EUR"),BoM_Solar[[#This Row],[ACT_Qty]]*BoM_Solar[[#This Row],[Unit Price]],""),"")</f>
        <v/>
      </c>
      <c r="T223" s="185"/>
      <c r="U223" s="45"/>
      <c r="V223" s="45"/>
      <c r="W223" s="45"/>
    </row>
    <row r="224" spans="1:23">
      <c r="A224" s="146" t="str">
        <f t="shared" si="8"/>
        <v>AKH12345</v>
      </c>
      <c r="B224">
        <v>1357562</v>
      </c>
      <c r="C224" t="s">
        <v>3542</v>
      </c>
      <c r="D224" s="105"/>
      <c r="E224" s="106"/>
      <c r="F224" s="105"/>
      <c r="G224" s="106"/>
      <c r="H224" s="175"/>
      <c r="I224" s="176"/>
      <c r="J224" s="176"/>
      <c r="K224" s="176"/>
      <c r="L224" s="145" t="s">
        <v>3326</v>
      </c>
      <c r="M224" s="45" t="str">
        <f t="shared" si="7"/>
        <v>OneCo Networks AS</v>
      </c>
      <c r="N224" s="40" t="str">
        <f ca="1">IFERROR(
VLOOKUP(BoM_Solar[[#This Row],[Product code]],
IF(AND((BoQ!$N$3&lt;&gt;""),OR(BoM_Solar[[#This Row],[Vendor]]="Griptel",BoM_Solar[[#This Row],[Vendor]]="Solar")),INDIRECT(Aux!$A$1)),4,FALSE),"")</f>
        <v/>
      </c>
      <c r="O224" s="169" t="s">
        <v>1807</v>
      </c>
      <c r="P224" s="41" t="str">
        <f>IFERROR(IF(AND(BoM_Solar[[#This Row],[Quantity]]&lt;&gt;"",BoM_Solar[[#This Row],[Currency]]="NOK"),BoM_Solar[[#This Row],[Quantity]]*BoM_Solar[[#This Row],[Unit Price]],""),"")</f>
        <v/>
      </c>
      <c r="Q224" s="41" t="str">
        <f>IFERROR(IF(AND(BoM_Solar[[#This Row],[ACT_Qty]]&lt;&gt;"",BoM_Solar[[#This Row],[Currency]]="NOK"),BoM_Solar[[#This Row],[ACT_Qty]]*BoM_Solar[[#This Row],[Unit Price]],""),"")</f>
        <v/>
      </c>
      <c r="R224" s="41" t="str">
        <f>IFERROR(IF(AND(BoM_Solar[[#This Row],[Quantity]]&lt;&gt;"",BoM_Solar[[#This Row],[Currency]]="EUR"),BoM_Solar[[#This Row],[Quantity]]*BoM_Solar[[#This Row],[Unit Price]],""),"")</f>
        <v/>
      </c>
      <c r="S224" s="41" t="str">
        <f>IFERROR(IF(AND(BoM_Solar[[#This Row],[ACT_Qty]]&lt;&gt;"",BoM_Solar[[#This Row],[Currency]]="EUR"),BoM_Solar[[#This Row],[ACT_Qty]]*BoM_Solar[[#This Row],[Unit Price]],""),"")</f>
        <v/>
      </c>
      <c r="T224" s="185"/>
      <c r="U224" s="45"/>
      <c r="V224" s="45"/>
      <c r="W224" s="45"/>
    </row>
    <row r="225" spans="1:23">
      <c r="A225" s="146" t="str">
        <f t="shared" si="8"/>
        <v>AKH12345</v>
      </c>
      <c r="B225">
        <v>1345242</v>
      </c>
      <c r="C225" t="s">
        <v>3543</v>
      </c>
      <c r="D225" s="105"/>
      <c r="E225" s="106"/>
      <c r="F225" s="105"/>
      <c r="G225" s="106"/>
      <c r="H225" s="175"/>
      <c r="I225" s="176"/>
      <c r="J225" s="176"/>
      <c r="K225" s="176"/>
      <c r="L225" s="145" t="s">
        <v>3326</v>
      </c>
      <c r="M225" s="45" t="str">
        <f t="shared" si="7"/>
        <v>OneCo Networks AS</v>
      </c>
      <c r="N225" s="40" t="str">
        <f ca="1">IFERROR(
VLOOKUP(BoM_Solar[[#This Row],[Product code]],
IF(AND((BoQ!$N$3&lt;&gt;""),OR(BoM_Solar[[#This Row],[Vendor]]="Griptel",BoM_Solar[[#This Row],[Vendor]]="Solar")),INDIRECT(Aux!$A$1)),4,FALSE),"")</f>
        <v/>
      </c>
      <c r="O225" s="169" t="s">
        <v>1807</v>
      </c>
      <c r="P225" s="41" t="str">
        <f>IFERROR(IF(AND(BoM_Solar[[#This Row],[Quantity]]&lt;&gt;"",BoM_Solar[[#This Row],[Currency]]="NOK"),BoM_Solar[[#This Row],[Quantity]]*BoM_Solar[[#This Row],[Unit Price]],""),"")</f>
        <v/>
      </c>
      <c r="Q225" s="41" t="str">
        <f>IFERROR(IF(AND(BoM_Solar[[#This Row],[ACT_Qty]]&lt;&gt;"",BoM_Solar[[#This Row],[Currency]]="NOK"),BoM_Solar[[#This Row],[ACT_Qty]]*BoM_Solar[[#This Row],[Unit Price]],""),"")</f>
        <v/>
      </c>
      <c r="R225" s="41" t="str">
        <f>IFERROR(IF(AND(BoM_Solar[[#This Row],[Quantity]]&lt;&gt;"",BoM_Solar[[#This Row],[Currency]]="EUR"),BoM_Solar[[#This Row],[Quantity]]*BoM_Solar[[#This Row],[Unit Price]],""),"")</f>
        <v/>
      </c>
      <c r="S225" s="41" t="str">
        <f>IFERROR(IF(AND(BoM_Solar[[#This Row],[ACT_Qty]]&lt;&gt;"",BoM_Solar[[#This Row],[Currency]]="EUR"),BoM_Solar[[#This Row],[ACT_Qty]]*BoM_Solar[[#This Row],[Unit Price]],""),"")</f>
        <v/>
      </c>
      <c r="T225" s="185"/>
      <c r="U225" s="45"/>
      <c r="V225" s="45"/>
      <c r="W225" s="45"/>
    </row>
    <row r="226" spans="1:23">
      <c r="A226" s="146" t="str">
        <f t="shared" si="8"/>
        <v>AKH12345</v>
      </c>
      <c r="B226">
        <v>1345243</v>
      </c>
      <c r="C226" t="s">
        <v>3544</v>
      </c>
      <c r="D226" s="105"/>
      <c r="E226" s="106"/>
      <c r="F226" s="105"/>
      <c r="G226" s="106"/>
      <c r="H226" s="175"/>
      <c r="I226" s="176"/>
      <c r="J226" s="176"/>
      <c r="K226" s="176"/>
      <c r="L226" s="145" t="s">
        <v>3326</v>
      </c>
      <c r="M226" s="45" t="str">
        <f t="shared" si="7"/>
        <v>OneCo Networks AS</v>
      </c>
      <c r="N226" s="40" t="str">
        <f ca="1">IFERROR(
VLOOKUP(BoM_Solar[[#This Row],[Product code]],
IF(AND((BoQ!$N$3&lt;&gt;""),OR(BoM_Solar[[#This Row],[Vendor]]="Griptel",BoM_Solar[[#This Row],[Vendor]]="Solar")),INDIRECT(Aux!$A$1)),4,FALSE),"")</f>
        <v/>
      </c>
      <c r="O226" s="169" t="s">
        <v>1807</v>
      </c>
      <c r="P226" s="41" t="str">
        <f>IFERROR(IF(AND(BoM_Solar[[#This Row],[Quantity]]&lt;&gt;"",BoM_Solar[[#This Row],[Currency]]="NOK"),BoM_Solar[[#This Row],[Quantity]]*BoM_Solar[[#This Row],[Unit Price]],""),"")</f>
        <v/>
      </c>
      <c r="Q226" s="41" t="str">
        <f>IFERROR(IF(AND(BoM_Solar[[#This Row],[ACT_Qty]]&lt;&gt;"",BoM_Solar[[#This Row],[Currency]]="NOK"),BoM_Solar[[#This Row],[ACT_Qty]]*BoM_Solar[[#This Row],[Unit Price]],""),"")</f>
        <v/>
      </c>
      <c r="R226" s="41" t="str">
        <f>IFERROR(IF(AND(BoM_Solar[[#This Row],[Quantity]]&lt;&gt;"",BoM_Solar[[#This Row],[Currency]]="EUR"),BoM_Solar[[#This Row],[Quantity]]*BoM_Solar[[#This Row],[Unit Price]],""),"")</f>
        <v/>
      </c>
      <c r="S226" s="41" t="str">
        <f>IFERROR(IF(AND(BoM_Solar[[#This Row],[ACT_Qty]]&lt;&gt;"",BoM_Solar[[#This Row],[Currency]]="EUR"),BoM_Solar[[#This Row],[ACT_Qty]]*BoM_Solar[[#This Row],[Unit Price]],""),"")</f>
        <v/>
      </c>
      <c r="T226" s="185"/>
      <c r="U226" s="45"/>
      <c r="V226" s="45"/>
      <c r="W226" s="45"/>
    </row>
    <row r="227" spans="1:23">
      <c r="A227" s="146" t="str">
        <f t="shared" si="8"/>
        <v>AKH12345</v>
      </c>
      <c r="B227">
        <v>1359895</v>
      </c>
      <c r="C227" t="s">
        <v>3545</v>
      </c>
      <c r="D227" s="105"/>
      <c r="E227" s="106"/>
      <c r="F227" s="105"/>
      <c r="G227" s="106"/>
      <c r="H227" s="175"/>
      <c r="I227" s="176"/>
      <c r="J227" s="176"/>
      <c r="K227" s="176"/>
      <c r="L227" s="145" t="s">
        <v>3326</v>
      </c>
      <c r="M227" s="45" t="str">
        <f t="shared" si="7"/>
        <v>OneCo Networks AS</v>
      </c>
      <c r="N227" s="40" t="str">
        <f ca="1">IFERROR(
VLOOKUP(BoM_Solar[[#This Row],[Product code]],
IF(AND((BoQ!$N$3&lt;&gt;""),OR(BoM_Solar[[#This Row],[Vendor]]="Griptel",BoM_Solar[[#This Row],[Vendor]]="Solar")),INDIRECT(Aux!$A$1)),4,FALSE),"")</f>
        <v/>
      </c>
      <c r="O227" s="169" t="s">
        <v>1807</v>
      </c>
      <c r="P227" s="41" t="str">
        <f>IFERROR(IF(AND(BoM_Solar[[#This Row],[Quantity]]&lt;&gt;"",BoM_Solar[[#This Row],[Currency]]="NOK"),BoM_Solar[[#This Row],[Quantity]]*BoM_Solar[[#This Row],[Unit Price]],""),"")</f>
        <v/>
      </c>
      <c r="Q227" s="41" t="str">
        <f>IFERROR(IF(AND(BoM_Solar[[#This Row],[ACT_Qty]]&lt;&gt;"",BoM_Solar[[#This Row],[Currency]]="NOK"),BoM_Solar[[#This Row],[ACT_Qty]]*BoM_Solar[[#This Row],[Unit Price]],""),"")</f>
        <v/>
      </c>
      <c r="R227" s="41" t="str">
        <f>IFERROR(IF(AND(BoM_Solar[[#This Row],[Quantity]]&lt;&gt;"",BoM_Solar[[#This Row],[Currency]]="EUR"),BoM_Solar[[#This Row],[Quantity]]*BoM_Solar[[#This Row],[Unit Price]],""),"")</f>
        <v/>
      </c>
      <c r="S227" s="41" t="str">
        <f>IFERROR(IF(AND(BoM_Solar[[#This Row],[ACT_Qty]]&lt;&gt;"",BoM_Solar[[#This Row],[Currency]]="EUR"),BoM_Solar[[#This Row],[ACT_Qty]]*BoM_Solar[[#This Row],[Unit Price]],""),"")</f>
        <v/>
      </c>
      <c r="T227" s="185"/>
      <c r="U227" s="45"/>
      <c r="V227" s="45"/>
      <c r="W227" s="45"/>
    </row>
    <row r="228" spans="1:23">
      <c r="A228" s="146" t="str">
        <f t="shared" si="8"/>
        <v>AKH12345</v>
      </c>
      <c r="B228">
        <v>1166581</v>
      </c>
      <c r="C228" t="s">
        <v>3546</v>
      </c>
      <c r="D228" s="105"/>
      <c r="E228" s="106"/>
      <c r="F228" s="105"/>
      <c r="G228" s="106"/>
      <c r="H228" s="175"/>
      <c r="I228" s="176"/>
      <c r="J228" s="176"/>
      <c r="K228" s="176"/>
      <c r="L228" s="145" t="s">
        <v>3326</v>
      </c>
      <c r="M228" s="45" t="str">
        <f t="shared" si="7"/>
        <v>OneCo Networks AS</v>
      </c>
      <c r="N228" s="40" t="str">
        <f ca="1">IFERROR(
VLOOKUP(BoM_Solar[[#This Row],[Product code]],
IF(AND((BoQ!$N$3&lt;&gt;""),OR(BoM_Solar[[#This Row],[Vendor]]="Griptel",BoM_Solar[[#This Row],[Vendor]]="Solar")),INDIRECT(Aux!$A$1)),4,FALSE),"")</f>
        <v/>
      </c>
      <c r="O228" s="169" t="s">
        <v>1807</v>
      </c>
      <c r="P228" s="41" t="str">
        <f>IFERROR(IF(AND(BoM_Solar[[#This Row],[Quantity]]&lt;&gt;"",BoM_Solar[[#This Row],[Currency]]="NOK"),BoM_Solar[[#This Row],[Quantity]]*BoM_Solar[[#This Row],[Unit Price]],""),"")</f>
        <v/>
      </c>
      <c r="Q228" s="41" t="str">
        <f>IFERROR(IF(AND(BoM_Solar[[#This Row],[ACT_Qty]]&lt;&gt;"",BoM_Solar[[#This Row],[Currency]]="NOK"),BoM_Solar[[#This Row],[ACT_Qty]]*BoM_Solar[[#This Row],[Unit Price]],""),"")</f>
        <v/>
      </c>
      <c r="R228" s="41" t="str">
        <f>IFERROR(IF(AND(BoM_Solar[[#This Row],[Quantity]]&lt;&gt;"",BoM_Solar[[#This Row],[Currency]]="EUR"),BoM_Solar[[#This Row],[Quantity]]*BoM_Solar[[#This Row],[Unit Price]],""),"")</f>
        <v/>
      </c>
      <c r="S228" s="41" t="str">
        <f>IFERROR(IF(AND(BoM_Solar[[#This Row],[ACT_Qty]]&lt;&gt;"",BoM_Solar[[#This Row],[Currency]]="EUR"),BoM_Solar[[#This Row],[ACT_Qty]]*BoM_Solar[[#This Row],[Unit Price]],""),"")</f>
        <v/>
      </c>
      <c r="T228" s="185"/>
      <c r="U228" s="45"/>
      <c r="V228" s="45"/>
      <c r="W228" s="45"/>
    </row>
    <row r="229" spans="1:23">
      <c r="A229" s="146" t="str">
        <f t="shared" si="8"/>
        <v>AKH12345</v>
      </c>
      <c r="B229">
        <v>2016967</v>
      </c>
      <c r="C229" t="s">
        <v>3547</v>
      </c>
      <c r="D229" s="105"/>
      <c r="E229" s="106"/>
      <c r="F229" s="105"/>
      <c r="G229" s="106"/>
      <c r="H229" s="175"/>
      <c r="I229" s="176"/>
      <c r="J229" s="176"/>
      <c r="K229" s="176"/>
      <c r="L229" s="145" t="s">
        <v>3326</v>
      </c>
      <c r="M229" s="45" t="str">
        <f t="shared" si="7"/>
        <v>OneCo Networks AS</v>
      </c>
      <c r="N229" s="40" t="str">
        <f ca="1">IFERROR(
VLOOKUP(BoM_Solar[[#This Row],[Product code]],
IF(AND((BoQ!$N$3&lt;&gt;""),OR(BoM_Solar[[#This Row],[Vendor]]="Griptel",BoM_Solar[[#This Row],[Vendor]]="Solar")),INDIRECT(Aux!$A$1)),4,FALSE),"")</f>
        <v/>
      </c>
      <c r="O229" s="169" t="s">
        <v>1807</v>
      </c>
      <c r="P229" s="41" t="str">
        <f>IFERROR(IF(AND(BoM_Solar[[#This Row],[Quantity]]&lt;&gt;"",BoM_Solar[[#This Row],[Currency]]="NOK"),BoM_Solar[[#This Row],[Quantity]]*BoM_Solar[[#This Row],[Unit Price]],""),"")</f>
        <v/>
      </c>
      <c r="Q229" s="41" t="str">
        <f>IFERROR(IF(AND(BoM_Solar[[#This Row],[ACT_Qty]]&lt;&gt;"",BoM_Solar[[#This Row],[Currency]]="NOK"),BoM_Solar[[#This Row],[ACT_Qty]]*BoM_Solar[[#This Row],[Unit Price]],""),"")</f>
        <v/>
      </c>
      <c r="R229" s="41" t="str">
        <f>IFERROR(IF(AND(BoM_Solar[[#This Row],[Quantity]]&lt;&gt;"",BoM_Solar[[#This Row],[Currency]]="EUR"),BoM_Solar[[#This Row],[Quantity]]*BoM_Solar[[#This Row],[Unit Price]],""),"")</f>
        <v/>
      </c>
      <c r="S229" s="41" t="str">
        <f>IFERROR(IF(AND(BoM_Solar[[#This Row],[ACT_Qty]]&lt;&gt;"",BoM_Solar[[#This Row],[Currency]]="EUR"),BoM_Solar[[#This Row],[ACT_Qty]]*BoM_Solar[[#This Row],[Unit Price]],""),"")</f>
        <v/>
      </c>
      <c r="T229" s="185"/>
      <c r="U229" s="45"/>
      <c r="V229" s="45"/>
      <c r="W229" s="45"/>
    </row>
    <row r="230" spans="1:23">
      <c r="A230" s="146" t="str">
        <f t="shared" si="8"/>
        <v>AKH12345</v>
      </c>
      <c r="B230">
        <v>2853735</v>
      </c>
      <c r="C230" t="s">
        <v>3548</v>
      </c>
      <c r="D230" s="105"/>
      <c r="E230" s="106"/>
      <c r="F230" s="105"/>
      <c r="G230" s="106"/>
      <c r="H230" s="175"/>
      <c r="I230" s="176"/>
      <c r="J230" s="176"/>
      <c r="K230" s="176"/>
      <c r="L230" s="145" t="s">
        <v>3326</v>
      </c>
      <c r="M230" s="45" t="str">
        <f t="shared" si="7"/>
        <v>OneCo Networks AS</v>
      </c>
      <c r="N230" s="40" t="str">
        <f ca="1">IFERROR(
VLOOKUP(BoM_Solar[[#This Row],[Product code]],
IF(AND((BoQ!$N$3&lt;&gt;""),OR(BoM_Solar[[#This Row],[Vendor]]="Griptel",BoM_Solar[[#This Row],[Vendor]]="Solar")),INDIRECT(Aux!$A$1)),4,FALSE),"")</f>
        <v/>
      </c>
      <c r="O230" s="169" t="s">
        <v>1807</v>
      </c>
      <c r="P230" s="41" t="str">
        <f>IFERROR(IF(AND(BoM_Solar[[#This Row],[Quantity]]&lt;&gt;"",BoM_Solar[[#This Row],[Currency]]="NOK"),BoM_Solar[[#This Row],[Quantity]]*BoM_Solar[[#This Row],[Unit Price]],""),"")</f>
        <v/>
      </c>
      <c r="Q230" s="41" t="str">
        <f>IFERROR(IF(AND(BoM_Solar[[#This Row],[ACT_Qty]]&lt;&gt;"",BoM_Solar[[#This Row],[Currency]]="NOK"),BoM_Solar[[#This Row],[ACT_Qty]]*BoM_Solar[[#This Row],[Unit Price]],""),"")</f>
        <v/>
      </c>
      <c r="R230" s="41" t="str">
        <f>IFERROR(IF(AND(BoM_Solar[[#This Row],[Quantity]]&lt;&gt;"",BoM_Solar[[#This Row],[Currency]]="EUR"),BoM_Solar[[#This Row],[Quantity]]*BoM_Solar[[#This Row],[Unit Price]],""),"")</f>
        <v/>
      </c>
      <c r="S230" s="41" t="str">
        <f>IFERROR(IF(AND(BoM_Solar[[#This Row],[ACT_Qty]]&lt;&gt;"",BoM_Solar[[#This Row],[Currency]]="EUR"),BoM_Solar[[#This Row],[ACT_Qty]]*BoM_Solar[[#This Row],[Unit Price]],""),"")</f>
        <v/>
      </c>
      <c r="T230" s="185"/>
      <c r="U230" s="45"/>
      <c r="V230" s="45"/>
      <c r="W230" s="45"/>
    </row>
    <row r="231" spans="1:23">
      <c r="A231" s="146" t="str">
        <f t="shared" si="8"/>
        <v>AKH12345</v>
      </c>
      <c r="B231">
        <v>1048485</v>
      </c>
      <c r="C231" t="s">
        <v>3549</v>
      </c>
      <c r="D231" s="105"/>
      <c r="E231" s="106"/>
      <c r="F231" s="105"/>
      <c r="G231" s="106"/>
      <c r="H231" s="175"/>
      <c r="I231" s="176"/>
      <c r="J231" s="176"/>
      <c r="K231" s="176"/>
      <c r="L231" s="145" t="s">
        <v>3326</v>
      </c>
      <c r="M231" s="45" t="str">
        <f t="shared" si="7"/>
        <v>OneCo Networks AS</v>
      </c>
      <c r="N231" s="40" t="str">
        <f ca="1">IFERROR(
VLOOKUP(BoM_Solar[[#This Row],[Product code]],
IF(AND((BoQ!$N$3&lt;&gt;""),OR(BoM_Solar[[#This Row],[Vendor]]="Griptel",BoM_Solar[[#This Row],[Vendor]]="Solar")),INDIRECT(Aux!$A$1)),4,FALSE),"")</f>
        <v/>
      </c>
      <c r="O231" s="169" t="s">
        <v>1807</v>
      </c>
      <c r="P231" s="41" t="str">
        <f>IFERROR(IF(AND(BoM_Solar[[#This Row],[Quantity]]&lt;&gt;"",BoM_Solar[[#This Row],[Currency]]="NOK"),BoM_Solar[[#This Row],[Quantity]]*BoM_Solar[[#This Row],[Unit Price]],""),"")</f>
        <v/>
      </c>
      <c r="Q231" s="41" t="str">
        <f>IFERROR(IF(AND(BoM_Solar[[#This Row],[ACT_Qty]]&lt;&gt;"",BoM_Solar[[#This Row],[Currency]]="NOK"),BoM_Solar[[#This Row],[ACT_Qty]]*BoM_Solar[[#This Row],[Unit Price]],""),"")</f>
        <v/>
      </c>
      <c r="R231" s="41" t="str">
        <f>IFERROR(IF(AND(BoM_Solar[[#This Row],[Quantity]]&lt;&gt;"",BoM_Solar[[#This Row],[Currency]]="EUR"),BoM_Solar[[#This Row],[Quantity]]*BoM_Solar[[#This Row],[Unit Price]],""),"")</f>
        <v/>
      </c>
      <c r="S231" s="41" t="str">
        <f>IFERROR(IF(AND(BoM_Solar[[#This Row],[ACT_Qty]]&lt;&gt;"",BoM_Solar[[#This Row],[Currency]]="EUR"),BoM_Solar[[#This Row],[ACT_Qty]]*BoM_Solar[[#This Row],[Unit Price]],""),"")</f>
        <v/>
      </c>
      <c r="T231" s="185"/>
      <c r="U231" s="45"/>
      <c r="V231" s="45"/>
      <c r="W231" s="45"/>
    </row>
    <row r="232" spans="1:23">
      <c r="A232" s="146" t="str">
        <f t="shared" si="8"/>
        <v>AKH12345</v>
      </c>
      <c r="B232">
        <v>2046790</v>
      </c>
      <c r="C232" t="s">
        <v>3550</v>
      </c>
      <c r="D232" s="105"/>
      <c r="E232" s="106"/>
      <c r="F232" s="105"/>
      <c r="G232" s="106"/>
      <c r="H232" s="175"/>
      <c r="I232" s="176"/>
      <c r="J232" s="176"/>
      <c r="K232" s="176"/>
      <c r="L232" s="145" t="s">
        <v>3326</v>
      </c>
      <c r="M232" s="45" t="str">
        <f t="shared" si="7"/>
        <v>OneCo Networks AS</v>
      </c>
      <c r="N232" s="40" t="str">
        <f ca="1">IFERROR(
VLOOKUP(BoM_Solar[[#This Row],[Product code]],
IF(AND((BoQ!$N$3&lt;&gt;""),OR(BoM_Solar[[#This Row],[Vendor]]="Griptel",BoM_Solar[[#This Row],[Vendor]]="Solar")),INDIRECT(Aux!$A$1)),4,FALSE),"")</f>
        <v/>
      </c>
      <c r="O232" s="169" t="s">
        <v>1807</v>
      </c>
      <c r="P232" s="41" t="str">
        <f>IFERROR(IF(AND(BoM_Solar[[#This Row],[Quantity]]&lt;&gt;"",BoM_Solar[[#This Row],[Currency]]="NOK"),BoM_Solar[[#This Row],[Quantity]]*BoM_Solar[[#This Row],[Unit Price]],""),"")</f>
        <v/>
      </c>
      <c r="Q232" s="41" t="str">
        <f>IFERROR(IF(AND(BoM_Solar[[#This Row],[ACT_Qty]]&lt;&gt;"",BoM_Solar[[#This Row],[Currency]]="NOK"),BoM_Solar[[#This Row],[ACT_Qty]]*BoM_Solar[[#This Row],[Unit Price]],""),"")</f>
        <v/>
      </c>
      <c r="R232" s="41" t="str">
        <f>IFERROR(IF(AND(BoM_Solar[[#This Row],[Quantity]]&lt;&gt;"",BoM_Solar[[#This Row],[Currency]]="EUR"),BoM_Solar[[#This Row],[Quantity]]*BoM_Solar[[#This Row],[Unit Price]],""),"")</f>
        <v/>
      </c>
      <c r="S232" s="41" t="str">
        <f>IFERROR(IF(AND(BoM_Solar[[#This Row],[ACT_Qty]]&lt;&gt;"",BoM_Solar[[#This Row],[Currency]]="EUR"),BoM_Solar[[#This Row],[ACT_Qty]]*BoM_Solar[[#This Row],[Unit Price]],""),"")</f>
        <v/>
      </c>
      <c r="T232" s="185"/>
      <c r="U232" s="45"/>
      <c r="V232" s="45"/>
      <c r="W232" s="45"/>
    </row>
    <row r="233" spans="1:23">
      <c r="A233" s="146" t="str">
        <f t="shared" si="8"/>
        <v>AKH12345</v>
      </c>
      <c r="B233">
        <v>1036892</v>
      </c>
      <c r="C233" t="s">
        <v>3551</v>
      </c>
      <c r="D233" s="105"/>
      <c r="E233" s="106"/>
      <c r="F233" s="105"/>
      <c r="G233" s="106"/>
      <c r="H233" s="175"/>
      <c r="I233" s="176"/>
      <c r="J233" s="176"/>
      <c r="K233" s="176"/>
      <c r="L233" s="145" t="s">
        <v>3326</v>
      </c>
      <c r="M233" s="45" t="str">
        <f t="shared" si="7"/>
        <v>OneCo Networks AS</v>
      </c>
      <c r="N233" s="40" t="str">
        <f ca="1">IFERROR(
VLOOKUP(BoM_Solar[[#This Row],[Product code]],
IF(AND((BoQ!$N$3&lt;&gt;""),OR(BoM_Solar[[#This Row],[Vendor]]="Griptel",BoM_Solar[[#This Row],[Vendor]]="Solar")),INDIRECT(Aux!$A$1)),4,FALSE),"")</f>
        <v/>
      </c>
      <c r="O233" s="169" t="s">
        <v>1807</v>
      </c>
      <c r="P233" s="41" t="str">
        <f>IFERROR(IF(AND(BoM_Solar[[#This Row],[Quantity]]&lt;&gt;"",BoM_Solar[[#This Row],[Currency]]="NOK"),BoM_Solar[[#This Row],[Quantity]]*BoM_Solar[[#This Row],[Unit Price]],""),"")</f>
        <v/>
      </c>
      <c r="Q233" s="41" t="str">
        <f>IFERROR(IF(AND(BoM_Solar[[#This Row],[ACT_Qty]]&lt;&gt;"",BoM_Solar[[#This Row],[Currency]]="NOK"),BoM_Solar[[#This Row],[ACT_Qty]]*BoM_Solar[[#This Row],[Unit Price]],""),"")</f>
        <v/>
      </c>
      <c r="R233" s="41" t="str">
        <f>IFERROR(IF(AND(BoM_Solar[[#This Row],[Quantity]]&lt;&gt;"",BoM_Solar[[#This Row],[Currency]]="EUR"),BoM_Solar[[#This Row],[Quantity]]*BoM_Solar[[#This Row],[Unit Price]],""),"")</f>
        <v/>
      </c>
      <c r="S233" s="41" t="str">
        <f>IFERROR(IF(AND(BoM_Solar[[#This Row],[ACT_Qty]]&lt;&gt;"",BoM_Solar[[#This Row],[Currency]]="EUR"),BoM_Solar[[#This Row],[ACT_Qty]]*BoM_Solar[[#This Row],[Unit Price]],""),"")</f>
        <v/>
      </c>
      <c r="T233" s="185"/>
      <c r="U233" s="45"/>
      <c r="V233" s="45"/>
      <c r="W233" s="45"/>
    </row>
    <row r="234" spans="1:23">
      <c r="A234" s="146" t="str">
        <f t="shared" si="8"/>
        <v>AKH12345</v>
      </c>
      <c r="B234">
        <v>1355241</v>
      </c>
      <c r="C234" t="s">
        <v>3552</v>
      </c>
      <c r="D234" s="105"/>
      <c r="E234" s="106"/>
      <c r="F234" s="105"/>
      <c r="G234" s="106"/>
      <c r="H234" s="175"/>
      <c r="I234" s="176"/>
      <c r="J234" s="176"/>
      <c r="K234" s="176"/>
      <c r="L234" s="145" t="s">
        <v>3326</v>
      </c>
      <c r="M234" s="45" t="str">
        <f t="shared" si="7"/>
        <v>OneCo Networks AS</v>
      </c>
      <c r="N234" s="40" t="str">
        <f ca="1">IFERROR(
VLOOKUP(BoM_Solar[[#This Row],[Product code]],
IF(AND((BoQ!$N$3&lt;&gt;""),OR(BoM_Solar[[#This Row],[Vendor]]="Griptel",BoM_Solar[[#This Row],[Vendor]]="Solar")),INDIRECT(Aux!$A$1)),4,FALSE),"")</f>
        <v/>
      </c>
      <c r="O234" s="169" t="s">
        <v>1807</v>
      </c>
      <c r="P234" s="41" t="str">
        <f>IFERROR(IF(AND(BoM_Solar[[#This Row],[Quantity]]&lt;&gt;"",BoM_Solar[[#This Row],[Currency]]="NOK"),BoM_Solar[[#This Row],[Quantity]]*BoM_Solar[[#This Row],[Unit Price]],""),"")</f>
        <v/>
      </c>
      <c r="Q234" s="41" t="str">
        <f>IFERROR(IF(AND(BoM_Solar[[#This Row],[ACT_Qty]]&lt;&gt;"",BoM_Solar[[#This Row],[Currency]]="NOK"),BoM_Solar[[#This Row],[ACT_Qty]]*BoM_Solar[[#This Row],[Unit Price]],""),"")</f>
        <v/>
      </c>
      <c r="R234" s="41" t="str">
        <f>IFERROR(IF(AND(BoM_Solar[[#This Row],[Quantity]]&lt;&gt;"",BoM_Solar[[#This Row],[Currency]]="EUR"),BoM_Solar[[#This Row],[Quantity]]*BoM_Solar[[#This Row],[Unit Price]],""),"")</f>
        <v/>
      </c>
      <c r="S234" s="41" t="str">
        <f>IFERROR(IF(AND(BoM_Solar[[#This Row],[ACT_Qty]]&lt;&gt;"",BoM_Solar[[#This Row],[Currency]]="EUR"),BoM_Solar[[#This Row],[ACT_Qty]]*BoM_Solar[[#This Row],[Unit Price]],""),"")</f>
        <v/>
      </c>
      <c r="T234" s="185"/>
      <c r="U234" s="45"/>
      <c r="V234" s="45"/>
      <c r="W234" s="45"/>
    </row>
    <row r="235" spans="1:23">
      <c r="A235" s="146" t="str">
        <f t="shared" si="8"/>
        <v>AKH12345</v>
      </c>
      <c r="B235">
        <v>1356465</v>
      </c>
      <c r="C235" t="s">
        <v>3553</v>
      </c>
      <c r="D235" s="105"/>
      <c r="E235" s="106"/>
      <c r="F235" s="105"/>
      <c r="G235" s="106"/>
      <c r="H235" s="175"/>
      <c r="I235" s="176"/>
      <c r="J235" s="176"/>
      <c r="K235" s="176"/>
      <c r="L235" s="145" t="s">
        <v>3326</v>
      </c>
      <c r="M235" s="45" t="str">
        <f t="shared" si="7"/>
        <v>OneCo Networks AS</v>
      </c>
      <c r="N235" s="40" t="str">
        <f ca="1">IFERROR(
VLOOKUP(BoM_Solar[[#This Row],[Product code]],
IF(AND((BoQ!$N$3&lt;&gt;""),OR(BoM_Solar[[#This Row],[Vendor]]="Griptel",BoM_Solar[[#This Row],[Vendor]]="Solar")),INDIRECT(Aux!$A$1)),4,FALSE),"")</f>
        <v/>
      </c>
      <c r="O235" s="169" t="s">
        <v>1807</v>
      </c>
      <c r="P235" s="41" t="str">
        <f>IFERROR(IF(AND(BoM_Solar[[#This Row],[Quantity]]&lt;&gt;"",BoM_Solar[[#This Row],[Currency]]="NOK"),BoM_Solar[[#This Row],[Quantity]]*BoM_Solar[[#This Row],[Unit Price]],""),"")</f>
        <v/>
      </c>
      <c r="Q235" s="41" t="str">
        <f>IFERROR(IF(AND(BoM_Solar[[#This Row],[ACT_Qty]]&lt;&gt;"",BoM_Solar[[#This Row],[Currency]]="NOK"),BoM_Solar[[#This Row],[ACT_Qty]]*BoM_Solar[[#This Row],[Unit Price]],""),"")</f>
        <v/>
      </c>
      <c r="R235" s="41" t="str">
        <f>IFERROR(IF(AND(BoM_Solar[[#This Row],[Quantity]]&lt;&gt;"",BoM_Solar[[#This Row],[Currency]]="EUR"),BoM_Solar[[#This Row],[Quantity]]*BoM_Solar[[#This Row],[Unit Price]],""),"")</f>
        <v/>
      </c>
      <c r="S235" s="41" t="str">
        <f>IFERROR(IF(AND(BoM_Solar[[#This Row],[ACT_Qty]]&lt;&gt;"",BoM_Solar[[#This Row],[Currency]]="EUR"),BoM_Solar[[#This Row],[ACT_Qty]]*BoM_Solar[[#This Row],[Unit Price]],""),"")</f>
        <v/>
      </c>
      <c r="T235" s="185"/>
      <c r="U235" s="45"/>
      <c r="V235" s="45"/>
      <c r="W235" s="45"/>
    </row>
    <row r="236" spans="1:23">
      <c r="A236" s="146" t="str">
        <f t="shared" si="8"/>
        <v>AKH12345</v>
      </c>
      <c r="B236">
        <v>2030149</v>
      </c>
      <c r="C236" t="s">
        <v>3554</v>
      </c>
      <c r="D236" s="105"/>
      <c r="E236" s="106"/>
      <c r="F236" s="105"/>
      <c r="G236" s="106"/>
      <c r="H236" s="175"/>
      <c r="I236" s="176"/>
      <c r="J236" s="176"/>
      <c r="K236" s="176"/>
      <c r="L236" s="145" t="s">
        <v>3326</v>
      </c>
      <c r="M236" s="45" t="str">
        <f t="shared" si="7"/>
        <v>OneCo Networks AS</v>
      </c>
      <c r="N236" s="40" t="str">
        <f ca="1">IFERROR(
VLOOKUP(BoM_Solar[[#This Row],[Product code]],
IF(AND((BoQ!$N$3&lt;&gt;""),OR(BoM_Solar[[#This Row],[Vendor]]="Griptel",BoM_Solar[[#This Row],[Vendor]]="Solar")),INDIRECT(Aux!$A$1)),4,FALSE),"")</f>
        <v/>
      </c>
      <c r="O236" s="169" t="s">
        <v>1807</v>
      </c>
      <c r="P236" s="41" t="str">
        <f>IFERROR(IF(AND(BoM_Solar[[#This Row],[Quantity]]&lt;&gt;"",BoM_Solar[[#This Row],[Currency]]="NOK"),BoM_Solar[[#This Row],[Quantity]]*BoM_Solar[[#This Row],[Unit Price]],""),"")</f>
        <v/>
      </c>
      <c r="Q236" s="41" t="str">
        <f>IFERROR(IF(AND(BoM_Solar[[#This Row],[ACT_Qty]]&lt;&gt;"",BoM_Solar[[#This Row],[Currency]]="NOK"),BoM_Solar[[#This Row],[ACT_Qty]]*BoM_Solar[[#This Row],[Unit Price]],""),"")</f>
        <v/>
      </c>
      <c r="R236" s="41" t="str">
        <f>IFERROR(IF(AND(BoM_Solar[[#This Row],[Quantity]]&lt;&gt;"",BoM_Solar[[#This Row],[Currency]]="EUR"),BoM_Solar[[#This Row],[Quantity]]*BoM_Solar[[#This Row],[Unit Price]],""),"")</f>
        <v/>
      </c>
      <c r="S236" s="41" t="str">
        <f>IFERROR(IF(AND(BoM_Solar[[#This Row],[ACT_Qty]]&lt;&gt;"",BoM_Solar[[#This Row],[Currency]]="EUR"),BoM_Solar[[#This Row],[ACT_Qty]]*BoM_Solar[[#This Row],[Unit Price]],""),"")</f>
        <v/>
      </c>
      <c r="T236" s="185"/>
      <c r="U236" s="45"/>
      <c r="V236" s="45"/>
      <c r="W236" s="45"/>
    </row>
    <row r="237" spans="1:23">
      <c r="A237" s="146" t="str">
        <f t="shared" si="8"/>
        <v>AKH12345</v>
      </c>
      <c r="B237">
        <v>1317398</v>
      </c>
      <c r="C237" t="s">
        <v>3555</v>
      </c>
      <c r="D237" s="105"/>
      <c r="E237" s="106"/>
      <c r="F237" s="105"/>
      <c r="G237" s="106"/>
      <c r="H237" s="175"/>
      <c r="I237" s="176"/>
      <c r="J237" s="176"/>
      <c r="K237" s="176"/>
      <c r="L237" s="145" t="s">
        <v>3326</v>
      </c>
      <c r="M237" s="45" t="str">
        <f t="shared" si="7"/>
        <v>OneCo Networks AS</v>
      </c>
      <c r="N237" s="40" t="str">
        <f ca="1">IFERROR(
VLOOKUP(BoM_Solar[[#This Row],[Product code]],
IF(AND((BoQ!$N$3&lt;&gt;""),OR(BoM_Solar[[#This Row],[Vendor]]="Griptel",BoM_Solar[[#This Row],[Vendor]]="Solar")),INDIRECT(Aux!$A$1)),4,FALSE),"")</f>
        <v/>
      </c>
      <c r="O237" s="169" t="s">
        <v>1807</v>
      </c>
      <c r="P237" s="41" t="str">
        <f>IFERROR(IF(AND(BoM_Solar[[#This Row],[Quantity]]&lt;&gt;"",BoM_Solar[[#This Row],[Currency]]="NOK"),BoM_Solar[[#This Row],[Quantity]]*BoM_Solar[[#This Row],[Unit Price]],""),"")</f>
        <v/>
      </c>
      <c r="Q237" s="41" t="str">
        <f>IFERROR(IF(AND(BoM_Solar[[#This Row],[ACT_Qty]]&lt;&gt;"",BoM_Solar[[#This Row],[Currency]]="NOK"),BoM_Solar[[#This Row],[ACT_Qty]]*BoM_Solar[[#This Row],[Unit Price]],""),"")</f>
        <v/>
      </c>
      <c r="R237" s="41" t="str">
        <f>IFERROR(IF(AND(BoM_Solar[[#This Row],[Quantity]]&lt;&gt;"",BoM_Solar[[#This Row],[Currency]]="EUR"),BoM_Solar[[#This Row],[Quantity]]*BoM_Solar[[#This Row],[Unit Price]],""),"")</f>
        <v/>
      </c>
      <c r="S237" s="41" t="str">
        <f>IFERROR(IF(AND(BoM_Solar[[#This Row],[ACT_Qty]]&lt;&gt;"",BoM_Solar[[#This Row],[Currency]]="EUR"),BoM_Solar[[#This Row],[ACT_Qty]]*BoM_Solar[[#This Row],[Unit Price]],""),"")</f>
        <v/>
      </c>
      <c r="T237" s="185"/>
      <c r="U237" s="45"/>
      <c r="V237" s="45"/>
      <c r="W237" s="45"/>
    </row>
    <row r="238" spans="1:23">
      <c r="A238" s="146" t="str">
        <f t="shared" si="8"/>
        <v>AKH12345</v>
      </c>
      <c r="B238">
        <v>1213106</v>
      </c>
      <c r="C238" t="s">
        <v>3556</v>
      </c>
      <c r="D238" s="105"/>
      <c r="E238" s="106"/>
      <c r="F238" s="105"/>
      <c r="G238" s="106"/>
      <c r="H238" s="175"/>
      <c r="I238" s="176"/>
      <c r="J238" s="176"/>
      <c r="K238" s="176"/>
      <c r="L238" s="145" t="s">
        <v>3326</v>
      </c>
      <c r="M238" s="45" t="str">
        <f t="shared" si="7"/>
        <v>OneCo Networks AS</v>
      </c>
      <c r="N238" s="40" t="str">
        <f ca="1">IFERROR(
VLOOKUP(BoM_Solar[[#This Row],[Product code]],
IF(AND((BoQ!$N$3&lt;&gt;""),OR(BoM_Solar[[#This Row],[Vendor]]="Griptel",BoM_Solar[[#This Row],[Vendor]]="Solar")),INDIRECT(Aux!$A$1)),4,FALSE),"")</f>
        <v/>
      </c>
      <c r="O238" s="169" t="s">
        <v>1807</v>
      </c>
      <c r="P238" s="41" t="str">
        <f>IFERROR(IF(AND(BoM_Solar[[#This Row],[Quantity]]&lt;&gt;"",BoM_Solar[[#This Row],[Currency]]="NOK"),BoM_Solar[[#This Row],[Quantity]]*BoM_Solar[[#This Row],[Unit Price]],""),"")</f>
        <v/>
      </c>
      <c r="Q238" s="41" t="str">
        <f>IFERROR(IF(AND(BoM_Solar[[#This Row],[ACT_Qty]]&lt;&gt;"",BoM_Solar[[#This Row],[Currency]]="NOK"),BoM_Solar[[#This Row],[ACT_Qty]]*BoM_Solar[[#This Row],[Unit Price]],""),"")</f>
        <v/>
      </c>
      <c r="R238" s="41" t="str">
        <f>IFERROR(IF(AND(BoM_Solar[[#This Row],[Quantity]]&lt;&gt;"",BoM_Solar[[#This Row],[Currency]]="EUR"),BoM_Solar[[#This Row],[Quantity]]*BoM_Solar[[#This Row],[Unit Price]],""),"")</f>
        <v/>
      </c>
      <c r="S238" s="41" t="str">
        <f>IFERROR(IF(AND(BoM_Solar[[#This Row],[ACT_Qty]]&lt;&gt;"",BoM_Solar[[#This Row],[Currency]]="EUR"),BoM_Solar[[#This Row],[ACT_Qty]]*BoM_Solar[[#This Row],[Unit Price]],""),"")</f>
        <v/>
      </c>
      <c r="T238" s="185"/>
      <c r="U238" s="45"/>
      <c r="V238" s="45"/>
      <c r="W238" s="45"/>
    </row>
    <row r="239" spans="1:23">
      <c r="A239" s="146" t="str">
        <f t="shared" si="8"/>
        <v>AKH12345</v>
      </c>
      <c r="B239">
        <v>1263991</v>
      </c>
      <c r="C239" t="s">
        <v>3557</v>
      </c>
      <c r="D239" s="105"/>
      <c r="E239" s="106"/>
      <c r="F239" s="105"/>
      <c r="G239" s="106"/>
      <c r="H239" s="175"/>
      <c r="I239" s="176"/>
      <c r="J239" s="176"/>
      <c r="K239" s="176"/>
      <c r="L239" s="145" t="s">
        <v>3326</v>
      </c>
      <c r="M239" s="45" t="str">
        <f t="shared" si="7"/>
        <v>OneCo Networks AS</v>
      </c>
      <c r="N239" s="40" t="str">
        <f ca="1">IFERROR(
VLOOKUP(BoM_Solar[[#This Row],[Product code]],
IF(AND((BoQ!$N$3&lt;&gt;""),OR(BoM_Solar[[#This Row],[Vendor]]="Griptel",BoM_Solar[[#This Row],[Vendor]]="Solar")),INDIRECT(Aux!$A$1)),4,FALSE),"")</f>
        <v/>
      </c>
      <c r="O239" s="169" t="s">
        <v>1807</v>
      </c>
      <c r="P239" s="41" t="str">
        <f>IFERROR(IF(AND(BoM_Solar[[#This Row],[Quantity]]&lt;&gt;"",BoM_Solar[[#This Row],[Currency]]="NOK"),BoM_Solar[[#This Row],[Quantity]]*BoM_Solar[[#This Row],[Unit Price]],""),"")</f>
        <v/>
      </c>
      <c r="Q239" s="41" t="str">
        <f>IFERROR(IF(AND(BoM_Solar[[#This Row],[ACT_Qty]]&lt;&gt;"",BoM_Solar[[#This Row],[Currency]]="NOK"),BoM_Solar[[#This Row],[ACT_Qty]]*BoM_Solar[[#This Row],[Unit Price]],""),"")</f>
        <v/>
      </c>
      <c r="R239" s="41" t="str">
        <f>IFERROR(IF(AND(BoM_Solar[[#This Row],[Quantity]]&lt;&gt;"",BoM_Solar[[#This Row],[Currency]]="EUR"),BoM_Solar[[#This Row],[Quantity]]*BoM_Solar[[#This Row],[Unit Price]],""),"")</f>
        <v/>
      </c>
      <c r="S239" s="41" t="str">
        <f>IFERROR(IF(AND(BoM_Solar[[#This Row],[ACT_Qty]]&lt;&gt;"",BoM_Solar[[#This Row],[Currency]]="EUR"),BoM_Solar[[#This Row],[ACT_Qty]]*BoM_Solar[[#This Row],[Unit Price]],""),"")</f>
        <v/>
      </c>
      <c r="T239" s="185"/>
      <c r="U239" s="45"/>
      <c r="V239" s="45"/>
      <c r="W239" s="45"/>
    </row>
    <row r="240" spans="1:23">
      <c r="A240" s="146" t="str">
        <f t="shared" si="8"/>
        <v>AKH12345</v>
      </c>
      <c r="B240">
        <v>1263994</v>
      </c>
      <c r="C240" t="s">
        <v>3558</v>
      </c>
      <c r="D240" s="105"/>
      <c r="E240" s="106"/>
      <c r="F240" s="105"/>
      <c r="G240" s="106"/>
      <c r="H240" s="175"/>
      <c r="I240" s="176"/>
      <c r="J240" s="176"/>
      <c r="K240" s="176"/>
      <c r="L240" s="145" t="s">
        <v>3326</v>
      </c>
      <c r="M240" s="45" t="str">
        <f t="shared" si="7"/>
        <v>OneCo Networks AS</v>
      </c>
      <c r="N240" s="40" t="str">
        <f ca="1">IFERROR(
VLOOKUP(BoM_Solar[[#This Row],[Product code]],
IF(AND((BoQ!$N$3&lt;&gt;""),OR(BoM_Solar[[#This Row],[Vendor]]="Griptel",BoM_Solar[[#This Row],[Vendor]]="Solar")),INDIRECT(Aux!$A$1)),4,FALSE),"")</f>
        <v/>
      </c>
      <c r="O240" s="169" t="s">
        <v>1807</v>
      </c>
      <c r="P240" s="41" t="str">
        <f>IFERROR(IF(AND(BoM_Solar[[#This Row],[Quantity]]&lt;&gt;"",BoM_Solar[[#This Row],[Currency]]="NOK"),BoM_Solar[[#This Row],[Quantity]]*BoM_Solar[[#This Row],[Unit Price]],""),"")</f>
        <v/>
      </c>
      <c r="Q240" s="41" t="str">
        <f>IFERROR(IF(AND(BoM_Solar[[#This Row],[ACT_Qty]]&lt;&gt;"",BoM_Solar[[#This Row],[Currency]]="NOK"),BoM_Solar[[#This Row],[ACT_Qty]]*BoM_Solar[[#This Row],[Unit Price]],""),"")</f>
        <v/>
      </c>
      <c r="R240" s="41" t="str">
        <f>IFERROR(IF(AND(BoM_Solar[[#This Row],[Quantity]]&lt;&gt;"",BoM_Solar[[#This Row],[Currency]]="EUR"),BoM_Solar[[#This Row],[Quantity]]*BoM_Solar[[#This Row],[Unit Price]],""),"")</f>
        <v/>
      </c>
      <c r="S240" s="41" t="str">
        <f>IFERROR(IF(AND(BoM_Solar[[#This Row],[ACT_Qty]]&lt;&gt;"",BoM_Solar[[#This Row],[Currency]]="EUR"),BoM_Solar[[#This Row],[ACT_Qty]]*BoM_Solar[[#This Row],[Unit Price]],""),"")</f>
        <v/>
      </c>
      <c r="T240" s="185"/>
      <c r="U240" s="45"/>
      <c r="V240" s="45"/>
      <c r="W240" s="45"/>
    </row>
    <row r="241" spans="1:23">
      <c r="A241" s="146" t="str">
        <f t="shared" si="8"/>
        <v>AKH12345</v>
      </c>
      <c r="B241">
        <v>1263995</v>
      </c>
      <c r="C241" t="s">
        <v>3559</v>
      </c>
      <c r="D241" s="105"/>
      <c r="E241" s="106"/>
      <c r="F241" s="105"/>
      <c r="G241" s="106"/>
      <c r="H241" s="175"/>
      <c r="I241" s="176"/>
      <c r="J241" s="176"/>
      <c r="K241" s="176"/>
      <c r="L241" s="145" t="s">
        <v>3326</v>
      </c>
      <c r="M241" s="45" t="str">
        <f t="shared" si="7"/>
        <v>OneCo Networks AS</v>
      </c>
      <c r="N241" s="40" t="str">
        <f ca="1">IFERROR(
VLOOKUP(BoM_Solar[[#This Row],[Product code]],
IF(AND((BoQ!$N$3&lt;&gt;""),OR(BoM_Solar[[#This Row],[Vendor]]="Griptel",BoM_Solar[[#This Row],[Vendor]]="Solar")),INDIRECT(Aux!$A$1)),4,FALSE),"")</f>
        <v/>
      </c>
      <c r="O241" s="169" t="s">
        <v>1807</v>
      </c>
      <c r="P241" s="41" t="str">
        <f>IFERROR(IF(AND(BoM_Solar[[#This Row],[Quantity]]&lt;&gt;"",BoM_Solar[[#This Row],[Currency]]="NOK"),BoM_Solar[[#This Row],[Quantity]]*BoM_Solar[[#This Row],[Unit Price]],""),"")</f>
        <v/>
      </c>
      <c r="Q241" s="41" t="str">
        <f>IFERROR(IF(AND(BoM_Solar[[#This Row],[ACT_Qty]]&lt;&gt;"",BoM_Solar[[#This Row],[Currency]]="NOK"),BoM_Solar[[#This Row],[ACT_Qty]]*BoM_Solar[[#This Row],[Unit Price]],""),"")</f>
        <v/>
      </c>
      <c r="R241" s="41" t="str">
        <f>IFERROR(IF(AND(BoM_Solar[[#This Row],[Quantity]]&lt;&gt;"",BoM_Solar[[#This Row],[Currency]]="EUR"),BoM_Solar[[#This Row],[Quantity]]*BoM_Solar[[#This Row],[Unit Price]],""),"")</f>
        <v/>
      </c>
      <c r="S241" s="41" t="str">
        <f>IFERROR(IF(AND(BoM_Solar[[#This Row],[ACT_Qty]]&lt;&gt;"",BoM_Solar[[#This Row],[Currency]]="EUR"),BoM_Solar[[#This Row],[ACT_Qty]]*BoM_Solar[[#This Row],[Unit Price]],""),"")</f>
        <v/>
      </c>
      <c r="T241" s="185"/>
      <c r="U241" s="45"/>
      <c r="V241" s="45"/>
      <c r="W241" s="45"/>
    </row>
    <row r="242" spans="1:23">
      <c r="A242" s="146" t="str">
        <f t="shared" si="8"/>
        <v>AKH12345</v>
      </c>
      <c r="B242">
        <v>1322153</v>
      </c>
      <c r="C242" t="s">
        <v>3560</v>
      </c>
      <c r="D242" s="105"/>
      <c r="E242" s="106"/>
      <c r="F242" s="105"/>
      <c r="G242" s="106"/>
      <c r="H242" s="175"/>
      <c r="I242" s="176"/>
      <c r="J242" s="176"/>
      <c r="K242" s="176"/>
      <c r="L242" s="145" t="s">
        <v>3326</v>
      </c>
      <c r="M242" s="45" t="str">
        <f t="shared" si="7"/>
        <v>OneCo Networks AS</v>
      </c>
      <c r="N242" s="40" t="str">
        <f ca="1">IFERROR(
VLOOKUP(BoM_Solar[[#This Row],[Product code]],
IF(AND((BoQ!$N$3&lt;&gt;""),OR(BoM_Solar[[#This Row],[Vendor]]="Griptel",BoM_Solar[[#This Row],[Vendor]]="Solar")),INDIRECT(Aux!$A$1)),4,FALSE),"")</f>
        <v/>
      </c>
      <c r="O242" s="169" t="s">
        <v>1807</v>
      </c>
      <c r="P242" s="41" t="str">
        <f>IFERROR(IF(AND(BoM_Solar[[#This Row],[Quantity]]&lt;&gt;"",BoM_Solar[[#This Row],[Currency]]="NOK"),BoM_Solar[[#This Row],[Quantity]]*BoM_Solar[[#This Row],[Unit Price]],""),"")</f>
        <v/>
      </c>
      <c r="Q242" s="41" t="str">
        <f>IFERROR(IF(AND(BoM_Solar[[#This Row],[ACT_Qty]]&lt;&gt;"",BoM_Solar[[#This Row],[Currency]]="NOK"),BoM_Solar[[#This Row],[ACT_Qty]]*BoM_Solar[[#This Row],[Unit Price]],""),"")</f>
        <v/>
      </c>
      <c r="R242" s="41" t="str">
        <f>IFERROR(IF(AND(BoM_Solar[[#This Row],[Quantity]]&lt;&gt;"",BoM_Solar[[#This Row],[Currency]]="EUR"),BoM_Solar[[#This Row],[Quantity]]*BoM_Solar[[#This Row],[Unit Price]],""),"")</f>
        <v/>
      </c>
      <c r="S242" s="41" t="str">
        <f>IFERROR(IF(AND(BoM_Solar[[#This Row],[ACT_Qty]]&lt;&gt;"",BoM_Solar[[#This Row],[Currency]]="EUR"),BoM_Solar[[#This Row],[ACT_Qty]]*BoM_Solar[[#This Row],[Unit Price]],""),"")</f>
        <v/>
      </c>
      <c r="T242" s="185"/>
      <c r="U242" s="45"/>
      <c r="V242" s="45"/>
      <c r="W242" s="45"/>
    </row>
    <row r="243" spans="1:23">
      <c r="A243" s="146" t="str">
        <f t="shared" si="8"/>
        <v>AKH12345</v>
      </c>
      <c r="B243">
        <v>6918732</v>
      </c>
      <c r="C243" t="s">
        <v>3561</v>
      </c>
      <c r="D243" s="105"/>
      <c r="E243" s="106"/>
      <c r="F243" s="105"/>
      <c r="G243" s="106"/>
      <c r="H243" s="175"/>
      <c r="I243" s="176"/>
      <c r="J243" s="176"/>
      <c r="K243" s="176"/>
      <c r="L243" s="145" t="s">
        <v>3326</v>
      </c>
      <c r="M243" s="45" t="str">
        <f t="shared" si="7"/>
        <v>OneCo Networks AS</v>
      </c>
      <c r="N243" s="40" t="str">
        <f ca="1">IFERROR(
VLOOKUP(BoM_Solar[[#This Row],[Product code]],
IF(AND((BoQ!$N$3&lt;&gt;""),OR(BoM_Solar[[#This Row],[Vendor]]="Griptel",BoM_Solar[[#This Row],[Vendor]]="Solar")),INDIRECT(Aux!$A$1)),4,FALSE),"")</f>
        <v/>
      </c>
      <c r="O243" s="169" t="s">
        <v>1807</v>
      </c>
      <c r="P243" s="41" t="str">
        <f>IFERROR(IF(AND(BoM_Solar[[#This Row],[Quantity]]&lt;&gt;"",BoM_Solar[[#This Row],[Currency]]="NOK"),BoM_Solar[[#This Row],[Quantity]]*BoM_Solar[[#This Row],[Unit Price]],""),"")</f>
        <v/>
      </c>
      <c r="Q243" s="41" t="str">
        <f>IFERROR(IF(AND(BoM_Solar[[#This Row],[ACT_Qty]]&lt;&gt;"",BoM_Solar[[#This Row],[Currency]]="NOK"),BoM_Solar[[#This Row],[ACT_Qty]]*BoM_Solar[[#This Row],[Unit Price]],""),"")</f>
        <v/>
      </c>
      <c r="R243" s="41" t="str">
        <f>IFERROR(IF(AND(BoM_Solar[[#This Row],[Quantity]]&lt;&gt;"",BoM_Solar[[#This Row],[Currency]]="EUR"),BoM_Solar[[#This Row],[Quantity]]*BoM_Solar[[#This Row],[Unit Price]],""),"")</f>
        <v/>
      </c>
      <c r="S243" s="41" t="str">
        <f>IFERROR(IF(AND(BoM_Solar[[#This Row],[ACT_Qty]]&lt;&gt;"",BoM_Solar[[#This Row],[Currency]]="EUR"),BoM_Solar[[#This Row],[ACT_Qty]]*BoM_Solar[[#This Row],[Unit Price]],""),"")</f>
        <v/>
      </c>
      <c r="T243" s="185"/>
      <c r="U243" s="45"/>
      <c r="V243" s="45"/>
      <c r="W243" s="45"/>
    </row>
    <row r="244" spans="1:23">
      <c r="A244" s="146" t="str">
        <f t="shared" si="8"/>
        <v>AKH12345</v>
      </c>
      <c r="B244">
        <v>1226915</v>
      </c>
      <c r="C244" t="s">
        <v>3562</v>
      </c>
      <c r="D244" s="105"/>
      <c r="E244" s="106"/>
      <c r="F244" s="105"/>
      <c r="G244" s="106"/>
      <c r="H244" s="175"/>
      <c r="I244" s="176"/>
      <c r="J244" s="176"/>
      <c r="K244" s="176"/>
      <c r="L244" s="145" t="s">
        <v>3326</v>
      </c>
      <c r="M244" s="45" t="str">
        <f t="shared" ref="M244:M253" si="9">IF($C$3&lt;&gt;"",$C$3,"")</f>
        <v>OneCo Networks AS</v>
      </c>
      <c r="N244" s="40" t="str">
        <f ca="1">IFERROR(
VLOOKUP(BoM_Solar[[#This Row],[Product code]],
IF(AND((BoQ!$N$3&lt;&gt;""),OR(BoM_Solar[[#This Row],[Vendor]]="Griptel",BoM_Solar[[#This Row],[Vendor]]="Solar")),INDIRECT(Aux!$A$1)),4,FALSE),"")</f>
        <v/>
      </c>
      <c r="O244" s="169" t="s">
        <v>1807</v>
      </c>
      <c r="P244" s="41" t="str">
        <f>IFERROR(IF(AND(BoM_Solar[[#This Row],[Quantity]]&lt;&gt;"",BoM_Solar[[#This Row],[Currency]]="NOK"),BoM_Solar[[#This Row],[Quantity]]*BoM_Solar[[#This Row],[Unit Price]],""),"")</f>
        <v/>
      </c>
      <c r="Q244" s="41" t="str">
        <f>IFERROR(IF(AND(BoM_Solar[[#This Row],[ACT_Qty]]&lt;&gt;"",BoM_Solar[[#This Row],[Currency]]="NOK"),BoM_Solar[[#This Row],[ACT_Qty]]*BoM_Solar[[#This Row],[Unit Price]],""),"")</f>
        <v/>
      </c>
      <c r="R244" s="41" t="str">
        <f>IFERROR(IF(AND(BoM_Solar[[#This Row],[Quantity]]&lt;&gt;"",BoM_Solar[[#This Row],[Currency]]="EUR"),BoM_Solar[[#This Row],[Quantity]]*BoM_Solar[[#This Row],[Unit Price]],""),"")</f>
        <v/>
      </c>
      <c r="S244" s="41" t="str">
        <f>IFERROR(IF(AND(BoM_Solar[[#This Row],[ACT_Qty]]&lt;&gt;"",BoM_Solar[[#This Row],[Currency]]="EUR"),BoM_Solar[[#This Row],[ACT_Qty]]*BoM_Solar[[#This Row],[Unit Price]],""),"")</f>
        <v/>
      </c>
      <c r="T244" s="185"/>
      <c r="U244" s="45"/>
      <c r="V244" s="45"/>
      <c r="W244" s="45"/>
    </row>
    <row r="245" spans="1:23">
      <c r="A245" s="146" t="str">
        <f t="shared" si="8"/>
        <v>AKH12345</v>
      </c>
      <c r="B245">
        <v>1323859</v>
      </c>
      <c r="C245" t="s">
        <v>3563</v>
      </c>
      <c r="D245" s="105"/>
      <c r="E245" s="106"/>
      <c r="F245" s="105"/>
      <c r="G245" s="106"/>
      <c r="H245" s="175"/>
      <c r="I245" s="176"/>
      <c r="J245" s="176"/>
      <c r="K245" s="176"/>
      <c r="L245" s="145" t="s">
        <v>3326</v>
      </c>
      <c r="M245" s="45" t="str">
        <f t="shared" si="9"/>
        <v>OneCo Networks AS</v>
      </c>
      <c r="N245" s="40" t="str">
        <f ca="1">IFERROR(
VLOOKUP(BoM_Solar[[#This Row],[Product code]],
IF(AND((BoQ!$N$3&lt;&gt;""),OR(BoM_Solar[[#This Row],[Vendor]]="Griptel",BoM_Solar[[#This Row],[Vendor]]="Solar")),INDIRECT(Aux!$A$1)),4,FALSE),"")</f>
        <v/>
      </c>
      <c r="O245" s="169" t="s">
        <v>1807</v>
      </c>
      <c r="P245" s="41" t="str">
        <f>IFERROR(IF(AND(BoM_Solar[[#This Row],[Quantity]]&lt;&gt;"",BoM_Solar[[#This Row],[Currency]]="NOK"),BoM_Solar[[#This Row],[Quantity]]*BoM_Solar[[#This Row],[Unit Price]],""),"")</f>
        <v/>
      </c>
      <c r="Q245" s="41" t="str">
        <f>IFERROR(IF(AND(BoM_Solar[[#This Row],[ACT_Qty]]&lt;&gt;"",BoM_Solar[[#This Row],[Currency]]="NOK"),BoM_Solar[[#This Row],[ACT_Qty]]*BoM_Solar[[#This Row],[Unit Price]],""),"")</f>
        <v/>
      </c>
      <c r="R245" s="41" t="str">
        <f>IFERROR(IF(AND(BoM_Solar[[#This Row],[Quantity]]&lt;&gt;"",BoM_Solar[[#This Row],[Currency]]="EUR"),BoM_Solar[[#This Row],[Quantity]]*BoM_Solar[[#This Row],[Unit Price]],""),"")</f>
        <v/>
      </c>
      <c r="S245" s="41" t="str">
        <f>IFERROR(IF(AND(BoM_Solar[[#This Row],[ACT_Qty]]&lt;&gt;"",BoM_Solar[[#This Row],[Currency]]="EUR"),BoM_Solar[[#This Row],[ACT_Qty]]*BoM_Solar[[#This Row],[Unit Price]],""),"")</f>
        <v/>
      </c>
      <c r="T245" s="185"/>
      <c r="U245" s="45"/>
      <c r="V245" s="45"/>
      <c r="W245" s="45"/>
    </row>
    <row r="246" spans="1:23">
      <c r="A246" s="146" t="str">
        <f t="shared" si="8"/>
        <v>AKH12345</v>
      </c>
      <c r="B246">
        <v>2030131</v>
      </c>
      <c r="C246" t="s">
        <v>3564</v>
      </c>
      <c r="D246" s="105"/>
      <c r="E246" s="106"/>
      <c r="F246" s="105"/>
      <c r="G246" s="106"/>
      <c r="H246" s="175"/>
      <c r="I246" s="176"/>
      <c r="J246" s="176"/>
      <c r="K246" s="176"/>
      <c r="L246" s="145" t="s">
        <v>3326</v>
      </c>
      <c r="M246" s="45" t="str">
        <f t="shared" si="9"/>
        <v>OneCo Networks AS</v>
      </c>
      <c r="N246" s="40" t="str">
        <f ca="1">IFERROR(
VLOOKUP(BoM_Solar[[#This Row],[Product code]],
IF(AND((BoQ!$N$3&lt;&gt;""),OR(BoM_Solar[[#This Row],[Vendor]]="Griptel",BoM_Solar[[#This Row],[Vendor]]="Solar")),INDIRECT(Aux!$A$1)),4,FALSE),"")</f>
        <v/>
      </c>
      <c r="O246" s="169" t="s">
        <v>1807</v>
      </c>
      <c r="P246" s="41" t="str">
        <f>IFERROR(IF(AND(BoM_Solar[[#This Row],[Quantity]]&lt;&gt;"",BoM_Solar[[#This Row],[Currency]]="NOK"),BoM_Solar[[#This Row],[Quantity]]*BoM_Solar[[#This Row],[Unit Price]],""),"")</f>
        <v/>
      </c>
      <c r="Q246" s="41" t="str">
        <f>IFERROR(IF(AND(BoM_Solar[[#This Row],[ACT_Qty]]&lt;&gt;"",BoM_Solar[[#This Row],[Currency]]="NOK"),BoM_Solar[[#This Row],[ACT_Qty]]*BoM_Solar[[#This Row],[Unit Price]],""),"")</f>
        <v/>
      </c>
      <c r="R246" s="41" t="str">
        <f>IFERROR(IF(AND(BoM_Solar[[#This Row],[Quantity]]&lt;&gt;"",BoM_Solar[[#This Row],[Currency]]="EUR"),BoM_Solar[[#This Row],[Quantity]]*BoM_Solar[[#This Row],[Unit Price]],""),"")</f>
        <v/>
      </c>
      <c r="S246" s="41" t="str">
        <f>IFERROR(IF(AND(BoM_Solar[[#This Row],[ACT_Qty]]&lt;&gt;"",BoM_Solar[[#This Row],[Currency]]="EUR"),BoM_Solar[[#This Row],[ACT_Qty]]*BoM_Solar[[#This Row],[Unit Price]],""),"")</f>
        <v/>
      </c>
      <c r="T246" s="185"/>
      <c r="U246" s="45"/>
      <c r="V246" s="45"/>
      <c r="W246" s="45"/>
    </row>
    <row r="247" spans="1:23">
      <c r="A247" s="146" t="str">
        <f t="shared" si="8"/>
        <v>AKH12345</v>
      </c>
      <c r="B247">
        <v>1352003</v>
      </c>
      <c r="C247" t="s">
        <v>3565</v>
      </c>
      <c r="D247" s="105"/>
      <c r="E247" s="106"/>
      <c r="F247" s="105"/>
      <c r="G247" s="106"/>
      <c r="H247" s="175"/>
      <c r="I247" s="176"/>
      <c r="J247" s="176"/>
      <c r="K247" s="176"/>
      <c r="L247" s="145" t="s">
        <v>3326</v>
      </c>
      <c r="M247" s="45" t="str">
        <f t="shared" si="9"/>
        <v>OneCo Networks AS</v>
      </c>
      <c r="N247" s="40" t="str">
        <f ca="1">IFERROR(
VLOOKUP(BoM_Solar[[#This Row],[Product code]],
IF(AND((BoQ!$N$3&lt;&gt;""),OR(BoM_Solar[[#This Row],[Vendor]]="Griptel",BoM_Solar[[#This Row],[Vendor]]="Solar")),INDIRECT(Aux!$A$1)),4,FALSE),"")</f>
        <v/>
      </c>
      <c r="O247" s="169" t="s">
        <v>1807</v>
      </c>
      <c r="P247" s="41" t="str">
        <f>IFERROR(IF(AND(BoM_Solar[[#This Row],[Quantity]]&lt;&gt;"",BoM_Solar[[#This Row],[Currency]]="NOK"),BoM_Solar[[#This Row],[Quantity]]*BoM_Solar[[#This Row],[Unit Price]],""),"")</f>
        <v/>
      </c>
      <c r="Q247" s="41" t="str">
        <f>IFERROR(IF(AND(BoM_Solar[[#This Row],[ACT_Qty]]&lt;&gt;"",BoM_Solar[[#This Row],[Currency]]="NOK"),BoM_Solar[[#This Row],[ACT_Qty]]*BoM_Solar[[#This Row],[Unit Price]],""),"")</f>
        <v/>
      </c>
      <c r="R247" s="41" t="str">
        <f>IFERROR(IF(AND(BoM_Solar[[#This Row],[Quantity]]&lt;&gt;"",BoM_Solar[[#This Row],[Currency]]="EUR"),BoM_Solar[[#This Row],[Quantity]]*BoM_Solar[[#This Row],[Unit Price]],""),"")</f>
        <v/>
      </c>
      <c r="S247" s="41" t="str">
        <f>IFERROR(IF(AND(BoM_Solar[[#This Row],[ACT_Qty]]&lt;&gt;"",BoM_Solar[[#This Row],[Currency]]="EUR"),BoM_Solar[[#This Row],[ACT_Qty]]*BoM_Solar[[#This Row],[Unit Price]],""),"")</f>
        <v/>
      </c>
      <c r="T247" s="185"/>
      <c r="U247" s="45"/>
      <c r="V247" s="45"/>
      <c r="W247" s="45"/>
    </row>
    <row r="248" spans="1:23">
      <c r="A248" s="146" t="str">
        <f t="shared" si="8"/>
        <v>AKH12345</v>
      </c>
      <c r="B248">
        <v>2029608</v>
      </c>
      <c r="C248" t="s">
        <v>3566</v>
      </c>
      <c r="D248" s="105"/>
      <c r="E248" s="106"/>
      <c r="F248" s="105"/>
      <c r="G248" s="106"/>
      <c r="H248" s="175"/>
      <c r="I248" s="176"/>
      <c r="J248" s="176"/>
      <c r="K248" s="176"/>
      <c r="L248" s="145" t="s">
        <v>3326</v>
      </c>
      <c r="M248" s="45" t="str">
        <f t="shared" si="9"/>
        <v>OneCo Networks AS</v>
      </c>
      <c r="N248" s="40" t="str">
        <f ca="1">IFERROR(
VLOOKUP(BoM_Solar[[#This Row],[Product code]],
IF(AND((BoQ!$N$3&lt;&gt;""),OR(BoM_Solar[[#This Row],[Vendor]]="Griptel",BoM_Solar[[#This Row],[Vendor]]="Solar")),INDIRECT(Aux!$A$1)),4,FALSE),"")</f>
        <v/>
      </c>
      <c r="O248" s="169" t="s">
        <v>1807</v>
      </c>
      <c r="P248" s="41" t="str">
        <f>IFERROR(IF(AND(BoM_Solar[[#This Row],[Quantity]]&lt;&gt;"",BoM_Solar[[#This Row],[Currency]]="NOK"),BoM_Solar[[#This Row],[Quantity]]*BoM_Solar[[#This Row],[Unit Price]],""),"")</f>
        <v/>
      </c>
      <c r="Q248" s="41" t="str">
        <f>IFERROR(IF(AND(BoM_Solar[[#This Row],[ACT_Qty]]&lt;&gt;"",BoM_Solar[[#This Row],[Currency]]="NOK"),BoM_Solar[[#This Row],[ACT_Qty]]*BoM_Solar[[#This Row],[Unit Price]],""),"")</f>
        <v/>
      </c>
      <c r="R248" s="41" t="str">
        <f>IFERROR(IF(AND(BoM_Solar[[#This Row],[Quantity]]&lt;&gt;"",BoM_Solar[[#This Row],[Currency]]="EUR"),BoM_Solar[[#This Row],[Quantity]]*BoM_Solar[[#This Row],[Unit Price]],""),"")</f>
        <v/>
      </c>
      <c r="S248" s="41" t="str">
        <f>IFERROR(IF(AND(BoM_Solar[[#This Row],[ACT_Qty]]&lt;&gt;"",BoM_Solar[[#This Row],[Currency]]="EUR"),BoM_Solar[[#This Row],[ACT_Qty]]*BoM_Solar[[#This Row],[Unit Price]],""),"")</f>
        <v/>
      </c>
      <c r="T248" s="185"/>
      <c r="U248" s="45"/>
      <c r="V248" s="45"/>
      <c r="W248" s="45"/>
    </row>
    <row r="249" spans="1:23">
      <c r="A249" s="146" t="str">
        <f t="shared" si="8"/>
        <v>AKH12345</v>
      </c>
      <c r="B249">
        <v>6970797</v>
      </c>
      <c r="C249" t="s">
        <v>3567</v>
      </c>
      <c r="D249" s="105"/>
      <c r="E249" s="106"/>
      <c r="F249" s="105"/>
      <c r="G249" s="106"/>
      <c r="H249" s="175"/>
      <c r="I249" s="176"/>
      <c r="J249" s="176"/>
      <c r="K249" s="176"/>
      <c r="L249" s="145" t="s">
        <v>3326</v>
      </c>
      <c r="M249" s="45" t="str">
        <f t="shared" si="9"/>
        <v>OneCo Networks AS</v>
      </c>
      <c r="N249" s="40" t="str">
        <f ca="1">IFERROR(
VLOOKUP(BoM_Solar[[#This Row],[Product code]],
IF(AND((BoQ!$N$3&lt;&gt;""),OR(BoM_Solar[[#This Row],[Vendor]]="Griptel",BoM_Solar[[#This Row],[Vendor]]="Solar")),INDIRECT(Aux!$A$1)),4,FALSE),"")</f>
        <v/>
      </c>
      <c r="O249" s="169" t="s">
        <v>1807</v>
      </c>
      <c r="P249" s="41" t="str">
        <f>IFERROR(IF(AND(BoM_Solar[[#This Row],[Quantity]]&lt;&gt;"",BoM_Solar[[#This Row],[Currency]]="NOK"),BoM_Solar[[#This Row],[Quantity]]*BoM_Solar[[#This Row],[Unit Price]],""),"")</f>
        <v/>
      </c>
      <c r="Q249" s="41" t="str">
        <f>IFERROR(IF(AND(BoM_Solar[[#This Row],[ACT_Qty]]&lt;&gt;"",BoM_Solar[[#This Row],[Currency]]="NOK"),BoM_Solar[[#This Row],[ACT_Qty]]*BoM_Solar[[#This Row],[Unit Price]],""),"")</f>
        <v/>
      </c>
      <c r="R249" s="41" t="str">
        <f>IFERROR(IF(AND(BoM_Solar[[#This Row],[Quantity]]&lt;&gt;"",BoM_Solar[[#This Row],[Currency]]="EUR"),BoM_Solar[[#This Row],[Quantity]]*BoM_Solar[[#This Row],[Unit Price]],""),"")</f>
        <v/>
      </c>
      <c r="S249" s="41" t="str">
        <f>IFERROR(IF(AND(BoM_Solar[[#This Row],[ACT_Qty]]&lt;&gt;"",BoM_Solar[[#This Row],[Currency]]="EUR"),BoM_Solar[[#This Row],[ACT_Qty]]*BoM_Solar[[#This Row],[Unit Price]],""),"")</f>
        <v/>
      </c>
      <c r="T249" s="185"/>
      <c r="U249" s="45"/>
      <c r="V249" s="45"/>
      <c r="W249" s="45"/>
    </row>
    <row r="250" spans="1:23">
      <c r="A250" s="146" t="str">
        <f t="shared" si="8"/>
        <v>AKH12345</v>
      </c>
      <c r="B250">
        <v>1003827</v>
      </c>
      <c r="C250" t="s">
        <v>3568</v>
      </c>
      <c r="D250" s="105"/>
      <c r="E250" s="106"/>
      <c r="F250" s="105"/>
      <c r="G250" s="106"/>
      <c r="H250" s="175"/>
      <c r="I250" s="176"/>
      <c r="J250" s="176"/>
      <c r="K250" s="176"/>
      <c r="L250" s="145" t="s">
        <v>3326</v>
      </c>
      <c r="M250" s="45" t="str">
        <f t="shared" si="9"/>
        <v>OneCo Networks AS</v>
      </c>
      <c r="N250" s="40" t="str">
        <f ca="1">IFERROR(
VLOOKUP(BoM_Solar[[#This Row],[Product code]],
IF(AND((BoQ!$N$3&lt;&gt;""),OR(BoM_Solar[[#This Row],[Vendor]]="Griptel",BoM_Solar[[#This Row],[Vendor]]="Solar")),INDIRECT(Aux!$A$1)),4,FALSE),"")</f>
        <v/>
      </c>
      <c r="O250" s="169" t="s">
        <v>1807</v>
      </c>
      <c r="P250" s="41" t="str">
        <f>IFERROR(IF(AND(BoM_Solar[[#This Row],[Quantity]]&lt;&gt;"",BoM_Solar[[#This Row],[Currency]]="NOK"),BoM_Solar[[#This Row],[Quantity]]*BoM_Solar[[#This Row],[Unit Price]],""),"")</f>
        <v/>
      </c>
      <c r="Q250" s="41" t="str">
        <f>IFERROR(IF(AND(BoM_Solar[[#This Row],[ACT_Qty]]&lt;&gt;"",BoM_Solar[[#This Row],[Currency]]="NOK"),BoM_Solar[[#This Row],[ACT_Qty]]*BoM_Solar[[#This Row],[Unit Price]],""),"")</f>
        <v/>
      </c>
      <c r="R250" s="41" t="str">
        <f>IFERROR(IF(AND(BoM_Solar[[#This Row],[Quantity]]&lt;&gt;"",BoM_Solar[[#This Row],[Currency]]="EUR"),BoM_Solar[[#This Row],[Quantity]]*BoM_Solar[[#This Row],[Unit Price]],""),"")</f>
        <v/>
      </c>
      <c r="S250" s="41" t="str">
        <f>IFERROR(IF(AND(BoM_Solar[[#This Row],[ACT_Qty]]&lt;&gt;"",BoM_Solar[[#This Row],[Currency]]="EUR"),BoM_Solar[[#This Row],[ACT_Qty]]*BoM_Solar[[#This Row],[Unit Price]],""),"")</f>
        <v/>
      </c>
      <c r="T250" s="185"/>
      <c r="U250" s="45"/>
      <c r="V250" s="45"/>
      <c r="W250" s="45"/>
    </row>
    <row r="251" spans="1:23">
      <c r="A251" s="146" t="str">
        <f t="shared" si="8"/>
        <v>AKH12345</v>
      </c>
      <c r="B251">
        <v>1262362</v>
      </c>
      <c r="C251" t="s">
        <v>3569</v>
      </c>
      <c r="D251" s="105"/>
      <c r="E251" s="106"/>
      <c r="F251" s="105"/>
      <c r="G251" s="106"/>
      <c r="H251" s="175"/>
      <c r="I251" s="176"/>
      <c r="J251" s="176"/>
      <c r="K251" s="176"/>
      <c r="L251" s="145" t="s">
        <v>3326</v>
      </c>
      <c r="M251" s="45" t="str">
        <f t="shared" si="9"/>
        <v>OneCo Networks AS</v>
      </c>
      <c r="N251" s="40" t="str">
        <f ca="1">IFERROR(
VLOOKUP(BoM_Solar[[#This Row],[Product code]],
IF(AND((BoQ!$N$3&lt;&gt;""),OR(BoM_Solar[[#This Row],[Vendor]]="Griptel",BoM_Solar[[#This Row],[Vendor]]="Solar")),INDIRECT(Aux!$A$1)),4,FALSE),"")</f>
        <v/>
      </c>
      <c r="O251" s="169" t="s">
        <v>1807</v>
      </c>
      <c r="P251" s="41" t="str">
        <f>IFERROR(IF(AND(BoM_Solar[[#This Row],[Quantity]]&lt;&gt;"",BoM_Solar[[#This Row],[Currency]]="NOK"),BoM_Solar[[#This Row],[Quantity]]*BoM_Solar[[#This Row],[Unit Price]],""),"")</f>
        <v/>
      </c>
      <c r="Q251" s="41" t="str">
        <f>IFERROR(IF(AND(BoM_Solar[[#This Row],[ACT_Qty]]&lt;&gt;"",BoM_Solar[[#This Row],[Currency]]="NOK"),BoM_Solar[[#This Row],[ACT_Qty]]*BoM_Solar[[#This Row],[Unit Price]],""),"")</f>
        <v/>
      </c>
      <c r="R251" s="41" t="str">
        <f>IFERROR(IF(AND(BoM_Solar[[#This Row],[Quantity]]&lt;&gt;"",BoM_Solar[[#This Row],[Currency]]="EUR"),BoM_Solar[[#This Row],[Quantity]]*BoM_Solar[[#This Row],[Unit Price]],""),"")</f>
        <v/>
      </c>
      <c r="S251" s="41" t="str">
        <f>IFERROR(IF(AND(BoM_Solar[[#This Row],[ACT_Qty]]&lt;&gt;"",BoM_Solar[[#This Row],[Currency]]="EUR"),BoM_Solar[[#This Row],[ACT_Qty]]*BoM_Solar[[#This Row],[Unit Price]],""),"")</f>
        <v/>
      </c>
      <c r="T251" s="185"/>
      <c r="U251" s="45"/>
      <c r="V251" s="45"/>
      <c r="W251" s="45"/>
    </row>
    <row r="252" spans="1:23">
      <c r="A252" s="146" t="str">
        <f t="shared" si="8"/>
        <v>AKH12345</v>
      </c>
      <c r="B252">
        <v>1704471</v>
      </c>
      <c r="C252" t="s">
        <v>3570</v>
      </c>
      <c r="D252" s="105"/>
      <c r="E252" s="106"/>
      <c r="F252" s="105"/>
      <c r="G252" s="106"/>
      <c r="H252" s="175"/>
      <c r="I252" s="176"/>
      <c r="J252" s="176"/>
      <c r="K252" s="176"/>
      <c r="L252" s="145" t="s">
        <v>3326</v>
      </c>
      <c r="M252" s="45" t="str">
        <f t="shared" si="9"/>
        <v>OneCo Networks AS</v>
      </c>
      <c r="N252" s="40" t="str">
        <f ca="1">IFERROR(
VLOOKUP(BoM_Solar[[#This Row],[Product code]],
IF(AND((BoQ!$N$3&lt;&gt;""),OR(BoM_Solar[[#This Row],[Vendor]]="Griptel",BoM_Solar[[#This Row],[Vendor]]="Solar")),INDIRECT(Aux!$A$1)),4,FALSE),"")</f>
        <v/>
      </c>
      <c r="O252" s="169" t="s">
        <v>1807</v>
      </c>
      <c r="P252" s="41" t="str">
        <f>IFERROR(IF(AND(BoM_Solar[[#This Row],[Quantity]]&lt;&gt;"",BoM_Solar[[#This Row],[Currency]]="NOK"),BoM_Solar[[#This Row],[Quantity]]*BoM_Solar[[#This Row],[Unit Price]],""),"")</f>
        <v/>
      </c>
      <c r="Q252" s="41" t="str">
        <f>IFERROR(IF(AND(BoM_Solar[[#This Row],[ACT_Qty]]&lt;&gt;"",BoM_Solar[[#This Row],[Currency]]="NOK"),BoM_Solar[[#This Row],[ACT_Qty]]*BoM_Solar[[#This Row],[Unit Price]],""),"")</f>
        <v/>
      </c>
      <c r="R252" s="41" t="str">
        <f>IFERROR(IF(AND(BoM_Solar[[#This Row],[Quantity]]&lt;&gt;"",BoM_Solar[[#This Row],[Currency]]="EUR"),BoM_Solar[[#This Row],[Quantity]]*BoM_Solar[[#This Row],[Unit Price]],""),"")</f>
        <v/>
      </c>
      <c r="S252" s="41" t="str">
        <f>IFERROR(IF(AND(BoM_Solar[[#This Row],[ACT_Qty]]&lt;&gt;"",BoM_Solar[[#This Row],[Currency]]="EUR"),BoM_Solar[[#This Row],[ACT_Qty]]*BoM_Solar[[#This Row],[Unit Price]],""),"")</f>
        <v/>
      </c>
      <c r="T252" s="185"/>
      <c r="U252" s="45"/>
      <c r="V252" s="45"/>
      <c r="W252" s="45"/>
    </row>
    <row r="253" spans="1:23">
      <c r="A253" s="146" t="str">
        <f t="shared" si="8"/>
        <v>AKH12345</v>
      </c>
      <c r="B253">
        <v>2858151</v>
      </c>
      <c r="C253" t="s">
        <v>3571</v>
      </c>
      <c r="D253" s="105"/>
      <c r="E253" s="106"/>
      <c r="F253" s="105"/>
      <c r="G253" s="106"/>
      <c r="H253" s="175"/>
      <c r="I253" s="176"/>
      <c r="J253" s="176"/>
      <c r="K253" s="176"/>
      <c r="L253" s="145" t="s">
        <v>3326</v>
      </c>
      <c r="M253" s="45" t="str">
        <f t="shared" si="9"/>
        <v>OneCo Networks AS</v>
      </c>
      <c r="N253" s="40" t="str">
        <f ca="1">IFERROR(
VLOOKUP(BoM_Solar[[#This Row],[Product code]],
IF(AND((BoQ!$N$3&lt;&gt;""),OR(BoM_Solar[[#This Row],[Vendor]]="Griptel",BoM_Solar[[#This Row],[Vendor]]="Solar")),INDIRECT(Aux!$A$1)),4,FALSE),"")</f>
        <v/>
      </c>
      <c r="O253" s="169" t="s">
        <v>1807</v>
      </c>
      <c r="P253" s="41" t="str">
        <f>IFERROR(IF(AND(BoM_Solar[[#This Row],[Quantity]]&lt;&gt;"",BoM_Solar[[#This Row],[Currency]]="NOK"),BoM_Solar[[#This Row],[Quantity]]*BoM_Solar[[#This Row],[Unit Price]],""),"")</f>
        <v/>
      </c>
      <c r="Q253" s="41" t="str">
        <f>IFERROR(IF(AND(BoM_Solar[[#This Row],[ACT_Qty]]&lt;&gt;"",BoM_Solar[[#This Row],[Currency]]="NOK"),BoM_Solar[[#This Row],[ACT_Qty]]*BoM_Solar[[#This Row],[Unit Price]],""),"")</f>
        <v/>
      </c>
      <c r="R253" s="41" t="str">
        <f>IFERROR(IF(AND(BoM_Solar[[#This Row],[Quantity]]&lt;&gt;"",BoM_Solar[[#This Row],[Currency]]="EUR"),BoM_Solar[[#This Row],[Quantity]]*BoM_Solar[[#This Row],[Unit Price]],""),"")</f>
        <v/>
      </c>
      <c r="S253" s="41" t="str">
        <f>IFERROR(IF(AND(BoM_Solar[[#This Row],[ACT_Qty]]&lt;&gt;"",BoM_Solar[[#This Row],[Currency]]="EUR"),BoM_Solar[[#This Row],[ACT_Qty]]*BoM_Solar[[#This Row],[Unit Price]],""),"")</f>
        <v/>
      </c>
      <c r="T253" s="185"/>
      <c r="U253" s="45"/>
      <c r="V253" s="45"/>
      <c r="W253" s="45"/>
    </row>
    <row r="254" spans="1:23">
      <c r="A254" s="146" t="str">
        <f t="shared" ref="A254:A284" si="10">IF($C$4&lt;&gt;"",$C$4,"")</f>
        <v>AKH12345</v>
      </c>
      <c r="D254" s="105"/>
      <c r="E254" s="106"/>
      <c r="F254" s="105"/>
      <c r="G254" s="106"/>
      <c r="H254" s="175"/>
      <c r="I254" s="176"/>
      <c r="J254" s="176"/>
      <c r="K254" s="176"/>
      <c r="L254" s="145" t="s">
        <v>3326</v>
      </c>
      <c r="M254" s="45" t="str">
        <f t="shared" ref="M254:M305" si="11">IF($C$3&lt;&gt;"",$C$3,"")</f>
        <v>OneCo Networks AS</v>
      </c>
      <c r="N254" s="40" t="str">
        <f ca="1">IFERROR(
VLOOKUP(BoM_Solar[[#This Row],[Product code]],
IF(AND((BoQ!$N$3&lt;&gt;""),OR(BoM_Solar[[#This Row],[Vendor]]="Griptel",BoM_Solar[[#This Row],[Vendor]]="Solar")),INDIRECT(Aux!$A$1)),4,FALSE),"")</f>
        <v/>
      </c>
      <c r="O254" s="169" t="s">
        <v>1807</v>
      </c>
      <c r="P254" s="41" t="str">
        <f>IFERROR(IF(AND(BoM_Solar[[#This Row],[Quantity]]&lt;&gt;"",BoM_Solar[[#This Row],[Currency]]="NOK"),BoM_Solar[[#This Row],[Quantity]]*BoM_Solar[[#This Row],[Unit Price]],""),"")</f>
        <v/>
      </c>
      <c r="Q254" s="41" t="str">
        <f>IFERROR(IF(AND(BoM_Solar[[#This Row],[ACT_Qty]]&lt;&gt;"",BoM_Solar[[#This Row],[Currency]]="NOK"),BoM_Solar[[#This Row],[ACT_Qty]]*BoM_Solar[[#This Row],[Unit Price]],""),"")</f>
        <v/>
      </c>
      <c r="R254" s="41" t="str">
        <f>IFERROR(IF(AND(BoM_Solar[[#This Row],[Quantity]]&lt;&gt;"",BoM_Solar[[#This Row],[Currency]]="EUR"),BoM_Solar[[#This Row],[Quantity]]*BoM_Solar[[#This Row],[Unit Price]],""),"")</f>
        <v/>
      </c>
      <c r="S254" s="41" t="str">
        <f>IFERROR(IF(AND(BoM_Solar[[#This Row],[ACT_Qty]]&lt;&gt;"",BoM_Solar[[#This Row],[Currency]]="EUR"),BoM_Solar[[#This Row],[ACT_Qty]]*BoM_Solar[[#This Row],[Unit Price]],""),"")</f>
        <v/>
      </c>
      <c r="T254" s="185"/>
      <c r="U254" s="45"/>
      <c r="V254" s="45"/>
      <c r="W254" s="45"/>
    </row>
    <row r="255" spans="1:23">
      <c r="A255" s="146" t="str">
        <f t="shared" si="10"/>
        <v>AKH12345</v>
      </c>
      <c r="D255" s="105"/>
      <c r="E255" s="106"/>
      <c r="F255" s="105"/>
      <c r="G255" s="106"/>
      <c r="H255" s="175"/>
      <c r="I255" s="176"/>
      <c r="J255" s="176"/>
      <c r="K255" s="176"/>
      <c r="L255" s="145" t="s">
        <v>3326</v>
      </c>
      <c r="M255" s="45" t="str">
        <f t="shared" si="11"/>
        <v>OneCo Networks AS</v>
      </c>
      <c r="N255" s="40" t="str">
        <f ca="1">IFERROR(
VLOOKUP(BoM_Solar[[#This Row],[Product code]],
IF(AND((BoQ!$N$3&lt;&gt;""),OR(BoM_Solar[[#This Row],[Vendor]]="Griptel",BoM_Solar[[#This Row],[Vendor]]="Solar")),INDIRECT(Aux!$A$1)),4,FALSE),"")</f>
        <v/>
      </c>
      <c r="O255" s="169" t="s">
        <v>1807</v>
      </c>
      <c r="P255" s="41" t="str">
        <f>IFERROR(IF(AND(BoM_Solar[[#This Row],[Quantity]]&lt;&gt;"",BoM_Solar[[#This Row],[Currency]]="NOK"),BoM_Solar[[#This Row],[Quantity]]*BoM_Solar[[#This Row],[Unit Price]],""),"")</f>
        <v/>
      </c>
      <c r="Q255" s="41" t="str">
        <f>IFERROR(IF(AND(BoM_Solar[[#This Row],[ACT_Qty]]&lt;&gt;"",BoM_Solar[[#This Row],[Currency]]="NOK"),BoM_Solar[[#This Row],[ACT_Qty]]*BoM_Solar[[#This Row],[Unit Price]],""),"")</f>
        <v/>
      </c>
      <c r="R255" s="41" t="str">
        <f>IFERROR(IF(AND(BoM_Solar[[#This Row],[Quantity]]&lt;&gt;"",BoM_Solar[[#This Row],[Currency]]="EUR"),BoM_Solar[[#This Row],[Quantity]]*BoM_Solar[[#This Row],[Unit Price]],""),"")</f>
        <v/>
      </c>
      <c r="S255" s="41" t="str">
        <f>IFERROR(IF(AND(BoM_Solar[[#This Row],[ACT_Qty]]&lt;&gt;"",BoM_Solar[[#This Row],[Currency]]="EUR"),BoM_Solar[[#This Row],[ACT_Qty]]*BoM_Solar[[#This Row],[Unit Price]],""),"")</f>
        <v/>
      </c>
      <c r="T255" s="185"/>
      <c r="U255" s="45"/>
      <c r="V255" s="45"/>
      <c r="W255" s="45"/>
    </row>
    <row r="256" spans="1:23">
      <c r="A256" s="146" t="str">
        <f t="shared" si="10"/>
        <v>AKH12345</v>
      </c>
      <c r="D256" s="105"/>
      <c r="E256" s="106"/>
      <c r="F256" s="105"/>
      <c r="G256" s="106"/>
      <c r="H256" s="175"/>
      <c r="I256" s="176"/>
      <c r="J256" s="176"/>
      <c r="K256" s="176"/>
      <c r="L256" s="145" t="s">
        <v>3326</v>
      </c>
      <c r="M256" s="45" t="str">
        <f t="shared" si="11"/>
        <v>OneCo Networks AS</v>
      </c>
      <c r="N256" s="40" t="str">
        <f ca="1">IFERROR(
VLOOKUP(BoM_Solar[[#This Row],[Product code]],
IF(AND((BoQ!$N$3&lt;&gt;""),OR(BoM_Solar[[#This Row],[Vendor]]="Griptel",BoM_Solar[[#This Row],[Vendor]]="Solar")),INDIRECT(Aux!$A$1)),4,FALSE),"")</f>
        <v/>
      </c>
      <c r="O256" s="169" t="s">
        <v>1807</v>
      </c>
      <c r="P256" s="41" t="str">
        <f>IFERROR(IF(AND(BoM_Solar[[#This Row],[Quantity]]&lt;&gt;"",BoM_Solar[[#This Row],[Currency]]="NOK"),BoM_Solar[[#This Row],[Quantity]]*BoM_Solar[[#This Row],[Unit Price]],""),"")</f>
        <v/>
      </c>
      <c r="Q256" s="41" t="str">
        <f>IFERROR(IF(AND(BoM_Solar[[#This Row],[ACT_Qty]]&lt;&gt;"",BoM_Solar[[#This Row],[Currency]]="NOK"),BoM_Solar[[#This Row],[ACT_Qty]]*BoM_Solar[[#This Row],[Unit Price]],""),"")</f>
        <v/>
      </c>
      <c r="R256" s="41" t="str">
        <f>IFERROR(IF(AND(BoM_Solar[[#This Row],[Quantity]]&lt;&gt;"",BoM_Solar[[#This Row],[Currency]]="EUR"),BoM_Solar[[#This Row],[Quantity]]*BoM_Solar[[#This Row],[Unit Price]],""),"")</f>
        <v/>
      </c>
      <c r="S256" s="41" t="str">
        <f>IFERROR(IF(AND(BoM_Solar[[#This Row],[ACT_Qty]]&lt;&gt;"",BoM_Solar[[#This Row],[Currency]]="EUR"),BoM_Solar[[#This Row],[ACT_Qty]]*BoM_Solar[[#This Row],[Unit Price]],""),"")</f>
        <v/>
      </c>
      <c r="T256" s="185"/>
      <c r="U256" s="45"/>
      <c r="V256" s="45"/>
      <c r="W256" s="45"/>
    </row>
    <row r="257" spans="1:23">
      <c r="A257" s="146" t="str">
        <f t="shared" si="10"/>
        <v>AKH12345</v>
      </c>
      <c r="D257" s="105"/>
      <c r="E257" s="106"/>
      <c r="F257" s="105"/>
      <c r="G257" s="106"/>
      <c r="H257" s="175"/>
      <c r="I257" s="176"/>
      <c r="J257" s="176"/>
      <c r="K257" s="176"/>
      <c r="L257" s="145" t="s">
        <v>3326</v>
      </c>
      <c r="M257" s="45" t="str">
        <f t="shared" si="11"/>
        <v>OneCo Networks AS</v>
      </c>
      <c r="N257" s="40" t="str">
        <f ca="1">IFERROR(
VLOOKUP(BoM_Solar[[#This Row],[Product code]],
IF(AND((BoQ!$N$3&lt;&gt;""),OR(BoM_Solar[[#This Row],[Vendor]]="Griptel",BoM_Solar[[#This Row],[Vendor]]="Solar")),INDIRECT(Aux!$A$1)),4,FALSE),"")</f>
        <v/>
      </c>
      <c r="O257" s="169" t="s">
        <v>1807</v>
      </c>
      <c r="P257" s="41" t="str">
        <f>IFERROR(IF(AND(BoM_Solar[[#This Row],[Quantity]]&lt;&gt;"",BoM_Solar[[#This Row],[Currency]]="NOK"),BoM_Solar[[#This Row],[Quantity]]*BoM_Solar[[#This Row],[Unit Price]],""),"")</f>
        <v/>
      </c>
      <c r="Q257" s="41" t="str">
        <f>IFERROR(IF(AND(BoM_Solar[[#This Row],[ACT_Qty]]&lt;&gt;"",BoM_Solar[[#This Row],[Currency]]="NOK"),BoM_Solar[[#This Row],[ACT_Qty]]*BoM_Solar[[#This Row],[Unit Price]],""),"")</f>
        <v/>
      </c>
      <c r="R257" s="41" t="str">
        <f>IFERROR(IF(AND(BoM_Solar[[#This Row],[Quantity]]&lt;&gt;"",BoM_Solar[[#This Row],[Currency]]="EUR"),BoM_Solar[[#This Row],[Quantity]]*BoM_Solar[[#This Row],[Unit Price]],""),"")</f>
        <v/>
      </c>
      <c r="S257" s="41" t="str">
        <f>IFERROR(IF(AND(BoM_Solar[[#This Row],[ACT_Qty]]&lt;&gt;"",BoM_Solar[[#This Row],[Currency]]="EUR"),BoM_Solar[[#This Row],[ACT_Qty]]*BoM_Solar[[#This Row],[Unit Price]],""),"")</f>
        <v/>
      </c>
      <c r="T257" s="185"/>
      <c r="U257" s="45"/>
      <c r="V257" s="45"/>
      <c r="W257" s="45"/>
    </row>
    <row r="258" spans="1:23">
      <c r="A258" s="146" t="str">
        <f t="shared" si="10"/>
        <v>AKH12345</v>
      </c>
      <c r="D258" s="105"/>
      <c r="E258" s="106"/>
      <c r="F258" s="105"/>
      <c r="G258" s="106"/>
      <c r="H258" s="175"/>
      <c r="I258" s="176"/>
      <c r="J258" s="176"/>
      <c r="K258" s="176"/>
      <c r="L258" s="145" t="s">
        <v>3326</v>
      </c>
      <c r="M258" s="45" t="str">
        <f t="shared" si="11"/>
        <v>OneCo Networks AS</v>
      </c>
      <c r="N258" s="40" t="str">
        <f ca="1">IFERROR(
VLOOKUP(BoM_Solar[[#This Row],[Product code]],
IF(AND((BoQ!$N$3&lt;&gt;""),OR(BoM_Solar[[#This Row],[Vendor]]="Griptel",BoM_Solar[[#This Row],[Vendor]]="Solar")),INDIRECT(Aux!$A$1)),4,FALSE),"")</f>
        <v/>
      </c>
      <c r="O258" s="169" t="s">
        <v>1807</v>
      </c>
      <c r="P258" s="41" t="str">
        <f>IFERROR(IF(AND(BoM_Solar[[#This Row],[Quantity]]&lt;&gt;"",BoM_Solar[[#This Row],[Currency]]="NOK"),BoM_Solar[[#This Row],[Quantity]]*BoM_Solar[[#This Row],[Unit Price]],""),"")</f>
        <v/>
      </c>
      <c r="Q258" s="41" t="str">
        <f>IFERROR(IF(AND(BoM_Solar[[#This Row],[ACT_Qty]]&lt;&gt;"",BoM_Solar[[#This Row],[Currency]]="NOK"),BoM_Solar[[#This Row],[ACT_Qty]]*BoM_Solar[[#This Row],[Unit Price]],""),"")</f>
        <v/>
      </c>
      <c r="R258" s="41" t="str">
        <f>IFERROR(IF(AND(BoM_Solar[[#This Row],[Quantity]]&lt;&gt;"",BoM_Solar[[#This Row],[Currency]]="EUR"),BoM_Solar[[#This Row],[Quantity]]*BoM_Solar[[#This Row],[Unit Price]],""),"")</f>
        <v/>
      </c>
      <c r="S258" s="41" t="str">
        <f>IFERROR(IF(AND(BoM_Solar[[#This Row],[ACT_Qty]]&lt;&gt;"",BoM_Solar[[#This Row],[Currency]]="EUR"),BoM_Solar[[#This Row],[ACT_Qty]]*BoM_Solar[[#This Row],[Unit Price]],""),"")</f>
        <v/>
      </c>
      <c r="T258" s="185"/>
      <c r="U258" s="45"/>
      <c r="V258" s="45"/>
      <c r="W258" s="45"/>
    </row>
    <row r="259" spans="1:23">
      <c r="A259" s="146" t="str">
        <f t="shared" si="10"/>
        <v>AKH12345</v>
      </c>
      <c r="D259" s="105"/>
      <c r="E259" s="106"/>
      <c r="F259" s="105"/>
      <c r="G259" s="106"/>
      <c r="H259" s="175"/>
      <c r="I259" s="176"/>
      <c r="J259" s="176"/>
      <c r="K259" s="176"/>
      <c r="L259" s="145" t="s">
        <v>3326</v>
      </c>
      <c r="M259" s="45" t="str">
        <f t="shared" si="11"/>
        <v>OneCo Networks AS</v>
      </c>
      <c r="N259" s="40" t="str">
        <f ca="1">IFERROR(
VLOOKUP(BoM_Solar[[#This Row],[Product code]],
IF(AND((BoQ!$N$3&lt;&gt;""),OR(BoM_Solar[[#This Row],[Vendor]]="Griptel",BoM_Solar[[#This Row],[Vendor]]="Solar")),INDIRECT(Aux!$A$1)),4,FALSE),"")</f>
        <v/>
      </c>
      <c r="O259" s="169" t="s">
        <v>1807</v>
      </c>
      <c r="P259" s="41" t="str">
        <f>IFERROR(IF(AND(BoM_Solar[[#This Row],[Quantity]]&lt;&gt;"",BoM_Solar[[#This Row],[Currency]]="NOK"),BoM_Solar[[#This Row],[Quantity]]*BoM_Solar[[#This Row],[Unit Price]],""),"")</f>
        <v/>
      </c>
      <c r="Q259" s="41" t="str">
        <f>IFERROR(IF(AND(BoM_Solar[[#This Row],[ACT_Qty]]&lt;&gt;"",BoM_Solar[[#This Row],[Currency]]="NOK"),BoM_Solar[[#This Row],[ACT_Qty]]*BoM_Solar[[#This Row],[Unit Price]],""),"")</f>
        <v/>
      </c>
      <c r="R259" s="41" t="str">
        <f>IFERROR(IF(AND(BoM_Solar[[#This Row],[Quantity]]&lt;&gt;"",BoM_Solar[[#This Row],[Currency]]="EUR"),BoM_Solar[[#This Row],[Quantity]]*BoM_Solar[[#This Row],[Unit Price]],""),"")</f>
        <v/>
      </c>
      <c r="S259" s="41" t="str">
        <f>IFERROR(IF(AND(BoM_Solar[[#This Row],[ACT_Qty]]&lt;&gt;"",BoM_Solar[[#This Row],[Currency]]="EUR"),BoM_Solar[[#This Row],[ACT_Qty]]*BoM_Solar[[#This Row],[Unit Price]],""),"")</f>
        <v/>
      </c>
      <c r="T259" s="185"/>
      <c r="U259" s="45"/>
      <c r="V259" s="45"/>
      <c r="W259" s="45"/>
    </row>
    <row r="260" spans="1:23">
      <c r="A260" s="146" t="str">
        <f t="shared" si="10"/>
        <v>AKH12345</v>
      </c>
      <c r="D260" s="105"/>
      <c r="E260" s="106"/>
      <c r="F260" s="105"/>
      <c r="G260" s="106"/>
      <c r="H260" s="175"/>
      <c r="I260" s="176"/>
      <c r="J260" s="176"/>
      <c r="K260" s="176"/>
      <c r="L260" s="145" t="s">
        <v>3326</v>
      </c>
      <c r="M260" s="45" t="str">
        <f t="shared" si="11"/>
        <v>OneCo Networks AS</v>
      </c>
      <c r="N260" s="40" t="str">
        <f ca="1">IFERROR(
VLOOKUP(BoM_Solar[[#This Row],[Product code]],
IF(AND((BoQ!$N$3&lt;&gt;""),OR(BoM_Solar[[#This Row],[Vendor]]="Griptel",BoM_Solar[[#This Row],[Vendor]]="Solar")),INDIRECT(Aux!$A$1)),4,FALSE),"")</f>
        <v/>
      </c>
      <c r="O260" s="169" t="s">
        <v>1807</v>
      </c>
      <c r="P260" s="41" t="str">
        <f>IFERROR(IF(AND(BoM_Solar[[#This Row],[Quantity]]&lt;&gt;"",BoM_Solar[[#This Row],[Currency]]="NOK"),BoM_Solar[[#This Row],[Quantity]]*BoM_Solar[[#This Row],[Unit Price]],""),"")</f>
        <v/>
      </c>
      <c r="Q260" s="41" t="str">
        <f>IFERROR(IF(AND(BoM_Solar[[#This Row],[ACT_Qty]]&lt;&gt;"",BoM_Solar[[#This Row],[Currency]]="NOK"),BoM_Solar[[#This Row],[ACT_Qty]]*BoM_Solar[[#This Row],[Unit Price]],""),"")</f>
        <v/>
      </c>
      <c r="R260" s="41" t="str">
        <f>IFERROR(IF(AND(BoM_Solar[[#This Row],[Quantity]]&lt;&gt;"",BoM_Solar[[#This Row],[Currency]]="EUR"),BoM_Solar[[#This Row],[Quantity]]*BoM_Solar[[#This Row],[Unit Price]],""),"")</f>
        <v/>
      </c>
      <c r="S260" s="41" t="str">
        <f>IFERROR(IF(AND(BoM_Solar[[#This Row],[ACT_Qty]]&lt;&gt;"",BoM_Solar[[#This Row],[Currency]]="EUR"),BoM_Solar[[#This Row],[ACT_Qty]]*BoM_Solar[[#This Row],[Unit Price]],""),"")</f>
        <v/>
      </c>
      <c r="T260" s="185"/>
      <c r="U260" s="45"/>
      <c r="V260" s="45"/>
      <c r="W260" s="45"/>
    </row>
    <row r="261" spans="1:23">
      <c r="A261" s="146" t="str">
        <f t="shared" si="10"/>
        <v>AKH12345</v>
      </c>
      <c r="D261" s="105"/>
      <c r="E261" s="106"/>
      <c r="F261" s="105"/>
      <c r="G261" s="106"/>
      <c r="H261" s="175"/>
      <c r="I261" s="176"/>
      <c r="J261" s="176"/>
      <c r="K261" s="176"/>
      <c r="L261" s="145" t="s">
        <v>3326</v>
      </c>
      <c r="M261" s="45" t="str">
        <f t="shared" si="11"/>
        <v>OneCo Networks AS</v>
      </c>
      <c r="N261" s="40" t="str">
        <f ca="1">IFERROR(
VLOOKUP(BoM_Solar[[#This Row],[Product code]],
IF(AND((BoQ!$N$3&lt;&gt;""),OR(BoM_Solar[[#This Row],[Vendor]]="Griptel",BoM_Solar[[#This Row],[Vendor]]="Solar")),INDIRECT(Aux!$A$1)),4,FALSE),"")</f>
        <v/>
      </c>
      <c r="O261" s="169" t="s">
        <v>1807</v>
      </c>
      <c r="P261" s="41" t="str">
        <f>IFERROR(IF(AND(BoM_Solar[[#This Row],[Quantity]]&lt;&gt;"",BoM_Solar[[#This Row],[Currency]]="NOK"),BoM_Solar[[#This Row],[Quantity]]*BoM_Solar[[#This Row],[Unit Price]],""),"")</f>
        <v/>
      </c>
      <c r="Q261" s="41" t="str">
        <f>IFERROR(IF(AND(BoM_Solar[[#This Row],[ACT_Qty]]&lt;&gt;"",BoM_Solar[[#This Row],[Currency]]="NOK"),BoM_Solar[[#This Row],[ACT_Qty]]*BoM_Solar[[#This Row],[Unit Price]],""),"")</f>
        <v/>
      </c>
      <c r="R261" s="41" t="str">
        <f>IFERROR(IF(AND(BoM_Solar[[#This Row],[Quantity]]&lt;&gt;"",BoM_Solar[[#This Row],[Currency]]="EUR"),BoM_Solar[[#This Row],[Quantity]]*BoM_Solar[[#This Row],[Unit Price]],""),"")</f>
        <v/>
      </c>
      <c r="S261" s="41" t="str">
        <f>IFERROR(IF(AND(BoM_Solar[[#This Row],[ACT_Qty]]&lt;&gt;"",BoM_Solar[[#This Row],[Currency]]="EUR"),BoM_Solar[[#This Row],[ACT_Qty]]*BoM_Solar[[#This Row],[Unit Price]],""),"")</f>
        <v/>
      </c>
      <c r="T261" s="185"/>
      <c r="U261" s="45"/>
      <c r="V261" s="45"/>
      <c r="W261" s="45"/>
    </row>
    <row r="262" spans="1:23">
      <c r="A262" s="146" t="str">
        <f t="shared" si="10"/>
        <v>AKH12345</v>
      </c>
      <c r="D262" s="105"/>
      <c r="E262" s="106"/>
      <c r="F262" s="105"/>
      <c r="G262" s="106"/>
      <c r="H262" s="175"/>
      <c r="I262" s="176"/>
      <c r="J262" s="176"/>
      <c r="K262" s="176"/>
      <c r="L262" s="145" t="s">
        <v>3326</v>
      </c>
      <c r="M262" s="45" t="str">
        <f t="shared" si="11"/>
        <v>OneCo Networks AS</v>
      </c>
      <c r="N262" s="40" t="str">
        <f ca="1">IFERROR(
VLOOKUP(BoM_Solar[[#This Row],[Product code]],
IF(AND((BoQ!$N$3&lt;&gt;""),OR(BoM_Solar[[#This Row],[Vendor]]="Griptel",BoM_Solar[[#This Row],[Vendor]]="Solar")),INDIRECT(Aux!$A$1)),4,FALSE),"")</f>
        <v/>
      </c>
      <c r="O262" s="169" t="s">
        <v>1807</v>
      </c>
      <c r="P262" s="41" t="str">
        <f>IFERROR(IF(AND(BoM_Solar[[#This Row],[Quantity]]&lt;&gt;"",BoM_Solar[[#This Row],[Currency]]="NOK"),BoM_Solar[[#This Row],[Quantity]]*BoM_Solar[[#This Row],[Unit Price]],""),"")</f>
        <v/>
      </c>
      <c r="Q262" s="41" t="str">
        <f>IFERROR(IF(AND(BoM_Solar[[#This Row],[ACT_Qty]]&lt;&gt;"",BoM_Solar[[#This Row],[Currency]]="NOK"),BoM_Solar[[#This Row],[ACT_Qty]]*BoM_Solar[[#This Row],[Unit Price]],""),"")</f>
        <v/>
      </c>
      <c r="R262" s="41" t="str">
        <f>IFERROR(IF(AND(BoM_Solar[[#This Row],[Quantity]]&lt;&gt;"",BoM_Solar[[#This Row],[Currency]]="EUR"),BoM_Solar[[#This Row],[Quantity]]*BoM_Solar[[#This Row],[Unit Price]],""),"")</f>
        <v/>
      </c>
      <c r="S262" s="41" t="str">
        <f>IFERROR(IF(AND(BoM_Solar[[#This Row],[ACT_Qty]]&lt;&gt;"",BoM_Solar[[#This Row],[Currency]]="EUR"),BoM_Solar[[#This Row],[ACT_Qty]]*BoM_Solar[[#This Row],[Unit Price]],""),"")</f>
        <v/>
      </c>
      <c r="T262" s="185"/>
      <c r="U262" s="45"/>
      <c r="V262" s="45"/>
      <c r="W262" s="45"/>
    </row>
    <row r="263" spans="1:23">
      <c r="A263" s="146" t="str">
        <f t="shared" si="10"/>
        <v>AKH12345</v>
      </c>
      <c r="D263" s="105"/>
      <c r="E263" s="106"/>
      <c r="F263" s="105"/>
      <c r="G263" s="106"/>
      <c r="H263" s="175"/>
      <c r="I263" s="176"/>
      <c r="J263" s="176"/>
      <c r="K263" s="176"/>
      <c r="L263" s="145" t="s">
        <v>3326</v>
      </c>
      <c r="M263" s="45" t="str">
        <f t="shared" si="11"/>
        <v>OneCo Networks AS</v>
      </c>
      <c r="N263" s="40" t="str">
        <f ca="1">IFERROR(
VLOOKUP(BoM_Solar[[#This Row],[Product code]],
IF(AND((BoQ!$N$3&lt;&gt;""),OR(BoM_Solar[[#This Row],[Vendor]]="Griptel",BoM_Solar[[#This Row],[Vendor]]="Solar")),INDIRECT(Aux!$A$1)),4,FALSE),"")</f>
        <v/>
      </c>
      <c r="O263" s="169" t="s">
        <v>1807</v>
      </c>
      <c r="P263" s="41" t="str">
        <f>IFERROR(IF(AND(BoM_Solar[[#This Row],[Quantity]]&lt;&gt;"",BoM_Solar[[#This Row],[Currency]]="NOK"),BoM_Solar[[#This Row],[Quantity]]*BoM_Solar[[#This Row],[Unit Price]],""),"")</f>
        <v/>
      </c>
      <c r="Q263" s="41" t="str">
        <f>IFERROR(IF(AND(BoM_Solar[[#This Row],[ACT_Qty]]&lt;&gt;"",BoM_Solar[[#This Row],[Currency]]="NOK"),BoM_Solar[[#This Row],[ACT_Qty]]*BoM_Solar[[#This Row],[Unit Price]],""),"")</f>
        <v/>
      </c>
      <c r="R263" s="41" t="str">
        <f>IFERROR(IF(AND(BoM_Solar[[#This Row],[Quantity]]&lt;&gt;"",BoM_Solar[[#This Row],[Currency]]="EUR"),BoM_Solar[[#This Row],[Quantity]]*BoM_Solar[[#This Row],[Unit Price]],""),"")</f>
        <v/>
      </c>
      <c r="S263" s="41" t="str">
        <f>IFERROR(IF(AND(BoM_Solar[[#This Row],[ACT_Qty]]&lt;&gt;"",BoM_Solar[[#This Row],[Currency]]="EUR"),BoM_Solar[[#This Row],[ACT_Qty]]*BoM_Solar[[#This Row],[Unit Price]],""),"")</f>
        <v/>
      </c>
      <c r="T263" s="185"/>
      <c r="U263" s="45"/>
      <c r="V263" s="45"/>
      <c r="W263" s="45"/>
    </row>
    <row r="264" spans="1:23">
      <c r="A264" s="146" t="str">
        <f t="shared" si="10"/>
        <v>AKH12345</v>
      </c>
      <c r="D264" s="105"/>
      <c r="E264" s="106"/>
      <c r="F264" s="105"/>
      <c r="G264" s="106"/>
      <c r="H264" s="175"/>
      <c r="I264" s="176"/>
      <c r="J264" s="176"/>
      <c r="K264" s="176"/>
      <c r="L264" s="145" t="s">
        <v>3326</v>
      </c>
      <c r="M264" s="45" t="str">
        <f t="shared" si="11"/>
        <v>OneCo Networks AS</v>
      </c>
      <c r="N264" s="40" t="str">
        <f ca="1">IFERROR(
VLOOKUP(BoM_Solar[[#This Row],[Product code]],
IF(AND((BoQ!$N$3&lt;&gt;""),OR(BoM_Solar[[#This Row],[Vendor]]="Griptel",BoM_Solar[[#This Row],[Vendor]]="Solar")),INDIRECT(Aux!$A$1)),4,FALSE),"")</f>
        <v/>
      </c>
      <c r="O264" s="169" t="s">
        <v>1807</v>
      </c>
      <c r="P264" s="41" t="str">
        <f>IFERROR(IF(AND(BoM_Solar[[#This Row],[Quantity]]&lt;&gt;"",BoM_Solar[[#This Row],[Currency]]="NOK"),BoM_Solar[[#This Row],[Quantity]]*BoM_Solar[[#This Row],[Unit Price]],""),"")</f>
        <v/>
      </c>
      <c r="Q264" s="41" t="str">
        <f>IFERROR(IF(AND(BoM_Solar[[#This Row],[ACT_Qty]]&lt;&gt;"",BoM_Solar[[#This Row],[Currency]]="NOK"),BoM_Solar[[#This Row],[ACT_Qty]]*BoM_Solar[[#This Row],[Unit Price]],""),"")</f>
        <v/>
      </c>
      <c r="R264" s="41" t="str">
        <f>IFERROR(IF(AND(BoM_Solar[[#This Row],[Quantity]]&lt;&gt;"",BoM_Solar[[#This Row],[Currency]]="EUR"),BoM_Solar[[#This Row],[Quantity]]*BoM_Solar[[#This Row],[Unit Price]],""),"")</f>
        <v/>
      </c>
      <c r="S264" s="41" t="str">
        <f>IFERROR(IF(AND(BoM_Solar[[#This Row],[ACT_Qty]]&lt;&gt;"",BoM_Solar[[#This Row],[Currency]]="EUR"),BoM_Solar[[#This Row],[ACT_Qty]]*BoM_Solar[[#This Row],[Unit Price]],""),"")</f>
        <v/>
      </c>
      <c r="T264" s="185"/>
      <c r="U264" s="45"/>
      <c r="V264" s="45"/>
      <c r="W264" s="45"/>
    </row>
    <row r="265" spans="1:23">
      <c r="A265" s="146" t="str">
        <f t="shared" si="10"/>
        <v>AKH12345</v>
      </c>
      <c r="D265" s="105"/>
      <c r="E265" s="106"/>
      <c r="F265" s="105"/>
      <c r="G265" s="106"/>
      <c r="H265" s="175"/>
      <c r="I265" s="176"/>
      <c r="J265" s="176"/>
      <c r="K265" s="176"/>
      <c r="L265" s="145" t="s">
        <v>3326</v>
      </c>
      <c r="M265" s="45" t="str">
        <f t="shared" si="11"/>
        <v>OneCo Networks AS</v>
      </c>
      <c r="N265" s="40" t="str">
        <f ca="1">IFERROR(
VLOOKUP(BoM_Solar[[#This Row],[Product code]],
IF(AND((BoQ!$N$3&lt;&gt;""),OR(BoM_Solar[[#This Row],[Vendor]]="Griptel",BoM_Solar[[#This Row],[Vendor]]="Solar")),INDIRECT(Aux!$A$1)),4,FALSE),"")</f>
        <v/>
      </c>
      <c r="O265" s="169" t="s">
        <v>1807</v>
      </c>
      <c r="P265" s="41" t="str">
        <f>IFERROR(IF(AND(BoM_Solar[[#This Row],[Quantity]]&lt;&gt;"",BoM_Solar[[#This Row],[Currency]]="NOK"),BoM_Solar[[#This Row],[Quantity]]*BoM_Solar[[#This Row],[Unit Price]],""),"")</f>
        <v/>
      </c>
      <c r="Q265" s="41" t="str">
        <f>IFERROR(IF(AND(BoM_Solar[[#This Row],[ACT_Qty]]&lt;&gt;"",BoM_Solar[[#This Row],[Currency]]="NOK"),BoM_Solar[[#This Row],[ACT_Qty]]*BoM_Solar[[#This Row],[Unit Price]],""),"")</f>
        <v/>
      </c>
      <c r="R265" s="41" t="str">
        <f>IFERROR(IF(AND(BoM_Solar[[#This Row],[Quantity]]&lt;&gt;"",BoM_Solar[[#This Row],[Currency]]="EUR"),BoM_Solar[[#This Row],[Quantity]]*BoM_Solar[[#This Row],[Unit Price]],""),"")</f>
        <v/>
      </c>
      <c r="S265" s="41" t="str">
        <f>IFERROR(IF(AND(BoM_Solar[[#This Row],[ACT_Qty]]&lt;&gt;"",BoM_Solar[[#This Row],[Currency]]="EUR"),BoM_Solar[[#This Row],[ACT_Qty]]*BoM_Solar[[#This Row],[Unit Price]],""),"")</f>
        <v/>
      </c>
      <c r="T265" s="185"/>
      <c r="U265" s="45"/>
      <c r="V265" s="45"/>
      <c r="W265" s="45"/>
    </row>
    <row r="266" spans="1:23">
      <c r="A266" s="146" t="str">
        <f t="shared" si="10"/>
        <v>AKH12345</v>
      </c>
      <c r="D266" s="105"/>
      <c r="E266" s="106"/>
      <c r="F266" s="105"/>
      <c r="G266" s="106"/>
      <c r="H266" s="175"/>
      <c r="I266" s="176"/>
      <c r="J266" s="176"/>
      <c r="K266" s="176"/>
      <c r="L266" s="145" t="s">
        <v>3326</v>
      </c>
      <c r="M266" s="45" t="str">
        <f t="shared" si="11"/>
        <v>OneCo Networks AS</v>
      </c>
      <c r="N266" s="40" t="str">
        <f ca="1">IFERROR(
VLOOKUP(BoM_Solar[[#This Row],[Product code]],
IF(AND((BoQ!$N$3&lt;&gt;""),OR(BoM_Solar[[#This Row],[Vendor]]="Griptel",BoM_Solar[[#This Row],[Vendor]]="Solar")),INDIRECT(Aux!$A$1)),4,FALSE),"")</f>
        <v/>
      </c>
      <c r="O266" s="169" t="s">
        <v>1807</v>
      </c>
      <c r="P266" s="41" t="str">
        <f>IFERROR(IF(AND(BoM_Solar[[#This Row],[Quantity]]&lt;&gt;"",BoM_Solar[[#This Row],[Currency]]="NOK"),BoM_Solar[[#This Row],[Quantity]]*BoM_Solar[[#This Row],[Unit Price]],""),"")</f>
        <v/>
      </c>
      <c r="Q266" s="41" t="str">
        <f>IFERROR(IF(AND(BoM_Solar[[#This Row],[ACT_Qty]]&lt;&gt;"",BoM_Solar[[#This Row],[Currency]]="NOK"),BoM_Solar[[#This Row],[ACT_Qty]]*BoM_Solar[[#This Row],[Unit Price]],""),"")</f>
        <v/>
      </c>
      <c r="R266" s="41" t="str">
        <f>IFERROR(IF(AND(BoM_Solar[[#This Row],[Quantity]]&lt;&gt;"",BoM_Solar[[#This Row],[Currency]]="EUR"),BoM_Solar[[#This Row],[Quantity]]*BoM_Solar[[#This Row],[Unit Price]],""),"")</f>
        <v/>
      </c>
      <c r="S266" s="41" t="str">
        <f>IFERROR(IF(AND(BoM_Solar[[#This Row],[ACT_Qty]]&lt;&gt;"",BoM_Solar[[#This Row],[Currency]]="EUR"),BoM_Solar[[#This Row],[ACT_Qty]]*BoM_Solar[[#This Row],[Unit Price]],""),"")</f>
        <v/>
      </c>
      <c r="T266" s="185"/>
      <c r="U266" s="45"/>
      <c r="V266" s="45"/>
      <c r="W266" s="45"/>
    </row>
    <row r="267" spans="1:23">
      <c r="A267" s="146" t="str">
        <f t="shared" si="10"/>
        <v>AKH12345</v>
      </c>
      <c r="D267" s="105"/>
      <c r="E267" s="106"/>
      <c r="F267" s="105"/>
      <c r="G267" s="106"/>
      <c r="H267" s="175"/>
      <c r="I267" s="176"/>
      <c r="J267" s="176"/>
      <c r="K267" s="176"/>
      <c r="L267" s="145" t="s">
        <v>3326</v>
      </c>
      <c r="M267" s="45" t="str">
        <f t="shared" si="11"/>
        <v>OneCo Networks AS</v>
      </c>
      <c r="N267" s="40" t="str">
        <f ca="1">IFERROR(
VLOOKUP(BoM_Solar[[#This Row],[Product code]],
IF(AND((BoQ!$N$3&lt;&gt;""),OR(BoM_Solar[[#This Row],[Vendor]]="Griptel",BoM_Solar[[#This Row],[Vendor]]="Solar")),INDIRECT(Aux!$A$1)),4,FALSE),"")</f>
        <v/>
      </c>
      <c r="O267" s="169" t="s">
        <v>1807</v>
      </c>
      <c r="P267" s="41" t="str">
        <f>IFERROR(IF(AND(BoM_Solar[[#This Row],[Quantity]]&lt;&gt;"",BoM_Solar[[#This Row],[Currency]]="NOK"),BoM_Solar[[#This Row],[Quantity]]*BoM_Solar[[#This Row],[Unit Price]],""),"")</f>
        <v/>
      </c>
      <c r="Q267" s="41" t="str">
        <f>IFERROR(IF(AND(BoM_Solar[[#This Row],[ACT_Qty]]&lt;&gt;"",BoM_Solar[[#This Row],[Currency]]="NOK"),BoM_Solar[[#This Row],[ACT_Qty]]*BoM_Solar[[#This Row],[Unit Price]],""),"")</f>
        <v/>
      </c>
      <c r="R267" s="41" t="str">
        <f>IFERROR(IF(AND(BoM_Solar[[#This Row],[Quantity]]&lt;&gt;"",BoM_Solar[[#This Row],[Currency]]="EUR"),BoM_Solar[[#This Row],[Quantity]]*BoM_Solar[[#This Row],[Unit Price]],""),"")</f>
        <v/>
      </c>
      <c r="S267" s="41" t="str">
        <f>IFERROR(IF(AND(BoM_Solar[[#This Row],[ACT_Qty]]&lt;&gt;"",BoM_Solar[[#This Row],[Currency]]="EUR"),BoM_Solar[[#This Row],[ACT_Qty]]*BoM_Solar[[#This Row],[Unit Price]],""),"")</f>
        <v/>
      </c>
      <c r="T267" s="185"/>
      <c r="U267" s="45"/>
      <c r="V267" s="45"/>
      <c r="W267" s="45"/>
    </row>
    <row r="268" spans="1:23">
      <c r="A268" s="146" t="str">
        <f t="shared" si="10"/>
        <v>AKH12345</v>
      </c>
      <c r="D268" s="105"/>
      <c r="E268" s="106"/>
      <c r="F268" s="105"/>
      <c r="G268" s="106"/>
      <c r="H268" s="175"/>
      <c r="I268" s="176"/>
      <c r="J268" s="176"/>
      <c r="K268" s="176"/>
      <c r="L268" s="145" t="s">
        <v>3326</v>
      </c>
      <c r="M268" s="45" t="str">
        <f t="shared" si="11"/>
        <v>OneCo Networks AS</v>
      </c>
      <c r="N268" s="40" t="str">
        <f ca="1">IFERROR(
VLOOKUP(BoM_Solar[[#This Row],[Product code]],
IF(AND((BoQ!$N$3&lt;&gt;""),OR(BoM_Solar[[#This Row],[Vendor]]="Griptel",BoM_Solar[[#This Row],[Vendor]]="Solar")),INDIRECT(Aux!$A$1)),4,FALSE),"")</f>
        <v/>
      </c>
      <c r="O268" s="169" t="s">
        <v>1807</v>
      </c>
      <c r="P268" s="41" t="str">
        <f>IFERROR(IF(AND(BoM_Solar[[#This Row],[Quantity]]&lt;&gt;"",BoM_Solar[[#This Row],[Currency]]="NOK"),BoM_Solar[[#This Row],[Quantity]]*BoM_Solar[[#This Row],[Unit Price]],""),"")</f>
        <v/>
      </c>
      <c r="Q268" s="41" t="str">
        <f>IFERROR(IF(AND(BoM_Solar[[#This Row],[ACT_Qty]]&lt;&gt;"",BoM_Solar[[#This Row],[Currency]]="NOK"),BoM_Solar[[#This Row],[ACT_Qty]]*BoM_Solar[[#This Row],[Unit Price]],""),"")</f>
        <v/>
      </c>
      <c r="R268" s="41" t="str">
        <f>IFERROR(IF(AND(BoM_Solar[[#This Row],[Quantity]]&lt;&gt;"",BoM_Solar[[#This Row],[Currency]]="EUR"),BoM_Solar[[#This Row],[Quantity]]*BoM_Solar[[#This Row],[Unit Price]],""),"")</f>
        <v/>
      </c>
      <c r="S268" s="41" t="str">
        <f>IFERROR(IF(AND(BoM_Solar[[#This Row],[ACT_Qty]]&lt;&gt;"",BoM_Solar[[#This Row],[Currency]]="EUR"),BoM_Solar[[#This Row],[ACT_Qty]]*BoM_Solar[[#This Row],[Unit Price]],""),"")</f>
        <v/>
      </c>
      <c r="T268" s="185"/>
      <c r="U268" s="45"/>
      <c r="V268" s="45"/>
      <c r="W268" s="45"/>
    </row>
    <row r="269" spans="1:23">
      <c r="A269" s="146" t="str">
        <f t="shared" si="10"/>
        <v>AKH12345</v>
      </c>
      <c r="D269" s="105"/>
      <c r="E269" s="106"/>
      <c r="F269" s="105"/>
      <c r="G269" s="106"/>
      <c r="H269" s="175"/>
      <c r="I269" s="176"/>
      <c r="J269" s="176"/>
      <c r="K269" s="176"/>
      <c r="L269" s="145" t="s">
        <v>3326</v>
      </c>
      <c r="M269" s="45" t="str">
        <f t="shared" si="11"/>
        <v>OneCo Networks AS</v>
      </c>
      <c r="N269" s="40" t="str">
        <f ca="1">IFERROR(
VLOOKUP(BoM_Solar[[#This Row],[Product code]],
IF(AND((BoQ!$N$3&lt;&gt;""),OR(BoM_Solar[[#This Row],[Vendor]]="Griptel",BoM_Solar[[#This Row],[Vendor]]="Solar")),INDIRECT(Aux!$A$1)),4,FALSE),"")</f>
        <v/>
      </c>
      <c r="O269" s="169" t="s">
        <v>1807</v>
      </c>
      <c r="P269" s="41" t="str">
        <f>IFERROR(IF(AND(BoM_Solar[[#This Row],[Quantity]]&lt;&gt;"",BoM_Solar[[#This Row],[Currency]]="NOK"),BoM_Solar[[#This Row],[Quantity]]*BoM_Solar[[#This Row],[Unit Price]],""),"")</f>
        <v/>
      </c>
      <c r="Q269" s="41" t="str">
        <f>IFERROR(IF(AND(BoM_Solar[[#This Row],[ACT_Qty]]&lt;&gt;"",BoM_Solar[[#This Row],[Currency]]="NOK"),BoM_Solar[[#This Row],[ACT_Qty]]*BoM_Solar[[#This Row],[Unit Price]],""),"")</f>
        <v/>
      </c>
      <c r="R269" s="41" t="str">
        <f>IFERROR(IF(AND(BoM_Solar[[#This Row],[Quantity]]&lt;&gt;"",BoM_Solar[[#This Row],[Currency]]="EUR"),BoM_Solar[[#This Row],[Quantity]]*BoM_Solar[[#This Row],[Unit Price]],""),"")</f>
        <v/>
      </c>
      <c r="S269" s="41" t="str">
        <f>IFERROR(IF(AND(BoM_Solar[[#This Row],[ACT_Qty]]&lt;&gt;"",BoM_Solar[[#This Row],[Currency]]="EUR"),BoM_Solar[[#This Row],[ACT_Qty]]*BoM_Solar[[#This Row],[Unit Price]],""),"")</f>
        <v/>
      </c>
      <c r="T269" s="185"/>
      <c r="U269" s="45"/>
      <c r="V269" s="45"/>
      <c r="W269" s="45"/>
    </row>
    <row r="270" spans="1:23">
      <c r="A270" s="146" t="str">
        <f t="shared" si="10"/>
        <v>AKH12345</v>
      </c>
      <c r="D270" s="105"/>
      <c r="E270" s="106"/>
      <c r="F270" s="105"/>
      <c r="G270" s="106"/>
      <c r="H270" s="175"/>
      <c r="I270" s="176"/>
      <c r="J270" s="176"/>
      <c r="K270" s="176"/>
      <c r="L270" s="145" t="s">
        <v>3326</v>
      </c>
      <c r="M270" s="45" t="str">
        <f t="shared" si="11"/>
        <v>OneCo Networks AS</v>
      </c>
      <c r="N270" s="40" t="str">
        <f ca="1">IFERROR(
VLOOKUP(BoM_Solar[[#This Row],[Product code]],
IF(AND((BoQ!$N$3&lt;&gt;""),OR(BoM_Solar[[#This Row],[Vendor]]="Griptel",BoM_Solar[[#This Row],[Vendor]]="Solar")),INDIRECT(Aux!$A$1)),4,FALSE),"")</f>
        <v/>
      </c>
      <c r="O270" s="169" t="s">
        <v>1807</v>
      </c>
      <c r="P270" s="41" t="str">
        <f>IFERROR(IF(AND(BoM_Solar[[#This Row],[Quantity]]&lt;&gt;"",BoM_Solar[[#This Row],[Currency]]="NOK"),BoM_Solar[[#This Row],[Quantity]]*BoM_Solar[[#This Row],[Unit Price]],""),"")</f>
        <v/>
      </c>
      <c r="Q270" s="41" t="str">
        <f>IFERROR(IF(AND(BoM_Solar[[#This Row],[ACT_Qty]]&lt;&gt;"",BoM_Solar[[#This Row],[Currency]]="NOK"),BoM_Solar[[#This Row],[ACT_Qty]]*BoM_Solar[[#This Row],[Unit Price]],""),"")</f>
        <v/>
      </c>
      <c r="R270" s="41" t="str">
        <f>IFERROR(IF(AND(BoM_Solar[[#This Row],[Quantity]]&lt;&gt;"",BoM_Solar[[#This Row],[Currency]]="EUR"),BoM_Solar[[#This Row],[Quantity]]*BoM_Solar[[#This Row],[Unit Price]],""),"")</f>
        <v/>
      </c>
      <c r="S270" s="41" t="str">
        <f>IFERROR(IF(AND(BoM_Solar[[#This Row],[ACT_Qty]]&lt;&gt;"",BoM_Solar[[#This Row],[Currency]]="EUR"),BoM_Solar[[#This Row],[ACT_Qty]]*BoM_Solar[[#This Row],[Unit Price]],""),"")</f>
        <v/>
      </c>
      <c r="T270" s="185"/>
      <c r="U270" s="45"/>
      <c r="V270" s="45"/>
      <c r="W270" s="45"/>
    </row>
    <row r="271" spans="1:23">
      <c r="A271" s="146" t="str">
        <f t="shared" si="10"/>
        <v>AKH12345</v>
      </c>
      <c r="D271" s="105"/>
      <c r="E271" s="106"/>
      <c r="F271" s="105"/>
      <c r="G271" s="106"/>
      <c r="H271" s="175"/>
      <c r="I271" s="176"/>
      <c r="J271" s="176"/>
      <c r="K271" s="176"/>
      <c r="L271" s="145" t="s">
        <v>3326</v>
      </c>
      <c r="M271" s="45" t="str">
        <f t="shared" si="11"/>
        <v>OneCo Networks AS</v>
      </c>
      <c r="N271" s="40" t="str">
        <f ca="1">IFERROR(
VLOOKUP(BoM_Solar[[#This Row],[Product code]],
IF(AND((BoQ!$N$3&lt;&gt;""),OR(BoM_Solar[[#This Row],[Vendor]]="Griptel",BoM_Solar[[#This Row],[Vendor]]="Solar")),INDIRECT(Aux!$A$1)),4,FALSE),"")</f>
        <v/>
      </c>
      <c r="O271" s="169" t="s">
        <v>1807</v>
      </c>
      <c r="P271" s="41" t="str">
        <f>IFERROR(IF(AND(BoM_Solar[[#This Row],[Quantity]]&lt;&gt;"",BoM_Solar[[#This Row],[Currency]]="NOK"),BoM_Solar[[#This Row],[Quantity]]*BoM_Solar[[#This Row],[Unit Price]],""),"")</f>
        <v/>
      </c>
      <c r="Q271" s="41" t="str">
        <f>IFERROR(IF(AND(BoM_Solar[[#This Row],[ACT_Qty]]&lt;&gt;"",BoM_Solar[[#This Row],[Currency]]="NOK"),BoM_Solar[[#This Row],[ACT_Qty]]*BoM_Solar[[#This Row],[Unit Price]],""),"")</f>
        <v/>
      </c>
      <c r="R271" s="41" t="str">
        <f>IFERROR(IF(AND(BoM_Solar[[#This Row],[Quantity]]&lt;&gt;"",BoM_Solar[[#This Row],[Currency]]="EUR"),BoM_Solar[[#This Row],[Quantity]]*BoM_Solar[[#This Row],[Unit Price]],""),"")</f>
        <v/>
      </c>
      <c r="S271" s="41" t="str">
        <f>IFERROR(IF(AND(BoM_Solar[[#This Row],[ACT_Qty]]&lt;&gt;"",BoM_Solar[[#This Row],[Currency]]="EUR"),BoM_Solar[[#This Row],[ACT_Qty]]*BoM_Solar[[#This Row],[Unit Price]],""),"")</f>
        <v/>
      </c>
      <c r="T271" s="185"/>
      <c r="U271" s="45"/>
      <c r="V271" s="45"/>
      <c r="W271" s="45"/>
    </row>
    <row r="272" spans="1:23">
      <c r="A272" s="146" t="str">
        <f t="shared" si="10"/>
        <v>AKH12345</v>
      </c>
      <c r="D272" s="105"/>
      <c r="E272" s="106"/>
      <c r="F272" s="105"/>
      <c r="G272" s="106"/>
      <c r="H272" s="175"/>
      <c r="I272" s="176"/>
      <c r="J272" s="176"/>
      <c r="K272" s="176"/>
      <c r="L272" s="145" t="s">
        <v>3326</v>
      </c>
      <c r="M272" s="45" t="str">
        <f t="shared" si="11"/>
        <v>OneCo Networks AS</v>
      </c>
      <c r="N272" s="40" t="str">
        <f ca="1">IFERROR(
VLOOKUP(BoM_Solar[[#This Row],[Product code]],
IF(AND((BoQ!$N$3&lt;&gt;""),OR(BoM_Solar[[#This Row],[Vendor]]="Griptel",BoM_Solar[[#This Row],[Vendor]]="Solar")),INDIRECT(Aux!$A$1)),4,FALSE),"")</f>
        <v/>
      </c>
      <c r="O272" s="169" t="s">
        <v>1807</v>
      </c>
      <c r="P272" s="41" t="str">
        <f>IFERROR(IF(AND(BoM_Solar[[#This Row],[Quantity]]&lt;&gt;"",BoM_Solar[[#This Row],[Currency]]="NOK"),BoM_Solar[[#This Row],[Quantity]]*BoM_Solar[[#This Row],[Unit Price]],""),"")</f>
        <v/>
      </c>
      <c r="Q272" s="41" t="str">
        <f>IFERROR(IF(AND(BoM_Solar[[#This Row],[ACT_Qty]]&lt;&gt;"",BoM_Solar[[#This Row],[Currency]]="NOK"),BoM_Solar[[#This Row],[ACT_Qty]]*BoM_Solar[[#This Row],[Unit Price]],""),"")</f>
        <v/>
      </c>
      <c r="R272" s="41" t="str">
        <f>IFERROR(IF(AND(BoM_Solar[[#This Row],[Quantity]]&lt;&gt;"",BoM_Solar[[#This Row],[Currency]]="EUR"),BoM_Solar[[#This Row],[Quantity]]*BoM_Solar[[#This Row],[Unit Price]],""),"")</f>
        <v/>
      </c>
      <c r="S272" s="41" t="str">
        <f>IFERROR(IF(AND(BoM_Solar[[#This Row],[ACT_Qty]]&lt;&gt;"",BoM_Solar[[#This Row],[Currency]]="EUR"),BoM_Solar[[#This Row],[ACT_Qty]]*BoM_Solar[[#This Row],[Unit Price]],""),"")</f>
        <v/>
      </c>
      <c r="T272" s="185"/>
      <c r="U272" s="45"/>
      <c r="V272" s="45"/>
      <c r="W272" s="45"/>
    </row>
    <row r="273" spans="1:23">
      <c r="A273" s="146" t="str">
        <f t="shared" si="10"/>
        <v>AKH12345</v>
      </c>
      <c r="D273" s="105"/>
      <c r="E273" s="106"/>
      <c r="F273" s="105"/>
      <c r="G273" s="106"/>
      <c r="H273" s="175"/>
      <c r="I273" s="176"/>
      <c r="J273" s="176"/>
      <c r="K273" s="176"/>
      <c r="L273" s="145" t="s">
        <v>3326</v>
      </c>
      <c r="M273" s="45" t="str">
        <f t="shared" si="11"/>
        <v>OneCo Networks AS</v>
      </c>
      <c r="N273" s="40" t="str">
        <f ca="1">IFERROR(
VLOOKUP(BoM_Solar[[#This Row],[Product code]],
IF(AND((BoQ!$N$3&lt;&gt;""),OR(BoM_Solar[[#This Row],[Vendor]]="Griptel",BoM_Solar[[#This Row],[Vendor]]="Solar")),INDIRECT(Aux!$A$1)),4,FALSE),"")</f>
        <v/>
      </c>
      <c r="O273" s="169" t="s">
        <v>1807</v>
      </c>
      <c r="P273" s="41" t="str">
        <f>IFERROR(IF(AND(BoM_Solar[[#This Row],[Quantity]]&lt;&gt;"",BoM_Solar[[#This Row],[Currency]]="NOK"),BoM_Solar[[#This Row],[Quantity]]*BoM_Solar[[#This Row],[Unit Price]],""),"")</f>
        <v/>
      </c>
      <c r="Q273" s="41" t="str">
        <f>IFERROR(IF(AND(BoM_Solar[[#This Row],[ACT_Qty]]&lt;&gt;"",BoM_Solar[[#This Row],[Currency]]="NOK"),BoM_Solar[[#This Row],[ACT_Qty]]*BoM_Solar[[#This Row],[Unit Price]],""),"")</f>
        <v/>
      </c>
      <c r="R273" s="41" t="str">
        <f>IFERROR(IF(AND(BoM_Solar[[#This Row],[Quantity]]&lt;&gt;"",BoM_Solar[[#This Row],[Currency]]="EUR"),BoM_Solar[[#This Row],[Quantity]]*BoM_Solar[[#This Row],[Unit Price]],""),"")</f>
        <v/>
      </c>
      <c r="S273" s="41" t="str">
        <f>IFERROR(IF(AND(BoM_Solar[[#This Row],[ACT_Qty]]&lt;&gt;"",BoM_Solar[[#This Row],[Currency]]="EUR"),BoM_Solar[[#This Row],[ACT_Qty]]*BoM_Solar[[#This Row],[Unit Price]],""),"")</f>
        <v/>
      </c>
      <c r="T273" s="185"/>
      <c r="U273" s="45"/>
      <c r="V273" s="45"/>
      <c r="W273" s="45"/>
    </row>
    <row r="274" spans="1:23">
      <c r="A274" s="146" t="str">
        <f t="shared" si="10"/>
        <v>AKH12345</v>
      </c>
      <c r="D274" s="105"/>
      <c r="E274" s="106"/>
      <c r="F274" s="105"/>
      <c r="G274" s="106"/>
      <c r="H274" s="175"/>
      <c r="I274" s="176"/>
      <c r="J274" s="176"/>
      <c r="K274" s="176"/>
      <c r="L274" s="145" t="s">
        <v>3326</v>
      </c>
      <c r="M274" s="45" t="str">
        <f t="shared" si="11"/>
        <v>OneCo Networks AS</v>
      </c>
      <c r="N274" s="40" t="str">
        <f ca="1">IFERROR(
VLOOKUP(BoM_Solar[[#This Row],[Product code]],
IF(AND((BoQ!$N$3&lt;&gt;""),OR(BoM_Solar[[#This Row],[Vendor]]="Griptel",BoM_Solar[[#This Row],[Vendor]]="Solar")),INDIRECT(Aux!$A$1)),4,FALSE),"")</f>
        <v/>
      </c>
      <c r="O274" s="169" t="s">
        <v>1807</v>
      </c>
      <c r="P274" s="41" t="str">
        <f>IFERROR(IF(AND(BoM_Solar[[#This Row],[Quantity]]&lt;&gt;"",BoM_Solar[[#This Row],[Currency]]="NOK"),BoM_Solar[[#This Row],[Quantity]]*BoM_Solar[[#This Row],[Unit Price]],""),"")</f>
        <v/>
      </c>
      <c r="Q274" s="41" t="str">
        <f>IFERROR(IF(AND(BoM_Solar[[#This Row],[ACT_Qty]]&lt;&gt;"",BoM_Solar[[#This Row],[Currency]]="NOK"),BoM_Solar[[#This Row],[ACT_Qty]]*BoM_Solar[[#This Row],[Unit Price]],""),"")</f>
        <v/>
      </c>
      <c r="R274" s="41" t="str">
        <f>IFERROR(IF(AND(BoM_Solar[[#This Row],[Quantity]]&lt;&gt;"",BoM_Solar[[#This Row],[Currency]]="EUR"),BoM_Solar[[#This Row],[Quantity]]*BoM_Solar[[#This Row],[Unit Price]],""),"")</f>
        <v/>
      </c>
      <c r="S274" s="41" t="str">
        <f>IFERROR(IF(AND(BoM_Solar[[#This Row],[ACT_Qty]]&lt;&gt;"",BoM_Solar[[#This Row],[Currency]]="EUR"),BoM_Solar[[#This Row],[ACT_Qty]]*BoM_Solar[[#This Row],[Unit Price]],""),"")</f>
        <v/>
      </c>
      <c r="T274" s="185"/>
      <c r="U274" s="45"/>
      <c r="V274" s="45"/>
      <c r="W274" s="45"/>
    </row>
    <row r="275" spans="1:23">
      <c r="A275" s="146" t="str">
        <f t="shared" si="10"/>
        <v>AKH12345</v>
      </c>
      <c r="D275" s="105"/>
      <c r="E275" s="106"/>
      <c r="F275" s="105"/>
      <c r="G275" s="106"/>
      <c r="H275" s="175"/>
      <c r="I275" s="176"/>
      <c r="J275" s="176"/>
      <c r="K275" s="176"/>
      <c r="L275" s="145" t="s">
        <v>3326</v>
      </c>
      <c r="M275" s="45" t="str">
        <f t="shared" si="11"/>
        <v>OneCo Networks AS</v>
      </c>
      <c r="N275" s="40" t="str">
        <f ca="1">IFERROR(
VLOOKUP(BoM_Solar[[#This Row],[Product code]],
IF(AND((BoQ!$N$3&lt;&gt;""),OR(BoM_Solar[[#This Row],[Vendor]]="Griptel",BoM_Solar[[#This Row],[Vendor]]="Solar")),INDIRECT(Aux!$A$1)),4,FALSE),"")</f>
        <v/>
      </c>
      <c r="O275" s="169" t="s">
        <v>1807</v>
      </c>
      <c r="P275" s="41" t="str">
        <f>IFERROR(IF(AND(BoM_Solar[[#This Row],[Quantity]]&lt;&gt;"",BoM_Solar[[#This Row],[Currency]]="NOK"),BoM_Solar[[#This Row],[Quantity]]*BoM_Solar[[#This Row],[Unit Price]],""),"")</f>
        <v/>
      </c>
      <c r="Q275" s="41" t="str">
        <f>IFERROR(IF(AND(BoM_Solar[[#This Row],[ACT_Qty]]&lt;&gt;"",BoM_Solar[[#This Row],[Currency]]="NOK"),BoM_Solar[[#This Row],[ACT_Qty]]*BoM_Solar[[#This Row],[Unit Price]],""),"")</f>
        <v/>
      </c>
      <c r="R275" s="41" t="str">
        <f>IFERROR(IF(AND(BoM_Solar[[#This Row],[Quantity]]&lt;&gt;"",BoM_Solar[[#This Row],[Currency]]="EUR"),BoM_Solar[[#This Row],[Quantity]]*BoM_Solar[[#This Row],[Unit Price]],""),"")</f>
        <v/>
      </c>
      <c r="S275" s="41" t="str">
        <f>IFERROR(IF(AND(BoM_Solar[[#This Row],[ACT_Qty]]&lt;&gt;"",BoM_Solar[[#This Row],[Currency]]="EUR"),BoM_Solar[[#This Row],[ACT_Qty]]*BoM_Solar[[#This Row],[Unit Price]],""),"")</f>
        <v/>
      </c>
      <c r="T275" s="185"/>
      <c r="U275" s="45"/>
      <c r="V275" s="45"/>
      <c r="W275" s="45"/>
    </row>
    <row r="276" spans="1:23">
      <c r="A276" s="146" t="str">
        <f t="shared" si="10"/>
        <v>AKH12345</v>
      </c>
      <c r="D276" s="105"/>
      <c r="E276" s="106"/>
      <c r="F276" s="105"/>
      <c r="G276" s="106"/>
      <c r="H276" s="175"/>
      <c r="I276" s="176"/>
      <c r="J276" s="176"/>
      <c r="K276" s="176"/>
      <c r="L276" s="145" t="s">
        <v>3326</v>
      </c>
      <c r="M276" s="45" t="str">
        <f t="shared" si="11"/>
        <v>OneCo Networks AS</v>
      </c>
      <c r="N276" s="40" t="str">
        <f ca="1">IFERROR(
VLOOKUP(BoM_Solar[[#This Row],[Product code]],
IF(AND((BoQ!$N$3&lt;&gt;""),OR(BoM_Solar[[#This Row],[Vendor]]="Griptel",BoM_Solar[[#This Row],[Vendor]]="Solar")),INDIRECT(Aux!$A$1)),4,FALSE),"")</f>
        <v/>
      </c>
      <c r="O276" s="169" t="s">
        <v>1807</v>
      </c>
      <c r="P276" s="41" t="str">
        <f>IFERROR(IF(AND(BoM_Solar[[#This Row],[Quantity]]&lt;&gt;"",BoM_Solar[[#This Row],[Currency]]="NOK"),BoM_Solar[[#This Row],[Quantity]]*BoM_Solar[[#This Row],[Unit Price]],""),"")</f>
        <v/>
      </c>
      <c r="Q276" s="41" t="str">
        <f>IFERROR(IF(AND(BoM_Solar[[#This Row],[ACT_Qty]]&lt;&gt;"",BoM_Solar[[#This Row],[Currency]]="NOK"),BoM_Solar[[#This Row],[ACT_Qty]]*BoM_Solar[[#This Row],[Unit Price]],""),"")</f>
        <v/>
      </c>
      <c r="R276" s="41" t="str">
        <f>IFERROR(IF(AND(BoM_Solar[[#This Row],[Quantity]]&lt;&gt;"",BoM_Solar[[#This Row],[Currency]]="EUR"),BoM_Solar[[#This Row],[Quantity]]*BoM_Solar[[#This Row],[Unit Price]],""),"")</f>
        <v/>
      </c>
      <c r="S276" s="41" t="str">
        <f>IFERROR(IF(AND(BoM_Solar[[#This Row],[ACT_Qty]]&lt;&gt;"",BoM_Solar[[#This Row],[Currency]]="EUR"),BoM_Solar[[#This Row],[ACT_Qty]]*BoM_Solar[[#This Row],[Unit Price]],""),"")</f>
        <v/>
      </c>
      <c r="T276" s="185"/>
      <c r="U276" s="45"/>
      <c r="V276" s="45"/>
      <c r="W276" s="45"/>
    </row>
    <row r="277" spans="1:23">
      <c r="A277" s="146" t="str">
        <f t="shared" si="10"/>
        <v>AKH12345</v>
      </c>
      <c r="D277" s="105"/>
      <c r="E277" s="106"/>
      <c r="F277" s="105"/>
      <c r="G277" s="106"/>
      <c r="H277" s="175"/>
      <c r="I277" s="176"/>
      <c r="J277" s="176"/>
      <c r="K277" s="176"/>
      <c r="L277" s="145" t="s">
        <v>3326</v>
      </c>
      <c r="M277" s="45" t="str">
        <f t="shared" si="11"/>
        <v>OneCo Networks AS</v>
      </c>
      <c r="N277" s="40" t="str">
        <f ca="1">IFERROR(
VLOOKUP(BoM_Solar[[#This Row],[Product code]],
IF(AND((BoQ!$N$3&lt;&gt;""),OR(BoM_Solar[[#This Row],[Vendor]]="Griptel",BoM_Solar[[#This Row],[Vendor]]="Solar")),INDIRECT(Aux!$A$1)),4,FALSE),"")</f>
        <v/>
      </c>
      <c r="O277" s="169" t="s">
        <v>1807</v>
      </c>
      <c r="P277" s="41" t="str">
        <f>IFERROR(IF(AND(BoM_Solar[[#This Row],[Quantity]]&lt;&gt;"",BoM_Solar[[#This Row],[Currency]]="NOK"),BoM_Solar[[#This Row],[Quantity]]*BoM_Solar[[#This Row],[Unit Price]],""),"")</f>
        <v/>
      </c>
      <c r="Q277" s="41" t="str">
        <f>IFERROR(IF(AND(BoM_Solar[[#This Row],[ACT_Qty]]&lt;&gt;"",BoM_Solar[[#This Row],[Currency]]="NOK"),BoM_Solar[[#This Row],[ACT_Qty]]*BoM_Solar[[#This Row],[Unit Price]],""),"")</f>
        <v/>
      </c>
      <c r="R277" s="41" t="str">
        <f>IFERROR(IF(AND(BoM_Solar[[#This Row],[Quantity]]&lt;&gt;"",BoM_Solar[[#This Row],[Currency]]="EUR"),BoM_Solar[[#This Row],[Quantity]]*BoM_Solar[[#This Row],[Unit Price]],""),"")</f>
        <v/>
      </c>
      <c r="S277" s="41" t="str">
        <f>IFERROR(IF(AND(BoM_Solar[[#This Row],[ACT_Qty]]&lt;&gt;"",BoM_Solar[[#This Row],[Currency]]="EUR"),BoM_Solar[[#This Row],[ACT_Qty]]*BoM_Solar[[#This Row],[Unit Price]],""),"")</f>
        <v/>
      </c>
      <c r="T277" s="185"/>
      <c r="U277" s="45"/>
      <c r="V277" s="45"/>
      <c r="W277" s="45"/>
    </row>
    <row r="278" spans="1:23">
      <c r="A278" s="146" t="str">
        <f t="shared" si="10"/>
        <v>AKH12345</v>
      </c>
      <c r="D278" s="105"/>
      <c r="E278" s="106"/>
      <c r="F278" s="105"/>
      <c r="G278" s="106"/>
      <c r="H278" s="175"/>
      <c r="I278" s="176"/>
      <c r="J278" s="176"/>
      <c r="K278" s="176"/>
      <c r="L278" s="145" t="s">
        <v>3326</v>
      </c>
      <c r="M278" s="45" t="str">
        <f t="shared" si="11"/>
        <v>OneCo Networks AS</v>
      </c>
      <c r="N278" s="40" t="str">
        <f ca="1">IFERROR(
VLOOKUP(BoM_Solar[[#This Row],[Product code]],
IF(AND((BoQ!$N$3&lt;&gt;""),OR(BoM_Solar[[#This Row],[Vendor]]="Griptel",BoM_Solar[[#This Row],[Vendor]]="Solar")),INDIRECT(Aux!$A$1)),4,FALSE),"")</f>
        <v/>
      </c>
      <c r="O278" s="169" t="s">
        <v>1807</v>
      </c>
      <c r="P278" s="41" t="str">
        <f>IFERROR(IF(AND(BoM_Solar[[#This Row],[Quantity]]&lt;&gt;"",BoM_Solar[[#This Row],[Currency]]="NOK"),BoM_Solar[[#This Row],[Quantity]]*BoM_Solar[[#This Row],[Unit Price]],""),"")</f>
        <v/>
      </c>
      <c r="Q278" s="41" t="str">
        <f>IFERROR(IF(AND(BoM_Solar[[#This Row],[ACT_Qty]]&lt;&gt;"",BoM_Solar[[#This Row],[Currency]]="NOK"),BoM_Solar[[#This Row],[ACT_Qty]]*BoM_Solar[[#This Row],[Unit Price]],""),"")</f>
        <v/>
      </c>
      <c r="R278" s="41" t="str">
        <f>IFERROR(IF(AND(BoM_Solar[[#This Row],[Quantity]]&lt;&gt;"",BoM_Solar[[#This Row],[Currency]]="EUR"),BoM_Solar[[#This Row],[Quantity]]*BoM_Solar[[#This Row],[Unit Price]],""),"")</f>
        <v/>
      </c>
      <c r="S278" s="41" t="str">
        <f>IFERROR(IF(AND(BoM_Solar[[#This Row],[ACT_Qty]]&lt;&gt;"",BoM_Solar[[#This Row],[Currency]]="EUR"),BoM_Solar[[#This Row],[ACT_Qty]]*BoM_Solar[[#This Row],[Unit Price]],""),"")</f>
        <v/>
      </c>
      <c r="T278" s="185"/>
      <c r="U278" s="45"/>
      <c r="V278" s="45"/>
      <c r="W278" s="45"/>
    </row>
    <row r="279" spans="1:23">
      <c r="A279" s="146" t="str">
        <f t="shared" si="10"/>
        <v>AKH12345</v>
      </c>
      <c r="D279" s="105"/>
      <c r="E279" s="106"/>
      <c r="F279" s="105"/>
      <c r="G279" s="106"/>
      <c r="H279" s="175"/>
      <c r="I279" s="176"/>
      <c r="J279" s="176"/>
      <c r="K279" s="176"/>
      <c r="L279" s="145" t="s">
        <v>3326</v>
      </c>
      <c r="M279" s="45" t="str">
        <f t="shared" si="11"/>
        <v>OneCo Networks AS</v>
      </c>
      <c r="N279" s="40" t="str">
        <f ca="1">IFERROR(
VLOOKUP(BoM_Solar[[#This Row],[Product code]],
IF(AND((BoQ!$N$3&lt;&gt;""),OR(BoM_Solar[[#This Row],[Vendor]]="Griptel",BoM_Solar[[#This Row],[Vendor]]="Solar")),INDIRECT(Aux!$A$1)),4,FALSE),"")</f>
        <v/>
      </c>
      <c r="O279" s="169" t="s">
        <v>1807</v>
      </c>
      <c r="P279" s="41" t="str">
        <f>IFERROR(IF(AND(BoM_Solar[[#This Row],[Quantity]]&lt;&gt;"",BoM_Solar[[#This Row],[Currency]]="NOK"),BoM_Solar[[#This Row],[Quantity]]*BoM_Solar[[#This Row],[Unit Price]],""),"")</f>
        <v/>
      </c>
      <c r="Q279" s="41" t="str">
        <f>IFERROR(IF(AND(BoM_Solar[[#This Row],[ACT_Qty]]&lt;&gt;"",BoM_Solar[[#This Row],[Currency]]="NOK"),BoM_Solar[[#This Row],[ACT_Qty]]*BoM_Solar[[#This Row],[Unit Price]],""),"")</f>
        <v/>
      </c>
      <c r="R279" s="41" t="str">
        <f>IFERROR(IF(AND(BoM_Solar[[#This Row],[Quantity]]&lt;&gt;"",BoM_Solar[[#This Row],[Currency]]="EUR"),BoM_Solar[[#This Row],[Quantity]]*BoM_Solar[[#This Row],[Unit Price]],""),"")</f>
        <v/>
      </c>
      <c r="S279" s="41" t="str">
        <f>IFERROR(IF(AND(BoM_Solar[[#This Row],[ACT_Qty]]&lt;&gt;"",BoM_Solar[[#This Row],[Currency]]="EUR"),BoM_Solar[[#This Row],[ACT_Qty]]*BoM_Solar[[#This Row],[Unit Price]],""),"")</f>
        <v/>
      </c>
      <c r="T279" s="185"/>
      <c r="U279" s="45"/>
      <c r="V279" s="45"/>
      <c r="W279" s="45"/>
    </row>
    <row r="280" spans="1:23">
      <c r="A280" s="146" t="str">
        <f t="shared" si="10"/>
        <v>AKH12345</v>
      </c>
      <c r="D280" s="105"/>
      <c r="E280" s="106"/>
      <c r="F280" s="105"/>
      <c r="G280" s="106"/>
      <c r="H280" s="175"/>
      <c r="I280" s="176"/>
      <c r="J280" s="176"/>
      <c r="K280" s="176"/>
      <c r="L280" s="145" t="s">
        <v>3326</v>
      </c>
      <c r="M280" s="45" t="str">
        <f t="shared" si="11"/>
        <v>OneCo Networks AS</v>
      </c>
      <c r="N280" s="40" t="str">
        <f ca="1">IFERROR(
VLOOKUP(BoM_Solar[[#This Row],[Product code]],
IF(AND((BoQ!$N$3&lt;&gt;""),OR(BoM_Solar[[#This Row],[Vendor]]="Griptel",BoM_Solar[[#This Row],[Vendor]]="Solar")),INDIRECT(Aux!$A$1)),4,FALSE),"")</f>
        <v/>
      </c>
      <c r="O280" s="169" t="s">
        <v>1807</v>
      </c>
      <c r="P280" s="41" t="str">
        <f>IFERROR(IF(AND(BoM_Solar[[#This Row],[Quantity]]&lt;&gt;"",BoM_Solar[[#This Row],[Currency]]="NOK"),BoM_Solar[[#This Row],[Quantity]]*BoM_Solar[[#This Row],[Unit Price]],""),"")</f>
        <v/>
      </c>
      <c r="Q280" s="41" t="str">
        <f>IFERROR(IF(AND(BoM_Solar[[#This Row],[ACT_Qty]]&lt;&gt;"",BoM_Solar[[#This Row],[Currency]]="NOK"),BoM_Solar[[#This Row],[ACT_Qty]]*BoM_Solar[[#This Row],[Unit Price]],""),"")</f>
        <v/>
      </c>
      <c r="R280" s="41" t="str">
        <f>IFERROR(IF(AND(BoM_Solar[[#This Row],[Quantity]]&lt;&gt;"",BoM_Solar[[#This Row],[Currency]]="EUR"),BoM_Solar[[#This Row],[Quantity]]*BoM_Solar[[#This Row],[Unit Price]],""),"")</f>
        <v/>
      </c>
      <c r="S280" s="41" t="str">
        <f>IFERROR(IF(AND(BoM_Solar[[#This Row],[ACT_Qty]]&lt;&gt;"",BoM_Solar[[#This Row],[Currency]]="EUR"),BoM_Solar[[#This Row],[ACT_Qty]]*BoM_Solar[[#This Row],[Unit Price]],""),"")</f>
        <v/>
      </c>
      <c r="T280" s="185"/>
      <c r="U280" s="45"/>
      <c r="V280" s="45"/>
      <c r="W280" s="45"/>
    </row>
    <row r="281" spans="1:23">
      <c r="A281" s="146" t="str">
        <f t="shared" si="10"/>
        <v>AKH12345</v>
      </c>
      <c r="D281" s="105"/>
      <c r="E281" s="106"/>
      <c r="F281" s="105"/>
      <c r="G281" s="106"/>
      <c r="H281" s="175"/>
      <c r="I281" s="176"/>
      <c r="J281" s="176"/>
      <c r="K281" s="176"/>
      <c r="L281" s="145" t="s">
        <v>3326</v>
      </c>
      <c r="M281" s="45" t="str">
        <f t="shared" si="11"/>
        <v>OneCo Networks AS</v>
      </c>
      <c r="N281" s="40" t="str">
        <f ca="1">IFERROR(
VLOOKUP(BoM_Solar[[#This Row],[Product code]],
IF(AND((BoQ!$N$3&lt;&gt;""),OR(BoM_Solar[[#This Row],[Vendor]]="Griptel",BoM_Solar[[#This Row],[Vendor]]="Solar")),INDIRECT(Aux!$A$1)),4,FALSE),"")</f>
        <v/>
      </c>
      <c r="O281" s="169" t="s">
        <v>1807</v>
      </c>
      <c r="P281" s="41" t="str">
        <f>IFERROR(IF(AND(BoM_Solar[[#This Row],[Quantity]]&lt;&gt;"",BoM_Solar[[#This Row],[Currency]]="NOK"),BoM_Solar[[#This Row],[Quantity]]*BoM_Solar[[#This Row],[Unit Price]],""),"")</f>
        <v/>
      </c>
      <c r="Q281" s="41" t="str">
        <f>IFERROR(IF(AND(BoM_Solar[[#This Row],[ACT_Qty]]&lt;&gt;"",BoM_Solar[[#This Row],[Currency]]="NOK"),BoM_Solar[[#This Row],[ACT_Qty]]*BoM_Solar[[#This Row],[Unit Price]],""),"")</f>
        <v/>
      </c>
      <c r="R281" s="41" t="str">
        <f>IFERROR(IF(AND(BoM_Solar[[#This Row],[Quantity]]&lt;&gt;"",BoM_Solar[[#This Row],[Currency]]="EUR"),BoM_Solar[[#This Row],[Quantity]]*BoM_Solar[[#This Row],[Unit Price]],""),"")</f>
        <v/>
      </c>
      <c r="S281" s="41" t="str">
        <f>IFERROR(IF(AND(BoM_Solar[[#This Row],[ACT_Qty]]&lt;&gt;"",BoM_Solar[[#This Row],[Currency]]="EUR"),BoM_Solar[[#This Row],[ACT_Qty]]*BoM_Solar[[#This Row],[Unit Price]],""),"")</f>
        <v/>
      </c>
      <c r="T281" s="185"/>
      <c r="U281" s="45"/>
      <c r="V281" s="45"/>
      <c r="W281" s="45"/>
    </row>
    <row r="282" spans="1:23">
      <c r="A282" s="146" t="str">
        <f t="shared" si="10"/>
        <v>AKH12345</v>
      </c>
      <c r="D282" s="105"/>
      <c r="E282" s="106"/>
      <c r="F282" s="105"/>
      <c r="G282" s="106"/>
      <c r="H282" s="175"/>
      <c r="I282" s="176"/>
      <c r="J282" s="176"/>
      <c r="K282" s="176"/>
      <c r="L282" s="145" t="s">
        <v>3326</v>
      </c>
      <c r="M282" s="45" t="str">
        <f t="shared" si="11"/>
        <v>OneCo Networks AS</v>
      </c>
      <c r="N282" s="40" t="str">
        <f ca="1">IFERROR(
VLOOKUP(BoM_Solar[[#This Row],[Product code]],
IF(AND((BoQ!$N$3&lt;&gt;""),OR(BoM_Solar[[#This Row],[Vendor]]="Griptel",BoM_Solar[[#This Row],[Vendor]]="Solar")),INDIRECT(Aux!$A$1)),4,FALSE),"")</f>
        <v/>
      </c>
      <c r="O282" s="169" t="s">
        <v>1807</v>
      </c>
      <c r="P282" s="41" t="str">
        <f>IFERROR(IF(AND(BoM_Solar[[#This Row],[Quantity]]&lt;&gt;"",BoM_Solar[[#This Row],[Currency]]="NOK"),BoM_Solar[[#This Row],[Quantity]]*BoM_Solar[[#This Row],[Unit Price]],""),"")</f>
        <v/>
      </c>
      <c r="Q282" s="41" t="str">
        <f>IFERROR(IF(AND(BoM_Solar[[#This Row],[ACT_Qty]]&lt;&gt;"",BoM_Solar[[#This Row],[Currency]]="NOK"),BoM_Solar[[#This Row],[ACT_Qty]]*BoM_Solar[[#This Row],[Unit Price]],""),"")</f>
        <v/>
      </c>
      <c r="R282" s="41" t="str">
        <f>IFERROR(IF(AND(BoM_Solar[[#This Row],[Quantity]]&lt;&gt;"",BoM_Solar[[#This Row],[Currency]]="EUR"),BoM_Solar[[#This Row],[Quantity]]*BoM_Solar[[#This Row],[Unit Price]],""),"")</f>
        <v/>
      </c>
      <c r="S282" s="41" t="str">
        <f>IFERROR(IF(AND(BoM_Solar[[#This Row],[ACT_Qty]]&lt;&gt;"",BoM_Solar[[#This Row],[Currency]]="EUR"),BoM_Solar[[#This Row],[ACT_Qty]]*BoM_Solar[[#This Row],[Unit Price]],""),"")</f>
        <v/>
      </c>
      <c r="T282" s="185"/>
      <c r="U282" s="45"/>
      <c r="V282" s="45"/>
      <c r="W282" s="45"/>
    </row>
    <row r="283" spans="1:23">
      <c r="A283" s="146" t="str">
        <f t="shared" si="10"/>
        <v>AKH12345</v>
      </c>
      <c r="D283" s="105"/>
      <c r="E283" s="106"/>
      <c r="F283" s="105"/>
      <c r="G283" s="106"/>
      <c r="H283" s="175"/>
      <c r="I283" s="176"/>
      <c r="J283" s="176"/>
      <c r="K283" s="176"/>
      <c r="L283" s="145" t="s">
        <v>3326</v>
      </c>
      <c r="M283" s="45" t="str">
        <f t="shared" si="11"/>
        <v>OneCo Networks AS</v>
      </c>
      <c r="N283" s="40" t="str">
        <f ca="1">IFERROR(
VLOOKUP(BoM_Solar[[#This Row],[Product code]],
IF(AND((BoQ!$N$3&lt;&gt;""),OR(BoM_Solar[[#This Row],[Vendor]]="Griptel",BoM_Solar[[#This Row],[Vendor]]="Solar")),INDIRECT(Aux!$A$1)),4,FALSE),"")</f>
        <v/>
      </c>
      <c r="O283" s="169" t="s">
        <v>1807</v>
      </c>
      <c r="P283" s="41" t="str">
        <f>IFERROR(IF(AND(BoM_Solar[[#This Row],[Quantity]]&lt;&gt;"",BoM_Solar[[#This Row],[Currency]]="NOK"),BoM_Solar[[#This Row],[Quantity]]*BoM_Solar[[#This Row],[Unit Price]],""),"")</f>
        <v/>
      </c>
      <c r="Q283" s="41" t="str">
        <f>IFERROR(IF(AND(BoM_Solar[[#This Row],[ACT_Qty]]&lt;&gt;"",BoM_Solar[[#This Row],[Currency]]="NOK"),BoM_Solar[[#This Row],[ACT_Qty]]*BoM_Solar[[#This Row],[Unit Price]],""),"")</f>
        <v/>
      </c>
      <c r="R283" s="41" t="str">
        <f>IFERROR(IF(AND(BoM_Solar[[#This Row],[Quantity]]&lt;&gt;"",BoM_Solar[[#This Row],[Currency]]="EUR"),BoM_Solar[[#This Row],[Quantity]]*BoM_Solar[[#This Row],[Unit Price]],""),"")</f>
        <v/>
      </c>
      <c r="S283" s="41" t="str">
        <f>IFERROR(IF(AND(BoM_Solar[[#This Row],[ACT_Qty]]&lt;&gt;"",BoM_Solar[[#This Row],[Currency]]="EUR"),BoM_Solar[[#This Row],[ACT_Qty]]*BoM_Solar[[#This Row],[Unit Price]],""),"")</f>
        <v/>
      </c>
      <c r="T283" s="185"/>
      <c r="U283" s="45"/>
      <c r="V283" s="45"/>
      <c r="W283" s="45"/>
    </row>
    <row r="284" spans="1:23">
      <c r="A284" s="146" t="str">
        <f t="shared" si="10"/>
        <v>AKH12345</v>
      </c>
      <c r="D284" s="105"/>
      <c r="E284" s="106"/>
      <c r="F284" s="105"/>
      <c r="G284" s="106"/>
      <c r="H284" s="175"/>
      <c r="I284" s="176"/>
      <c r="J284" s="176"/>
      <c r="K284" s="176"/>
      <c r="L284" s="145" t="s">
        <v>3326</v>
      </c>
      <c r="M284" s="45" t="str">
        <f t="shared" si="11"/>
        <v>OneCo Networks AS</v>
      </c>
      <c r="N284" s="40" t="str">
        <f ca="1">IFERROR(
VLOOKUP(BoM_Solar[[#This Row],[Product code]],
IF(AND((BoQ!$N$3&lt;&gt;""),OR(BoM_Solar[[#This Row],[Vendor]]="Griptel",BoM_Solar[[#This Row],[Vendor]]="Solar")),INDIRECT(Aux!$A$1)),4,FALSE),"")</f>
        <v/>
      </c>
      <c r="O284" s="169" t="s">
        <v>1807</v>
      </c>
      <c r="P284" s="41" t="str">
        <f>IFERROR(IF(AND(BoM_Solar[[#This Row],[Quantity]]&lt;&gt;"",BoM_Solar[[#This Row],[Currency]]="NOK"),BoM_Solar[[#This Row],[Quantity]]*BoM_Solar[[#This Row],[Unit Price]],""),"")</f>
        <v/>
      </c>
      <c r="Q284" s="41" t="str">
        <f>IFERROR(IF(AND(BoM_Solar[[#This Row],[ACT_Qty]]&lt;&gt;"",BoM_Solar[[#This Row],[Currency]]="NOK"),BoM_Solar[[#This Row],[ACT_Qty]]*BoM_Solar[[#This Row],[Unit Price]],""),"")</f>
        <v/>
      </c>
      <c r="R284" s="41" t="str">
        <f>IFERROR(IF(AND(BoM_Solar[[#This Row],[Quantity]]&lt;&gt;"",BoM_Solar[[#This Row],[Currency]]="EUR"),BoM_Solar[[#This Row],[Quantity]]*BoM_Solar[[#This Row],[Unit Price]],""),"")</f>
        <v/>
      </c>
      <c r="S284" s="41" t="str">
        <f>IFERROR(IF(AND(BoM_Solar[[#This Row],[ACT_Qty]]&lt;&gt;"",BoM_Solar[[#This Row],[Currency]]="EUR"),BoM_Solar[[#This Row],[ACT_Qty]]*BoM_Solar[[#This Row],[Unit Price]],""),"")</f>
        <v/>
      </c>
      <c r="T284" s="185"/>
      <c r="U284" s="45"/>
      <c r="V284" s="45"/>
      <c r="W284" s="45"/>
    </row>
    <row r="285" spans="1:23">
      <c r="A285" s="146" t="str">
        <f t="shared" ref="A285:A305" si="12">IF($C$4&lt;&gt;"",$C$4,"")</f>
        <v>AKH12345</v>
      </c>
      <c r="D285" s="105"/>
      <c r="E285" s="106"/>
      <c r="F285" s="105"/>
      <c r="G285" s="106"/>
      <c r="H285" s="175"/>
      <c r="I285" s="176"/>
      <c r="J285" s="176"/>
      <c r="K285" s="176"/>
      <c r="L285" s="145" t="s">
        <v>3326</v>
      </c>
      <c r="M285" s="45" t="str">
        <f t="shared" si="11"/>
        <v>OneCo Networks AS</v>
      </c>
      <c r="N285" s="40" t="str">
        <f ca="1">IFERROR(
VLOOKUP(BoM_Solar[[#This Row],[Product code]],
IF(AND((BoQ!$N$3&lt;&gt;""),OR(BoM_Solar[[#This Row],[Vendor]]="Griptel",BoM_Solar[[#This Row],[Vendor]]="Solar")),INDIRECT(Aux!$A$1)),4,FALSE),"")</f>
        <v/>
      </c>
      <c r="O285" s="169" t="s">
        <v>1807</v>
      </c>
      <c r="P285" s="41" t="str">
        <f>IFERROR(IF(AND(BoM_Solar[[#This Row],[Quantity]]&lt;&gt;"",BoM_Solar[[#This Row],[Currency]]="NOK"),BoM_Solar[[#This Row],[Quantity]]*BoM_Solar[[#This Row],[Unit Price]],""),"")</f>
        <v/>
      </c>
      <c r="Q285" s="41" t="str">
        <f>IFERROR(IF(AND(BoM_Solar[[#This Row],[ACT_Qty]]&lt;&gt;"",BoM_Solar[[#This Row],[Currency]]="NOK"),BoM_Solar[[#This Row],[ACT_Qty]]*BoM_Solar[[#This Row],[Unit Price]],""),"")</f>
        <v/>
      </c>
      <c r="R285" s="41" t="str">
        <f>IFERROR(IF(AND(BoM_Solar[[#This Row],[Quantity]]&lt;&gt;"",BoM_Solar[[#This Row],[Currency]]="EUR"),BoM_Solar[[#This Row],[Quantity]]*BoM_Solar[[#This Row],[Unit Price]],""),"")</f>
        <v/>
      </c>
      <c r="S285" s="41" t="str">
        <f>IFERROR(IF(AND(BoM_Solar[[#This Row],[ACT_Qty]]&lt;&gt;"",BoM_Solar[[#This Row],[Currency]]="EUR"),BoM_Solar[[#This Row],[ACT_Qty]]*BoM_Solar[[#This Row],[Unit Price]],""),"")</f>
        <v/>
      </c>
      <c r="T285" s="185"/>
      <c r="U285" s="45"/>
      <c r="V285" s="45"/>
      <c r="W285" s="45"/>
    </row>
    <row r="286" spans="1:23">
      <c r="A286" s="146" t="str">
        <f t="shared" si="12"/>
        <v>AKH12345</v>
      </c>
      <c r="D286" s="105"/>
      <c r="E286" s="106"/>
      <c r="F286" s="105"/>
      <c r="G286" s="106"/>
      <c r="H286" s="175"/>
      <c r="I286" s="176"/>
      <c r="J286" s="176"/>
      <c r="K286" s="176"/>
      <c r="L286" s="145" t="s">
        <v>3326</v>
      </c>
      <c r="M286" s="45" t="str">
        <f t="shared" si="11"/>
        <v>OneCo Networks AS</v>
      </c>
      <c r="N286" s="40" t="str">
        <f ca="1">IFERROR(
VLOOKUP(BoM_Solar[[#This Row],[Product code]],
IF(AND((BoQ!$N$3&lt;&gt;""),OR(BoM_Solar[[#This Row],[Vendor]]="Griptel",BoM_Solar[[#This Row],[Vendor]]="Solar")),INDIRECT(Aux!$A$1)),4,FALSE),"")</f>
        <v/>
      </c>
      <c r="O286" s="169" t="s">
        <v>1807</v>
      </c>
      <c r="P286" s="41" t="str">
        <f>IFERROR(IF(AND(BoM_Solar[[#This Row],[Quantity]]&lt;&gt;"",BoM_Solar[[#This Row],[Currency]]="NOK"),BoM_Solar[[#This Row],[Quantity]]*BoM_Solar[[#This Row],[Unit Price]],""),"")</f>
        <v/>
      </c>
      <c r="Q286" s="41" t="str">
        <f>IFERROR(IF(AND(BoM_Solar[[#This Row],[ACT_Qty]]&lt;&gt;"",BoM_Solar[[#This Row],[Currency]]="NOK"),BoM_Solar[[#This Row],[ACT_Qty]]*BoM_Solar[[#This Row],[Unit Price]],""),"")</f>
        <v/>
      </c>
      <c r="R286" s="41" t="str">
        <f>IFERROR(IF(AND(BoM_Solar[[#This Row],[Quantity]]&lt;&gt;"",BoM_Solar[[#This Row],[Currency]]="EUR"),BoM_Solar[[#This Row],[Quantity]]*BoM_Solar[[#This Row],[Unit Price]],""),"")</f>
        <v/>
      </c>
      <c r="S286" s="41" t="str">
        <f>IFERROR(IF(AND(BoM_Solar[[#This Row],[ACT_Qty]]&lt;&gt;"",BoM_Solar[[#This Row],[Currency]]="EUR"),BoM_Solar[[#This Row],[ACT_Qty]]*BoM_Solar[[#This Row],[Unit Price]],""),"")</f>
        <v/>
      </c>
      <c r="T286" s="185"/>
      <c r="U286" s="45"/>
      <c r="V286" s="45"/>
      <c r="W286" s="45"/>
    </row>
    <row r="287" spans="1:23">
      <c r="A287" s="146" t="str">
        <f t="shared" si="12"/>
        <v>AKH12345</v>
      </c>
      <c r="D287" s="105"/>
      <c r="E287" s="106"/>
      <c r="F287" s="105"/>
      <c r="G287" s="106"/>
      <c r="H287" s="175"/>
      <c r="I287" s="176"/>
      <c r="J287" s="176"/>
      <c r="K287" s="176"/>
      <c r="L287" s="145" t="s">
        <v>3326</v>
      </c>
      <c r="M287" s="45" t="str">
        <f t="shared" si="11"/>
        <v>OneCo Networks AS</v>
      </c>
      <c r="N287" s="40" t="str">
        <f ca="1">IFERROR(
VLOOKUP(BoM_Solar[[#This Row],[Product code]],
IF(AND((BoQ!$N$3&lt;&gt;""),OR(BoM_Solar[[#This Row],[Vendor]]="Griptel",BoM_Solar[[#This Row],[Vendor]]="Solar")),INDIRECT(Aux!$A$1)),4,FALSE),"")</f>
        <v/>
      </c>
      <c r="O287" s="169" t="s">
        <v>1807</v>
      </c>
      <c r="P287" s="41" t="str">
        <f>IFERROR(IF(AND(BoM_Solar[[#This Row],[Quantity]]&lt;&gt;"",BoM_Solar[[#This Row],[Currency]]="NOK"),BoM_Solar[[#This Row],[Quantity]]*BoM_Solar[[#This Row],[Unit Price]],""),"")</f>
        <v/>
      </c>
      <c r="Q287" s="41" t="str">
        <f>IFERROR(IF(AND(BoM_Solar[[#This Row],[ACT_Qty]]&lt;&gt;"",BoM_Solar[[#This Row],[Currency]]="NOK"),BoM_Solar[[#This Row],[ACT_Qty]]*BoM_Solar[[#This Row],[Unit Price]],""),"")</f>
        <v/>
      </c>
      <c r="R287" s="41" t="str">
        <f>IFERROR(IF(AND(BoM_Solar[[#This Row],[Quantity]]&lt;&gt;"",BoM_Solar[[#This Row],[Currency]]="EUR"),BoM_Solar[[#This Row],[Quantity]]*BoM_Solar[[#This Row],[Unit Price]],""),"")</f>
        <v/>
      </c>
      <c r="S287" s="41" t="str">
        <f>IFERROR(IF(AND(BoM_Solar[[#This Row],[ACT_Qty]]&lt;&gt;"",BoM_Solar[[#This Row],[Currency]]="EUR"),BoM_Solar[[#This Row],[ACT_Qty]]*BoM_Solar[[#This Row],[Unit Price]],""),"")</f>
        <v/>
      </c>
      <c r="T287" s="185"/>
      <c r="U287" s="45"/>
      <c r="V287" s="45"/>
      <c r="W287" s="45"/>
    </row>
    <row r="288" spans="1:23">
      <c r="A288" s="146" t="str">
        <f t="shared" si="12"/>
        <v>AKH12345</v>
      </c>
      <c r="D288" s="105"/>
      <c r="E288" s="106"/>
      <c r="F288" s="105"/>
      <c r="G288" s="106"/>
      <c r="H288" s="175"/>
      <c r="I288" s="176"/>
      <c r="J288" s="176"/>
      <c r="K288" s="176"/>
      <c r="L288" s="145" t="s">
        <v>3326</v>
      </c>
      <c r="M288" s="45" t="str">
        <f t="shared" si="11"/>
        <v>OneCo Networks AS</v>
      </c>
      <c r="N288" s="40" t="str">
        <f ca="1">IFERROR(
VLOOKUP(BoM_Solar[[#This Row],[Product code]],
IF(AND((BoQ!$N$3&lt;&gt;""),OR(BoM_Solar[[#This Row],[Vendor]]="Griptel",BoM_Solar[[#This Row],[Vendor]]="Solar")),INDIRECT(Aux!$A$1)),4,FALSE),"")</f>
        <v/>
      </c>
      <c r="O288" s="169" t="s">
        <v>1807</v>
      </c>
      <c r="P288" s="41" t="str">
        <f>IFERROR(IF(AND(BoM_Solar[[#This Row],[Quantity]]&lt;&gt;"",BoM_Solar[[#This Row],[Currency]]="NOK"),BoM_Solar[[#This Row],[Quantity]]*BoM_Solar[[#This Row],[Unit Price]],""),"")</f>
        <v/>
      </c>
      <c r="Q288" s="41" t="str">
        <f>IFERROR(IF(AND(BoM_Solar[[#This Row],[ACT_Qty]]&lt;&gt;"",BoM_Solar[[#This Row],[Currency]]="NOK"),BoM_Solar[[#This Row],[ACT_Qty]]*BoM_Solar[[#This Row],[Unit Price]],""),"")</f>
        <v/>
      </c>
      <c r="R288" s="41" t="str">
        <f>IFERROR(IF(AND(BoM_Solar[[#This Row],[Quantity]]&lt;&gt;"",BoM_Solar[[#This Row],[Currency]]="EUR"),BoM_Solar[[#This Row],[Quantity]]*BoM_Solar[[#This Row],[Unit Price]],""),"")</f>
        <v/>
      </c>
      <c r="S288" s="41" t="str">
        <f>IFERROR(IF(AND(BoM_Solar[[#This Row],[ACT_Qty]]&lt;&gt;"",BoM_Solar[[#This Row],[Currency]]="EUR"),BoM_Solar[[#This Row],[ACT_Qty]]*BoM_Solar[[#This Row],[Unit Price]],""),"")</f>
        <v/>
      </c>
      <c r="T288" s="185"/>
      <c r="U288" s="45"/>
      <c r="V288" s="45"/>
      <c r="W288" s="45"/>
    </row>
    <row r="289" spans="1:23">
      <c r="A289" s="146" t="str">
        <f t="shared" si="12"/>
        <v>AKH12345</v>
      </c>
      <c r="D289" s="105"/>
      <c r="E289" s="106"/>
      <c r="F289" s="105"/>
      <c r="G289" s="106"/>
      <c r="H289" s="175"/>
      <c r="I289" s="176"/>
      <c r="J289" s="176"/>
      <c r="K289" s="176"/>
      <c r="L289" s="145" t="s">
        <v>3326</v>
      </c>
      <c r="M289" s="45" t="str">
        <f t="shared" si="11"/>
        <v>OneCo Networks AS</v>
      </c>
      <c r="N289" s="40" t="str">
        <f ca="1">IFERROR(
VLOOKUP(BoM_Solar[[#This Row],[Product code]],
IF(AND((BoQ!$N$3&lt;&gt;""),OR(BoM_Solar[[#This Row],[Vendor]]="Griptel",BoM_Solar[[#This Row],[Vendor]]="Solar")),INDIRECT(Aux!$A$1)),4,FALSE),"")</f>
        <v/>
      </c>
      <c r="O289" s="169" t="s">
        <v>1807</v>
      </c>
      <c r="P289" s="41" t="str">
        <f>IFERROR(IF(AND(BoM_Solar[[#This Row],[Quantity]]&lt;&gt;"",BoM_Solar[[#This Row],[Currency]]="NOK"),BoM_Solar[[#This Row],[Quantity]]*BoM_Solar[[#This Row],[Unit Price]],""),"")</f>
        <v/>
      </c>
      <c r="Q289" s="41" t="str">
        <f>IFERROR(IF(AND(BoM_Solar[[#This Row],[ACT_Qty]]&lt;&gt;"",BoM_Solar[[#This Row],[Currency]]="NOK"),BoM_Solar[[#This Row],[ACT_Qty]]*BoM_Solar[[#This Row],[Unit Price]],""),"")</f>
        <v/>
      </c>
      <c r="R289" s="41" t="str">
        <f>IFERROR(IF(AND(BoM_Solar[[#This Row],[Quantity]]&lt;&gt;"",BoM_Solar[[#This Row],[Currency]]="EUR"),BoM_Solar[[#This Row],[Quantity]]*BoM_Solar[[#This Row],[Unit Price]],""),"")</f>
        <v/>
      </c>
      <c r="S289" s="41" t="str">
        <f>IFERROR(IF(AND(BoM_Solar[[#This Row],[ACT_Qty]]&lt;&gt;"",BoM_Solar[[#This Row],[Currency]]="EUR"),BoM_Solar[[#This Row],[ACT_Qty]]*BoM_Solar[[#This Row],[Unit Price]],""),"")</f>
        <v/>
      </c>
      <c r="T289" s="185"/>
      <c r="U289" s="45"/>
      <c r="V289" s="45"/>
      <c r="W289" s="45"/>
    </row>
    <row r="290" spans="1:23">
      <c r="A290" s="146" t="str">
        <f t="shared" si="12"/>
        <v>AKH12345</v>
      </c>
      <c r="D290" s="105"/>
      <c r="E290" s="106"/>
      <c r="F290" s="105"/>
      <c r="G290" s="106"/>
      <c r="H290" s="175"/>
      <c r="I290" s="176"/>
      <c r="J290" s="176"/>
      <c r="K290" s="176"/>
      <c r="L290" s="145" t="s">
        <v>3326</v>
      </c>
      <c r="M290" s="45" t="str">
        <f t="shared" si="11"/>
        <v>OneCo Networks AS</v>
      </c>
      <c r="N290" s="40" t="str">
        <f ca="1">IFERROR(
VLOOKUP(BoM_Solar[[#This Row],[Product code]],
IF(AND((BoQ!$N$3&lt;&gt;""),OR(BoM_Solar[[#This Row],[Vendor]]="Griptel",BoM_Solar[[#This Row],[Vendor]]="Solar")),INDIRECT(Aux!$A$1)),4,FALSE),"")</f>
        <v/>
      </c>
      <c r="O290" s="169" t="s">
        <v>1807</v>
      </c>
      <c r="P290" s="41" t="str">
        <f>IFERROR(IF(AND(BoM_Solar[[#This Row],[Quantity]]&lt;&gt;"",BoM_Solar[[#This Row],[Currency]]="NOK"),BoM_Solar[[#This Row],[Quantity]]*BoM_Solar[[#This Row],[Unit Price]],""),"")</f>
        <v/>
      </c>
      <c r="Q290" s="41" t="str">
        <f>IFERROR(IF(AND(BoM_Solar[[#This Row],[ACT_Qty]]&lt;&gt;"",BoM_Solar[[#This Row],[Currency]]="NOK"),BoM_Solar[[#This Row],[ACT_Qty]]*BoM_Solar[[#This Row],[Unit Price]],""),"")</f>
        <v/>
      </c>
      <c r="R290" s="41" t="str">
        <f>IFERROR(IF(AND(BoM_Solar[[#This Row],[Quantity]]&lt;&gt;"",BoM_Solar[[#This Row],[Currency]]="EUR"),BoM_Solar[[#This Row],[Quantity]]*BoM_Solar[[#This Row],[Unit Price]],""),"")</f>
        <v/>
      </c>
      <c r="S290" s="41" t="str">
        <f>IFERROR(IF(AND(BoM_Solar[[#This Row],[ACT_Qty]]&lt;&gt;"",BoM_Solar[[#This Row],[Currency]]="EUR"),BoM_Solar[[#This Row],[ACT_Qty]]*BoM_Solar[[#This Row],[Unit Price]],""),"")</f>
        <v/>
      </c>
      <c r="T290" s="185"/>
      <c r="U290" s="45"/>
      <c r="V290" s="45"/>
      <c r="W290" s="45"/>
    </row>
    <row r="291" spans="1:23">
      <c r="A291" s="146" t="str">
        <f t="shared" si="12"/>
        <v>AKH12345</v>
      </c>
      <c r="D291" s="105"/>
      <c r="E291" s="106"/>
      <c r="F291" s="105"/>
      <c r="G291" s="106"/>
      <c r="H291" s="175"/>
      <c r="I291" s="176"/>
      <c r="J291" s="176"/>
      <c r="K291" s="176"/>
      <c r="L291" s="145" t="s">
        <v>3326</v>
      </c>
      <c r="M291" s="45" t="str">
        <f t="shared" si="11"/>
        <v>OneCo Networks AS</v>
      </c>
      <c r="N291" s="40" t="str">
        <f ca="1">IFERROR(
VLOOKUP(BoM_Solar[[#This Row],[Product code]],
IF(AND((BoQ!$N$3&lt;&gt;""),OR(BoM_Solar[[#This Row],[Vendor]]="Griptel",BoM_Solar[[#This Row],[Vendor]]="Solar")),INDIRECT(Aux!$A$1)),4,FALSE),"")</f>
        <v/>
      </c>
      <c r="O291" s="169" t="s">
        <v>1807</v>
      </c>
      <c r="P291" s="41" t="str">
        <f>IFERROR(IF(AND(BoM_Solar[[#This Row],[Quantity]]&lt;&gt;"",BoM_Solar[[#This Row],[Currency]]="NOK"),BoM_Solar[[#This Row],[Quantity]]*BoM_Solar[[#This Row],[Unit Price]],""),"")</f>
        <v/>
      </c>
      <c r="Q291" s="41" t="str">
        <f>IFERROR(IF(AND(BoM_Solar[[#This Row],[ACT_Qty]]&lt;&gt;"",BoM_Solar[[#This Row],[Currency]]="NOK"),BoM_Solar[[#This Row],[ACT_Qty]]*BoM_Solar[[#This Row],[Unit Price]],""),"")</f>
        <v/>
      </c>
      <c r="R291" s="41" t="str">
        <f>IFERROR(IF(AND(BoM_Solar[[#This Row],[Quantity]]&lt;&gt;"",BoM_Solar[[#This Row],[Currency]]="EUR"),BoM_Solar[[#This Row],[Quantity]]*BoM_Solar[[#This Row],[Unit Price]],""),"")</f>
        <v/>
      </c>
      <c r="S291" s="41" t="str">
        <f>IFERROR(IF(AND(BoM_Solar[[#This Row],[ACT_Qty]]&lt;&gt;"",BoM_Solar[[#This Row],[Currency]]="EUR"),BoM_Solar[[#This Row],[ACT_Qty]]*BoM_Solar[[#This Row],[Unit Price]],""),"")</f>
        <v/>
      </c>
      <c r="T291" s="185"/>
      <c r="U291" s="45"/>
      <c r="V291" s="45"/>
      <c r="W291" s="45"/>
    </row>
    <row r="292" spans="1:23">
      <c r="A292" s="146" t="str">
        <f t="shared" si="12"/>
        <v>AKH12345</v>
      </c>
      <c r="D292" s="105"/>
      <c r="E292" s="106"/>
      <c r="F292" s="105"/>
      <c r="G292" s="106"/>
      <c r="H292" s="175"/>
      <c r="I292" s="176"/>
      <c r="J292" s="176"/>
      <c r="K292" s="176"/>
      <c r="L292" s="145" t="s">
        <v>3326</v>
      </c>
      <c r="M292" s="45" t="str">
        <f t="shared" si="11"/>
        <v>OneCo Networks AS</v>
      </c>
      <c r="N292" s="40" t="str">
        <f ca="1">IFERROR(
VLOOKUP(BoM_Solar[[#This Row],[Product code]],
IF(AND((BoQ!$N$3&lt;&gt;""),OR(BoM_Solar[[#This Row],[Vendor]]="Griptel",BoM_Solar[[#This Row],[Vendor]]="Solar")),INDIRECT(Aux!$A$1)),4,FALSE),"")</f>
        <v/>
      </c>
      <c r="O292" s="169" t="s">
        <v>1807</v>
      </c>
      <c r="P292" s="41" t="str">
        <f>IFERROR(IF(AND(BoM_Solar[[#This Row],[Quantity]]&lt;&gt;"",BoM_Solar[[#This Row],[Currency]]="NOK"),BoM_Solar[[#This Row],[Quantity]]*BoM_Solar[[#This Row],[Unit Price]],""),"")</f>
        <v/>
      </c>
      <c r="Q292" s="41" t="str">
        <f>IFERROR(IF(AND(BoM_Solar[[#This Row],[ACT_Qty]]&lt;&gt;"",BoM_Solar[[#This Row],[Currency]]="NOK"),BoM_Solar[[#This Row],[ACT_Qty]]*BoM_Solar[[#This Row],[Unit Price]],""),"")</f>
        <v/>
      </c>
      <c r="R292" s="41" t="str">
        <f>IFERROR(IF(AND(BoM_Solar[[#This Row],[Quantity]]&lt;&gt;"",BoM_Solar[[#This Row],[Currency]]="EUR"),BoM_Solar[[#This Row],[Quantity]]*BoM_Solar[[#This Row],[Unit Price]],""),"")</f>
        <v/>
      </c>
      <c r="S292" s="41" t="str">
        <f>IFERROR(IF(AND(BoM_Solar[[#This Row],[ACT_Qty]]&lt;&gt;"",BoM_Solar[[#This Row],[Currency]]="EUR"),BoM_Solar[[#This Row],[ACT_Qty]]*BoM_Solar[[#This Row],[Unit Price]],""),"")</f>
        <v/>
      </c>
      <c r="T292" s="185"/>
      <c r="U292" s="45"/>
      <c r="V292" s="45"/>
      <c r="W292" s="45"/>
    </row>
    <row r="293" spans="1:23">
      <c r="A293" s="146" t="str">
        <f t="shared" si="12"/>
        <v>AKH12345</v>
      </c>
      <c r="D293" s="105"/>
      <c r="E293" s="106"/>
      <c r="F293" s="105"/>
      <c r="G293" s="106"/>
      <c r="H293" s="175"/>
      <c r="I293" s="176"/>
      <c r="J293" s="176"/>
      <c r="K293" s="176"/>
      <c r="L293" s="145" t="s">
        <v>3326</v>
      </c>
      <c r="M293" s="45" t="str">
        <f t="shared" si="11"/>
        <v>OneCo Networks AS</v>
      </c>
      <c r="N293" s="40" t="str">
        <f ca="1">IFERROR(
VLOOKUP(BoM_Solar[[#This Row],[Product code]],
IF(AND((BoQ!$N$3&lt;&gt;""),OR(BoM_Solar[[#This Row],[Vendor]]="Griptel",BoM_Solar[[#This Row],[Vendor]]="Solar")),INDIRECT(Aux!$A$1)),4,FALSE),"")</f>
        <v/>
      </c>
      <c r="O293" s="169" t="s">
        <v>1807</v>
      </c>
      <c r="P293" s="41" t="str">
        <f>IFERROR(IF(AND(BoM_Solar[[#This Row],[Quantity]]&lt;&gt;"",BoM_Solar[[#This Row],[Currency]]="NOK"),BoM_Solar[[#This Row],[Quantity]]*BoM_Solar[[#This Row],[Unit Price]],""),"")</f>
        <v/>
      </c>
      <c r="Q293" s="41" t="str">
        <f>IFERROR(IF(AND(BoM_Solar[[#This Row],[ACT_Qty]]&lt;&gt;"",BoM_Solar[[#This Row],[Currency]]="NOK"),BoM_Solar[[#This Row],[ACT_Qty]]*BoM_Solar[[#This Row],[Unit Price]],""),"")</f>
        <v/>
      </c>
      <c r="R293" s="41" t="str">
        <f>IFERROR(IF(AND(BoM_Solar[[#This Row],[Quantity]]&lt;&gt;"",BoM_Solar[[#This Row],[Currency]]="EUR"),BoM_Solar[[#This Row],[Quantity]]*BoM_Solar[[#This Row],[Unit Price]],""),"")</f>
        <v/>
      </c>
      <c r="S293" s="41" t="str">
        <f>IFERROR(IF(AND(BoM_Solar[[#This Row],[ACT_Qty]]&lt;&gt;"",BoM_Solar[[#This Row],[Currency]]="EUR"),BoM_Solar[[#This Row],[ACT_Qty]]*BoM_Solar[[#This Row],[Unit Price]],""),"")</f>
        <v/>
      </c>
      <c r="T293" s="185"/>
      <c r="U293" s="45"/>
      <c r="V293" s="45"/>
      <c r="W293" s="45"/>
    </row>
    <row r="294" spans="1:23">
      <c r="A294" s="146" t="str">
        <f t="shared" si="12"/>
        <v>AKH12345</v>
      </c>
      <c r="D294" s="105"/>
      <c r="E294" s="106"/>
      <c r="F294" s="105"/>
      <c r="G294" s="106"/>
      <c r="H294" s="175"/>
      <c r="I294" s="176"/>
      <c r="J294" s="176"/>
      <c r="K294" s="176"/>
      <c r="L294" s="145" t="s">
        <v>3326</v>
      </c>
      <c r="M294" s="45" t="str">
        <f t="shared" si="11"/>
        <v>OneCo Networks AS</v>
      </c>
      <c r="N294" s="40" t="str">
        <f ca="1">IFERROR(
VLOOKUP(BoM_Solar[[#This Row],[Product code]],
IF(AND((BoQ!$N$3&lt;&gt;""),OR(BoM_Solar[[#This Row],[Vendor]]="Griptel",BoM_Solar[[#This Row],[Vendor]]="Solar")),INDIRECT(Aux!$A$1)),4,FALSE),"")</f>
        <v/>
      </c>
      <c r="O294" s="169" t="s">
        <v>1807</v>
      </c>
      <c r="P294" s="41" t="str">
        <f>IFERROR(IF(AND(BoM_Solar[[#This Row],[Quantity]]&lt;&gt;"",BoM_Solar[[#This Row],[Currency]]="NOK"),BoM_Solar[[#This Row],[Quantity]]*BoM_Solar[[#This Row],[Unit Price]],""),"")</f>
        <v/>
      </c>
      <c r="Q294" s="41" t="str">
        <f>IFERROR(IF(AND(BoM_Solar[[#This Row],[ACT_Qty]]&lt;&gt;"",BoM_Solar[[#This Row],[Currency]]="NOK"),BoM_Solar[[#This Row],[ACT_Qty]]*BoM_Solar[[#This Row],[Unit Price]],""),"")</f>
        <v/>
      </c>
      <c r="R294" s="41" t="str">
        <f>IFERROR(IF(AND(BoM_Solar[[#This Row],[Quantity]]&lt;&gt;"",BoM_Solar[[#This Row],[Currency]]="EUR"),BoM_Solar[[#This Row],[Quantity]]*BoM_Solar[[#This Row],[Unit Price]],""),"")</f>
        <v/>
      </c>
      <c r="S294" s="41" t="str">
        <f>IFERROR(IF(AND(BoM_Solar[[#This Row],[ACT_Qty]]&lt;&gt;"",BoM_Solar[[#This Row],[Currency]]="EUR"),BoM_Solar[[#This Row],[ACT_Qty]]*BoM_Solar[[#This Row],[Unit Price]],""),"")</f>
        <v/>
      </c>
      <c r="T294" s="185"/>
      <c r="U294" s="45"/>
      <c r="V294" s="45"/>
      <c r="W294" s="45"/>
    </row>
    <row r="295" spans="1:23">
      <c r="A295" s="146" t="str">
        <f t="shared" si="12"/>
        <v>AKH12345</v>
      </c>
      <c r="D295" s="105"/>
      <c r="E295" s="106"/>
      <c r="F295" s="105"/>
      <c r="G295" s="106"/>
      <c r="H295" s="175"/>
      <c r="I295" s="176"/>
      <c r="J295" s="176"/>
      <c r="K295" s="176"/>
      <c r="L295" s="145" t="s">
        <v>3326</v>
      </c>
      <c r="M295" s="45" t="str">
        <f t="shared" si="11"/>
        <v>OneCo Networks AS</v>
      </c>
      <c r="N295" s="40" t="str">
        <f ca="1">IFERROR(
VLOOKUP(BoM_Solar[[#This Row],[Product code]],
IF(AND((BoQ!$N$3&lt;&gt;""),OR(BoM_Solar[[#This Row],[Vendor]]="Griptel",BoM_Solar[[#This Row],[Vendor]]="Solar")),INDIRECT(Aux!$A$1)),4,FALSE),"")</f>
        <v/>
      </c>
      <c r="O295" s="169" t="s">
        <v>1807</v>
      </c>
      <c r="P295" s="41" t="str">
        <f>IFERROR(IF(AND(BoM_Solar[[#This Row],[Quantity]]&lt;&gt;"",BoM_Solar[[#This Row],[Currency]]="NOK"),BoM_Solar[[#This Row],[Quantity]]*BoM_Solar[[#This Row],[Unit Price]],""),"")</f>
        <v/>
      </c>
      <c r="Q295" s="41" t="str">
        <f>IFERROR(IF(AND(BoM_Solar[[#This Row],[ACT_Qty]]&lt;&gt;"",BoM_Solar[[#This Row],[Currency]]="NOK"),BoM_Solar[[#This Row],[ACT_Qty]]*BoM_Solar[[#This Row],[Unit Price]],""),"")</f>
        <v/>
      </c>
      <c r="R295" s="41" t="str">
        <f>IFERROR(IF(AND(BoM_Solar[[#This Row],[Quantity]]&lt;&gt;"",BoM_Solar[[#This Row],[Currency]]="EUR"),BoM_Solar[[#This Row],[Quantity]]*BoM_Solar[[#This Row],[Unit Price]],""),"")</f>
        <v/>
      </c>
      <c r="S295" s="41" t="str">
        <f>IFERROR(IF(AND(BoM_Solar[[#This Row],[ACT_Qty]]&lt;&gt;"",BoM_Solar[[#This Row],[Currency]]="EUR"),BoM_Solar[[#This Row],[ACT_Qty]]*BoM_Solar[[#This Row],[Unit Price]],""),"")</f>
        <v/>
      </c>
      <c r="T295" s="185"/>
      <c r="U295" s="45"/>
      <c r="V295" s="45"/>
      <c r="W295" s="45"/>
    </row>
    <row r="296" spans="1:23">
      <c r="A296" s="146" t="str">
        <f t="shared" si="12"/>
        <v>AKH12345</v>
      </c>
      <c r="D296" s="105"/>
      <c r="E296" s="106"/>
      <c r="F296" s="105"/>
      <c r="G296" s="106"/>
      <c r="H296" s="175"/>
      <c r="I296" s="176"/>
      <c r="J296" s="176"/>
      <c r="K296" s="176"/>
      <c r="L296" s="145" t="s">
        <v>3326</v>
      </c>
      <c r="M296" s="45" t="str">
        <f t="shared" si="11"/>
        <v>OneCo Networks AS</v>
      </c>
      <c r="N296" s="40" t="str">
        <f ca="1">IFERROR(
VLOOKUP(BoM_Solar[[#This Row],[Product code]],
IF(AND((BoQ!$N$3&lt;&gt;""),OR(BoM_Solar[[#This Row],[Vendor]]="Griptel",BoM_Solar[[#This Row],[Vendor]]="Solar")),INDIRECT(Aux!$A$1)),4,FALSE),"")</f>
        <v/>
      </c>
      <c r="O296" s="169" t="s">
        <v>1807</v>
      </c>
      <c r="P296" s="41" t="str">
        <f>IFERROR(IF(AND(BoM_Solar[[#This Row],[Quantity]]&lt;&gt;"",BoM_Solar[[#This Row],[Currency]]="NOK"),BoM_Solar[[#This Row],[Quantity]]*BoM_Solar[[#This Row],[Unit Price]],""),"")</f>
        <v/>
      </c>
      <c r="Q296" s="41" t="str">
        <f>IFERROR(IF(AND(BoM_Solar[[#This Row],[ACT_Qty]]&lt;&gt;"",BoM_Solar[[#This Row],[Currency]]="NOK"),BoM_Solar[[#This Row],[ACT_Qty]]*BoM_Solar[[#This Row],[Unit Price]],""),"")</f>
        <v/>
      </c>
      <c r="R296" s="41" t="str">
        <f>IFERROR(IF(AND(BoM_Solar[[#This Row],[Quantity]]&lt;&gt;"",BoM_Solar[[#This Row],[Currency]]="EUR"),BoM_Solar[[#This Row],[Quantity]]*BoM_Solar[[#This Row],[Unit Price]],""),"")</f>
        <v/>
      </c>
      <c r="S296" s="41" t="str">
        <f>IFERROR(IF(AND(BoM_Solar[[#This Row],[ACT_Qty]]&lt;&gt;"",BoM_Solar[[#This Row],[Currency]]="EUR"),BoM_Solar[[#This Row],[ACT_Qty]]*BoM_Solar[[#This Row],[Unit Price]],""),"")</f>
        <v/>
      </c>
      <c r="T296" s="185"/>
      <c r="U296" s="45"/>
      <c r="V296" s="45"/>
      <c r="W296" s="45"/>
    </row>
    <row r="297" spans="1:23">
      <c r="A297" s="146" t="str">
        <f t="shared" si="12"/>
        <v>AKH12345</v>
      </c>
      <c r="D297" s="105"/>
      <c r="E297" s="106"/>
      <c r="F297" s="105"/>
      <c r="G297" s="106"/>
      <c r="H297" s="175"/>
      <c r="I297" s="176"/>
      <c r="J297" s="176"/>
      <c r="K297" s="176"/>
      <c r="L297" s="145" t="s">
        <v>3326</v>
      </c>
      <c r="M297" s="45" t="str">
        <f t="shared" si="11"/>
        <v>OneCo Networks AS</v>
      </c>
      <c r="N297" s="40" t="str">
        <f ca="1">IFERROR(
VLOOKUP(BoM_Solar[[#This Row],[Product code]],
IF(AND((BoQ!$N$3&lt;&gt;""),OR(BoM_Solar[[#This Row],[Vendor]]="Griptel",BoM_Solar[[#This Row],[Vendor]]="Solar")),INDIRECT(Aux!$A$1)),4,FALSE),"")</f>
        <v/>
      </c>
      <c r="O297" s="169" t="s">
        <v>1807</v>
      </c>
      <c r="P297" s="41" t="str">
        <f>IFERROR(IF(AND(BoM_Solar[[#This Row],[Quantity]]&lt;&gt;"",BoM_Solar[[#This Row],[Currency]]="NOK"),BoM_Solar[[#This Row],[Quantity]]*BoM_Solar[[#This Row],[Unit Price]],""),"")</f>
        <v/>
      </c>
      <c r="Q297" s="41" t="str">
        <f>IFERROR(IF(AND(BoM_Solar[[#This Row],[ACT_Qty]]&lt;&gt;"",BoM_Solar[[#This Row],[Currency]]="NOK"),BoM_Solar[[#This Row],[ACT_Qty]]*BoM_Solar[[#This Row],[Unit Price]],""),"")</f>
        <v/>
      </c>
      <c r="R297" s="41" t="str">
        <f>IFERROR(IF(AND(BoM_Solar[[#This Row],[Quantity]]&lt;&gt;"",BoM_Solar[[#This Row],[Currency]]="EUR"),BoM_Solar[[#This Row],[Quantity]]*BoM_Solar[[#This Row],[Unit Price]],""),"")</f>
        <v/>
      </c>
      <c r="S297" s="41" t="str">
        <f>IFERROR(IF(AND(BoM_Solar[[#This Row],[ACT_Qty]]&lt;&gt;"",BoM_Solar[[#This Row],[Currency]]="EUR"),BoM_Solar[[#This Row],[ACT_Qty]]*BoM_Solar[[#This Row],[Unit Price]],""),"")</f>
        <v/>
      </c>
      <c r="T297" s="185"/>
      <c r="U297" s="45"/>
      <c r="V297" s="45"/>
      <c r="W297" s="45"/>
    </row>
    <row r="298" spans="1:23">
      <c r="A298" s="146" t="str">
        <f t="shared" si="12"/>
        <v>AKH12345</v>
      </c>
      <c r="D298" s="105"/>
      <c r="E298" s="106"/>
      <c r="F298" s="105"/>
      <c r="G298" s="106"/>
      <c r="H298" s="175"/>
      <c r="I298" s="176"/>
      <c r="J298" s="176"/>
      <c r="K298" s="176"/>
      <c r="L298" s="145" t="s">
        <v>3326</v>
      </c>
      <c r="M298" s="45" t="str">
        <f t="shared" si="11"/>
        <v>OneCo Networks AS</v>
      </c>
      <c r="N298" s="40" t="str">
        <f ca="1">IFERROR(
VLOOKUP(BoM_Solar[[#This Row],[Product code]],
IF(AND((BoQ!$N$3&lt;&gt;""),OR(BoM_Solar[[#This Row],[Vendor]]="Griptel",BoM_Solar[[#This Row],[Vendor]]="Solar")),INDIRECT(Aux!$A$1)),4,FALSE),"")</f>
        <v/>
      </c>
      <c r="O298" s="169" t="s">
        <v>1807</v>
      </c>
      <c r="P298" s="41" t="str">
        <f>IFERROR(IF(AND(BoM_Solar[[#This Row],[Quantity]]&lt;&gt;"",BoM_Solar[[#This Row],[Currency]]="NOK"),BoM_Solar[[#This Row],[Quantity]]*BoM_Solar[[#This Row],[Unit Price]],""),"")</f>
        <v/>
      </c>
      <c r="Q298" s="41" t="str">
        <f>IFERROR(IF(AND(BoM_Solar[[#This Row],[ACT_Qty]]&lt;&gt;"",BoM_Solar[[#This Row],[Currency]]="NOK"),BoM_Solar[[#This Row],[ACT_Qty]]*BoM_Solar[[#This Row],[Unit Price]],""),"")</f>
        <v/>
      </c>
      <c r="R298" s="41" t="str">
        <f>IFERROR(IF(AND(BoM_Solar[[#This Row],[Quantity]]&lt;&gt;"",BoM_Solar[[#This Row],[Currency]]="EUR"),BoM_Solar[[#This Row],[Quantity]]*BoM_Solar[[#This Row],[Unit Price]],""),"")</f>
        <v/>
      </c>
      <c r="S298" s="41" t="str">
        <f>IFERROR(IF(AND(BoM_Solar[[#This Row],[ACT_Qty]]&lt;&gt;"",BoM_Solar[[#This Row],[Currency]]="EUR"),BoM_Solar[[#This Row],[ACT_Qty]]*BoM_Solar[[#This Row],[Unit Price]],""),"")</f>
        <v/>
      </c>
      <c r="T298" s="185"/>
      <c r="U298" s="45"/>
      <c r="V298" s="45"/>
      <c r="W298" s="45"/>
    </row>
    <row r="299" spans="1:23">
      <c r="A299" s="146" t="str">
        <f t="shared" si="12"/>
        <v>AKH12345</v>
      </c>
      <c r="D299" s="105"/>
      <c r="E299" s="106"/>
      <c r="F299" s="105"/>
      <c r="G299" s="106"/>
      <c r="H299" s="175"/>
      <c r="I299" s="176"/>
      <c r="J299" s="176"/>
      <c r="K299" s="176"/>
      <c r="L299" s="145" t="s">
        <v>3326</v>
      </c>
      <c r="M299" s="45" t="str">
        <f t="shared" si="11"/>
        <v>OneCo Networks AS</v>
      </c>
      <c r="N299" s="40" t="str">
        <f ca="1">IFERROR(
VLOOKUP(BoM_Solar[[#This Row],[Product code]],
IF(AND((BoQ!$N$3&lt;&gt;""),OR(BoM_Solar[[#This Row],[Vendor]]="Griptel",BoM_Solar[[#This Row],[Vendor]]="Solar")),INDIRECT(Aux!$A$1)),4,FALSE),"")</f>
        <v/>
      </c>
      <c r="O299" s="169" t="s">
        <v>1807</v>
      </c>
      <c r="P299" s="41" t="str">
        <f>IFERROR(IF(AND(BoM_Solar[[#This Row],[Quantity]]&lt;&gt;"",BoM_Solar[[#This Row],[Currency]]="NOK"),BoM_Solar[[#This Row],[Quantity]]*BoM_Solar[[#This Row],[Unit Price]],""),"")</f>
        <v/>
      </c>
      <c r="Q299" s="41" t="str">
        <f>IFERROR(IF(AND(BoM_Solar[[#This Row],[ACT_Qty]]&lt;&gt;"",BoM_Solar[[#This Row],[Currency]]="NOK"),BoM_Solar[[#This Row],[ACT_Qty]]*BoM_Solar[[#This Row],[Unit Price]],""),"")</f>
        <v/>
      </c>
      <c r="R299" s="41" t="str">
        <f>IFERROR(IF(AND(BoM_Solar[[#This Row],[Quantity]]&lt;&gt;"",BoM_Solar[[#This Row],[Currency]]="EUR"),BoM_Solar[[#This Row],[Quantity]]*BoM_Solar[[#This Row],[Unit Price]],""),"")</f>
        <v/>
      </c>
      <c r="S299" s="41" t="str">
        <f>IFERROR(IF(AND(BoM_Solar[[#This Row],[ACT_Qty]]&lt;&gt;"",BoM_Solar[[#This Row],[Currency]]="EUR"),BoM_Solar[[#This Row],[ACT_Qty]]*BoM_Solar[[#This Row],[Unit Price]],""),"")</f>
        <v/>
      </c>
      <c r="T299" s="185"/>
      <c r="U299" s="45"/>
      <c r="V299" s="45"/>
      <c r="W299" s="45"/>
    </row>
    <row r="300" spans="1:23">
      <c r="A300" s="146" t="str">
        <f t="shared" si="12"/>
        <v>AKH12345</v>
      </c>
      <c r="D300" s="105"/>
      <c r="E300" s="106"/>
      <c r="F300" s="105"/>
      <c r="G300" s="106"/>
      <c r="H300" s="175"/>
      <c r="I300" s="176"/>
      <c r="J300" s="176"/>
      <c r="K300" s="176"/>
      <c r="L300" s="145" t="s">
        <v>3326</v>
      </c>
      <c r="M300" s="45" t="str">
        <f t="shared" si="11"/>
        <v>OneCo Networks AS</v>
      </c>
      <c r="N300" s="40" t="str">
        <f ca="1">IFERROR(
VLOOKUP(BoM_Solar[[#This Row],[Product code]],
IF(AND((BoQ!$N$3&lt;&gt;""),OR(BoM_Solar[[#This Row],[Vendor]]="Griptel",BoM_Solar[[#This Row],[Vendor]]="Solar")),INDIRECT(Aux!$A$1)),4,FALSE),"")</f>
        <v/>
      </c>
      <c r="O300" s="169" t="s">
        <v>1807</v>
      </c>
      <c r="P300" s="41" t="str">
        <f>IFERROR(IF(AND(BoM_Solar[[#This Row],[Quantity]]&lt;&gt;"",BoM_Solar[[#This Row],[Currency]]="NOK"),BoM_Solar[[#This Row],[Quantity]]*BoM_Solar[[#This Row],[Unit Price]],""),"")</f>
        <v/>
      </c>
      <c r="Q300" s="41" t="str">
        <f>IFERROR(IF(AND(BoM_Solar[[#This Row],[ACT_Qty]]&lt;&gt;"",BoM_Solar[[#This Row],[Currency]]="NOK"),BoM_Solar[[#This Row],[ACT_Qty]]*BoM_Solar[[#This Row],[Unit Price]],""),"")</f>
        <v/>
      </c>
      <c r="R300" s="41" t="str">
        <f>IFERROR(IF(AND(BoM_Solar[[#This Row],[Quantity]]&lt;&gt;"",BoM_Solar[[#This Row],[Currency]]="EUR"),BoM_Solar[[#This Row],[Quantity]]*BoM_Solar[[#This Row],[Unit Price]],""),"")</f>
        <v/>
      </c>
      <c r="S300" s="41" t="str">
        <f>IFERROR(IF(AND(BoM_Solar[[#This Row],[ACT_Qty]]&lt;&gt;"",BoM_Solar[[#This Row],[Currency]]="EUR"),BoM_Solar[[#This Row],[ACT_Qty]]*BoM_Solar[[#This Row],[Unit Price]],""),"")</f>
        <v/>
      </c>
      <c r="T300" s="185"/>
      <c r="U300" s="45"/>
      <c r="V300" s="45"/>
      <c r="W300" s="45"/>
    </row>
    <row r="301" spans="1:23">
      <c r="A301" s="146" t="str">
        <f t="shared" si="12"/>
        <v>AKH12345</v>
      </c>
      <c r="D301" s="105"/>
      <c r="E301" s="106"/>
      <c r="F301" s="105"/>
      <c r="G301" s="106"/>
      <c r="H301" s="175"/>
      <c r="I301" s="176"/>
      <c r="J301" s="176"/>
      <c r="K301" s="176"/>
      <c r="L301" s="145" t="s">
        <v>3326</v>
      </c>
      <c r="M301" s="45" t="str">
        <f t="shared" si="11"/>
        <v>OneCo Networks AS</v>
      </c>
      <c r="N301" s="40" t="str">
        <f ca="1">IFERROR(
VLOOKUP(BoM_Solar[[#This Row],[Product code]],
IF(AND((BoQ!$N$3&lt;&gt;""),OR(BoM_Solar[[#This Row],[Vendor]]="Griptel",BoM_Solar[[#This Row],[Vendor]]="Solar")),INDIRECT(Aux!$A$1)),4,FALSE),"")</f>
        <v/>
      </c>
      <c r="O301" s="169" t="s">
        <v>1807</v>
      </c>
      <c r="P301" s="41" t="str">
        <f>IFERROR(IF(AND(BoM_Solar[[#This Row],[Quantity]]&lt;&gt;"",BoM_Solar[[#This Row],[Currency]]="NOK"),BoM_Solar[[#This Row],[Quantity]]*BoM_Solar[[#This Row],[Unit Price]],""),"")</f>
        <v/>
      </c>
      <c r="Q301" s="41" t="str">
        <f>IFERROR(IF(AND(BoM_Solar[[#This Row],[ACT_Qty]]&lt;&gt;"",BoM_Solar[[#This Row],[Currency]]="NOK"),BoM_Solar[[#This Row],[ACT_Qty]]*BoM_Solar[[#This Row],[Unit Price]],""),"")</f>
        <v/>
      </c>
      <c r="R301" s="41" t="str">
        <f>IFERROR(IF(AND(BoM_Solar[[#This Row],[Quantity]]&lt;&gt;"",BoM_Solar[[#This Row],[Currency]]="EUR"),BoM_Solar[[#This Row],[Quantity]]*BoM_Solar[[#This Row],[Unit Price]],""),"")</f>
        <v/>
      </c>
      <c r="S301" s="41" t="str">
        <f>IFERROR(IF(AND(BoM_Solar[[#This Row],[ACT_Qty]]&lt;&gt;"",BoM_Solar[[#This Row],[Currency]]="EUR"),BoM_Solar[[#This Row],[ACT_Qty]]*BoM_Solar[[#This Row],[Unit Price]],""),"")</f>
        <v/>
      </c>
      <c r="T301" s="185"/>
      <c r="U301" s="45"/>
      <c r="V301" s="45"/>
      <c r="W301" s="45"/>
    </row>
    <row r="302" spans="1:23">
      <c r="A302" s="146" t="str">
        <f t="shared" si="12"/>
        <v>AKH12345</v>
      </c>
      <c r="D302" s="105"/>
      <c r="E302" s="106"/>
      <c r="F302" s="105"/>
      <c r="G302" s="106"/>
      <c r="H302" s="175"/>
      <c r="I302" s="176"/>
      <c r="J302" s="176"/>
      <c r="K302" s="176"/>
      <c r="L302" s="145" t="s">
        <v>3326</v>
      </c>
      <c r="M302" s="45" t="str">
        <f t="shared" si="11"/>
        <v>OneCo Networks AS</v>
      </c>
      <c r="N302" s="40" t="str">
        <f ca="1">IFERROR(
VLOOKUP(BoM_Solar[[#This Row],[Product code]],
IF(AND((BoQ!$N$3&lt;&gt;""),OR(BoM_Solar[[#This Row],[Vendor]]="Griptel",BoM_Solar[[#This Row],[Vendor]]="Solar")),INDIRECT(Aux!$A$1)),4,FALSE),"")</f>
        <v/>
      </c>
      <c r="O302" s="169" t="s">
        <v>1807</v>
      </c>
      <c r="P302" s="41" t="str">
        <f>IFERROR(IF(AND(BoM_Solar[[#This Row],[Quantity]]&lt;&gt;"",BoM_Solar[[#This Row],[Currency]]="NOK"),BoM_Solar[[#This Row],[Quantity]]*BoM_Solar[[#This Row],[Unit Price]],""),"")</f>
        <v/>
      </c>
      <c r="Q302" s="41" t="str">
        <f>IFERROR(IF(AND(BoM_Solar[[#This Row],[ACT_Qty]]&lt;&gt;"",BoM_Solar[[#This Row],[Currency]]="NOK"),BoM_Solar[[#This Row],[ACT_Qty]]*BoM_Solar[[#This Row],[Unit Price]],""),"")</f>
        <v/>
      </c>
      <c r="R302" s="41" t="str">
        <f>IFERROR(IF(AND(BoM_Solar[[#This Row],[Quantity]]&lt;&gt;"",BoM_Solar[[#This Row],[Currency]]="EUR"),BoM_Solar[[#This Row],[Quantity]]*BoM_Solar[[#This Row],[Unit Price]],""),"")</f>
        <v/>
      </c>
      <c r="S302" s="41" t="str">
        <f>IFERROR(IF(AND(BoM_Solar[[#This Row],[ACT_Qty]]&lt;&gt;"",BoM_Solar[[#This Row],[Currency]]="EUR"),BoM_Solar[[#This Row],[ACT_Qty]]*BoM_Solar[[#This Row],[Unit Price]],""),"")</f>
        <v/>
      </c>
      <c r="T302" s="185"/>
      <c r="U302" s="45"/>
      <c r="V302" s="45"/>
      <c r="W302" s="45"/>
    </row>
    <row r="303" spans="1:23">
      <c r="A303" s="146" t="str">
        <f t="shared" si="12"/>
        <v>AKH12345</v>
      </c>
      <c r="D303" s="105"/>
      <c r="E303" s="106"/>
      <c r="F303" s="105"/>
      <c r="G303" s="106"/>
      <c r="H303" s="175"/>
      <c r="I303" s="176"/>
      <c r="J303" s="176"/>
      <c r="K303" s="176"/>
      <c r="L303" s="145" t="s">
        <v>3326</v>
      </c>
      <c r="M303" s="45" t="str">
        <f t="shared" si="11"/>
        <v>OneCo Networks AS</v>
      </c>
      <c r="N303" s="40" t="str">
        <f ca="1">IFERROR(
VLOOKUP(BoM_Solar[[#This Row],[Product code]],
IF(AND((BoQ!$N$3&lt;&gt;""),OR(BoM_Solar[[#This Row],[Vendor]]="Griptel",BoM_Solar[[#This Row],[Vendor]]="Solar")),INDIRECT(Aux!$A$1)),4,FALSE),"")</f>
        <v/>
      </c>
      <c r="O303" s="169" t="s">
        <v>1807</v>
      </c>
      <c r="P303" s="41" t="str">
        <f>IFERROR(IF(AND(BoM_Solar[[#This Row],[Quantity]]&lt;&gt;"",BoM_Solar[[#This Row],[Currency]]="NOK"),BoM_Solar[[#This Row],[Quantity]]*BoM_Solar[[#This Row],[Unit Price]],""),"")</f>
        <v/>
      </c>
      <c r="Q303" s="41" t="str">
        <f>IFERROR(IF(AND(BoM_Solar[[#This Row],[ACT_Qty]]&lt;&gt;"",BoM_Solar[[#This Row],[Currency]]="NOK"),BoM_Solar[[#This Row],[ACT_Qty]]*BoM_Solar[[#This Row],[Unit Price]],""),"")</f>
        <v/>
      </c>
      <c r="R303" s="41" t="str">
        <f>IFERROR(IF(AND(BoM_Solar[[#This Row],[Quantity]]&lt;&gt;"",BoM_Solar[[#This Row],[Currency]]="EUR"),BoM_Solar[[#This Row],[Quantity]]*BoM_Solar[[#This Row],[Unit Price]],""),"")</f>
        <v/>
      </c>
      <c r="S303" s="41" t="str">
        <f>IFERROR(IF(AND(BoM_Solar[[#This Row],[ACT_Qty]]&lt;&gt;"",BoM_Solar[[#This Row],[Currency]]="EUR"),BoM_Solar[[#This Row],[ACT_Qty]]*BoM_Solar[[#This Row],[Unit Price]],""),"")</f>
        <v/>
      </c>
      <c r="T303" s="185"/>
      <c r="U303" s="45"/>
      <c r="V303" s="45"/>
      <c r="W303" s="45"/>
    </row>
    <row r="304" spans="1:23">
      <c r="A304" s="146" t="str">
        <f t="shared" si="12"/>
        <v>AKH12345</v>
      </c>
      <c r="D304" s="105"/>
      <c r="E304" s="106"/>
      <c r="F304" s="105"/>
      <c r="G304" s="106"/>
      <c r="H304" s="175"/>
      <c r="I304" s="176"/>
      <c r="J304" s="176"/>
      <c r="K304" s="176"/>
      <c r="L304" s="145" t="s">
        <v>3326</v>
      </c>
      <c r="M304" s="45" t="str">
        <f t="shared" si="11"/>
        <v>OneCo Networks AS</v>
      </c>
      <c r="N304" s="40" t="str">
        <f ca="1">IFERROR(
VLOOKUP(BoM_Solar[[#This Row],[Product code]],
IF(AND((BoQ!$N$3&lt;&gt;""),OR(BoM_Solar[[#This Row],[Vendor]]="Griptel",BoM_Solar[[#This Row],[Vendor]]="Solar")),INDIRECT(Aux!$A$1)),4,FALSE),"")</f>
        <v/>
      </c>
      <c r="O304" s="169" t="s">
        <v>1807</v>
      </c>
      <c r="P304" s="41" t="str">
        <f>IFERROR(IF(AND(BoM_Solar[[#This Row],[Quantity]]&lt;&gt;"",BoM_Solar[[#This Row],[Currency]]="NOK"),BoM_Solar[[#This Row],[Quantity]]*BoM_Solar[[#This Row],[Unit Price]],""),"")</f>
        <v/>
      </c>
      <c r="Q304" s="41" t="str">
        <f>IFERROR(IF(AND(BoM_Solar[[#This Row],[ACT_Qty]]&lt;&gt;"",BoM_Solar[[#This Row],[Currency]]="NOK"),BoM_Solar[[#This Row],[ACT_Qty]]*BoM_Solar[[#This Row],[Unit Price]],""),"")</f>
        <v/>
      </c>
      <c r="R304" s="41" t="str">
        <f>IFERROR(IF(AND(BoM_Solar[[#This Row],[Quantity]]&lt;&gt;"",BoM_Solar[[#This Row],[Currency]]="EUR"),BoM_Solar[[#This Row],[Quantity]]*BoM_Solar[[#This Row],[Unit Price]],""),"")</f>
        <v/>
      </c>
      <c r="S304" s="41" t="str">
        <f>IFERROR(IF(AND(BoM_Solar[[#This Row],[ACT_Qty]]&lt;&gt;"",BoM_Solar[[#This Row],[Currency]]="EUR"),BoM_Solar[[#This Row],[ACT_Qty]]*BoM_Solar[[#This Row],[Unit Price]],""),"")</f>
        <v/>
      </c>
      <c r="T304" s="185"/>
      <c r="U304" s="45"/>
      <c r="V304" s="45"/>
      <c r="W304" s="45"/>
    </row>
    <row r="305" spans="1:23">
      <c r="A305" s="146" t="str">
        <f t="shared" si="12"/>
        <v>AKH12345</v>
      </c>
      <c r="D305" s="105"/>
      <c r="E305" s="106"/>
      <c r="F305" s="105"/>
      <c r="G305" s="106"/>
      <c r="H305" s="175"/>
      <c r="I305" s="176"/>
      <c r="J305" s="176"/>
      <c r="K305" s="176"/>
      <c r="L305" s="145" t="s">
        <v>3326</v>
      </c>
      <c r="M305" s="45" t="str">
        <f t="shared" si="11"/>
        <v>OneCo Networks AS</v>
      </c>
      <c r="N305" s="40" t="str">
        <f ca="1">IFERROR(
VLOOKUP(BoM_Solar[[#This Row],[Product code]],
IF(AND((BoQ!$N$3&lt;&gt;""),OR(BoM_Solar[[#This Row],[Vendor]]="Griptel",BoM_Solar[[#This Row],[Vendor]]="Solar")),INDIRECT(Aux!$A$1)),4,FALSE),"")</f>
        <v/>
      </c>
      <c r="O305" s="169" t="s">
        <v>1807</v>
      </c>
      <c r="P305" s="41" t="str">
        <f>IFERROR(IF(AND(BoM_Solar[[#This Row],[Quantity]]&lt;&gt;"",BoM_Solar[[#This Row],[Currency]]="NOK"),BoM_Solar[[#This Row],[Quantity]]*BoM_Solar[[#This Row],[Unit Price]],""),"")</f>
        <v/>
      </c>
      <c r="Q305" s="41" t="str">
        <f>IFERROR(IF(AND(BoM_Solar[[#This Row],[ACT_Qty]]&lt;&gt;"",BoM_Solar[[#This Row],[Currency]]="NOK"),BoM_Solar[[#This Row],[ACT_Qty]]*BoM_Solar[[#This Row],[Unit Price]],""),"")</f>
        <v/>
      </c>
      <c r="R305" s="41" t="str">
        <f>IFERROR(IF(AND(BoM_Solar[[#This Row],[Quantity]]&lt;&gt;"",BoM_Solar[[#This Row],[Currency]]="EUR"),BoM_Solar[[#This Row],[Quantity]]*BoM_Solar[[#This Row],[Unit Price]],""),"")</f>
        <v/>
      </c>
      <c r="S305" s="41" t="str">
        <f>IFERROR(IF(AND(BoM_Solar[[#This Row],[ACT_Qty]]&lt;&gt;"",BoM_Solar[[#This Row],[Currency]]="EUR"),BoM_Solar[[#This Row],[ACT_Qty]]*BoM_Solar[[#This Row],[Unit Price]],""),"")</f>
        <v/>
      </c>
      <c r="T305" s="185"/>
      <c r="U305" s="45"/>
      <c r="V305" s="45"/>
      <c r="W305" s="45"/>
    </row>
  </sheetData>
  <sheetProtection formatColumns="0" autoFilter="0"/>
  <conditionalFormatting sqref="N11:T305">
    <cfRule type="expression" dxfId="37" priority="3">
      <formula>($T11="TSSR")</formula>
    </cfRule>
    <cfRule type="expression" dxfId="36" priority="4">
      <formula>($T11="Office")</formula>
    </cfRule>
    <cfRule type="expression" dxfId="35" priority="5">
      <formula>($T11="On site")</formula>
    </cfRule>
  </conditionalFormatting>
  <conditionalFormatting sqref="B1:B10 B139:B1048576">
    <cfRule type="expression" dxfId="34" priority="6">
      <formula>AND(COUNTIF($B:$B,B1)&gt;1,B1&lt;&gt;"ice_add_service_1NOK",B1&lt;&gt;"ice_add_material_1NOK",B1&lt;&gt;"ice_spec_trans_1NOK")</formula>
    </cfRule>
  </conditionalFormatting>
  <dataValidations count="2">
    <dataValidation type="textLength" operator="lessThanOrEqual" allowBlank="1" showInputMessage="1" showErrorMessage="1" promptTitle="Levernadørens interne produktnr" prompt="Leverandørens unike produktnummer. Noen leverandører har Elnummer også som sitt &quot;interne&quot; produktnummer." sqref="C136" xr:uid="{FEA10556-076B-42D7-80D7-7E3D3EBCCA91}">
      <formula1>35</formula1>
      <formula2>0</formula2>
    </dataValidation>
    <dataValidation type="whole" allowBlank="1" showInputMessage="1" showErrorMessage="1" errorTitle="Feil i elnummer" error="Elnummeret må inneholde syv siffer" promptTitle="Elnummer (7 siffer)" prompt="Produktets elnummer" sqref="B136:C136" xr:uid="{8FEA3335-9B81-4C97-B1CE-3CFD1F07B7B5}">
      <formula1>1000000</formula1>
      <formula2>9999999</formula2>
    </dataValidation>
  </dataValidations>
  <pageMargins left="0.7" right="0.7" top="0.75" bottom="0.75" header="0.3" footer="0.3"/>
  <pageSetup scale="79" orientation="portrait" r:id="rId1"/>
  <colBreaks count="2" manualBreakCount="2">
    <brk id="9" max="219" man="1"/>
    <brk id="18" max="1048575" man="1"/>
  </colBreaks>
  <ignoredErrors>
    <ignoredError sqref="O139:O142 O11:O50 O143:O158" calculatedColumn="1"/>
  </ignoredErrors>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AADE9-4D12-4993-AF4E-0A67EA56F01E}">
  <dimension ref="B2:H26"/>
  <sheetViews>
    <sheetView workbookViewId="0">
      <selection activeCell="D10" sqref="D10"/>
    </sheetView>
  </sheetViews>
  <sheetFormatPr defaultColWidth="9.140625" defaultRowHeight="14.45"/>
  <cols>
    <col min="2" max="2" width="13.28515625" customWidth="1"/>
    <col min="3" max="3" width="15.140625" customWidth="1"/>
    <col min="4" max="4" width="64.140625" customWidth="1"/>
  </cols>
  <sheetData>
    <row r="2" spans="2:4">
      <c r="B2" s="295" t="s">
        <v>3572</v>
      </c>
      <c r="C2" s="295"/>
      <c r="D2" s="53" t="s">
        <v>3573</v>
      </c>
    </row>
    <row r="3" spans="2:4">
      <c r="B3" s="295" t="s">
        <v>3574</v>
      </c>
      <c r="C3" s="295"/>
      <c r="D3" s="53" t="s">
        <v>3575</v>
      </c>
    </row>
    <row r="4" spans="2:4" ht="6.6" customHeight="1"/>
    <row r="5" spans="2:4" ht="19.899999999999999" customHeight="1">
      <c r="B5" s="235" t="s">
        <v>3576</v>
      </c>
      <c r="C5" s="235" t="s">
        <v>3577</v>
      </c>
      <c r="D5" s="235" t="s">
        <v>3578</v>
      </c>
    </row>
    <row r="6" spans="2:4" ht="28.9">
      <c r="B6" s="251" t="s">
        <v>3579</v>
      </c>
      <c r="C6" s="252">
        <v>45621</v>
      </c>
      <c r="D6" s="253" t="s">
        <v>3580</v>
      </c>
    </row>
    <row r="7" spans="2:4" ht="28.9">
      <c r="B7" s="277" t="s">
        <v>3581</v>
      </c>
      <c r="C7" s="252">
        <v>45770</v>
      </c>
      <c r="D7" s="253" t="s">
        <v>3582</v>
      </c>
    </row>
    <row r="8" spans="2:4" ht="19.899999999999999" customHeight="1">
      <c r="B8" s="277" t="s">
        <v>3583</v>
      </c>
      <c r="C8" s="252">
        <v>45772</v>
      </c>
      <c r="D8" s="149" t="s">
        <v>3584</v>
      </c>
    </row>
    <row r="9" spans="2:4" ht="19.899999999999999" customHeight="1">
      <c r="B9" s="149">
        <v>3.22</v>
      </c>
      <c r="C9" s="252">
        <v>45782</v>
      </c>
      <c r="D9" s="149" t="s">
        <v>3585</v>
      </c>
    </row>
    <row r="10" spans="2:4" ht="19.899999999999999" customHeight="1">
      <c r="B10" s="149">
        <v>4</v>
      </c>
      <c r="C10" s="252">
        <v>45936</v>
      </c>
      <c r="D10" s="149" t="s">
        <v>3586</v>
      </c>
    </row>
    <row r="11" spans="2:4" ht="19.899999999999999" customHeight="1">
      <c r="B11" s="149"/>
      <c r="C11" s="149"/>
      <c r="D11" s="149"/>
    </row>
    <row r="12" spans="2:4" ht="19.899999999999999" customHeight="1">
      <c r="B12" s="149"/>
      <c r="C12" s="149"/>
      <c r="D12" s="149"/>
    </row>
    <row r="13" spans="2:4" ht="19.899999999999999" customHeight="1">
      <c r="B13" s="149"/>
      <c r="C13" s="149"/>
      <c r="D13" s="149"/>
    </row>
    <row r="14" spans="2:4" ht="19.899999999999999" customHeight="1">
      <c r="B14" s="149"/>
      <c r="C14" s="149"/>
      <c r="D14" s="149"/>
    </row>
    <row r="15" spans="2:4" ht="19.899999999999999" customHeight="1">
      <c r="B15" s="149"/>
      <c r="C15" s="149"/>
      <c r="D15" s="149"/>
    </row>
    <row r="16" spans="2:4" ht="19.899999999999999" customHeight="1">
      <c r="B16" s="149"/>
      <c r="C16" s="149"/>
      <c r="D16" s="149"/>
    </row>
    <row r="17" spans="2:8" ht="19.899999999999999" customHeight="1">
      <c r="B17" s="149"/>
      <c r="C17" s="149"/>
      <c r="D17" s="149"/>
    </row>
    <row r="18" spans="2:8" ht="19.899999999999999" customHeight="1">
      <c r="B18" s="149"/>
      <c r="C18" s="149"/>
      <c r="D18" s="149"/>
    </row>
    <row r="19" spans="2:8" ht="19.899999999999999" customHeight="1">
      <c r="B19" s="149"/>
      <c r="C19" s="149"/>
      <c r="D19" s="149"/>
    </row>
    <row r="20" spans="2:8" ht="19.899999999999999" customHeight="1">
      <c r="B20" s="149"/>
      <c r="C20" s="149"/>
      <c r="D20" s="149"/>
    </row>
    <row r="26" spans="2:8">
      <c r="H26" t="s">
        <v>3587</v>
      </c>
    </row>
  </sheetData>
  <mergeCells count="2">
    <mergeCell ref="B2:C2"/>
    <mergeCell ref="B3:C3"/>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6335C-3A7A-46CA-AF41-98C803A566AD}">
  <sheetPr codeName="Sheet2"/>
  <dimension ref="A1:P72"/>
  <sheetViews>
    <sheetView topLeftCell="A43" workbookViewId="0">
      <selection activeCell="H80" sqref="H80"/>
    </sheetView>
  </sheetViews>
  <sheetFormatPr defaultColWidth="9.140625" defaultRowHeight="14.45"/>
  <cols>
    <col min="1" max="1" width="11.140625" customWidth="1"/>
    <col min="2" max="2" width="12.42578125" bestFit="1" customWidth="1"/>
    <col min="3" max="3" width="10.140625" customWidth="1"/>
    <col min="4" max="4" width="15.28515625" bestFit="1" customWidth="1"/>
    <col min="5" max="5" width="11.5703125" bestFit="1" customWidth="1"/>
    <col min="8" max="8" width="132.7109375" customWidth="1"/>
    <col min="9" max="9" width="20" customWidth="1"/>
    <col min="10" max="10" width="19.85546875" bestFit="1" customWidth="1"/>
    <col min="16" max="16" width="10.28515625" hidden="1" customWidth="1"/>
  </cols>
  <sheetData>
    <row r="1" spans="1:16">
      <c r="A1" s="2" t="s">
        <v>3588</v>
      </c>
      <c r="B1" s="2" t="s">
        <v>3589</v>
      </c>
      <c r="C1" s="2" t="s">
        <v>3590</v>
      </c>
      <c r="D1" s="2" t="s">
        <v>3591</v>
      </c>
      <c r="E1" s="3" t="s">
        <v>3592</v>
      </c>
      <c r="F1" s="2" t="s">
        <v>3593</v>
      </c>
      <c r="G1" s="2" t="s">
        <v>3594</v>
      </c>
      <c r="H1" s="3" t="s">
        <v>3595</v>
      </c>
      <c r="I1" s="2" t="s">
        <v>3596</v>
      </c>
      <c r="P1" s="4" t="s">
        <v>3597</v>
      </c>
    </row>
    <row r="2" spans="1:16">
      <c r="A2" t="s">
        <v>3598</v>
      </c>
      <c r="B2" t="s">
        <v>3599</v>
      </c>
      <c r="C2" t="s">
        <v>3600</v>
      </c>
      <c r="D2" t="s">
        <v>3601</v>
      </c>
      <c r="E2" t="s">
        <v>3602</v>
      </c>
      <c r="F2" t="s">
        <v>3603</v>
      </c>
      <c r="G2" t="s">
        <v>3603</v>
      </c>
      <c r="H2" t="s">
        <v>3604</v>
      </c>
      <c r="P2" t="s">
        <v>3605</v>
      </c>
    </row>
    <row r="3" spans="1:16">
      <c r="A3" t="s">
        <v>3606</v>
      </c>
      <c r="B3" t="s">
        <v>3599</v>
      </c>
      <c r="C3" t="s">
        <v>3607</v>
      </c>
      <c r="D3" t="s">
        <v>3608</v>
      </c>
      <c r="E3" t="s">
        <v>3602</v>
      </c>
      <c r="F3" t="s">
        <v>3603</v>
      </c>
      <c r="G3" t="s">
        <v>3603</v>
      </c>
      <c r="H3" t="s">
        <v>3609</v>
      </c>
    </row>
    <row r="4" spans="1:16">
      <c r="A4" t="s">
        <v>3610</v>
      </c>
      <c r="B4" t="s">
        <v>3599</v>
      </c>
      <c r="C4" t="s">
        <v>3611</v>
      </c>
      <c r="D4" t="s">
        <v>3612</v>
      </c>
      <c r="E4" t="s">
        <v>3602</v>
      </c>
      <c r="F4" t="s">
        <v>3613</v>
      </c>
      <c r="G4" t="s">
        <v>3614</v>
      </c>
      <c r="H4" t="s">
        <v>3615</v>
      </c>
    </row>
    <row r="5" spans="1:16">
      <c r="A5" t="s">
        <v>3616</v>
      </c>
      <c r="B5" t="s">
        <v>3599</v>
      </c>
      <c r="C5" t="s">
        <v>3617</v>
      </c>
      <c r="D5" t="s">
        <v>3618</v>
      </c>
      <c r="E5" t="s">
        <v>3602</v>
      </c>
      <c r="F5" t="s">
        <v>3619</v>
      </c>
      <c r="G5" t="s">
        <v>3614</v>
      </c>
      <c r="H5" t="s">
        <v>3620</v>
      </c>
    </row>
    <row r="6" spans="1:16">
      <c r="A6" t="s">
        <v>3616</v>
      </c>
      <c r="B6" t="s">
        <v>3599</v>
      </c>
      <c r="C6" t="s">
        <v>3617</v>
      </c>
      <c r="D6" t="s">
        <v>3618</v>
      </c>
      <c r="E6" t="s">
        <v>3602</v>
      </c>
      <c r="F6" t="s">
        <v>3621</v>
      </c>
      <c r="G6" t="s">
        <v>3622</v>
      </c>
      <c r="H6" t="s">
        <v>3623</v>
      </c>
    </row>
    <row r="7" spans="1:16">
      <c r="A7" s="29">
        <v>44918</v>
      </c>
      <c r="B7" t="s">
        <v>3599</v>
      </c>
      <c r="C7" t="s">
        <v>3624</v>
      </c>
      <c r="D7" t="s">
        <v>3625</v>
      </c>
      <c r="E7" t="s">
        <v>3602</v>
      </c>
      <c r="F7" t="s">
        <v>3603</v>
      </c>
      <c r="G7" t="s">
        <v>3603</v>
      </c>
      <c r="H7" t="s">
        <v>3626</v>
      </c>
    </row>
    <row r="8" spans="1:16">
      <c r="A8" s="29">
        <v>44918</v>
      </c>
      <c r="B8" t="s">
        <v>3599</v>
      </c>
      <c r="C8" t="s">
        <v>3624</v>
      </c>
      <c r="D8" t="s">
        <v>3625</v>
      </c>
      <c r="E8" t="s">
        <v>3602</v>
      </c>
      <c r="F8" t="s">
        <v>3627</v>
      </c>
      <c r="G8" t="s">
        <v>3614</v>
      </c>
      <c r="H8" t="s">
        <v>3628</v>
      </c>
    </row>
    <row r="9" spans="1:16">
      <c r="A9" s="29">
        <v>44918</v>
      </c>
      <c r="B9" t="s">
        <v>3599</v>
      </c>
      <c r="C9" t="s">
        <v>3624</v>
      </c>
      <c r="D9" t="s">
        <v>3625</v>
      </c>
      <c r="E9" t="s">
        <v>3602</v>
      </c>
      <c r="F9" t="s">
        <v>3603</v>
      </c>
      <c r="G9" t="s">
        <v>3603</v>
      </c>
      <c r="H9" t="s">
        <v>3629</v>
      </c>
    </row>
    <row r="10" spans="1:16">
      <c r="A10" s="29">
        <v>44918</v>
      </c>
      <c r="B10" t="s">
        <v>3599</v>
      </c>
      <c r="C10" t="s">
        <v>3624</v>
      </c>
      <c r="D10" t="s">
        <v>3625</v>
      </c>
      <c r="E10" t="s">
        <v>3602</v>
      </c>
      <c r="F10" t="s">
        <v>3630</v>
      </c>
      <c r="G10" t="s">
        <v>3614</v>
      </c>
      <c r="H10" t="s">
        <v>3631</v>
      </c>
    </row>
    <row r="11" spans="1:16">
      <c r="A11" t="s">
        <v>3632</v>
      </c>
      <c r="B11" t="s">
        <v>3599</v>
      </c>
      <c r="C11" t="s">
        <v>3633</v>
      </c>
      <c r="D11" t="s">
        <v>3634</v>
      </c>
      <c r="E11" t="s">
        <v>3602</v>
      </c>
      <c r="F11">
        <v>14</v>
      </c>
      <c r="G11" t="s">
        <v>3622</v>
      </c>
      <c r="H11" t="s">
        <v>3635</v>
      </c>
    </row>
    <row r="12" spans="1:16">
      <c r="A12" t="s">
        <v>3632</v>
      </c>
      <c r="B12" t="s">
        <v>3599</v>
      </c>
      <c r="C12" t="s">
        <v>3633</v>
      </c>
      <c r="D12" t="s">
        <v>3634</v>
      </c>
      <c r="E12" t="s">
        <v>3602</v>
      </c>
      <c r="F12" t="s">
        <v>3636</v>
      </c>
      <c r="G12" t="s">
        <v>3614</v>
      </c>
      <c r="H12" t="s">
        <v>3637</v>
      </c>
    </row>
    <row r="13" spans="1:16">
      <c r="A13" t="s">
        <v>3632</v>
      </c>
      <c r="B13" t="s">
        <v>3599</v>
      </c>
      <c r="C13" t="s">
        <v>3633</v>
      </c>
      <c r="D13" t="s">
        <v>3634</v>
      </c>
      <c r="E13" t="s">
        <v>3602</v>
      </c>
      <c r="F13" t="s">
        <v>3638</v>
      </c>
      <c r="G13" t="s">
        <v>3614</v>
      </c>
      <c r="H13" t="s">
        <v>3639</v>
      </c>
    </row>
    <row r="14" spans="1:16">
      <c r="A14" t="s">
        <v>3640</v>
      </c>
      <c r="B14" t="s">
        <v>3599</v>
      </c>
      <c r="C14" t="s">
        <v>3641</v>
      </c>
      <c r="D14" t="s">
        <v>3642</v>
      </c>
      <c r="E14" t="s">
        <v>3602</v>
      </c>
      <c r="F14">
        <v>3</v>
      </c>
      <c r="G14" t="s">
        <v>3643</v>
      </c>
      <c r="H14" t="s">
        <v>3644</v>
      </c>
    </row>
    <row r="15" spans="1:16">
      <c r="A15" t="s">
        <v>3640</v>
      </c>
      <c r="B15" t="s">
        <v>3599</v>
      </c>
      <c r="C15" t="s">
        <v>3641</v>
      </c>
      <c r="D15" t="s">
        <v>3642</v>
      </c>
      <c r="E15" t="s">
        <v>3602</v>
      </c>
      <c r="F15" t="s">
        <v>3603</v>
      </c>
      <c r="G15" t="s">
        <v>3645</v>
      </c>
      <c r="H15" t="s">
        <v>3646</v>
      </c>
    </row>
    <row r="16" spans="1:16">
      <c r="A16" t="s">
        <v>3640</v>
      </c>
      <c r="B16" t="s">
        <v>3599</v>
      </c>
      <c r="C16" t="s">
        <v>3641</v>
      </c>
      <c r="D16" t="s">
        <v>3642</v>
      </c>
      <c r="E16" t="s">
        <v>3602</v>
      </c>
      <c r="F16" t="s">
        <v>3603</v>
      </c>
      <c r="G16" t="s">
        <v>3647</v>
      </c>
      <c r="H16" t="s">
        <v>3648</v>
      </c>
    </row>
    <row r="17" spans="1:8">
      <c r="A17" t="s">
        <v>3640</v>
      </c>
      <c r="B17" t="s">
        <v>3599</v>
      </c>
      <c r="C17" t="s">
        <v>3641</v>
      </c>
      <c r="D17" t="s">
        <v>3642</v>
      </c>
      <c r="E17" t="s">
        <v>3602</v>
      </c>
      <c r="F17" t="s">
        <v>3603</v>
      </c>
      <c r="G17" t="s">
        <v>3622</v>
      </c>
      <c r="H17" t="s">
        <v>3649</v>
      </c>
    </row>
    <row r="18" spans="1:8">
      <c r="A18" t="s">
        <v>3640</v>
      </c>
      <c r="B18" t="s">
        <v>3599</v>
      </c>
      <c r="C18" t="s">
        <v>3641</v>
      </c>
      <c r="D18" t="s">
        <v>3642</v>
      </c>
      <c r="E18" t="s">
        <v>3602</v>
      </c>
      <c r="F18">
        <v>43</v>
      </c>
      <c r="G18" t="s">
        <v>3614</v>
      </c>
      <c r="H18" t="s">
        <v>3650</v>
      </c>
    </row>
    <row r="19" spans="1:8">
      <c r="A19" t="s">
        <v>3640</v>
      </c>
      <c r="B19" t="s">
        <v>3599</v>
      </c>
      <c r="C19" t="s">
        <v>3641</v>
      </c>
      <c r="D19" t="s">
        <v>3642</v>
      </c>
      <c r="E19" t="s">
        <v>3602</v>
      </c>
      <c r="F19">
        <v>66</v>
      </c>
      <c r="G19" t="s">
        <v>3614</v>
      </c>
      <c r="H19" t="s">
        <v>3651</v>
      </c>
    </row>
    <row r="20" spans="1:8">
      <c r="A20" t="s">
        <v>3640</v>
      </c>
      <c r="B20" t="s">
        <v>3599</v>
      </c>
      <c r="C20" t="s">
        <v>3641</v>
      </c>
      <c r="D20" t="s">
        <v>3642</v>
      </c>
      <c r="E20" t="s">
        <v>3602</v>
      </c>
      <c r="F20" t="s">
        <v>3652</v>
      </c>
      <c r="G20" t="s">
        <v>3603</v>
      </c>
      <c r="H20" t="s">
        <v>3653</v>
      </c>
    </row>
    <row r="21" spans="1:8">
      <c r="A21" t="s">
        <v>3640</v>
      </c>
      <c r="B21" t="s">
        <v>3599</v>
      </c>
      <c r="C21" t="s">
        <v>3641</v>
      </c>
      <c r="D21" t="s">
        <v>3642</v>
      </c>
      <c r="E21" t="s">
        <v>3602</v>
      </c>
      <c r="F21" t="s">
        <v>3654</v>
      </c>
      <c r="G21" t="s">
        <v>3622</v>
      </c>
      <c r="H21" t="s">
        <v>3655</v>
      </c>
    </row>
    <row r="22" spans="1:8">
      <c r="A22" t="s">
        <v>3640</v>
      </c>
      <c r="B22" t="s">
        <v>3599</v>
      </c>
      <c r="C22" t="s">
        <v>3641</v>
      </c>
      <c r="D22" t="s">
        <v>3642</v>
      </c>
      <c r="E22" t="s">
        <v>3602</v>
      </c>
      <c r="F22" t="s">
        <v>3656</v>
      </c>
      <c r="G22" t="s">
        <v>3603</v>
      </c>
      <c r="H22" t="s">
        <v>3657</v>
      </c>
    </row>
    <row r="23" spans="1:8">
      <c r="A23" t="s">
        <v>3640</v>
      </c>
      <c r="B23" t="s">
        <v>3599</v>
      </c>
      <c r="C23" t="s">
        <v>3641</v>
      </c>
      <c r="D23" t="s">
        <v>3642</v>
      </c>
      <c r="E23" t="s">
        <v>3602</v>
      </c>
      <c r="F23">
        <v>1013</v>
      </c>
      <c r="G23" t="s">
        <v>3603</v>
      </c>
      <c r="H23" t="s">
        <v>3658</v>
      </c>
    </row>
    <row r="24" spans="1:8">
      <c r="A24" t="s">
        <v>3640</v>
      </c>
      <c r="B24" t="s">
        <v>3599</v>
      </c>
      <c r="C24" t="s">
        <v>3641</v>
      </c>
      <c r="D24" t="s">
        <v>3642</v>
      </c>
      <c r="E24" t="s">
        <v>3602</v>
      </c>
      <c r="F24">
        <v>1014</v>
      </c>
      <c r="G24" t="s">
        <v>3603</v>
      </c>
      <c r="H24" t="s">
        <v>3659</v>
      </c>
    </row>
    <row r="25" spans="1:8">
      <c r="A25" t="s">
        <v>3640</v>
      </c>
      <c r="B25" t="s">
        <v>3599</v>
      </c>
      <c r="C25" t="s">
        <v>3641</v>
      </c>
      <c r="D25" t="s">
        <v>3642</v>
      </c>
      <c r="E25" t="s">
        <v>3602</v>
      </c>
      <c r="F25">
        <v>1015</v>
      </c>
      <c r="G25" t="s">
        <v>3603</v>
      </c>
      <c r="H25" t="s">
        <v>3660</v>
      </c>
    </row>
    <row r="26" spans="1:8">
      <c r="A26" t="s">
        <v>3640</v>
      </c>
      <c r="B26" t="s">
        <v>3599</v>
      </c>
      <c r="C26" t="s">
        <v>3641</v>
      </c>
      <c r="D26" t="s">
        <v>3642</v>
      </c>
      <c r="E26" t="s">
        <v>3602</v>
      </c>
      <c r="H26" t="s">
        <v>3661</v>
      </c>
    </row>
    <row r="27" spans="1:8">
      <c r="A27" t="s">
        <v>3640</v>
      </c>
      <c r="B27" t="s">
        <v>3599</v>
      </c>
      <c r="C27" t="s">
        <v>3641</v>
      </c>
      <c r="D27" t="s">
        <v>3642</v>
      </c>
      <c r="E27" t="s">
        <v>3602</v>
      </c>
      <c r="F27">
        <v>99</v>
      </c>
      <c r="G27" t="s">
        <v>3603</v>
      </c>
      <c r="H27" t="s">
        <v>3662</v>
      </c>
    </row>
    <row r="28" spans="1:8">
      <c r="A28" t="s">
        <v>3640</v>
      </c>
      <c r="B28" t="s">
        <v>3599</v>
      </c>
      <c r="C28" t="s">
        <v>3641</v>
      </c>
      <c r="D28" t="s">
        <v>3642</v>
      </c>
      <c r="E28" t="s">
        <v>3602</v>
      </c>
      <c r="F28">
        <v>100</v>
      </c>
      <c r="G28" t="s">
        <v>3603</v>
      </c>
      <c r="H28" t="s">
        <v>3663</v>
      </c>
    </row>
    <row r="29" spans="1:8">
      <c r="A29" t="s">
        <v>3664</v>
      </c>
      <c r="B29" t="s">
        <v>3599</v>
      </c>
      <c r="C29" t="s">
        <v>3641</v>
      </c>
      <c r="D29" t="s">
        <v>3642</v>
      </c>
      <c r="E29" t="s">
        <v>3602</v>
      </c>
      <c r="F29">
        <v>77</v>
      </c>
      <c r="G29" t="s">
        <v>3603</v>
      </c>
      <c r="H29" t="s">
        <v>3665</v>
      </c>
    </row>
    <row r="30" spans="1:8">
      <c r="A30" t="s">
        <v>3664</v>
      </c>
      <c r="B30" t="s">
        <v>3599</v>
      </c>
      <c r="C30" t="s">
        <v>3641</v>
      </c>
      <c r="D30" t="s">
        <v>3642</v>
      </c>
      <c r="E30" t="s">
        <v>3602</v>
      </c>
      <c r="F30">
        <v>78</v>
      </c>
      <c r="G30" t="s">
        <v>3603</v>
      </c>
      <c r="H30" t="s">
        <v>3666</v>
      </c>
    </row>
    <row r="31" spans="1:8">
      <c r="A31" t="s">
        <v>3664</v>
      </c>
      <c r="B31" t="s">
        <v>3599</v>
      </c>
      <c r="C31" t="s">
        <v>3641</v>
      </c>
      <c r="D31" t="s">
        <v>3642</v>
      </c>
      <c r="E31" t="s">
        <v>3602</v>
      </c>
      <c r="F31">
        <v>79</v>
      </c>
      <c r="G31" t="s">
        <v>3603</v>
      </c>
      <c r="H31" t="s">
        <v>3667</v>
      </c>
    </row>
    <row r="32" spans="1:8">
      <c r="A32" t="s">
        <v>3664</v>
      </c>
      <c r="B32" t="s">
        <v>3599</v>
      </c>
      <c r="C32" t="s">
        <v>3641</v>
      </c>
      <c r="D32" t="s">
        <v>3642</v>
      </c>
      <c r="E32" t="s">
        <v>3602</v>
      </c>
      <c r="F32" t="s">
        <v>3668</v>
      </c>
      <c r="G32" t="s">
        <v>3603</v>
      </c>
      <c r="H32" t="s">
        <v>3669</v>
      </c>
    </row>
    <row r="33" spans="1:8">
      <c r="A33" t="s">
        <v>3670</v>
      </c>
      <c r="B33" t="s">
        <v>3671</v>
      </c>
      <c r="C33" t="s">
        <v>3672</v>
      </c>
      <c r="D33" t="s">
        <v>3673</v>
      </c>
      <c r="E33" t="s">
        <v>3602</v>
      </c>
      <c r="F33" t="s">
        <v>3674</v>
      </c>
      <c r="G33" s="77" t="s">
        <v>3675</v>
      </c>
      <c r="H33" t="s">
        <v>3676</v>
      </c>
    </row>
    <row r="34" spans="1:8">
      <c r="A34" s="28" t="s">
        <v>3670</v>
      </c>
      <c r="B34" t="s">
        <v>3671</v>
      </c>
      <c r="C34" t="s">
        <v>3672</v>
      </c>
      <c r="D34" t="s">
        <v>3673</v>
      </c>
      <c r="E34" t="s">
        <v>3677</v>
      </c>
      <c r="F34" s="28" t="s">
        <v>3603</v>
      </c>
      <c r="G34" t="s">
        <v>3603</v>
      </c>
      <c r="H34" t="s">
        <v>3678</v>
      </c>
    </row>
    <row r="35" spans="1:8">
      <c r="A35" s="28" t="s">
        <v>3679</v>
      </c>
      <c r="B35" t="s">
        <v>3671</v>
      </c>
      <c r="C35" t="s">
        <v>3672</v>
      </c>
      <c r="D35" t="s">
        <v>3680</v>
      </c>
      <c r="E35" t="s">
        <v>3602</v>
      </c>
      <c r="F35" s="28" t="s">
        <v>3681</v>
      </c>
      <c r="G35" t="s">
        <v>3682</v>
      </c>
      <c r="H35" t="s">
        <v>3683</v>
      </c>
    </row>
    <row r="36" spans="1:8">
      <c r="A36" s="28" t="s">
        <v>3684</v>
      </c>
      <c r="B36" t="s">
        <v>3671</v>
      </c>
      <c r="C36" t="s">
        <v>3672</v>
      </c>
      <c r="D36" t="s">
        <v>3673</v>
      </c>
      <c r="E36" t="s">
        <v>3602</v>
      </c>
      <c r="F36" s="66">
        <v>2</v>
      </c>
      <c r="G36" t="s">
        <v>3685</v>
      </c>
      <c r="H36" t="s">
        <v>3686</v>
      </c>
    </row>
    <row r="37" spans="1:8">
      <c r="A37" s="28" t="s">
        <v>3687</v>
      </c>
      <c r="B37" t="s">
        <v>3671</v>
      </c>
      <c r="C37" t="s">
        <v>3672</v>
      </c>
      <c r="D37" t="s">
        <v>3673</v>
      </c>
      <c r="E37" t="s">
        <v>3688</v>
      </c>
      <c r="F37" s="28" t="s">
        <v>3603</v>
      </c>
      <c r="G37" t="s">
        <v>3682</v>
      </c>
      <c r="H37" t="s">
        <v>3689</v>
      </c>
    </row>
    <row r="38" spans="1:8">
      <c r="A38" t="s">
        <v>3687</v>
      </c>
      <c r="B38" t="s">
        <v>3671</v>
      </c>
      <c r="C38" t="s">
        <v>3672</v>
      </c>
      <c r="D38" t="s">
        <v>3680</v>
      </c>
      <c r="E38" t="s">
        <v>3602</v>
      </c>
      <c r="F38" t="s">
        <v>3690</v>
      </c>
      <c r="G38" t="s">
        <v>3603</v>
      </c>
      <c r="H38" t="s">
        <v>3691</v>
      </c>
    </row>
    <row r="39" spans="1:8">
      <c r="A39" t="s">
        <v>3692</v>
      </c>
      <c r="B39" t="s">
        <v>3599</v>
      </c>
      <c r="C39" t="s">
        <v>3693</v>
      </c>
      <c r="D39" t="s">
        <v>3694</v>
      </c>
      <c r="E39" t="s">
        <v>3602</v>
      </c>
      <c r="H39" t="s">
        <v>3695</v>
      </c>
    </row>
    <row r="40" spans="1:8">
      <c r="A40" t="s">
        <v>3696</v>
      </c>
      <c r="B40" t="s">
        <v>3671</v>
      </c>
      <c r="C40" t="s">
        <v>3693</v>
      </c>
      <c r="D40" t="s">
        <v>3694</v>
      </c>
      <c r="E40" t="s">
        <v>3697</v>
      </c>
      <c r="H40" t="s">
        <v>3698</v>
      </c>
    </row>
    <row r="41" spans="1:8">
      <c r="A41" t="s">
        <v>3696</v>
      </c>
      <c r="B41" t="s">
        <v>3671</v>
      </c>
      <c r="C41" t="s">
        <v>3693</v>
      </c>
      <c r="D41" t="s">
        <v>3694</v>
      </c>
      <c r="E41" t="s">
        <v>3602</v>
      </c>
      <c r="H41" t="s">
        <v>3699</v>
      </c>
    </row>
    <row r="42" spans="1:8">
      <c r="A42" t="s">
        <v>3696</v>
      </c>
      <c r="B42" t="s">
        <v>3671</v>
      </c>
      <c r="C42" t="s">
        <v>3693</v>
      </c>
      <c r="D42" t="s">
        <v>3694</v>
      </c>
      <c r="E42" t="s">
        <v>3602</v>
      </c>
      <c r="H42" t="s">
        <v>3700</v>
      </c>
    </row>
    <row r="43" spans="1:8">
      <c r="A43" s="98">
        <v>45223</v>
      </c>
      <c r="B43" t="s">
        <v>3701</v>
      </c>
      <c r="C43" t="s">
        <v>3702</v>
      </c>
      <c r="D43" t="s">
        <v>3703</v>
      </c>
      <c r="E43" t="s">
        <v>3602</v>
      </c>
      <c r="F43">
        <v>45</v>
      </c>
      <c r="G43" t="s">
        <v>3603</v>
      </c>
      <c r="H43" t="s">
        <v>3704</v>
      </c>
    </row>
    <row r="44" spans="1:8">
      <c r="A44" s="98">
        <v>45223</v>
      </c>
      <c r="B44" t="s">
        <v>3701</v>
      </c>
      <c r="C44" t="s">
        <v>3702</v>
      </c>
      <c r="D44" t="s">
        <v>3703</v>
      </c>
      <c r="E44" t="s">
        <v>3602</v>
      </c>
      <c r="F44">
        <v>124</v>
      </c>
      <c r="G44" t="s">
        <v>3603</v>
      </c>
      <c r="H44" t="s">
        <v>3705</v>
      </c>
    </row>
    <row r="45" spans="1:8">
      <c r="A45" s="98">
        <v>45223</v>
      </c>
      <c r="B45" t="s">
        <v>3701</v>
      </c>
      <c r="C45" t="s">
        <v>3702</v>
      </c>
      <c r="D45" t="s">
        <v>3703</v>
      </c>
      <c r="E45" t="s">
        <v>3602</v>
      </c>
      <c r="F45" t="s">
        <v>3706</v>
      </c>
      <c r="G45" t="s">
        <v>3603</v>
      </c>
      <c r="H45" t="s">
        <v>3707</v>
      </c>
    </row>
    <row r="46" spans="1:8">
      <c r="A46" s="98">
        <v>45223</v>
      </c>
      <c r="B46" t="s">
        <v>3701</v>
      </c>
      <c r="C46" t="s">
        <v>3702</v>
      </c>
      <c r="D46" t="s">
        <v>3703</v>
      </c>
      <c r="E46" t="s">
        <v>3602</v>
      </c>
      <c r="F46" t="s">
        <v>3708</v>
      </c>
      <c r="G46" t="s">
        <v>3603</v>
      </c>
      <c r="H46" s="99" t="s">
        <v>3709</v>
      </c>
    </row>
    <row r="47" spans="1:8">
      <c r="A47" s="98">
        <v>45230</v>
      </c>
      <c r="B47" t="s">
        <v>3671</v>
      </c>
      <c r="C47" t="s">
        <v>3702</v>
      </c>
      <c r="D47" t="s">
        <v>3703</v>
      </c>
      <c r="E47" t="s">
        <v>3602</v>
      </c>
      <c r="H47" s="99" t="s">
        <v>3710</v>
      </c>
    </row>
    <row r="48" spans="1:8">
      <c r="A48" s="98">
        <v>45230</v>
      </c>
      <c r="B48" t="s">
        <v>3671</v>
      </c>
      <c r="C48" t="s">
        <v>3702</v>
      </c>
      <c r="D48" t="s">
        <v>3703</v>
      </c>
      <c r="E48" t="s">
        <v>3602</v>
      </c>
      <c r="H48" s="99" t="s">
        <v>3711</v>
      </c>
    </row>
    <row r="49" spans="1:8">
      <c r="A49" s="98">
        <v>45230</v>
      </c>
      <c r="B49" t="s">
        <v>3671</v>
      </c>
      <c r="C49" t="s">
        <v>3702</v>
      </c>
      <c r="D49" t="s">
        <v>3703</v>
      </c>
      <c r="E49" t="s">
        <v>3712</v>
      </c>
      <c r="H49" s="99" t="s">
        <v>3713</v>
      </c>
    </row>
    <row r="50" spans="1:8">
      <c r="A50" s="98">
        <v>45231</v>
      </c>
      <c r="B50" t="s">
        <v>3701</v>
      </c>
      <c r="C50" t="s">
        <v>3702</v>
      </c>
      <c r="D50" t="s">
        <v>3703</v>
      </c>
      <c r="E50" t="s">
        <v>3602</v>
      </c>
      <c r="F50">
        <v>10</v>
      </c>
      <c r="G50" t="s">
        <v>3682</v>
      </c>
      <c r="H50" s="99" t="s">
        <v>3714</v>
      </c>
    </row>
    <row r="51" spans="1:8">
      <c r="A51" s="98">
        <v>45231</v>
      </c>
      <c r="B51" t="s">
        <v>3701</v>
      </c>
      <c r="C51" t="s">
        <v>3702</v>
      </c>
      <c r="D51" t="s">
        <v>3703</v>
      </c>
      <c r="E51" t="s">
        <v>3602</v>
      </c>
      <c r="F51">
        <v>44</v>
      </c>
      <c r="G51" t="s">
        <v>3682</v>
      </c>
      <c r="H51" s="99" t="s">
        <v>3715</v>
      </c>
    </row>
    <row r="52" spans="1:8">
      <c r="A52" s="250">
        <v>45615</v>
      </c>
      <c r="B52" t="s">
        <v>3701</v>
      </c>
      <c r="C52" t="s">
        <v>3716</v>
      </c>
      <c r="D52" t="s">
        <v>3717</v>
      </c>
      <c r="E52" t="s">
        <v>3602</v>
      </c>
      <c r="F52" t="s">
        <v>3603</v>
      </c>
      <c r="G52" t="s">
        <v>3645</v>
      </c>
      <c r="H52" s="99" t="s">
        <v>3718</v>
      </c>
    </row>
    <row r="53" spans="1:8">
      <c r="A53" s="250">
        <v>45615</v>
      </c>
      <c r="B53" t="s">
        <v>3701</v>
      </c>
      <c r="C53" t="s">
        <v>3716</v>
      </c>
      <c r="D53" t="s">
        <v>3717</v>
      </c>
      <c r="E53" t="s">
        <v>3602</v>
      </c>
      <c r="F53">
        <v>15</v>
      </c>
      <c r="G53" t="s">
        <v>3719</v>
      </c>
      <c r="H53" s="99" t="s">
        <v>3720</v>
      </c>
    </row>
    <row r="54" spans="1:8">
      <c r="A54" s="250">
        <v>45615</v>
      </c>
      <c r="B54" t="s">
        <v>3701</v>
      </c>
      <c r="C54" t="s">
        <v>3716</v>
      </c>
      <c r="D54" t="s">
        <v>3717</v>
      </c>
      <c r="E54" t="s">
        <v>3602</v>
      </c>
      <c r="F54" t="s">
        <v>3721</v>
      </c>
      <c r="G54" t="s">
        <v>3603</v>
      </c>
      <c r="H54" s="99" t="s">
        <v>3722</v>
      </c>
    </row>
    <row r="55" spans="1:8">
      <c r="A55" s="250">
        <v>45615</v>
      </c>
      <c r="B55" t="s">
        <v>3701</v>
      </c>
      <c r="C55" t="s">
        <v>3716</v>
      </c>
      <c r="D55" t="s">
        <v>3717</v>
      </c>
      <c r="E55" t="s">
        <v>3602</v>
      </c>
      <c r="F55">
        <v>101</v>
      </c>
      <c r="G55" t="s">
        <v>3682</v>
      </c>
      <c r="H55" s="99" t="s">
        <v>3723</v>
      </c>
    </row>
    <row r="56" spans="1:8">
      <c r="A56" s="250">
        <v>45615</v>
      </c>
      <c r="B56" t="s">
        <v>3701</v>
      </c>
      <c r="C56" t="s">
        <v>3716</v>
      </c>
      <c r="D56" t="s">
        <v>3717</v>
      </c>
      <c r="E56" t="s">
        <v>3602</v>
      </c>
      <c r="F56">
        <v>121</v>
      </c>
      <c r="G56" t="s">
        <v>3603</v>
      </c>
      <c r="H56" s="99" t="s">
        <v>3724</v>
      </c>
    </row>
    <row r="57" spans="1:8">
      <c r="A57" s="250">
        <v>45615</v>
      </c>
      <c r="B57" t="s">
        <v>3701</v>
      </c>
      <c r="C57" t="s">
        <v>3725</v>
      </c>
      <c r="D57" t="s">
        <v>3726</v>
      </c>
      <c r="E57" t="s">
        <v>3602</v>
      </c>
      <c r="F57">
        <v>128</v>
      </c>
      <c r="G57" t="s">
        <v>3603</v>
      </c>
      <c r="H57" s="99" t="s">
        <v>3727</v>
      </c>
    </row>
    <row r="58" spans="1:8">
      <c r="A58" s="250">
        <v>45615</v>
      </c>
      <c r="B58" t="s">
        <v>3701</v>
      </c>
      <c r="C58" t="s">
        <v>3728</v>
      </c>
      <c r="D58" t="s">
        <v>3729</v>
      </c>
      <c r="E58" t="s">
        <v>3602</v>
      </c>
      <c r="F58">
        <v>130</v>
      </c>
      <c r="G58" t="s">
        <v>3603</v>
      </c>
      <c r="H58" s="99" t="s">
        <v>3730</v>
      </c>
    </row>
    <row r="59" spans="1:8">
      <c r="A59" s="250">
        <v>45615</v>
      </c>
      <c r="B59" t="s">
        <v>3701</v>
      </c>
      <c r="C59" t="s">
        <v>3728</v>
      </c>
      <c r="D59" t="s">
        <v>3729</v>
      </c>
      <c r="E59" t="s">
        <v>3602</v>
      </c>
      <c r="F59">
        <v>190</v>
      </c>
      <c r="G59" t="s">
        <v>3603</v>
      </c>
      <c r="H59" s="99" t="s">
        <v>3731</v>
      </c>
    </row>
    <row r="60" spans="1:8">
      <c r="A60" s="250">
        <v>45615</v>
      </c>
      <c r="B60" t="s">
        <v>3701</v>
      </c>
      <c r="C60" t="s">
        <v>3716</v>
      </c>
      <c r="D60" t="s">
        <v>3717</v>
      </c>
      <c r="E60" t="s">
        <v>3602</v>
      </c>
      <c r="F60" t="s">
        <v>3732</v>
      </c>
      <c r="G60" t="s">
        <v>3603</v>
      </c>
      <c r="H60" s="99" t="s">
        <v>3733</v>
      </c>
    </row>
    <row r="61" spans="1:8">
      <c r="A61" s="250">
        <v>45615</v>
      </c>
      <c r="B61" t="s">
        <v>3701</v>
      </c>
      <c r="C61" t="s">
        <v>3716</v>
      </c>
      <c r="D61" t="s">
        <v>3717</v>
      </c>
      <c r="E61" t="s">
        <v>3602</v>
      </c>
      <c r="F61">
        <v>278</v>
      </c>
      <c r="G61" t="s">
        <v>3603</v>
      </c>
      <c r="H61" s="99" t="s">
        <v>3734</v>
      </c>
    </row>
    <row r="62" spans="1:8">
      <c r="A62" s="250">
        <v>45615</v>
      </c>
      <c r="B62" t="s">
        <v>3701</v>
      </c>
      <c r="C62" t="s">
        <v>3716</v>
      </c>
      <c r="D62" t="s">
        <v>3717</v>
      </c>
      <c r="E62" t="s">
        <v>3602</v>
      </c>
      <c r="F62" t="s">
        <v>3735</v>
      </c>
      <c r="G62" t="s">
        <v>3603</v>
      </c>
      <c r="H62" s="99" t="s">
        <v>3736</v>
      </c>
    </row>
    <row r="63" spans="1:8">
      <c r="A63" s="250">
        <v>45615</v>
      </c>
      <c r="B63" t="s">
        <v>3737</v>
      </c>
      <c r="C63" t="s">
        <v>3716</v>
      </c>
      <c r="D63" t="s">
        <v>3717</v>
      </c>
      <c r="E63" t="s">
        <v>3602</v>
      </c>
      <c r="F63">
        <v>7</v>
      </c>
      <c r="G63" t="s">
        <v>3603</v>
      </c>
      <c r="H63" s="99" t="s">
        <v>3738</v>
      </c>
    </row>
    <row r="64" spans="1:8">
      <c r="A64" s="250">
        <v>45615</v>
      </c>
      <c r="B64" t="s">
        <v>3737</v>
      </c>
      <c r="C64" t="s">
        <v>3716</v>
      </c>
      <c r="D64" t="s">
        <v>3717</v>
      </c>
      <c r="E64" t="s">
        <v>3602</v>
      </c>
      <c r="F64">
        <v>433</v>
      </c>
      <c r="G64" t="s">
        <v>3603</v>
      </c>
      <c r="H64" s="99" t="s">
        <v>3739</v>
      </c>
    </row>
    <row r="65" spans="1:8">
      <c r="A65" s="250">
        <v>45615</v>
      </c>
      <c r="B65" t="s">
        <v>3737</v>
      </c>
      <c r="C65" t="s">
        <v>3716</v>
      </c>
      <c r="D65" t="s">
        <v>3717</v>
      </c>
      <c r="E65" t="s">
        <v>3602</v>
      </c>
      <c r="F65" s="254" t="s">
        <v>3740</v>
      </c>
      <c r="G65" t="s">
        <v>3741</v>
      </c>
      <c r="H65" s="99" t="s">
        <v>3742</v>
      </c>
    </row>
    <row r="66" spans="1:8">
      <c r="A66" s="250">
        <v>45615</v>
      </c>
      <c r="B66" t="s">
        <v>3737</v>
      </c>
      <c r="C66" t="s">
        <v>3716</v>
      </c>
      <c r="D66" t="s">
        <v>3717</v>
      </c>
      <c r="E66" t="s">
        <v>3602</v>
      </c>
      <c r="F66" t="s">
        <v>3603</v>
      </c>
      <c r="G66" t="s">
        <v>3743</v>
      </c>
      <c r="H66" s="99" t="s">
        <v>3744</v>
      </c>
    </row>
    <row r="67" spans="1:8">
      <c r="A67" s="250">
        <v>45615</v>
      </c>
      <c r="B67" t="s">
        <v>3701</v>
      </c>
      <c r="C67" t="s">
        <v>3716</v>
      </c>
      <c r="D67" t="s">
        <v>3717</v>
      </c>
      <c r="E67" t="s">
        <v>3745</v>
      </c>
      <c r="F67">
        <v>35</v>
      </c>
      <c r="G67" t="s">
        <v>3603</v>
      </c>
      <c r="H67" t="s">
        <v>3746</v>
      </c>
    </row>
    <row r="68" spans="1:8">
      <c r="A68" s="250">
        <v>45615</v>
      </c>
      <c r="B68" t="s">
        <v>3701</v>
      </c>
      <c r="C68" t="s">
        <v>3716</v>
      </c>
      <c r="D68" t="s">
        <v>3717</v>
      </c>
      <c r="E68" t="s">
        <v>3745</v>
      </c>
      <c r="F68">
        <v>362</v>
      </c>
      <c r="G68" t="s">
        <v>3603</v>
      </c>
      <c r="H68" t="s">
        <v>3747</v>
      </c>
    </row>
    <row r="69" spans="1:8">
      <c r="A69" s="250">
        <v>45615</v>
      </c>
      <c r="B69" t="s">
        <v>3701</v>
      </c>
      <c r="C69" t="s">
        <v>3716</v>
      </c>
      <c r="D69" t="s">
        <v>3717</v>
      </c>
      <c r="E69" t="s">
        <v>3745</v>
      </c>
      <c r="F69">
        <v>663</v>
      </c>
      <c r="G69" t="s">
        <v>3603</v>
      </c>
      <c r="H69" t="s">
        <v>3748</v>
      </c>
    </row>
    <row r="70" spans="1:8">
      <c r="A70" s="250">
        <v>45615</v>
      </c>
      <c r="B70" t="s">
        <v>3701</v>
      </c>
      <c r="C70" t="s">
        <v>3716</v>
      </c>
      <c r="D70" t="s">
        <v>3717</v>
      </c>
      <c r="E70" t="s">
        <v>3602</v>
      </c>
      <c r="F70" t="s">
        <v>3749</v>
      </c>
      <c r="G70" t="s">
        <v>3682</v>
      </c>
      <c r="H70" t="s">
        <v>3750</v>
      </c>
    </row>
    <row r="71" spans="1:8">
      <c r="A71" s="250">
        <v>45758</v>
      </c>
      <c r="B71" t="s">
        <v>3599</v>
      </c>
      <c r="C71" t="s">
        <v>3725</v>
      </c>
      <c r="D71" t="s">
        <v>3726</v>
      </c>
      <c r="E71" t="s">
        <v>3751</v>
      </c>
      <c r="F71" t="s">
        <v>3603</v>
      </c>
      <c r="G71" t="s">
        <v>3603</v>
      </c>
      <c r="H71" t="s">
        <v>3752</v>
      </c>
    </row>
    <row r="72" spans="1:8">
      <c r="A72" s="250">
        <v>45758</v>
      </c>
      <c r="B72" t="s">
        <v>3599</v>
      </c>
      <c r="C72" t="s">
        <v>3725</v>
      </c>
      <c r="D72" t="s">
        <v>3726</v>
      </c>
      <c r="E72" t="s">
        <v>3753</v>
      </c>
      <c r="F72">
        <v>54</v>
      </c>
      <c r="G72" t="s">
        <v>3603</v>
      </c>
      <c r="H72" t="s">
        <v>3754</v>
      </c>
    </row>
  </sheetData>
  <sheetProtection algorithmName="SHA-512" hashValue="67BjN3rr7vsJt9/EhpeMgJiA+VIpEtL+28qre2Nu8T4uVTitql7HIsABOTRSkIHLw/FPs3cwNyCFiH2LW+ddYQ==" saltValue="RUOKmDy7gKW5RW0jIrz2Ew==" spinCount="100000" sheet="1" selectLockedCells="1" selectUnlockedCells="1"/>
  <phoneticPr fontId="6" type="noConversion"/>
  <conditionalFormatting sqref="H46:H66">
    <cfRule type="expression" dxfId="1" priority="1">
      <formula>AND(COUNTIF($B:$B,H46)&gt;1,H46&lt;&gt;"ice_add_service_1NOK",H46&lt;&gt;"ice_add_material_1NOK",H46&lt;&gt;"ice_spec_trans_1NOK")</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ADA11-60E0-4C34-9E81-E73FF7383FBF}">
  <sheetPr codeName="Sheet3"/>
  <dimension ref="A1:R227"/>
  <sheetViews>
    <sheetView workbookViewId="0">
      <selection activeCell="G40" sqref="G40"/>
    </sheetView>
  </sheetViews>
  <sheetFormatPr defaultColWidth="9.140625" defaultRowHeight="14.45"/>
  <cols>
    <col min="1" max="1" width="11" customWidth="1"/>
    <col min="2" max="2" width="17.5703125" bestFit="1" customWidth="1"/>
    <col min="3" max="3" width="24.7109375" customWidth="1"/>
    <col min="4" max="4" width="50.7109375" customWidth="1"/>
    <col min="5" max="5" width="37" hidden="1" customWidth="1"/>
    <col min="6" max="6" width="87.7109375" customWidth="1"/>
    <col min="7" max="7" width="100" customWidth="1"/>
    <col min="11" max="11" width="17.5703125" bestFit="1" customWidth="1"/>
    <col min="12" max="12" width="24.7109375" customWidth="1"/>
    <col min="13" max="13" width="28.28515625" customWidth="1"/>
  </cols>
  <sheetData>
    <row r="1" spans="1:13" s="47" customFormat="1">
      <c r="A1" s="4" t="str">
        <f>"'C:\Kjerag\[Pricing file "&amp;BoQ!N2&amp;".xlsx]Material'!B:G"</f>
        <v>'C:\Kjerag\[Pricing file v6.xlsx]Material'!B:G</v>
      </c>
      <c r="B1" s="67"/>
      <c r="C1" s="4"/>
      <c r="D1" s="4" t="str">
        <f>"'C:\Kjerag\[Pricing file "&amp;BoQ!N2&amp;".xlsx]Material'!A1"</f>
        <v>'C:\Kjerag\[Pricing file v6.xlsx]Material'!A1</v>
      </c>
      <c r="E1" s="4" t="str">
        <f>"'C:\Kjerag\[Pricing file "&amp;BoQ!N2&amp;".xlsx]Material'!$1:$2"</f>
        <v>'C:\Kjerag\[Pricing file v6.xlsx]Material'!$1:$2</v>
      </c>
      <c r="F1" s="47" t="s">
        <v>3755</v>
      </c>
      <c r="H1" s="74" t="s">
        <v>3756</v>
      </c>
      <c r="I1" t="s">
        <v>3757</v>
      </c>
      <c r="J1" t="s">
        <v>3758</v>
      </c>
      <c r="M1" s="47" t="s">
        <v>3759</v>
      </c>
    </row>
    <row r="2" spans="1:13">
      <c r="B2" s="26" t="s">
        <v>3760</v>
      </c>
      <c r="H2" s="75" t="s">
        <v>3761</v>
      </c>
      <c r="I2" t="s">
        <v>3762</v>
      </c>
      <c r="J2" t="s">
        <v>3763</v>
      </c>
      <c r="M2" t="s">
        <v>1287</v>
      </c>
    </row>
    <row r="3" spans="1:13" ht="15" thickBot="1">
      <c r="H3" s="75" t="s">
        <v>3764</v>
      </c>
      <c r="I3" t="s">
        <v>3765</v>
      </c>
      <c r="J3" t="s">
        <v>9</v>
      </c>
      <c r="M3" t="s">
        <v>1291</v>
      </c>
    </row>
    <row r="4" spans="1:13">
      <c r="B4" s="15" t="s">
        <v>24</v>
      </c>
      <c r="C4" s="16" t="s">
        <v>25</v>
      </c>
      <c r="D4" s="16" t="s">
        <v>32</v>
      </c>
      <c r="E4" s="17" t="s">
        <v>42</v>
      </c>
      <c r="F4" s="18" t="s">
        <v>3766</v>
      </c>
      <c r="H4" s="75" t="s">
        <v>3767</v>
      </c>
      <c r="I4" t="s">
        <v>3768</v>
      </c>
      <c r="J4" t="s">
        <v>3769</v>
      </c>
      <c r="M4" t="s">
        <v>1294</v>
      </c>
    </row>
    <row r="5" spans="1:13">
      <c r="B5" s="19" t="s">
        <v>1230</v>
      </c>
      <c r="C5" s="7" t="s">
        <v>1231</v>
      </c>
      <c r="D5" s="5" t="s">
        <v>1234</v>
      </c>
      <c r="E5" s="56" t="s">
        <v>3770</v>
      </c>
      <c r="F5" s="57" t="s">
        <v>1232</v>
      </c>
      <c r="H5" s="75" t="s">
        <v>3771</v>
      </c>
      <c r="I5" t="s">
        <v>3772</v>
      </c>
      <c r="J5" t="s">
        <v>3773</v>
      </c>
      <c r="M5" t="s">
        <v>1297</v>
      </c>
    </row>
    <row r="6" spans="1:13">
      <c r="B6" s="20" t="s">
        <v>1236</v>
      </c>
      <c r="C6" s="8" t="s">
        <v>1237</v>
      </c>
      <c r="D6" s="6" t="s">
        <v>1234</v>
      </c>
      <c r="E6" s="56" t="s">
        <v>3770</v>
      </c>
      <c r="F6" s="58" t="s">
        <v>1238</v>
      </c>
      <c r="H6" s="75" t="s">
        <v>3774</v>
      </c>
      <c r="J6" t="s">
        <v>3775</v>
      </c>
      <c r="M6" t="s">
        <v>1300</v>
      </c>
    </row>
    <row r="7" spans="1:13">
      <c r="B7" s="19" t="s">
        <v>1239</v>
      </c>
      <c r="C7" s="7" t="s">
        <v>1240</v>
      </c>
      <c r="D7" s="5" t="s">
        <v>1234</v>
      </c>
      <c r="E7" s="59" t="s">
        <v>3776</v>
      </c>
      <c r="F7" s="57" t="s">
        <v>1238</v>
      </c>
      <c r="H7" s="75" t="s">
        <v>7</v>
      </c>
      <c r="M7" t="s">
        <v>1306</v>
      </c>
    </row>
    <row r="8" spans="1:13">
      <c r="B8" s="20" t="s">
        <v>1241</v>
      </c>
      <c r="C8" s="8" t="s">
        <v>3777</v>
      </c>
      <c r="D8" s="6" t="s">
        <v>1234</v>
      </c>
      <c r="E8" s="56" t="s">
        <v>3770</v>
      </c>
      <c r="F8" s="58" t="s">
        <v>1244</v>
      </c>
      <c r="H8" s="76" t="s">
        <v>3778</v>
      </c>
      <c r="M8" t="s">
        <v>1310</v>
      </c>
    </row>
    <row r="9" spans="1:13">
      <c r="B9" s="19" t="s">
        <v>1245</v>
      </c>
      <c r="C9" s="7" t="s">
        <v>1246</v>
      </c>
      <c r="D9" s="5" t="s">
        <v>1234</v>
      </c>
      <c r="E9" s="59" t="s">
        <v>3776</v>
      </c>
      <c r="F9" s="57" t="s">
        <v>1247</v>
      </c>
      <c r="H9" s="76" t="s">
        <v>3779</v>
      </c>
      <c r="M9" t="s">
        <v>1312</v>
      </c>
    </row>
    <row r="10" spans="1:13">
      <c r="B10" s="20" t="s">
        <v>1248</v>
      </c>
      <c r="C10" s="8" t="s">
        <v>1249</v>
      </c>
      <c r="D10" s="6" t="s">
        <v>1234</v>
      </c>
      <c r="E10" s="59" t="s">
        <v>3776</v>
      </c>
      <c r="F10" s="58" t="s">
        <v>1250</v>
      </c>
      <c r="H10" s="76" t="s">
        <v>3780</v>
      </c>
      <c r="M10" t="s">
        <v>1314</v>
      </c>
    </row>
    <row r="11" spans="1:13">
      <c r="B11" s="19" t="s">
        <v>1251</v>
      </c>
      <c r="C11" s="7" t="s">
        <v>1252</v>
      </c>
      <c r="D11" s="5" t="s">
        <v>1234</v>
      </c>
      <c r="E11" s="59" t="s">
        <v>3776</v>
      </c>
      <c r="F11" s="57" t="s">
        <v>1254</v>
      </c>
      <c r="M11" t="s">
        <v>1316</v>
      </c>
    </row>
    <row r="12" spans="1:13">
      <c r="B12" s="20" t="s">
        <v>1255</v>
      </c>
      <c r="C12" s="8" t="s">
        <v>1256</v>
      </c>
      <c r="D12" s="6" t="s">
        <v>1234</v>
      </c>
      <c r="E12" s="59" t="s">
        <v>3776</v>
      </c>
      <c r="F12" s="58" t="s">
        <v>1257</v>
      </c>
    </row>
    <row r="13" spans="1:13">
      <c r="B13" s="19" t="s">
        <v>1258</v>
      </c>
      <c r="C13" s="7" t="s">
        <v>1259</v>
      </c>
      <c r="D13" s="5" t="s">
        <v>1234</v>
      </c>
      <c r="E13" s="59" t="s">
        <v>3776</v>
      </c>
      <c r="F13" s="57" t="s">
        <v>1260</v>
      </c>
    </row>
    <row r="14" spans="1:13">
      <c r="B14" s="20" t="s">
        <v>1261</v>
      </c>
      <c r="C14" s="8" t="s">
        <v>1262</v>
      </c>
      <c r="D14" s="6" t="s">
        <v>1234</v>
      </c>
      <c r="E14" s="59" t="s">
        <v>3776</v>
      </c>
      <c r="F14" s="58" t="s">
        <v>1263</v>
      </c>
    </row>
    <row r="15" spans="1:13">
      <c r="B15" s="19" t="s">
        <v>1264</v>
      </c>
      <c r="C15" s="7" t="s">
        <v>1265</v>
      </c>
      <c r="D15" s="5" t="s">
        <v>1234</v>
      </c>
      <c r="E15" s="59" t="s">
        <v>3776</v>
      </c>
      <c r="F15" s="57" t="s">
        <v>1266</v>
      </c>
    </row>
    <row r="16" spans="1:13">
      <c r="B16" s="20" t="s">
        <v>1267</v>
      </c>
      <c r="C16" s="8" t="s">
        <v>1268</v>
      </c>
      <c r="D16" s="6" t="s">
        <v>1234</v>
      </c>
      <c r="E16" s="59" t="s">
        <v>3776</v>
      </c>
      <c r="F16" s="58" t="s">
        <v>1269</v>
      </c>
    </row>
    <row r="17" spans="2:6">
      <c r="B17" s="19" t="s">
        <v>1270</v>
      </c>
      <c r="C17" s="7" t="s">
        <v>1271</v>
      </c>
      <c r="D17" s="5" t="s">
        <v>1234</v>
      </c>
      <c r="E17" s="56" t="s">
        <v>3770</v>
      </c>
      <c r="F17" s="57" t="s">
        <v>1238</v>
      </c>
    </row>
    <row r="18" spans="2:6">
      <c r="B18" s="20" t="s">
        <v>1272</v>
      </c>
      <c r="C18" s="8" t="s">
        <v>1273</v>
      </c>
      <c r="D18" s="6" t="s">
        <v>1234</v>
      </c>
      <c r="E18" s="56" t="s">
        <v>3770</v>
      </c>
      <c r="F18" s="58" t="s">
        <v>1238</v>
      </c>
    </row>
    <row r="19" spans="2:6">
      <c r="B19" s="19" t="s">
        <v>1274</v>
      </c>
      <c r="C19" s="7" t="s">
        <v>1275</v>
      </c>
      <c r="D19" s="5" t="s">
        <v>1234</v>
      </c>
      <c r="E19" s="56" t="s">
        <v>3770</v>
      </c>
      <c r="F19" s="57" t="s">
        <v>1238</v>
      </c>
    </row>
    <row r="20" spans="2:6">
      <c r="B20" s="20" t="s">
        <v>1276</v>
      </c>
      <c r="C20" s="8" t="s">
        <v>1277</v>
      </c>
      <c r="D20" s="6" t="s">
        <v>1234</v>
      </c>
      <c r="E20" s="56" t="s">
        <v>3770</v>
      </c>
      <c r="F20" s="58" t="s">
        <v>1238</v>
      </c>
    </row>
    <row r="21" spans="2:6">
      <c r="B21" s="19" t="s">
        <v>1287</v>
      </c>
      <c r="C21" s="7" t="s">
        <v>1288</v>
      </c>
      <c r="D21" s="5" t="s">
        <v>1290</v>
      </c>
      <c r="E21" s="60" t="s">
        <v>1290</v>
      </c>
      <c r="F21" s="57" t="s">
        <v>3781</v>
      </c>
    </row>
    <row r="22" spans="2:6">
      <c r="B22" s="20" t="s">
        <v>1291</v>
      </c>
      <c r="C22" s="8" t="s">
        <v>1292</v>
      </c>
      <c r="D22" s="6" t="s">
        <v>1290</v>
      </c>
      <c r="E22" s="60" t="s">
        <v>1290</v>
      </c>
      <c r="F22" s="58" t="s">
        <v>1293</v>
      </c>
    </row>
    <row r="23" spans="2:6">
      <c r="B23" s="19" t="s">
        <v>1294</v>
      </c>
      <c r="C23" s="7" t="s">
        <v>1295</v>
      </c>
      <c r="D23" s="5" t="s">
        <v>1290</v>
      </c>
      <c r="E23" s="60" t="s">
        <v>1290</v>
      </c>
      <c r="F23" s="57" t="s">
        <v>1296</v>
      </c>
    </row>
    <row r="24" spans="2:6">
      <c r="B24" s="20" t="s">
        <v>1297</v>
      </c>
      <c r="C24" s="8" t="s">
        <v>1298</v>
      </c>
      <c r="D24" s="6" t="s">
        <v>1290</v>
      </c>
      <c r="E24" s="60" t="s">
        <v>1290</v>
      </c>
      <c r="F24" s="58" t="s">
        <v>1299</v>
      </c>
    </row>
    <row r="25" spans="2:6">
      <c r="B25" s="19" t="s">
        <v>1300</v>
      </c>
      <c r="C25" s="7" t="s">
        <v>1301</v>
      </c>
      <c r="D25" s="5" t="s">
        <v>1290</v>
      </c>
      <c r="E25" s="60" t="s">
        <v>1290</v>
      </c>
      <c r="F25" s="57" t="s">
        <v>1302</v>
      </c>
    </row>
    <row r="26" spans="2:6">
      <c r="B26" s="20" t="s">
        <v>1306</v>
      </c>
      <c r="C26" s="8" t="s">
        <v>1307</v>
      </c>
      <c r="D26" s="6" t="s">
        <v>1309</v>
      </c>
      <c r="E26" s="61" t="s">
        <v>3782</v>
      </c>
      <c r="F26" s="58" t="s">
        <v>1308</v>
      </c>
    </row>
    <row r="27" spans="2:6">
      <c r="B27" s="19" t="s">
        <v>1310</v>
      </c>
      <c r="C27" s="7" t="s">
        <v>1311</v>
      </c>
      <c r="D27" s="5" t="s">
        <v>1309</v>
      </c>
      <c r="E27" s="61" t="s">
        <v>3782</v>
      </c>
      <c r="F27" s="57" t="s">
        <v>1308</v>
      </c>
    </row>
    <row r="28" spans="2:6">
      <c r="B28" s="20" t="s">
        <v>1312</v>
      </c>
      <c r="C28" s="8" t="s">
        <v>1313</v>
      </c>
      <c r="D28" s="6" t="s">
        <v>1309</v>
      </c>
      <c r="E28" s="61" t="s">
        <v>3782</v>
      </c>
      <c r="F28" s="58" t="s">
        <v>1308</v>
      </c>
    </row>
    <row r="29" spans="2:6">
      <c r="B29" s="19" t="s">
        <v>1314</v>
      </c>
      <c r="C29" s="7" t="s">
        <v>1315</v>
      </c>
      <c r="D29" s="5" t="s">
        <v>1309</v>
      </c>
      <c r="E29" s="61" t="s">
        <v>3782</v>
      </c>
      <c r="F29" s="57" t="s">
        <v>1308</v>
      </c>
    </row>
    <row r="30" spans="2:6">
      <c r="B30" s="20" t="s">
        <v>1316</v>
      </c>
      <c r="C30" s="8" t="s">
        <v>1317</v>
      </c>
      <c r="D30" s="6" t="s">
        <v>1309</v>
      </c>
      <c r="E30" s="61" t="s">
        <v>3782</v>
      </c>
      <c r="F30" s="58" t="s">
        <v>1308</v>
      </c>
    </row>
    <row r="31" spans="2:6">
      <c r="B31" s="19" t="s">
        <v>1318</v>
      </c>
      <c r="C31" s="7" t="s">
        <v>1319</v>
      </c>
      <c r="D31" s="5" t="s">
        <v>1309</v>
      </c>
      <c r="E31" s="61" t="s">
        <v>3782</v>
      </c>
      <c r="F31" s="57" t="s">
        <v>1320</v>
      </c>
    </row>
    <row r="32" spans="2:6">
      <c r="B32" s="20" t="s">
        <v>1321</v>
      </c>
      <c r="C32" s="8" t="s">
        <v>1322</v>
      </c>
      <c r="D32" s="6" t="s">
        <v>1309</v>
      </c>
      <c r="E32" s="61" t="s">
        <v>3782</v>
      </c>
      <c r="F32" s="58" t="s">
        <v>1308</v>
      </c>
    </row>
    <row r="33" spans="1:6">
      <c r="B33" s="19" t="s">
        <v>1323</v>
      </c>
      <c r="C33" s="7" t="s">
        <v>1324</v>
      </c>
      <c r="D33" s="5" t="s">
        <v>1309</v>
      </c>
      <c r="E33" s="61" t="s">
        <v>3782</v>
      </c>
      <c r="F33" s="57" t="s">
        <v>1308</v>
      </c>
    </row>
    <row r="34" spans="1:6">
      <c r="B34" s="20" t="s">
        <v>1325</v>
      </c>
      <c r="C34" s="8" t="s">
        <v>1326</v>
      </c>
      <c r="D34" s="6" t="s">
        <v>1309</v>
      </c>
      <c r="E34" s="61" t="s">
        <v>3782</v>
      </c>
      <c r="F34" s="58" t="s">
        <v>1308</v>
      </c>
    </row>
    <row r="35" spans="1:6">
      <c r="B35" s="19" t="s">
        <v>1327</v>
      </c>
      <c r="C35" s="7" t="s">
        <v>1328</v>
      </c>
      <c r="D35" s="5" t="s">
        <v>1309</v>
      </c>
      <c r="E35" s="61" t="s">
        <v>3782</v>
      </c>
      <c r="F35" s="57" t="s">
        <v>1308</v>
      </c>
    </row>
    <row r="36" spans="1:6">
      <c r="B36" s="20" t="s">
        <v>1329</v>
      </c>
      <c r="C36" s="8" t="s">
        <v>1330</v>
      </c>
      <c r="D36" s="6" t="s">
        <v>1309</v>
      </c>
      <c r="E36" s="56" t="s">
        <v>3770</v>
      </c>
      <c r="F36" s="58" t="s">
        <v>1331</v>
      </c>
    </row>
    <row r="37" spans="1:6">
      <c r="B37" s="19" t="s">
        <v>1332</v>
      </c>
      <c r="C37" s="7" t="s">
        <v>1333</v>
      </c>
      <c r="D37" s="5" t="s">
        <v>1309</v>
      </c>
      <c r="E37" s="56" t="s">
        <v>3770</v>
      </c>
      <c r="F37" s="57" t="s">
        <v>1331</v>
      </c>
    </row>
    <row r="38" spans="1:6">
      <c r="B38" s="20" t="s">
        <v>1334</v>
      </c>
      <c r="C38" s="8" t="s">
        <v>1335</v>
      </c>
      <c r="D38" s="6" t="s">
        <v>1309</v>
      </c>
      <c r="E38" s="56" t="s">
        <v>3770</v>
      </c>
      <c r="F38" s="58" t="s">
        <v>1331</v>
      </c>
    </row>
    <row r="39" spans="1:6">
      <c r="B39" s="19" t="s">
        <v>1336</v>
      </c>
      <c r="C39" s="7" t="s">
        <v>1337</v>
      </c>
      <c r="D39" s="5" t="s">
        <v>1309</v>
      </c>
      <c r="E39" s="56" t="s">
        <v>3770</v>
      </c>
      <c r="F39" s="57" t="s">
        <v>1331</v>
      </c>
    </row>
    <row r="40" spans="1:6">
      <c r="B40" s="20" t="s">
        <v>1338</v>
      </c>
      <c r="C40" s="8" t="s">
        <v>1339</v>
      </c>
      <c r="D40" s="6" t="s">
        <v>1309</v>
      </c>
      <c r="E40" s="56" t="s">
        <v>3770</v>
      </c>
      <c r="F40" s="58" t="s">
        <v>1331</v>
      </c>
    </row>
    <row r="41" spans="1:6">
      <c r="B41" s="19" t="s">
        <v>1340</v>
      </c>
      <c r="C41" s="7" t="s">
        <v>1341</v>
      </c>
      <c r="D41" s="5" t="s">
        <v>1309</v>
      </c>
      <c r="E41" s="56" t="s">
        <v>3770</v>
      </c>
      <c r="F41" s="57" t="s">
        <v>1331</v>
      </c>
    </row>
    <row r="42" spans="1:6">
      <c r="B42" s="20" t="s">
        <v>1342</v>
      </c>
      <c r="C42" s="8" t="s">
        <v>1343</v>
      </c>
      <c r="D42" s="6" t="s">
        <v>1309</v>
      </c>
      <c r="E42" s="56" t="s">
        <v>3770</v>
      </c>
      <c r="F42" s="58" t="s">
        <v>1331</v>
      </c>
    </row>
    <row r="43" spans="1:6">
      <c r="B43" s="19" t="s">
        <v>1344</v>
      </c>
      <c r="C43" s="7" t="s">
        <v>1345</v>
      </c>
      <c r="D43" s="5" t="s">
        <v>1309</v>
      </c>
      <c r="E43" s="56" t="s">
        <v>3770</v>
      </c>
      <c r="F43" s="57" t="s">
        <v>1331</v>
      </c>
    </row>
    <row r="44" spans="1:6">
      <c r="B44" s="20" t="s">
        <v>1346</v>
      </c>
      <c r="C44" s="8" t="s">
        <v>1347</v>
      </c>
      <c r="D44" s="6" t="s">
        <v>1309</v>
      </c>
      <c r="E44" s="56" t="s">
        <v>3770</v>
      </c>
      <c r="F44" s="58" t="s">
        <v>1331</v>
      </c>
    </row>
    <row r="45" spans="1:6">
      <c r="B45" s="19" t="s">
        <v>1348</v>
      </c>
      <c r="C45" s="7" t="s">
        <v>1349</v>
      </c>
      <c r="D45" s="5" t="s">
        <v>1309</v>
      </c>
      <c r="E45" s="56" t="s">
        <v>3770</v>
      </c>
      <c r="F45" s="57" t="s">
        <v>1331</v>
      </c>
    </row>
    <row r="46" spans="1:6">
      <c r="B46" s="20" t="s">
        <v>1350</v>
      </c>
      <c r="C46" s="8" t="s">
        <v>1351</v>
      </c>
      <c r="D46" s="6" t="s">
        <v>1309</v>
      </c>
      <c r="E46" s="56" t="s">
        <v>3770</v>
      </c>
      <c r="F46" s="58" t="s">
        <v>1352</v>
      </c>
    </row>
    <row r="47" spans="1:6">
      <c r="B47" s="19" t="s">
        <v>1353</v>
      </c>
      <c r="C47" s="7" t="s">
        <v>1354</v>
      </c>
      <c r="D47" s="5" t="s">
        <v>1309</v>
      </c>
      <c r="E47" s="56" t="s">
        <v>3770</v>
      </c>
      <c r="F47" s="57" t="s">
        <v>1356</v>
      </c>
    </row>
    <row r="48" spans="1:6">
      <c r="A48" s="27"/>
      <c r="B48" s="19" t="s">
        <v>1357</v>
      </c>
      <c r="C48" s="7" t="s">
        <v>3783</v>
      </c>
      <c r="D48" s="5" t="s">
        <v>1309</v>
      </c>
      <c r="E48" s="56" t="s">
        <v>3770</v>
      </c>
      <c r="F48" s="57" t="s">
        <v>1359</v>
      </c>
    </row>
    <row r="49" spans="1:6">
      <c r="B49" s="20" t="s">
        <v>3784</v>
      </c>
      <c r="C49" s="8" t="s">
        <v>3785</v>
      </c>
      <c r="D49" s="6" t="s">
        <v>1360</v>
      </c>
      <c r="E49" s="56" t="s">
        <v>3770</v>
      </c>
      <c r="F49" s="58" t="s">
        <v>1359</v>
      </c>
    </row>
    <row r="50" spans="1:6">
      <c r="B50" s="19" t="s">
        <v>1361</v>
      </c>
      <c r="C50" s="7" t="s">
        <v>3786</v>
      </c>
      <c r="D50" s="5" t="s">
        <v>1360</v>
      </c>
      <c r="E50" s="56" t="s">
        <v>3770</v>
      </c>
      <c r="F50" s="57" t="s">
        <v>1359</v>
      </c>
    </row>
    <row r="51" spans="1:6">
      <c r="B51" s="20" t="s">
        <v>1363</v>
      </c>
      <c r="C51" s="8" t="s">
        <v>1364</v>
      </c>
      <c r="D51" s="6" t="s">
        <v>1360</v>
      </c>
      <c r="E51" s="56" t="s">
        <v>3770</v>
      </c>
      <c r="F51" s="58" t="s">
        <v>1365</v>
      </c>
    </row>
    <row r="52" spans="1:6">
      <c r="B52" s="19" t="s">
        <v>1367</v>
      </c>
      <c r="C52" s="7" t="s">
        <v>3787</v>
      </c>
      <c r="D52" s="5" t="s">
        <v>1360</v>
      </c>
      <c r="E52" s="62" t="s">
        <v>3788</v>
      </c>
      <c r="F52" s="57" t="s">
        <v>3789</v>
      </c>
    </row>
    <row r="53" spans="1:6">
      <c r="A53" s="27"/>
      <c r="B53" s="20" t="s">
        <v>1370</v>
      </c>
      <c r="C53" s="8" t="s">
        <v>3790</v>
      </c>
      <c r="D53" s="6" t="s">
        <v>1360</v>
      </c>
      <c r="E53" s="62" t="s">
        <v>3788</v>
      </c>
      <c r="F53" s="58" t="s">
        <v>3789</v>
      </c>
    </row>
    <row r="54" spans="1:6">
      <c r="A54" s="27"/>
      <c r="B54" s="19" t="s">
        <v>1375</v>
      </c>
      <c r="C54" s="7" t="s">
        <v>1376</v>
      </c>
      <c r="D54" s="5" t="s">
        <v>1378</v>
      </c>
      <c r="E54" s="56" t="s">
        <v>3770</v>
      </c>
      <c r="F54" s="57" t="s">
        <v>1377</v>
      </c>
    </row>
    <row r="55" spans="1:6">
      <c r="B55" s="20" t="s">
        <v>1379</v>
      </c>
      <c r="C55" s="8" t="s">
        <v>1380</v>
      </c>
      <c r="D55" s="6" t="s">
        <v>1378</v>
      </c>
      <c r="E55" s="56" t="s">
        <v>3770</v>
      </c>
      <c r="F55" s="58" t="s">
        <v>1381</v>
      </c>
    </row>
    <row r="56" spans="1:6">
      <c r="B56" s="19" t="s">
        <v>1382</v>
      </c>
      <c r="C56" s="7" t="s">
        <v>1383</v>
      </c>
      <c r="D56" s="5" t="s">
        <v>1378</v>
      </c>
      <c r="E56" s="56" t="s">
        <v>3770</v>
      </c>
      <c r="F56" s="57" t="s">
        <v>1384</v>
      </c>
    </row>
    <row r="57" spans="1:6">
      <c r="B57" s="20" t="s">
        <v>1385</v>
      </c>
      <c r="C57" s="8" t="s">
        <v>1386</v>
      </c>
      <c r="D57" s="6" t="s">
        <v>1203</v>
      </c>
      <c r="E57" s="56" t="s">
        <v>3770</v>
      </c>
      <c r="F57" s="58" t="s">
        <v>1387</v>
      </c>
    </row>
    <row r="58" spans="1:6">
      <c r="B58" s="19" t="s">
        <v>1388</v>
      </c>
      <c r="C58" s="7" t="s">
        <v>1389</v>
      </c>
      <c r="D58" s="5" t="s">
        <v>1203</v>
      </c>
      <c r="E58" s="56" t="s">
        <v>3770</v>
      </c>
      <c r="F58" s="57" t="s">
        <v>1387</v>
      </c>
    </row>
    <row r="59" spans="1:6">
      <c r="B59" s="20" t="s">
        <v>1390</v>
      </c>
      <c r="C59" s="8" t="s">
        <v>1391</v>
      </c>
      <c r="D59" s="6" t="s">
        <v>1203</v>
      </c>
      <c r="E59" s="56" t="s">
        <v>3770</v>
      </c>
      <c r="F59" s="58" t="s">
        <v>1387</v>
      </c>
    </row>
    <row r="60" spans="1:6">
      <c r="B60" s="19" t="s">
        <v>1392</v>
      </c>
      <c r="C60" s="7" t="s">
        <v>1393</v>
      </c>
      <c r="D60" s="5" t="s">
        <v>1203</v>
      </c>
      <c r="E60" s="56" t="s">
        <v>3770</v>
      </c>
      <c r="F60" s="57" t="s">
        <v>1394</v>
      </c>
    </row>
    <row r="61" spans="1:6">
      <c r="B61" s="20" t="s">
        <v>1395</v>
      </c>
      <c r="C61" s="8" t="s">
        <v>1396</v>
      </c>
      <c r="D61" s="6" t="s">
        <v>1203</v>
      </c>
      <c r="E61" s="56" t="s">
        <v>3770</v>
      </c>
      <c r="F61" s="58" t="s">
        <v>1397</v>
      </c>
    </row>
    <row r="62" spans="1:6">
      <c r="B62" s="19" t="s">
        <v>1398</v>
      </c>
      <c r="C62" s="7" t="s">
        <v>1399</v>
      </c>
      <c r="D62" s="5" t="s">
        <v>1203</v>
      </c>
      <c r="E62" s="56" t="s">
        <v>3770</v>
      </c>
      <c r="F62" s="57" t="s">
        <v>1400</v>
      </c>
    </row>
    <row r="63" spans="1:6">
      <c r="B63" s="20" t="s">
        <v>1401</v>
      </c>
      <c r="C63" s="8" t="s">
        <v>1402</v>
      </c>
      <c r="D63" s="6" t="s">
        <v>1203</v>
      </c>
      <c r="E63" s="56" t="s">
        <v>3770</v>
      </c>
      <c r="F63" s="58" t="s">
        <v>1403</v>
      </c>
    </row>
    <row r="64" spans="1:6">
      <c r="B64" s="19" t="s">
        <v>1404</v>
      </c>
      <c r="C64" s="7" t="s">
        <v>1405</v>
      </c>
      <c r="D64" s="5" t="s">
        <v>1203</v>
      </c>
      <c r="E64" s="56" t="s">
        <v>3770</v>
      </c>
      <c r="F64" s="57" t="s">
        <v>1406</v>
      </c>
    </row>
    <row r="65" spans="2:6">
      <c r="B65" s="20" t="s">
        <v>1407</v>
      </c>
      <c r="C65" s="8" t="s">
        <v>1408</v>
      </c>
      <c r="D65" s="6" t="s">
        <v>1203</v>
      </c>
      <c r="E65" s="56" t="s">
        <v>3770</v>
      </c>
      <c r="F65" s="58" t="s">
        <v>1409</v>
      </c>
    </row>
    <row r="66" spans="2:6">
      <c r="B66" s="19" t="s">
        <v>1410</v>
      </c>
      <c r="C66" s="7" t="s">
        <v>1411</v>
      </c>
      <c r="D66" s="5" t="s">
        <v>1203</v>
      </c>
      <c r="E66" s="56" t="s">
        <v>3770</v>
      </c>
      <c r="F66" s="57" t="s">
        <v>1412</v>
      </c>
    </row>
    <row r="67" spans="2:6">
      <c r="B67" s="20" t="s">
        <v>1413</v>
      </c>
      <c r="C67" s="8" t="s">
        <v>1414</v>
      </c>
      <c r="D67" s="6" t="s">
        <v>1203</v>
      </c>
      <c r="E67" s="56" t="s">
        <v>3770</v>
      </c>
      <c r="F67" s="58" t="s">
        <v>1415</v>
      </c>
    </row>
    <row r="68" spans="2:6">
      <c r="B68" s="19" t="s">
        <v>1416</v>
      </c>
      <c r="C68" s="7" t="s">
        <v>1417</v>
      </c>
      <c r="D68" s="5" t="s">
        <v>1203</v>
      </c>
      <c r="E68" s="56" t="s">
        <v>3770</v>
      </c>
      <c r="F68" s="57" t="s">
        <v>1419</v>
      </c>
    </row>
    <row r="69" spans="2:6">
      <c r="B69" s="20" t="s">
        <v>1420</v>
      </c>
      <c r="C69" s="8" t="s">
        <v>1421</v>
      </c>
      <c r="D69" s="6" t="s">
        <v>1203</v>
      </c>
      <c r="E69" s="56" t="s">
        <v>3770</v>
      </c>
      <c r="F69" s="58" t="s">
        <v>1422</v>
      </c>
    </row>
    <row r="70" spans="2:6">
      <c r="B70" s="19" t="s">
        <v>1423</v>
      </c>
      <c r="C70" s="7" t="s">
        <v>1424</v>
      </c>
      <c r="D70" s="5" t="s">
        <v>1203</v>
      </c>
      <c r="E70" s="56" t="s">
        <v>3770</v>
      </c>
      <c r="F70" s="57" t="s">
        <v>1424</v>
      </c>
    </row>
    <row r="71" spans="2:6">
      <c r="B71" s="20" t="s">
        <v>1426</v>
      </c>
      <c r="C71" s="8" t="s">
        <v>1427</v>
      </c>
      <c r="D71" s="6" t="s">
        <v>1203</v>
      </c>
      <c r="E71" s="56" t="s">
        <v>3770</v>
      </c>
      <c r="F71" s="58" t="s">
        <v>1427</v>
      </c>
    </row>
    <row r="72" spans="2:6">
      <c r="B72" s="19" t="s">
        <v>1430</v>
      </c>
      <c r="C72" s="7" t="s">
        <v>1431</v>
      </c>
      <c r="D72" s="5" t="s">
        <v>1433</v>
      </c>
      <c r="E72" s="56" t="s">
        <v>3770</v>
      </c>
      <c r="F72" s="57" t="s">
        <v>1432</v>
      </c>
    </row>
    <row r="73" spans="2:6">
      <c r="B73" s="20" t="s">
        <v>1434</v>
      </c>
      <c r="C73" s="8" t="s">
        <v>1435</v>
      </c>
      <c r="D73" s="6" t="s">
        <v>1433</v>
      </c>
      <c r="E73" s="56" t="s">
        <v>3770</v>
      </c>
      <c r="F73" s="58" t="s">
        <v>1436</v>
      </c>
    </row>
    <row r="74" spans="2:6">
      <c r="B74" s="19" t="s">
        <v>1437</v>
      </c>
      <c r="C74" s="7" t="s">
        <v>1438</v>
      </c>
      <c r="D74" s="5" t="s">
        <v>1433</v>
      </c>
      <c r="E74" s="56" t="s">
        <v>3770</v>
      </c>
      <c r="F74" s="57" t="s">
        <v>1403</v>
      </c>
    </row>
    <row r="75" spans="2:6">
      <c r="B75" s="20" t="s">
        <v>1439</v>
      </c>
      <c r="C75" s="8" t="s">
        <v>1440</v>
      </c>
      <c r="D75" s="6" t="s">
        <v>1433</v>
      </c>
      <c r="E75" s="56" t="s">
        <v>3770</v>
      </c>
      <c r="F75" s="58" t="s">
        <v>1403</v>
      </c>
    </row>
    <row r="76" spans="2:6">
      <c r="B76" s="19" t="s">
        <v>1441</v>
      </c>
      <c r="C76" s="7" t="s">
        <v>1442</v>
      </c>
      <c r="D76" s="5" t="s">
        <v>1433</v>
      </c>
      <c r="E76" s="56" t="s">
        <v>3770</v>
      </c>
      <c r="F76" s="57" t="s">
        <v>3791</v>
      </c>
    </row>
    <row r="77" spans="2:6">
      <c r="B77" s="20" t="s">
        <v>1444</v>
      </c>
      <c r="C77" s="8" t="s">
        <v>1445</v>
      </c>
      <c r="D77" s="6" t="s">
        <v>1433</v>
      </c>
      <c r="E77" s="56" t="s">
        <v>3770</v>
      </c>
      <c r="F77" s="58" t="s">
        <v>1446</v>
      </c>
    </row>
    <row r="78" spans="2:6">
      <c r="B78" s="19" t="s">
        <v>1447</v>
      </c>
      <c r="C78" s="7" t="s">
        <v>1448</v>
      </c>
      <c r="D78" s="5" t="s">
        <v>1433</v>
      </c>
      <c r="E78" s="56" t="s">
        <v>3770</v>
      </c>
      <c r="F78" s="57" t="s">
        <v>1449</v>
      </c>
    </row>
    <row r="79" spans="2:6">
      <c r="B79" s="20" t="s">
        <v>1450</v>
      </c>
      <c r="C79" s="8" t="s">
        <v>1451</v>
      </c>
      <c r="D79" s="6" t="s">
        <v>1433</v>
      </c>
      <c r="E79" s="56" t="s">
        <v>3770</v>
      </c>
      <c r="F79" s="58" t="s">
        <v>1452</v>
      </c>
    </row>
    <row r="80" spans="2:6">
      <c r="B80" s="19" t="s">
        <v>1453</v>
      </c>
      <c r="C80" s="7" t="s">
        <v>1454</v>
      </c>
      <c r="D80" s="5" t="s">
        <v>1433</v>
      </c>
      <c r="E80" s="56" t="s">
        <v>3770</v>
      </c>
      <c r="F80" s="57" t="s">
        <v>3792</v>
      </c>
    </row>
    <row r="81" spans="2:6">
      <c r="B81" s="20" t="s">
        <v>1456</v>
      </c>
      <c r="C81" s="8" t="s">
        <v>1457</v>
      </c>
      <c r="D81" s="6" t="s">
        <v>1433</v>
      </c>
      <c r="E81" s="56" t="s">
        <v>3770</v>
      </c>
      <c r="F81" s="58" t="s">
        <v>3793</v>
      </c>
    </row>
    <row r="82" spans="2:6">
      <c r="B82" s="19" t="s">
        <v>1459</v>
      </c>
      <c r="C82" s="7" t="s">
        <v>1460</v>
      </c>
      <c r="D82" s="5" t="s">
        <v>1433</v>
      </c>
      <c r="E82" s="56" t="s">
        <v>3770</v>
      </c>
      <c r="F82" s="57" t="s">
        <v>3794</v>
      </c>
    </row>
    <row r="83" spans="2:6">
      <c r="B83" s="20" t="s">
        <v>1462</v>
      </c>
      <c r="C83" s="8" t="s">
        <v>1463</v>
      </c>
      <c r="D83" s="6" t="s">
        <v>1433</v>
      </c>
      <c r="E83" s="56" t="s">
        <v>3770</v>
      </c>
      <c r="F83" s="58" t="s">
        <v>1464</v>
      </c>
    </row>
    <row r="84" spans="2:6">
      <c r="B84" s="19" t="s">
        <v>1465</v>
      </c>
      <c r="C84" s="7" t="s">
        <v>1466</v>
      </c>
      <c r="D84" s="5" t="s">
        <v>1433</v>
      </c>
      <c r="E84" s="56" t="s">
        <v>3770</v>
      </c>
      <c r="F84" s="57" t="s">
        <v>1464</v>
      </c>
    </row>
    <row r="85" spans="2:6">
      <c r="B85" s="20" t="s">
        <v>1467</v>
      </c>
      <c r="C85" s="8" t="s">
        <v>1468</v>
      </c>
      <c r="D85" s="6" t="s">
        <v>1433</v>
      </c>
      <c r="E85" s="56" t="s">
        <v>3770</v>
      </c>
      <c r="F85" s="58" t="s">
        <v>1464</v>
      </c>
    </row>
    <row r="86" spans="2:6">
      <c r="B86" s="19" t="s">
        <v>1469</v>
      </c>
      <c r="C86" s="7" t="s">
        <v>1470</v>
      </c>
      <c r="D86" s="5" t="s">
        <v>1433</v>
      </c>
      <c r="E86" s="56" t="s">
        <v>3770</v>
      </c>
      <c r="F86" s="57" t="s">
        <v>1472</v>
      </c>
    </row>
    <row r="87" spans="2:6">
      <c r="B87" s="20" t="s">
        <v>1473</v>
      </c>
      <c r="C87" s="8" t="s">
        <v>1474</v>
      </c>
      <c r="D87" s="6" t="s">
        <v>1433</v>
      </c>
      <c r="E87" s="56" t="s">
        <v>3770</v>
      </c>
      <c r="F87" s="58" t="s">
        <v>1475</v>
      </c>
    </row>
    <row r="88" spans="2:6">
      <c r="B88" s="19" t="s">
        <v>1476</v>
      </c>
      <c r="C88" s="7" t="s">
        <v>1477</v>
      </c>
      <c r="D88" s="5" t="s">
        <v>1433</v>
      </c>
      <c r="E88" s="56" t="s">
        <v>3770</v>
      </c>
      <c r="F88" s="57" t="s">
        <v>1478</v>
      </c>
    </row>
    <row r="89" spans="2:6">
      <c r="B89" s="20" t="s">
        <v>1479</v>
      </c>
      <c r="C89" s="8" t="s">
        <v>1480</v>
      </c>
      <c r="D89" s="6" t="s">
        <v>1433</v>
      </c>
      <c r="E89" s="56" t="s">
        <v>3770</v>
      </c>
      <c r="F89" s="58" t="s">
        <v>1481</v>
      </c>
    </row>
    <row r="90" spans="2:6">
      <c r="B90" s="19" t="s">
        <v>1482</v>
      </c>
      <c r="C90" s="7" t="s">
        <v>3795</v>
      </c>
      <c r="D90" s="5" t="s">
        <v>1433</v>
      </c>
      <c r="E90" s="56" t="s">
        <v>3770</v>
      </c>
      <c r="F90" s="57" t="s">
        <v>3796</v>
      </c>
    </row>
    <row r="91" spans="2:6">
      <c r="B91" s="20" t="s">
        <v>1485</v>
      </c>
      <c r="C91" s="8" t="s">
        <v>1486</v>
      </c>
      <c r="D91" s="6" t="s">
        <v>1433</v>
      </c>
      <c r="E91" s="56" t="s">
        <v>3770</v>
      </c>
      <c r="F91" s="58" t="s">
        <v>1487</v>
      </c>
    </row>
    <row r="92" spans="2:6">
      <c r="B92" s="19" t="s">
        <v>1488</v>
      </c>
      <c r="C92" s="7" t="s">
        <v>1489</v>
      </c>
      <c r="D92" s="5" t="s">
        <v>1491</v>
      </c>
      <c r="E92" s="56" t="s">
        <v>3770</v>
      </c>
      <c r="F92" s="57" t="s">
        <v>1490</v>
      </c>
    </row>
    <row r="93" spans="2:6">
      <c r="B93" s="20" t="s">
        <v>1492</v>
      </c>
      <c r="C93" s="8" t="s">
        <v>1493</v>
      </c>
      <c r="D93" s="6" t="s">
        <v>1491</v>
      </c>
      <c r="E93" s="56" t="s">
        <v>3770</v>
      </c>
      <c r="F93" s="58" t="s">
        <v>1490</v>
      </c>
    </row>
    <row r="94" spans="2:6">
      <c r="B94" s="19" t="s">
        <v>1494</v>
      </c>
      <c r="C94" s="7" t="s">
        <v>1495</v>
      </c>
      <c r="D94" s="5" t="s">
        <v>1491</v>
      </c>
      <c r="E94" s="56" t="s">
        <v>3770</v>
      </c>
      <c r="F94" s="57" t="s">
        <v>1490</v>
      </c>
    </row>
    <row r="95" spans="2:6">
      <c r="B95" s="20" t="s">
        <v>1496</v>
      </c>
      <c r="C95" s="8" t="s">
        <v>3797</v>
      </c>
      <c r="D95" s="6" t="s">
        <v>1491</v>
      </c>
      <c r="E95" s="56" t="s">
        <v>3770</v>
      </c>
      <c r="F95" s="58" t="s">
        <v>1539</v>
      </c>
    </row>
    <row r="96" spans="2:6">
      <c r="B96" s="19" t="s">
        <v>1499</v>
      </c>
      <c r="C96" s="7" t="s">
        <v>1500</v>
      </c>
      <c r="D96" s="5" t="s">
        <v>1491</v>
      </c>
      <c r="E96" s="56" t="s">
        <v>3770</v>
      </c>
      <c r="F96" s="57" t="s">
        <v>1502</v>
      </c>
    </row>
    <row r="97" spans="2:6">
      <c r="B97" s="20" t="s">
        <v>1503</v>
      </c>
      <c r="C97" s="8" t="s">
        <v>1504</v>
      </c>
      <c r="D97" s="6" t="s">
        <v>1491</v>
      </c>
      <c r="E97" s="56" t="s">
        <v>3770</v>
      </c>
      <c r="F97" s="58" t="s">
        <v>1505</v>
      </c>
    </row>
    <row r="98" spans="2:6">
      <c r="B98" s="19" t="s">
        <v>1506</v>
      </c>
      <c r="C98" s="7" t="s">
        <v>1507</v>
      </c>
      <c r="D98" s="5" t="s">
        <v>1491</v>
      </c>
      <c r="E98" s="56" t="s">
        <v>3770</v>
      </c>
      <c r="F98" s="57" t="s">
        <v>1505</v>
      </c>
    </row>
    <row r="99" spans="2:6">
      <c r="B99" s="20" t="s">
        <v>1508</v>
      </c>
      <c r="C99" s="8" t="s">
        <v>1509</v>
      </c>
      <c r="D99" s="6" t="s">
        <v>1491</v>
      </c>
      <c r="E99" s="56" t="s">
        <v>3770</v>
      </c>
      <c r="F99" s="58" t="s">
        <v>1505</v>
      </c>
    </row>
    <row r="100" spans="2:6">
      <c r="B100" s="19" t="s">
        <v>1510</v>
      </c>
      <c r="C100" s="7" t="s">
        <v>1511</v>
      </c>
      <c r="D100" s="5" t="s">
        <v>1491</v>
      </c>
      <c r="E100" s="56" t="s">
        <v>3770</v>
      </c>
      <c r="F100" s="57" t="s">
        <v>1505</v>
      </c>
    </row>
    <row r="101" spans="2:6">
      <c r="B101" s="20" t="s">
        <v>1512</v>
      </c>
      <c r="C101" s="8" t="s">
        <v>1513</v>
      </c>
      <c r="D101" s="6" t="s">
        <v>1491</v>
      </c>
      <c r="E101" s="56" t="s">
        <v>3770</v>
      </c>
      <c r="F101" s="58" t="s">
        <v>1505</v>
      </c>
    </row>
    <row r="102" spans="2:6">
      <c r="B102" s="19" t="s">
        <v>1514</v>
      </c>
      <c r="C102" s="7" t="s">
        <v>1515</v>
      </c>
      <c r="D102" s="5" t="s">
        <v>1491</v>
      </c>
      <c r="E102" s="56" t="s">
        <v>3770</v>
      </c>
      <c r="F102" s="57" t="s">
        <v>1505</v>
      </c>
    </row>
    <row r="103" spans="2:6">
      <c r="B103" s="20" t="s">
        <v>1516</v>
      </c>
      <c r="C103" s="8" t="s">
        <v>1517</v>
      </c>
      <c r="D103" s="6" t="s">
        <v>1491</v>
      </c>
      <c r="E103" s="56" t="s">
        <v>3770</v>
      </c>
      <c r="F103" s="58" t="s">
        <v>1518</v>
      </c>
    </row>
    <row r="104" spans="2:6">
      <c r="B104" s="19" t="s">
        <v>1519</v>
      </c>
      <c r="C104" s="7" t="s">
        <v>1520</v>
      </c>
      <c r="D104" s="5" t="s">
        <v>1491</v>
      </c>
      <c r="E104" s="56" t="s">
        <v>3770</v>
      </c>
      <c r="F104" s="57" t="s">
        <v>1518</v>
      </c>
    </row>
    <row r="105" spans="2:6">
      <c r="B105" s="20" t="s">
        <v>1521</v>
      </c>
      <c r="C105" s="8" t="s">
        <v>1522</v>
      </c>
      <c r="D105" s="6" t="s">
        <v>1491</v>
      </c>
      <c r="E105" s="56" t="s">
        <v>3770</v>
      </c>
      <c r="F105" s="58" t="s">
        <v>1518</v>
      </c>
    </row>
    <row r="106" spans="2:6">
      <c r="B106" s="19" t="s">
        <v>1523</v>
      </c>
      <c r="C106" s="7" t="s">
        <v>1524</v>
      </c>
      <c r="D106" s="5" t="s">
        <v>1491</v>
      </c>
      <c r="E106" s="56" t="s">
        <v>3770</v>
      </c>
      <c r="F106" s="57" t="s">
        <v>1526</v>
      </c>
    </row>
    <row r="107" spans="2:6">
      <c r="B107" s="20" t="s">
        <v>1527</v>
      </c>
      <c r="C107" s="8" t="s">
        <v>3798</v>
      </c>
      <c r="D107" s="6" t="s">
        <v>1491</v>
      </c>
      <c r="E107" s="56" t="s">
        <v>3770</v>
      </c>
      <c r="F107" s="58" t="s">
        <v>1530</v>
      </c>
    </row>
    <row r="108" spans="2:6">
      <c r="B108" s="19" t="s">
        <v>1531</v>
      </c>
      <c r="C108" s="7" t="s">
        <v>1532</v>
      </c>
      <c r="D108" s="5" t="s">
        <v>1491</v>
      </c>
      <c r="E108" s="56" t="s">
        <v>3770</v>
      </c>
      <c r="F108" s="57" t="s">
        <v>3799</v>
      </c>
    </row>
    <row r="109" spans="2:6">
      <c r="B109" s="20" t="s">
        <v>1534</v>
      </c>
      <c r="C109" s="8" t="s">
        <v>1535</v>
      </c>
      <c r="D109" s="6" t="s">
        <v>1491</v>
      </c>
      <c r="E109" s="56" t="s">
        <v>3770</v>
      </c>
      <c r="F109" s="58" t="s">
        <v>1536</v>
      </c>
    </row>
    <row r="110" spans="2:6">
      <c r="B110" s="19" t="s">
        <v>1540</v>
      </c>
      <c r="C110" s="7" t="s">
        <v>1541</v>
      </c>
      <c r="D110" s="5" t="s">
        <v>1543</v>
      </c>
      <c r="E110" s="56" t="s">
        <v>3770</v>
      </c>
      <c r="F110" s="57" t="s">
        <v>1542</v>
      </c>
    </row>
    <row r="111" spans="2:6">
      <c r="B111" s="20" t="s">
        <v>1544</v>
      </c>
      <c r="C111" s="8" t="s">
        <v>1545</v>
      </c>
      <c r="D111" s="6" t="s">
        <v>1543</v>
      </c>
      <c r="E111" s="56" t="s">
        <v>3770</v>
      </c>
      <c r="F111" s="58" t="s">
        <v>1546</v>
      </c>
    </row>
    <row r="112" spans="2:6">
      <c r="B112" s="19" t="s">
        <v>1547</v>
      </c>
      <c r="C112" s="7" t="s">
        <v>1548</v>
      </c>
      <c r="D112" s="5" t="s">
        <v>1543</v>
      </c>
      <c r="E112" s="56" t="s">
        <v>3770</v>
      </c>
      <c r="F112" s="57" t="s">
        <v>1549</v>
      </c>
    </row>
    <row r="113" spans="2:6">
      <c r="B113" s="20" t="s">
        <v>1550</v>
      </c>
      <c r="C113" s="8" t="s">
        <v>1551</v>
      </c>
      <c r="D113" s="6" t="s">
        <v>1543</v>
      </c>
      <c r="E113" s="56" t="s">
        <v>3770</v>
      </c>
      <c r="F113" s="58" t="s">
        <v>1549</v>
      </c>
    </row>
    <row r="114" spans="2:6">
      <c r="B114" s="19" t="s">
        <v>1552</v>
      </c>
      <c r="C114" s="7" t="s">
        <v>1553</v>
      </c>
      <c r="D114" s="5" t="s">
        <v>1543</v>
      </c>
      <c r="E114" s="56" t="s">
        <v>3770</v>
      </c>
      <c r="F114" s="57" t="s">
        <v>1549</v>
      </c>
    </row>
    <row r="115" spans="2:6">
      <c r="B115" s="20" t="s">
        <v>1555</v>
      </c>
      <c r="C115" s="8" t="s">
        <v>1556</v>
      </c>
      <c r="D115" s="6" t="s">
        <v>1543</v>
      </c>
      <c r="E115" s="56" t="s">
        <v>3770</v>
      </c>
      <c r="F115" s="58" t="s">
        <v>1557</v>
      </c>
    </row>
    <row r="116" spans="2:6">
      <c r="B116" s="19" t="s">
        <v>1558</v>
      </c>
      <c r="C116" s="7" t="s">
        <v>1559</v>
      </c>
      <c r="D116" s="5" t="s">
        <v>1543</v>
      </c>
      <c r="E116" s="56" t="s">
        <v>3770</v>
      </c>
      <c r="F116" s="57" t="s">
        <v>1560</v>
      </c>
    </row>
    <row r="117" spans="2:6">
      <c r="B117" s="20" t="s">
        <v>1561</v>
      </c>
      <c r="C117" s="8" t="s">
        <v>1562</v>
      </c>
      <c r="D117" s="6" t="s">
        <v>1543</v>
      </c>
      <c r="E117" s="56" t="s">
        <v>3770</v>
      </c>
      <c r="F117" s="58" t="s">
        <v>1564</v>
      </c>
    </row>
    <row r="118" spans="2:6">
      <c r="B118" s="19" t="s">
        <v>1565</v>
      </c>
      <c r="C118" s="7" t="s">
        <v>1566</v>
      </c>
      <c r="D118" s="5" t="s">
        <v>1543</v>
      </c>
      <c r="E118" s="56" t="s">
        <v>3770</v>
      </c>
      <c r="F118" s="57" t="s">
        <v>1567</v>
      </c>
    </row>
    <row r="119" spans="2:6">
      <c r="B119" s="20" t="s">
        <v>1568</v>
      </c>
      <c r="C119" s="8" t="s">
        <v>1569</v>
      </c>
      <c r="D119" s="6" t="s">
        <v>1543</v>
      </c>
      <c r="E119" s="56" t="s">
        <v>3770</v>
      </c>
      <c r="F119" s="58" t="s">
        <v>1571</v>
      </c>
    </row>
    <row r="120" spans="2:6">
      <c r="B120" s="19" t="s">
        <v>1572</v>
      </c>
      <c r="C120" s="7" t="s">
        <v>1573</v>
      </c>
      <c r="D120" s="5" t="s">
        <v>1543</v>
      </c>
      <c r="E120" s="56" t="s">
        <v>3770</v>
      </c>
      <c r="F120" s="57" t="s">
        <v>1574</v>
      </c>
    </row>
    <row r="121" spans="2:6">
      <c r="B121" s="19" t="s">
        <v>1575</v>
      </c>
      <c r="C121" s="7" t="s">
        <v>1576</v>
      </c>
      <c r="D121" s="5" t="s">
        <v>1543</v>
      </c>
      <c r="E121" s="56" t="s">
        <v>3770</v>
      </c>
      <c r="F121" s="57" t="s">
        <v>1577</v>
      </c>
    </row>
    <row r="122" spans="2:6">
      <c r="B122" s="19" t="s">
        <v>1578</v>
      </c>
      <c r="C122" s="7" t="s">
        <v>1579</v>
      </c>
      <c r="D122" s="5" t="s">
        <v>1543</v>
      </c>
      <c r="E122" s="56" t="s">
        <v>3770</v>
      </c>
      <c r="F122" s="57" t="s">
        <v>1581</v>
      </c>
    </row>
    <row r="123" spans="2:6">
      <c r="B123" s="19" t="s">
        <v>1582</v>
      </c>
      <c r="C123" s="7" t="s">
        <v>1583</v>
      </c>
      <c r="D123" s="5" t="s">
        <v>1543</v>
      </c>
      <c r="E123" s="56" t="s">
        <v>3770</v>
      </c>
      <c r="F123" s="57" t="s">
        <v>1585</v>
      </c>
    </row>
    <row r="124" spans="2:6">
      <c r="B124" s="20" t="s">
        <v>1591</v>
      </c>
      <c r="C124" s="8" t="s">
        <v>1592</v>
      </c>
      <c r="D124" s="6" t="s">
        <v>1594</v>
      </c>
      <c r="E124" s="56" t="s">
        <v>3770</v>
      </c>
      <c r="F124" s="58" t="s">
        <v>1593</v>
      </c>
    </row>
    <row r="125" spans="2:6">
      <c r="B125" s="19" t="s">
        <v>1595</v>
      </c>
      <c r="C125" s="7" t="s">
        <v>1596</v>
      </c>
      <c r="D125" s="5" t="s">
        <v>1594</v>
      </c>
      <c r="E125" s="56" t="s">
        <v>3770</v>
      </c>
      <c r="F125" s="57" t="s">
        <v>1597</v>
      </c>
    </row>
    <row r="126" spans="2:6">
      <c r="B126" s="20" t="s">
        <v>1598</v>
      </c>
      <c r="C126" s="8" t="s">
        <v>3800</v>
      </c>
      <c r="D126" s="6" t="s">
        <v>1594</v>
      </c>
      <c r="E126" s="56" t="s">
        <v>3770</v>
      </c>
      <c r="F126" s="58" t="s">
        <v>1600</v>
      </c>
    </row>
    <row r="127" spans="2:6">
      <c r="B127" s="19" t="s">
        <v>1601</v>
      </c>
      <c r="C127" s="7" t="s">
        <v>1602</v>
      </c>
      <c r="D127" s="5" t="s">
        <v>1594</v>
      </c>
      <c r="E127" s="56" t="s">
        <v>3770</v>
      </c>
      <c r="F127" s="57" t="s">
        <v>1603</v>
      </c>
    </row>
    <row r="128" spans="2:6">
      <c r="B128" s="20" t="s">
        <v>1604</v>
      </c>
      <c r="C128" s="8" t="s">
        <v>1605</v>
      </c>
      <c r="D128" s="6" t="s">
        <v>1594</v>
      </c>
      <c r="E128" s="56" t="s">
        <v>3770</v>
      </c>
      <c r="F128" s="58" t="s">
        <v>1606</v>
      </c>
    </row>
    <row r="129" spans="2:6">
      <c r="B129" s="19" t="s">
        <v>1607</v>
      </c>
      <c r="C129" s="7" t="s">
        <v>1608</v>
      </c>
      <c r="D129" s="5" t="s">
        <v>1594</v>
      </c>
      <c r="E129" s="56" t="s">
        <v>3770</v>
      </c>
      <c r="F129" s="57" t="s">
        <v>1609</v>
      </c>
    </row>
    <row r="130" spans="2:6">
      <c r="B130" s="20" t="s">
        <v>1610</v>
      </c>
      <c r="C130" s="8" t="s">
        <v>1611</v>
      </c>
      <c r="D130" s="6" t="s">
        <v>1594</v>
      </c>
      <c r="E130" s="56" t="s">
        <v>3770</v>
      </c>
      <c r="F130" s="58" t="s">
        <v>1612</v>
      </c>
    </row>
    <row r="131" spans="2:6">
      <c r="B131" s="19" t="s">
        <v>1613</v>
      </c>
      <c r="C131" s="7" t="s">
        <v>1614</v>
      </c>
      <c r="D131" s="5" t="s">
        <v>1594</v>
      </c>
      <c r="E131" s="56" t="s">
        <v>3770</v>
      </c>
      <c r="F131" s="57" t="s">
        <v>1612</v>
      </c>
    </row>
    <row r="132" spans="2:6">
      <c r="B132" s="20" t="s">
        <v>1615</v>
      </c>
      <c r="C132" s="8" t="s">
        <v>1616</v>
      </c>
      <c r="D132" s="6" t="s">
        <v>1618</v>
      </c>
      <c r="E132" s="56" t="s">
        <v>3770</v>
      </c>
      <c r="F132" s="58" t="s">
        <v>1617</v>
      </c>
    </row>
    <row r="133" spans="2:6">
      <c r="B133" s="19" t="s">
        <v>1619</v>
      </c>
      <c r="C133" s="7" t="s">
        <v>1620</v>
      </c>
      <c r="D133" s="5" t="s">
        <v>1618</v>
      </c>
      <c r="E133" s="56" t="s">
        <v>3770</v>
      </c>
      <c r="F133" s="57" t="s">
        <v>1621</v>
      </c>
    </row>
    <row r="134" spans="2:6">
      <c r="B134" s="20" t="s">
        <v>1622</v>
      </c>
      <c r="C134" s="8" t="s">
        <v>1623</v>
      </c>
      <c r="D134" s="6" t="s">
        <v>1618</v>
      </c>
      <c r="E134" s="56" t="s">
        <v>3770</v>
      </c>
      <c r="F134" s="58" t="s">
        <v>1624</v>
      </c>
    </row>
    <row r="135" spans="2:6">
      <c r="B135" s="19" t="s">
        <v>1625</v>
      </c>
      <c r="C135" s="7" t="s">
        <v>1626</v>
      </c>
      <c r="D135" s="5" t="s">
        <v>1618</v>
      </c>
      <c r="E135" s="56" t="s">
        <v>3770</v>
      </c>
      <c r="F135" s="57" t="s">
        <v>1627</v>
      </c>
    </row>
    <row r="136" spans="2:6">
      <c r="B136" s="20" t="s">
        <v>1628</v>
      </c>
      <c r="C136" s="8" t="s">
        <v>1629</v>
      </c>
      <c r="D136" s="6" t="s">
        <v>1618</v>
      </c>
      <c r="E136" s="56" t="s">
        <v>3770</v>
      </c>
      <c r="F136" s="58" t="s">
        <v>1630</v>
      </c>
    </row>
    <row r="137" spans="2:6">
      <c r="B137" s="19" t="s">
        <v>1631</v>
      </c>
      <c r="C137" s="7" t="s">
        <v>1632</v>
      </c>
      <c r="D137" s="5" t="s">
        <v>1618</v>
      </c>
      <c r="E137" s="56" t="s">
        <v>3770</v>
      </c>
      <c r="F137" s="57" t="s">
        <v>1633</v>
      </c>
    </row>
    <row r="138" spans="2:6">
      <c r="B138" s="20" t="s">
        <v>1634</v>
      </c>
      <c r="C138" s="8" t="s">
        <v>1635</v>
      </c>
      <c r="D138" s="6" t="s">
        <v>1618</v>
      </c>
      <c r="E138" s="56" t="s">
        <v>3770</v>
      </c>
      <c r="F138" s="58" t="s">
        <v>1636</v>
      </c>
    </row>
    <row r="139" spans="2:6">
      <c r="B139" s="19" t="s">
        <v>1637</v>
      </c>
      <c r="C139" s="7" t="s">
        <v>1638</v>
      </c>
      <c r="D139" s="5" t="s">
        <v>1618</v>
      </c>
      <c r="E139" s="56" t="s">
        <v>3770</v>
      </c>
      <c r="F139" s="57" t="s">
        <v>1639</v>
      </c>
    </row>
    <row r="140" spans="2:6">
      <c r="B140" s="20" t="s">
        <v>1640</v>
      </c>
      <c r="C140" s="8" t="s">
        <v>1641</v>
      </c>
      <c r="D140" s="6" t="s">
        <v>1618</v>
      </c>
      <c r="E140" s="56" t="s">
        <v>3770</v>
      </c>
      <c r="F140" s="58" t="s">
        <v>1642</v>
      </c>
    </row>
    <row r="141" spans="2:6">
      <c r="B141" s="19" t="s">
        <v>1643</v>
      </c>
      <c r="C141" s="7" t="s">
        <v>1644</v>
      </c>
      <c r="D141" s="5" t="s">
        <v>1618</v>
      </c>
      <c r="E141" s="56" t="s">
        <v>3770</v>
      </c>
      <c r="F141" s="57" t="s">
        <v>1645</v>
      </c>
    </row>
    <row r="142" spans="2:6">
      <c r="B142" s="20" t="s">
        <v>1646</v>
      </c>
      <c r="C142" s="8" t="s">
        <v>1647</v>
      </c>
      <c r="D142" s="6" t="s">
        <v>1618</v>
      </c>
      <c r="E142" s="56" t="s">
        <v>3770</v>
      </c>
      <c r="F142" s="58" t="s">
        <v>1648</v>
      </c>
    </row>
    <row r="143" spans="2:6">
      <c r="B143" s="20" t="s">
        <v>1649</v>
      </c>
      <c r="C143" s="8" t="s">
        <v>1650</v>
      </c>
      <c r="D143" s="6" t="s">
        <v>1618</v>
      </c>
      <c r="E143" s="56" t="s">
        <v>3770</v>
      </c>
      <c r="F143" s="58" t="s">
        <v>1651</v>
      </c>
    </row>
    <row r="144" spans="2:6">
      <c r="B144" s="20" t="s">
        <v>1652</v>
      </c>
      <c r="C144" s="8" t="s">
        <v>1653</v>
      </c>
      <c r="D144" s="6" t="s">
        <v>1618</v>
      </c>
      <c r="E144" s="56" t="s">
        <v>3770</v>
      </c>
      <c r="F144" s="58" t="s">
        <v>1654</v>
      </c>
    </row>
    <row r="145" spans="2:6">
      <c r="B145" s="19" t="s">
        <v>1655</v>
      </c>
      <c r="C145" s="7" t="s">
        <v>1656</v>
      </c>
      <c r="D145" s="5" t="s">
        <v>1658</v>
      </c>
      <c r="E145" s="56" t="s">
        <v>3770</v>
      </c>
      <c r="F145" s="57" t="s">
        <v>1657</v>
      </c>
    </row>
    <row r="146" spans="2:6">
      <c r="B146" s="20" t="s">
        <v>1659</v>
      </c>
      <c r="C146" s="8" t="s">
        <v>1660</v>
      </c>
      <c r="D146" s="6" t="s">
        <v>1658</v>
      </c>
      <c r="E146" s="56" t="s">
        <v>3770</v>
      </c>
      <c r="F146" s="58" t="s">
        <v>1661</v>
      </c>
    </row>
    <row r="147" spans="2:6">
      <c r="B147" s="19" t="s">
        <v>1662</v>
      </c>
      <c r="C147" s="7" t="s">
        <v>1663</v>
      </c>
      <c r="D147" s="5" t="s">
        <v>1658</v>
      </c>
      <c r="E147" s="56" t="s">
        <v>3770</v>
      </c>
      <c r="F147" s="57" t="s">
        <v>1661</v>
      </c>
    </row>
    <row r="148" spans="2:6">
      <c r="B148" s="20" t="s">
        <v>1664</v>
      </c>
      <c r="C148" s="8" t="s">
        <v>1665</v>
      </c>
      <c r="D148" s="6" t="s">
        <v>1658</v>
      </c>
      <c r="E148" s="56" t="s">
        <v>3770</v>
      </c>
      <c r="F148" s="58" t="s">
        <v>1666</v>
      </c>
    </row>
    <row r="149" spans="2:6">
      <c r="B149" s="19" t="s">
        <v>3801</v>
      </c>
      <c r="C149" s="8" t="s">
        <v>3802</v>
      </c>
      <c r="D149" s="6" t="s">
        <v>1658</v>
      </c>
      <c r="E149" s="56" t="s">
        <v>3770</v>
      </c>
      <c r="F149" s="58" t="s">
        <v>3803</v>
      </c>
    </row>
    <row r="150" spans="2:6">
      <c r="B150" s="19" t="s">
        <v>1667</v>
      </c>
      <c r="C150" s="7" t="s">
        <v>1668</v>
      </c>
      <c r="D150" s="5" t="s">
        <v>1670</v>
      </c>
      <c r="E150" s="56" t="s">
        <v>3770</v>
      </c>
      <c r="F150" s="57" t="s">
        <v>1669</v>
      </c>
    </row>
    <row r="151" spans="2:6">
      <c r="B151" s="20" t="s">
        <v>1671</v>
      </c>
      <c r="C151" s="8" t="s">
        <v>1672</v>
      </c>
      <c r="D151" s="6" t="s">
        <v>1670</v>
      </c>
      <c r="E151" s="56" t="s">
        <v>3770</v>
      </c>
      <c r="F151" s="58" t="s">
        <v>1673</v>
      </c>
    </row>
    <row r="152" spans="2:6">
      <c r="B152" s="19" t="s">
        <v>1674</v>
      </c>
      <c r="C152" s="7" t="s">
        <v>1675</v>
      </c>
      <c r="D152" s="5" t="s">
        <v>1670</v>
      </c>
      <c r="E152" s="56" t="s">
        <v>3770</v>
      </c>
      <c r="F152" s="57" t="s">
        <v>1676</v>
      </c>
    </row>
    <row r="153" spans="2:6">
      <c r="B153" s="20" t="s">
        <v>1677</v>
      </c>
      <c r="C153" s="8" t="s">
        <v>1678</v>
      </c>
      <c r="D153" s="6" t="s">
        <v>1670</v>
      </c>
      <c r="E153" s="56" t="s">
        <v>3770</v>
      </c>
      <c r="F153" s="58" t="s">
        <v>1679</v>
      </c>
    </row>
    <row r="154" spans="2:6">
      <c r="B154" s="19" t="s">
        <v>1680</v>
      </c>
      <c r="C154" s="7" t="s">
        <v>1681</v>
      </c>
      <c r="D154" s="5" t="s">
        <v>1670</v>
      </c>
      <c r="E154" s="56" t="s">
        <v>3770</v>
      </c>
      <c r="F154" s="57" t="s">
        <v>1682</v>
      </c>
    </row>
    <row r="155" spans="2:6">
      <c r="B155" s="20" t="s">
        <v>1683</v>
      </c>
      <c r="C155" s="8" t="s">
        <v>1684</v>
      </c>
      <c r="D155" s="6" t="s">
        <v>1670</v>
      </c>
      <c r="E155" s="56" t="s">
        <v>3770</v>
      </c>
      <c r="F155" s="58" t="s">
        <v>1685</v>
      </c>
    </row>
    <row r="156" spans="2:6">
      <c r="B156" s="19" t="s">
        <v>1686</v>
      </c>
      <c r="C156" s="7" t="s">
        <v>1687</v>
      </c>
      <c r="D156" s="5" t="s">
        <v>1670</v>
      </c>
      <c r="E156" s="56" t="s">
        <v>3770</v>
      </c>
      <c r="F156" s="57" t="s">
        <v>1688</v>
      </c>
    </row>
    <row r="157" spans="2:6">
      <c r="B157" s="20" t="s">
        <v>1689</v>
      </c>
      <c r="C157" s="8" t="s">
        <v>3804</v>
      </c>
      <c r="D157" s="6" t="s">
        <v>1670</v>
      </c>
      <c r="E157" s="56" t="s">
        <v>3770</v>
      </c>
      <c r="F157" s="58" t="s">
        <v>1692</v>
      </c>
    </row>
    <row r="158" spans="2:6">
      <c r="B158" s="19" t="s">
        <v>1693</v>
      </c>
      <c r="C158" s="7" t="s">
        <v>1694</v>
      </c>
      <c r="D158" s="5" t="s">
        <v>1670</v>
      </c>
      <c r="E158" s="56" t="s">
        <v>3770</v>
      </c>
      <c r="F158" s="57" t="s">
        <v>1695</v>
      </c>
    </row>
    <row r="159" spans="2:6">
      <c r="B159" s="20" t="s">
        <v>1696</v>
      </c>
      <c r="C159" s="8" t="s">
        <v>1697</v>
      </c>
      <c r="D159" s="6" t="s">
        <v>1670</v>
      </c>
      <c r="E159" s="56" t="s">
        <v>3770</v>
      </c>
      <c r="F159" s="58" t="s">
        <v>1698</v>
      </c>
    </row>
    <row r="160" spans="2:6">
      <c r="B160" s="19" t="s">
        <v>1699</v>
      </c>
      <c r="C160" s="7" t="s">
        <v>1700</v>
      </c>
      <c r="D160" s="5" t="s">
        <v>1670</v>
      </c>
      <c r="E160" s="56" t="s">
        <v>3770</v>
      </c>
      <c r="F160" s="57" t="s">
        <v>1701</v>
      </c>
    </row>
    <row r="161" spans="2:6">
      <c r="B161" s="20" t="s">
        <v>1702</v>
      </c>
      <c r="C161" s="8" t="s">
        <v>1703</v>
      </c>
      <c r="D161" s="6" t="s">
        <v>1670</v>
      </c>
      <c r="E161" s="56" t="s">
        <v>3770</v>
      </c>
      <c r="F161" s="58" t="s">
        <v>1705</v>
      </c>
    </row>
    <row r="162" spans="2:6">
      <c r="B162" s="19" t="s">
        <v>1706</v>
      </c>
      <c r="C162" s="7" t="s">
        <v>1707</v>
      </c>
      <c r="D162" s="5" t="s">
        <v>1670</v>
      </c>
      <c r="E162" s="56" t="s">
        <v>3770</v>
      </c>
      <c r="F162" s="57" t="s">
        <v>1708</v>
      </c>
    </row>
    <row r="163" spans="2:6">
      <c r="B163" s="20" t="s">
        <v>1709</v>
      </c>
      <c r="C163" s="8" t="s">
        <v>1710</v>
      </c>
      <c r="D163" s="6" t="s">
        <v>1670</v>
      </c>
      <c r="E163" s="56" t="s">
        <v>3770</v>
      </c>
      <c r="F163" s="58" t="s">
        <v>1712</v>
      </c>
    </row>
    <row r="164" spans="2:6">
      <c r="B164" s="19" t="s">
        <v>1713</v>
      </c>
      <c r="C164" s="7" t="s">
        <v>1714</v>
      </c>
      <c r="D164" s="5" t="s">
        <v>1670</v>
      </c>
      <c r="E164" s="56" t="s">
        <v>3770</v>
      </c>
      <c r="F164" s="57" t="s">
        <v>1716</v>
      </c>
    </row>
    <row r="165" spans="2:6">
      <c r="B165" s="20" t="s">
        <v>1717</v>
      </c>
      <c r="C165" s="8" t="s">
        <v>1718</v>
      </c>
      <c r="D165" s="6" t="s">
        <v>1670</v>
      </c>
      <c r="E165" s="56" t="s">
        <v>3770</v>
      </c>
      <c r="F165" s="58" t="s">
        <v>1719</v>
      </c>
    </row>
    <row r="166" spans="2:6">
      <c r="B166" s="19" t="s">
        <v>1720</v>
      </c>
      <c r="C166" s="7" t="s">
        <v>1721</v>
      </c>
      <c r="D166" s="5" t="s">
        <v>1670</v>
      </c>
      <c r="E166" s="56" t="s">
        <v>3770</v>
      </c>
      <c r="F166" s="57" t="s">
        <v>1719</v>
      </c>
    </row>
    <row r="167" spans="2:6">
      <c r="B167" s="20" t="s">
        <v>1722</v>
      </c>
      <c r="C167" s="8" t="s">
        <v>1723</v>
      </c>
      <c r="D167" s="6" t="s">
        <v>1670</v>
      </c>
      <c r="E167" s="56" t="s">
        <v>3770</v>
      </c>
      <c r="F167" s="58" t="s">
        <v>3805</v>
      </c>
    </row>
    <row r="168" spans="2:6">
      <c r="B168" s="19" t="s">
        <v>1725</v>
      </c>
      <c r="C168" s="7" t="s">
        <v>1726</v>
      </c>
      <c r="D168" s="5" t="s">
        <v>1670</v>
      </c>
      <c r="E168" s="56" t="s">
        <v>3770</v>
      </c>
      <c r="F168" s="57" t="s">
        <v>1726</v>
      </c>
    </row>
    <row r="169" spans="2:6">
      <c r="B169" s="20" t="s">
        <v>1729</v>
      </c>
      <c r="C169" s="8" t="s">
        <v>1730</v>
      </c>
      <c r="D169" s="6" t="s">
        <v>1670</v>
      </c>
      <c r="E169" s="56" t="s">
        <v>3770</v>
      </c>
      <c r="F169" s="58" t="s">
        <v>1730</v>
      </c>
    </row>
    <row r="170" spans="2:6">
      <c r="B170" s="19" t="s">
        <v>1732</v>
      </c>
      <c r="C170" s="7" t="s">
        <v>1733</v>
      </c>
      <c r="D170" s="5" t="s">
        <v>1735</v>
      </c>
      <c r="E170" s="56" t="s">
        <v>3770</v>
      </c>
      <c r="F170" s="57" t="s">
        <v>1734</v>
      </c>
    </row>
    <row r="171" spans="2:6">
      <c r="B171" s="20" t="s">
        <v>1736</v>
      </c>
      <c r="C171" s="8" t="s">
        <v>1737</v>
      </c>
      <c r="D171" s="6" t="s">
        <v>1735</v>
      </c>
      <c r="E171" s="56" t="s">
        <v>3770</v>
      </c>
      <c r="F171" s="58" t="s">
        <v>1738</v>
      </c>
    </row>
    <row r="172" spans="2:6">
      <c r="B172" s="19" t="s">
        <v>1739</v>
      </c>
      <c r="C172" s="7" t="s">
        <v>1740</v>
      </c>
      <c r="D172" s="5" t="s">
        <v>1735</v>
      </c>
      <c r="E172" s="56" t="s">
        <v>3770</v>
      </c>
      <c r="F172" s="57" t="s">
        <v>1741</v>
      </c>
    </row>
    <row r="173" spans="2:6">
      <c r="B173" s="20" t="s">
        <v>1742</v>
      </c>
      <c r="C173" s="8" t="s">
        <v>1743</v>
      </c>
      <c r="D173" s="6" t="s">
        <v>1735</v>
      </c>
      <c r="E173" s="56" t="s">
        <v>3770</v>
      </c>
      <c r="F173" s="58" t="s">
        <v>1636</v>
      </c>
    </row>
    <row r="174" spans="2:6">
      <c r="B174" s="19" t="s">
        <v>1744</v>
      </c>
      <c r="C174" s="7" t="s">
        <v>1745</v>
      </c>
      <c r="D174" s="5" t="s">
        <v>1735</v>
      </c>
      <c r="E174" s="56" t="s">
        <v>3770</v>
      </c>
      <c r="F174" s="57" t="s">
        <v>1636</v>
      </c>
    </row>
    <row r="175" spans="2:6">
      <c r="B175" s="30" t="s">
        <v>1746</v>
      </c>
      <c r="C175" s="31" t="s">
        <v>1747</v>
      </c>
      <c r="D175" s="32" t="s">
        <v>1735</v>
      </c>
      <c r="E175" s="56" t="s">
        <v>3770</v>
      </c>
      <c r="F175" s="63" t="s">
        <v>1636</v>
      </c>
    </row>
    <row r="176" spans="2:6">
      <c r="B176" s="35" t="s">
        <v>1775</v>
      </c>
      <c r="C176" s="13" t="s">
        <v>3806</v>
      </c>
      <c r="D176" s="13"/>
      <c r="E176" s="33" t="s">
        <v>3807</v>
      </c>
      <c r="F176" s="64" t="s">
        <v>3808</v>
      </c>
    </row>
    <row r="177" spans="2:6">
      <c r="B177" s="35" t="s">
        <v>1780</v>
      </c>
      <c r="C177" s="13" t="s">
        <v>1781</v>
      </c>
      <c r="D177" s="13"/>
      <c r="E177" s="33" t="s">
        <v>3809</v>
      </c>
      <c r="F177" s="64" t="s">
        <v>3808</v>
      </c>
    </row>
    <row r="178" spans="2:6">
      <c r="B178" s="36" t="s">
        <v>3810</v>
      </c>
      <c r="C178" s="14" t="s">
        <v>3811</v>
      </c>
      <c r="D178" s="14"/>
      <c r="E178" s="33" t="s">
        <v>3812</v>
      </c>
      <c r="F178" s="65" t="s">
        <v>3808</v>
      </c>
    </row>
    <row r="179" spans="2:6">
      <c r="B179" s="52" t="s">
        <v>3813</v>
      </c>
      <c r="C179" s="53" t="s">
        <v>3814</v>
      </c>
      <c r="D179" s="54" t="s">
        <v>1618</v>
      </c>
      <c r="E179" s="34" t="s">
        <v>3770</v>
      </c>
      <c r="F179" s="55"/>
    </row>
    <row r="180" spans="2:6">
      <c r="B180" s="48" t="s">
        <v>3815</v>
      </c>
      <c r="C180" s="49" t="s">
        <v>3816</v>
      </c>
      <c r="D180" s="51" t="s">
        <v>1594</v>
      </c>
      <c r="E180" s="34" t="s">
        <v>3770</v>
      </c>
      <c r="F180" s="50"/>
    </row>
    <row r="181" spans="2:6">
      <c r="B181" s="52" t="s">
        <v>3817</v>
      </c>
      <c r="C181" s="53" t="s">
        <v>3818</v>
      </c>
      <c r="D181" s="54" t="s">
        <v>1594</v>
      </c>
      <c r="E181" s="34" t="s">
        <v>3770</v>
      </c>
      <c r="F181" s="55"/>
    </row>
    <row r="182" spans="2:6">
      <c r="B182" s="22" t="s">
        <v>3819</v>
      </c>
      <c r="C182" t="s">
        <v>3820</v>
      </c>
      <c r="D182" t="s">
        <v>1234</v>
      </c>
      <c r="E182" s="59" t="s">
        <v>3776</v>
      </c>
      <c r="F182" s="21"/>
    </row>
    <row r="183" spans="2:6">
      <c r="B183" s="22" t="s">
        <v>3821</v>
      </c>
      <c r="C183" t="s">
        <v>3822</v>
      </c>
      <c r="D183" t="s">
        <v>1234</v>
      </c>
      <c r="E183" s="59" t="s">
        <v>3776</v>
      </c>
      <c r="F183" s="21"/>
    </row>
    <row r="184" spans="2:6">
      <c r="B184" s="22" t="s">
        <v>3823</v>
      </c>
      <c r="C184" t="s">
        <v>3824</v>
      </c>
      <c r="D184" t="s">
        <v>1234</v>
      </c>
      <c r="E184" s="59" t="s">
        <v>3776</v>
      </c>
      <c r="F184" s="21"/>
    </row>
    <row r="185" spans="2:6">
      <c r="B185" s="22" t="s">
        <v>3825</v>
      </c>
      <c r="C185" t="s">
        <v>3826</v>
      </c>
      <c r="D185" t="s">
        <v>1234</v>
      </c>
      <c r="E185" s="59" t="s">
        <v>3776</v>
      </c>
      <c r="F185" s="21"/>
    </row>
    <row r="186" spans="2:6">
      <c r="B186" s="22" t="s">
        <v>3827</v>
      </c>
      <c r="C186" t="s">
        <v>3828</v>
      </c>
      <c r="D186" t="s">
        <v>1234</v>
      </c>
      <c r="E186" s="59" t="s">
        <v>3776</v>
      </c>
      <c r="F186" s="21"/>
    </row>
    <row r="187" spans="2:6">
      <c r="B187" s="22" t="s">
        <v>3829</v>
      </c>
      <c r="C187" t="s">
        <v>3830</v>
      </c>
      <c r="D187" t="s">
        <v>1234</v>
      </c>
      <c r="E187" s="59" t="s">
        <v>3776</v>
      </c>
      <c r="F187" s="21"/>
    </row>
    <row r="188" spans="2:6">
      <c r="B188" s="22" t="s">
        <v>3831</v>
      </c>
      <c r="C188" t="s">
        <v>3822</v>
      </c>
      <c r="D188" t="s">
        <v>1234</v>
      </c>
      <c r="E188" s="59" t="s">
        <v>3776</v>
      </c>
      <c r="F188" s="21"/>
    </row>
    <row r="189" spans="2:6">
      <c r="B189" s="22" t="s">
        <v>3832</v>
      </c>
      <c r="C189" t="s">
        <v>3824</v>
      </c>
      <c r="D189" t="s">
        <v>1234</v>
      </c>
      <c r="E189" s="59" t="s">
        <v>3776</v>
      </c>
      <c r="F189" s="21"/>
    </row>
    <row r="190" spans="2:6">
      <c r="B190" s="22" t="s">
        <v>3833</v>
      </c>
      <c r="C190" t="s">
        <v>3826</v>
      </c>
      <c r="D190" t="s">
        <v>1234</v>
      </c>
      <c r="E190" s="59" t="s">
        <v>3776</v>
      </c>
      <c r="F190" s="21"/>
    </row>
    <row r="191" spans="2:6">
      <c r="B191" s="22" t="s">
        <v>3834</v>
      </c>
      <c r="C191" t="s">
        <v>3828</v>
      </c>
      <c r="D191" t="s">
        <v>1234</v>
      </c>
      <c r="E191" s="59" t="s">
        <v>3776</v>
      </c>
      <c r="F191" s="21"/>
    </row>
    <row r="192" spans="2:6">
      <c r="B192" s="22" t="s">
        <v>3835</v>
      </c>
      <c r="C192" t="s">
        <v>3830</v>
      </c>
      <c r="D192" t="s">
        <v>1234</v>
      </c>
      <c r="E192" s="59" t="s">
        <v>3776</v>
      </c>
      <c r="F192" s="21"/>
    </row>
    <row r="193" spans="2:6">
      <c r="B193" s="22" t="s">
        <v>1284</v>
      </c>
      <c r="C193" t="s">
        <v>1285</v>
      </c>
      <c r="D193" t="s">
        <v>1234</v>
      </c>
      <c r="E193" s="59" t="s">
        <v>3776</v>
      </c>
      <c r="F193" s="21"/>
    </row>
    <row r="194" spans="2:6">
      <c r="B194" s="22" t="s">
        <v>3836</v>
      </c>
      <c r="C194" t="s">
        <v>3837</v>
      </c>
      <c r="D194" t="s">
        <v>1234</v>
      </c>
      <c r="E194" s="59" t="s">
        <v>3776</v>
      </c>
      <c r="F194" s="21"/>
    </row>
    <row r="195" spans="2:6">
      <c r="B195" s="22" t="s">
        <v>3838</v>
      </c>
      <c r="E195" s="56" t="s">
        <v>3770</v>
      </c>
      <c r="F195" s="21"/>
    </row>
    <row r="196" spans="2:6">
      <c r="B196" s="22" t="s">
        <v>3839</v>
      </c>
      <c r="E196" s="56" t="s">
        <v>3770</v>
      </c>
      <c r="F196" s="21"/>
    </row>
    <row r="197" spans="2:6">
      <c r="B197" s="22" t="s">
        <v>3840</v>
      </c>
      <c r="E197" s="56" t="s">
        <v>3770</v>
      </c>
      <c r="F197" s="21"/>
    </row>
    <row r="198" spans="2:6">
      <c r="B198" s="22" t="s">
        <v>1537</v>
      </c>
      <c r="E198" s="56" t="s">
        <v>3770</v>
      </c>
      <c r="F198" s="21"/>
    </row>
    <row r="199" spans="2:6">
      <c r="B199" s="35" t="s">
        <v>3841</v>
      </c>
      <c r="C199" s="13" t="s">
        <v>3842</v>
      </c>
      <c r="D199" s="13"/>
      <c r="E199" s="33" t="s">
        <v>3807</v>
      </c>
      <c r="F199" s="64" t="s">
        <v>3808</v>
      </c>
    </row>
    <row r="200" spans="2:6">
      <c r="B200" s="22"/>
      <c r="F200" s="21"/>
    </row>
    <row r="201" spans="2:6">
      <c r="B201" s="22"/>
      <c r="F201" s="21"/>
    </row>
    <row r="202" spans="2:6">
      <c r="B202" s="22"/>
      <c r="F202" s="21"/>
    </row>
    <row r="203" spans="2:6">
      <c r="B203" s="22"/>
      <c r="F203" s="21"/>
    </row>
    <row r="204" spans="2:6">
      <c r="B204" s="22"/>
      <c r="F204" s="21"/>
    </row>
    <row r="205" spans="2:6">
      <c r="B205" s="22"/>
      <c r="F205" s="21"/>
    </row>
    <row r="206" spans="2:6">
      <c r="B206" s="22"/>
      <c r="F206" s="21"/>
    </row>
    <row r="207" spans="2:6">
      <c r="B207" s="22"/>
      <c r="F207" s="21"/>
    </row>
    <row r="208" spans="2:6" ht="15" thickBot="1">
      <c r="B208" s="23"/>
      <c r="C208" s="24"/>
      <c r="D208" s="24"/>
      <c r="E208" s="24"/>
      <c r="F208" s="25"/>
    </row>
    <row r="214" spans="2:18">
      <c r="B214" t="s">
        <v>8</v>
      </c>
      <c r="C214" t="s">
        <v>3843</v>
      </c>
      <c r="D214" t="s">
        <v>3844</v>
      </c>
    </row>
    <row r="215" spans="2:18">
      <c r="B215" t="s">
        <v>3845</v>
      </c>
      <c r="H215" t="s">
        <v>8</v>
      </c>
      <c r="I215" t="s">
        <v>3843</v>
      </c>
      <c r="J215" t="s">
        <v>3844</v>
      </c>
      <c r="N215" t="s">
        <v>8</v>
      </c>
      <c r="O215" t="s">
        <v>3843</v>
      </c>
      <c r="P215" t="s">
        <v>3844</v>
      </c>
    </row>
    <row r="216" spans="2:18">
      <c r="H216" t="s">
        <v>3845</v>
      </c>
      <c r="N216" t="s">
        <v>3845</v>
      </c>
    </row>
    <row r="217" spans="2:18">
      <c r="B217" t="s">
        <v>9</v>
      </c>
      <c r="C217" s="9" t="s">
        <v>3846</v>
      </c>
      <c r="D217" t="str">
        <f>"'C:\Kjerag\[Pricing file "&amp;BoQ!N$2&amp;".xlsx]"&amp;C217&amp;"'!$B:$G"</f>
        <v>'C:\Kjerag\[Pricing file v6.xlsx]Price total NOK OneCO'!$B:$G</v>
      </c>
      <c r="F217" t="s">
        <v>3847</v>
      </c>
    </row>
    <row r="218" spans="2:18">
      <c r="B218" t="s">
        <v>3769</v>
      </c>
      <c r="C218" s="9" t="s">
        <v>3848</v>
      </c>
      <c r="D218" t="str">
        <f>"'C:\Kjerag\[Pricing file "&amp;BoQ!N$2&amp;".xlsx]"&amp;C218&amp;"'!$B:$G"</f>
        <v>'C:\Kjerag\[Pricing file v6.xlsx]Price total NOK Oppland Elektro'!$B:$G</v>
      </c>
      <c r="F218" s="12" t="s">
        <v>3849</v>
      </c>
      <c r="H218" t="s">
        <v>9</v>
      </c>
      <c r="I218" s="9" t="s">
        <v>3846</v>
      </c>
      <c r="J218" t="str">
        <f>"'C:\Kjerag\[Pricing file "&amp;BoQ!N2&amp;".xlsx]"&amp;I218&amp;"'!$B:$G"</f>
        <v>'C:\Kjerag\[Pricing file v6.xlsx]Price total NOK OneCO'!$B:$G</v>
      </c>
      <c r="M218" t="s">
        <v>9</v>
      </c>
      <c r="N218" s="11" t="s">
        <v>3850</v>
      </c>
      <c r="O218" s="12" t="str">
        <f>"'Price total NOK OneCO'!$B:$G"</f>
        <v>'Price total NOK OneCO'!$B:$G</v>
      </c>
    </row>
    <row r="219" spans="2:18">
      <c r="B219" t="s">
        <v>3773</v>
      </c>
      <c r="C219" s="9" t="s">
        <v>3851</v>
      </c>
      <c r="D219" t="str">
        <f>"'C:\Kjerag\[Pricing file "&amp;BoQ!N$2&amp;".xlsx]"&amp;C219&amp;"'!$B:$G"</f>
        <v>'C:\Kjerag\[Pricing file v6.xlsx]Price total NOK Site Service'!$B:$G</v>
      </c>
      <c r="F219" t="s">
        <v>3852</v>
      </c>
      <c r="H219" t="s">
        <v>3769</v>
      </c>
      <c r="I219" s="9" t="s">
        <v>3853</v>
      </c>
      <c r="J219" t="str">
        <f>"'C:\Kjerag\[Pricing file "&amp;BoQ!N2&amp;".xlsx]"&amp;I219&amp;"'!$B:$G"</f>
        <v>'C:\Kjerag\[Pricing file v6.xlsx]Price total NOK Oppland Electro'!$B:$G</v>
      </c>
      <c r="M219" t="s">
        <v>3769</v>
      </c>
      <c r="N219" s="11" t="s">
        <v>3854</v>
      </c>
      <c r="O219" t="str">
        <f>"'Price total NOK Oppland Electro'!$B:$G"</f>
        <v>'Price total NOK Oppland Electro'!$B:$G</v>
      </c>
    </row>
    <row r="220" spans="2:18">
      <c r="B220" t="s">
        <v>3763</v>
      </c>
      <c r="C220" s="9" t="s">
        <v>3855</v>
      </c>
      <c r="D220" t="str">
        <f>"'C:\Kjerag\[Pricing file "&amp;BoQ!N$2&amp;".xlsx]"&amp;C220&amp;"'!$B:$G"</f>
        <v>'C:\Kjerag\[Pricing file v6.xlsx]Price total NOK Netel'!$B:$G</v>
      </c>
      <c r="F220" t="s">
        <v>3856</v>
      </c>
      <c r="H220" t="s">
        <v>3773</v>
      </c>
      <c r="I220" s="9" t="s">
        <v>3851</v>
      </c>
      <c r="J220" t="str">
        <f>"'C:\Kjerag\[Pricing file "&amp;BoQ!N2&amp;".xlsx]"&amp;I220&amp;"'!$B:$G"</f>
        <v>'C:\Kjerag\[Pricing file v6.xlsx]Price total NOK Site Service'!$B:$G</v>
      </c>
      <c r="M220" t="s">
        <v>3773</v>
      </c>
      <c r="N220" s="11" t="s">
        <v>3857</v>
      </c>
      <c r="O220" t="str">
        <f>"'Price total NOK Site Service'!$B:$G"</f>
        <v>'Price total NOK Site Service'!$B:$G</v>
      </c>
    </row>
    <row r="221" spans="2:18">
      <c r="B221" t="s">
        <v>3775</v>
      </c>
      <c r="C221" s="9" t="s">
        <v>3858</v>
      </c>
      <c r="D221" t="str">
        <f>"'C:\Kjerag\[Pricing file "&amp;BoQ!N$2&amp;".xlsx]"&amp;C221&amp;"'!$B:$G"</f>
        <v>'C:\Kjerag\[Pricing file v6.xlsx]Price total NOK SiteCom'!$B:$G</v>
      </c>
      <c r="F221" s="12" t="s">
        <v>3859</v>
      </c>
      <c r="H221" t="s">
        <v>3763</v>
      </c>
      <c r="I221" s="9" t="s">
        <v>3855</v>
      </c>
      <c r="J221" t="str">
        <f>"'C:\Kjerag\[Pricing file "&amp;BoQ!N2&amp;".xlsx]"&amp;I221&amp;"'!$B:$G"</f>
        <v>'C:\Kjerag\[Pricing file v6.xlsx]Price total NOK Netel'!$B:$G</v>
      </c>
      <c r="M221" t="s">
        <v>3763</v>
      </c>
      <c r="N221" s="11" t="s">
        <v>3860</v>
      </c>
      <c r="O221" t="str">
        <f>"'Price total NOK Netel'!$B:$G"</f>
        <v>'Price total NOK Netel'!$B:$G</v>
      </c>
    </row>
    <row r="222" spans="2:18">
      <c r="H222" t="s">
        <v>3861</v>
      </c>
      <c r="I222" t="s">
        <v>3862</v>
      </c>
      <c r="J222" t="str">
        <f>"'C:\Kjerag\[Pricing file "&amp;BoQ!N2&amp;".xlsx]"&amp;I222&amp;"'!$B:$G"</f>
        <v>'C:\Kjerag\[Pricing file v6.xlsx]Price total NOK PartnerX'!$B:$G</v>
      </c>
      <c r="M222" t="s">
        <v>3861</v>
      </c>
      <c r="N222" s="11" t="s">
        <v>3863</v>
      </c>
      <c r="O222" s="10" t="str">
        <f>"'Price total NOK PartnerX'!$B:$G"</f>
        <v>'Price total NOK PartnerX'!$B:$G</v>
      </c>
      <c r="P222" s="10"/>
      <c r="Q222" s="10"/>
      <c r="R222" s="10"/>
    </row>
    <row r="223" spans="2:18">
      <c r="F223" t="s">
        <v>3864</v>
      </c>
      <c r="O223" s="85" t="s">
        <v>3865</v>
      </c>
      <c r="P223" s="10"/>
      <c r="Q223" s="10"/>
      <c r="R223" s="10"/>
    </row>
    <row r="224" spans="2:18">
      <c r="F224" t="s">
        <v>3866</v>
      </c>
    </row>
    <row r="225" spans="6:6">
      <c r="F225" t="s">
        <v>3867</v>
      </c>
    </row>
    <row r="226" spans="6:6">
      <c r="F226" t="s">
        <v>3868</v>
      </c>
    </row>
    <row r="227" spans="6:6">
      <c r="F227" t="s">
        <v>3869</v>
      </c>
    </row>
  </sheetData>
  <sheetProtection algorithmName="SHA-512" hashValue="3TgzQQzDL3nxz0fe0ozqTSdpK61wtZ3LbSfSqc17z4x4JrL8N5ZYf25f0jPdu89deNwemeVapKs/huCi+xb57g==" saltValue="pY4cc5LTxtstaVrB73LFuw==" spinCount="100000" sheet="1" selectLockedCells="1" selectUnlockedCells="1"/>
  <autoFilter ref="B4:F209" xr:uid="{D0FADA11-60E0-4C34-9E81-E73FF7383FBF}"/>
  <phoneticPr fontId="6" type="noConversion"/>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20002E66CADB646B3C947952C676569" ma:contentTypeVersion="15" ma:contentTypeDescription="Opprett et nytt dokument." ma:contentTypeScope="" ma:versionID="b7552fffbfa4419a72cb7ace3484ccb0">
  <xsd:schema xmlns:xsd="http://www.w3.org/2001/XMLSchema" xmlns:xs="http://www.w3.org/2001/XMLSchema" xmlns:p="http://schemas.microsoft.com/office/2006/metadata/properties" xmlns:ns2="e8eb27ed-bdab-40c3-9514-40f144f06143" xmlns:ns3="cb6321af-6f0a-469a-a23f-040ca5f26c9d" targetNamespace="http://schemas.microsoft.com/office/2006/metadata/properties" ma:root="true" ma:fieldsID="2a260be85f8fea7510d406a099f48750" ns2:_="" ns3:_="">
    <xsd:import namespace="e8eb27ed-bdab-40c3-9514-40f144f06143"/>
    <xsd:import namespace="cb6321af-6f0a-469a-a23f-040ca5f26c9d"/>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eb27ed-bdab-40c3-9514-40f144f0614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Bildemerkelapper" ma:readOnly="false" ma:fieldId="{5cf76f15-5ced-4ddc-b409-7134ff3c332f}" ma:taxonomyMulti="true" ma:sspId="f2c60a65-0f35-40cc-b567-0c08110e620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321af-6f0a-469a-a23f-040ca5f26c9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17c3432-e5d0-4664-9a05-66705cb4dcd5}" ma:internalName="TaxCatchAll" ma:showField="CatchAllData" ma:web="cb6321af-6f0a-469a-a23f-040ca5f26c9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lings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cb6321af-6f0a-469a-a23f-040ca5f26c9d" xsi:nil="true"/>
    <lcf76f155ced4ddcb4097134ff3c332f xmlns="e8eb27ed-bdab-40c3-9514-40f144f06143">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0BB764-7D7A-45C6-ACA5-9D682747F66A}"/>
</file>

<file path=customXml/itemProps2.xml><?xml version="1.0" encoding="utf-8"?>
<ds:datastoreItem xmlns:ds="http://schemas.openxmlformats.org/officeDocument/2006/customXml" ds:itemID="{F2E66413-3C83-43B8-B207-97951947E92C}"/>
</file>

<file path=customXml/itemProps3.xml><?xml version="1.0" encoding="utf-8"?>
<ds:datastoreItem xmlns:ds="http://schemas.openxmlformats.org/officeDocument/2006/customXml" ds:itemID="{CBA5835A-AB7F-4A24-9F4A-55A55178E9C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Grzegorz Pudelek</dc:creator>
  <cp:keywords/>
  <dc:description/>
  <cp:lastModifiedBy>Jens Johan Stuberg</cp:lastModifiedBy>
  <cp:revision/>
  <dcterms:created xsi:type="dcterms:W3CDTF">2022-10-12T15:57:00Z</dcterms:created>
  <dcterms:modified xsi:type="dcterms:W3CDTF">2026-02-12T13:08:17Z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0x010100320002E66CADB646B3C947952C676569</vt:lpwstr>
  </property>
  <property fmtid="{D5CDD505-2E9C-101B-9397-08002B2CF9AE}" pid="3" name="MediaServiceImageTags">
    <vt:lpwstr/>
  </property>
  <property fmtid="{D5CDD505-2E9C-101B-9397-08002B2CF9AE}" pid="4" name="MSIP_Label_cae87217-062b-46ff-9406-ad4e4dcaa314_Enabled">
    <vt:lpwstr>True</vt:lpwstr>
  </property>
  <property fmtid="{D5CDD505-2E9C-101B-9397-08002B2CF9AE}" pid="5" name="MSIP_Label_cae87217-062b-46ff-9406-ad4e4dcaa314_SiteId">
    <vt:lpwstr>9b48f514-e711-4c14-b5ff-79ea9f4bc8eb</vt:lpwstr>
  </property>
  <property fmtid="{D5CDD505-2E9C-101B-9397-08002B2CF9AE}" pid="6" name="MSIP_Label_cae87217-062b-46ff-9406-ad4e4dcaa314_SetDate">
    <vt:lpwstr>2023-05-31T09:05:57Z</vt:lpwstr>
  </property>
  <property fmtid="{D5CDD505-2E9C-101B-9397-08002B2CF9AE}" pid="7" name="MSIP_Label_cae87217-062b-46ff-9406-ad4e4dcaa314_Name">
    <vt:lpwstr>ICE Internal Information</vt:lpwstr>
  </property>
  <property fmtid="{D5CDD505-2E9C-101B-9397-08002B2CF9AE}" pid="8" name="MSIP_Label_cae87217-062b-46ff-9406-ad4e4dcaa314_Extended_MSFT_Method">
    <vt:lpwstr>Privileged</vt:lpwstr>
  </property>
</Properties>
</file>