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++OneCo Networks\++ I C E\+TSSR\+++2026 review\11 MOR07876 Nørvevika 78\"/>
    </mc:Choice>
  </mc:AlternateContent>
  <xr:revisionPtr revIDLastSave="0" documentId="13_ncr:1_{9B6E7751-762B-4DC7-BDE8-CCB0308CB12F}" xr6:coauthVersionLast="47" xr6:coauthVersionMax="47" xr10:uidLastSave="{00000000-0000-0000-0000-000000000000}"/>
  <workbookProtection workbookAlgorithmName="SHA-512" workbookHashValue="AkY3sbiIXUlXrCxG3yuLinvyVFbsbGMUR1+0vR86bp4cbujkHITFsljfx0hqjwmCfKA2s8tDFvXsZckcCnMuXg==" workbookSaltValue="Xc0rC5lOwZXRlSt9nKgmwQ==" workbookSpinCount="100000" lockStructure="1"/>
  <bookViews>
    <workbookView xWindow="-120" yWindow="-120" windowWidth="38640" windowHeight="21120" xr2:uid="{89F19986-812B-4592-B080-8251BA6ABE32}"/>
  </bookViews>
  <sheets>
    <sheet name="Effektkalkulator ice" sheetId="6" r:id="rId1"/>
    <sheet name="Beregning vern LR" sheetId="8" state="hidden" r:id="rId2"/>
    <sheet name="Beregning AC vern" sheetId="9" state="hidden" r:id="rId3"/>
    <sheet name="Kabellengder AC - samlet" sheetId="44" state="hidden" r:id="rId4"/>
    <sheet name="Kabellengder AC" sheetId="11" state="hidden" r:id="rId5"/>
    <sheet name="Kabellengder (rå-data)" sheetId="13" state="hidden" r:id="rId6"/>
    <sheet name="Beregning kabler" sheetId="7" state="hidden" r:id="rId7"/>
    <sheet name="Batteriutregninger" sheetId="45" state="hidden" r:id="rId8"/>
  </sheets>
  <definedNames>
    <definedName name="_xlnm._FilterDatabase" localSheetId="3" hidden="1">'Kabellengder AC - samlet'!$A$38:$R$38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'Effektkalkulator ice'!$C$166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7" l="1"/>
  <c r="E148" i="6"/>
  <c r="B160" i="6" l="1"/>
  <c r="B137" i="6"/>
  <c r="D23" i="6" l="1"/>
  <c r="C23" i="6"/>
  <c r="C24" i="6" l="1"/>
  <c r="E22" i="6"/>
  <c r="E25" i="6"/>
  <c r="G19" i="8"/>
  <c r="E23" i="6" l="1"/>
  <c r="E24" i="6" s="1"/>
  <c r="D17" i="45"/>
  <c r="D24" i="6"/>
  <c r="E17" i="8"/>
  <c r="E18" i="8" s="1"/>
  <c r="H23" i="7" l="1"/>
  <c r="I23" i="7" s="1"/>
  <c r="C85" i="6" s="1"/>
  <c r="H9" i="7"/>
  <c r="I9" i="7" s="1"/>
  <c r="H10" i="7"/>
  <c r="H22" i="7"/>
  <c r="I22" i="7" s="1"/>
  <c r="C84" i="6" s="1"/>
  <c r="H21" i="7"/>
  <c r="I21" i="7" s="1"/>
  <c r="C83" i="6" s="1"/>
  <c r="H20" i="7"/>
  <c r="I20" i="7" s="1"/>
  <c r="C82" i="6" s="1"/>
  <c r="H14" i="7"/>
  <c r="B113" i="6" l="1"/>
  <c r="B112" i="6"/>
  <c r="J20" i="7"/>
  <c r="D82" i="6" s="1"/>
  <c r="B115" i="6"/>
  <c r="B114" i="6"/>
  <c r="H4" i="7"/>
  <c r="H3" i="7"/>
  <c r="H2" i="7"/>
  <c r="G111" i="6"/>
  <c r="C166" i="6"/>
  <c r="C165" i="6"/>
  <c r="E165" i="6"/>
  <c r="I10" i="7"/>
  <c r="H11" i="7"/>
  <c r="I11" i="7" s="1"/>
  <c r="H12" i="7"/>
  <c r="I12" i="7" s="1"/>
  <c r="H13" i="7"/>
  <c r="I13" i="7" s="1"/>
  <c r="I14" i="7"/>
  <c r="H15" i="7"/>
  <c r="I15" i="7" s="1"/>
  <c r="H16" i="7"/>
  <c r="I16" i="7" s="1"/>
  <c r="H17" i="7"/>
  <c r="I17" i="7" s="1"/>
  <c r="C79" i="6" s="1"/>
  <c r="H18" i="7"/>
  <c r="I18" i="7" s="1"/>
  <c r="H19" i="7"/>
  <c r="H8" i="7"/>
  <c r="I8" i="7" s="1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H5" i="7"/>
  <c r="B165" i="6"/>
  <c r="B153" i="6"/>
  <c r="V17" i="9"/>
  <c r="Y17" i="9"/>
  <c r="D112" i="6" l="1"/>
  <c r="E82" i="6"/>
  <c r="C81" i="6"/>
  <c r="B111" i="6"/>
  <c r="D114" i="6"/>
  <c r="C113" i="6"/>
  <c r="D115" i="6"/>
  <c r="D113" i="6"/>
  <c r="C115" i="6"/>
  <c r="C114" i="6"/>
  <c r="C112" i="6"/>
  <c r="G23" i="7"/>
  <c r="A85" i="6" s="1"/>
  <c r="G20" i="7"/>
  <c r="A82" i="6" s="1"/>
  <c r="G21" i="7"/>
  <c r="A83" i="6" s="1"/>
  <c r="G22" i="7"/>
  <c r="A84" i="6" s="1"/>
  <c r="J17" i="7"/>
  <c r="K31" i="7"/>
  <c r="L2" i="7" s="1"/>
  <c r="O2" i="7"/>
  <c r="H31" i="7"/>
  <c r="N31" i="7"/>
  <c r="M2" i="7" s="1"/>
  <c r="G45" i="7"/>
  <c r="Q31" i="7"/>
  <c r="N2" i="7" s="1"/>
  <c r="G47" i="7"/>
  <c r="G46" i="7"/>
  <c r="J11" i="7"/>
  <c r="J8" i="7"/>
  <c r="Y2" i="9"/>
  <c r="Y3" i="9" s="1"/>
  <c r="E3" i="44" s="1"/>
  <c r="I39" i="44"/>
  <c r="J3" i="44"/>
  <c r="J4" i="44"/>
  <c r="B21" i="44" s="1"/>
  <c r="F4" i="44"/>
  <c r="F6" i="44"/>
  <c r="J2" i="44"/>
  <c r="F5" i="44"/>
  <c r="J5" i="44"/>
  <c r="K2" i="44"/>
  <c r="M2" i="44"/>
  <c r="K3" i="44"/>
  <c r="K4" i="44"/>
  <c r="K5" i="44"/>
  <c r="C2" i="44"/>
  <c r="A3" i="44"/>
  <c r="A4" i="44"/>
  <c r="A5" i="44"/>
  <c r="K1" i="44"/>
  <c r="A28" i="44" s="1"/>
  <c r="A2" i="44"/>
  <c r="F8" i="44"/>
  <c r="F7" i="44"/>
  <c r="A1" i="44"/>
  <c r="A18" i="44" s="1"/>
  <c r="F3" i="44"/>
  <c r="U2" i="9"/>
  <c r="T2" i="9"/>
  <c r="B149" i="6"/>
  <c r="B156" i="6"/>
  <c r="G165" i="6"/>
  <c r="B142" i="6"/>
  <c r="S7" i="9"/>
  <c r="J7" i="44" s="1"/>
  <c r="S5" i="9"/>
  <c r="S3" i="9"/>
  <c r="S8" i="9"/>
  <c r="J8" i="44" s="1"/>
  <c r="F20" i="44" s="1"/>
  <c r="Q8" i="9"/>
  <c r="Q7" i="9"/>
  <c r="Y4" i="9"/>
  <c r="M3" i="44" s="1"/>
  <c r="AC11" i="9"/>
  <c r="Y11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25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12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25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12" i="9"/>
  <c r="Y22" i="9"/>
  <c r="AC35" i="9" s="1"/>
  <c r="V22" i="9"/>
  <c r="AC22" i="9" s="1"/>
  <c r="Y24" i="9"/>
  <c r="AC37" i="9" s="1"/>
  <c r="Y23" i="9"/>
  <c r="AC36" i="9" s="1"/>
  <c r="Y21" i="9"/>
  <c r="AC34" i="9" s="1"/>
  <c r="Y20" i="9"/>
  <c r="AC33" i="9" s="1"/>
  <c r="V24" i="9"/>
  <c r="AC24" i="9" s="1"/>
  <c r="V23" i="9"/>
  <c r="AC23" i="9" s="1"/>
  <c r="V21" i="9"/>
  <c r="AC21" i="9" s="1"/>
  <c r="V20" i="9"/>
  <c r="AC20" i="9" s="1"/>
  <c r="Y19" i="9"/>
  <c r="AC32" i="9" s="1"/>
  <c r="Q57" i="9"/>
  <c r="Q58" i="9"/>
  <c r="Q59" i="9"/>
  <c r="Q60" i="9"/>
  <c r="Q61" i="9"/>
  <c r="Q62" i="9"/>
  <c r="Q56" i="9"/>
  <c r="Q49" i="9"/>
  <c r="Q50" i="9"/>
  <c r="Q51" i="9"/>
  <c r="Q52" i="9"/>
  <c r="Q53" i="9"/>
  <c r="Q54" i="9"/>
  <c r="Q55" i="9"/>
  <c r="Q48" i="9"/>
  <c r="D79" i="6" l="1"/>
  <c r="I34" i="7"/>
  <c r="K3" i="7" s="1"/>
  <c r="K2" i="7"/>
  <c r="M4" i="44"/>
  <c r="C4" i="44"/>
  <c r="B166" i="6"/>
  <c r="D26" i="44"/>
  <c r="B26" i="44"/>
  <c r="D23" i="44"/>
  <c r="B25" i="44"/>
  <c r="B23" i="44"/>
  <c r="D25" i="44"/>
  <c r="D22" i="44"/>
  <c r="B22" i="44"/>
  <c r="E22" i="44"/>
  <c r="E26" i="44"/>
  <c r="E23" i="44"/>
  <c r="E25" i="44"/>
  <c r="A20" i="44"/>
  <c r="A25" i="44"/>
  <c r="A23" i="44"/>
  <c r="A22" i="44"/>
  <c r="A26" i="44"/>
  <c r="D20" i="44" a="1"/>
  <c r="D20" i="44" s="1"/>
  <c r="D24" i="44"/>
  <c r="D21" i="44"/>
  <c r="E24" i="44"/>
  <c r="E21" i="44"/>
  <c r="E20" i="44"/>
  <c r="A24" i="44"/>
  <c r="B20" i="44"/>
  <c r="A21" i="44"/>
  <c r="V49" i="9"/>
  <c r="B24" i="44"/>
  <c r="C3" i="44"/>
  <c r="S6" i="9"/>
  <c r="W35" i="9" s="1"/>
  <c r="S4" i="9"/>
  <c r="W34" i="9" s="1"/>
  <c r="V34" i="9"/>
  <c r="V35" i="9"/>
  <c r="Y5" i="9"/>
  <c r="V50" i="9"/>
  <c r="U1" i="9"/>
  <c r="Y6" i="9" s="1" a="1"/>
  <c r="Y6" i="9" s="1"/>
  <c r="B127" i="6"/>
  <c r="A158" i="6" s="1"/>
  <c r="R29" i="9"/>
  <c r="R28" i="9"/>
  <c r="R27" i="9"/>
  <c r="V19" i="9"/>
  <c r="AC19" i="9" s="1"/>
  <c r="Q42" i="9"/>
  <c r="Q43" i="9"/>
  <c r="Q41" i="9"/>
  <c r="Q38" i="9"/>
  <c r="Q39" i="9"/>
  <c r="Q40" i="9"/>
  <c r="Q37" i="9"/>
  <c r="Q34" i="9"/>
  <c r="Q35" i="9"/>
  <c r="Q36" i="9"/>
  <c r="Q33" i="9"/>
  <c r="I48" i="44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I306" i="44"/>
  <c r="I305" i="44"/>
  <c r="I304" i="44"/>
  <c r="I303" i="44"/>
  <c r="I302" i="44"/>
  <c r="I301" i="44"/>
  <c r="I300" i="44"/>
  <c r="I299" i="44"/>
  <c r="I230" i="44"/>
  <c r="I298" i="44"/>
  <c r="I229" i="44"/>
  <c r="I297" i="44"/>
  <c r="I228" i="44"/>
  <c r="I296" i="44"/>
  <c r="I227" i="44"/>
  <c r="I295" i="44"/>
  <c r="I226" i="44"/>
  <c r="I294" i="44"/>
  <c r="I225" i="44"/>
  <c r="I101" i="44"/>
  <c r="I293" i="44"/>
  <c r="I224" i="44"/>
  <c r="I100" i="44"/>
  <c r="I292" i="44"/>
  <c r="I223" i="44"/>
  <c r="I99" i="44"/>
  <c r="I291" i="44"/>
  <c r="I222" i="44"/>
  <c r="I98" i="44"/>
  <c r="I290" i="44"/>
  <c r="I221" i="44"/>
  <c r="I161" i="44"/>
  <c r="I97" i="44"/>
  <c r="I289" i="44"/>
  <c r="I220" i="44"/>
  <c r="I160" i="44"/>
  <c r="I96" i="44"/>
  <c r="I288" i="44"/>
  <c r="I219" i="44"/>
  <c r="I159" i="44"/>
  <c r="I95" i="44"/>
  <c r="I287" i="44"/>
  <c r="I218" i="44"/>
  <c r="I158" i="44"/>
  <c r="I94" i="44"/>
  <c r="I286" i="44"/>
  <c r="I217" i="44"/>
  <c r="I157" i="44"/>
  <c r="I93" i="44"/>
  <c r="I285" i="44"/>
  <c r="I216" i="44"/>
  <c r="I156" i="44"/>
  <c r="I92" i="44"/>
  <c r="I284" i="44"/>
  <c r="I215" i="44"/>
  <c r="I155" i="44"/>
  <c r="I91" i="44"/>
  <c r="I283" i="44"/>
  <c r="I214" i="44"/>
  <c r="I154" i="44"/>
  <c r="I90" i="44"/>
  <c r="I282" i="44"/>
  <c r="I213" i="44"/>
  <c r="I153" i="44"/>
  <c r="I89" i="44"/>
  <c r="I281" i="44"/>
  <c r="I212" i="44"/>
  <c r="I152" i="44"/>
  <c r="I88" i="44"/>
  <c r="I280" i="44"/>
  <c r="I211" i="44"/>
  <c r="I151" i="44"/>
  <c r="I87" i="44"/>
  <c r="I279" i="44"/>
  <c r="I210" i="44"/>
  <c r="I150" i="44"/>
  <c r="I86" i="44"/>
  <c r="I278" i="44"/>
  <c r="I209" i="44"/>
  <c r="I149" i="44"/>
  <c r="I85" i="44"/>
  <c r="I277" i="44"/>
  <c r="I208" i="44"/>
  <c r="I148" i="44"/>
  <c r="I84" i="44"/>
  <c r="I276" i="44"/>
  <c r="I207" i="44"/>
  <c r="I147" i="44"/>
  <c r="I83" i="44"/>
  <c r="I275" i="44"/>
  <c r="I206" i="44"/>
  <c r="I146" i="44"/>
  <c r="I82" i="44"/>
  <c r="I274" i="44"/>
  <c r="I205" i="44"/>
  <c r="I145" i="44"/>
  <c r="I81" i="44"/>
  <c r="I273" i="44"/>
  <c r="I204" i="44"/>
  <c r="I144" i="44"/>
  <c r="I80" i="44"/>
  <c r="I272" i="44"/>
  <c r="I203" i="44"/>
  <c r="I143" i="44"/>
  <c r="I79" i="44"/>
  <c r="I271" i="44"/>
  <c r="I202" i="44"/>
  <c r="I142" i="44"/>
  <c r="I78" i="44"/>
  <c r="I270" i="44"/>
  <c r="I201" i="44"/>
  <c r="I141" i="44"/>
  <c r="I77" i="44"/>
  <c r="I269" i="44"/>
  <c r="I200" i="44"/>
  <c r="I140" i="44"/>
  <c r="I76" i="44"/>
  <c r="I268" i="44"/>
  <c r="I199" i="44"/>
  <c r="I139" i="44"/>
  <c r="I75" i="44"/>
  <c r="I267" i="44"/>
  <c r="I198" i="44"/>
  <c r="I138" i="44"/>
  <c r="I74" i="44"/>
  <c r="I266" i="44"/>
  <c r="I197" i="44"/>
  <c r="I137" i="44"/>
  <c r="I73" i="44"/>
  <c r="I265" i="44"/>
  <c r="I196" i="44"/>
  <c r="I136" i="44"/>
  <c r="I72" i="44"/>
  <c r="I264" i="44"/>
  <c r="I195" i="44"/>
  <c r="I135" i="44"/>
  <c r="I71" i="44"/>
  <c r="I263" i="44"/>
  <c r="I194" i="44"/>
  <c r="I134" i="44"/>
  <c r="I70" i="44"/>
  <c r="I262" i="44"/>
  <c r="I193" i="44"/>
  <c r="I133" i="44"/>
  <c r="I69" i="44"/>
  <c r="I261" i="44"/>
  <c r="I192" i="44"/>
  <c r="I132" i="44"/>
  <c r="I68" i="44"/>
  <c r="I260" i="44"/>
  <c r="I191" i="44"/>
  <c r="I131" i="44"/>
  <c r="I67" i="44"/>
  <c r="I259" i="44"/>
  <c r="I190" i="44"/>
  <c r="I130" i="44"/>
  <c r="I66" i="44"/>
  <c r="I258" i="44"/>
  <c r="I189" i="44"/>
  <c r="I129" i="44"/>
  <c r="I65" i="44"/>
  <c r="I257" i="44"/>
  <c r="I188" i="44"/>
  <c r="I128" i="44"/>
  <c r="I64" i="44"/>
  <c r="I256" i="44"/>
  <c r="I187" i="44"/>
  <c r="I127" i="44"/>
  <c r="I63" i="44"/>
  <c r="I356" i="44"/>
  <c r="I331" i="44"/>
  <c r="I255" i="44"/>
  <c r="I186" i="44"/>
  <c r="I126" i="44"/>
  <c r="I62" i="44"/>
  <c r="I355" i="44"/>
  <c r="I330" i="44"/>
  <c r="I254" i="44"/>
  <c r="I185" i="44"/>
  <c r="I125" i="44"/>
  <c r="I61" i="44"/>
  <c r="I354" i="44"/>
  <c r="I329" i="44"/>
  <c r="I253" i="44"/>
  <c r="I184" i="44"/>
  <c r="I124" i="44"/>
  <c r="I60" i="44"/>
  <c r="I353" i="44"/>
  <c r="I328" i="44"/>
  <c r="I252" i="44"/>
  <c r="I183" i="44"/>
  <c r="I123" i="44"/>
  <c r="I59" i="44"/>
  <c r="I352" i="44"/>
  <c r="I327" i="44"/>
  <c r="I251" i="44"/>
  <c r="I182" i="44"/>
  <c r="I122" i="44"/>
  <c r="I58" i="44"/>
  <c r="I351" i="44"/>
  <c r="I326" i="44"/>
  <c r="I250" i="44"/>
  <c r="I181" i="44"/>
  <c r="I121" i="44"/>
  <c r="I57" i="44"/>
  <c r="I350" i="44"/>
  <c r="I325" i="44"/>
  <c r="I249" i="44"/>
  <c r="I180" i="44"/>
  <c r="I120" i="44"/>
  <c r="I56" i="44"/>
  <c r="I349" i="44"/>
  <c r="I324" i="44"/>
  <c r="I248" i="44"/>
  <c r="I179" i="44"/>
  <c r="I119" i="44"/>
  <c r="I55" i="44"/>
  <c r="I348" i="44"/>
  <c r="I323" i="44"/>
  <c r="I247" i="44"/>
  <c r="I178" i="44"/>
  <c r="I118" i="44"/>
  <c r="I54" i="44"/>
  <c r="I347" i="44"/>
  <c r="I322" i="44"/>
  <c r="I246" i="44"/>
  <c r="I177" i="44"/>
  <c r="I117" i="44"/>
  <c r="I53" i="44"/>
  <c r="I346" i="44"/>
  <c r="I321" i="44"/>
  <c r="I245" i="44"/>
  <c r="I176" i="44"/>
  <c r="I116" i="44"/>
  <c r="I52" i="44"/>
  <c r="I345" i="44"/>
  <c r="I320" i="44"/>
  <c r="I244" i="44"/>
  <c r="I175" i="44"/>
  <c r="I115" i="44"/>
  <c r="I51" i="44"/>
  <c r="I344" i="44"/>
  <c r="I319" i="44"/>
  <c r="I243" i="44"/>
  <c r="I174" i="44"/>
  <c r="I114" i="44"/>
  <c r="I50" i="44"/>
  <c r="I343" i="44"/>
  <c r="I318" i="44"/>
  <c r="I242" i="44"/>
  <c r="I173" i="44"/>
  <c r="I113" i="44"/>
  <c r="I49" i="44"/>
  <c r="I342" i="44"/>
  <c r="I317" i="44"/>
  <c r="I241" i="44"/>
  <c r="I172" i="44"/>
  <c r="I112" i="44"/>
  <c r="I341" i="44"/>
  <c r="I316" i="44"/>
  <c r="I240" i="44"/>
  <c r="I171" i="44"/>
  <c r="I111" i="44"/>
  <c r="I47" i="44"/>
  <c r="I340" i="44"/>
  <c r="I315" i="44"/>
  <c r="I239" i="44"/>
  <c r="I170" i="44"/>
  <c r="I110" i="44"/>
  <c r="I46" i="44"/>
  <c r="I339" i="44"/>
  <c r="I314" i="44"/>
  <c r="I238" i="44"/>
  <c r="I169" i="44"/>
  <c r="I109" i="44"/>
  <c r="I45" i="44"/>
  <c r="I338" i="44"/>
  <c r="I313" i="44"/>
  <c r="I237" i="44"/>
  <c r="I168" i="44"/>
  <c r="I108" i="44"/>
  <c r="I44" i="44"/>
  <c r="I337" i="44"/>
  <c r="I312" i="44"/>
  <c r="I236" i="44"/>
  <c r="I167" i="44"/>
  <c r="I107" i="44"/>
  <c r="I43" i="44"/>
  <c r="I336" i="44"/>
  <c r="I311" i="44"/>
  <c r="I235" i="44"/>
  <c r="I166" i="44"/>
  <c r="I106" i="44"/>
  <c r="I42" i="44"/>
  <c r="I335" i="44"/>
  <c r="I310" i="44"/>
  <c r="I234" i="44"/>
  <c r="I165" i="44"/>
  <c r="I105" i="44"/>
  <c r="I41" i="44"/>
  <c r="I334" i="44"/>
  <c r="I309" i="44"/>
  <c r="I233" i="44"/>
  <c r="I164" i="44"/>
  <c r="I104" i="44"/>
  <c r="I40" i="44"/>
  <c r="I333" i="44"/>
  <c r="I308" i="44"/>
  <c r="I232" i="44"/>
  <c r="I163" i="44"/>
  <c r="I103" i="44"/>
  <c r="Y13" i="9"/>
  <c r="AC26" i="9" s="1"/>
  <c r="Y12" i="9"/>
  <c r="AC25" i="9" s="1"/>
  <c r="S12" i="9"/>
  <c r="Y14" i="9"/>
  <c r="AC27" i="9" s="1"/>
  <c r="Y15" i="9"/>
  <c r="AC28" i="9" s="1"/>
  <c r="Y16" i="9"/>
  <c r="AC29" i="9" s="1"/>
  <c r="AC30" i="9"/>
  <c r="Y18" i="9"/>
  <c r="AC31" i="9" s="1"/>
  <c r="V12" i="9"/>
  <c r="AC12" i="9" s="1"/>
  <c r="V11" i="9"/>
  <c r="S11" i="9"/>
  <c r="V13" i="9"/>
  <c r="AC13" i="9" s="1"/>
  <c r="V14" i="9"/>
  <c r="AC14" i="9" s="1"/>
  <c r="V15" i="9"/>
  <c r="AC15" i="9" s="1"/>
  <c r="V16" i="9"/>
  <c r="AC16" i="9" s="1"/>
  <c r="AC17" i="9"/>
  <c r="V18" i="9"/>
  <c r="AC18" i="9" s="1"/>
  <c r="S13" i="9"/>
  <c r="S14" i="9"/>
  <c r="S15" i="9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C109" i="6" l="1"/>
  <c r="E79" i="6"/>
  <c r="C111" i="6"/>
  <c r="L34" i="7"/>
  <c r="L3" i="7" s="1"/>
  <c r="J37" i="7"/>
  <c r="K4" i="7" s="1"/>
  <c r="K5" i="7" s="1"/>
  <c r="R34" i="9"/>
  <c r="S34" i="9" s="1"/>
  <c r="Y7" i="9"/>
  <c r="I20" i="44"/>
  <c r="G20" i="44"/>
  <c r="W50" i="9"/>
  <c r="N3" i="44"/>
  <c r="W49" i="9"/>
  <c r="R60" i="9"/>
  <c r="R61" i="9"/>
  <c r="R57" i="9"/>
  <c r="R59" i="9"/>
  <c r="R58" i="9"/>
  <c r="R56" i="9"/>
  <c r="S56" i="9" s="1"/>
  <c r="R55" i="9"/>
  <c r="S55" i="9" s="1"/>
  <c r="R37" i="9"/>
  <c r="S37" i="9" s="1"/>
  <c r="R36" i="9"/>
  <c r="S36" i="9" s="1"/>
  <c r="R50" i="9"/>
  <c r="S50" i="9" s="1"/>
  <c r="R52" i="9"/>
  <c r="S52" i="9" s="1"/>
  <c r="R53" i="9"/>
  <c r="S53" i="9" s="1"/>
  <c r="R54" i="9"/>
  <c r="S54" i="9" s="1"/>
  <c r="R51" i="9"/>
  <c r="S51" i="9" s="1"/>
  <c r="R49" i="9"/>
  <c r="S49" i="9" s="1"/>
  <c r="A159" i="6"/>
  <c r="R35" i="9"/>
  <c r="S35" i="9" s="1"/>
  <c r="B26" i="6"/>
  <c r="A21" i="6"/>
  <c r="D156" i="6"/>
  <c r="D73" i="9"/>
  <c r="D72" i="9"/>
  <c r="D71" i="9"/>
  <c r="D70" i="9"/>
  <c r="D69" i="9"/>
  <c r="D68" i="9"/>
  <c r="D67" i="9"/>
  <c r="D66" i="9"/>
  <c r="D65" i="9"/>
  <c r="D64" i="9"/>
  <c r="D63" i="9"/>
  <c r="D62" i="9"/>
  <c r="D55" i="9"/>
  <c r="J55" i="9" s="1"/>
  <c r="D54" i="9"/>
  <c r="I54" i="9" s="1"/>
  <c r="D53" i="9"/>
  <c r="I53" i="9" s="1"/>
  <c r="D52" i="9"/>
  <c r="E52" i="9" s="1"/>
  <c r="D51" i="9"/>
  <c r="E51" i="9" s="1"/>
  <c r="D50" i="9"/>
  <c r="E50" i="9" s="1"/>
  <c r="D49" i="9"/>
  <c r="J49" i="9" s="1"/>
  <c r="D48" i="9"/>
  <c r="J48" i="9" s="1"/>
  <c r="D47" i="9"/>
  <c r="J47" i="9" s="1"/>
  <c r="D46" i="9"/>
  <c r="I46" i="9" s="1"/>
  <c r="D28" i="9"/>
  <c r="F28" i="9" s="1"/>
  <c r="D27" i="9"/>
  <c r="F27" i="9" s="1"/>
  <c r="D26" i="9"/>
  <c r="F26" i="9" s="1"/>
  <c r="D25" i="9"/>
  <c r="F25" i="9" s="1"/>
  <c r="D24" i="9"/>
  <c r="F24" i="9" s="1"/>
  <c r="D23" i="9"/>
  <c r="E23" i="9" s="1"/>
  <c r="D22" i="9"/>
  <c r="F22" i="9" s="1"/>
  <c r="D21" i="9"/>
  <c r="F21" i="9" s="1"/>
  <c r="D20" i="9"/>
  <c r="F20" i="9" s="1"/>
  <c r="D19" i="9"/>
  <c r="F19" i="9" s="1"/>
  <c r="J14" i="9"/>
  <c r="M14" i="9" s="1"/>
  <c r="D14" i="9"/>
  <c r="E14" i="9" s="1"/>
  <c r="J13" i="9"/>
  <c r="L13" i="9" s="1"/>
  <c r="D13" i="9"/>
  <c r="I13" i="9" s="1"/>
  <c r="J12" i="9"/>
  <c r="M12" i="9" s="1"/>
  <c r="D12" i="9"/>
  <c r="E12" i="9" s="1"/>
  <c r="J11" i="9"/>
  <c r="L11" i="9" s="1"/>
  <c r="D11" i="9"/>
  <c r="I11" i="9" s="1"/>
  <c r="J10" i="9"/>
  <c r="M10" i="9" s="1"/>
  <c r="D10" i="9"/>
  <c r="E10" i="9" s="1"/>
  <c r="J9" i="9"/>
  <c r="L9" i="9" s="1"/>
  <c r="D9" i="9"/>
  <c r="I9" i="9" s="1"/>
  <c r="J8" i="9"/>
  <c r="M8" i="9" s="1"/>
  <c r="D8" i="9"/>
  <c r="E8" i="9" s="1"/>
  <c r="J7" i="9"/>
  <c r="L7" i="9" s="1"/>
  <c r="D7" i="9"/>
  <c r="I7" i="9" s="1"/>
  <c r="J6" i="9"/>
  <c r="M6" i="9" s="1"/>
  <c r="D6" i="9"/>
  <c r="E6" i="9" s="1"/>
  <c r="J5" i="9"/>
  <c r="L5" i="9" s="1"/>
  <c r="D5" i="9"/>
  <c r="I5" i="9" s="1"/>
  <c r="J4" i="9"/>
  <c r="M4" i="9" s="1"/>
  <c r="D4" i="9"/>
  <c r="E4" i="9" s="1"/>
  <c r="J3" i="9"/>
  <c r="L3" i="9" s="1"/>
  <c r="D3" i="9"/>
  <c r="I3" i="9" s="1"/>
  <c r="H20" i="44" a="1"/>
  <c r="M37" i="7" l="1"/>
  <c r="L4" i="7" s="1"/>
  <c r="L5" i="7" s="1"/>
  <c r="O34" i="7"/>
  <c r="R34" i="7" s="1"/>
  <c r="N3" i="7" s="1"/>
  <c r="L10" i="7"/>
  <c r="L8" i="7"/>
  <c r="G8" i="7" s="1"/>
  <c r="A70" i="6" s="1"/>
  <c r="L9" i="7"/>
  <c r="N4" i="44"/>
  <c r="E4" i="44"/>
  <c r="C23" i="44"/>
  <c r="C21" i="44"/>
  <c r="C22" i="44"/>
  <c r="C20" i="44"/>
  <c r="H20" i="44"/>
  <c r="G64" i="9"/>
  <c r="F64" i="9"/>
  <c r="H64" i="9"/>
  <c r="E63" i="9"/>
  <c r="F63" i="9"/>
  <c r="G63" i="9"/>
  <c r="H63" i="9"/>
  <c r="I65" i="9"/>
  <c r="F65" i="9"/>
  <c r="G65" i="9"/>
  <c r="H65" i="9"/>
  <c r="I73" i="9"/>
  <c r="F73" i="9"/>
  <c r="G73" i="9"/>
  <c r="H73" i="9"/>
  <c r="I66" i="9"/>
  <c r="F66" i="9"/>
  <c r="G66" i="9"/>
  <c r="H66" i="9"/>
  <c r="I62" i="9"/>
  <c r="H62" i="9"/>
  <c r="G62" i="9"/>
  <c r="F62" i="9"/>
  <c r="F50" i="9"/>
  <c r="G50" i="9"/>
  <c r="H50" i="9"/>
  <c r="F51" i="9"/>
  <c r="G51" i="9"/>
  <c r="H51" i="9"/>
  <c r="I69" i="9"/>
  <c r="F69" i="9"/>
  <c r="G69" i="9"/>
  <c r="H69" i="9"/>
  <c r="F52" i="9"/>
  <c r="H52" i="9"/>
  <c r="G52" i="9"/>
  <c r="I70" i="9"/>
  <c r="F70" i="9"/>
  <c r="H70" i="9"/>
  <c r="G70" i="9"/>
  <c r="F68" i="9"/>
  <c r="H68" i="9"/>
  <c r="G68" i="9"/>
  <c r="E71" i="9"/>
  <c r="F71" i="9"/>
  <c r="G71" i="9"/>
  <c r="H71" i="9"/>
  <c r="E67" i="9"/>
  <c r="F67" i="9"/>
  <c r="G67" i="9"/>
  <c r="H67" i="9"/>
  <c r="F72" i="9"/>
  <c r="G72" i="9"/>
  <c r="H72" i="9"/>
  <c r="E53" i="9"/>
  <c r="J53" i="9"/>
  <c r="O13" i="9"/>
  <c r="I51" i="9"/>
  <c r="J51" i="9"/>
  <c r="E13" i="9"/>
  <c r="E49" i="9"/>
  <c r="J54" i="9"/>
  <c r="K3" i="9"/>
  <c r="H13" i="9"/>
  <c r="I49" i="9"/>
  <c r="J52" i="9"/>
  <c r="N3" i="9"/>
  <c r="F7" i="9"/>
  <c r="J46" i="9"/>
  <c r="E55" i="9"/>
  <c r="E47" i="9"/>
  <c r="I55" i="9"/>
  <c r="E25" i="9"/>
  <c r="I47" i="9"/>
  <c r="G13" i="9"/>
  <c r="E48" i="9"/>
  <c r="I52" i="9"/>
  <c r="E62" i="9"/>
  <c r="I64" i="9"/>
  <c r="E66" i="9"/>
  <c r="I68" i="9"/>
  <c r="E70" i="9"/>
  <c r="I72" i="9"/>
  <c r="E46" i="9"/>
  <c r="I50" i="9"/>
  <c r="E54" i="9"/>
  <c r="I63" i="9"/>
  <c r="E65" i="9"/>
  <c r="I67" i="9"/>
  <c r="E69" i="9"/>
  <c r="I71" i="9"/>
  <c r="E73" i="9"/>
  <c r="J50" i="9"/>
  <c r="I48" i="9"/>
  <c r="E64" i="9"/>
  <c r="E68" i="9"/>
  <c r="E72" i="9"/>
  <c r="M11" i="9"/>
  <c r="N5" i="9"/>
  <c r="O11" i="9"/>
  <c r="N13" i="9"/>
  <c r="G7" i="9"/>
  <c r="F13" i="9"/>
  <c r="M3" i="9"/>
  <c r="E5" i="9"/>
  <c r="O5" i="9"/>
  <c r="H7" i="9"/>
  <c r="K8" i="9"/>
  <c r="K9" i="9"/>
  <c r="E11" i="9"/>
  <c r="N11" i="9"/>
  <c r="E21" i="9"/>
  <c r="F5" i="9"/>
  <c r="M9" i="9"/>
  <c r="F11" i="9"/>
  <c r="E26" i="9"/>
  <c r="E3" i="9"/>
  <c r="O3" i="9"/>
  <c r="G5" i="9"/>
  <c r="K7" i="9"/>
  <c r="E9" i="9"/>
  <c r="N9" i="9"/>
  <c r="G11" i="9"/>
  <c r="K14" i="9"/>
  <c r="E22" i="9"/>
  <c r="F3" i="9"/>
  <c r="H5" i="9"/>
  <c r="K6" i="9"/>
  <c r="M7" i="9"/>
  <c r="F9" i="9"/>
  <c r="O9" i="9"/>
  <c r="H11" i="9"/>
  <c r="G3" i="9"/>
  <c r="G4" i="9"/>
  <c r="N7" i="9"/>
  <c r="G9" i="9"/>
  <c r="K12" i="9"/>
  <c r="K13" i="9"/>
  <c r="E19" i="9"/>
  <c r="E27" i="9"/>
  <c r="H3" i="9"/>
  <c r="I4" i="9"/>
  <c r="K5" i="9"/>
  <c r="E7" i="9"/>
  <c r="O7" i="9"/>
  <c r="H9" i="9"/>
  <c r="M13" i="9"/>
  <c r="M5" i="9"/>
  <c r="K10" i="9"/>
  <c r="K11" i="9"/>
  <c r="L4" i="9"/>
  <c r="L6" i="9"/>
  <c r="L8" i="9"/>
  <c r="L10" i="9"/>
  <c r="L12" i="9"/>
  <c r="F4" i="9"/>
  <c r="N4" i="9"/>
  <c r="F6" i="9"/>
  <c r="N6" i="9"/>
  <c r="F8" i="9"/>
  <c r="N8" i="9"/>
  <c r="F10" i="9"/>
  <c r="N10" i="9"/>
  <c r="F12" i="9"/>
  <c r="N12" i="9"/>
  <c r="F14" i="9"/>
  <c r="N14" i="9"/>
  <c r="F23" i="9"/>
  <c r="G6" i="9"/>
  <c r="O4" i="9"/>
  <c r="O6" i="9"/>
  <c r="G8" i="9"/>
  <c r="O8" i="9"/>
  <c r="G10" i="9"/>
  <c r="O10" i="9"/>
  <c r="G12" i="9"/>
  <c r="O12" i="9"/>
  <c r="G14" i="9"/>
  <c r="O14" i="9"/>
  <c r="H4" i="9"/>
  <c r="H6" i="9"/>
  <c r="H8" i="9"/>
  <c r="H10" i="9"/>
  <c r="H12" i="9"/>
  <c r="H14" i="9"/>
  <c r="E24" i="9"/>
  <c r="I6" i="9"/>
  <c r="I8" i="9"/>
  <c r="I10" i="9"/>
  <c r="I12" i="9"/>
  <c r="I14" i="9"/>
  <c r="K4" i="9"/>
  <c r="L14" i="9"/>
  <c r="E20" i="9"/>
  <c r="E28" i="9"/>
  <c r="P37" i="7" l="1"/>
  <c r="S37" i="7" s="1"/>
  <c r="N4" i="7" s="1"/>
  <c r="M3" i="7"/>
  <c r="L13" i="7"/>
  <c r="G13" i="7" s="1"/>
  <c r="A75" i="6" s="1"/>
  <c r="L12" i="7"/>
  <c r="L11" i="7"/>
  <c r="G10" i="7"/>
  <c r="A72" i="6" s="1"/>
  <c r="G9" i="7"/>
  <c r="A71" i="6" s="1"/>
  <c r="K39" i="44"/>
  <c r="K40" i="44"/>
  <c r="M40" i="44"/>
  <c r="M184" i="44"/>
  <c r="M328" i="44"/>
  <c r="M41" i="44"/>
  <c r="M185" i="44"/>
  <c r="M329" i="44"/>
  <c r="M54" i="44"/>
  <c r="M198" i="44"/>
  <c r="M342" i="44"/>
  <c r="M67" i="44"/>
  <c r="M211" i="44"/>
  <c r="M355" i="44"/>
  <c r="M92" i="44"/>
  <c r="M236" i="44"/>
  <c r="M165" i="44"/>
  <c r="M106" i="44"/>
  <c r="M250" i="44"/>
  <c r="M218" i="44"/>
  <c r="M131" i="44"/>
  <c r="M275" i="44"/>
  <c r="M278" i="44"/>
  <c r="M108" i="44"/>
  <c r="M252" i="44"/>
  <c r="M170" i="44"/>
  <c r="M85" i="44"/>
  <c r="M229" i="44"/>
  <c r="M194" i="44"/>
  <c r="M53" i="44"/>
  <c r="M354" i="44"/>
  <c r="M79" i="44"/>
  <c r="M57" i="44"/>
  <c r="M248" i="44"/>
  <c r="M118" i="44"/>
  <c r="M290" i="44"/>
  <c r="M287" i="44"/>
  <c r="M254" i="44"/>
  <c r="M133" i="44"/>
  <c r="M52" i="44"/>
  <c r="M196" i="44"/>
  <c r="M340" i="44"/>
  <c r="M197" i="44"/>
  <c r="M341" i="44"/>
  <c r="M66" i="44"/>
  <c r="M210" i="44"/>
  <c r="M223" i="44"/>
  <c r="M104" i="44"/>
  <c r="M237" i="44"/>
  <c r="M262" i="44"/>
  <c r="M143" i="44"/>
  <c r="M264" i="44"/>
  <c r="M302" i="44"/>
  <c r="M64" i="44"/>
  <c r="M208" i="44"/>
  <c r="M352" i="44"/>
  <c r="M65" i="44"/>
  <c r="M209" i="44"/>
  <c r="M353" i="44"/>
  <c r="M78" i="44"/>
  <c r="M222" i="44"/>
  <c r="M69" i="44"/>
  <c r="M91" i="44"/>
  <c r="M235" i="44"/>
  <c r="M153" i="44"/>
  <c r="M116" i="44"/>
  <c r="M260" i="44"/>
  <c r="M297" i="44"/>
  <c r="M130" i="44"/>
  <c r="M274" i="44"/>
  <c r="M99" i="44"/>
  <c r="M155" i="44"/>
  <c r="M299" i="44"/>
  <c r="M350" i="44"/>
  <c r="M132" i="44"/>
  <c r="M276" i="44"/>
  <c r="M230" i="44"/>
  <c r="M109" i="44"/>
  <c r="M253" i="44"/>
  <c r="M326" i="44"/>
  <c r="M232" i="44"/>
  <c r="M89" i="44"/>
  <c r="M117" i="44"/>
  <c r="M102" i="44"/>
  <c r="M201" i="44"/>
  <c r="M259" i="44"/>
  <c r="M140" i="44"/>
  <c r="M111" i="44"/>
  <c r="M154" i="44"/>
  <c r="M255" i="44"/>
  <c r="M159" i="44"/>
  <c r="M243" i="44"/>
  <c r="M76" i="44"/>
  <c r="M220" i="44"/>
  <c r="M93" i="44"/>
  <c r="M77" i="44"/>
  <c r="M221" i="44"/>
  <c r="M81" i="44"/>
  <c r="M90" i="44"/>
  <c r="M234" i="44"/>
  <c r="M129" i="44"/>
  <c r="M103" i="44"/>
  <c r="M247" i="44"/>
  <c r="M213" i="44"/>
  <c r="M128" i="44"/>
  <c r="M272" i="44"/>
  <c r="M345" i="44"/>
  <c r="M142" i="44"/>
  <c r="M286" i="44"/>
  <c r="M171" i="44"/>
  <c r="M167" i="44"/>
  <c r="M311" i="44"/>
  <c r="M135" i="44"/>
  <c r="M144" i="44"/>
  <c r="M288" i="44"/>
  <c r="M266" i="44"/>
  <c r="M121" i="44"/>
  <c r="M265" i="44"/>
  <c r="M147" i="44"/>
  <c r="M88" i="44"/>
  <c r="M105" i="44"/>
  <c r="M233" i="44"/>
  <c r="M246" i="44"/>
  <c r="M115" i="44"/>
  <c r="M273" i="44"/>
  <c r="M284" i="44"/>
  <c r="M298" i="44"/>
  <c r="M179" i="44"/>
  <c r="M277" i="44"/>
  <c r="M100" i="44"/>
  <c r="M244" i="44"/>
  <c r="M141" i="44"/>
  <c r="M101" i="44"/>
  <c r="M245" i="44"/>
  <c r="M177" i="44"/>
  <c r="M114" i="44"/>
  <c r="M258" i="44"/>
  <c r="M261" i="44"/>
  <c r="M127" i="44"/>
  <c r="M271" i="44"/>
  <c r="M333" i="44"/>
  <c r="M152" i="44"/>
  <c r="M296" i="44"/>
  <c r="M231" i="44"/>
  <c r="M166" i="44"/>
  <c r="M310" i="44"/>
  <c r="M47" i="44"/>
  <c r="M191" i="44"/>
  <c r="M335" i="44"/>
  <c r="M207" i="44"/>
  <c r="M168" i="44"/>
  <c r="M312" i="44"/>
  <c r="M338" i="44"/>
  <c r="M145" i="44"/>
  <c r="M289" i="44"/>
  <c r="M327" i="44"/>
  <c r="M315" i="44"/>
  <c r="M42" i="44"/>
  <c r="M343" i="44"/>
  <c r="M45" i="44"/>
  <c r="M119" i="44"/>
  <c r="M122" i="44"/>
  <c r="M134" i="44"/>
  <c r="M314" i="44"/>
  <c r="M112" i="44"/>
  <c r="M256" i="44"/>
  <c r="M189" i="44"/>
  <c r="M113" i="44"/>
  <c r="M257" i="44"/>
  <c r="M225" i="44"/>
  <c r="M126" i="44"/>
  <c r="M270" i="44"/>
  <c r="M309" i="44"/>
  <c r="M139" i="44"/>
  <c r="M283" i="44"/>
  <c r="M87" i="44"/>
  <c r="M164" i="44"/>
  <c r="M308" i="44"/>
  <c r="M351" i="44"/>
  <c r="M178" i="44"/>
  <c r="M322" i="44"/>
  <c r="M59" i="44"/>
  <c r="M203" i="44"/>
  <c r="M347" i="44"/>
  <c r="M291" i="44"/>
  <c r="M180" i="44"/>
  <c r="M324" i="44"/>
  <c r="M123" i="44"/>
  <c r="M157" i="44"/>
  <c r="M301" i="44"/>
  <c r="M173" i="44"/>
  <c r="M199" i="44"/>
  <c r="M94" i="44"/>
  <c r="M96" i="44"/>
  <c r="M217" i="44"/>
  <c r="M206" i="44"/>
  <c r="M156" i="44"/>
  <c r="M124" i="44"/>
  <c r="M268" i="44"/>
  <c r="M249" i="44"/>
  <c r="M125" i="44"/>
  <c r="M269" i="44"/>
  <c r="M285" i="44"/>
  <c r="M138" i="44"/>
  <c r="M282" i="44"/>
  <c r="M75" i="44"/>
  <c r="M151" i="44"/>
  <c r="M295" i="44"/>
  <c r="M303" i="44"/>
  <c r="M176" i="44"/>
  <c r="M320" i="44"/>
  <c r="M46" i="44"/>
  <c r="M190" i="44"/>
  <c r="M334" i="44"/>
  <c r="M71" i="44"/>
  <c r="M215" i="44"/>
  <c r="M313" i="44"/>
  <c r="M48" i="44"/>
  <c r="M192" i="44"/>
  <c r="M336" i="44"/>
  <c r="M195" i="44"/>
  <c r="M169" i="44"/>
  <c r="M349" i="44"/>
  <c r="M330" i="44"/>
  <c r="M263" i="44"/>
  <c r="M241" i="44"/>
  <c r="M300" i="44"/>
  <c r="M136" i="44"/>
  <c r="M280" i="44"/>
  <c r="M321" i="44"/>
  <c r="M137" i="44"/>
  <c r="M281" i="44"/>
  <c r="M39" i="44"/>
  <c r="M150" i="44"/>
  <c r="M294" i="44"/>
  <c r="M219" i="44"/>
  <c r="M163" i="44"/>
  <c r="M307" i="44"/>
  <c r="M44" i="44"/>
  <c r="M188" i="44"/>
  <c r="M332" i="44"/>
  <c r="M58" i="44"/>
  <c r="M202" i="44"/>
  <c r="M346" i="44"/>
  <c r="M83" i="44"/>
  <c r="M227" i="44"/>
  <c r="M62" i="44"/>
  <c r="M60" i="44"/>
  <c r="M204" i="44"/>
  <c r="M348" i="44"/>
  <c r="M279" i="44"/>
  <c r="M181" i="44"/>
  <c r="M86" i="44"/>
  <c r="M317" i="44"/>
  <c r="M238" i="44"/>
  <c r="M73" i="44"/>
  <c r="M97" i="44"/>
  <c r="M323" i="44"/>
  <c r="M148" i="44"/>
  <c r="M292" i="44"/>
  <c r="M51" i="44"/>
  <c r="M149" i="44"/>
  <c r="M293" i="44"/>
  <c r="M63" i="44"/>
  <c r="M162" i="44"/>
  <c r="M306" i="44"/>
  <c r="M339" i="44"/>
  <c r="M175" i="44"/>
  <c r="M319" i="44"/>
  <c r="M56" i="44"/>
  <c r="M200" i="44"/>
  <c r="M344" i="44"/>
  <c r="M70" i="44"/>
  <c r="M214" i="44"/>
  <c r="M337" i="44"/>
  <c r="M95" i="44"/>
  <c r="M239" i="44"/>
  <c r="M146" i="44"/>
  <c r="M72" i="44"/>
  <c r="M216" i="44"/>
  <c r="M325" i="44"/>
  <c r="M49" i="44"/>
  <c r="M193" i="44"/>
  <c r="M98" i="44"/>
  <c r="M172" i="44"/>
  <c r="M55" i="44"/>
  <c r="M224" i="44"/>
  <c r="M242" i="44"/>
  <c r="M160" i="44"/>
  <c r="M304" i="44"/>
  <c r="M183" i="44"/>
  <c r="M161" i="44"/>
  <c r="M305" i="44"/>
  <c r="M267" i="44"/>
  <c r="M174" i="44"/>
  <c r="M318" i="44"/>
  <c r="M43" i="44"/>
  <c r="M187" i="44"/>
  <c r="M331" i="44"/>
  <c r="M68" i="44"/>
  <c r="M212" i="44"/>
  <c r="M356" i="44"/>
  <c r="M82" i="44"/>
  <c r="M226" i="44"/>
  <c r="M50" i="44"/>
  <c r="M107" i="44"/>
  <c r="M251" i="44"/>
  <c r="M182" i="44"/>
  <c r="M84" i="44"/>
  <c r="M228" i="44"/>
  <c r="M74" i="44"/>
  <c r="M61" i="44"/>
  <c r="M205" i="44"/>
  <c r="M110" i="44"/>
  <c r="M316" i="44"/>
  <c r="M186" i="44"/>
  <c r="M80" i="44"/>
  <c r="M158" i="44"/>
  <c r="M240" i="44"/>
  <c r="M120" i="44"/>
  <c r="K42" i="44"/>
  <c r="L42" i="44" s="1"/>
  <c r="K44" i="44"/>
  <c r="L44" i="44" s="1"/>
  <c r="K43" i="44"/>
  <c r="L43" i="44" s="1"/>
  <c r="K41" i="44"/>
  <c r="L41" i="44" s="1"/>
  <c r="K335" i="44"/>
  <c r="L335" i="44" s="1"/>
  <c r="K213" i="44"/>
  <c r="L213" i="44" s="1"/>
  <c r="K48" i="44"/>
  <c r="L48" i="44" s="1"/>
  <c r="K195" i="44"/>
  <c r="L195" i="44" s="1"/>
  <c r="K83" i="44"/>
  <c r="L83" i="44" s="1"/>
  <c r="K189" i="44"/>
  <c r="L189" i="44" s="1"/>
  <c r="K277" i="44"/>
  <c r="L277" i="44" s="1"/>
  <c r="K103" i="44"/>
  <c r="L103" i="44" s="1"/>
  <c r="K225" i="44"/>
  <c r="L225" i="44" s="1"/>
  <c r="K261" i="44"/>
  <c r="L261" i="44" s="1"/>
  <c r="K232" i="44"/>
  <c r="L232" i="44" s="1"/>
  <c r="K126" i="44"/>
  <c r="L126" i="44" s="1"/>
  <c r="K170" i="44"/>
  <c r="L170" i="44" s="1"/>
  <c r="K265" i="44"/>
  <c r="L265" i="44" s="1"/>
  <c r="K210" i="44"/>
  <c r="L210" i="44" s="1"/>
  <c r="K91" i="44"/>
  <c r="L91" i="44" s="1"/>
  <c r="K154" i="44"/>
  <c r="L154" i="44" s="1"/>
  <c r="K110" i="44"/>
  <c r="L110" i="44" s="1"/>
  <c r="K237" i="44"/>
  <c r="L237" i="44" s="1"/>
  <c r="K275" i="44"/>
  <c r="L275" i="44" s="1"/>
  <c r="K260" i="44"/>
  <c r="L260" i="44" s="1"/>
  <c r="K85" i="44"/>
  <c r="L85" i="44" s="1"/>
  <c r="K183" i="44"/>
  <c r="L183" i="44" s="1"/>
  <c r="K78" i="44"/>
  <c r="L78" i="44" s="1"/>
  <c r="K79" i="44"/>
  <c r="L79" i="44" s="1"/>
  <c r="K172" i="44"/>
  <c r="L172" i="44" s="1"/>
  <c r="K55" i="44"/>
  <c r="L55" i="44" s="1"/>
  <c r="K285" i="44"/>
  <c r="L285" i="44" s="1"/>
  <c r="K236" i="44"/>
  <c r="L236" i="44" s="1"/>
  <c r="K105" i="44"/>
  <c r="L105" i="44" s="1"/>
  <c r="K151" i="44"/>
  <c r="L151" i="44" s="1"/>
  <c r="K302" i="44"/>
  <c r="L302" i="44" s="1"/>
  <c r="K234" i="44"/>
  <c r="L234" i="44" s="1"/>
  <c r="K124" i="44"/>
  <c r="L124" i="44" s="1"/>
  <c r="K337" i="44"/>
  <c r="L337" i="44" s="1"/>
  <c r="K273" i="44"/>
  <c r="L273" i="44" s="1"/>
  <c r="K328" i="44"/>
  <c r="L328" i="44" s="1"/>
  <c r="K348" i="44"/>
  <c r="L348" i="44" s="1"/>
  <c r="K291" i="44"/>
  <c r="L291" i="44" s="1"/>
  <c r="K263" i="44"/>
  <c r="L263" i="44" s="1"/>
  <c r="K117" i="44"/>
  <c r="L117" i="44" s="1"/>
  <c r="K158" i="44"/>
  <c r="L158" i="44" s="1"/>
  <c r="K299" i="44"/>
  <c r="L299" i="44" s="1"/>
  <c r="K351" i="44"/>
  <c r="L351" i="44" s="1"/>
  <c r="K100" i="44"/>
  <c r="L100" i="44" s="1"/>
  <c r="K227" i="44"/>
  <c r="L227" i="44" s="1"/>
  <c r="K272" i="44"/>
  <c r="L272" i="44" s="1"/>
  <c r="K248" i="44"/>
  <c r="L248" i="44" s="1"/>
  <c r="K217" i="44"/>
  <c r="L217" i="44" s="1"/>
  <c r="K115" i="44"/>
  <c r="L115" i="44" s="1"/>
  <c r="K280" i="44"/>
  <c r="L280" i="44" s="1"/>
  <c r="K281" i="44"/>
  <c r="L281" i="44" s="1"/>
  <c r="K131" i="44"/>
  <c r="L131" i="44" s="1"/>
  <c r="K355" i="44"/>
  <c r="L355" i="44" s="1"/>
  <c r="K228" i="44"/>
  <c r="L228" i="44" s="1"/>
  <c r="K92" i="44"/>
  <c r="L92" i="44" s="1"/>
  <c r="K206" i="44"/>
  <c r="L206" i="44" s="1"/>
  <c r="K322" i="44"/>
  <c r="L322" i="44" s="1"/>
  <c r="K235" i="44"/>
  <c r="L235" i="44" s="1"/>
  <c r="K121" i="44"/>
  <c r="L121" i="44" s="1"/>
  <c r="K118" i="44"/>
  <c r="L118" i="44" s="1"/>
  <c r="K152" i="44"/>
  <c r="L152" i="44" s="1"/>
  <c r="K109" i="44"/>
  <c r="L109" i="44" s="1"/>
  <c r="K89" i="44"/>
  <c r="L89" i="44" s="1"/>
  <c r="K53" i="44"/>
  <c r="L53" i="44" s="1"/>
  <c r="K71" i="44"/>
  <c r="L71" i="44" s="1"/>
  <c r="K95" i="44"/>
  <c r="L95" i="44" s="1"/>
  <c r="K259" i="44"/>
  <c r="L259" i="44" s="1"/>
  <c r="K123" i="44"/>
  <c r="L123" i="44" s="1"/>
  <c r="K188" i="44"/>
  <c r="L188" i="44" s="1"/>
  <c r="K63" i="44"/>
  <c r="L63" i="44" s="1"/>
  <c r="K338" i="44"/>
  <c r="L338" i="44" s="1"/>
  <c r="K278" i="44"/>
  <c r="L278" i="44" s="1"/>
  <c r="K211" i="44"/>
  <c r="L211" i="44" s="1"/>
  <c r="K354" i="44"/>
  <c r="L354" i="44" s="1"/>
  <c r="K80" i="44"/>
  <c r="L80" i="44" s="1"/>
  <c r="K347" i="44"/>
  <c r="L347" i="44" s="1"/>
  <c r="K202" i="44"/>
  <c r="L202" i="44" s="1"/>
  <c r="K65" i="44"/>
  <c r="L65" i="44" s="1"/>
  <c r="K331" i="44"/>
  <c r="L331" i="44" s="1"/>
  <c r="K308" i="44"/>
  <c r="L308" i="44" s="1"/>
  <c r="K198" i="44"/>
  <c r="L198" i="44" s="1"/>
  <c r="K231" i="44"/>
  <c r="L231" i="44" s="1"/>
  <c r="K345" i="44"/>
  <c r="L345" i="44" s="1"/>
  <c r="K149" i="44"/>
  <c r="L149" i="44" s="1"/>
  <c r="K267" i="44"/>
  <c r="L267" i="44" s="1"/>
  <c r="K297" i="44"/>
  <c r="L297" i="44" s="1"/>
  <c r="K288" i="44"/>
  <c r="L288" i="44" s="1"/>
  <c r="K74" i="44"/>
  <c r="L74" i="44" s="1"/>
  <c r="K99" i="44"/>
  <c r="L99" i="44" s="1"/>
  <c r="K298" i="44"/>
  <c r="L298" i="44" s="1"/>
  <c r="K356" i="44"/>
  <c r="L356" i="44" s="1"/>
  <c r="K98" i="44"/>
  <c r="L98" i="44" s="1"/>
  <c r="K344" i="44"/>
  <c r="L344" i="44" s="1"/>
  <c r="K306" i="44"/>
  <c r="L306" i="44" s="1"/>
  <c r="K300" i="44"/>
  <c r="L300" i="44" s="1"/>
  <c r="K270" i="44"/>
  <c r="L270" i="44" s="1"/>
  <c r="K219" i="44"/>
  <c r="L219" i="44" s="1"/>
  <c r="K327" i="44"/>
  <c r="L327" i="44" s="1"/>
  <c r="K223" i="44"/>
  <c r="L223" i="44" s="1"/>
  <c r="K242" i="44"/>
  <c r="L242" i="44" s="1"/>
  <c r="K193" i="44"/>
  <c r="L193" i="44" s="1"/>
  <c r="K320" i="44"/>
  <c r="L320" i="44" s="1"/>
  <c r="K84" i="44"/>
  <c r="L84" i="44" s="1"/>
  <c r="K156" i="44"/>
  <c r="L156" i="44" s="1"/>
  <c r="K311" i="44"/>
  <c r="L311" i="44" s="1"/>
  <c r="K140" i="44"/>
  <c r="L140" i="44" s="1"/>
  <c r="K67" i="44"/>
  <c r="L67" i="44" s="1"/>
  <c r="K113" i="44"/>
  <c r="L113" i="44" s="1"/>
  <c r="K313" i="44"/>
  <c r="L313" i="44" s="1"/>
  <c r="K282" i="44"/>
  <c r="L282" i="44" s="1"/>
  <c r="K185" i="44"/>
  <c r="L185" i="44" s="1"/>
  <c r="K226" i="44"/>
  <c r="L226" i="44" s="1"/>
  <c r="K159" i="44"/>
  <c r="L159" i="44" s="1"/>
  <c r="K144" i="44"/>
  <c r="L144" i="44" s="1"/>
  <c r="K81" i="44"/>
  <c r="L81" i="44" s="1"/>
  <c r="K93" i="44"/>
  <c r="L93" i="44" s="1"/>
  <c r="K66" i="44"/>
  <c r="L66" i="44" s="1"/>
  <c r="K87" i="44"/>
  <c r="L87" i="44" s="1"/>
  <c r="K111" i="44"/>
  <c r="L111" i="44" s="1"/>
  <c r="K268" i="44"/>
  <c r="L268" i="44" s="1"/>
  <c r="K216" i="44"/>
  <c r="L216" i="44" s="1"/>
  <c r="K196" i="44"/>
  <c r="L196" i="44" s="1"/>
  <c r="K116" i="44"/>
  <c r="L116" i="44" s="1"/>
  <c r="K46" i="44"/>
  <c r="L46" i="44" s="1"/>
  <c r="K323" i="44"/>
  <c r="L323" i="44" s="1"/>
  <c r="K214" i="44"/>
  <c r="L214" i="44" s="1"/>
  <c r="K60" i="44"/>
  <c r="L60" i="44" s="1"/>
  <c r="K340" i="44"/>
  <c r="L340" i="44" s="1"/>
  <c r="K324" i="44"/>
  <c r="L324" i="44" s="1"/>
  <c r="K197" i="44"/>
  <c r="K102" i="44"/>
  <c r="L102" i="44" s="1"/>
  <c r="K70" i="44"/>
  <c r="L70" i="44" s="1"/>
  <c r="K276" i="44"/>
  <c r="L276" i="44" s="1"/>
  <c r="K141" i="44"/>
  <c r="L141" i="44" s="1"/>
  <c r="K139" i="44"/>
  <c r="L139" i="44" s="1"/>
  <c r="K161" i="44"/>
  <c r="L161" i="44" s="1"/>
  <c r="K122" i="44"/>
  <c r="L122" i="44" s="1"/>
  <c r="K155" i="44"/>
  <c r="L155" i="44" s="1"/>
  <c r="K339" i="44"/>
  <c r="L339" i="44" s="1"/>
  <c r="K57" i="44"/>
  <c r="L57" i="44" s="1"/>
  <c r="K130" i="44"/>
  <c r="L130" i="44" s="1"/>
  <c r="K143" i="44"/>
  <c r="L143" i="44" s="1"/>
  <c r="K334" i="44"/>
  <c r="L334" i="44" s="1"/>
  <c r="K128" i="44"/>
  <c r="L128" i="44" s="1"/>
  <c r="K330" i="44"/>
  <c r="L330" i="44" s="1"/>
  <c r="K244" i="44"/>
  <c r="L244" i="44" s="1"/>
  <c r="K307" i="44"/>
  <c r="L307" i="44" s="1"/>
  <c r="K346" i="44"/>
  <c r="L346" i="44" s="1"/>
  <c r="K125" i="44"/>
  <c r="L125" i="44" s="1"/>
  <c r="K104" i="44"/>
  <c r="L104" i="44" s="1"/>
  <c r="K329" i="44"/>
  <c r="L329" i="44" s="1"/>
  <c r="K239" i="44"/>
  <c r="L239" i="44" s="1"/>
  <c r="K199" i="44"/>
  <c r="L199" i="44" s="1"/>
  <c r="K169" i="44"/>
  <c r="L169" i="44" s="1"/>
  <c r="K97" i="44"/>
  <c r="L97" i="44" s="1"/>
  <c r="K287" i="44"/>
  <c r="L287" i="44" s="1"/>
  <c r="K75" i="44"/>
  <c r="L75" i="44" s="1"/>
  <c r="K129" i="44"/>
  <c r="L129" i="44" s="1"/>
  <c r="K137" i="44"/>
  <c r="L137" i="44" s="1"/>
  <c r="K251" i="44"/>
  <c r="L251" i="44" s="1"/>
  <c r="K146" i="44"/>
  <c r="L146" i="44" s="1"/>
  <c r="K353" i="44"/>
  <c r="L353" i="44" s="1"/>
  <c r="K175" i="44"/>
  <c r="L175" i="44" s="1"/>
  <c r="K133" i="44"/>
  <c r="L133" i="44" s="1"/>
  <c r="K304" i="44"/>
  <c r="L304" i="44" s="1"/>
  <c r="K165" i="44"/>
  <c r="L165" i="44" s="1"/>
  <c r="K94" i="44"/>
  <c r="L94" i="44" s="1"/>
  <c r="K332" i="44"/>
  <c r="L332" i="44" s="1"/>
  <c r="K222" i="44"/>
  <c r="L222" i="44" s="1"/>
  <c r="K269" i="44"/>
  <c r="L269" i="44" s="1"/>
  <c r="K221" i="44"/>
  <c r="L221" i="44" s="1"/>
  <c r="K107" i="44"/>
  <c r="L107" i="44" s="1"/>
  <c r="K256" i="44"/>
  <c r="L256" i="44" s="1"/>
  <c r="K192" i="44"/>
  <c r="L192" i="44" s="1"/>
  <c r="K90" i="44"/>
  <c r="L90" i="44" s="1"/>
  <c r="K243" i="44"/>
  <c r="L243" i="44" s="1"/>
  <c r="K171" i="44"/>
  <c r="L171" i="44" s="1"/>
  <c r="K73" i="44"/>
  <c r="L73" i="44" s="1"/>
  <c r="K252" i="44"/>
  <c r="L252" i="44" s="1"/>
  <c r="K258" i="44"/>
  <c r="L258" i="44" s="1"/>
  <c r="K247" i="44"/>
  <c r="L247" i="44" s="1"/>
  <c r="K147" i="44"/>
  <c r="L147" i="44" s="1"/>
  <c r="K286" i="44"/>
  <c r="L286" i="44" s="1"/>
  <c r="K178" i="44"/>
  <c r="L178" i="44" s="1"/>
  <c r="K305" i="44"/>
  <c r="L305" i="44" s="1"/>
  <c r="K68" i="44"/>
  <c r="L68" i="44" s="1"/>
  <c r="K82" i="44"/>
  <c r="L82" i="44" s="1"/>
  <c r="K343" i="44"/>
  <c r="L343" i="44" s="1"/>
  <c r="K254" i="44"/>
  <c r="L254" i="44" s="1"/>
  <c r="K47" i="44"/>
  <c r="L47" i="44" s="1"/>
  <c r="K142" i="44"/>
  <c r="L142" i="44" s="1"/>
  <c r="K309" i="44"/>
  <c r="L309" i="44" s="1"/>
  <c r="K190" i="44"/>
  <c r="L190" i="44" s="1"/>
  <c r="K336" i="44"/>
  <c r="L336" i="44" s="1"/>
  <c r="K296" i="44"/>
  <c r="L296" i="44" s="1"/>
  <c r="K136" i="44"/>
  <c r="L136" i="44" s="1"/>
  <c r="K250" i="44"/>
  <c r="L250" i="44" s="1"/>
  <c r="K184" i="44"/>
  <c r="L184" i="44" s="1"/>
  <c r="K62" i="44"/>
  <c r="L62" i="44" s="1"/>
  <c r="K230" i="44"/>
  <c r="L230" i="44" s="1"/>
  <c r="K106" i="44"/>
  <c r="L106" i="44" s="1"/>
  <c r="K255" i="44"/>
  <c r="L255" i="44" s="1"/>
  <c r="K352" i="44"/>
  <c r="L352" i="44" s="1"/>
  <c r="K64" i="44"/>
  <c r="L64" i="44" s="1"/>
  <c r="K289" i="44"/>
  <c r="L289" i="44" s="1"/>
  <c r="K212" i="44"/>
  <c r="L212" i="44" s="1"/>
  <c r="K204" i="44"/>
  <c r="L204" i="44" s="1"/>
  <c r="K96" i="44"/>
  <c r="L96" i="44" s="1"/>
  <c r="K266" i="44"/>
  <c r="L266" i="44" s="1"/>
  <c r="K241" i="44"/>
  <c r="L241" i="44" s="1"/>
  <c r="K180" i="44"/>
  <c r="L180" i="44" s="1"/>
  <c r="K86" i="44"/>
  <c r="L86" i="44" s="1"/>
  <c r="K264" i="44"/>
  <c r="L264" i="44" s="1"/>
  <c r="K138" i="44"/>
  <c r="L138" i="44" s="1"/>
  <c r="K303" i="44"/>
  <c r="L303" i="44" s="1"/>
  <c r="K292" i="44"/>
  <c r="L292" i="44" s="1"/>
  <c r="K173" i="44"/>
  <c r="L173" i="44" s="1"/>
  <c r="K240" i="44"/>
  <c r="L240" i="44" s="1"/>
  <c r="K132" i="44"/>
  <c r="L132" i="44" s="1"/>
  <c r="K253" i="44"/>
  <c r="L253" i="44" s="1"/>
  <c r="K176" i="44"/>
  <c r="L176" i="44" s="1"/>
  <c r="K88" i="44"/>
  <c r="L88" i="44" s="1"/>
  <c r="K295" i="44"/>
  <c r="L295" i="44" s="1"/>
  <c r="K168" i="44"/>
  <c r="L168" i="44" s="1"/>
  <c r="K262" i="44"/>
  <c r="L262" i="44" s="1"/>
  <c r="K215" i="44"/>
  <c r="L215" i="44" s="1"/>
  <c r="K342" i="44"/>
  <c r="L342" i="44" s="1"/>
  <c r="K249" i="44"/>
  <c r="L249" i="44" s="1"/>
  <c r="K127" i="44"/>
  <c r="L127" i="44" s="1"/>
  <c r="K314" i="44"/>
  <c r="L314" i="44" s="1"/>
  <c r="K326" i="44"/>
  <c r="L326" i="44" s="1"/>
  <c r="K51" i="44"/>
  <c r="L51" i="44" s="1"/>
  <c r="K319" i="44"/>
  <c r="L319" i="44" s="1"/>
  <c r="K179" i="44"/>
  <c r="L179" i="44" s="1"/>
  <c r="K160" i="44"/>
  <c r="L160" i="44" s="1"/>
  <c r="K49" i="44"/>
  <c r="L49" i="44" s="1"/>
  <c r="K350" i="44"/>
  <c r="L350" i="44" s="1"/>
  <c r="K271" i="44"/>
  <c r="L271" i="44" s="1"/>
  <c r="K341" i="44"/>
  <c r="L341" i="44" s="1"/>
  <c r="K246" i="44"/>
  <c r="L246" i="44" s="1"/>
  <c r="K45" i="44"/>
  <c r="L45" i="44" s="1"/>
  <c r="K333" i="44"/>
  <c r="L333" i="44" s="1"/>
  <c r="K245" i="44"/>
  <c r="L245" i="44" s="1"/>
  <c r="K205" i="44"/>
  <c r="L205" i="44" s="1"/>
  <c r="K134" i="44"/>
  <c r="L134" i="44" s="1"/>
  <c r="K157" i="44"/>
  <c r="L157" i="44" s="1"/>
  <c r="K310" i="44"/>
  <c r="L310" i="44" s="1"/>
  <c r="K112" i="44"/>
  <c r="L112" i="44" s="1"/>
  <c r="K294" i="44"/>
  <c r="L294" i="44" s="1"/>
  <c r="K182" i="44"/>
  <c r="L182" i="44" s="1"/>
  <c r="K61" i="44"/>
  <c r="L61" i="44" s="1"/>
  <c r="K290" i="44"/>
  <c r="L290" i="44" s="1"/>
  <c r="K163" i="44"/>
  <c r="L163" i="44" s="1"/>
  <c r="K312" i="44"/>
  <c r="L312" i="44" s="1"/>
  <c r="K317" i="44"/>
  <c r="L317" i="44" s="1"/>
  <c r="K187" i="44"/>
  <c r="L187" i="44" s="1"/>
  <c r="K316" i="44"/>
  <c r="L316" i="44" s="1"/>
  <c r="K181" i="44"/>
  <c r="L181" i="44" s="1"/>
  <c r="K283" i="44"/>
  <c r="L283" i="44" s="1"/>
  <c r="K148" i="44"/>
  <c r="L148" i="44" s="1"/>
  <c r="K135" i="44"/>
  <c r="L135" i="44" s="1"/>
  <c r="K77" i="44"/>
  <c r="L77" i="44" s="1"/>
  <c r="K191" i="44"/>
  <c r="L191" i="44" s="1"/>
  <c r="K218" i="44"/>
  <c r="L218" i="44" s="1"/>
  <c r="K209" i="44"/>
  <c r="L209" i="44" s="1"/>
  <c r="K224" i="44"/>
  <c r="L224" i="44" s="1"/>
  <c r="K177" i="44"/>
  <c r="L177" i="44" s="1"/>
  <c r="K274" i="44"/>
  <c r="L274" i="44" s="1"/>
  <c r="K120" i="44"/>
  <c r="L120" i="44" s="1"/>
  <c r="K174" i="44"/>
  <c r="L174" i="44" s="1"/>
  <c r="K150" i="44"/>
  <c r="L150" i="44" s="1"/>
  <c r="K315" i="44"/>
  <c r="L315" i="44" s="1"/>
  <c r="K167" i="44"/>
  <c r="L167" i="44" s="1"/>
  <c r="K52" i="44"/>
  <c r="L52" i="44" s="1"/>
  <c r="K208" i="44"/>
  <c r="L208" i="44" s="1"/>
  <c r="K119" i="44"/>
  <c r="L119" i="44" s="1"/>
  <c r="K76" i="44"/>
  <c r="L76" i="44" s="1"/>
  <c r="K257" i="44"/>
  <c r="L257" i="44" s="1"/>
  <c r="K166" i="44"/>
  <c r="L166" i="44" s="1"/>
  <c r="K203" i="44"/>
  <c r="L203" i="44" s="1"/>
  <c r="K207" i="44"/>
  <c r="L207" i="44" s="1"/>
  <c r="K238" i="44"/>
  <c r="L238" i="44" s="1"/>
  <c r="K321" i="44"/>
  <c r="L321" i="44" s="1"/>
  <c r="K162" i="44"/>
  <c r="L162" i="44" s="1"/>
  <c r="K293" i="44"/>
  <c r="L293" i="44" s="1"/>
  <c r="K233" i="44"/>
  <c r="L233" i="44" s="1"/>
  <c r="K108" i="44"/>
  <c r="L108" i="44" s="1"/>
  <c r="K301" i="44"/>
  <c r="L301" i="44" s="1"/>
  <c r="K200" i="44"/>
  <c r="L200" i="44" s="1"/>
  <c r="K164" i="44"/>
  <c r="L164" i="44" s="1"/>
  <c r="K101" i="44"/>
  <c r="L101" i="44" s="1"/>
  <c r="K186" i="44"/>
  <c r="L186" i="44" s="1"/>
  <c r="K349" i="44"/>
  <c r="L349" i="44" s="1"/>
  <c r="K284" i="44"/>
  <c r="L284" i="44" s="1"/>
  <c r="K54" i="44"/>
  <c r="L54" i="44" s="1"/>
  <c r="K56" i="44"/>
  <c r="L56" i="44" s="1"/>
  <c r="K58" i="44"/>
  <c r="L58" i="44" s="1"/>
  <c r="K145" i="44"/>
  <c r="L145" i="44" s="1"/>
  <c r="K318" i="44"/>
  <c r="L318" i="44" s="1"/>
  <c r="K194" i="44"/>
  <c r="L194" i="44" s="1"/>
  <c r="K325" i="44"/>
  <c r="L325" i="44" s="1"/>
  <c r="K220" i="44"/>
  <c r="L220" i="44" s="1"/>
  <c r="K72" i="44"/>
  <c r="L72" i="44" s="1"/>
  <c r="K201" i="44"/>
  <c r="L201" i="44" s="1"/>
  <c r="K114" i="44"/>
  <c r="L114" i="44" s="1"/>
  <c r="K50" i="44"/>
  <c r="L50" i="44" s="1"/>
  <c r="K69" i="44"/>
  <c r="L69" i="44" s="1"/>
  <c r="K153" i="44"/>
  <c r="L153" i="44" s="1"/>
  <c r="K59" i="44"/>
  <c r="L59" i="44" s="1"/>
  <c r="K229" i="44"/>
  <c r="L229" i="44" s="1"/>
  <c r="K279" i="44"/>
  <c r="L279" i="44" s="1"/>
  <c r="F48" i="9"/>
  <c r="G48" i="9"/>
  <c r="H48" i="9"/>
  <c r="G53" i="9"/>
  <c r="F53" i="9"/>
  <c r="H53" i="9"/>
  <c r="G54" i="9"/>
  <c r="H54" i="9"/>
  <c r="F54" i="9"/>
  <c r="H46" i="9"/>
  <c r="F46" i="9"/>
  <c r="G46" i="9"/>
  <c r="H47" i="9"/>
  <c r="G47" i="9"/>
  <c r="F47" i="9"/>
  <c r="F49" i="9"/>
  <c r="G49" i="9"/>
  <c r="H49" i="9"/>
  <c r="G55" i="9"/>
  <c r="F55" i="9"/>
  <c r="H55" i="9"/>
  <c r="B58" i="6"/>
  <c r="A61" i="6"/>
  <c r="A58" i="6"/>
  <c r="D58" i="6"/>
  <c r="A59" i="6"/>
  <c r="B59" i="6"/>
  <c r="C59" i="6"/>
  <c r="D59" i="6"/>
  <c r="A60" i="6"/>
  <c r="A62" i="6"/>
  <c r="A63" i="6"/>
  <c r="E65" i="6"/>
  <c r="G65" i="6"/>
  <c r="A64" i="6"/>
  <c r="G66" i="6"/>
  <c r="A57" i="6"/>
  <c r="H16" i="8"/>
  <c r="H20" i="8"/>
  <c r="H23" i="8"/>
  <c r="A24" i="8"/>
  <c r="B24" i="8"/>
  <c r="C24" i="8"/>
  <c r="D24" i="8"/>
  <c r="F24" i="8"/>
  <c r="G24" i="8"/>
  <c r="A25" i="8"/>
  <c r="C25" i="8"/>
  <c r="D25" i="8"/>
  <c r="F25" i="8"/>
  <c r="G25" i="8"/>
  <c r="H25" i="8"/>
  <c r="A26" i="8"/>
  <c r="C26" i="8"/>
  <c r="D26" i="8"/>
  <c r="F26" i="8"/>
  <c r="G26" i="8"/>
  <c r="H26" i="8"/>
  <c r="M20" i="8"/>
  <c r="N20" i="8"/>
  <c r="L20" i="8"/>
  <c r="A15" i="8"/>
  <c r="B15" i="8"/>
  <c r="C15" i="8"/>
  <c r="D15" i="8"/>
  <c r="F15" i="8"/>
  <c r="G15" i="8"/>
  <c r="H15" i="8"/>
  <c r="A16" i="8"/>
  <c r="B16" i="8"/>
  <c r="L16" i="8" s="1"/>
  <c r="C16" i="8"/>
  <c r="D16" i="8"/>
  <c r="G16" i="8"/>
  <c r="A17" i="8"/>
  <c r="B17" i="8"/>
  <c r="N17" i="8" s="1"/>
  <c r="G17" i="8"/>
  <c r="H17" i="8"/>
  <c r="A18" i="8"/>
  <c r="B18" i="8"/>
  <c r="M18" i="8" s="1"/>
  <c r="M19" i="8" s="1"/>
  <c r="G18" i="8"/>
  <c r="H18" i="8"/>
  <c r="A19" i="8"/>
  <c r="B19" i="8"/>
  <c r="N6" i="8" s="1"/>
  <c r="D62" i="6" s="1"/>
  <c r="C19" i="8"/>
  <c r="D19" i="8"/>
  <c r="H19" i="8"/>
  <c r="A20" i="8"/>
  <c r="C20" i="8"/>
  <c r="D20" i="8"/>
  <c r="F20" i="8"/>
  <c r="G20" i="8"/>
  <c r="A21" i="8"/>
  <c r="C21" i="8"/>
  <c r="D21" i="8"/>
  <c r="F21" i="8"/>
  <c r="G21" i="8"/>
  <c r="H21" i="8"/>
  <c r="A22" i="8"/>
  <c r="B22" i="8"/>
  <c r="C22" i="8"/>
  <c r="D22" i="8"/>
  <c r="A23" i="8"/>
  <c r="B23" i="8"/>
  <c r="C23" i="8"/>
  <c r="D23" i="8"/>
  <c r="F23" i="8"/>
  <c r="G23" i="8"/>
  <c r="B14" i="8"/>
  <c r="C14" i="8"/>
  <c r="D14" i="8"/>
  <c r="F14" i="8"/>
  <c r="G14" i="8"/>
  <c r="H14" i="8"/>
  <c r="A14" i="8"/>
  <c r="M21" i="8" l="1"/>
  <c r="M25" i="8" s="1"/>
  <c r="M4" i="7"/>
  <c r="M5" i="7" s="1"/>
  <c r="G12" i="7"/>
  <c r="A74" i="6" s="1"/>
  <c r="G11" i="7"/>
  <c r="A73" i="6" s="1"/>
  <c r="N5" i="7"/>
  <c r="L197" i="44"/>
  <c r="L40" i="44"/>
  <c r="L39" i="44"/>
  <c r="J20" i="44" s="1"/>
  <c r="E135" i="6" s="1"/>
  <c r="O198" i="44"/>
  <c r="N198" i="44"/>
  <c r="O269" i="44"/>
  <c r="N269" i="44"/>
  <c r="N156" i="44"/>
  <c r="O156" i="44"/>
  <c r="N312" i="44"/>
  <c r="O312" i="44"/>
  <c r="O215" i="44"/>
  <c r="N215" i="44"/>
  <c r="N351" i="44"/>
  <c r="O351" i="44"/>
  <c r="O114" i="44"/>
  <c r="N114" i="44"/>
  <c r="N297" i="44"/>
  <c r="O297" i="44"/>
  <c r="N335" i="44"/>
  <c r="O335" i="44"/>
  <c r="N289" i="44"/>
  <c r="O289" i="44"/>
  <c r="O239" i="44"/>
  <c r="N239" i="44"/>
  <c r="O272" i="44"/>
  <c r="N272" i="44"/>
  <c r="N162" i="44"/>
  <c r="O162" i="44"/>
  <c r="N171" i="44"/>
  <c r="O171" i="44"/>
  <c r="O199" i="44"/>
  <c r="N199" i="44"/>
  <c r="N147" i="44"/>
  <c r="O147" i="44"/>
  <c r="O341" i="44"/>
  <c r="N341" i="44"/>
  <c r="N183" i="44"/>
  <c r="O183" i="44"/>
  <c r="O116" i="44"/>
  <c r="N116" i="44"/>
  <c r="N108" i="44"/>
  <c r="O108" i="44"/>
  <c r="N234" i="44"/>
  <c r="O234" i="44"/>
  <c r="N164" i="44"/>
  <c r="O164" i="44"/>
  <c r="N104" i="44"/>
  <c r="O104" i="44"/>
  <c r="O277" i="44"/>
  <c r="N277" i="44"/>
  <c r="N257" i="44"/>
  <c r="O257" i="44"/>
  <c r="O216" i="44"/>
  <c r="N216" i="44"/>
  <c r="N290" i="44"/>
  <c r="O290" i="44"/>
  <c r="O77" i="44"/>
  <c r="N77" i="44"/>
  <c r="O152" i="44"/>
  <c r="N152" i="44"/>
  <c r="O165" i="44"/>
  <c r="N165" i="44"/>
  <c r="N73" i="44"/>
  <c r="O73" i="44"/>
  <c r="N40" i="44"/>
  <c r="O40" i="44"/>
  <c r="O169" i="44"/>
  <c r="N169" i="44"/>
  <c r="O180" i="44"/>
  <c r="N180" i="44"/>
  <c r="N282" i="44"/>
  <c r="O282" i="44"/>
  <c r="N94" i="44"/>
  <c r="O94" i="44"/>
  <c r="N303" i="44"/>
  <c r="O303" i="44"/>
  <c r="O196" i="44"/>
  <c r="N196" i="44"/>
  <c r="O121" i="44"/>
  <c r="N121" i="44"/>
  <c r="N288" i="44"/>
  <c r="O288" i="44"/>
  <c r="N57" i="44"/>
  <c r="O57" i="44"/>
  <c r="N103" i="44"/>
  <c r="O103" i="44"/>
  <c r="N315" i="44"/>
  <c r="O315" i="44"/>
  <c r="O283" i="44"/>
  <c r="N283" i="44"/>
  <c r="N83" i="44"/>
  <c r="O83" i="44"/>
  <c r="N292" i="44"/>
  <c r="O292" i="44"/>
  <c r="O264" i="44"/>
  <c r="N264" i="44"/>
  <c r="O182" i="44"/>
  <c r="N182" i="44"/>
  <c r="O191" i="44"/>
  <c r="N191" i="44"/>
  <c r="O244" i="44"/>
  <c r="N244" i="44"/>
  <c r="O193" i="44"/>
  <c r="N193" i="44"/>
  <c r="N296" i="44"/>
  <c r="O296" i="44"/>
  <c r="N279" i="44"/>
  <c r="O279" i="44"/>
  <c r="N118" i="44"/>
  <c r="O118" i="44"/>
  <c r="O161" i="44"/>
  <c r="N161" i="44"/>
  <c r="O343" i="44"/>
  <c r="N343" i="44"/>
  <c r="O41" i="44"/>
  <c r="N41" i="44"/>
  <c r="N70" i="44"/>
  <c r="O70" i="44"/>
  <c r="O316" i="44"/>
  <c r="N316" i="44"/>
  <c r="O233" i="44"/>
  <c r="N233" i="44"/>
  <c r="N124" i="44"/>
  <c r="O124" i="44"/>
  <c r="O276" i="44"/>
  <c r="N276" i="44"/>
  <c r="N76" i="44"/>
  <c r="O76" i="44"/>
  <c r="N86" i="44"/>
  <c r="O86" i="44"/>
  <c r="O242" i="44"/>
  <c r="N242" i="44"/>
  <c r="O113" i="44"/>
  <c r="N113" i="44"/>
  <c r="O95" i="44"/>
  <c r="N95" i="44"/>
  <c r="O326" i="44"/>
  <c r="N326" i="44"/>
  <c r="O266" i="44"/>
  <c r="N266" i="44"/>
  <c r="N88" i="44"/>
  <c r="O88" i="44"/>
  <c r="O122" i="44"/>
  <c r="N122" i="44"/>
  <c r="N322" i="44"/>
  <c r="O322" i="44"/>
  <c r="O67" i="44"/>
  <c r="N67" i="44"/>
  <c r="O280" i="44"/>
  <c r="N280" i="44"/>
  <c r="N328" i="44"/>
  <c r="O328" i="44"/>
  <c r="O89" i="44"/>
  <c r="N89" i="44"/>
  <c r="N163" i="44"/>
  <c r="O163" i="44"/>
  <c r="N304" i="44"/>
  <c r="O304" i="44"/>
  <c r="N81" i="44"/>
  <c r="O81" i="44"/>
  <c r="N105" i="44"/>
  <c r="O105" i="44"/>
  <c r="N287" i="44"/>
  <c r="O287" i="44"/>
  <c r="O254" i="44"/>
  <c r="N254" i="44"/>
  <c r="O268" i="44"/>
  <c r="N268" i="44"/>
  <c r="N72" i="44"/>
  <c r="O72" i="44"/>
  <c r="N213" i="44"/>
  <c r="O213" i="44"/>
  <c r="O349" i="44"/>
  <c r="N349" i="44"/>
  <c r="N285" i="44"/>
  <c r="O285" i="44"/>
  <c r="O259" i="44"/>
  <c r="N259" i="44"/>
  <c r="N115" i="44"/>
  <c r="O115" i="44"/>
  <c r="N137" i="44"/>
  <c r="O137" i="44"/>
  <c r="O74" i="44"/>
  <c r="N74" i="44"/>
  <c r="O102" i="44"/>
  <c r="N102" i="44"/>
  <c r="O174" i="44"/>
  <c r="N174" i="44"/>
  <c r="O265" i="44"/>
  <c r="N265" i="44"/>
  <c r="N195" i="44"/>
  <c r="O195" i="44"/>
  <c r="O208" i="44"/>
  <c r="N208" i="44"/>
  <c r="O235" i="44"/>
  <c r="N235" i="44"/>
  <c r="O226" i="44"/>
  <c r="N226" i="44"/>
  <c r="N63" i="44"/>
  <c r="O63" i="44"/>
  <c r="N305" i="44"/>
  <c r="O305" i="44"/>
  <c r="N142" i="44"/>
  <c r="O142" i="44"/>
  <c r="N177" i="44"/>
  <c r="O177" i="44"/>
  <c r="O255" i="44"/>
  <c r="N255" i="44"/>
  <c r="N52" i="44"/>
  <c r="O52" i="44"/>
  <c r="O149" i="44"/>
  <c r="N149" i="44"/>
  <c r="N144" i="44"/>
  <c r="O144" i="44"/>
  <c r="N274" i="44"/>
  <c r="O274" i="44"/>
  <c r="O261" i="44"/>
  <c r="N261" i="44"/>
  <c r="N123" i="44"/>
  <c r="O123" i="44"/>
  <c r="O256" i="44"/>
  <c r="N256" i="44"/>
  <c r="O334" i="44"/>
  <c r="N334" i="44"/>
  <c r="O251" i="44"/>
  <c r="N251" i="44"/>
  <c r="O262" i="44"/>
  <c r="N262" i="44"/>
  <c r="N159" i="44"/>
  <c r="O159" i="44"/>
  <c r="N309" i="44"/>
  <c r="O309" i="44"/>
  <c r="N317" i="44"/>
  <c r="O317" i="44"/>
  <c r="N332" i="44"/>
  <c r="O332" i="44"/>
  <c r="N153" i="44"/>
  <c r="O153" i="44"/>
  <c r="O134" i="44"/>
  <c r="N134" i="44"/>
  <c r="N92" i="44"/>
  <c r="O92" i="44"/>
  <c r="N132" i="44"/>
  <c r="O132" i="44"/>
  <c r="N278" i="44"/>
  <c r="O278" i="44"/>
  <c r="O247" i="44"/>
  <c r="N247" i="44"/>
  <c r="N126" i="44"/>
  <c r="O126" i="44"/>
  <c r="O263" i="44"/>
  <c r="N263" i="44"/>
  <c r="N145" i="44"/>
  <c r="O145" i="44"/>
  <c r="N231" i="44"/>
  <c r="O231" i="44"/>
  <c r="O194" i="44"/>
  <c r="N194" i="44"/>
  <c r="N347" i="44"/>
  <c r="O347" i="44"/>
  <c r="O178" i="44"/>
  <c r="N178" i="44"/>
  <c r="O200" i="44"/>
  <c r="N200" i="44"/>
  <c r="O224" i="44"/>
  <c r="N224" i="44"/>
  <c r="N85" i="44"/>
  <c r="O85" i="44"/>
  <c r="N151" i="44"/>
  <c r="O151" i="44"/>
  <c r="N136" i="44"/>
  <c r="O136" i="44"/>
  <c r="O110" i="44"/>
  <c r="N110" i="44"/>
  <c r="N109" i="44"/>
  <c r="O109" i="44"/>
  <c r="N186" i="44"/>
  <c r="O186" i="44"/>
  <c r="N138" i="44"/>
  <c r="O138" i="44"/>
  <c r="O298" i="44"/>
  <c r="N298" i="44"/>
  <c r="O143" i="44"/>
  <c r="N143" i="44"/>
  <c r="O98" i="44"/>
  <c r="N98" i="44"/>
  <c r="N43" i="44"/>
  <c r="O43" i="44"/>
  <c r="N111" i="44"/>
  <c r="O111" i="44"/>
  <c r="N91" i="44"/>
  <c r="O91" i="44"/>
  <c r="O221" i="44"/>
  <c r="N221" i="44"/>
  <c r="N354" i="44"/>
  <c r="O354" i="44"/>
  <c r="O248" i="44"/>
  <c r="N248" i="44"/>
  <c r="N56" i="44"/>
  <c r="O56" i="44"/>
  <c r="N355" i="44"/>
  <c r="O355" i="44"/>
  <c r="O93" i="44"/>
  <c r="N93" i="44"/>
  <c r="N219" i="44"/>
  <c r="O219" i="44"/>
  <c r="N225" i="44"/>
  <c r="O225" i="44"/>
  <c r="O252" i="44"/>
  <c r="N252" i="44"/>
  <c r="N106" i="44"/>
  <c r="O106" i="44"/>
  <c r="N90" i="44"/>
  <c r="O90" i="44"/>
  <c r="O271" i="44"/>
  <c r="N271" i="44"/>
  <c r="O214" i="44"/>
  <c r="N214" i="44"/>
  <c r="N96" i="44"/>
  <c r="O96" i="44"/>
  <c r="O189" i="44"/>
  <c r="N189" i="44"/>
  <c r="N202" i="44"/>
  <c r="O202" i="44"/>
  <c r="N293" i="44"/>
  <c r="O293" i="44"/>
  <c r="N306" i="44"/>
  <c r="O306" i="44"/>
  <c r="N78" i="44"/>
  <c r="O78" i="44"/>
  <c r="N339" i="44"/>
  <c r="O339" i="44"/>
  <c r="O190" i="44"/>
  <c r="N190" i="44"/>
  <c r="O184" i="44"/>
  <c r="N184" i="44"/>
  <c r="N291" i="44"/>
  <c r="O291" i="44"/>
  <c r="N323" i="44"/>
  <c r="O323" i="44"/>
  <c r="N87" i="44"/>
  <c r="O87" i="44"/>
  <c r="O270" i="44"/>
  <c r="N270" i="44"/>
  <c r="O107" i="44"/>
  <c r="N107" i="44"/>
  <c r="O325" i="44"/>
  <c r="N325" i="44"/>
  <c r="N130" i="44"/>
  <c r="O130" i="44"/>
  <c r="N101" i="44"/>
  <c r="O101" i="44"/>
  <c r="N79" i="44"/>
  <c r="O79" i="44"/>
  <c r="O80" i="44"/>
  <c r="N80" i="44"/>
  <c r="N61" i="44"/>
  <c r="O61" i="44"/>
  <c r="N75" i="44"/>
  <c r="O75" i="44"/>
  <c r="N68" i="44"/>
  <c r="O68" i="44"/>
  <c r="O59" i="44"/>
  <c r="N59" i="44"/>
  <c r="N350" i="44"/>
  <c r="O350" i="44"/>
  <c r="N154" i="44"/>
  <c r="O154" i="44"/>
  <c r="O212" i="44"/>
  <c r="N212" i="44"/>
  <c r="N336" i="44"/>
  <c r="O336" i="44"/>
  <c r="N342" i="44"/>
  <c r="O342" i="44"/>
  <c r="O209" i="44"/>
  <c r="N209" i="44"/>
  <c r="O310" i="44"/>
  <c r="N310" i="44"/>
  <c r="O273" i="44"/>
  <c r="N273" i="44"/>
  <c r="N302" i="44"/>
  <c r="O302" i="44"/>
  <c r="O205" i="44"/>
  <c r="N205" i="44"/>
  <c r="N329" i="44"/>
  <c r="O329" i="44"/>
  <c r="O53" i="44"/>
  <c r="N53" i="44"/>
  <c r="N207" i="44"/>
  <c r="O207" i="44"/>
  <c r="O62" i="44"/>
  <c r="N62" i="44"/>
  <c r="O197" i="44"/>
  <c r="N197" i="44"/>
  <c r="O320" i="44"/>
  <c r="N320" i="44"/>
  <c r="N119" i="44"/>
  <c r="O119" i="44"/>
  <c r="O311" i="44"/>
  <c r="N311" i="44"/>
  <c r="O187" i="44"/>
  <c r="N187" i="44"/>
  <c r="O175" i="44"/>
  <c r="N175" i="44"/>
  <c r="O353" i="44"/>
  <c r="N353" i="44"/>
  <c r="N258" i="44"/>
  <c r="O258" i="44"/>
  <c r="O308" i="44"/>
  <c r="N308" i="44"/>
  <c r="N228" i="44"/>
  <c r="O228" i="44"/>
  <c r="O51" i="44"/>
  <c r="N51" i="44"/>
  <c r="N295" i="44"/>
  <c r="O295" i="44"/>
  <c r="N267" i="44"/>
  <c r="O267" i="44"/>
  <c r="N97" i="44"/>
  <c r="O97" i="44"/>
  <c r="N222" i="44"/>
  <c r="O222" i="44"/>
  <c r="O253" i="44"/>
  <c r="N253" i="44"/>
  <c r="O60" i="44"/>
  <c r="N60" i="44"/>
  <c r="O167" i="44"/>
  <c r="N167" i="44"/>
  <c r="O236" i="44"/>
  <c r="N236" i="44"/>
  <c r="N58" i="44"/>
  <c r="O58" i="44"/>
  <c r="O232" i="44"/>
  <c r="N232" i="44"/>
  <c r="O42" i="44"/>
  <c r="N42" i="44"/>
  <c r="O249" i="44"/>
  <c r="N249" i="44"/>
  <c r="N237" i="44"/>
  <c r="O237" i="44"/>
  <c r="O223" i="44"/>
  <c r="N223" i="44"/>
  <c r="O260" i="44"/>
  <c r="N260" i="44"/>
  <c r="N155" i="44"/>
  <c r="O155" i="44"/>
  <c r="O245" i="44"/>
  <c r="N245" i="44"/>
  <c r="N82" i="44"/>
  <c r="O82" i="44"/>
  <c r="N284" i="44"/>
  <c r="O284" i="44"/>
  <c r="N318" i="44"/>
  <c r="O318" i="44"/>
  <c r="O203" i="44"/>
  <c r="N203" i="44"/>
  <c r="O250" i="44"/>
  <c r="N250" i="44"/>
  <c r="N99" i="44"/>
  <c r="O99" i="44"/>
  <c r="O54" i="44"/>
  <c r="N54" i="44"/>
  <c r="O128" i="44"/>
  <c r="N128" i="44"/>
  <c r="N337" i="44"/>
  <c r="O337" i="44"/>
  <c r="O170" i="44"/>
  <c r="N170" i="44"/>
  <c r="O241" i="44"/>
  <c r="N241" i="44"/>
  <c r="N281" i="44"/>
  <c r="O281" i="44"/>
  <c r="N348" i="44"/>
  <c r="O348" i="44"/>
  <c r="N158" i="44"/>
  <c r="O158" i="44"/>
  <c r="O173" i="44"/>
  <c r="N173" i="44"/>
  <c r="O176" i="44"/>
  <c r="N176" i="44"/>
  <c r="O131" i="44"/>
  <c r="N131" i="44"/>
  <c r="N307" i="44"/>
  <c r="O307" i="44"/>
  <c r="O172" i="44"/>
  <c r="N172" i="44"/>
  <c r="N129" i="44"/>
  <c r="O129" i="44"/>
  <c r="O275" i="44"/>
  <c r="N275" i="44"/>
  <c r="N168" i="44"/>
  <c r="O168" i="44"/>
  <c r="O125" i="44"/>
  <c r="N125" i="44"/>
  <c r="N140" i="44"/>
  <c r="O140" i="44"/>
  <c r="N286" i="44"/>
  <c r="O286" i="44"/>
  <c r="O218" i="44"/>
  <c r="N218" i="44"/>
  <c r="N84" i="44"/>
  <c r="O84" i="44"/>
  <c r="O344" i="44"/>
  <c r="N344" i="44"/>
  <c r="O230" i="44"/>
  <c r="N230" i="44"/>
  <c r="N66" i="44"/>
  <c r="O66" i="44"/>
  <c r="N352" i="44"/>
  <c r="O352" i="44"/>
  <c r="N201" i="44"/>
  <c r="O201" i="44"/>
  <c r="N157" i="44"/>
  <c r="O157" i="44"/>
  <c r="N192" i="44"/>
  <c r="O192" i="44"/>
  <c r="N346" i="44"/>
  <c r="O346" i="44"/>
  <c r="N146" i="44"/>
  <c r="O146" i="44"/>
  <c r="N100" i="44"/>
  <c r="O100" i="44"/>
  <c r="O313" i="44"/>
  <c r="N313" i="44"/>
  <c r="O217" i="44"/>
  <c r="N217" i="44"/>
  <c r="O301" i="44"/>
  <c r="N301" i="44"/>
  <c r="O185" i="44"/>
  <c r="N185" i="44"/>
  <c r="O150" i="44"/>
  <c r="N150" i="44"/>
  <c r="O50" i="44"/>
  <c r="N50" i="44"/>
  <c r="N139" i="44"/>
  <c r="O139" i="44"/>
  <c r="N46" i="44"/>
  <c r="O46" i="44"/>
  <c r="O227" i="44"/>
  <c r="N227" i="44"/>
  <c r="N331" i="44"/>
  <c r="O331" i="44"/>
  <c r="O148" i="44"/>
  <c r="N148" i="44"/>
  <c r="N338" i="44"/>
  <c r="O338" i="44"/>
  <c r="N327" i="44"/>
  <c r="O327" i="44"/>
  <c r="N141" i="44"/>
  <c r="O141" i="44"/>
  <c r="N324" i="44"/>
  <c r="O324" i="44"/>
  <c r="N294" i="44"/>
  <c r="O294" i="44"/>
  <c r="N127" i="44"/>
  <c r="O127" i="44"/>
  <c r="O120" i="44"/>
  <c r="N120" i="44"/>
  <c r="N45" i="44"/>
  <c r="O45" i="44"/>
  <c r="O48" i="44"/>
  <c r="N48" i="44"/>
  <c r="N69" i="44"/>
  <c r="O69" i="44"/>
  <c r="N112" i="44"/>
  <c r="O112" i="44"/>
  <c r="N204" i="44"/>
  <c r="O204" i="44"/>
  <c r="O188" i="44"/>
  <c r="N188" i="44"/>
  <c r="O117" i="44"/>
  <c r="N117" i="44"/>
  <c r="N211" i="44"/>
  <c r="O211" i="44"/>
  <c r="O44" i="44"/>
  <c r="N44" i="44"/>
  <c r="N330" i="44"/>
  <c r="O330" i="44"/>
  <c r="N299" i="44"/>
  <c r="O299" i="44"/>
  <c r="N135" i="44"/>
  <c r="O135" i="44"/>
  <c r="N246" i="44"/>
  <c r="O246" i="44"/>
  <c r="O240" i="44"/>
  <c r="N240" i="44"/>
  <c r="O206" i="44"/>
  <c r="N206" i="44"/>
  <c r="N243" i="44"/>
  <c r="O243" i="44"/>
  <c r="O179" i="44"/>
  <c r="N179" i="44"/>
  <c r="N160" i="44"/>
  <c r="O160" i="44"/>
  <c r="N356" i="44"/>
  <c r="O356" i="44"/>
  <c r="N166" i="44"/>
  <c r="O166" i="44"/>
  <c r="N71" i="44"/>
  <c r="O71" i="44"/>
  <c r="N345" i="44"/>
  <c r="O345" i="44"/>
  <c r="N133" i="44"/>
  <c r="O133" i="44"/>
  <c r="O300" i="44"/>
  <c r="N300" i="44"/>
  <c r="O340" i="44"/>
  <c r="N340" i="44"/>
  <c r="N65" i="44"/>
  <c r="O65" i="44"/>
  <c r="N333" i="44"/>
  <c r="O333" i="44"/>
  <c r="N321" i="44"/>
  <c r="O321" i="44"/>
  <c r="N49" i="44"/>
  <c r="O49" i="44"/>
  <c r="N220" i="44"/>
  <c r="O220" i="44"/>
  <c r="N64" i="44"/>
  <c r="O64" i="44"/>
  <c r="O181" i="44"/>
  <c r="N181" i="44"/>
  <c r="O47" i="44"/>
  <c r="N47" i="44"/>
  <c r="O229" i="44"/>
  <c r="N229" i="44"/>
  <c r="O319" i="44"/>
  <c r="N319" i="44"/>
  <c r="O238" i="44"/>
  <c r="N238" i="44"/>
  <c r="N55" i="44"/>
  <c r="O55" i="44"/>
  <c r="O314" i="44"/>
  <c r="N314" i="44"/>
  <c r="N210" i="44"/>
  <c r="O210" i="44"/>
  <c r="O39" i="44"/>
  <c r="N39" i="44"/>
  <c r="N18" i="8"/>
  <c r="N19" i="8" s="1"/>
  <c r="N21" i="8" s="1"/>
  <c r="L18" i="8"/>
  <c r="L17" i="8"/>
  <c r="L14" i="7" l="1"/>
  <c r="G14" i="7" s="1"/>
  <c r="A76" i="6" s="1"/>
  <c r="L16" i="7"/>
  <c r="G16" i="7" s="1"/>
  <c r="A78" i="6" s="1"/>
  <c r="L15" i="7"/>
  <c r="G15" i="7" s="1"/>
  <c r="A77" i="6" s="1"/>
  <c r="L19" i="7"/>
  <c r="L18" i="7"/>
  <c r="G18" i="7" s="1"/>
  <c r="A80" i="6" s="1"/>
  <c r="L17" i="7"/>
  <c r="J21" i="44"/>
  <c r="E137" i="6" s="1"/>
  <c r="J23" i="44"/>
  <c r="F21" i="44"/>
  <c r="J22" i="44"/>
  <c r="F23" i="44"/>
  <c r="G23" i="44" s="1"/>
  <c r="F22" i="44"/>
  <c r="G22" i="44" s="1"/>
  <c r="K22" i="44"/>
  <c r="K21" i="44"/>
  <c r="K23" i="44"/>
  <c r="J9" i="44" a="1"/>
  <c r="J9" i="44" s="1"/>
  <c r="J10" i="44" s="1"/>
  <c r="K20" i="44"/>
  <c r="L19" i="8"/>
  <c r="L21" i="8" s="1"/>
  <c r="G19" i="7" l="1"/>
  <c r="A81" i="6" s="1"/>
  <c r="G17" i="7"/>
  <c r="A79" i="6" s="1"/>
  <c r="I21" i="44"/>
  <c r="D137" i="6"/>
  <c r="E166" i="6" s="1"/>
  <c r="I23" i="44"/>
  <c r="I22" i="44"/>
  <c r="G21" i="44"/>
  <c r="G22" i="8"/>
  <c r="H21" i="44" a="1"/>
  <c r="H21" i="44" l="1"/>
  <c r="F22" i="8"/>
  <c r="H23" i="44" a="1"/>
  <c r="H22" i="44" a="1"/>
  <c r="H23" i="44" l="1"/>
  <c r="H22" i="44"/>
  <c r="H22" i="8"/>
  <c r="H24" i="8" l="1"/>
  <c r="B100" i="6"/>
  <c r="C70" i="6"/>
  <c r="I7" i="7" l="1"/>
  <c r="M7" i="7"/>
  <c r="H7" i="7"/>
  <c r="G7" i="7"/>
  <c r="G5" i="7"/>
  <c r="G2" i="7"/>
  <c r="G3" i="7"/>
  <c r="G4" i="7"/>
  <c r="G1" i="7"/>
  <c r="B109" i="6" l="1"/>
  <c r="B110" i="6"/>
  <c r="B106" i="6"/>
  <c r="B103" i="6"/>
  <c r="B104" i="6"/>
  <c r="B108" i="6"/>
  <c r="B101" i="6"/>
  <c r="B102" i="6"/>
  <c r="B107" i="6"/>
  <c r="C75" i="6"/>
  <c r="B105" i="6"/>
  <c r="J14" i="7"/>
  <c r="D70" i="6"/>
  <c r="E70" i="6" s="1"/>
  <c r="C77" i="6"/>
  <c r="C78" i="6"/>
  <c r="C74" i="6"/>
  <c r="C76" i="6"/>
  <c r="C73" i="6"/>
  <c r="C71" i="6"/>
  <c r="C72" i="6"/>
  <c r="C101" i="6" l="1"/>
  <c r="M8" i="7"/>
  <c r="C100" i="6"/>
  <c r="C102" i="6"/>
  <c r="D102" i="6"/>
  <c r="D101" i="6"/>
  <c r="D100" i="6"/>
  <c r="C80" i="6"/>
  <c r="M17" i="7"/>
  <c r="D73" i="6"/>
  <c r="D76" i="6"/>
  <c r="C107" i="6" l="1"/>
  <c r="E76" i="6"/>
  <c r="M14" i="7" s="1"/>
  <c r="E73" i="6"/>
  <c r="M11" i="7" s="1"/>
  <c r="C106" i="6"/>
  <c r="C108" i="6"/>
  <c r="C105" i="6"/>
  <c r="C104" i="6"/>
  <c r="C103" i="6"/>
  <c r="C110" i="6"/>
  <c r="B90" i="6"/>
  <c r="B93" i="6"/>
  <c r="B91" i="6"/>
  <c r="B89" i="6"/>
  <c r="B88" i="6"/>
  <c r="B94" i="6"/>
  <c r="B92" i="6"/>
  <c r="D111" i="6"/>
  <c r="D110" i="6"/>
  <c r="D109" i="6"/>
  <c r="D104" i="6"/>
  <c r="D103" i="6"/>
  <c r="D105" i="6"/>
  <c r="D107" i="6"/>
  <c r="D106" i="6"/>
  <c r="D108" i="6"/>
  <c r="B95" i="6" l="1"/>
  <c r="F19" i="8" l="1"/>
  <c r="N29" i="8" s="1"/>
  <c r="N4" i="8" s="1"/>
  <c r="D60" i="6" s="1"/>
  <c r="H11" i="8"/>
  <c r="J11" i="8" s="1"/>
  <c r="D17" i="8"/>
  <c r="B20" i="8"/>
  <c r="B27" i="6"/>
  <c r="B36" i="6" s="1"/>
  <c r="B32" i="6" l="1"/>
  <c r="B35" i="6"/>
  <c r="B33" i="6"/>
  <c r="B21" i="8"/>
  <c r="N22" i="8" s="1"/>
  <c r="N25" i="8" s="1"/>
  <c r="N26" i="8" s="1"/>
  <c r="F16" i="8"/>
  <c r="C18" i="8"/>
  <c r="C17" i="8"/>
  <c r="N5" i="8"/>
  <c r="F17" i="8"/>
  <c r="L22" i="8" l="1"/>
  <c r="L25" i="8" s="1"/>
  <c r="L26" i="8" s="1"/>
  <c r="N8" i="8"/>
  <c r="D64" i="6" s="1"/>
  <c r="N7" i="8"/>
  <c r="D63" i="6" s="1"/>
  <c r="B34" i="6"/>
  <c r="D18" i="8"/>
  <c r="D61" i="6"/>
  <c r="M4" i="8"/>
  <c r="N27" i="8"/>
  <c r="F18" i="8" l="1"/>
  <c r="C50" i="6"/>
  <c r="L27" i="8"/>
  <c r="N28" i="8"/>
  <c r="N30" i="8" s="1"/>
  <c r="L4" i="8"/>
  <c r="B60" i="6" s="1"/>
  <c r="B26" i="8"/>
  <c r="M5" i="8"/>
  <c r="C60" i="6"/>
  <c r="B41" i="6"/>
  <c r="B44" i="6" s="1"/>
  <c r="B42" i="6"/>
  <c r="B45" i="6" s="1"/>
  <c r="B43" i="6"/>
  <c r="B46" i="6" s="1"/>
  <c r="B38" i="6" l="1"/>
  <c r="C4" i="45" s="1"/>
  <c r="D4" i="45" s="1"/>
  <c r="E39" i="6" s="1"/>
  <c r="B37" i="6"/>
  <c r="C3" i="45" s="1"/>
  <c r="D3" i="45" s="1"/>
  <c r="B39" i="6" s="1"/>
  <c r="L5" i="8"/>
  <c r="L8" i="8" s="1"/>
  <c r="B64" i="6" s="1"/>
  <c r="L32" i="8"/>
  <c r="B125" i="6"/>
  <c r="B25" i="8"/>
  <c r="L31" i="8" s="1"/>
  <c r="M8" i="8"/>
  <c r="C64" i="6" s="1"/>
  <c r="M7" i="8"/>
  <c r="C63" i="6" s="1"/>
  <c r="C61" i="6"/>
  <c r="M6" i="8"/>
  <c r="C62" i="6" s="1"/>
  <c r="G6" i="8"/>
  <c r="I6" i="8" s="1"/>
  <c r="E4" i="45" l="1"/>
  <c r="C51" i="6"/>
  <c r="B129" i="6" a="1"/>
  <c r="B129" i="6" s="1"/>
  <c r="B155" i="6"/>
  <c r="C154" i="6" s="1"/>
  <c r="L7" i="8"/>
  <c r="B63" i="6" s="1"/>
  <c r="L6" i="8"/>
  <c r="B62" i="6" s="1"/>
  <c r="B61" i="6"/>
  <c r="G11" i="8"/>
  <c r="B126" i="6" l="1"/>
  <c r="B130" i="6" s="1" a="1"/>
  <c r="B130" i="6" s="1"/>
  <c r="B157" i="6"/>
  <c r="B31" i="6"/>
  <c r="I11" i="8"/>
  <c r="L33" i="8"/>
  <c r="B158" i="6" l="1"/>
  <c r="B159" i="6" s="1"/>
  <c r="S2" i="9" s="1"/>
  <c r="Y1" i="9"/>
  <c r="J6" i="44" l="1"/>
  <c r="T37" i="9"/>
  <c r="U37" i="9" s="1"/>
  <c r="T36" i="9"/>
  <c r="U36" i="9" s="1"/>
  <c r="T35" i="9"/>
  <c r="X35" i="9" s="1"/>
  <c r="C151" i="6" s="1"/>
  <c r="T34" i="9"/>
  <c r="T51" i="9"/>
  <c r="U51" i="9" s="1"/>
  <c r="T56" i="9"/>
  <c r="U56" i="9" s="1"/>
  <c r="T53" i="9"/>
  <c r="U53" i="9" s="1"/>
  <c r="T50" i="9"/>
  <c r="T54" i="9"/>
  <c r="U54" i="9" s="1"/>
  <c r="T52" i="9"/>
  <c r="U52" i="9" s="1"/>
  <c r="T55" i="9"/>
  <c r="U55" i="9" s="1"/>
  <c r="T49" i="9"/>
  <c r="X49" i="9" s="1"/>
  <c r="C135" i="6" l="1"/>
  <c r="D135" i="6" s="1"/>
  <c r="U34" i="9"/>
  <c r="X34" i="9"/>
  <c r="C150" i="6" s="1"/>
  <c r="U35" i="9"/>
  <c r="R44" i="9" a="1"/>
  <c r="R44" i="9" s="1"/>
  <c r="B161" i="6" s="1"/>
  <c r="G166" i="6" s="1"/>
  <c r="U49" i="9"/>
  <c r="U50" i="9"/>
  <c r="X50" i="9"/>
  <c r="C140" i="6" s="1"/>
  <c r="R63" i="9" a="1"/>
  <c r="R63" i="9" s="1"/>
  <c r="S63" i="9" l="1"/>
  <c r="Y8" i="9"/>
  <c r="Y9" i="9" s="1"/>
  <c r="B143" i="6"/>
  <c r="B138" i="6"/>
  <c r="N5" i="44" l="1"/>
  <c r="E5" i="44"/>
  <c r="C26" i="44"/>
  <c r="C25" i="44"/>
  <c r="C24" i="44"/>
  <c r="C5" i="44"/>
  <c r="M5" i="44"/>
  <c r="P40" i="44" l="1"/>
  <c r="P52" i="44"/>
  <c r="P64" i="44"/>
  <c r="P76" i="44"/>
  <c r="P88" i="44"/>
  <c r="P100" i="44"/>
  <c r="P112" i="44"/>
  <c r="P124" i="44"/>
  <c r="P136" i="44"/>
  <c r="P148" i="44"/>
  <c r="P160" i="44"/>
  <c r="P172" i="44"/>
  <c r="P184" i="44"/>
  <c r="P196" i="44"/>
  <c r="P208" i="44"/>
  <c r="P220" i="44"/>
  <c r="P232" i="44"/>
  <c r="P244" i="44"/>
  <c r="P256" i="44"/>
  <c r="P268" i="44"/>
  <c r="P280" i="44"/>
  <c r="P292" i="44"/>
  <c r="P304" i="44"/>
  <c r="P316" i="44"/>
  <c r="P328" i="44"/>
  <c r="P340" i="44"/>
  <c r="P352" i="44"/>
  <c r="P41" i="44"/>
  <c r="P53" i="44"/>
  <c r="P65" i="44"/>
  <c r="P77" i="44"/>
  <c r="P89" i="44"/>
  <c r="P101" i="44"/>
  <c r="P113" i="44"/>
  <c r="P125" i="44"/>
  <c r="P149" i="44"/>
  <c r="P161" i="44"/>
  <c r="P173" i="44"/>
  <c r="P185" i="44"/>
  <c r="P197" i="44"/>
  <c r="P209" i="44"/>
  <c r="P221" i="44"/>
  <c r="P233" i="44"/>
  <c r="P245" i="44"/>
  <c r="P269" i="44"/>
  <c r="P281" i="44"/>
  <c r="P293" i="44"/>
  <c r="P317" i="44"/>
  <c r="P329" i="44"/>
  <c r="P353" i="44"/>
  <c r="P54" i="44"/>
  <c r="P66" i="44"/>
  <c r="P78" i="44"/>
  <c r="P102" i="44"/>
  <c r="P114" i="44"/>
  <c r="P138" i="44"/>
  <c r="P162" i="44"/>
  <c r="P186" i="44"/>
  <c r="P210" i="44"/>
  <c r="P222" i="44"/>
  <c r="P246" i="44"/>
  <c r="P270" i="44"/>
  <c r="P294" i="44"/>
  <c r="P330" i="44"/>
  <c r="P354" i="44"/>
  <c r="P91" i="44"/>
  <c r="P151" i="44"/>
  <c r="P211" i="44"/>
  <c r="P295" i="44"/>
  <c r="P355" i="44"/>
  <c r="P92" i="44"/>
  <c r="P152" i="44"/>
  <c r="P188" i="44"/>
  <c r="P248" i="44"/>
  <c r="P308" i="44"/>
  <c r="P69" i="44"/>
  <c r="P129" i="44"/>
  <c r="P189" i="44"/>
  <c r="P249" i="44"/>
  <c r="P309" i="44"/>
  <c r="P137" i="44"/>
  <c r="P257" i="44"/>
  <c r="P305" i="44"/>
  <c r="P341" i="44"/>
  <c r="P42" i="44"/>
  <c r="P90" i="44"/>
  <c r="P126" i="44"/>
  <c r="P150" i="44"/>
  <c r="P174" i="44"/>
  <c r="P198" i="44"/>
  <c r="P234" i="44"/>
  <c r="P258" i="44"/>
  <c r="P282" i="44"/>
  <c r="P306" i="44"/>
  <c r="P318" i="44"/>
  <c r="P342" i="44"/>
  <c r="P79" i="44"/>
  <c r="P163" i="44"/>
  <c r="P235" i="44"/>
  <c r="P283" i="44"/>
  <c r="P343" i="44"/>
  <c r="P80" i="44"/>
  <c r="P140" i="44"/>
  <c r="P200" i="44"/>
  <c r="P260" i="44"/>
  <c r="P332" i="44"/>
  <c r="P81" i="44"/>
  <c r="P105" i="44"/>
  <c r="P177" i="44"/>
  <c r="P213" i="44"/>
  <c r="P285" i="44"/>
  <c r="P345" i="44"/>
  <c r="P46" i="44"/>
  <c r="P58" i="44"/>
  <c r="P70" i="44"/>
  <c r="P82" i="44"/>
  <c r="P94" i="44"/>
  <c r="P106" i="44"/>
  <c r="P118" i="44"/>
  <c r="P130" i="44"/>
  <c r="P142" i="44"/>
  <c r="P154" i="44"/>
  <c r="P166" i="44"/>
  <c r="P178" i="44"/>
  <c r="P190" i="44"/>
  <c r="P202" i="44"/>
  <c r="P214" i="44"/>
  <c r="P226" i="44"/>
  <c r="P238" i="44"/>
  <c r="P250" i="44"/>
  <c r="P262" i="44"/>
  <c r="P274" i="44"/>
  <c r="P286" i="44"/>
  <c r="P298" i="44"/>
  <c r="P310" i="44"/>
  <c r="P322" i="44"/>
  <c r="P334" i="44"/>
  <c r="P346" i="44"/>
  <c r="P336" i="44"/>
  <c r="P49" i="44"/>
  <c r="P109" i="44"/>
  <c r="P145" i="44"/>
  <c r="P193" i="44"/>
  <c r="P229" i="44"/>
  <c r="P265" i="44"/>
  <c r="P289" i="44"/>
  <c r="P325" i="44"/>
  <c r="P50" i="44"/>
  <c r="P98" i="44"/>
  <c r="P146" i="44"/>
  <c r="P194" i="44"/>
  <c r="P218" i="44"/>
  <c r="P254" i="44"/>
  <c r="P290" i="44"/>
  <c r="P326" i="44"/>
  <c r="P63" i="44"/>
  <c r="P87" i="44"/>
  <c r="P111" i="44"/>
  <c r="P147" i="44"/>
  <c r="P159" i="44"/>
  <c r="P207" i="44"/>
  <c r="P243" i="44"/>
  <c r="P279" i="44"/>
  <c r="P315" i="44"/>
  <c r="P351" i="44"/>
  <c r="P55" i="44"/>
  <c r="P103" i="44"/>
  <c r="P139" i="44"/>
  <c r="P187" i="44"/>
  <c r="P223" i="44"/>
  <c r="P271" i="44"/>
  <c r="P331" i="44"/>
  <c r="P44" i="44"/>
  <c r="P116" i="44"/>
  <c r="P176" i="44"/>
  <c r="P236" i="44"/>
  <c r="P284" i="44"/>
  <c r="P320" i="44"/>
  <c r="P356" i="44"/>
  <c r="P57" i="44"/>
  <c r="P153" i="44"/>
  <c r="P225" i="44"/>
  <c r="P273" i="44"/>
  <c r="P39" i="44"/>
  <c r="P47" i="44"/>
  <c r="P59" i="44"/>
  <c r="P71" i="44"/>
  <c r="P83" i="44"/>
  <c r="P95" i="44"/>
  <c r="P107" i="44"/>
  <c r="P119" i="44"/>
  <c r="P131" i="44"/>
  <c r="P143" i="44"/>
  <c r="P155" i="44"/>
  <c r="P167" i="44"/>
  <c r="P179" i="44"/>
  <c r="P191" i="44"/>
  <c r="P203" i="44"/>
  <c r="P215" i="44"/>
  <c r="P227" i="44"/>
  <c r="P239" i="44"/>
  <c r="P251" i="44"/>
  <c r="P263" i="44"/>
  <c r="P275" i="44"/>
  <c r="P287" i="44"/>
  <c r="P299" i="44"/>
  <c r="P311" i="44"/>
  <c r="P323" i="44"/>
  <c r="P335" i="44"/>
  <c r="P347" i="44"/>
  <c r="P324" i="44"/>
  <c r="P61" i="44"/>
  <c r="P85" i="44"/>
  <c r="P133" i="44"/>
  <c r="P169" i="44"/>
  <c r="P205" i="44"/>
  <c r="P241" i="44"/>
  <c r="P277" i="44"/>
  <c r="P313" i="44"/>
  <c r="P349" i="44"/>
  <c r="P74" i="44"/>
  <c r="P110" i="44"/>
  <c r="P134" i="44"/>
  <c r="P170" i="44"/>
  <c r="P206" i="44"/>
  <c r="P242" i="44"/>
  <c r="P278" i="44"/>
  <c r="P314" i="44"/>
  <c r="P350" i="44"/>
  <c r="P51" i="44"/>
  <c r="P123" i="44"/>
  <c r="P183" i="44"/>
  <c r="P219" i="44"/>
  <c r="P255" i="44"/>
  <c r="P291" i="44"/>
  <c r="P327" i="44"/>
  <c r="P67" i="44"/>
  <c r="P115" i="44"/>
  <c r="P175" i="44"/>
  <c r="P247" i="44"/>
  <c r="P307" i="44"/>
  <c r="P68" i="44"/>
  <c r="P128" i="44"/>
  <c r="P224" i="44"/>
  <c r="P296" i="44"/>
  <c r="P45" i="44"/>
  <c r="P141" i="44"/>
  <c r="P237" i="44"/>
  <c r="P297" i="44"/>
  <c r="P333" i="44"/>
  <c r="P48" i="44"/>
  <c r="P60" i="44"/>
  <c r="P72" i="44"/>
  <c r="P84" i="44"/>
  <c r="P96" i="44"/>
  <c r="P108" i="44"/>
  <c r="P120" i="44"/>
  <c r="P132" i="44"/>
  <c r="P144" i="44"/>
  <c r="P156" i="44"/>
  <c r="P168" i="44"/>
  <c r="P180" i="44"/>
  <c r="P192" i="44"/>
  <c r="P204" i="44"/>
  <c r="P216" i="44"/>
  <c r="P228" i="44"/>
  <c r="P240" i="44"/>
  <c r="P252" i="44"/>
  <c r="P264" i="44"/>
  <c r="P276" i="44"/>
  <c r="P288" i="44"/>
  <c r="P300" i="44"/>
  <c r="P312" i="44"/>
  <c r="P348" i="44"/>
  <c r="P73" i="44"/>
  <c r="P97" i="44"/>
  <c r="P121" i="44"/>
  <c r="P157" i="44"/>
  <c r="P181" i="44"/>
  <c r="P217" i="44"/>
  <c r="P253" i="44"/>
  <c r="P301" i="44"/>
  <c r="P337" i="44"/>
  <c r="P62" i="44"/>
  <c r="P86" i="44"/>
  <c r="P122" i="44"/>
  <c r="P158" i="44"/>
  <c r="P182" i="44"/>
  <c r="P230" i="44"/>
  <c r="P266" i="44"/>
  <c r="P302" i="44"/>
  <c r="P338" i="44"/>
  <c r="P75" i="44"/>
  <c r="P99" i="44"/>
  <c r="P135" i="44"/>
  <c r="P171" i="44"/>
  <c r="P195" i="44"/>
  <c r="P231" i="44"/>
  <c r="P267" i="44"/>
  <c r="P303" i="44"/>
  <c r="P339" i="44"/>
  <c r="P43" i="44"/>
  <c r="P127" i="44"/>
  <c r="P199" i="44"/>
  <c r="P259" i="44"/>
  <c r="P319" i="44"/>
  <c r="P56" i="44"/>
  <c r="P104" i="44"/>
  <c r="P164" i="44"/>
  <c r="P212" i="44"/>
  <c r="P272" i="44"/>
  <c r="P344" i="44"/>
  <c r="P93" i="44"/>
  <c r="P117" i="44"/>
  <c r="P165" i="44"/>
  <c r="P201" i="44"/>
  <c r="P261" i="44"/>
  <c r="P321" i="44"/>
  <c r="R145" i="44" l="1"/>
  <c r="Q145" i="44"/>
  <c r="R170" i="44"/>
  <c r="Q170" i="44"/>
  <c r="R127" i="44"/>
  <c r="Q127" i="44"/>
  <c r="Q168" i="44"/>
  <c r="R168" i="44"/>
  <c r="Q180" i="44"/>
  <c r="R180" i="44"/>
  <c r="R262" i="44"/>
  <c r="Q262" i="44"/>
  <c r="R113" i="44"/>
  <c r="Q113" i="44"/>
  <c r="R140" i="44"/>
  <c r="Q140" i="44"/>
  <c r="Q45" i="44"/>
  <c r="R45" i="44"/>
  <c r="Q72" i="44"/>
  <c r="R72" i="44"/>
  <c r="R141" i="44"/>
  <c r="Q141" i="44"/>
  <c r="Q206" i="44"/>
  <c r="R206" i="44"/>
  <c r="R64" i="44"/>
  <c r="Q64" i="44"/>
  <c r="Q246" i="44"/>
  <c r="R246" i="44"/>
  <c r="R329" i="44"/>
  <c r="Q329" i="44"/>
  <c r="Q320" i="44"/>
  <c r="R320" i="44"/>
  <c r="R331" i="44"/>
  <c r="Q331" i="44"/>
  <c r="R351" i="44"/>
  <c r="Q351" i="44"/>
  <c r="R319" i="44"/>
  <c r="Q319" i="44"/>
  <c r="R132" i="44"/>
  <c r="Q132" i="44"/>
  <c r="R241" i="44"/>
  <c r="Q241" i="44"/>
  <c r="R86" i="44"/>
  <c r="Q86" i="44"/>
  <c r="Q263" i="44"/>
  <c r="R263" i="44"/>
  <c r="R279" i="44"/>
  <c r="Q279" i="44"/>
  <c r="R307" i="44"/>
  <c r="Q307" i="44"/>
  <c r="Q42" i="44"/>
  <c r="R42" i="44"/>
  <c r="R152" i="44"/>
  <c r="Q152" i="44"/>
  <c r="Q217" i="44"/>
  <c r="R217" i="44"/>
  <c r="Q97" i="44"/>
  <c r="R97" i="44"/>
  <c r="Q156" i="44"/>
  <c r="R156" i="44"/>
  <c r="R175" i="44"/>
  <c r="Q175" i="44"/>
  <c r="R258" i="44"/>
  <c r="Q258" i="44"/>
  <c r="R94" i="44"/>
  <c r="Q94" i="44"/>
  <c r="R128" i="44"/>
  <c r="Q128" i="44"/>
  <c r="Q205" i="44"/>
  <c r="R205" i="44"/>
  <c r="R62" i="44"/>
  <c r="Q62" i="44"/>
  <c r="R133" i="44"/>
  <c r="Q133" i="44"/>
  <c r="Q204" i="44"/>
  <c r="R204" i="44"/>
  <c r="Q309" i="44"/>
  <c r="R309" i="44"/>
  <c r="R327" i="44"/>
  <c r="Q327" i="44"/>
  <c r="Q302" i="44"/>
  <c r="R302" i="44"/>
  <c r="R74" i="44"/>
  <c r="Q74" i="44"/>
  <c r="R146" i="44"/>
  <c r="Q146" i="44"/>
  <c r="R51" i="44"/>
  <c r="Q51" i="44"/>
  <c r="Q308" i="44"/>
  <c r="R308" i="44"/>
  <c r="R89" i="44"/>
  <c r="Q89" i="44"/>
  <c r="Q142" i="44"/>
  <c r="R142" i="44"/>
  <c r="Q49" i="44"/>
  <c r="R49" i="44"/>
  <c r="Q345" i="44"/>
  <c r="R345" i="44"/>
  <c r="Q315" i="44"/>
  <c r="R315" i="44"/>
  <c r="R278" i="44"/>
  <c r="Q278" i="44"/>
  <c r="Q301" i="44"/>
  <c r="R301" i="44"/>
  <c r="R291" i="44"/>
  <c r="Q291" i="44"/>
  <c r="R328" i="44"/>
  <c r="Q328" i="44"/>
  <c r="R300" i="44"/>
  <c r="Q300" i="44"/>
  <c r="R348" i="44"/>
  <c r="Q348" i="44"/>
  <c r="R76" i="44"/>
  <c r="Q76" i="44"/>
  <c r="R356" i="44"/>
  <c r="Q356" i="44"/>
  <c r="R221" i="44"/>
  <c r="Q221" i="44"/>
  <c r="Q215" i="44"/>
  <c r="R215" i="44"/>
  <c r="Q272" i="44"/>
  <c r="R272" i="44"/>
  <c r="R264" i="44"/>
  <c r="Q264" i="44"/>
  <c r="Q324" i="44"/>
  <c r="R324" i="44"/>
  <c r="R126" i="44"/>
  <c r="Q126" i="44"/>
  <c r="Q275" i="44"/>
  <c r="R275" i="44"/>
  <c r="R92" i="44"/>
  <c r="Q92" i="44"/>
  <c r="Q121" i="44"/>
  <c r="R121" i="44"/>
  <c r="R228" i="44"/>
  <c r="Q228" i="44"/>
  <c r="Q220" i="44"/>
  <c r="R220" i="44"/>
  <c r="R112" i="44"/>
  <c r="Q112" i="44"/>
  <c r="R193" i="44"/>
  <c r="Q193" i="44"/>
  <c r="Q106" i="44"/>
  <c r="R106" i="44"/>
  <c r="Q118" i="44"/>
  <c r="R118" i="44"/>
  <c r="Q138" i="44"/>
  <c r="R138" i="44"/>
  <c r="R334" i="44"/>
  <c r="Q334" i="44"/>
  <c r="R104" i="44"/>
  <c r="Q104" i="44"/>
  <c r="Q311" i="44"/>
  <c r="R311" i="44"/>
  <c r="R305" i="44"/>
  <c r="Q305" i="44"/>
  <c r="R124" i="44"/>
  <c r="Q124" i="44"/>
  <c r="R350" i="44"/>
  <c r="Q350" i="44"/>
  <c r="Q286" i="44"/>
  <c r="R286" i="44"/>
  <c r="R153" i="44"/>
  <c r="Q153" i="44"/>
  <c r="R335" i="44"/>
  <c r="Q335" i="44"/>
  <c r="Q292" i="44"/>
  <c r="R292" i="44"/>
  <c r="R238" i="44"/>
  <c r="Q238" i="44"/>
  <c r="Q298" i="44"/>
  <c r="R298" i="44"/>
  <c r="Q283" i="44"/>
  <c r="R283" i="44"/>
  <c r="R325" i="44"/>
  <c r="Q325" i="44"/>
  <c r="R297" i="44"/>
  <c r="Q297" i="44"/>
  <c r="R343" i="44"/>
  <c r="Q343" i="44"/>
  <c r="Q52" i="44"/>
  <c r="R52" i="44"/>
  <c r="R352" i="44"/>
  <c r="Q352" i="44"/>
  <c r="Q216" i="44"/>
  <c r="R216" i="44"/>
  <c r="Q211" i="44"/>
  <c r="R211" i="44"/>
  <c r="R255" i="44"/>
  <c r="Q255" i="44"/>
  <c r="Q254" i="44"/>
  <c r="R254" i="44"/>
  <c r="R322" i="44"/>
  <c r="Q322" i="44"/>
  <c r="R81" i="44"/>
  <c r="Q81" i="44"/>
  <c r="Q266" i="44"/>
  <c r="R266" i="44"/>
  <c r="R68" i="44"/>
  <c r="Q68" i="44"/>
  <c r="R107" i="44"/>
  <c r="Q107" i="44"/>
  <c r="R223" i="44"/>
  <c r="Q223" i="44"/>
  <c r="R196" i="44"/>
  <c r="Q196" i="44"/>
  <c r="Q103" i="44"/>
  <c r="R103" i="44"/>
  <c r="R151" i="44"/>
  <c r="Q151" i="44"/>
  <c r="Q99" i="44"/>
  <c r="R99" i="44"/>
  <c r="R110" i="44"/>
  <c r="Q110" i="44"/>
  <c r="Q136" i="44"/>
  <c r="R136" i="44"/>
  <c r="Q347" i="44"/>
  <c r="R347" i="44"/>
  <c r="R109" i="44"/>
  <c r="Q109" i="44"/>
  <c r="R129" i="44"/>
  <c r="Q129" i="44"/>
  <c r="Q243" i="44"/>
  <c r="R243" i="44"/>
  <c r="R251" i="44"/>
  <c r="Q251" i="44"/>
  <c r="R73" i="44"/>
  <c r="Q73" i="44"/>
  <c r="Q259" i="44"/>
  <c r="R259" i="44"/>
  <c r="Q195" i="44"/>
  <c r="R195" i="44"/>
  <c r="Q321" i="44"/>
  <c r="R321" i="44"/>
  <c r="R232" i="44"/>
  <c r="Q232" i="44"/>
  <c r="Q167" i="44"/>
  <c r="R167" i="44"/>
  <c r="Q190" i="44"/>
  <c r="R190" i="44"/>
  <c r="Q244" i="44"/>
  <c r="R244" i="44"/>
  <c r="Q304" i="44"/>
  <c r="R304" i="44"/>
  <c r="R281" i="44"/>
  <c r="Q281" i="44"/>
  <c r="R338" i="44"/>
  <c r="Q338" i="44"/>
  <c r="Q260" i="44"/>
  <c r="R260" i="44"/>
  <c r="R337" i="44"/>
  <c r="Q337" i="44"/>
  <c r="Q208" i="44"/>
  <c r="R208" i="44"/>
  <c r="R149" i="44"/>
  <c r="Q149" i="44"/>
  <c r="R199" i="44"/>
  <c r="Q199" i="44"/>
  <c r="Q250" i="44"/>
  <c r="R250" i="44"/>
  <c r="Q306" i="44"/>
  <c r="R306" i="44"/>
  <c r="Q69" i="44"/>
  <c r="R69" i="44"/>
  <c r="Q257" i="44"/>
  <c r="R257" i="44"/>
  <c r="R41" i="44"/>
  <c r="Q41" i="44"/>
  <c r="R91" i="44"/>
  <c r="Q91" i="44"/>
  <c r="Q198" i="44"/>
  <c r="R198" i="44"/>
  <c r="R188" i="44"/>
  <c r="Q188" i="44"/>
  <c r="R98" i="44"/>
  <c r="Q98" i="44"/>
  <c r="Q139" i="44"/>
  <c r="R139" i="44"/>
  <c r="Q90" i="44"/>
  <c r="R90" i="44"/>
  <c r="Q85" i="44"/>
  <c r="R85" i="44"/>
  <c r="Q108" i="44"/>
  <c r="R108" i="44"/>
  <c r="R273" i="44"/>
  <c r="Q273" i="44"/>
  <c r="Q341" i="44"/>
  <c r="R341" i="44"/>
  <c r="R131" i="44"/>
  <c r="Q131" i="44"/>
  <c r="Q202" i="44"/>
  <c r="R202" i="44"/>
  <c r="R296" i="44"/>
  <c r="Q296" i="44"/>
  <c r="Q120" i="44"/>
  <c r="R120" i="44"/>
  <c r="R346" i="44"/>
  <c r="Q346" i="44"/>
  <c r="Q160" i="44"/>
  <c r="R160" i="44"/>
  <c r="Q176" i="44"/>
  <c r="R176" i="44"/>
  <c r="Q332" i="44"/>
  <c r="R332" i="44"/>
  <c r="Q182" i="44"/>
  <c r="R182" i="44"/>
  <c r="Q237" i="44"/>
  <c r="R237" i="44"/>
  <c r="R287" i="44"/>
  <c r="Q287" i="44"/>
  <c r="Q234" i="44"/>
  <c r="R234" i="44"/>
  <c r="R333" i="44"/>
  <c r="Q333" i="44"/>
  <c r="R253" i="44"/>
  <c r="Q253" i="44"/>
  <c r="R318" i="44"/>
  <c r="Q318" i="44"/>
  <c r="Q200" i="44"/>
  <c r="R200" i="44"/>
  <c r="R95" i="44"/>
  <c r="Q95" i="44"/>
  <c r="R191" i="44"/>
  <c r="Q191" i="44"/>
  <c r="R230" i="44"/>
  <c r="Q230" i="44"/>
  <c r="R299" i="44"/>
  <c r="Q299" i="44"/>
  <c r="Q242" i="44"/>
  <c r="R242" i="44"/>
  <c r="R252" i="44"/>
  <c r="Q252" i="44"/>
  <c r="R285" i="44"/>
  <c r="Q285" i="44"/>
  <c r="R44" i="44"/>
  <c r="Q44" i="44"/>
  <c r="Q185" i="44"/>
  <c r="R185" i="44"/>
  <c r="Q186" i="44"/>
  <c r="R186" i="44"/>
  <c r="R93" i="44"/>
  <c r="Q93" i="44"/>
  <c r="R134" i="44"/>
  <c r="Q134" i="44"/>
  <c r="R83" i="44"/>
  <c r="Q83" i="44"/>
  <c r="R59" i="44"/>
  <c r="Q59" i="44"/>
  <c r="R101" i="44"/>
  <c r="Q101" i="44"/>
  <c r="R144" i="44"/>
  <c r="Q144" i="44"/>
  <c r="R355" i="44"/>
  <c r="Q355" i="44"/>
  <c r="Q162" i="44"/>
  <c r="R162" i="44"/>
  <c r="R65" i="44"/>
  <c r="Q65" i="44"/>
  <c r="R122" i="44"/>
  <c r="Q122" i="44"/>
  <c r="R310" i="44"/>
  <c r="Q310" i="44"/>
  <c r="R105" i="44"/>
  <c r="Q105" i="44"/>
  <c r="Q240" i="44"/>
  <c r="R240" i="44"/>
  <c r="Q353" i="44"/>
  <c r="R353" i="44"/>
  <c r="R119" i="44"/>
  <c r="Q119" i="44"/>
  <c r="Q289" i="44"/>
  <c r="R289" i="44"/>
  <c r="Q174" i="44"/>
  <c r="R174" i="44"/>
  <c r="Q222" i="44"/>
  <c r="R222" i="44"/>
  <c r="R276" i="44"/>
  <c r="Q276" i="44"/>
  <c r="Q210" i="44"/>
  <c r="R210" i="44"/>
  <c r="R261" i="44"/>
  <c r="Q261" i="44"/>
  <c r="Q236" i="44"/>
  <c r="R236" i="44"/>
  <c r="R316" i="44"/>
  <c r="Q316" i="44"/>
  <c r="Q192" i="44"/>
  <c r="R192" i="44"/>
  <c r="Q54" i="44"/>
  <c r="R54" i="44"/>
  <c r="Q183" i="44"/>
  <c r="R183" i="44"/>
  <c r="Q213" i="44"/>
  <c r="R213" i="44"/>
  <c r="R280" i="44"/>
  <c r="Q280" i="44"/>
  <c r="R225" i="44"/>
  <c r="Q225" i="44"/>
  <c r="Q239" i="44"/>
  <c r="R239" i="44"/>
  <c r="R245" i="44"/>
  <c r="Q245" i="44"/>
  <c r="Q40" i="44"/>
  <c r="R40" i="44"/>
  <c r="R161" i="44"/>
  <c r="Q161" i="44"/>
  <c r="R184" i="44"/>
  <c r="Q184" i="44"/>
  <c r="R87" i="44"/>
  <c r="Q87" i="44"/>
  <c r="R116" i="44"/>
  <c r="Q116" i="44"/>
  <c r="Q66" i="44"/>
  <c r="R66" i="44"/>
  <c r="Q48" i="44"/>
  <c r="R48" i="44"/>
  <c r="R80" i="44"/>
  <c r="Q80" i="44"/>
  <c r="Q354" i="44"/>
  <c r="R354" i="44"/>
  <c r="R323" i="44"/>
  <c r="Q323" i="44"/>
  <c r="R123" i="44"/>
  <c r="Q123" i="44"/>
  <c r="R189" i="44"/>
  <c r="Q189" i="44"/>
  <c r="Q197" i="44"/>
  <c r="R197" i="44"/>
  <c r="R336" i="44"/>
  <c r="Q336" i="44"/>
  <c r="R56" i="44"/>
  <c r="Q56" i="44"/>
  <c r="Q43" i="44"/>
  <c r="R43" i="44"/>
  <c r="Q212" i="44"/>
  <c r="R212" i="44"/>
  <c r="R303" i="44"/>
  <c r="Q303" i="44"/>
  <c r="R96" i="44"/>
  <c r="Q96" i="44"/>
  <c r="Q284" i="44"/>
  <c r="R284" i="44"/>
  <c r="R70" i="44"/>
  <c r="Q70" i="44"/>
  <c r="R166" i="44"/>
  <c r="Q166" i="44"/>
  <c r="Q256" i="44"/>
  <c r="R256" i="44"/>
  <c r="R187" i="44"/>
  <c r="Q187" i="44"/>
  <c r="R248" i="44"/>
  <c r="Q248" i="44"/>
  <c r="Q177" i="44"/>
  <c r="R177" i="44"/>
  <c r="R314" i="44"/>
  <c r="Q314" i="44"/>
  <c r="Q169" i="44"/>
  <c r="R169" i="44"/>
  <c r="Q344" i="44"/>
  <c r="R344" i="44"/>
  <c r="R171" i="44"/>
  <c r="Q171" i="44"/>
  <c r="R209" i="44"/>
  <c r="Q209" i="44"/>
  <c r="Q277" i="44"/>
  <c r="R277" i="44"/>
  <c r="Q219" i="44"/>
  <c r="R219" i="44"/>
  <c r="Q224" i="44"/>
  <c r="R224" i="44"/>
  <c r="Q233" i="44"/>
  <c r="R233" i="44"/>
  <c r="Q271" i="44"/>
  <c r="R271" i="44"/>
  <c r="R148" i="44"/>
  <c r="Q148" i="44"/>
  <c r="R164" i="44"/>
  <c r="Q164" i="44"/>
  <c r="R77" i="44"/>
  <c r="Q77" i="44"/>
  <c r="R111" i="44"/>
  <c r="Q111" i="44"/>
  <c r="R57" i="44"/>
  <c r="Q57" i="44"/>
  <c r="Q46" i="44"/>
  <c r="R46" i="44"/>
  <c r="R71" i="44"/>
  <c r="Q71" i="44"/>
  <c r="R125" i="44"/>
  <c r="Q125" i="44"/>
  <c r="R84" i="44"/>
  <c r="Q84" i="44"/>
  <c r="R317" i="44"/>
  <c r="Q317" i="44"/>
  <c r="Q269" i="44"/>
  <c r="R269" i="44"/>
  <c r="R158" i="44"/>
  <c r="Q158" i="44"/>
  <c r="Q295" i="44"/>
  <c r="R295" i="44"/>
  <c r="Q229" i="44"/>
  <c r="R229" i="44"/>
  <c r="R115" i="44"/>
  <c r="Q115" i="44"/>
  <c r="R114" i="44"/>
  <c r="Q114" i="44"/>
  <c r="Q67" i="44"/>
  <c r="R67" i="44"/>
  <c r="Q268" i="44"/>
  <c r="R268" i="44"/>
  <c r="R60" i="44"/>
  <c r="Q60" i="44"/>
  <c r="R349" i="44"/>
  <c r="Q349" i="44"/>
  <c r="Q58" i="44"/>
  <c r="R58" i="44"/>
  <c r="R147" i="44"/>
  <c r="Q147" i="44"/>
  <c r="Q235" i="44"/>
  <c r="R235" i="44"/>
  <c r="R179" i="44"/>
  <c r="Q179" i="44"/>
  <c r="R227" i="44"/>
  <c r="Q227" i="44"/>
  <c r="R173" i="44"/>
  <c r="Q173" i="44"/>
  <c r="Q290" i="44"/>
  <c r="R290" i="44"/>
  <c r="R150" i="44"/>
  <c r="Q150" i="44"/>
  <c r="Q342" i="44"/>
  <c r="R342" i="44"/>
  <c r="R159" i="44"/>
  <c r="Q159" i="44"/>
  <c r="Q201" i="44"/>
  <c r="R201" i="44"/>
  <c r="Q274" i="44"/>
  <c r="R274" i="44"/>
  <c r="R203" i="44"/>
  <c r="Q203" i="44"/>
  <c r="Q207" i="44"/>
  <c r="R207" i="44"/>
  <c r="Q231" i="44"/>
  <c r="R231" i="44"/>
  <c r="R267" i="44"/>
  <c r="Q267" i="44"/>
  <c r="Q130" i="44"/>
  <c r="R130" i="44"/>
  <c r="Q157" i="44"/>
  <c r="R157" i="44"/>
  <c r="R75" i="44"/>
  <c r="Q75" i="44"/>
  <c r="R102" i="44"/>
  <c r="Q102" i="44"/>
  <c r="Q55" i="44"/>
  <c r="R55" i="44"/>
  <c r="R218" i="44"/>
  <c r="Q218" i="44"/>
  <c r="R63" i="44"/>
  <c r="Q63" i="44"/>
  <c r="Q194" i="44"/>
  <c r="R194" i="44"/>
  <c r="Q247" i="44"/>
  <c r="R247" i="44"/>
  <c r="R313" i="44"/>
  <c r="Q313" i="44"/>
  <c r="Q326" i="44"/>
  <c r="R326" i="44"/>
  <c r="R78" i="44"/>
  <c r="Q78" i="44"/>
  <c r="R294" i="44"/>
  <c r="Q294" i="44"/>
  <c r="Q88" i="44"/>
  <c r="R88" i="44"/>
  <c r="R288" i="44"/>
  <c r="Q288" i="44"/>
  <c r="R155" i="44"/>
  <c r="Q155" i="44"/>
  <c r="Q249" i="44"/>
  <c r="R249" i="44"/>
  <c r="Q293" i="44"/>
  <c r="R293" i="44"/>
  <c r="Q312" i="44"/>
  <c r="R312" i="44"/>
  <c r="Q79" i="44"/>
  <c r="R79" i="44"/>
  <c r="Q339" i="44"/>
  <c r="R339" i="44"/>
  <c r="R47" i="44"/>
  <c r="Q47" i="44"/>
  <c r="Q82" i="44"/>
  <c r="R82" i="44"/>
  <c r="Q172" i="44"/>
  <c r="R172" i="44"/>
  <c r="Q163" i="44"/>
  <c r="R163" i="44"/>
  <c r="R330" i="44"/>
  <c r="Q330" i="44"/>
  <c r="R165" i="44"/>
  <c r="Q165" i="44"/>
  <c r="R282" i="44"/>
  <c r="Q282" i="44"/>
  <c r="Q135" i="44"/>
  <c r="R135" i="44"/>
  <c r="R340" i="44"/>
  <c r="Q340" i="44"/>
  <c r="Q154" i="44"/>
  <c r="R154" i="44"/>
  <c r="R178" i="44"/>
  <c r="Q178" i="44"/>
  <c r="R270" i="44"/>
  <c r="Q270" i="44"/>
  <c r="R137" i="44"/>
  <c r="Q137" i="44"/>
  <c r="Q181" i="44"/>
  <c r="R181" i="44"/>
  <c r="Q226" i="44"/>
  <c r="R226" i="44"/>
  <c r="R265" i="44"/>
  <c r="Q265" i="44"/>
  <c r="R117" i="44"/>
  <c r="Q117" i="44"/>
  <c r="R143" i="44"/>
  <c r="Q143" i="44"/>
  <c r="R50" i="44"/>
  <c r="Q50" i="44"/>
  <c r="Q100" i="44"/>
  <c r="R100" i="44"/>
  <c r="R53" i="44"/>
  <c r="Q53" i="44"/>
  <c r="Q214" i="44"/>
  <c r="R214" i="44"/>
  <c r="Q61" i="44"/>
  <c r="R61" i="44"/>
  <c r="R39" i="44"/>
  <c r="Q39" i="44"/>
  <c r="J24" i="44" l="1"/>
  <c r="E138" i="6" s="1"/>
  <c r="F25" i="44"/>
  <c r="G25" i="44" s="1"/>
  <c r="F26" i="44"/>
  <c r="G26" i="44" s="1"/>
  <c r="J25" i="44"/>
  <c r="F24" i="44"/>
  <c r="K26" i="44"/>
  <c r="K25" i="44"/>
  <c r="K24" i="44"/>
  <c r="J26" i="44"/>
  <c r="I24" i="44" l="1"/>
  <c r="D138" i="6"/>
  <c r="I25" i="44"/>
  <c r="I26" i="44"/>
  <c r="G24" i="44"/>
  <c r="H26" i="44" a="1"/>
  <c r="H26" i="44" l="1"/>
  <c r="H25" i="44" a="1"/>
  <c r="H24" i="44" a="1"/>
  <c r="H25" i="44" l="1"/>
  <c r="H24" i="44"/>
  <c r="K40" i="7" l="1"/>
  <c r="N40" i="7"/>
  <c r="P40" i="7"/>
  <c r="L40" i="7"/>
  <c r="R40" i="7"/>
  <c r="J40" i="7"/>
  <c r="Q40" i="7"/>
  <c r="M40" i="7"/>
  <c r="S40" i="7"/>
  <c r="I40" i="7"/>
  <c r="O40" i="7"/>
  <c r="H40" i="7"/>
  <c r="J41" i="7" l="1"/>
  <c r="P41" i="7"/>
  <c r="S41" i="7"/>
  <c r="M41" i="7"/>
  <c r="E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Kjønningsberg</author>
  </authors>
  <commentList>
    <comment ref="B21" authorId="0" shapeId="0" xr:uid="{BFECE7EB-0FBD-4B5B-90AD-8D7A372A01B1}">
      <text>
        <r>
          <rPr>
            <sz val="9"/>
            <color indexed="81"/>
            <rFont val="Tahoma"/>
            <family val="2"/>
          </rPr>
          <t>Maks antall sektorer (S+M+L) = 4 stk (eksl. 450Mhz)</t>
        </r>
      </text>
    </comment>
    <comment ref="A28" authorId="0" shapeId="0" xr:uid="{C8EFB892-D38F-4C7A-B2F0-DDE06F4863CC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Denne brukes uavhengig av om eget samband leveres via fiber eller radiolinje</t>
        </r>
      </text>
    </comment>
    <comment ref="B50" authorId="0" shapeId="0" xr:uid="{F6448139-BD6E-4A2E-A792-CF3C0EFA3778}">
      <text>
        <r>
          <rPr>
            <sz val="9"/>
            <color indexed="81"/>
            <rFont val="Tahoma"/>
            <family val="2"/>
          </rPr>
          <t>Fyll inn tilgjengelig effekt på likeretter.</t>
        </r>
      </text>
    </comment>
    <comment ref="B51" authorId="0" shapeId="0" xr:uid="{ACD6B79C-7AAA-41A8-AAAF-06676D9C6C91}">
      <text>
        <r>
          <rPr>
            <sz val="9"/>
            <color indexed="81"/>
            <rFont val="Tahoma"/>
            <family val="2"/>
          </rPr>
          <t>Fyll inn tilgjengelig effekttrekk pr. time under batteridrift, sett opp mot mulig batteribackup pr.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Kjønningsberg</author>
  </authors>
  <commentList>
    <comment ref="F1" authorId="0" shapeId="0" xr:uid="{6E189107-BDEE-4E7E-9FFF-8D379D1245CA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Forutsetter at all last ligger på samme vern, med jevn fordelt last kan denne deles på 2 (gjelder kolonne F-H).</t>
        </r>
      </text>
    </comment>
    <comment ref="L1" authorId="0" shapeId="0" xr:uid="{3FDBA727-9077-4674-A844-3364630C3735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Forutsetter at all last ligger på samme vern, med jevn fordelt last kan denne deles på 2 (gjelder kolonne J-L).</t>
        </r>
      </text>
    </comment>
    <comment ref="F60" authorId="0" shapeId="0" xr:uid="{ABF77930-F9B4-428A-839A-442084E0EB29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Forutsetter at all last ligger på samme vern, med jevn fordelt last kan denne deles på 2 (gjelder kolonne J-L).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Kjønningsberg</author>
  </authors>
  <commentList>
    <comment ref="AA9" authorId="0" shapeId="0" xr:uid="{46A8FFFF-D661-4AA4-901A-A3979AE7B5CD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AA10" authorId="0" shapeId="0" xr:uid="{08FB48EC-28FD-47D5-969C-107A1C78C5FE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AA11" authorId="0" shapeId="0" xr:uid="{FA16E68B-8D50-45F4-AD30-B37A9FF890EB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AA12" authorId="0" shapeId="0" xr:uid="{3E9935BD-9769-4467-9D69-E6612F0F7255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AA13" authorId="0" shapeId="0" xr:uid="{4BAD8F5D-6F85-4C68-A768-BCC45A080417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AA14" authorId="0" shapeId="0" xr:uid="{306CB283-7311-4753-B49D-052986310CEB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298" authorId="0" shapeId="0" xr:uid="{406A42B0-AE23-4D28-8D97-15032E739CFF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299" authorId="0" shapeId="0" xr:uid="{07E03FE1-BAB7-4336-8DF5-C206BEE57D1F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300" authorId="0" shapeId="0" xr:uid="{FADFD9F8-C092-4E38-BEF5-27DD5DBED821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301" authorId="0" shapeId="0" xr:uid="{E39DBEB0-637C-4D31-9012-2142A74704A0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302" authorId="0" shapeId="0" xr:uid="{A30F4DE6-F6E4-4F93-98AD-FD197E121D5E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  <comment ref="E303" authorId="0" shapeId="0" xr:uid="{E5E7D5D8-2DF3-45AF-95ED-C96D845C651E}">
      <text>
        <r>
          <rPr>
            <b/>
            <sz val="9"/>
            <color indexed="81"/>
            <rFont val="Tahoma"/>
            <family val="2"/>
          </rPr>
          <t>Håvard Kjønningsberg:</t>
        </r>
        <r>
          <rPr>
            <sz val="9"/>
            <color indexed="81"/>
            <rFont val="Tahoma"/>
            <family val="2"/>
          </rPr>
          <t xml:space="preserve">
Opprinnelig 0,5kA, sjekkes med AS/NC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<sst xmlns="http://schemas.openxmlformats.org/spreadsheetml/2006/main" count="3004" uniqueCount="429">
  <si>
    <t>Siteinformasjon</t>
  </si>
  <si>
    <t>Site-ID ICE</t>
  </si>
  <si>
    <t>Sitenavn ICE</t>
  </si>
  <si>
    <t>Antall sektorer/
baseband</t>
  </si>
  <si>
    <t>Effekt 
normaldrift
"busy hour"</t>
  </si>
  <si>
    <t>Effekt
normaltdrift
80% av maks</t>
  </si>
  <si>
    <t>Small</t>
  </si>
  <si>
    <t>Medium</t>
  </si>
  <si>
    <t>Large</t>
  </si>
  <si>
    <t>Baseband 1</t>
  </si>
  <si>
    <t>Baseband 2 (N35)</t>
  </si>
  <si>
    <t>Gjennomsnittlig effekt - 4 timer batteridrift</t>
  </si>
  <si>
    <t>Energikostnad pr. dag</t>
  </si>
  <si>
    <t>Energikostnad pr. måned</t>
  </si>
  <si>
    <t>Energikostnad pr. år</t>
  </si>
  <si>
    <t>Tilgjengelig effekt &gt;= Forespurt effekt</t>
  </si>
  <si>
    <t>Tilgjengelig effekt likeretter - normaltdrift</t>
  </si>
  <si>
    <t>Antall sektorer</t>
  </si>
  <si>
    <t>Test av likeretter mot planlagt oppsett</t>
  </si>
  <si>
    <t>Antall sektorer 450Mhz</t>
  </si>
  <si>
    <t>Maks kabellengder beregnet i FEBDOK og manuelt korrigert for I5=14 (Schneider IC60H_C)</t>
  </si>
  <si>
    <t>RRH</t>
  </si>
  <si>
    <t>Vern</t>
  </si>
  <si>
    <t>kabel</t>
  </si>
  <si>
    <t>Max lengde mtp Ik og spenning</t>
  </si>
  <si>
    <t>Spenning v/last</t>
  </si>
  <si>
    <t>Alternativ 4
2*190Ah
Ik=7250A</t>
  </si>
  <si>
    <t>AQQY</t>
  </si>
  <si>
    <t>AZHN</t>
  </si>
  <si>
    <t>AZQS</t>
  </si>
  <si>
    <t xml:space="preserve">AHPMDB </t>
  </si>
  <si>
    <t xml:space="preserve">AHEGB </t>
  </si>
  <si>
    <t>AHPMDH</t>
  </si>
  <si>
    <t>Sektor</t>
  </si>
  <si>
    <t>Lengde</t>
  </si>
  <si>
    <t>Tverrsnitt kabel</t>
  </si>
  <si>
    <t>Sum 4mm2 DC kabel</t>
  </si>
  <si>
    <t>Sum 6mm2 DC kabel</t>
  </si>
  <si>
    <t>Sum 10mm2 DC kabel</t>
  </si>
  <si>
    <t>Sum 16mm2 DC kabel</t>
  </si>
  <si>
    <t>Sum 25mm2 DC kabel</t>
  </si>
  <si>
    <t>Total lengde DC kabler på tvers av sektorer</t>
  </si>
  <si>
    <t>Oppsummering DC kabler</t>
  </si>
  <si>
    <t>Sektor #</t>
  </si>
  <si>
    <t>Flagg</t>
  </si>
  <si>
    <t>380V DC</t>
  </si>
  <si>
    <t>Komplett radiolinje</t>
  </si>
  <si>
    <t>Kommentar</t>
  </si>
  <si>
    <t>Felles 380V DC</t>
  </si>
  <si>
    <t>Flagg 2</t>
  </si>
  <si>
    <t>Beregning LR-vern</t>
  </si>
  <si>
    <t>Large + 450</t>
  </si>
  <si>
    <t>Medium + 450</t>
  </si>
  <si>
    <t>Small + 450</t>
  </si>
  <si>
    <t>1xC100A</t>
  </si>
  <si>
    <t>1xC125A</t>
  </si>
  <si>
    <t>Standard vern (minimum)</t>
  </si>
  <si>
    <t>1xC63A</t>
  </si>
  <si>
    <t>Dato</t>
  </si>
  <si>
    <t>Saksbehandler</t>
  </si>
  <si>
    <t>Input-data - Effektberegning</t>
  </si>
  <si>
    <t>Total effekt</t>
  </si>
  <si>
    <t>Fordelt effekt</t>
  </si>
  <si>
    <t>Total laststrøm</t>
  </si>
  <si>
    <t>Fordelt laststrøm</t>
  </si>
  <si>
    <t>Effekt 
eksklusive 450Mhz</t>
  </si>
  <si>
    <t>Effekt 450Mhz</t>
  </si>
  <si>
    <t>Laststrøm 450Mhz</t>
  </si>
  <si>
    <t>Laststrøm
eksklusive 450Mhz</t>
  </si>
  <si>
    <t>PDU vern - Modell S, M og L</t>
  </si>
  <si>
    <t>PDU vern ved 450Mhz</t>
  </si>
  <si>
    <t>Dimensjonerende
belastningsstrøm
@38V ved RRH [A]</t>
  </si>
  <si>
    <t>Lavbånd RRH</t>
  </si>
  <si>
    <t>Mid-band RRH</t>
  </si>
  <si>
    <t>Aktiv N35</t>
  </si>
  <si>
    <t>Antall RRH</t>
  </si>
  <si>
    <t>Effekt RRH</t>
  </si>
  <si>
    <t>Sum effekt</t>
  </si>
  <si>
    <t>Sum RRH</t>
  </si>
  <si>
    <r>
      <rPr>
        <b/>
        <vertAlign val="superscript"/>
        <sz val="20"/>
        <color theme="1"/>
        <rFont val="Calibri"/>
        <family val="2"/>
        <scheme val="minor"/>
      </rPr>
      <t xml:space="preserve">#RRH    </t>
    </r>
    <r>
      <rPr>
        <b/>
        <sz val="20"/>
        <color theme="1"/>
        <rFont val="Calibri"/>
        <family val="2"/>
        <scheme val="minor"/>
      </rPr>
      <t xml:space="preserve">           </t>
    </r>
    <r>
      <rPr>
        <b/>
        <vertAlign val="subscript"/>
        <sz val="20"/>
        <color theme="1"/>
        <rFont val="Calibri"/>
        <family val="2"/>
        <scheme val="minor"/>
      </rPr>
      <t>Type</t>
    </r>
  </si>
  <si>
    <t>PDU vern A</t>
  </si>
  <si>
    <t>PDU vern B</t>
  </si>
  <si>
    <t>PDU vern C</t>
  </si>
  <si>
    <t>Vern PDU</t>
  </si>
  <si>
    <t>Effekter PDU vern A</t>
  </si>
  <si>
    <t>Effekter PDU vern B</t>
  </si>
  <si>
    <t>Dimensjonerende effekt / Vern PDU</t>
  </si>
  <si>
    <t>Effekter NCR, Air Scale + RL (50%)</t>
  </si>
  <si>
    <t>Dimensjonerende effekt / type RRU</t>
  </si>
  <si>
    <t>Total effekt - alt utstyr</t>
  </si>
  <si>
    <t>Effekt - Utstyr eks. 450Mhz</t>
  </si>
  <si>
    <t>Dimensjonerende laststrøm @38V</t>
  </si>
  <si>
    <t>Effekt - 450Mhz</t>
  </si>
  <si>
    <t>Alternativ 2</t>
  </si>
  <si>
    <t>Kontroll 1</t>
  </si>
  <si>
    <t>Kontroll 2</t>
  </si>
  <si>
    <t>Dimmensjonerende effekt
effekt [W]</t>
  </si>
  <si>
    <t>Kontroll 3</t>
  </si>
  <si>
    <t>Dimensjonerende effekt - 80% av maks [W]</t>
  </si>
  <si>
    <t>Alternativ 3</t>
  </si>
  <si>
    <t>Alternativ 1 (standard)</t>
  </si>
  <si>
    <t>Vern ice PDU - Basert på valgt konfig</t>
  </si>
  <si>
    <t>Dimensjonerende effekt likeretter</t>
  </si>
  <si>
    <t>Dimmensjonerende strøm [A] @38V ved RRH</t>
  </si>
  <si>
    <t>Ice PDU - Forespurt vern likeretter</t>
  </si>
  <si>
    <t>NB; Behov for standard vern er gitt av celle B60+C60+D60, mens alternative vern er gitt i celle B61/62+C61/62+D61/62 
--&gt; Alternative vern vurderes når standard vern bidrar til økt anleggsbidrag fra stasjonseier.</t>
  </si>
  <si>
    <t>Site-ID - Stasjonseier</t>
  </si>
  <si>
    <t>Sitenavn - Stasjonseier</t>
  </si>
  <si>
    <t>INSA signatur - Stasjonseier</t>
  </si>
  <si>
    <t>Stasjonseier</t>
  </si>
  <si>
    <t>Effektberegning på bestemt oppsett av sektorer pr. modell</t>
  </si>
  <si>
    <t>Dette er effekten vi forventer å bruke i gjennomsnitt</t>
  </si>
  <si>
    <r>
      <t>Totalt effekttrekk batteridrift</t>
    </r>
    <r>
      <rPr>
        <u/>
        <sz val="11"/>
        <color theme="1"/>
        <rFont val="Calibri"/>
        <family val="2"/>
        <scheme val="minor"/>
      </rPr>
      <t xml:space="preserve"> inntil</t>
    </r>
    <r>
      <rPr>
        <sz val="11"/>
        <color theme="1"/>
        <rFont val="Calibri"/>
        <family val="2"/>
        <scheme val="minor"/>
      </rPr>
      <t xml:space="preserve"> 10 min</t>
    </r>
  </si>
  <si>
    <r>
      <t xml:space="preserve">Totalt effekttrekk batteridrift </t>
    </r>
    <r>
      <rPr>
        <u/>
        <sz val="11"/>
        <color theme="1"/>
        <rFont val="Calibri"/>
        <family val="2"/>
        <scheme val="minor"/>
      </rPr>
      <t>etter</t>
    </r>
    <r>
      <rPr>
        <sz val="11"/>
        <color theme="1"/>
        <rFont val="Calibri"/>
        <family val="2"/>
        <scheme val="minor"/>
      </rPr>
      <t xml:space="preserve"> 10 min</t>
    </r>
  </si>
  <si>
    <t>Dimensjonerende effekt batterikapasitet</t>
  </si>
  <si>
    <r>
      <t xml:space="preserve">Beregning DC-kabler </t>
    </r>
    <r>
      <rPr>
        <sz val="15"/>
        <color theme="1"/>
        <rFont val="Calibri"/>
        <family val="2"/>
        <scheme val="minor"/>
      </rPr>
      <t>(velg først antall sektorer pr. modell i celle B21-B24)</t>
    </r>
  </si>
  <si>
    <t>Tilgjengelig effekt pr. LR-vern (230V)</t>
  </si>
  <si>
    <t>Belastningsgrad pr. LR-vern iht. nominell maks effekt (230V)</t>
  </si>
  <si>
    <t>Tilgjengelig effekt pr. LR-vern (207V)</t>
  </si>
  <si>
    <t>Belastningsgrad pr. LR-vern - nominell maks effekt (207V)</t>
  </si>
  <si>
    <t>Vern likeretter</t>
  </si>
  <si>
    <t>Vern faseleder</t>
  </si>
  <si>
    <t>Spenningssystem</t>
  </si>
  <si>
    <t>Effekt (nominell) [W]</t>
  </si>
  <si>
    <t>Effekt (i1-verdi)</t>
  </si>
  <si>
    <t>Small (max)</t>
  </si>
  <si>
    <t>Medium (max)</t>
  </si>
  <si>
    <t>Large (max)</t>
  </si>
  <si>
    <t>Full bestykning - 6 moduler = 12kW</t>
  </si>
  <si>
    <t>3x16A</t>
  </si>
  <si>
    <t>IT-230V</t>
  </si>
  <si>
    <t>TN-400V</t>
  </si>
  <si>
    <t>3x20A</t>
  </si>
  <si>
    <t>3x25A</t>
  </si>
  <si>
    <t>3x32A</t>
  </si>
  <si>
    <t>3x40A</t>
  </si>
  <si>
    <t>3x63A</t>
  </si>
  <si>
    <t>Tilgjengelig nominell 
effekt (230V) [W]</t>
  </si>
  <si>
    <t>Belastningsgrad 24kW fullbestykket LR mot OV</t>
  </si>
  <si>
    <t>Vern OV</t>
  </si>
  <si>
    <t>230V fasespenning</t>
  </si>
  <si>
    <t>207V fasespenning</t>
  </si>
  <si>
    <t>Kommentar Håvard (mulig vi skyter litt høyt her...)</t>
  </si>
  <si>
    <t>Pri 2 for TN-nett, dersom 3x63 drar opp kostnad vesentlig</t>
  </si>
  <si>
    <t>Pri 2 IT-nett, dersom 3x80A drar opp kostnad vesentlig</t>
  </si>
  <si>
    <t>Pri 1 for TN-nett</t>
  </si>
  <si>
    <t>3x80A</t>
  </si>
  <si>
    <t>Pri 1 IT-nett</t>
  </si>
  <si>
    <t>Band</t>
  </si>
  <si>
    <t>Average 
Power [W]</t>
  </si>
  <si>
    <t>Max Power [W]</t>
  </si>
  <si>
    <t>Modules</t>
  </si>
  <si>
    <t>Total Modules</t>
  </si>
  <si>
    <t>700/800</t>
  </si>
  <si>
    <t>2+1</t>
  </si>
  <si>
    <t>700/800/1800/2100</t>
  </si>
  <si>
    <t>4+1</t>
  </si>
  <si>
    <t>700/800/1800/2100/3600</t>
  </si>
  <si>
    <t>5+1</t>
  </si>
  <si>
    <t xml:space="preserve">                                   Tabell 1: Gjelder vern/sikring til ice EDP/ fordelingstavle</t>
  </si>
  <si>
    <t>Tilgjengelig nominell 
effekt (207V) [W]</t>
  </si>
  <si>
    <t>Belastningsgrad OV iht. site scenario 
max effekt RRH mot nomineff effekt OV (207V fasespenning)</t>
  </si>
  <si>
    <t>Standardvalg og opsjoner</t>
  </si>
  <si>
    <t>Opsjon</t>
  </si>
  <si>
    <t>4x25A</t>
  </si>
  <si>
    <t>4x32A</t>
  </si>
  <si>
    <t>4x40A</t>
  </si>
  <si>
    <t>Standardvalg for TN-nett</t>
  </si>
  <si>
    <t>Standardvalg for IT-nett</t>
  </si>
  <si>
    <t>4x63A</t>
  </si>
  <si>
    <t>Førstevalg for TN-nett dersom det ikke øker anleggsbidrag</t>
  </si>
  <si>
    <t>Førstevalg for IT-nett dersom det ikke øker anleggsbidrag</t>
  </si>
  <si>
    <t>4x80A</t>
  </si>
  <si>
    <t>N/A</t>
  </si>
  <si>
    <t xml:space="preserve">                                  Tabell 2: Vern/sikringer mot likeretter, montert i ice EDP</t>
  </si>
  <si>
    <t>Belastningsgrad pr. LR-vern - nominell maks effekt (207V) - Forutsetter all last på 1x LR-vern! (konservativt)</t>
  </si>
  <si>
    <t>Full bestykning - 6 moduler = 12kW pr. vern</t>
  </si>
  <si>
    <t>Opsjoner der standard ikke er mulig</t>
  </si>
  <si>
    <t>4x16A</t>
  </si>
  <si>
    <t>4x20A</t>
  </si>
  <si>
    <t xml:space="preserve">        Tabell 1</t>
  </si>
  <si>
    <t xml:space="preserve">                          Tabell 2</t>
  </si>
  <si>
    <t>Beregning AC vern og kabler</t>
  </si>
  <si>
    <t>AC fordeling byggeier</t>
  </si>
  <si>
    <t>AC fordeling ICE</t>
  </si>
  <si>
    <t>Eksisterende vern</t>
  </si>
  <si>
    <t>Kabling mellom vern</t>
  </si>
  <si>
    <t>Likeretter</t>
  </si>
  <si>
    <t>Eltek FP2 - 16kW</t>
  </si>
  <si>
    <t>Foreslått kabel</t>
  </si>
  <si>
    <t>Nettsystem</t>
  </si>
  <si>
    <t>Eltek FP2 - 8kW</t>
  </si>
  <si>
    <t>Eltek FP2 - 24kW</t>
  </si>
  <si>
    <t>Energiforbruk pr dag</t>
  </si>
  <si>
    <t>Energiforbruk pr. måned</t>
  </si>
  <si>
    <t>Energiforbruk pr. år</t>
  </si>
  <si>
    <t>Maks effekt normaldrift (80% av maks)</t>
  </si>
  <si>
    <t>Input data</t>
  </si>
  <si>
    <t>Maks antall moduler / LR</t>
  </si>
  <si>
    <t>Oversikt IT-anlegg 230V</t>
  </si>
  <si>
    <t>Kortslutningstrømmer:</t>
  </si>
  <si>
    <t>Ikpmaks</t>
  </si>
  <si>
    <t>Ikpmin</t>
  </si>
  <si>
    <t>vern i H.F for hovedkabler</t>
  </si>
  <si>
    <t>9,9kA</t>
  </si>
  <si>
    <t>0,25-8,5kA</t>
  </si>
  <si>
    <t>Vern (A)</t>
  </si>
  <si>
    <t>Ikpmaks (kA)</t>
  </si>
  <si>
    <t>Ikpmin (kA)</t>
  </si>
  <si>
    <t xml:space="preserve">Tversnitt </t>
  </si>
  <si>
    <t>Kabellengde (m)</t>
  </si>
  <si>
    <t>Tversnitt</t>
  </si>
  <si>
    <t>6mm2 Cu</t>
  </si>
  <si>
    <t>6mm2</t>
  </si>
  <si>
    <t>10mm2 Cu</t>
  </si>
  <si>
    <t>25mm2 Al</t>
  </si>
  <si>
    <t>50mm2 Al</t>
  </si>
  <si>
    <t>16mm2 Cu</t>
  </si>
  <si>
    <t>95mm2 Al</t>
  </si>
  <si>
    <t>Schneider elementautomat</t>
  </si>
  <si>
    <t>Oversikt TN-anlegg 400V</t>
  </si>
  <si>
    <t>Vern for stigere til Ice U.F</t>
  </si>
  <si>
    <t>Eaton elementautomat</t>
  </si>
  <si>
    <t>19,9kA</t>
  </si>
  <si>
    <t>15kA</t>
  </si>
  <si>
    <t>Schneider effektbryter</t>
  </si>
  <si>
    <t>25mm2 Cu</t>
  </si>
  <si>
    <t>Behov likerettermoduler</t>
  </si>
  <si>
    <t>Gjenbruk/ny likeretter</t>
  </si>
  <si>
    <t>Nytt tverrsnitt</t>
  </si>
  <si>
    <t>Ledertype</t>
  </si>
  <si>
    <t>1-fase vern IT/TN</t>
  </si>
  <si>
    <t>3-fase vern IT</t>
  </si>
  <si>
    <t>3-fase vern TN</t>
  </si>
  <si>
    <t>Fasestrøm</t>
  </si>
  <si>
    <t>3x16A (IT)</t>
  </si>
  <si>
    <t>3x20A (IT)</t>
  </si>
  <si>
    <t>3x25A (IT)</t>
  </si>
  <si>
    <t>3x32A (IT)</t>
  </si>
  <si>
    <t>3x40A (IT)</t>
  </si>
  <si>
    <t>3x50A (IT)</t>
  </si>
  <si>
    <t>3x63A (IT)</t>
  </si>
  <si>
    <t>Dimmensjonerende fasespenning</t>
  </si>
  <si>
    <t>Vernleverandør</t>
  </si>
  <si>
    <t>BACKUP UNDER - 1. JUNI</t>
  </si>
  <si>
    <t>Kabellengde [m]</t>
  </si>
  <si>
    <t>Likeretter vern (A)</t>
  </si>
  <si>
    <t>Likeretter vern (B)</t>
  </si>
  <si>
    <t>Variasjoner LR-vern</t>
  </si>
  <si>
    <t>1x16A (IT/TN)</t>
  </si>
  <si>
    <t>1x20A (IT/TN)</t>
  </si>
  <si>
    <t>1x25A (IT/TN)</t>
  </si>
  <si>
    <t>1x32A (IT/TN)</t>
  </si>
  <si>
    <t>4x16A (TN)</t>
  </si>
  <si>
    <t>4x20A (TN)</t>
  </si>
  <si>
    <t>4x25A (TN)</t>
  </si>
  <si>
    <t>4x32A (TN)</t>
  </si>
  <si>
    <t>4x40A (TN)</t>
  </si>
  <si>
    <t>4x50A (TN)</t>
  </si>
  <si>
    <t>4x63A (TN)</t>
  </si>
  <si>
    <t>3x80A (IT)</t>
  </si>
  <si>
    <t>Ikke valgt</t>
  </si>
  <si>
    <t>Eksisterende oppsett likeretter</t>
  </si>
  <si>
    <t>Kapasitet Likeretter</t>
  </si>
  <si>
    <t>Dimensjonerende
Kapasitet (n-1)</t>
  </si>
  <si>
    <t>Maks antall moduler</t>
  </si>
  <si>
    <t>Maks antall
moduler</t>
  </si>
  <si>
    <t>Likeretter vern (A/B vern) - 2 stk - Alternativ</t>
  </si>
  <si>
    <t>Likeretter vern (A/B vern) - 2 stk vern</t>
  </si>
  <si>
    <t>Standard valg, prioritet 1</t>
  </si>
  <si>
    <t>Antall moduler øvre hylle (styrende for LR-vern)</t>
  </si>
  <si>
    <t>Dimensjonerende spenning</t>
  </si>
  <si>
    <t>Dimensjonerende laststrøm LR-vern</t>
  </si>
  <si>
    <t>Valg av LR-vern</t>
  </si>
  <si>
    <t>Relevante vern</t>
  </si>
  <si>
    <t>Tilhørende laststrøm</t>
  </si>
  <si>
    <t>Vern OK?</t>
  </si>
  <si>
    <t>Framtidig oppsett likeretter</t>
  </si>
  <si>
    <t>Minimum antall moduler</t>
  </si>
  <si>
    <t>Hoveddata el-anlegg</t>
  </si>
  <si>
    <t>Standard OV-vern</t>
  </si>
  <si>
    <t>Alternativt OV-vern</t>
  </si>
  <si>
    <t>Det er antatt balansert faselast</t>
  </si>
  <si>
    <t>Dimensjonerende effekt radioutstyr</t>
  </si>
  <si>
    <t>AC fordeling huseier</t>
  </si>
  <si>
    <t>Variasjoner OV-vern</t>
  </si>
  <si>
    <t>Valg av OV-vern</t>
  </si>
  <si>
    <t>Laststrøm OV-vern</t>
  </si>
  <si>
    <t>Dimensjonerende laststrøm OV-vern (IT/TN)</t>
  </si>
  <si>
    <t>Alternativt LR-vern</t>
  </si>
  <si>
    <t>Kabeltyper</t>
  </si>
  <si>
    <t>95mm2Al</t>
  </si>
  <si>
    <t>Eksisterende kabel type</t>
  </si>
  <si>
    <t>Flagg 3</t>
  </si>
  <si>
    <t>Flagg 4</t>
  </si>
  <si>
    <t>Dimensjonerende fasestrømmer iht. LR</t>
  </si>
  <si>
    <t>Dimensjonerende fasestrømmer iht. radioutstyr</t>
  </si>
  <si>
    <t>Standard vern</t>
  </si>
  <si>
    <t>Lastbryter 3x63A (IT)</t>
  </si>
  <si>
    <t>Lastbryter 3x40A (IT)</t>
  </si>
  <si>
    <t>4x80A (TN)</t>
  </si>
  <si>
    <t>Lastbryter 3x32A (IT)</t>
  </si>
  <si>
    <t>Lastbryter 3x80A (IT)</t>
  </si>
  <si>
    <t>Lastbryter 4x32A (TN)</t>
  </si>
  <si>
    <t>Lastbryter 4x40A (TN)</t>
  </si>
  <si>
    <t>Lastbryter 4x63A (TN)</t>
  </si>
  <si>
    <t>Lastbryter 4x80A (TN)</t>
  </si>
  <si>
    <t>Lastbryter 3x50A (IT)</t>
  </si>
  <si>
    <t>Lastbryter 4x50A (TN)</t>
  </si>
  <si>
    <t>Eksisterende OV vern</t>
  </si>
  <si>
    <t>3-fase vern</t>
  </si>
  <si>
    <t>Vern ok?</t>
  </si>
  <si>
    <t>Gjenbruk OK?</t>
  </si>
  <si>
    <t>Maks fasestrøm eks. 3-fase vern likeretter</t>
  </si>
  <si>
    <t>Average Power [W]</t>
  </si>
  <si>
    <t>Eksisterende LR vern</t>
  </si>
  <si>
    <t>Laststrøm fase - LR-vern</t>
  </si>
  <si>
    <t>OV-vern hovedtavle</t>
  </si>
  <si>
    <t>OV-vern ice EDP</t>
  </si>
  <si>
    <t>Eksisterende 3-fase vern likeretter (vern A)</t>
  </si>
  <si>
    <t>Eksisterende 3-fase vern likeretter (vern B)</t>
  </si>
  <si>
    <t>Tilhørende fasestrøm</t>
  </si>
  <si>
    <t>Dimensjonerende laststrømmer</t>
  </si>
  <si>
    <t>Eksisterende OV-vern (fabrikat)</t>
  </si>
  <si>
    <t>Eksisterende OV-vern (størrelse)</t>
  </si>
  <si>
    <t>Gjenbruk ok for Eaton vern</t>
  </si>
  <si>
    <t>Gjenbruk ok for Schneider vern</t>
  </si>
  <si>
    <t>Gjenbruk ok for andre vern</t>
  </si>
  <si>
    <t>Annen elementautomat</t>
  </si>
  <si>
    <t>Annen effektbryter</t>
  </si>
  <si>
    <t>Alternativer vern-fabrikat</t>
  </si>
  <si>
    <t>Plassering OV-vern</t>
  </si>
  <si>
    <r>
      <t xml:space="preserve">Eksisterende 3-fase vern/bryter </t>
    </r>
    <r>
      <rPr>
        <b/>
        <sz val="11"/>
        <color theme="1"/>
        <rFont val="Calibri"/>
        <family val="2"/>
        <scheme val="minor"/>
      </rPr>
      <t>AC fordeling huseier</t>
    </r>
  </si>
  <si>
    <r>
      <t xml:space="preserve">Maks fasestrøm eks. 3-fase vern/bryter </t>
    </r>
    <r>
      <rPr>
        <b/>
        <sz val="11"/>
        <color theme="1"/>
        <rFont val="Calibri"/>
        <family val="2"/>
        <scheme val="minor"/>
      </rPr>
      <t>AC fordeling ice</t>
    </r>
  </si>
  <si>
    <r>
      <t xml:space="preserve">Eksisterende 3-fase vern/bryter </t>
    </r>
    <r>
      <rPr>
        <b/>
        <sz val="11"/>
        <color theme="1"/>
        <rFont val="Calibri"/>
        <family val="2"/>
        <scheme val="minor"/>
      </rPr>
      <t>AC fordeling ice</t>
    </r>
  </si>
  <si>
    <r>
      <t xml:space="preserve">Maks fasestrøm eks. 3-fase vern/bryter </t>
    </r>
    <r>
      <rPr>
        <b/>
        <sz val="11"/>
        <color theme="1"/>
        <rFont val="Calibri"/>
        <family val="2"/>
        <scheme val="minor"/>
      </rPr>
      <t>AC fordeling huseier</t>
    </r>
  </si>
  <si>
    <t>Intervaller Ik_maks</t>
  </si>
  <si>
    <t>Ontervaller Ik_min</t>
  </si>
  <si>
    <t>Effektbryter</t>
  </si>
  <si>
    <t>Elementautomat</t>
  </si>
  <si>
    <t>Type vern</t>
  </si>
  <si>
    <t>Uttak</t>
  </si>
  <si>
    <t>Input data eks. vern</t>
  </si>
  <si>
    <t>Maks kabellengde eksisterende vern</t>
  </si>
  <si>
    <t>Gjenbruk av kabel</t>
  </si>
  <si>
    <t>Input data - alternativt vern</t>
  </si>
  <si>
    <t>Input data - standard vern</t>
  </si>
  <si>
    <t>Alternativt 3-fase OV-vern</t>
  </si>
  <si>
    <t>Maks fasestrøm - alternativt OV-vern</t>
  </si>
  <si>
    <t>Maks fasestrøm - standard OV-vern</t>
  </si>
  <si>
    <t>Test (match kol. A-E)</t>
  </si>
  <si>
    <t>Test (match kol. A-F)</t>
  </si>
  <si>
    <t>Maks kabellengde
eks. vern</t>
  </si>
  <si>
    <t>Maks kabellengde
standard vern</t>
  </si>
  <si>
    <t>Maks kabellengde
alternativt vern</t>
  </si>
  <si>
    <t>Tilhørende tverrsnitt/leder</t>
  </si>
  <si>
    <t>Antall aktuelle kabler</t>
  </si>
  <si>
    <t>Maks lengde ift. vern</t>
  </si>
  <si>
    <t>Gjenbruk vern OK?</t>
  </si>
  <si>
    <t>Kortslutningsvern</t>
  </si>
  <si>
    <t>Tabell gjelder kun inplassering hos andre operatører, hvor ice tilkobler likerettervern hos andre. 
Linje 61 angir standardvalg om tilgjengelig vern, mens linje 62 og 63 hhv. prioritet 2 og 3, dersom prioritet 1 ikke er mulig uten større kostnader i form av anleggsbidrag ved oppgradering likeretter.</t>
  </si>
  <si>
    <t>Dimensjonerende effekt</t>
  </si>
  <si>
    <t>Dimensjonerende Ik2pmin</t>
  </si>
  <si>
    <t>Dimensjonerende Ik3pmaks</t>
  </si>
  <si>
    <t>Lengde stigekabel</t>
  </si>
  <si>
    <r>
      <t xml:space="preserve">Tilgjengelig effekt - batteridrift </t>
    </r>
    <r>
      <rPr>
        <b/>
        <u/>
        <sz val="11"/>
        <color theme="1"/>
        <rFont val="Calibri"/>
        <family val="2"/>
        <scheme val="minor"/>
      </rPr>
      <t>pr. time</t>
    </r>
  </si>
  <si>
    <r>
      <rPr>
        <b/>
        <sz val="11"/>
        <color theme="1"/>
        <rFont val="Calibri"/>
        <family val="2"/>
        <scheme val="minor"/>
      </rPr>
      <t xml:space="preserve">Likeretterkalkulator flagger om batterier har kapasitet nødvendig kapasitet </t>
    </r>
    <r>
      <rPr>
        <b/>
        <u/>
        <sz val="11"/>
        <color theme="1"/>
        <rFont val="Calibri"/>
        <family val="2"/>
        <scheme val="minor"/>
      </rPr>
      <t>pr. time</t>
    </r>
    <r>
      <rPr>
        <b/>
        <sz val="11"/>
        <color theme="1"/>
        <rFont val="Calibri"/>
        <family val="2"/>
        <scheme val="minor"/>
      </rPr>
      <t xml:space="preserve">. 
</t>
    </r>
    <r>
      <rPr>
        <sz val="11"/>
        <color theme="1"/>
        <rFont val="Calibri"/>
        <family val="2"/>
        <scheme val="minor"/>
      </rPr>
      <t xml:space="preserve">
Eksempel: Om batteribank har kapasitet til 2kW belastning </t>
    </r>
    <r>
      <rPr>
        <b/>
        <sz val="11"/>
        <color theme="1"/>
        <rFont val="Calibri"/>
        <family val="2"/>
        <scheme val="minor"/>
      </rPr>
      <t xml:space="preserve">pr. time </t>
    </r>
    <r>
      <rPr>
        <sz val="11"/>
        <color theme="1"/>
        <rFont val="Calibri"/>
        <family val="2"/>
        <scheme val="minor"/>
      </rPr>
      <t>vil
kalkulator flagger grønt ved effekt i batteridrift &lt;= 2kW</t>
    </r>
  </si>
  <si>
    <t>Beregning vern i likeretter basert på bestemt modelloppsett (brukes kun ved samlok)</t>
  </si>
  <si>
    <t>Beregning likeretter og likerettervern</t>
  </si>
  <si>
    <t>Beregning OV-vern og stigeledning</t>
  </si>
  <si>
    <t>Oppsett OK?</t>
  </si>
  <si>
    <t>Max lengde mtp Ik FEBDOK</t>
  </si>
  <si>
    <t>Max lengde justert for DC</t>
  </si>
  <si>
    <t>Max lengde mtp 
Ik og spenning</t>
  </si>
  <si>
    <t>AHPMDH
Lavbånd</t>
  </si>
  <si>
    <t xml:space="preserve">AHEGB
Mid-band </t>
  </si>
  <si>
    <t>AQQY
N35</t>
  </si>
  <si>
    <t>Kontroll</t>
  </si>
  <si>
    <t>Beregninger gjøres her, 
og presenteres i "Effektkalkulator ice"</t>
  </si>
  <si>
    <t>Velg spenningssystem</t>
  </si>
  <si>
    <t>Velg plassering av OV-vern</t>
  </si>
  <si>
    <t>Legg inn kabeltype for eksisterende stigekabel fra AC fordeling huseier --&gt; ice EDP</t>
  </si>
  <si>
    <t>Legg inn lengde på eksisterende/ny stigekabel fra AC fordeling huseier --&gt; ice EDP</t>
  </si>
  <si>
    <t>Dimensjonerende effekt 48V --&gt; Brukes for å dimensjonere likeretter</t>
  </si>
  <si>
    <t>Dimensjonerende effekt 230/400V AC - Brukes for å dimensjonere OV-vern og kabler</t>
  </si>
  <si>
    <t>Dimensjonerende fasespenning - Nedre spenningsgrense ref. leveringsforskriften</t>
  </si>
  <si>
    <t>Det er antatt balansert faselast - Denne verdien brukes videre i beregninger</t>
  </si>
  <si>
    <r>
      <t xml:space="preserve">Tabell angir sum DC kabler iht. tverrsnitt [m]
</t>
    </r>
    <r>
      <rPr>
        <b/>
        <sz val="11"/>
        <color theme="1"/>
        <rFont val="Calibri"/>
        <family val="2"/>
        <scheme val="minor"/>
      </rPr>
      <t>MERK; Kapp er ikke medregnet I lengdebeskrivelser</t>
    </r>
  </si>
  <si>
    <t>Flagg 5</t>
  </si>
  <si>
    <t>Legg inn verdi, oppgitt fra nettselskap (AC fordeling huseier)</t>
  </si>
  <si>
    <t>Sektor 1</t>
  </si>
  <si>
    <t>Sektor 2</t>
  </si>
  <si>
    <t>Sektor 3</t>
  </si>
  <si>
    <t>Sektor 4</t>
  </si>
  <si>
    <t>Modellsite</t>
  </si>
  <si>
    <t>Sum</t>
  </si>
  <si>
    <t>Sum sektorer</t>
  </si>
  <si>
    <t>Sum 2</t>
  </si>
  <si>
    <t xml:space="preserve">   </t>
  </si>
  <si>
    <t>Test av maks antall sektorer eks. 450Mhz &lt;= 4 stk</t>
  </si>
  <si>
    <t>AHPMDH
Lavbånd
(utgått)</t>
  </si>
  <si>
    <t>FRAA</t>
  </si>
  <si>
    <t>Sum 35mm2 DC kabel</t>
  </si>
  <si>
    <t>Sum 50mm2 DC kabel</t>
  </si>
  <si>
    <t>ICE
normaltdrift
snitteffekt</t>
  </si>
  <si>
    <t>Totalt effekttrekk - normaltdrift ICE</t>
  </si>
  <si>
    <t>antall blokker:</t>
  </si>
  <si>
    <t>2t</t>
  </si>
  <si>
    <t>4t</t>
  </si>
  <si>
    <t>Behov batteristrenger (2t backupkrav):</t>
  </si>
  <si>
    <t>Behov batteristrenger (4t backupkrav):</t>
  </si>
  <si>
    <t>4T</t>
  </si>
  <si>
    <t>2T</t>
  </si>
  <si>
    <t>Behov 2t/4t i antall batteristrenger (1 stk streng = 4 stk batteri blokker)</t>
  </si>
  <si>
    <t>Gjennomsnittlig effekt - 2 timer batteridrift</t>
  </si>
  <si>
    <t>Kalkulator bruker ICE-effekter og beregner totalt ift. valgt sammensetning</t>
  </si>
  <si>
    <t>ICE Effekt batteridrift (450Mhz+800Mhz aktiv)
100% av maks</t>
  </si>
  <si>
    <t>Dette representerer standard valg for nye basestasjoner på rooftops</t>
  </si>
  <si>
    <r>
      <t xml:space="preserve">Dette representerer standard valg for nye basestasjoner
</t>
    </r>
    <r>
      <rPr>
        <b/>
        <sz val="11"/>
        <color theme="1"/>
        <rFont val="Calibri"/>
        <family val="2"/>
        <scheme val="minor"/>
      </rPr>
      <t>Dette valget må godkjennes av ice</t>
    </r>
  </si>
  <si>
    <t xml:space="preserve">AHPMDJ
Lavbånd
(endret) </t>
  </si>
  <si>
    <t>AHEGJ
Mid-band</t>
  </si>
  <si>
    <t>Basestasjonsaksess (CSR)</t>
  </si>
  <si>
    <r>
      <t xml:space="preserve">Alternativ 2 - Tiltak må påberegnes, </t>
    </r>
    <r>
      <rPr>
        <b/>
        <u/>
        <sz val="11"/>
        <color theme="1"/>
        <rFont val="Calibri"/>
        <family val="2"/>
        <scheme val="minor"/>
      </rPr>
      <t>kontakt ice</t>
    </r>
    <r>
      <rPr>
        <sz val="11"/>
        <color theme="1"/>
        <rFont val="Calibri"/>
        <family val="2"/>
        <scheme val="minor"/>
      </rPr>
      <t xml:space="preserve"> for godkjenning av dette alternativet (gjelder ikke 4x16A TN)</t>
    </r>
  </si>
  <si>
    <r>
      <rPr>
        <b/>
        <sz val="10"/>
        <color theme="1"/>
        <rFont val="Calibri"/>
        <family val="2"/>
        <scheme val="minor"/>
      </rPr>
      <t xml:space="preserve">Bruksanvisning effektkalkulator:
</t>
    </r>
    <r>
      <rPr>
        <sz val="10"/>
        <color theme="1"/>
        <rFont val="Calibri"/>
        <family val="2"/>
        <scheme val="minor"/>
      </rPr>
      <t xml:space="preserve">For å beregne effekttrekk, legg inn antall sektorer pr. modell i cellene B22-B25. 
Videre brukes cellene B28 + B29 brukes dersom Ice har CSR og/eller RL på site.
Kalkulator beregner effekt ved normaldrift i tillegg til snitteffekt etter nettutfall over 2 timer. Eksempel; Large konfig på 3 sektorer gir "3" i celle B24, mens 1x Small, 1x Medium og 1x Large gir "1" i hhv. B22, B23 og B24. Blå felter er input-data. Det er også mulig å legge inn tilgjengelig kapasitet i likeretter i celle B49 + B50 for å sjekke om et gitt valg av sektorer pr. modell kan tilbys innenfor gjeldende kapasitet.
Tabell i rad 54 beskriver behov for 48V vern i likeretter til Ice PDU.
</t>
    </r>
  </si>
  <si>
    <t>Effektkalkulator ICE -V5.0</t>
  </si>
  <si>
    <t>Regimantas Kaikaris</t>
  </si>
  <si>
    <t xml:space="preserve">MOR07876 </t>
  </si>
  <si>
    <t>Nørvevika 78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</si>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</sst>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kr&quot;\ * #,##0.00_-;\-&quot;kr&quot;\ * #,##0.00_-;_-&quot;kr&quot;\ 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&quot;kr&quot;\ * #,##0_-;\-&quot;kr&quot;\ * #,##0_-;_-&quot;kr&quot;\ * &quot;-&quot;??_-;_-@_-"/>
    <numFmt numFmtId="167" formatCode="0&quot; A&quot;"/>
    <numFmt numFmtId="168" formatCode="0&quot; mm2&quot;"/>
    <numFmt numFmtId="169" formatCode="0.0&quot; m&quot;"/>
    <numFmt numFmtId="170" formatCode="0.0&quot; V&quot;"/>
    <numFmt numFmtId="171" formatCode="dd/mm/yy;@"/>
    <numFmt numFmtId="172" formatCode="0&quot; W&quot;"/>
    <numFmt numFmtId="173" formatCode="0.00&quot; kW&quot;"/>
    <numFmt numFmtId="174" formatCode="0&quot; m&quot;"/>
    <numFmt numFmtId="175" formatCode="#,##0&quot; W&quot;"/>
    <numFmt numFmtId="176" formatCode="0&quot;  moduler&quot;"/>
    <numFmt numFmtId="177" formatCode="0&quot; V&quot;"/>
    <numFmt numFmtId="178" formatCode="0.0&quot; A&quot;"/>
    <numFmt numFmtId="179" formatCode="0.0&quot; kA&quot;"/>
    <numFmt numFmtId="180" formatCode="#,##0&quot; kWh&quot;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vertAlign val="superscript"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bscript"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9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EA9DB"/>
      </top>
      <bottom style="medium">
        <color rgb="FF8EA9DB"/>
      </bottom>
      <diagonal/>
    </border>
    <border>
      <left style="medium">
        <color rgb="FF8EA9DB"/>
      </left>
      <right/>
      <top/>
      <bottom style="medium">
        <color rgb="FF8EA9DB"/>
      </bottom>
      <diagonal/>
    </border>
    <border>
      <left/>
      <right/>
      <top/>
      <bottom style="medium">
        <color rgb="FF8EA9D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8EA9DB"/>
      </top>
      <bottom style="medium">
        <color rgb="FF8EA9DB"/>
      </bottom>
      <diagonal/>
    </border>
    <border>
      <left style="medium">
        <color indexed="64"/>
      </left>
      <right/>
      <top/>
      <bottom style="medium">
        <color rgb="FF8EA9DB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1" applyNumberFormat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2" fillId="25" borderId="0" applyNumberFormat="0" applyBorder="0" applyAlignment="0" applyProtection="0"/>
    <xf numFmtId="0" fontId="27" fillId="5" borderId="80" applyNumberFormat="0" applyAlignment="0" applyProtection="0"/>
  </cellStyleXfs>
  <cellXfs count="1079">
    <xf numFmtId="0" fontId="0" fillId="0" borderId="0" xfId="0"/>
    <xf numFmtId="0" fontId="0" fillId="0" borderId="40" xfId="0" applyBorder="1"/>
    <xf numFmtId="0" fontId="0" fillId="0" borderId="26" xfId="0" applyBorder="1"/>
    <xf numFmtId="0" fontId="0" fillId="0" borderId="3" xfId="0" applyBorder="1"/>
    <xf numFmtId="0" fontId="0" fillId="0" borderId="7" xfId="0" applyBorder="1"/>
    <xf numFmtId="0" fontId="0" fillId="7" borderId="2" xfId="0" applyFill="1" applyBorder="1"/>
    <xf numFmtId="1" fontId="0" fillId="0" borderId="6" xfId="0" applyNumberFormat="1" applyBorder="1"/>
    <xf numFmtId="1" fontId="0" fillId="0" borderId="20" xfId="0" applyNumberFormat="1" applyBorder="1"/>
    <xf numFmtId="0" fontId="0" fillId="7" borderId="13" xfId="0" applyFill="1" applyBorder="1"/>
    <xf numFmtId="1" fontId="0" fillId="0" borderId="4" xfId="0" applyNumberFormat="1" applyBorder="1"/>
    <xf numFmtId="0" fontId="0" fillId="0" borderId="5" xfId="0" applyBorder="1"/>
    <xf numFmtId="0" fontId="0" fillId="7" borderId="14" xfId="0" applyFill="1" applyBorder="1"/>
    <xf numFmtId="0" fontId="0" fillId="0" borderId="0" xfId="0" applyAlignment="1">
      <alignment horizontal="center"/>
    </xf>
    <xf numFmtId="0" fontId="5" fillId="7" borderId="35" xfId="3" applyFont="1" applyFill="1" applyBorder="1" applyProtection="1"/>
    <xf numFmtId="0" fontId="5" fillId="7" borderId="34" xfId="3" applyFont="1" applyFill="1" applyBorder="1" applyAlignment="1" applyProtection="1">
      <alignment wrapText="1"/>
    </xf>
    <xf numFmtId="0" fontId="5" fillId="2" borderId="36" xfId="1" applyFont="1" applyBorder="1" applyAlignment="1" applyProtection="1">
      <alignment wrapText="1"/>
    </xf>
    <xf numFmtId="0" fontId="5" fillId="2" borderId="37" xfId="1" applyFont="1" applyBorder="1" applyAlignment="1" applyProtection="1">
      <alignment wrapText="1"/>
    </xf>
    <xf numFmtId="0" fontId="5" fillId="2" borderId="38" xfId="1" applyFont="1" applyBorder="1" applyAlignment="1" applyProtection="1">
      <alignment wrapText="1"/>
    </xf>
    <xf numFmtId="0" fontId="5" fillId="3" borderId="38" xfId="2" applyFont="1" applyBorder="1" applyAlignment="1" applyProtection="1">
      <alignment wrapText="1"/>
    </xf>
    <xf numFmtId="0" fontId="5" fillId="0" borderId="41" xfId="2" applyFont="1" applyFill="1" applyBorder="1" applyAlignment="1" applyProtection="1">
      <alignment wrapText="1"/>
    </xf>
    <xf numFmtId="0" fontId="5" fillId="0" borderId="0" xfId="2" applyFont="1" applyFill="1" applyBorder="1" applyAlignment="1" applyProtection="1">
      <alignment wrapText="1"/>
    </xf>
    <xf numFmtId="0" fontId="0" fillId="8" borderId="23" xfId="0" applyFill="1" applyBorder="1"/>
    <xf numFmtId="0" fontId="0" fillId="0" borderId="13" xfId="0" applyBorder="1"/>
    <xf numFmtId="1" fontId="0" fillId="0" borderId="41" xfId="0" applyNumberFormat="1" applyBorder="1"/>
    <xf numFmtId="1" fontId="0" fillId="0" borderId="0" xfId="0" applyNumberFormat="1"/>
    <xf numFmtId="0" fontId="0" fillId="9" borderId="24" xfId="0" applyFill="1" applyBorder="1"/>
    <xf numFmtId="0" fontId="0" fillId="0" borderId="2" xfId="0" applyBorder="1"/>
    <xf numFmtId="0" fontId="0" fillId="10" borderId="56" xfId="0" applyFill="1" applyBorder="1"/>
    <xf numFmtId="0" fontId="0" fillId="0" borderId="19" xfId="0" applyBorder="1"/>
    <xf numFmtId="0" fontId="0" fillId="0" borderId="51" xfId="0" applyBorder="1"/>
    <xf numFmtId="0" fontId="0" fillId="0" borderId="12" xfId="0" applyBorder="1"/>
    <xf numFmtId="0" fontId="0" fillId="0" borderId="23" xfId="0" applyBorder="1"/>
    <xf numFmtId="0" fontId="0" fillId="0" borderId="4" xfId="0" applyBorder="1"/>
    <xf numFmtId="0" fontId="0" fillId="0" borderId="14" xfId="0" applyBorder="1"/>
    <xf numFmtId="0" fontId="0" fillId="0" borderId="8" xfId="0" applyBorder="1"/>
    <xf numFmtId="0" fontId="0" fillId="0" borderId="21" xfId="0" applyBorder="1"/>
    <xf numFmtId="0" fontId="0" fillId="0" borderId="10" xfId="0" applyBorder="1"/>
    <xf numFmtId="0" fontId="0" fillId="0" borderId="33" xfId="0" applyBorder="1"/>
    <xf numFmtId="0" fontId="0" fillId="0" borderId="20" xfId="0" applyBorder="1"/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166" fontId="0" fillId="0" borderId="2" xfId="6" applyNumberFormat="1" applyFont="1" applyBorder="1" applyProtection="1"/>
    <xf numFmtId="166" fontId="0" fillId="0" borderId="14" xfId="6" applyNumberFormat="1" applyFont="1" applyBorder="1" applyProtection="1"/>
    <xf numFmtId="0" fontId="0" fillId="0" borderId="43" xfId="0" applyBorder="1"/>
    <xf numFmtId="0" fontId="0" fillId="0" borderId="44" xfId="0" applyBorder="1"/>
    <xf numFmtId="0" fontId="1" fillId="0" borderId="47" xfId="0" applyFont="1" applyBorder="1"/>
    <xf numFmtId="0" fontId="1" fillId="0" borderId="37" xfId="0" applyFont="1" applyBorder="1"/>
    <xf numFmtId="0" fontId="0" fillId="0" borderId="18" xfId="0" applyBorder="1"/>
    <xf numFmtId="0" fontId="0" fillId="0" borderId="11" xfId="0" applyBorder="1"/>
    <xf numFmtId="0" fontId="1" fillId="0" borderId="11" xfId="0" applyFont="1" applyBorder="1"/>
    <xf numFmtId="0" fontId="1" fillId="0" borderId="51" xfId="0" applyFont="1" applyBorder="1"/>
    <xf numFmtId="0" fontId="1" fillId="0" borderId="12" xfId="0" applyFont="1" applyBorder="1"/>
    <xf numFmtId="0" fontId="1" fillId="0" borderId="0" xfId="0" applyFont="1"/>
    <xf numFmtId="168" fontId="8" fillId="18" borderId="2" xfId="0" applyNumberFormat="1" applyFont="1" applyFill="1" applyBorder="1" applyAlignment="1">
      <alignment horizontal="center"/>
    </xf>
    <xf numFmtId="169" fontId="8" fillId="18" borderId="2" xfId="0" applyNumberFormat="1" applyFont="1" applyFill="1" applyBorder="1" applyAlignment="1">
      <alignment horizontal="center" vertical="center"/>
    </xf>
    <xf numFmtId="170" fontId="8" fillId="18" borderId="6" xfId="0" applyNumberFormat="1" applyFont="1" applyFill="1" applyBorder="1" applyAlignment="1">
      <alignment horizontal="center" vertical="center"/>
    </xf>
    <xf numFmtId="0" fontId="0" fillId="0" borderId="9" xfId="0" applyBorder="1"/>
    <xf numFmtId="0" fontId="1" fillId="0" borderId="60" xfId="0" applyFont="1" applyBorder="1"/>
    <xf numFmtId="0" fontId="1" fillId="0" borderId="38" xfId="0" applyFont="1" applyBorder="1"/>
    <xf numFmtId="168" fontId="8" fillId="18" borderId="14" xfId="0" applyNumberFormat="1" applyFont="1" applyFill="1" applyBorder="1" applyAlignment="1">
      <alignment horizontal="center"/>
    </xf>
    <xf numFmtId="169" fontId="8" fillId="18" borderId="14" xfId="0" applyNumberFormat="1" applyFont="1" applyFill="1" applyBorder="1" applyAlignment="1">
      <alignment horizontal="center" vertical="center"/>
    </xf>
    <xf numFmtId="170" fontId="8" fillId="18" borderId="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" fillId="0" borderId="39" xfId="0" applyFont="1" applyBorder="1"/>
    <xf numFmtId="0" fontId="1" fillId="0" borderId="0" xfId="0" applyFont="1" applyAlignment="1">
      <alignment wrapText="1"/>
    </xf>
    <xf numFmtId="0" fontId="0" fillId="0" borderId="56" xfId="0" applyBorder="1"/>
    <xf numFmtId="0" fontId="0" fillId="0" borderId="33" xfId="0" applyBorder="1" applyAlignment="1">
      <alignment horizontal="center"/>
    </xf>
    <xf numFmtId="0" fontId="0" fillId="12" borderId="13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29" xfId="0" applyFill="1" applyBorder="1"/>
    <xf numFmtId="0" fontId="0" fillId="7" borderId="57" xfId="0" applyFill="1" applyBorder="1"/>
    <xf numFmtId="0" fontId="0" fillId="20" borderId="22" xfId="0" applyFill="1" applyBorder="1"/>
    <xf numFmtId="0" fontId="1" fillId="0" borderId="17" xfId="0" applyFont="1" applyBorder="1"/>
    <xf numFmtId="0" fontId="0" fillId="0" borderId="51" xfId="0" applyBorder="1" applyAlignment="1">
      <alignment horizontal="center"/>
    </xf>
    <xf numFmtId="0" fontId="0" fillId="0" borderId="3" xfId="0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" fillId="0" borderId="45" xfId="0" applyFont="1" applyBorder="1" applyAlignment="1">
      <alignment wrapText="1"/>
    </xf>
    <xf numFmtId="0" fontId="1" fillId="0" borderId="41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35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" fontId="0" fillId="0" borderId="12" xfId="0" applyNumberFormat="1" applyBorder="1" applyAlignment="1">
      <alignment horizontal="center" wrapText="1"/>
    </xf>
    <xf numFmtId="1" fontId="5" fillId="0" borderId="0" xfId="2" applyNumberFormat="1" applyFont="1" applyFill="1" applyBorder="1" applyAlignment="1" applyProtection="1">
      <alignment wrapText="1"/>
    </xf>
    <xf numFmtId="0" fontId="5" fillId="7" borderId="34" xfId="3" applyFont="1" applyFill="1" applyBorder="1" applyProtection="1"/>
    <xf numFmtId="0" fontId="0" fillId="8" borderId="30" xfId="0" applyFill="1" applyBorder="1"/>
    <xf numFmtId="0" fontId="0" fillId="9" borderId="31" xfId="0" applyFill="1" applyBorder="1"/>
    <xf numFmtId="0" fontId="0" fillId="10" borderId="33" xfId="0" applyFill="1" applyBorder="1"/>
    <xf numFmtId="0" fontId="0" fillId="20" borderId="17" xfId="0" applyFill="1" applyBorder="1"/>
    <xf numFmtId="0" fontId="0" fillId="0" borderId="30" xfId="0" applyBorder="1"/>
    <xf numFmtId="0" fontId="0" fillId="0" borderId="32" xfId="0" applyBorder="1"/>
    <xf numFmtId="0" fontId="4" fillId="6" borderId="14" xfId="3" applyFill="1" applyBorder="1" applyAlignment="1" applyProtection="1">
      <alignment horizontal="center"/>
    </xf>
    <xf numFmtId="1" fontId="1" fillId="0" borderId="11" xfId="0" applyNumberFormat="1" applyFont="1" applyBorder="1" applyAlignment="1">
      <alignment horizontal="center"/>
    </xf>
    <xf numFmtId="0" fontId="16" fillId="0" borderId="47" xfId="3" applyFont="1" applyFill="1" applyBorder="1" applyAlignment="1" applyProtection="1">
      <alignment wrapText="1"/>
    </xf>
    <xf numFmtId="0" fontId="0" fillId="13" borderId="15" xfId="0" applyFill="1" applyBorder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22" borderId="16" xfId="0" applyFill="1" applyBorder="1" applyAlignment="1">
      <alignment horizontal="center"/>
    </xf>
    <xf numFmtId="1" fontId="0" fillId="0" borderId="26" xfId="0" applyNumberFormat="1" applyBorder="1"/>
    <xf numFmtId="1" fontId="0" fillId="0" borderId="42" xfId="0" applyNumberFormat="1" applyBorder="1"/>
    <xf numFmtId="1" fontId="0" fillId="0" borderId="43" xfId="0" applyNumberFormat="1" applyBorder="1"/>
    <xf numFmtId="1" fontId="0" fillId="0" borderId="44" xfId="0" applyNumberFormat="1" applyBorder="1"/>
    <xf numFmtId="167" fontId="0" fillId="20" borderId="3" xfId="1" applyNumberFormat="1" applyFont="1" applyFill="1" applyBorder="1" applyAlignment="1" applyProtection="1">
      <alignment horizontal="center"/>
    </xf>
    <xf numFmtId="167" fontId="0" fillId="2" borderId="3" xfId="1" applyNumberFormat="1" applyFont="1" applyBorder="1" applyAlignment="1" applyProtection="1">
      <alignment horizontal="center"/>
    </xf>
    <xf numFmtId="167" fontId="0" fillId="20" borderId="30" xfId="1" applyNumberFormat="1" applyFont="1" applyFill="1" applyBorder="1" applyAlignment="1" applyProtection="1">
      <alignment horizontal="center"/>
    </xf>
    <xf numFmtId="167" fontId="0" fillId="2" borderId="30" xfId="1" applyNumberFormat="1" applyFont="1" applyBorder="1" applyAlignment="1" applyProtection="1">
      <alignment horizontal="center"/>
    </xf>
    <xf numFmtId="1" fontId="0" fillId="2" borderId="23" xfId="1" applyNumberFormat="1" applyFont="1" applyBorder="1" applyAlignment="1" applyProtection="1">
      <alignment horizontal="left"/>
    </xf>
    <xf numFmtId="1" fontId="0" fillId="3" borderId="25" xfId="2" applyNumberFormat="1" applyFont="1" applyBorder="1" applyAlignment="1" applyProtection="1">
      <alignment horizontal="left"/>
    </xf>
    <xf numFmtId="0" fontId="4" fillId="6" borderId="30" xfId="3" applyFill="1" applyBorder="1" applyAlignment="1" applyProtection="1">
      <alignment horizontal="center"/>
    </xf>
    <xf numFmtId="0" fontId="4" fillId="6" borderId="31" xfId="3" applyFill="1" applyBorder="1" applyAlignment="1" applyProtection="1">
      <alignment horizontal="center"/>
    </xf>
    <xf numFmtId="0" fontId="4" fillId="6" borderId="33" xfId="3" applyFill="1" applyBorder="1" applyAlignment="1" applyProtection="1">
      <alignment horizontal="center"/>
    </xf>
    <xf numFmtId="0" fontId="4" fillId="6" borderId="17" xfId="3" applyFill="1" applyBorder="1" applyAlignment="1" applyProtection="1">
      <alignment horizontal="center"/>
    </xf>
    <xf numFmtId="0" fontId="4" fillId="6" borderId="13" xfId="3" applyFill="1" applyBorder="1" applyAlignment="1" applyProtection="1">
      <alignment horizontal="center"/>
    </xf>
    <xf numFmtId="0" fontId="0" fillId="0" borderId="22" xfId="0" applyBorder="1"/>
    <xf numFmtId="0" fontId="0" fillId="20" borderId="35" xfId="0" applyFill="1" applyBorder="1" applyAlignment="1">
      <alignment horizontal="left"/>
    </xf>
    <xf numFmtId="167" fontId="0" fillId="3" borderId="7" xfId="2" applyNumberFormat="1" applyFont="1" applyBorder="1" applyAlignment="1" applyProtection="1">
      <alignment horizontal="center"/>
    </xf>
    <xf numFmtId="167" fontId="0" fillId="3" borderId="32" xfId="2" applyNumberFormat="1" applyFont="1" applyBorder="1" applyAlignment="1" applyProtection="1">
      <alignment horizontal="center"/>
    </xf>
    <xf numFmtId="164" fontId="0" fillId="0" borderId="19" xfId="0" applyNumberFormat="1" applyBorder="1"/>
    <xf numFmtId="164" fontId="0" fillId="0" borderId="20" xfId="0" applyNumberFormat="1" applyBorder="1"/>
    <xf numFmtId="0" fontId="1" fillId="21" borderId="12" xfId="0" applyFont="1" applyFill="1" applyBorder="1"/>
    <xf numFmtId="0" fontId="14" fillId="0" borderId="7" xfId="3" applyFont="1" applyFill="1" applyBorder="1" applyAlignment="1" applyProtection="1">
      <alignment horizontal="center"/>
    </xf>
    <xf numFmtId="0" fontId="1" fillId="0" borderId="14" xfId="0" applyFont="1" applyBorder="1"/>
    <xf numFmtId="0" fontId="1" fillId="0" borderId="8" xfId="0" applyFont="1" applyBorder="1"/>
    <xf numFmtId="0" fontId="4" fillId="0" borderId="0" xfId="3" applyFill="1" applyBorder="1" applyAlignment="1" applyProtection="1">
      <alignment horizontal="center"/>
    </xf>
    <xf numFmtId="43" fontId="0" fillId="0" borderId="2" xfId="5" applyFont="1" applyBorder="1" applyProtection="1"/>
    <xf numFmtId="43" fontId="0" fillId="0" borderId="6" xfId="5" applyFont="1" applyBorder="1" applyProtection="1"/>
    <xf numFmtId="0" fontId="0" fillId="0" borderId="47" xfId="0" applyBorder="1"/>
    <xf numFmtId="0" fontId="0" fillId="0" borderId="38" xfId="0" applyBorder="1"/>
    <xf numFmtId="0" fontId="0" fillId="0" borderId="48" xfId="0" applyBorder="1"/>
    <xf numFmtId="0" fontId="1" fillId="0" borderId="4" xfId="0" applyFont="1" applyBorder="1"/>
    <xf numFmtId="0" fontId="0" fillId="0" borderId="63" xfId="0" applyBorder="1"/>
    <xf numFmtId="0" fontId="0" fillId="0" borderId="62" xfId="0" applyBorder="1" applyAlignment="1">
      <alignment horizontal="center"/>
    </xf>
    <xf numFmtId="165" fontId="0" fillId="0" borderId="0" xfId="5" applyNumberFormat="1" applyFont="1"/>
    <xf numFmtId="0" fontId="0" fillId="0" borderId="39" xfId="0" applyBorder="1"/>
    <xf numFmtId="0" fontId="0" fillId="0" borderId="45" xfId="0" applyBorder="1"/>
    <xf numFmtId="0" fontId="1" fillId="0" borderId="65" xfId="0" applyFont="1" applyBorder="1"/>
    <xf numFmtId="173" fontId="5" fillId="21" borderId="22" xfId="5" applyNumberFormat="1" applyFont="1" applyFill="1" applyBorder="1" applyAlignment="1" applyProtection="1">
      <alignment wrapText="1"/>
    </xf>
    <xf numFmtId="174" fontId="0" fillId="6" borderId="13" xfId="0" applyNumberFormat="1" applyFill="1" applyBorder="1" applyProtection="1">
      <protection locked="0"/>
    </xf>
    <xf numFmtId="174" fontId="0" fillId="6" borderId="2" xfId="0" applyNumberFormat="1" applyFill="1" applyBorder="1" applyProtection="1">
      <protection locked="0"/>
    </xf>
    <xf numFmtId="174" fontId="0" fillId="6" borderId="14" xfId="0" applyNumberFormat="1" applyFill="1" applyBorder="1" applyProtection="1">
      <protection locked="0"/>
    </xf>
    <xf numFmtId="165" fontId="21" fillId="0" borderId="41" xfId="5" applyNumberFormat="1" applyFont="1" applyFill="1" applyBorder="1" applyAlignment="1" applyProtection="1">
      <alignment horizontal="center"/>
    </xf>
    <xf numFmtId="165" fontId="21" fillId="0" borderId="41" xfId="5" applyNumberFormat="1" applyFont="1" applyFill="1" applyBorder="1" applyAlignment="1" applyProtection="1">
      <alignment horizontal="center" wrapText="1"/>
    </xf>
    <xf numFmtId="175" fontId="20" fillId="23" borderId="34" xfId="5" applyNumberFormat="1" applyFont="1" applyFill="1" applyBorder="1" applyProtection="1"/>
    <xf numFmtId="175" fontId="20" fillId="21" borderId="22" xfId="5" applyNumberFormat="1" applyFont="1" applyFill="1" applyBorder="1" applyAlignment="1" applyProtection="1">
      <alignment wrapText="1"/>
    </xf>
    <xf numFmtId="175" fontId="0" fillId="0" borderId="4" xfId="0" applyNumberFormat="1" applyBorder="1"/>
    <xf numFmtId="175" fontId="0" fillId="0" borderId="2" xfId="0" applyNumberFormat="1" applyBorder="1"/>
    <xf numFmtId="175" fontId="0" fillId="0" borderId="6" xfId="0" applyNumberFormat="1" applyBorder="1"/>
    <xf numFmtId="175" fontId="0" fillId="0" borderId="14" xfId="0" applyNumberFormat="1" applyBorder="1"/>
    <xf numFmtId="175" fontId="0" fillId="0" borderId="8" xfId="0" applyNumberFormat="1" applyBorder="1"/>
    <xf numFmtId="0" fontId="1" fillId="12" borderId="34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12" borderId="40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42" xfId="0" applyFont="1" applyFill="1" applyBorder="1" applyAlignment="1">
      <alignment horizontal="center"/>
    </xf>
    <xf numFmtId="0" fontId="1" fillId="12" borderId="43" xfId="0" applyFont="1" applyFill="1" applyBorder="1" applyAlignment="1">
      <alignment horizontal="center"/>
    </xf>
    <xf numFmtId="0" fontId="1" fillId="12" borderId="4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0" fillId="10" borderId="17" xfId="0" applyFill="1" applyBorder="1"/>
    <xf numFmtId="0" fontId="1" fillId="12" borderId="72" xfId="0" applyFont="1" applyFill="1" applyBorder="1" applyAlignment="1">
      <alignment horizontal="center"/>
    </xf>
    <xf numFmtId="0" fontId="0" fillId="10" borderId="0" xfId="0" applyFill="1"/>
    <xf numFmtId="0" fontId="0" fillId="26" borderId="17" xfId="0" applyFill="1" applyBorder="1"/>
    <xf numFmtId="0" fontId="0" fillId="27" borderId="2" xfId="0" applyFill="1" applyBorder="1" applyAlignment="1">
      <alignment horizontal="center"/>
    </xf>
    <xf numFmtId="0" fontId="26" fillId="27" borderId="2" xfId="0" applyFont="1" applyFill="1" applyBorder="1" applyAlignment="1">
      <alignment horizontal="center"/>
    </xf>
    <xf numFmtId="0" fontId="0" fillId="13" borderId="17" xfId="0" applyFill="1" applyBorder="1"/>
    <xf numFmtId="0" fontId="0" fillId="0" borderId="21" xfId="0" applyBorder="1" applyAlignment="1">
      <alignment horizontal="center"/>
    </xf>
    <xf numFmtId="0" fontId="0" fillId="0" borderId="58" xfId="0" applyBorder="1"/>
    <xf numFmtId="0" fontId="3" fillId="3" borderId="2" xfId="2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177" fontId="0" fillId="6" borderId="46" xfId="0" applyNumberFormat="1" applyFill="1" applyBorder="1"/>
    <xf numFmtId="167" fontId="0" fillId="0" borderId="13" xfId="0" applyNumberFormat="1" applyBorder="1"/>
    <xf numFmtId="167" fontId="0" fillId="0" borderId="2" xfId="0" applyNumberFormat="1" applyBorder="1"/>
    <xf numFmtId="178" fontId="0" fillId="0" borderId="2" xfId="0" applyNumberFormat="1" applyBorder="1"/>
    <xf numFmtId="178" fontId="0" fillId="0" borderId="13" xfId="0" applyNumberFormat="1" applyBorder="1"/>
    <xf numFmtId="175" fontId="5" fillId="23" borderId="2" xfId="5" applyNumberFormat="1" applyFont="1" applyFill="1" applyBorder="1" applyProtection="1"/>
    <xf numFmtId="0" fontId="0" fillId="6" borderId="2" xfId="0" applyFill="1" applyBorder="1" applyProtection="1">
      <protection locked="0"/>
    </xf>
    <xf numFmtId="175" fontId="5" fillId="0" borderId="2" xfId="5" applyNumberFormat="1" applyFont="1" applyFill="1" applyBorder="1" applyAlignment="1" applyProtection="1">
      <alignment horizontal="right"/>
    </xf>
    <xf numFmtId="178" fontId="5" fillId="0" borderId="2" xfId="5" applyNumberFormat="1" applyFont="1" applyFill="1" applyBorder="1" applyAlignment="1" applyProtection="1">
      <alignment horizontal="right"/>
    </xf>
    <xf numFmtId="0" fontId="27" fillId="5" borderId="81" xfId="9" applyBorder="1"/>
    <xf numFmtId="178" fontId="27" fillId="5" borderId="82" xfId="9" applyNumberFormat="1" applyBorder="1"/>
    <xf numFmtId="0" fontId="1" fillId="0" borderId="36" xfId="0" applyFont="1" applyBorder="1"/>
    <xf numFmtId="167" fontId="0" fillId="0" borderId="14" xfId="0" applyNumberFormat="1" applyBorder="1"/>
    <xf numFmtId="0" fontId="0" fillId="0" borderId="65" xfId="0" applyBorder="1" applyAlignment="1">
      <alignment horizontal="center"/>
    </xf>
    <xf numFmtId="178" fontId="0" fillId="0" borderId="14" xfId="0" applyNumberFormat="1" applyBorder="1"/>
    <xf numFmtId="0" fontId="27" fillId="5" borderId="82" xfId="9" applyBorder="1" applyAlignment="1">
      <alignment horizontal="right"/>
    </xf>
    <xf numFmtId="0" fontId="0" fillId="0" borderId="27" xfId="0" applyBorder="1"/>
    <xf numFmtId="0" fontId="0" fillId="0" borderId="28" xfId="0" applyBorder="1"/>
    <xf numFmtId="0" fontId="0" fillId="0" borderId="67" xfId="0" applyBorder="1"/>
    <xf numFmtId="175" fontId="0" fillId="0" borderId="4" xfId="5" applyNumberFormat="1" applyFont="1" applyBorder="1"/>
    <xf numFmtId="175" fontId="0" fillId="0" borderId="6" xfId="5" applyNumberFormat="1" applyFont="1" applyBorder="1"/>
    <xf numFmtId="165" fontId="0" fillId="0" borderId="6" xfId="5" applyNumberFormat="1" applyFont="1" applyBorder="1"/>
    <xf numFmtId="167" fontId="0" fillId="0" borderId="19" xfId="0" applyNumberFormat="1" applyBorder="1"/>
    <xf numFmtId="175" fontId="0" fillId="0" borderId="20" xfId="5" applyNumberFormat="1" applyFont="1" applyBorder="1"/>
    <xf numFmtId="0" fontId="0" fillId="14" borderId="22" xfId="0" applyFill="1" applyBorder="1" applyAlignment="1">
      <alignment horizontal="left"/>
    </xf>
    <xf numFmtId="0" fontId="0" fillId="14" borderId="45" xfId="0" applyFill="1" applyBorder="1" applyAlignment="1">
      <alignment horizontal="left"/>
    </xf>
    <xf numFmtId="0" fontId="0" fillId="14" borderId="83" xfId="0" applyFill="1" applyBorder="1" applyAlignment="1">
      <alignment horizontal="left"/>
    </xf>
    <xf numFmtId="0" fontId="0" fillId="0" borderId="49" xfId="0" applyBorder="1"/>
    <xf numFmtId="0" fontId="1" fillId="31" borderId="22" xfId="0" applyFont="1" applyFill="1" applyBorder="1" applyAlignment="1">
      <alignment horizontal="center"/>
    </xf>
    <xf numFmtId="0" fontId="1" fillId="31" borderId="45" xfId="0" applyFont="1" applyFill="1" applyBorder="1" applyAlignment="1">
      <alignment horizontal="center"/>
    </xf>
    <xf numFmtId="0" fontId="1" fillId="31" borderId="46" xfId="0" applyFont="1" applyFill="1" applyBorder="1" applyAlignment="1">
      <alignment horizontal="center"/>
    </xf>
    <xf numFmtId="0" fontId="0" fillId="0" borderId="37" xfId="0" applyBorder="1"/>
    <xf numFmtId="0" fontId="0" fillId="28" borderId="22" xfId="0" applyFill="1" applyBorder="1" applyAlignment="1">
      <alignment horizontal="left"/>
    </xf>
    <xf numFmtId="0" fontId="0" fillId="28" borderId="45" xfId="0" applyFill="1" applyBorder="1" applyAlignment="1">
      <alignment horizontal="left"/>
    </xf>
    <xf numFmtId="0" fontId="0" fillId="28" borderId="83" xfId="0" applyFill="1" applyBorder="1" applyAlignment="1">
      <alignment horizontal="left"/>
    </xf>
    <xf numFmtId="0" fontId="0" fillId="29" borderId="84" xfId="0" applyFill="1" applyBorder="1" applyAlignment="1">
      <alignment horizontal="left"/>
    </xf>
    <xf numFmtId="0" fontId="1" fillId="29" borderId="56" xfId="0" applyFont="1" applyFill="1" applyBorder="1" applyAlignment="1">
      <alignment horizontal="center"/>
    </xf>
    <xf numFmtId="0" fontId="1" fillId="29" borderId="84" xfId="0" applyFont="1" applyFill="1" applyBorder="1" applyAlignment="1">
      <alignment horizontal="center"/>
    </xf>
    <xf numFmtId="0" fontId="1" fillId="29" borderId="29" xfId="0" applyFont="1" applyFill="1" applyBorder="1" applyAlignment="1">
      <alignment horizontal="center"/>
    </xf>
    <xf numFmtId="0" fontId="0" fillId="29" borderId="52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27" fillId="5" borderId="6" xfId="9" applyBorder="1" applyAlignment="1">
      <alignment horizontal="right"/>
    </xf>
    <xf numFmtId="167" fontId="27" fillId="5" borderId="82" xfId="9" applyNumberFormat="1" applyBorder="1"/>
    <xf numFmtId="174" fontId="27" fillId="5" borderId="4" xfId="9" applyNumberFormat="1" applyBorder="1" applyAlignment="1">
      <alignment horizontal="right"/>
    </xf>
    <xf numFmtId="0" fontId="6" fillId="5" borderId="17" xfId="4" applyBorder="1"/>
    <xf numFmtId="0" fontId="0" fillId="0" borderId="77" xfId="0" applyBorder="1" applyAlignment="1">
      <alignment horizontal="center"/>
    </xf>
    <xf numFmtId="167" fontId="27" fillId="5" borderId="85" xfId="9" applyNumberFormat="1" applyBorder="1"/>
    <xf numFmtId="0" fontId="6" fillId="5" borderId="8" xfId="4" applyBorder="1" applyAlignment="1">
      <alignment horizontal="right"/>
    </xf>
    <xf numFmtId="0" fontId="1" fillId="0" borderId="13" xfId="0" applyFont="1" applyBorder="1" applyAlignment="1">
      <alignment wrapText="1"/>
    </xf>
    <xf numFmtId="0" fontId="1" fillId="0" borderId="4" xfId="0" applyFont="1" applyBorder="1" applyAlignment="1">
      <alignment wrapText="1"/>
    </xf>
    <xf numFmtId="179" fontId="27" fillId="5" borderId="81" xfId="9" applyNumberFormat="1" applyBorder="1"/>
    <xf numFmtId="0" fontId="1" fillId="8" borderId="0" xfId="0" applyFont="1" applyFill="1"/>
    <xf numFmtId="174" fontId="27" fillId="5" borderId="6" xfId="9" applyNumberFormat="1" applyBorder="1" applyAlignment="1">
      <alignment horizontal="right"/>
    </xf>
    <xf numFmtId="179" fontId="27" fillId="5" borderId="4" xfId="9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0" borderId="31" xfId="0" applyBorder="1" applyAlignment="1">
      <alignment horizontal="left"/>
    </xf>
    <xf numFmtId="179" fontId="27" fillId="5" borderId="6" xfId="9" applyNumberFormat="1" applyBorder="1" applyAlignment="1">
      <alignment horizontal="right"/>
    </xf>
    <xf numFmtId="178" fontId="27" fillId="5" borderId="6" xfId="9" applyNumberFormat="1" applyBorder="1"/>
    <xf numFmtId="0" fontId="0" fillId="0" borderId="50" xfId="0" applyBorder="1"/>
    <xf numFmtId="178" fontId="27" fillId="5" borderId="20" xfId="9" applyNumberFormat="1" applyBorder="1"/>
    <xf numFmtId="0" fontId="0" fillId="0" borderId="29" xfId="0" applyBorder="1"/>
    <xf numFmtId="0" fontId="1" fillId="9" borderId="3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2" borderId="4" xfId="0" applyFont="1" applyFill="1" applyBorder="1"/>
    <xf numFmtId="0" fontId="0" fillId="0" borderId="30" xfId="0" applyBorder="1" applyAlignment="1">
      <alignment horizontal="left"/>
    </xf>
    <xf numFmtId="0" fontId="0" fillId="13" borderId="42" xfId="0" applyFill="1" applyBorder="1"/>
    <xf numFmtId="0" fontId="0" fillId="13" borderId="44" xfId="0" applyFill="1" applyBorder="1"/>
    <xf numFmtId="0" fontId="1" fillId="12" borderId="35" xfId="0" applyFont="1" applyFill="1" applyBorder="1"/>
    <xf numFmtId="0" fontId="1" fillId="12" borderId="40" xfId="0" applyFont="1" applyFill="1" applyBorder="1"/>
    <xf numFmtId="0" fontId="1" fillId="12" borderId="39" xfId="0" applyFont="1" applyFill="1" applyBorder="1"/>
    <xf numFmtId="0" fontId="1" fillId="12" borderId="26" xfId="0" applyFont="1" applyFill="1" applyBorder="1"/>
    <xf numFmtId="0" fontId="1" fillId="12" borderId="41" xfId="0" applyFont="1" applyFill="1" applyBorder="1"/>
    <xf numFmtId="0" fontId="0" fillId="10" borderId="42" xfId="0" applyFill="1" applyBorder="1"/>
    <xf numFmtId="0" fontId="0" fillId="10" borderId="44" xfId="0" applyFill="1" applyBorder="1"/>
    <xf numFmtId="0" fontId="0" fillId="26" borderId="42" xfId="0" applyFill="1" applyBorder="1"/>
    <xf numFmtId="0" fontId="0" fillId="26" borderId="44" xfId="0" applyFill="1" applyBorder="1"/>
    <xf numFmtId="0" fontId="6" fillId="5" borderId="72" xfId="4" applyBorder="1"/>
    <xf numFmtId="0" fontId="1" fillId="0" borderId="77" xfId="0" applyFont="1" applyBorder="1"/>
    <xf numFmtId="0" fontId="1" fillId="0" borderId="62" xfId="0" applyFont="1" applyBorder="1"/>
    <xf numFmtId="167" fontId="27" fillId="5" borderId="82" xfId="9" applyNumberFormat="1" applyBorder="1" applyAlignment="1">
      <alignment horizontal="right"/>
    </xf>
    <xf numFmtId="179" fontId="0" fillId="26" borderId="5" xfId="0" applyNumberFormat="1" applyFill="1" applyBorder="1" applyAlignment="1">
      <alignment horizontal="left"/>
    </xf>
    <xf numFmtId="0" fontId="0" fillId="26" borderId="2" xfId="0" applyFill="1" applyBorder="1" applyAlignment="1">
      <alignment horizontal="left"/>
    </xf>
    <xf numFmtId="167" fontId="0" fillId="26" borderId="2" xfId="0" applyNumberFormat="1" applyFill="1" applyBorder="1" applyAlignment="1">
      <alignment horizontal="center"/>
    </xf>
    <xf numFmtId="179" fontId="0" fillId="26" borderId="2" xfId="0" applyNumberFormat="1" applyFill="1" applyBorder="1" applyAlignment="1">
      <alignment horizontal="center"/>
    </xf>
    <xf numFmtId="179" fontId="0" fillId="26" borderId="2" xfId="0" applyNumberFormat="1" applyFill="1" applyBorder="1"/>
    <xf numFmtId="0" fontId="0" fillId="26" borderId="2" xfId="0" applyFill="1" applyBorder="1"/>
    <xf numFmtId="0" fontId="0" fillId="29" borderId="2" xfId="0" applyFill="1" applyBorder="1"/>
    <xf numFmtId="174" fontId="0" fillId="7" borderId="2" xfId="0" applyNumberFormat="1" applyFill="1" applyBorder="1" applyAlignment="1">
      <alignment horizontal="left"/>
    </xf>
    <xf numFmtId="167" fontId="0" fillId="7" borderId="2" xfId="0" applyNumberFormat="1" applyFill="1" applyBorder="1" applyAlignment="1">
      <alignment horizontal="center"/>
    </xf>
    <xf numFmtId="179" fontId="0" fillId="7" borderId="2" xfId="0" applyNumberFormat="1" applyFill="1" applyBorder="1" applyAlignment="1">
      <alignment horizontal="center"/>
    </xf>
    <xf numFmtId="179" fontId="0" fillId="7" borderId="2" xfId="0" applyNumberFormat="1" applyFill="1" applyBorder="1"/>
    <xf numFmtId="0" fontId="0" fillId="7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9" borderId="2" xfId="0" applyFill="1" applyBorder="1" applyAlignment="1">
      <alignment horizontal="left"/>
    </xf>
    <xf numFmtId="167" fontId="0" fillId="29" borderId="2" xfId="0" applyNumberFormat="1" applyFill="1" applyBorder="1" applyAlignment="1">
      <alignment horizontal="center"/>
    </xf>
    <xf numFmtId="179" fontId="0" fillId="29" borderId="2" xfId="0" applyNumberFormat="1" applyFill="1" applyBorder="1" applyAlignment="1">
      <alignment horizontal="center"/>
    </xf>
    <xf numFmtId="179" fontId="0" fillId="29" borderId="2" xfId="0" applyNumberFormat="1" applyFill="1" applyBorder="1"/>
    <xf numFmtId="0" fontId="0" fillId="29" borderId="2" xfId="0" applyFill="1" applyBorder="1" applyAlignment="1">
      <alignment horizontal="center"/>
    </xf>
    <xf numFmtId="0" fontId="0" fillId="26" borderId="6" xfId="0" applyFill="1" applyBorder="1" applyAlignment="1">
      <alignment horizontal="left"/>
    </xf>
    <xf numFmtId="174" fontId="5" fillId="26" borderId="2" xfId="4" applyNumberFormat="1" applyFont="1" applyFill="1" applyBorder="1" applyAlignment="1">
      <alignment horizontal="right"/>
    </xf>
    <xf numFmtId="0" fontId="1" fillId="9" borderId="11" xfId="0" applyFont="1" applyFill="1" applyBorder="1" applyAlignment="1">
      <alignment horizontal="center"/>
    </xf>
    <xf numFmtId="0" fontId="1" fillId="9" borderId="51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 wrapText="1"/>
    </xf>
    <xf numFmtId="0" fontId="1" fillId="26" borderId="51" xfId="0" applyFont="1" applyFill="1" applyBorder="1" applyAlignment="1">
      <alignment horizontal="center"/>
    </xf>
    <xf numFmtId="0" fontId="1" fillId="26" borderId="51" xfId="0" applyFont="1" applyFill="1" applyBorder="1" applyAlignment="1">
      <alignment horizontal="center" wrapText="1"/>
    </xf>
    <xf numFmtId="0" fontId="1" fillId="23" borderId="51" xfId="0" applyFont="1" applyFill="1" applyBorder="1" applyAlignment="1">
      <alignment horizontal="center"/>
    </xf>
    <xf numFmtId="0" fontId="1" fillId="23" borderId="51" xfId="0" applyFont="1" applyFill="1" applyBorder="1" applyAlignment="1">
      <alignment horizontal="center" wrapText="1"/>
    </xf>
    <xf numFmtId="0" fontId="1" fillId="23" borderId="12" xfId="0" applyFont="1" applyFill="1" applyBorder="1" applyAlignment="1">
      <alignment horizontal="center" wrapText="1"/>
    </xf>
    <xf numFmtId="174" fontId="5" fillId="29" borderId="2" xfId="4" applyNumberFormat="1" applyFont="1" applyFill="1" applyBorder="1" applyAlignment="1">
      <alignment horizontal="right"/>
    </xf>
    <xf numFmtId="0" fontId="0" fillId="23" borderId="2" xfId="0" applyFill="1" applyBorder="1"/>
    <xf numFmtId="174" fontId="5" fillId="7" borderId="2" xfId="4" applyNumberFormat="1" applyFont="1" applyFill="1" applyBorder="1" applyAlignment="1">
      <alignment horizontal="right"/>
    </xf>
    <xf numFmtId="0" fontId="0" fillId="0" borderId="86" xfId="0" applyBorder="1"/>
    <xf numFmtId="0" fontId="1" fillId="0" borderId="35" xfId="0" applyFont="1" applyBorder="1"/>
    <xf numFmtId="0" fontId="6" fillId="0" borderId="6" xfId="4" applyFill="1" applyBorder="1" applyAlignment="1">
      <alignment horizontal="right"/>
    </xf>
    <xf numFmtId="0" fontId="0" fillId="7" borderId="19" xfId="0" applyFill="1" applyBorder="1"/>
    <xf numFmtId="179" fontId="0" fillId="7" borderId="5" xfId="0" applyNumberFormat="1" applyFill="1" applyBorder="1" applyAlignment="1">
      <alignment horizontal="left"/>
    </xf>
    <xf numFmtId="0" fontId="0" fillId="7" borderId="6" xfId="0" applyFill="1" applyBorder="1" applyAlignment="1">
      <alignment horizontal="left"/>
    </xf>
    <xf numFmtId="179" fontId="0" fillId="29" borderId="5" xfId="0" applyNumberFormat="1" applyFill="1" applyBorder="1" applyAlignment="1">
      <alignment horizontal="left"/>
    </xf>
    <xf numFmtId="0" fontId="0" fillId="29" borderId="6" xfId="0" applyFill="1" applyBorder="1" applyAlignment="1">
      <alignment horizontal="left"/>
    </xf>
    <xf numFmtId="0" fontId="6" fillId="0" borderId="0" xfId="4" applyFill="1" applyBorder="1" applyAlignment="1">
      <alignment horizontal="right"/>
    </xf>
    <xf numFmtId="176" fontId="20" fillId="23" borderId="34" xfId="5" applyNumberFormat="1" applyFont="1" applyFill="1" applyBorder="1" applyProtection="1"/>
    <xf numFmtId="178" fontId="5" fillId="0" borderId="0" xfId="5" applyNumberFormat="1" applyFont="1" applyFill="1" applyBorder="1" applyAlignment="1" applyProtection="1">
      <alignment horizontal="right"/>
    </xf>
    <xf numFmtId="180" fontId="0" fillId="0" borderId="2" xfId="5" applyNumberFormat="1" applyFont="1" applyBorder="1" applyProtection="1"/>
    <xf numFmtId="166" fontId="0" fillId="0" borderId="21" xfId="6" applyNumberFormat="1" applyFont="1" applyBorder="1" applyProtection="1"/>
    <xf numFmtId="180" fontId="0" fillId="0" borderId="14" xfId="5" applyNumberFormat="1" applyFont="1" applyBorder="1" applyProtection="1"/>
    <xf numFmtId="0" fontId="0" fillId="33" borderId="5" xfId="0" applyFill="1" applyBorder="1"/>
    <xf numFmtId="0" fontId="0" fillId="33" borderId="2" xfId="0" applyFill="1" applyBorder="1"/>
    <xf numFmtId="174" fontId="27" fillId="33" borderId="2" xfId="9" applyNumberFormat="1" applyFill="1" applyBorder="1" applyAlignment="1">
      <alignment horizontal="right"/>
    </xf>
    <xf numFmtId="0" fontId="0" fillId="33" borderId="28" xfId="0" applyFill="1" applyBorder="1"/>
    <xf numFmtId="0" fontId="0" fillId="33" borderId="67" xfId="0" applyFill="1" applyBorder="1"/>
    <xf numFmtId="0" fontId="0" fillId="33" borderId="14" xfId="0" applyFill="1" applyBorder="1"/>
    <xf numFmtId="0" fontId="0" fillId="0" borderId="41" xfId="0" applyBorder="1" applyAlignment="1">
      <alignment horizontal="center"/>
    </xf>
    <xf numFmtId="0" fontId="0" fillId="16" borderId="47" xfId="0" applyFill="1" applyBorder="1"/>
    <xf numFmtId="0" fontId="0" fillId="16" borderId="37" xfId="0" applyFill="1" applyBorder="1" applyAlignment="1">
      <alignment horizontal="center"/>
    </xf>
    <xf numFmtId="0" fontId="0" fillId="16" borderId="37" xfId="0" applyFill="1" applyBorder="1" applyAlignment="1">
      <alignment horizontal="center" wrapText="1"/>
    </xf>
    <xf numFmtId="0" fontId="0" fillId="16" borderId="38" xfId="0" applyFill="1" applyBorder="1" applyAlignment="1">
      <alignment horizontal="center" wrapText="1"/>
    </xf>
    <xf numFmtId="168" fontId="8" fillId="18" borderId="13" xfId="0" applyNumberFormat="1" applyFont="1" applyFill="1" applyBorder="1" applyAlignment="1">
      <alignment horizontal="center"/>
    </xf>
    <xf numFmtId="169" fontId="8" fillId="18" borderId="13" xfId="0" applyNumberFormat="1" applyFont="1" applyFill="1" applyBorder="1" applyAlignment="1">
      <alignment horizontal="center" vertical="center"/>
    </xf>
    <xf numFmtId="170" fontId="8" fillId="18" borderId="13" xfId="0" applyNumberFormat="1" applyFont="1" applyFill="1" applyBorder="1" applyAlignment="1">
      <alignment horizontal="center" vertical="center"/>
    </xf>
    <xf numFmtId="170" fontId="8" fillId="18" borderId="4" xfId="0" applyNumberFormat="1" applyFont="1" applyFill="1" applyBorder="1" applyAlignment="1">
      <alignment horizontal="center" vertical="center"/>
    </xf>
    <xf numFmtId="170" fontId="8" fillId="18" borderId="2" xfId="0" applyNumberFormat="1" applyFont="1" applyFill="1" applyBorder="1" applyAlignment="1">
      <alignment horizontal="center" vertical="center"/>
    </xf>
    <xf numFmtId="0" fontId="2" fillId="2" borderId="13" xfId="1" applyBorder="1"/>
    <xf numFmtId="0" fontId="2" fillId="2" borderId="2" xfId="1" applyBorder="1"/>
    <xf numFmtId="0" fontId="2" fillId="2" borderId="14" xfId="1" applyBorder="1"/>
    <xf numFmtId="0" fontId="0" fillId="0" borderId="31" xfId="0" applyBorder="1"/>
    <xf numFmtId="0" fontId="1" fillId="0" borderId="30" xfId="0" applyFont="1" applyBorder="1"/>
    <xf numFmtId="169" fontId="8" fillId="18" borderId="4" xfId="0" applyNumberFormat="1" applyFont="1" applyFill="1" applyBorder="1" applyAlignment="1">
      <alignment horizontal="center" vertical="center"/>
    </xf>
    <xf numFmtId="169" fontId="8" fillId="18" borderId="6" xfId="0" applyNumberFormat="1" applyFont="1" applyFill="1" applyBorder="1" applyAlignment="1">
      <alignment horizontal="center" vertical="center"/>
    </xf>
    <xf numFmtId="169" fontId="8" fillId="18" borderId="8" xfId="0" applyNumberFormat="1" applyFont="1" applyFill="1" applyBorder="1" applyAlignment="1">
      <alignment horizontal="center" vertical="center"/>
    </xf>
    <xf numFmtId="0" fontId="33" fillId="16" borderId="3" xfId="0" applyFont="1" applyFill="1" applyBorder="1"/>
    <xf numFmtId="0" fontId="33" fillId="16" borderId="13" xfId="0" applyFont="1" applyFill="1" applyBorder="1" applyAlignment="1">
      <alignment horizontal="center"/>
    </xf>
    <xf numFmtId="0" fontId="33" fillId="16" borderId="13" xfId="0" applyFont="1" applyFill="1" applyBorder="1" applyAlignment="1">
      <alignment horizontal="center" wrapText="1"/>
    </xf>
    <xf numFmtId="0" fontId="33" fillId="16" borderId="4" xfId="0" applyFont="1" applyFill="1" applyBorder="1" applyAlignment="1">
      <alignment horizontal="center" wrapText="1"/>
    </xf>
    <xf numFmtId="168" fontId="34" fillId="18" borderId="2" xfId="0" applyNumberFormat="1" applyFont="1" applyFill="1" applyBorder="1" applyAlignment="1">
      <alignment horizontal="center"/>
    </xf>
    <xf numFmtId="169" fontId="34" fillId="18" borderId="2" xfId="0" applyNumberFormat="1" applyFont="1" applyFill="1" applyBorder="1" applyAlignment="1">
      <alignment horizontal="center" vertical="center"/>
    </xf>
    <xf numFmtId="170" fontId="34" fillId="18" borderId="6" xfId="0" applyNumberFormat="1" applyFont="1" applyFill="1" applyBorder="1" applyAlignment="1">
      <alignment horizontal="center" vertical="center"/>
    </xf>
    <xf numFmtId="168" fontId="34" fillId="18" borderId="14" xfId="0" applyNumberFormat="1" applyFont="1" applyFill="1" applyBorder="1" applyAlignment="1">
      <alignment horizontal="center"/>
    </xf>
    <xf numFmtId="169" fontId="34" fillId="18" borderId="14" xfId="0" applyNumberFormat="1" applyFont="1" applyFill="1" applyBorder="1" applyAlignment="1">
      <alignment horizontal="center" vertical="center"/>
    </xf>
    <xf numFmtId="170" fontId="34" fillId="18" borderId="8" xfId="0" applyNumberFormat="1" applyFont="1" applyFill="1" applyBorder="1" applyAlignment="1">
      <alignment horizontal="center" vertical="center"/>
    </xf>
    <xf numFmtId="178" fontId="5" fillId="0" borderId="14" xfId="5" applyNumberFormat="1" applyFont="1" applyFill="1" applyBorder="1" applyAlignment="1" applyProtection="1">
      <alignment horizontal="right"/>
    </xf>
    <xf numFmtId="178" fontId="5" fillId="0" borderId="51" xfId="5" applyNumberFormat="1" applyFont="1" applyFill="1" applyBorder="1" applyAlignment="1" applyProtection="1">
      <alignment horizontal="right"/>
    </xf>
    <xf numFmtId="49" fontId="0" fillId="6" borderId="30" xfId="0" applyNumberFormat="1" applyFill="1" applyBorder="1" applyProtection="1">
      <protection locked="0"/>
    </xf>
    <xf numFmtId="49" fontId="0" fillId="6" borderId="33" xfId="0" applyNumberFormat="1" applyFill="1" applyBorder="1" applyProtection="1">
      <protection locked="0"/>
    </xf>
    <xf numFmtId="49" fontId="0" fillId="6" borderId="31" xfId="0" applyNumberFormat="1" applyFill="1" applyBorder="1" applyProtection="1">
      <protection locked="0"/>
    </xf>
    <xf numFmtId="49" fontId="0" fillId="6" borderId="32" xfId="0" applyNumberFormat="1" applyFill="1" applyBorder="1" applyProtection="1">
      <protection locked="0"/>
    </xf>
    <xf numFmtId="171" fontId="0" fillId="6" borderId="78" xfId="0" applyNumberFormat="1" applyFill="1" applyBorder="1" applyProtection="1">
      <protection locked="0"/>
    </xf>
    <xf numFmtId="177" fontId="5" fillId="23" borderId="14" xfId="5" applyNumberFormat="1" applyFont="1" applyFill="1" applyBorder="1" applyProtection="1"/>
    <xf numFmtId="172" fontId="5" fillId="6" borderId="3" xfId="3" applyNumberFormat="1" applyFont="1" applyFill="1" applyBorder="1" applyProtection="1">
      <protection locked="0"/>
    </xf>
    <xf numFmtId="172" fontId="5" fillId="6" borderId="7" xfId="3" applyNumberFormat="1" applyFont="1" applyFill="1" applyBorder="1" applyProtection="1">
      <protection locked="0"/>
    </xf>
    <xf numFmtId="0" fontId="0" fillId="10" borderId="28" xfId="0" applyFill="1" applyBorder="1" applyAlignment="1">
      <alignment horizontal="left"/>
    </xf>
    <xf numFmtId="0" fontId="1" fillId="0" borderId="27" xfId="0" applyFont="1" applyBorder="1"/>
    <xf numFmtId="0" fontId="2" fillId="2" borderId="53" xfId="1" applyBorder="1"/>
    <xf numFmtId="0" fontId="2" fillId="2" borderId="70" xfId="1" applyBorder="1"/>
    <xf numFmtId="0" fontId="2" fillId="2" borderId="84" xfId="1" applyBorder="1"/>
    <xf numFmtId="0" fontId="1" fillId="0" borderId="45" xfId="0" applyFont="1" applyBorder="1"/>
    <xf numFmtId="0" fontId="0" fillId="0" borderId="54" xfId="0" applyBorder="1"/>
    <xf numFmtId="0" fontId="1" fillId="0" borderId="46" xfId="0" applyFont="1" applyBorder="1"/>
    <xf numFmtId="0" fontId="0" fillId="0" borderId="69" xfId="0" applyBorder="1"/>
    <xf numFmtId="0" fontId="2" fillId="2" borderId="71" xfId="1" applyBorder="1"/>
    <xf numFmtId="0" fontId="2" fillId="2" borderId="55" xfId="1" applyBorder="1"/>
    <xf numFmtId="0" fontId="0" fillId="34" borderId="35" xfId="0" applyFill="1" applyBorder="1"/>
    <xf numFmtId="0" fontId="0" fillId="34" borderId="39" xfId="0" applyFill="1" applyBorder="1"/>
    <xf numFmtId="0" fontId="0" fillId="34" borderId="40" xfId="0" applyFill="1" applyBorder="1"/>
    <xf numFmtId="0" fontId="1" fillId="34" borderId="11" xfId="0" applyFont="1" applyFill="1" applyBorder="1"/>
    <xf numFmtId="0" fontId="1" fillId="34" borderId="51" xfId="0" applyFont="1" applyFill="1" applyBorder="1"/>
    <xf numFmtId="0" fontId="1" fillId="34" borderId="61" xfId="0" applyFont="1" applyFill="1" applyBorder="1"/>
    <xf numFmtId="165" fontId="1" fillId="34" borderId="11" xfId="5" applyNumberFormat="1" applyFont="1" applyFill="1" applyBorder="1"/>
    <xf numFmtId="165" fontId="1" fillId="34" borderId="61" xfId="5" applyNumberFormat="1" applyFont="1" applyFill="1" applyBorder="1"/>
    <xf numFmtId="165" fontId="1" fillId="34" borderId="51" xfId="5" applyNumberFormat="1" applyFont="1" applyFill="1" applyBorder="1"/>
    <xf numFmtId="165" fontId="1" fillId="34" borderId="12" xfId="5" applyNumberFormat="1" applyFont="1" applyFill="1" applyBorder="1"/>
    <xf numFmtId="165" fontId="1" fillId="34" borderId="57" xfId="5" applyNumberFormat="1" applyFont="1" applyFill="1" applyBorder="1"/>
    <xf numFmtId="165" fontId="1" fillId="34" borderId="46" xfId="5" applyNumberFormat="1" applyFont="1" applyFill="1" applyBorder="1"/>
    <xf numFmtId="0" fontId="1" fillId="34" borderId="41" xfId="0" applyFont="1" applyFill="1" applyBorder="1"/>
    <xf numFmtId="0" fontId="0" fillId="34" borderId="9" xfId="0" applyFill="1" applyBorder="1"/>
    <xf numFmtId="0" fontId="0" fillId="34" borderId="21" xfId="0" applyFill="1" applyBorder="1"/>
    <xf numFmtId="0" fontId="0" fillId="34" borderId="59" xfId="0" applyFill="1" applyBorder="1"/>
    <xf numFmtId="165" fontId="0" fillId="34" borderId="9" xfId="5" applyNumberFormat="1" applyFont="1" applyFill="1" applyBorder="1"/>
    <xf numFmtId="165" fontId="0" fillId="34" borderId="59" xfId="5" applyNumberFormat="1" applyFont="1" applyFill="1" applyBorder="1"/>
    <xf numFmtId="9" fontId="0" fillId="34" borderId="3" xfId="7" applyFont="1" applyFill="1" applyBorder="1"/>
    <xf numFmtId="9" fontId="0" fillId="34" borderId="13" xfId="7" applyFont="1" applyFill="1" applyBorder="1"/>
    <xf numFmtId="9" fontId="0" fillId="34" borderId="4" xfId="7" applyFont="1" applyFill="1" applyBorder="1"/>
    <xf numFmtId="9" fontId="0" fillId="34" borderId="68" xfId="7" applyFont="1" applyFill="1" applyBorder="1"/>
    <xf numFmtId="165" fontId="0" fillId="34" borderId="10" xfId="5" applyNumberFormat="1" applyFont="1" applyFill="1" applyBorder="1"/>
    <xf numFmtId="9" fontId="0" fillId="34" borderId="9" xfId="7" applyFont="1" applyFill="1" applyBorder="1"/>
    <xf numFmtId="9" fontId="0" fillId="34" borderId="21" xfId="7" applyFont="1" applyFill="1" applyBorder="1"/>
    <xf numFmtId="9" fontId="0" fillId="34" borderId="10" xfId="7" applyFont="1" applyFill="1" applyBorder="1"/>
    <xf numFmtId="9" fontId="0" fillId="34" borderId="69" xfId="7" applyFont="1" applyFill="1" applyBorder="1"/>
    <xf numFmtId="0" fontId="0" fillId="34" borderId="41" xfId="0" applyFill="1" applyBorder="1"/>
    <xf numFmtId="0" fontId="0" fillId="34" borderId="5" xfId="0" applyFill="1" applyBorder="1"/>
    <xf numFmtId="0" fontId="0" fillId="34" borderId="2" xfId="0" applyFill="1" applyBorder="1"/>
    <xf numFmtId="0" fontId="0" fillId="34" borderId="58" xfId="0" applyFill="1" applyBorder="1"/>
    <xf numFmtId="165" fontId="0" fillId="34" borderId="5" xfId="5" applyNumberFormat="1" applyFont="1" applyFill="1" applyBorder="1"/>
    <xf numFmtId="165" fontId="0" fillId="34" borderId="58" xfId="5" applyNumberFormat="1" applyFont="1" applyFill="1" applyBorder="1"/>
    <xf numFmtId="9" fontId="0" fillId="34" borderId="5" xfId="7" applyFont="1" applyFill="1" applyBorder="1"/>
    <xf numFmtId="9" fontId="0" fillId="34" borderId="2" xfId="7" applyFont="1" applyFill="1" applyBorder="1"/>
    <xf numFmtId="9" fontId="0" fillId="34" borderId="6" xfId="7" applyFont="1" applyFill="1" applyBorder="1"/>
    <xf numFmtId="9" fontId="0" fillId="34" borderId="70" xfId="7" applyFont="1" applyFill="1" applyBorder="1"/>
    <xf numFmtId="165" fontId="0" fillId="34" borderId="6" xfId="5" applyNumberFormat="1" applyFont="1" applyFill="1" applyBorder="1"/>
    <xf numFmtId="9" fontId="0" fillId="34" borderId="71" xfId="7" applyFont="1" applyFill="1" applyBorder="1"/>
    <xf numFmtId="0" fontId="0" fillId="34" borderId="7" xfId="0" applyFill="1" applyBorder="1"/>
    <xf numFmtId="0" fontId="0" fillId="34" borderId="14" xfId="0" applyFill="1" applyBorder="1"/>
    <xf numFmtId="0" fontId="0" fillId="34" borderId="50" xfId="0" applyFill="1" applyBorder="1"/>
    <xf numFmtId="165" fontId="0" fillId="34" borderId="7" xfId="5" applyNumberFormat="1" applyFont="1" applyFill="1" applyBorder="1"/>
    <xf numFmtId="165" fontId="0" fillId="34" borderId="50" xfId="5" applyNumberFormat="1" applyFont="1" applyFill="1" applyBorder="1"/>
    <xf numFmtId="9" fontId="0" fillId="34" borderId="7" xfId="7" applyFont="1" applyFill="1" applyBorder="1"/>
    <xf numFmtId="9" fontId="0" fillId="34" borderId="14" xfId="7" applyFont="1" applyFill="1" applyBorder="1"/>
    <xf numFmtId="9" fontId="0" fillId="34" borderId="8" xfId="7" applyFont="1" applyFill="1" applyBorder="1"/>
    <xf numFmtId="9" fontId="0" fillId="34" borderId="52" xfId="7" applyFont="1" applyFill="1" applyBorder="1"/>
    <xf numFmtId="165" fontId="0" fillId="34" borderId="8" xfId="5" applyNumberFormat="1" applyFont="1" applyFill="1" applyBorder="1"/>
    <xf numFmtId="9" fontId="0" fillId="34" borderId="55" xfId="7" applyFont="1" applyFill="1" applyBorder="1"/>
    <xf numFmtId="0" fontId="0" fillId="34" borderId="26" xfId="0" applyFill="1" applyBorder="1"/>
    <xf numFmtId="0" fontId="0" fillId="34" borderId="0" xfId="0" applyFill="1"/>
    <xf numFmtId="165" fontId="0" fillId="34" borderId="0" xfId="5" applyNumberFormat="1" applyFont="1" applyFill="1" applyBorder="1"/>
    <xf numFmtId="9" fontId="0" fillId="34" borderId="0" xfId="7" applyFont="1" applyFill="1" applyBorder="1"/>
    <xf numFmtId="165" fontId="0" fillId="34" borderId="0" xfId="5" applyNumberFormat="1" applyFont="1" applyFill="1" applyBorder="1" applyAlignment="1"/>
    <xf numFmtId="165" fontId="1" fillId="34" borderId="0" xfId="5" applyNumberFormat="1" applyFont="1" applyFill="1" applyBorder="1" applyAlignment="1">
      <alignment horizontal="left"/>
    </xf>
    <xf numFmtId="0" fontId="1" fillId="34" borderId="0" xfId="0" applyFont="1" applyFill="1"/>
    <xf numFmtId="0" fontId="0" fillId="34" borderId="3" xfId="0" applyFill="1" applyBorder="1"/>
    <xf numFmtId="0" fontId="0" fillId="34" borderId="13" xfId="0" applyFill="1" applyBorder="1"/>
    <xf numFmtId="0" fontId="0" fillId="34" borderId="49" xfId="0" applyFill="1" applyBorder="1"/>
    <xf numFmtId="165" fontId="0" fillId="34" borderId="23" xfId="5" applyNumberFormat="1" applyFont="1" applyFill="1" applyBorder="1"/>
    <xf numFmtId="9" fontId="0" fillId="34" borderId="3" xfId="5" applyNumberFormat="1" applyFont="1" applyFill="1" applyBorder="1"/>
    <xf numFmtId="165" fontId="0" fillId="34" borderId="24" xfId="5" applyNumberFormat="1" applyFont="1" applyFill="1" applyBorder="1"/>
    <xf numFmtId="9" fontId="0" fillId="34" borderId="5" xfId="5" applyNumberFormat="1" applyFont="1" applyFill="1" applyBorder="1"/>
    <xf numFmtId="165" fontId="1" fillId="34" borderId="0" xfId="5" applyNumberFormat="1" applyFont="1" applyFill="1" applyBorder="1"/>
    <xf numFmtId="165" fontId="0" fillId="34" borderId="25" xfId="5" applyNumberFormat="1" applyFont="1" applyFill="1" applyBorder="1"/>
    <xf numFmtId="9" fontId="0" fillId="34" borderId="7" xfId="5" applyNumberFormat="1" applyFont="1" applyFill="1" applyBorder="1"/>
    <xf numFmtId="9" fontId="0" fillId="34" borderId="0" xfId="5" applyNumberFormat="1" applyFont="1" applyFill="1" applyBorder="1"/>
    <xf numFmtId="9" fontId="0" fillId="34" borderId="0" xfId="5" applyNumberFormat="1" applyFont="1" applyFill="1" applyBorder="1" applyAlignment="1">
      <alignment horizontal="left"/>
    </xf>
    <xf numFmtId="0" fontId="23" fillId="34" borderId="87" xfId="0" applyFont="1" applyFill="1" applyBorder="1" applyAlignment="1">
      <alignment vertical="center"/>
    </xf>
    <xf numFmtId="0" fontId="23" fillId="34" borderId="73" xfId="0" applyFont="1" applyFill="1" applyBorder="1" applyAlignment="1">
      <alignment vertical="center" wrapText="1"/>
    </xf>
    <xf numFmtId="0" fontId="23" fillId="34" borderId="73" xfId="0" applyFont="1" applyFill="1" applyBorder="1" applyAlignment="1">
      <alignment vertical="center"/>
    </xf>
    <xf numFmtId="0" fontId="24" fillId="34" borderId="88" xfId="0" applyFont="1" applyFill="1" applyBorder="1" applyAlignment="1">
      <alignment vertical="center"/>
    </xf>
    <xf numFmtId="0" fontId="24" fillId="34" borderId="74" xfId="0" applyFont="1" applyFill="1" applyBorder="1" applyAlignment="1">
      <alignment vertical="center"/>
    </xf>
    <xf numFmtId="0" fontId="24" fillId="34" borderId="75" xfId="0" applyFont="1" applyFill="1" applyBorder="1" applyAlignment="1">
      <alignment vertical="center"/>
    </xf>
    <xf numFmtId="165" fontId="1" fillId="34" borderId="22" xfId="5" applyNumberFormat="1" applyFont="1" applyFill="1" applyBorder="1" applyAlignment="1"/>
    <xf numFmtId="165" fontId="1" fillId="34" borderId="46" xfId="5" applyNumberFormat="1" applyFont="1" applyFill="1" applyBorder="1" applyAlignment="1"/>
    <xf numFmtId="165" fontId="0" fillId="34" borderId="40" xfId="5" applyNumberFormat="1" applyFont="1" applyFill="1" applyBorder="1" applyAlignment="1"/>
    <xf numFmtId="0" fontId="1" fillId="34" borderId="47" xfId="0" applyFont="1" applyFill="1" applyBorder="1"/>
    <xf numFmtId="0" fontId="1" fillId="34" borderId="37" xfId="0" applyFont="1" applyFill="1" applyBorder="1"/>
    <xf numFmtId="0" fontId="1" fillId="34" borderId="60" xfId="0" applyFont="1" applyFill="1" applyBorder="1"/>
    <xf numFmtId="165" fontId="1" fillId="34" borderId="0" xfId="5" applyNumberFormat="1" applyFont="1" applyFill="1" applyBorder="1" applyAlignment="1"/>
    <xf numFmtId="165" fontId="1" fillId="34" borderId="41" xfId="5" applyNumberFormat="1" applyFont="1" applyFill="1" applyBorder="1"/>
    <xf numFmtId="165" fontId="1" fillId="34" borderId="36" xfId="5" applyNumberFormat="1" applyFont="1" applyFill="1" applyBorder="1" applyAlignment="1"/>
    <xf numFmtId="165" fontId="1" fillId="34" borderId="38" xfId="5" applyNumberFormat="1" applyFont="1" applyFill="1" applyBorder="1"/>
    <xf numFmtId="165" fontId="1" fillId="34" borderId="34" xfId="5" applyNumberFormat="1" applyFont="1" applyFill="1" applyBorder="1" applyAlignment="1"/>
    <xf numFmtId="165" fontId="0" fillId="34" borderId="3" xfId="5" applyNumberFormat="1" applyFont="1" applyFill="1" applyBorder="1"/>
    <xf numFmtId="165" fontId="0" fillId="34" borderId="49" xfId="5" applyNumberFormat="1" applyFont="1" applyFill="1" applyBorder="1"/>
    <xf numFmtId="9" fontId="0" fillId="34" borderId="49" xfId="5" applyNumberFormat="1" applyFont="1" applyFill="1" applyBorder="1"/>
    <xf numFmtId="9" fontId="22" fillId="34" borderId="3" xfId="8" applyNumberFormat="1" applyFill="1" applyBorder="1" applyAlignment="1"/>
    <xf numFmtId="9" fontId="22" fillId="34" borderId="4" xfId="8" applyNumberFormat="1" applyFill="1" applyBorder="1"/>
    <xf numFmtId="9" fontId="0" fillId="34" borderId="54" xfId="5" applyNumberFormat="1" applyFont="1" applyFill="1" applyBorder="1" applyAlignment="1"/>
    <xf numFmtId="9" fontId="0" fillId="34" borderId="58" xfId="5" applyNumberFormat="1" applyFont="1" applyFill="1" applyBorder="1"/>
    <xf numFmtId="9" fontId="3" fillId="34" borderId="5" xfId="2" applyNumberFormat="1" applyFill="1" applyBorder="1" applyAlignment="1"/>
    <xf numFmtId="9" fontId="22" fillId="34" borderId="6" xfId="8" applyNumberFormat="1" applyFill="1" applyBorder="1"/>
    <xf numFmtId="9" fontId="0" fillId="34" borderId="71" xfId="5" applyNumberFormat="1" applyFont="1" applyFill="1" applyBorder="1" applyAlignment="1"/>
    <xf numFmtId="9" fontId="22" fillId="34" borderId="5" xfId="8" applyNumberFormat="1" applyFill="1" applyBorder="1" applyAlignment="1"/>
    <xf numFmtId="9" fontId="2" fillId="34" borderId="5" xfId="1" applyNumberFormat="1" applyFill="1" applyBorder="1" applyAlignment="1"/>
    <xf numFmtId="9" fontId="2" fillId="34" borderId="6" xfId="1" applyNumberFormat="1" applyFill="1" applyBorder="1"/>
    <xf numFmtId="9" fontId="0" fillId="34" borderId="50" xfId="5" applyNumberFormat="1" applyFont="1" applyFill="1" applyBorder="1"/>
    <xf numFmtId="9" fontId="0" fillId="34" borderId="7" xfId="1" applyNumberFormat="1" applyFont="1" applyFill="1" applyBorder="1" applyAlignment="1"/>
    <xf numFmtId="9" fontId="0" fillId="34" borderId="8" xfId="1" applyNumberFormat="1" applyFont="1" applyFill="1" applyBorder="1"/>
    <xf numFmtId="9" fontId="0" fillId="34" borderId="55" xfId="5" applyNumberFormat="1" applyFont="1" applyFill="1" applyBorder="1" applyAlignment="1"/>
    <xf numFmtId="0" fontId="2" fillId="34" borderId="41" xfId="1" applyFill="1" applyBorder="1"/>
    <xf numFmtId="9" fontId="0" fillId="34" borderId="0" xfId="1" applyNumberFormat="1" applyFont="1" applyFill="1" applyBorder="1" applyAlignment="1"/>
    <xf numFmtId="9" fontId="0" fillId="34" borderId="0" xfId="1" applyNumberFormat="1" applyFont="1" applyFill="1" applyBorder="1"/>
    <xf numFmtId="9" fontId="0" fillId="34" borderId="0" xfId="5" applyNumberFormat="1" applyFont="1" applyFill="1" applyBorder="1" applyAlignment="1"/>
    <xf numFmtId="0" fontId="0" fillId="34" borderId="22" xfId="0" applyFill="1" applyBorder="1"/>
    <xf numFmtId="0" fontId="0" fillId="34" borderId="45" xfId="0" applyFill="1" applyBorder="1"/>
    <xf numFmtId="165" fontId="1" fillId="34" borderId="17" xfId="5" applyNumberFormat="1" applyFont="1" applyFill="1" applyBorder="1" applyAlignment="1"/>
    <xf numFmtId="0" fontId="9" fillId="34" borderId="0" xfId="0" applyFont="1" applyFill="1" applyAlignment="1">
      <alignment wrapText="1"/>
    </xf>
    <xf numFmtId="0" fontId="1" fillId="34" borderId="63" xfId="0" applyFont="1" applyFill="1" applyBorder="1"/>
    <xf numFmtId="0" fontId="1" fillId="34" borderId="65" xfId="0" applyFont="1" applyFill="1" applyBorder="1"/>
    <xf numFmtId="0" fontId="1" fillId="34" borderId="64" xfId="0" applyFont="1" applyFill="1" applyBorder="1"/>
    <xf numFmtId="165" fontId="1" fillId="34" borderId="77" xfId="5" applyNumberFormat="1" applyFont="1" applyFill="1" applyBorder="1"/>
    <xf numFmtId="165" fontId="1" fillId="34" borderId="64" xfId="5" applyNumberFormat="1" applyFont="1" applyFill="1" applyBorder="1"/>
    <xf numFmtId="165" fontId="1" fillId="34" borderId="63" xfId="5" applyNumberFormat="1" applyFont="1" applyFill="1" applyBorder="1"/>
    <xf numFmtId="165" fontId="1" fillId="34" borderId="65" xfId="5" applyNumberFormat="1" applyFont="1" applyFill="1" applyBorder="1"/>
    <xf numFmtId="165" fontId="1" fillId="34" borderId="62" xfId="5" applyNumberFormat="1" applyFont="1" applyFill="1" applyBorder="1"/>
    <xf numFmtId="165" fontId="1" fillId="34" borderId="42" xfId="5" applyNumberFormat="1" applyFont="1" applyFill="1" applyBorder="1"/>
    <xf numFmtId="0" fontId="1" fillId="34" borderId="16" xfId="0" applyFont="1" applyFill="1" applyBorder="1"/>
    <xf numFmtId="0" fontId="9" fillId="34" borderId="0" xfId="0" applyFont="1" applyFill="1"/>
    <xf numFmtId="165" fontId="0" fillId="34" borderId="4" xfId="5" applyNumberFormat="1" applyFont="1" applyFill="1" applyBorder="1"/>
    <xf numFmtId="9" fontId="0" fillId="34" borderId="4" xfId="5" applyNumberFormat="1" applyFont="1" applyFill="1" applyBorder="1"/>
    <xf numFmtId="9" fontId="22" fillId="34" borderId="53" xfId="8" applyNumberFormat="1" applyFill="1" applyBorder="1"/>
    <xf numFmtId="9" fontId="0" fillId="34" borderId="30" xfId="5" applyNumberFormat="1" applyFont="1" applyFill="1" applyBorder="1" applyAlignment="1"/>
    <xf numFmtId="9" fontId="0" fillId="34" borderId="6" xfId="5" applyNumberFormat="1" applyFont="1" applyFill="1" applyBorder="1"/>
    <xf numFmtId="9" fontId="22" fillId="34" borderId="70" xfId="8" applyNumberFormat="1" applyFill="1" applyBorder="1"/>
    <xf numFmtId="9" fontId="0" fillId="34" borderId="31" xfId="5" applyNumberFormat="1" applyFont="1" applyFill="1" applyBorder="1" applyAlignment="1"/>
    <xf numFmtId="9" fontId="0" fillId="34" borderId="10" xfId="5" applyNumberFormat="1" applyFont="1" applyFill="1" applyBorder="1"/>
    <xf numFmtId="9" fontId="22" fillId="34" borderId="68" xfId="8" applyNumberFormat="1" applyFill="1" applyBorder="1"/>
    <xf numFmtId="9" fontId="3" fillId="34" borderId="70" xfId="2" applyNumberFormat="1" applyFill="1" applyBorder="1"/>
    <xf numFmtId="9" fontId="2" fillId="34" borderId="70" xfId="1" applyNumberFormat="1" applyFill="1" applyBorder="1"/>
    <xf numFmtId="9" fontId="0" fillId="34" borderId="8" xfId="5" applyNumberFormat="1" applyFont="1" applyFill="1" applyBorder="1"/>
    <xf numFmtId="9" fontId="3" fillId="34" borderId="52" xfId="2" applyNumberFormat="1" applyFill="1" applyBorder="1"/>
    <xf numFmtId="9" fontId="0" fillId="34" borderId="32" xfId="5" applyNumberFormat="1" applyFont="1" applyFill="1" applyBorder="1" applyAlignment="1"/>
    <xf numFmtId="9" fontId="0" fillId="34" borderId="68" xfId="1" applyNumberFormat="1" applyFont="1" applyFill="1" applyBorder="1"/>
    <xf numFmtId="9" fontId="0" fillId="34" borderId="78" xfId="5" applyNumberFormat="1" applyFont="1" applyFill="1" applyBorder="1" applyAlignment="1"/>
    <xf numFmtId="9" fontId="0" fillId="34" borderId="70" xfId="1" applyNumberFormat="1" applyFont="1" applyFill="1" applyBorder="1"/>
    <xf numFmtId="9" fontId="0" fillId="34" borderId="52" xfId="1" applyNumberFormat="1" applyFont="1" applyFill="1" applyBorder="1"/>
    <xf numFmtId="165" fontId="25" fillId="34" borderId="35" xfId="5" applyNumberFormat="1" applyFont="1" applyFill="1" applyBorder="1" applyAlignment="1"/>
    <xf numFmtId="165" fontId="0" fillId="34" borderId="39" xfId="5" applyNumberFormat="1" applyFont="1" applyFill="1" applyBorder="1"/>
    <xf numFmtId="165" fontId="25" fillId="34" borderId="39" xfId="5" applyNumberFormat="1" applyFont="1" applyFill="1" applyBorder="1" applyAlignment="1"/>
    <xf numFmtId="0" fontId="24" fillId="34" borderId="75" xfId="0" applyFont="1" applyFill="1" applyBorder="1" applyAlignment="1">
      <alignment horizontal="right" vertical="center"/>
    </xf>
    <xf numFmtId="165" fontId="0" fillId="34" borderId="26" xfId="5" applyNumberFormat="1" applyFont="1" applyFill="1" applyBorder="1"/>
    <xf numFmtId="0" fontId="0" fillId="34" borderId="42" xfId="0" applyFill="1" applyBorder="1"/>
    <xf numFmtId="0" fontId="0" fillId="34" borderId="43" xfId="0" applyFill="1" applyBorder="1"/>
    <xf numFmtId="165" fontId="0" fillId="34" borderId="43" xfId="5" applyNumberFormat="1" applyFont="1" applyFill="1" applyBorder="1"/>
    <xf numFmtId="0" fontId="0" fillId="34" borderId="44" xfId="0" applyFill="1" applyBorder="1"/>
    <xf numFmtId="0" fontId="1" fillId="34" borderId="3" xfId="0" applyFont="1" applyFill="1" applyBorder="1" applyAlignment="1">
      <alignment vertical="center"/>
    </xf>
    <xf numFmtId="0" fontId="1" fillId="34" borderId="13" xfId="0" applyFont="1" applyFill="1" applyBorder="1" applyAlignment="1">
      <alignment vertical="center" wrapText="1"/>
    </xf>
    <xf numFmtId="0" fontId="1" fillId="34" borderId="13" xfId="0" applyFont="1" applyFill="1" applyBorder="1" applyAlignment="1">
      <alignment vertical="center"/>
    </xf>
    <xf numFmtId="0" fontId="1" fillId="34" borderId="4" xfId="0" applyFont="1" applyFill="1" applyBorder="1" applyAlignment="1">
      <alignment vertical="center"/>
    </xf>
    <xf numFmtId="0" fontId="0" fillId="34" borderId="5" xfId="0" applyFill="1" applyBorder="1" applyAlignment="1">
      <alignment vertical="center"/>
    </xf>
    <xf numFmtId="0" fontId="0" fillId="34" borderId="2" xfId="0" applyFill="1" applyBorder="1" applyAlignment="1">
      <alignment vertical="center"/>
    </xf>
    <xf numFmtId="0" fontId="0" fillId="34" borderId="6" xfId="0" applyFill="1" applyBorder="1" applyAlignment="1">
      <alignment horizontal="right" vertical="center"/>
    </xf>
    <xf numFmtId="0" fontId="0" fillId="34" borderId="7" xfId="0" applyFill="1" applyBorder="1" applyAlignment="1">
      <alignment vertical="center"/>
    </xf>
    <xf numFmtId="0" fontId="0" fillId="34" borderId="14" xfId="0" applyFill="1" applyBorder="1" applyAlignment="1">
      <alignment vertical="center"/>
    </xf>
    <xf numFmtId="0" fontId="0" fillId="34" borderId="8" xfId="0" applyFill="1" applyBorder="1" applyAlignment="1">
      <alignment horizontal="right" vertical="center"/>
    </xf>
    <xf numFmtId="0" fontId="0" fillId="0" borderId="0" xfId="0" applyAlignment="1">
      <alignment horizontal="left" wrapText="1"/>
    </xf>
    <xf numFmtId="0" fontId="9" fillId="0" borderId="41" xfId="0" applyFont="1" applyBorder="1" applyAlignment="1">
      <alignment horizontal="center"/>
    </xf>
    <xf numFmtId="0" fontId="1" fillId="7" borderId="47" xfId="0" applyFont="1" applyFill="1" applyBorder="1"/>
    <xf numFmtId="0" fontId="0" fillId="7" borderId="60" xfId="0" applyFill="1" applyBorder="1"/>
    <xf numFmtId="0" fontId="19" fillId="0" borderId="4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1" xfId="0" applyBorder="1"/>
    <xf numFmtId="0" fontId="0" fillId="8" borderId="3" xfId="0" applyFill="1" applyBorder="1"/>
    <xf numFmtId="0" fontId="0" fillId="0" borderId="24" xfId="0" applyBorder="1"/>
    <xf numFmtId="0" fontId="0" fillId="0" borderId="25" xfId="0" applyBorder="1"/>
    <xf numFmtId="0" fontId="0" fillId="0" borderId="66" xfId="0" applyBorder="1"/>
    <xf numFmtId="175" fontId="0" fillId="0" borderId="13" xfId="0" applyNumberFormat="1" applyBorder="1"/>
    <xf numFmtId="9" fontId="0" fillId="0" borderId="41" xfId="0" applyNumberFormat="1" applyBorder="1"/>
    <xf numFmtId="175" fontId="0" fillId="0" borderId="19" xfId="0" applyNumberFormat="1" applyBorder="1"/>
    <xf numFmtId="172" fontId="0" fillId="0" borderId="41" xfId="0" applyNumberFormat="1" applyBorder="1"/>
    <xf numFmtId="175" fontId="0" fillId="0" borderId="51" xfId="0" applyNumberFormat="1" applyBorder="1"/>
    <xf numFmtId="1" fontId="1" fillId="0" borderId="0" xfId="0" applyNumberFormat="1" applyFont="1"/>
    <xf numFmtId="0" fontId="0" fillId="0" borderId="35" xfId="0" applyBorder="1"/>
    <xf numFmtId="0" fontId="0" fillId="0" borderId="22" xfId="0" applyBorder="1" applyAlignment="1">
      <alignment wrapText="1"/>
    </xf>
    <xf numFmtId="175" fontId="0" fillId="24" borderId="13" xfId="0" applyNumberFormat="1" applyFill="1" applyBorder="1"/>
    <xf numFmtId="175" fontId="0" fillId="24" borderId="19" xfId="0" applyNumberFormat="1" applyFill="1" applyBorder="1"/>
    <xf numFmtId="0" fontId="0" fillId="24" borderId="19" xfId="0" applyFill="1" applyBorder="1"/>
    <xf numFmtId="0" fontId="0" fillId="24" borderId="20" xfId="0" applyFill="1" applyBorder="1"/>
    <xf numFmtId="175" fontId="21" fillId="11" borderId="13" xfId="0" applyNumberFormat="1" applyFont="1" applyFill="1" applyBorder="1"/>
    <xf numFmtId="1" fontId="21" fillId="0" borderId="41" xfId="0" applyNumberFormat="1" applyFont="1" applyBorder="1" applyAlignment="1">
      <alignment horizontal="center"/>
    </xf>
    <xf numFmtId="0" fontId="0" fillId="32" borderId="7" xfId="0" applyFill="1" applyBorder="1" applyAlignment="1">
      <alignment wrapText="1"/>
    </xf>
    <xf numFmtId="0" fontId="0" fillId="0" borderId="15" xfId="0" applyBorder="1"/>
    <xf numFmtId="0" fontId="0" fillId="0" borderId="5" xfId="0" applyBorder="1" applyAlignment="1">
      <alignment wrapText="1"/>
    </xf>
    <xf numFmtId="0" fontId="0" fillId="32" borderId="9" xfId="0" applyFill="1" applyBorder="1" applyAlignment="1">
      <alignment wrapText="1"/>
    </xf>
    <xf numFmtId="0" fontId="0" fillId="0" borderId="59" xfId="0" applyBorder="1"/>
    <xf numFmtId="0" fontId="0" fillId="32" borderId="5" xfId="0" applyFill="1" applyBorder="1" applyAlignment="1">
      <alignment wrapText="1"/>
    </xf>
    <xf numFmtId="0" fontId="0" fillId="0" borderId="26" xfId="0" applyBorder="1" applyAlignment="1">
      <alignment wrapText="1"/>
    </xf>
    <xf numFmtId="164" fontId="0" fillId="0" borderId="0" xfId="0" applyNumberFormat="1"/>
    <xf numFmtId="0" fontId="1" fillId="12" borderId="22" xfId="0" applyFont="1" applyFill="1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11" borderId="25" xfId="0" applyFill="1" applyBorder="1" applyAlignment="1">
      <alignment wrapText="1"/>
    </xf>
    <xf numFmtId="0" fontId="0" fillId="0" borderId="42" xfId="0" applyBorder="1"/>
    <xf numFmtId="0" fontId="9" fillId="0" borderId="41" xfId="0" applyFont="1" applyBorder="1"/>
    <xf numFmtId="0" fontId="1" fillId="0" borderId="3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0" fillId="7" borderId="3" xfId="0" applyFill="1" applyBorder="1" applyAlignment="1">
      <alignment wrapText="1"/>
    </xf>
    <xf numFmtId="175" fontId="0" fillId="7" borderId="13" xfId="0" applyNumberFormat="1" applyFill="1" applyBorder="1" applyAlignment="1">
      <alignment horizontal="center"/>
    </xf>
    <xf numFmtId="175" fontId="0" fillId="7" borderId="4" xfId="0" applyNumberFormat="1" applyFill="1" applyBorder="1" applyAlignment="1">
      <alignment horizontal="center"/>
    </xf>
    <xf numFmtId="0" fontId="0" fillId="7" borderId="7" xfId="0" applyFill="1" applyBorder="1" applyAlignment="1">
      <alignment wrapText="1"/>
    </xf>
    <xf numFmtId="167" fontId="0" fillId="7" borderId="19" xfId="0" applyNumberFormat="1" applyFill="1" applyBorder="1" applyAlignment="1">
      <alignment horizontal="center"/>
    </xf>
    <xf numFmtId="167" fontId="0" fillId="7" borderId="20" xfId="0" applyNumberFormat="1" applyFill="1" applyBorder="1" applyAlignment="1">
      <alignment horizontal="center"/>
    </xf>
    <xf numFmtId="168" fontId="0" fillId="0" borderId="13" xfId="0" applyNumberFormat="1" applyBorder="1"/>
    <xf numFmtId="0" fontId="11" fillId="0" borderId="41" xfId="0" applyFont="1" applyBorder="1" applyAlignment="1">
      <alignment vertical="center"/>
    </xf>
    <xf numFmtId="0" fontId="10" fillId="0" borderId="41" xfId="0" applyFont="1" applyBorder="1" applyAlignment="1">
      <alignment horizontal="center"/>
    </xf>
    <xf numFmtId="0" fontId="0" fillId="0" borderId="41" xfId="0" applyBorder="1" applyAlignment="1">
      <alignment wrapText="1"/>
    </xf>
    <xf numFmtId="174" fontId="0" fillId="0" borderId="2" xfId="0" applyNumberFormat="1" applyBorder="1"/>
    <xf numFmtId="0" fontId="0" fillId="0" borderId="79" xfId="0" applyBorder="1"/>
    <xf numFmtId="0" fontId="1" fillId="0" borderId="26" xfId="0" applyFont="1" applyBorder="1"/>
    <xf numFmtId="9" fontId="0" fillId="0" borderId="0" xfId="0" applyNumberFormat="1" applyAlignment="1">
      <alignment horizontal="right"/>
    </xf>
    <xf numFmtId="0" fontId="1" fillId="0" borderId="41" xfId="0" applyFont="1" applyBorder="1" applyAlignment="1">
      <alignment wrapText="1"/>
    </xf>
    <xf numFmtId="0" fontId="9" fillId="0" borderId="0" xfId="0" applyFont="1"/>
    <xf numFmtId="0" fontId="1" fillId="0" borderId="3" xfId="0" applyFont="1" applyBorder="1"/>
    <xf numFmtId="0" fontId="9" fillId="0" borderId="0" xfId="0" applyFont="1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0" fontId="1" fillId="11" borderId="9" xfId="0" applyFont="1" applyFill="1" applyBorder="1"/>
    <xf numFmtId="0" fontId="1" fillId="11" borderId="21" xfId="0" applyFont="1" applyFill="1" applyBorder="1"/>
    <xf numFmtId="0" fontId="0" fillId="32" borderId="5" xfId="0" applyFill="1" applyBorder="1"/>
    <xf numFmtId="176" fontId="0" fillId="0" borderId="2" xfId="0" applyNumberFormat="1" applyBorder="1"/>
    <xf numFmtId="175" fontId="0" fillId="0" borderId="0" xfId="6" applyNumberFormat="1" applyFont="1" applyFill="1" applyBorder="1" applyAlignment="1" applyProtection="1">
      <alignment vertical="center"/>
    </xf>
    <xf numFmtId="176" fontId="0" fillId="0" borderId="14" xfId="0" applyNumberFormat="1" applyBorder="1"/>
    <xf numFmtId="176" fontId="0" fillId="0" borderId="0" xfId="0" applyNumberFormat="1"/>
    <xf numFmtId="176" fontId="0" fillId="0" borderId="0" xfId="0" applyNumberFormat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7" borderId="5" xfId="0" applyFill="1" applyBorder="1"/>
    <xf numFmtId="0" fontId="0" fillId="28" borderId="5" xfId="0" applyFill="1" applyBorder="1"/>
    <xf numFmtId="0" fontId="0" fillId="28" borderId="2" xfId="0" applyFill="1" applyBorder="1" applyAlignment="1">
      <alignment horizontal="right"/>
    </xf>
    <xf numFmtId="176" fontId="0" fillId="28" borderId="2" xfId="0" applyNumberFormat="1" applyFill="1" applyBorder="1"/>
    <xf numFmtId="176" fontId="0" fillId="28" borderId="2" xfId="0" applyNumberFormat="1" applyFill="1" applyBorder="1" applyAlignment="1">
      <alignment horizontal="right"/>
    </xf>
    <xf numFmtId="174" fontId="0" fillId="28" borderId="2" xfId="0" applyNumberFormat="1" applyFill="1" applyBorder="1" applyAlignment="1">
      <alignment horizontal="right"/>
    </xf>
    <xf numFmtId="0" fontId="1" fillId="12" borderId="48" xfId="0" applyFont="1" applyFill="1" applyBorder="1"/>
    <xf numFmtId="0" fontId="1" fillId="12" borderId="15" xfId="0" applyFont="1" applyFill="1" applyBorder="1"/>
    <xf numFmtId="0" fontId="1" fillId="12" borderId="0" xfId="0" applyFont="1" applyFill="1" applyAlignment="1">
      <alignment wrapText="1"/>
    </xf>
    <xf numFmtId="0" fontId="1" fillId="12" borderId="41" xfId="0" applyFont="1" applyFill="1" applyBorder="1" applyAlignment="1">
      <alignment wrapText="1"/>
    </xf>
    <xf numFmtId="0" fontId="1" fillId="0" borderId="71" xfId="0" applyFont="1" applyBorder="1" applyAlignment="1">
      <alignment wrapText="1"/>
    </xf>
    <xf numFmtId="176" fontId="0" fillId="0" borderId="2" xfId="0" applyNumberFormat="1" applyBorder="1" applyAlignment="1">
      <alignment horizontal="center"/>
    </xf>
    <xf numFmtId="176" fontId="0" fillId="0" borderId="71" xfId="0" applyNumberFormat="1" applyBorder="1"/>
    <xf numFmtId="0" fontId="0" fillId="0" borderId="2" xfId="0" applyBorder="1" applyAlignment="1">
      <alignment horizontal="right"/>
    </xf>
    <xf numFmtId="176" fontId="0" fillId="0" borderId="58" xfId="0" applyNumberFormat="1" applyBorder="1"/>
    <xf numFmtId="176" fontId="0" fillId="0" borderId="50" xfId="0" applyNumberFormat="1" applyBorder="1"/>
    <xf numFmtId="176" fontId="0" fillId="0" borderId="55" xfId="0" applyNumberFormat="1" applyBorder="1"/>
    <xf numFmtId="176" fontId="0" fillId="0" borderId="0" xfId="0" applyNumberFormat="1" applyAlignment="1">
      <alignment horizontal="center"/>
    </xf>
    <xf numFmtId="0" fontId="1" fillId="29" borderId="5" xfId="0" applyFont="1" applyFill="1" applyBorder="1"/>
    <xf numFmtId="0" fontId="1" fillId="29" borderId="2" xfId="0" applyFont="1" applyFill="1" applyBorder="1"/>
    <xf numFmtId="0" fontId="1" fillId="29" borderId="2" xfId="0" applyFont="1" applyFill="1" applyBorder="1" applyAlignment="1">
      <alignment wrapText="1"/>
    </xf>
    <xf numFmtId="175" fontId="0" fillId="0" borderId="41" xfId="6" applyNumberFormat="1" applyFont="1" applyBorder="1" applyProtection="1"/>
    <xf numFmtId="175" fontId="0" fillId="0" borderId="2" xfId="6" applyNumberFormat="1" applyFont="1" applyBorder="1" applyAlignment="1" applyProtection="1"/>
    <xf numFmtId="0" fontId="1" fillId="29" borderId="2" xfId="0" applyFont="1" applyFill="1" applyBorder="1" applyAlignment="1">
      <alignment horizontal="center"/>
    </xf>
    <xf numFmtId="175" fontId="0" fillId="0" borderId="2" xfId="6" applyNumberFormat="1" applyFont="1" applyBorder="1" applyProtection="1"/>
    <xf numFmtId="0" fontId="1" fillId="0" borderId="2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1" fillId="30" borderId="22" xfId="0" applyFont="1" applyFill="1" applyBorder="1"/>
    <xf numFmtId="0" fontId="0" fillId="30" borderId="45" xfId="0" applyFill="1" applyBorder="1"/>
    <xf numFmtId="0" fontId="0" fillId="30" borderId="46" xfId="0" applyFill="1" applyBorder="1"/>
    <xf numFmtId="0" fontId="1" fillId="30" borderId="17" xfId="0" applyFont="1" applyFill="1" applyBorder="1" applyAlignment="1">
      <alignment wrapText="1"/>
    </xf>
    <xf numFmtId="178" fontId="0" fillId="0" borderId="40" xfId="0" applyNumberFormat="1" applyBorder="1"/>
    <xf numFmtId="0" fontId="0" fillId="0" borderId="76" xfId="0" applyBorder="1"/>
    <xf numFmtId="178" fontId="0" fillId="0" borderId="41" xfId="0" applyNumberFormat="1" applyBorder="1"/>
    <xf numFmtId="178" fontId="0" fillId="0" borderId="0" xfId="0" applyNumberFormat="1"/>
    <xf numFmtId="176" fontId="0" fillId="0" borderId="44" xfId="0" applyNumberFormat="1" applyBorder="1"/>
    <xf numFmtId="0" fontId="0" fillId="0" borderId="72" xfId="0" applyBorder="1"/>
    <xf numFmtId="0" fontId="0" fillId="6" borderId="13" xfId="0" applyFill="1" applyBorder="1" applyAlignment="1" applyProtection="1">
      <alignment horizontal="right"/>
      <protection locked="0"/>
    </xf>
    <xf numFmtId="179" fontId="0" fillId="6" borderId="2" xfId="0" applyNumberFormat="1" applyFill="1" applyBorder="1" applyAlignment="1" applyProtection="1">
      <alignment horizontal="right"/>
      <protection locked="0"/>
    </xf>
    <xf numFmtId="174" fontId="5" fillId="6" borderId="2" xfId="5" applyNumberFormat="1" applyFont="1" applyFill="1" applyBorder="1" applyAlignment="1" applyProtection="1">
      <alignment horizontal="right"/>
      <protection locked="0"/>
    </xf>
    <xf numFmtId="178" fontId="5" fillId="6" borderId="2" xfId="5" applyNumberFormat="1" applyFont="1" applyFill="1" applyBorder="1" applyAlignment="1" applyProtection="1">
      <alignment horizontal="right"/>
      <protection locked="0"/>
    </xf>
    <xf numFmtId="0" fontId="2" fillId="2" borderId="19" xfId="1" applyBorder="1"/>
    <xf numFmtId="0" fontId="0" fillId="0" borderId="35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1" fillId="0" borderId="61" xfId="0" applyFont="1" applyBorder="1"/>
    <xf numFmtId="0" fontId="1" fillId="8" borderId="11" xfId="0" applyFont="1" applyFill="1" applyBorder="1"/>
    <xf numFmtId="0" fontId="1" fillId="8" borderId="51" xfId="0" applyFont="1" applyFill="1" applyBorder="1"/>
    <xf numFmtId="0" fontId="1" fillId="8" borderId="12" xfId="0" applyFont="1" applyFill="1" applyBorder="1"/>
    <xf numFmtId="0" fontId="0" fillId="0" borderId="0" xfId="0" applyAlignment="1">
      <alignment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/>
    <xf numFmtId="0" fontId="0" fillId="24" borderId="24" xfId="0" applyFill="1" applyBorder="1"/>
    <xf numFmtId="0" fontId="0" fillId="24" borderId="5" xfId="0" applyFill="1" applyBorder="1"/>
    <xf numFmtId="0" fontId="0" fillId="24" borderId="2" xfId="0" applyFill="1" applyBorder="1"/>
    <xf numFmtId="0" fontId="0" fillId="24" borderId="6" xfId="0" applyFill="1" applyBorder="1"/>
    <xf numFmtId="0" fontId="0" fillId="24" borderId="25" xfId="0" applyFill="1" applyBorder="1"/>
    <xf numFmtId="0" fontId="0" fillId="24" borderId="7" xfId="0" applyFill="1" applyBorder="1"/>
    <xf numFmtId="0" fontId="0" fillId="24" borderId="14" xfId="0" applyFill="1" applyBorder="1"/>
    <xf numFmtId="0" fontId="0" fillId="24" borderId="8" xfId="0" applyFill="1" applyBorder="1"/>
    <xf numFmtId="0" fontId="0" fillId="24" borderId="18" xfId="0" applyFill="1" applyBorder="1"/>
    <xf numFmtId="0" fontId="0" fillId="10" borderId="51" xfId="0" applyFill="1" applyBorder="1"/>
    <xf numFmtId="174" fontId="0" fillId="0" borderId="65" xfId="0" applyNumberFormat="1" applyBorder="1"/>
    <xf numFmtId="174" fontId="0" fillId="0" borderId="13" xfId="0" applyNumberFormat="1" applyBorder="1"/>
    <xf numFmtId="0" fontId="10" fillId="19" borderId="63" xfId="0" applyFont="1" applyFill="1" applyBorder="1" applyAlignment="1">
      <alignment horizontal="center"/>
    </xf>
    <xf numFmtId="0" fontId="10" fillId="19" borderId="65" xfId="0" applyFont="1" applyFill="1" applyBorder="1" applyAlignment="1">
      <alignment horizontal="center"/>
    </xf>
    <xf numFmtId="168" fontId="0" fillId="0" borderId="2" xfId="0" applyNumberFormat="1" applyBorder="1"/>
    <xf numFmtId="168" fontId="0" fillId="0" borderId="14" xfId="0" applyNumberFormat="1" applyBorder="1"/>
    <xf numFmtId="0" fontId="0" fillId="0" borderId="0" xfId="0" applyAlignment="1">
      <alignment horizontal="center" wrapText="1"/>
    </xf>
    <xf numFmtId="0" fontId="0" fillId="17" borderId="35" xfId="0" applyFill="1" applyBorder="1" applyAlignment="1">
      <alignment horizontal="center" vertical="center" wrapText="1"/>
    </xf>
    <xf numFmtId="0" fontId="0" fillId="17" borderId="26" xfId="0" applyFill="1" applyBorder="1" applyAlignment="1">
      <alignment horizontal="center" vertical="center" wrapText="1"/>
    </xf>
    <xf numFmtId="0" fontId="0" fillId="17" borderId="42" xfId="0" applyFill="1" applyBorder="1" applyAlignment="1">
      <alignment horizontal="center" vertical="center" wrapText="1"/>
    </xf>
    <xf numFmtId="174" fontId="0" fillId="6" borderId="19" xfId="0" applyNumberFormat="1" applyFill="1" applyBorder="1" applyProtection="1">
      <protection locked="0"/>
    </xf>
    <xf numFmtId="168" fontId="0" fillId="0" borderId="19" xfId="0" applyNumberFormat="1" applyBorder="1"/>
    <xf numFmtId="0" fontId="10" fillId="19" borderId="62" xfId="0" applyFont="1" applyFill="1" applyBorder="1" applyAlignment="1">
      <alignment horizontal="center"/>
    </xf>
    <xf numFmtId="0" fontId="0" fillId="0" borderId="84" xfId="0" applyBorder="1"/>
    <xf numFmtId="9" fontId="0" fillId="0" borderId="84" xfId="0" applyNumberFormat="1" applyBorder="1" applyAlignment="1">
      <alignment horizontal="right"/>
    </xf>
    <xf numFmtId="0" fontId="0" fillId="0" borderId="89" xfId="0" applyBorder="1"/>
    <xf numFmtId="0" fontId="0" fillId="0" borderId="91" xfId="0" applyBorder="1"/>
    <xf numFmtId="0" fontId="0" fillId="0" borderId="68" xfId="0" applyBorder="1"/>
    <xf numFmtId="0" fontId="10" fillId="19" borderId="64" xfId="0" applyFont="1" applyFill="1" applyBorder="1" applyAlignment="1">
      <alignment horizontal="center"/>
    </xf>
    <xf numFmtId="0" fontId="1" fillId="12" borderId="0" xfId="0" applyFont="1" applyFill="1" applyAlignment="1">
      <alignment horizontal="center" wrapText="1"/>
    </xf>
    <xf numFmtId="0" fontId="1" fillId="0" borderId="70" xfId="0" applyFont="1" applyBorder="1" applyAlignment="1">
      <alignment horizontal="center" wrapText="1"/>
    </xf>
    <xf numFmtId="176" fontId="0" fillId="0" borderId="70" xfId="0" applyNumberFormat="1" applyBorder="1" applyAlignment="1">
      <alignment horizontal="center"/>
    </xf>
    <xf numFmtId="176" fontId="0" fillId="0" borderId="52" xfId="0" applyNumberFormat="1" applyBorder="1" applyAlignment="1">
      <alignment horizontal="center"/>
    </xf>
    <xf numFmtId="0" fontId="5" fillId="2" borderId="60" xfId="1" applyFont="1" applyBorder="1" applyAlignment="1" applyProtection="1">
      <alignment wrapText="1"/>
    </xf>
    <xf numFmtId="175" fontId="21" fillId="11" borderId="19" xfId="0" applyNumberFormat="1" applyFont="1" applyFill="1" applyBorder="1"/>
    <xf numFmtId="0" fontId="0" fillId="0" borderId="9" xfId="0" applyBorder="1" applyAlignment="1">
      <alignment wrapText="1"/>
    </xf>
    <xf numFmtId="180" fontId="0" fillId="0" borderId="21" xfId="5" applyNumberFormat="1" applyFont="1" applyBorder="1" applyProtection="1"/>
    <xf numFmtId="0" fontId="0" fillId="27" borderId="22" xfId="0" applyFill="1" applyBorder="1" applyAlignment="1">
      <alignment wrapText="1"/>
    </xf>
    <xf numFmtId="0" fontId="0" fillId="27" borderId="3" xfId="4" applyFont="1" applyFill="1" applyBorder="1" applyAlignment="1" applyProtection="1">
      <alignment wrapText="1"/>
    </xf>
    <xf numFmtId="0" fontId="0" fillId="27" borderId="18" xfId="4" applyFont="1" applyFill="1" applyBorder="1" applyAlignment="1" applyProtection="1">
      <alignment wrapText="1"/>
    </xf>
    <xf numFmtId="0" fontId="0" fillId="27" borderId="18" xfId="0" applyFill="1" applyBorder="1" applyAlignment="1">
      <alignment wrapText="1"/>
    </xf>
    <xf numFmtId="0" fontId="0" fillId="6" borderId="2" xfId="0" applyFill="1" applyBorder="1" applyAlignment="1" applyProtection="1">
      <alignment horizontal="right"/>
      <protection locked="0"/>
    </xf>
    <xf numFmtId="9" fontId="0" fillId="0" borderId="84" xfId="0" applyNumberFormat="1" applyBorder="1" applyAlignment="1" applyProtection="1">
      <alignment horizontal="right"/>
      <protection locked="0"/>
    </xf>
    <xf numFmtId="0" fontId="0" fillId="35" borderId="7" xfId="0" applyFill="1" applyBorder="1"/>
    <xf numFmtId="178" fontId="5" fillId="35" borderId="14" xfId="5" applyNumberFormat="1" applyFont="1" applyFill="1" applyBorder="1" applyAlignment="1" applyProtection="1">
      <alignment horizontal="right"/>
    </xf>
    <xf numFmtId="176" fontId="0" fillId="35" borderId="14" xfId="0" applyNumberFormat="1" applyFill="1" applyBorder="1"/>
    <xf numFmtId="176" fontId="0" fillId="35" borderId="14" xfId="0" applyNumberFormat="1" applyFill="1" applyBorder="1" applyAlignment="1">
      <alignment horizontal="right"/>
    </xf>
    <xf numFmtId="174" fontId="0" fillId="35" borderId="14" xfId="0" applyNumberFormat="1" applyFill="1" applyBorder="1" applyAlignment="1">
      <alignment horizontal="right"/>
    </xf>
    <xf numFmtId="0" fontId="4" fillId="6" borderId="23" xfId="3" applyFill="1" applyBorder="1" applyAlignment="1" applyProtection="1">
      <alignment horizontal="center"/>
      <protection locked="0"/>
    </xf>
    <xf numFmtId="0" fontId="4" fillId="6" borderId="24" xfId="3" applyFill="1" applyBorder="1" applyAlignment="1" applyProtection="1">
      <alignment horizontal="center"/>
      <protection locked="0"/>
    </xf>
    <xf numFmtId="0" fontId="4" fillId="6" borderId="56" xfId="3" applyFill="1" applyBorder="1" applyAlignment="1" applyProtection="1">
      <alignment horizontal="center"/>
      <protection locked="0"/>
    </xf>
    <xf numFmtId="0" fontId="4" fillId="6" borderId="22" xfId="3" applyFill="1" applyBorder="1" applyAlignment="1" applyProtection="1">
      <alignment horizontal="center"/>
      <protection locked="0"/>
    </xf>
    <xf numFmtId="0" fontId="0" fillId="0" borderId="23" xfId="0" applyBorder="1" applyAlignment="1">
      <alignment horizontal="center"/>
    </xf>
    <xf numFmtId="0" fontId="0" fillId="0" borderId="56" xfId="0" applyBorder="1" applyAlignment="1">
      <alignment horizontal="center"/>
    </xf>
    <xf numFmtId="0" fontId="4" fillId="6" borderId="49" xfId="3" applyFill="1" applyBorder="1" applyAlignment="1" applyProtection="1">
      <alignment horizontal="center"/>
      <protection locked="0"/>
    </xf>
    <xf numFmtId="0" fontId="4" fillId="6" borderId="50" xfId="3" applyFill="1" applyBorder="1" applyAlignment="1" applyProtection="1">
      <alignment horizontal="center"/>
      <protection locked="0"/>
    </xf>
    <xf numFmtId="175" fontId="0" fillId="7" borderId="2" xfId="0" applyNumberFormat="1" applyFill="1" applyBorder="1"/>
    <xf numFmtId="0" fontId="9" fillId="28" borderId="41" xfId="0" applyFont="1" applyFill="1" applyBorder="1" applyAlignment="1">
      <alignment horizontal="center"/>
    </xf>
    <xf numFmtId="175" fontId="37" fillId="0" borderId="79" xfId="6" applyNumberFormat="1" applyFont="1" applyBorder="1" applyAlignment="1" applyProtection="1">
      <alignment horizontal="center" vertical="center" wrapText="1"/>
    </xf>
    <xf numFmtId="175" fontId="37" fillId="0" borderId="84" xfId="6" applyNumberFormat="1" applyFont="1" applyBorder="1" applyAlignment="1" applyProtection="1">
      <alignment horizontal="center" vertical="center" wrapText="1"/>
    </xf>
    <xf numFmtId="175" fontId="37" fillId="0" borderId="90" xfId="6" applyNumberFormat="1" applyFont="1" applyBorder="1" applyAlignment="1" applyProtection="1">
      <alignment horizontal="center" vertical="center" wrapText="1"/>
    </xf>
    <xf numFmtId="175" fontId="37" fillId="0" borderId="89" xfId="6" applyNumberFormat="1" applyFont="1" applyBorder="1" applyAlignment="1" applyProtection="1">
      <alignment horizontal="center" vertical="center" wrapText="1"/>
    </xf>
    <xf numFmtId="175" fontId="37" fillId="0" borderId="0" xfId="6" applyNumberFormat="1" applyFont="1" applyBorder="1" applyAlignment="1" applyProtection="1">
      <alignment horizontal="center" vertical="center" wrapText="1"/>
    </xf>
    <xf numFmtId="175" fontId="37" fillId="0" borderId="41" xfId="6" applyNumberFormat="1" applyFont="1" applyBorder="1" applyAlignment="1" applyProtection="1">
      <alignment horizontal="center" vertical="center" wrapText="1"/>
    </xf>
    <xf numFmtId="175" fontId="37" fillId="0" borderId="59" xfId="6" applyNumberFormat="1" applyFont="1" applyBorder="1" applyAlignment="1" applyProtection="1">
      <alignment horizontal="center" vertical="center" wrapText="1"/>
    </xf>
    <xf numFmtId="175" fontId="37" fillId="0" borderId="68" xfId="6" applyNumberFormat="1" applyFont="1" applyBorder="1" applyAlignment="1" applyProtection="1">
      <alignment horizontal="center" vertical="center" wrapText="1"/>
    </xf>
    <xf numFmtId="175" fontId="37" fillId="0" borderId="69" xfId="6" applyNumberFormat="1" applyFont="1" applyBorder="1" applyAlignment="1" applyProtection="1">
      <alignment horizontal="center" vertical="center" wrapText="1"/>
    </xf>
    <xf numFmtId="0" fontId="0" fillId="24" borderId="60" xfId="0" applyFill="1" applyBorder="1" applyAlignment="1">
      <alignment horizontal="center"/>
    </xf>
    <xf numFmtId="0" fontId="0" fillId="24" borderId="39" xfId="0" applyFill="1" applyBorder="1" applyAlignment="1">
      <alignment horizontal="center"/>
    </xf>
    <xf numFmtId="0" fontId="0" fillId="24" borderId="40" xfId="0" applyFill="1" applyBorder="1" applyAlignment="1">
      <alignment horizontal="center"/>
    </xf>
    <xf numFmtId="0" fontId="0" fillId="24" borderId="64" xfId="0" applyFill="1" applyBorder="1" applyAlignment="1">
      <alignment horizontal="center"/>
    </xf>
    <xf numFmtId="0" fontId="0" fillId="24" borderId="43" xfId="0" applyFill="1" applyBorder="1" applyAlignment="1">
      <alignment horizontal="center"/>
    </xf>
    <xf numFmtId="0" fontId="0" fillId="24" borderId="44" xfId="0" applyFill="1" applyBorder="1" applyAlignment="1">
      <alignment horizontal="center"/>
    </xf>
    <xf numFmtId="0" fontId="30" fillId="28" borderId="79" xfId="0" applyFont="1" applyFill="1" applyBorder="1" applyAlignment="1">
      <alignment horizontal="center"/>
    </xf>
    <xf numFmtId="0" fontId="30" fillId="28" borderId="29" xfId="0" applyFont="1" applyFill="1" applyBorder="1" applyAlignment="1">
      <alignment horizontal="center"/>
    </xf>
    <xf numFmtId="0" fontId="30" fillId="28" borderId="59" xfId="0" applyFont="1" applyFill="1" applyBorder="1" applyAlignment="1">
      <alignment horizontal="center"/>
    </xf>
    <xf numFmtId="0" fontId="30" fillId="28" borderId="86" xfId="0" applyFont="1" applyFill="1" applyBorder="1" applyAlignment="1">
      <alignment horizontal="center"/>
    </xf>
    <xf numFmtId="0" fontId="39" fillId="28" borderId="19" xfId="0" applyFont="1" applyFill="1" applyBorder="1" applyAlignment="1">
      <alignment horizontal="center"/>
    </xf>
    <xf numFmtId="0" fontId="39" fillId="28" borderId="21" xfId="0" applyFont="1" applyFill="1" applyBorder="1" applyAlignment="1">
      <alignment horizontal="center"/>
    </xf>
    <xf numFmtId="0" fontId="0" fillId="28" borderId="79" xfId="0" applyFill="1" applyBorder="1" applyAlignment="1">
      <alignment horizontal="center"/>
    </xf>
    <xf numFmtId="0" fontId="0" fillId="28" borderId="29" xfId="0" applyFill="1" applyBorder="1" applyAlignment="1">
      <alignment horizontal="center"/>
    </xf>
    <xf numFmtId="0" fontId="0" fillId="28" borderId="59" xfId="0" applyFill="1" applyBorder="1" applyAlignment="1">
      <alignment horizontal="center"/>
    </xf>
    <xf numFmtId="0" fontId="0" fillId="28" borderId="86" xfId="0" applyFill="1" applyBorder="1" applyAlignment="1">
      <alignment horizontal="center"/>
    </xf>
    <xf numFmtId="176" fontId="0" fillId="28" borderId="58" xfId="0" applyNumberFormat="1" applyFill="1" applyBorder="1" applyAlignment="1">
      <alignment horizontal="center"/>
    </xf>
    <xf numFmtId="176" fontId="0" fillId="28" borderId="71" xfId="0" applyNumberFormat="1" applyFill="1" applyBorder="1" applyAlignment="1">
      <alignment horizontal="center"/>
    </xf>
    <xf numFmtId="176" fontId="0" fillId="35" borderId="50" xfId="0" applyNumberFormat="1" applyFill="1" applyBorder="1" applyAlignment="1">
      <alignment horizontal="center" wrapText="1"/>
    </xf>
    <xf numFmtId="176" fontId="0" fillId="35" borderId="55" xfId="0" applyNumberFormat="1" applyFill="1" applyBorder="1" applyAlignment="1">
      <alignment horizontal="center" wrapText="1"/>
    </xf>
    <xf numFmtId="0" fontId="1" fillId="29" borderId="2" xfId="0" applyFont="1" applyFill="1" applyBorder="1" applyAlignment="1">
      <alignment horizontal="center" wrapText="1"/>
    </xf>
    <xf numFmtId="0" fontId="1" fillId="29" borderId="58" xfId="0" applyFont="1" applyFill="1" applyBorder="1" applyAlignment="1">
      <alignment horizontal="center" wrapText="1"/>
    </xf>
    <xf numFmtId="0" fontId="1" fillId="29" borderId="6" xfId="0" applyFont="1" applyFill="1" applyBorder="1" applyAlignment="1">
      <alignment horizontal="center" wrapText="1"/>
    </xf>
    <xf numFmtId="176" fontId="0" fillId="0" borderId="14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12" borderId="21" xfId="0" applyFont="1" applyFill="1" applyBorder="1" applyAlignment="1">
      <alignment horizontal="center" wrapText="1"/>
    </xf>
    <xf numFmtId="176" fontId="0" fillId="0" borderId="13" xfId="0" applyNumberFormat="1" applyBorder="1" applyAlignment="1">
      <alignment horizontal="left"/>
    </xf>
    <xf numFmtId="176" fontId="0" fillId="0" borderId="49" xfId="0" applyNumberFormat="1" applyBorder="1" applyAlignment="1">
      <alignment horizontal="left"/>
    </xf>
    <xf numFmtId="176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2" borderId="35" xfId="0" applyFill="1" applyBorder="1" applyAlignment="1">
      <alignment horizontal="center" wrapText="1"/>
    </xf>
    <xf numFmtId="0" fontId="0" fillId="12" borderId="39" xfId="0" applyFill="1" applyBorder="1" applyAlignment="1">
      <alignment horizontal="center" wrapText="1"/>
    </xf>
    <xf numFmtId="0" fontId="0" fillId="12" borderId="40" xfId="0" applyFill="1" applyBorder="1" applyAlignment="1">
      <alignment horizontal="center" wrapText="1"/>
    </xf>
    <xf numFmtId="0" fontId="0" fillId="12" borderId="26" xfId="0" applyFill="1" applyBorder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12" borderId="41" xfId="0" applyFill="1" applyBorder="1" applyAlignment="1">
      <alignment horizontal="center" wrapText="1"/>
    </xf>
    <xf numFmtId="0" fontId="0" fillId="12" borderId="42" xfId="0" applyFill="1" applyBorder="1" applyAlignment="1">
      <alignment horizontal="center" wrapText="1"/>
    </xf>
    <xf numFmtId="0" fontId="0" fillId="12" borderId="43" xfId="0" applyFill="1" applyBorder="1" applyAlignment="1">
      <alignment horizontal="center" wrapText="1"/>
    </xf>
    <xf numFmtId="0" fontId="0" fillId="12" borderId="44" xfId="0" applyFill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  <xf numFmtId="0" fontId="1" fillId="0" borderId="54" xfId="0" applyFont="1" applyBorder="1" applyAlignment="1">
      <alignment horizontal="center" wrapText="1"/>
    </xf>
    <xf numFmtId="0" fontId="9" fillId="30" borderId="22" xfId="0" applyFont="1" applyFill="1" applyBorder="1" applyAlignment="1">
      <alignment horizontal="center"/>
    </xf>
    <xf numFmtId="0" fontId="9" fillId="30" borderId="45" xfId="0" applyFont="1" applyFill="1" applyBorder="1" applyAlignment="1">
      <alignment horizontal="center"/>
    </xf>
    <xf numFmtId="0" fontId="9" fillId="30" borderId="46" xfId="0" applyFont="1" applyFill="1" applyBorder="1" applyAlignment="1">
      <alignment horizontal="center"/>
    </xf>
    <xf numFmtId="0" fontId="0" fillId="27" borderId="4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176" fontId="0" fillId="0" borderId="50" xfId="0" applyNumberFormat="1" applyBorder="1" applyAlignment="1">
      <alignment horizontal="center"/>
    </xf>
    <xf numFmtId="176" fontId="0" fillId="0" borderId="52" xfId="0" applyNumberFormat="1" applyBorder="1" applyAlignment="1">
      <alignment horizontal="center"/>
    </xf>
    <xf numFmtId="176" fontId="0" fillId="0" borderId="55" xfId="0" applyNumberFormat="1" applyBorder="1" applyAlignment="1">
      <alignment horizontal="center"/>
    </xf>
    <xf numFmtId="0" fontId="1" fillId="11" borderId="49" xfId="0" applyFont="1" applyFill="1" applyBorder="1" applyAlignment="1">
      <alignment horizontal="center" wrapText="1"/>
    </xf>
    <xf numFmtId="0" fontId="1" fillId="11" borderId="53" xfId="0" applyFont="1" applyFill="1" applyBorder="1" applyAlignment="1">
      <alignment horizontal="center" wrapText="1"/>
    </xf>
    <xf numFmtId="0" fontId="1" fillId="11" borderId="54" xfId="0" applyFont="1" applyFill="1" applyBorder="1" applyAlignment="1">
      <alignment horizontal="center" wrapText="1"/>
    </xf>
    <xf numFmtId="0" fontId="30" fillId="12" borderId="2" xfId="0" applyFont="1" applyFill="1" applyBorder="1" applyAlignment="1">
      <alignment horizontal="left"/>
    </xf>
    <xf numFmtId="0" fontId="30" fillId="12" borderId="58" xfId="0" applyFont="1" applyFill="1" applyBorder="1" applyAlignment="1">
      <alignment horizontal="left"/>
    </xf>
    <xf numFmtId="0" fontId="30" fillId="12" borderId="6" xfId="0" applyFont="1" applyFill="1" applyBorder="1" applyAlignment="1">
      <alignment horizontal="left"/>
    </xf>
    <xf numFmtId="0" fontId="9" fillId="19" borderId="23" xfId="0" applyFont="1" applyFill="1" applyBorder="1" applyAlignment="1">
      <alignment horizontal="center"/>
    </xf>
    <xf numFmtId="0" fontId="9" fillId="19" borderId="53" xfId="0" applyFont="1" applyFill="1" applyBorder="1" applyAlignment="1">
      <alignment horizontal="center"/>
    </xf>
    <xf numFmtId="0" fontId="9" fillId="19" borderId="54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9" fillId="19" borderId="39" xfId="0" applyFont="1" applyFill="1" applyBorder="1" applyAlignment="1">
      <alignment horizontal="center"/>
    </xf>
    <xf numFmtId="0" fontId="9" fillId="19" borderId="40" xfId="0" applyFont="1" applyFill="1" applyBorder="1" applyAlignment="1">
      <alignment horizontal="center"/>
    </xf>
    <xf numFmtId="0" fontId="9" fillId="28" borderId="42" xfId="0" applyFont="1" applyFill="1" applyBorder="1" applyAlignment="1">
      <alignment horizontal="center"/>
    </xf>
    <xf numFmtId="0" fontId="9" fillId="28" borderId="43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12" borderId="35" xfId="0" applyFill="1" applyBorder="1" applyAlignment="1">
      <alignment horizontal="left" wrapText="1"/>
    </xf>
    <xf numFmtId="0" fontId="0" fillId="12" borderId="39" xfId="0" applyFill="1" applyBorder="1" applyAlignment="1">
      <alignment horizontal="left" wrapText="1"/>
    </xf>
    <xf numFmtId="0" fontId="0" fillId="12" borderId="40" xfId="0" applyFill="1" applyBorder="1" applyAlignment="1">
      <alignment horizontal="left" wrapText="1"/>
    </xf>
    <xf numFmtId="0" fontId="0" fillId="12" borderId="26" xfId="0" applyFill="1" applyBorder="1" applyAlignment="1">
      <alignment horizontal="left" wrapText="1"/>
    </xf>
    <xf numFmtId="0" fontId="0" fillId="12" borderId="0" xfId="0" applyFill="1" applyAlignment="1">
      <alignment horizontal="left" wrapText="1"/>
    </xf>
    <xf numFmtId="0" fontId="0" fillId="12" borderId="41" xfId="0" applyFill="1" applyBorder="1" applyAlignment="1">
      <alignment horizontal="left" wrapText="1"/>
    </xf>
    <xf numFmtId="0" fontId="0" fillId="12" borderId="42" xfId="0" applyFill="1" applyBorder="1" applyAlignment="1">
      <alignment horizontal="left" wrapText="1"/>
    </xf>
    <xf numFmtId="0" fontId="0" fillId="12" borderId="43" xfId="0" applyFill="1" applyBorder="1" applyAlignment="1">
      <alignment horizontal="left" wrapText="1"/>
    </xf>
    <xf numFmtId="0" fontId="0" fillId="12" borderId="44" xfId="0" applyFill="1" applyBorder="1" applyAlignment="1">
      <alignment horizontal="left" wrapText="1"/>
    </xf>
    <xf numFmtId="0" fontId="1" fillId="0" borderId="61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35" fillId="0" borderId="35" xfId="0" applyFont="1" applyBorder="1" applyAlignment="1">
      <alignment horizontal="left" vertical="top" wrapText="1"/>
    </xf>
    <xf numFmtId="0" fontId="19" fillId="0" borderId="39" xfId="0" applyFont="1" applyBorder="1" applyAlignment="1">
      <alignment horizontal="left" vertical="top" wrapText="1"/>
    </xf>
    <xf numFmtId="0" fontId="19" fillId="0" borderId="40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41" xfId="0" applyFont="1" applyBorder="1" applyAlignment="1">
      <alignment horizontal="left" vertical="top" wrapText="1"/>
    </xf>
    <xf numFmtId="0" fontId="19" fillId="0" borderId="42" xfId="0" applyFont="1" applyBorder="1" applyAlignment="1">
      <alignment horizontal="left" vertical="top" wrapText="1"/>
    </xf>
    <xf numFmtId="0" fontId="19" fillId="0" borderId="43" xfId="0" applyFont="1" applyBorder="1" applyAlignment="1">
      <alignment horizontal="left" vertical="top" wrapText="1"/>
    </xf>
    <xf numFmtId="0" fontId="19" fillId="0" borderId="44" xfId="0" applyFont="1" applyBorder="1" applyAlignment="1">
      <alignment horizontal="left" vertical="top" wrapText="1"/>
    </xf>
    <xf numFmtId="165" fontId="39" fillId="28" borderId="19" xfId="5" applyNumberFormat="1" applyFont="1" applyFill="1" applyBorder="1" applyAlignment="1" applyProtection="1">
      <alignment horizontal="center"/>
    </xf>
    <xf numFmtId="165" fontId="39" fillId="28" borderId="21" xfId="5" applyNumberFormat="1" applyFont="1" applyFill="1" applyBorder="1" applyAlignment="1" applyProtection="1">
      <alignment horizontal="center"/>
    </xf>
    <xf numFmtId="0" fontId="0" fillId="28" borderId="19" xfId="0" applyFill="1" applyBorder="1" applyAlignment="1">
      <alignment horizontal="left" vertical="center" wrapText="1"/>
    </xf>
    <xf numFmtId="0" fontId="0" fillId="28" borderId="21" xfId="0" applyFill="1" applyBorder="1" applyAlignment="1">
      <alignment horizontal="left" vertical="center" wrapText="1"/>
    </xf>
    <xf numFmtId="0" fontId="0" fillId="0" borderId="79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center"/>
    </xf>
    <xf numFmtId="0" fontId="38" fillId="0" borderId="35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176" fontId="0" fillId="0" borderId="14" xfId="0" applyNumberFormat="1" applyBorder="1" applyAlignment="1">
      <alignment horizontal="left"/>
    </xf>
    <xf numFmtId="176" fontId="0" fillId="0" borderId="50" xfId="0" applyNumberFormat="1" applyBorder="1" applyAlignment="1">
      <alignment horizontal="left"/>
    </xf>
    <xf numFmtId="176" fontId="0" fillId="0" borderId="8" xfId="0" applyNumberFormat="1" applyBorder="1" applyAlignment="1">
      <alignment horizontal="left"/>
    </xf>
    <xf numFmtId="176" fontId="0" fillId="0" borderId="2" xfId="0" applyNumberFormat="1" applyBorder="1" applyAlignment="1">
      <alignment horizontal="left"/>
    </xf>
    <xf numFmtId="176" fontId="0" fillId="0" borderId="58" xfId="0" applyNumberFormat="1" applyBorder="1" applyAlignment="1">
      <alignment horizontal="left"/>
    </xf>
    <xf numFmtId="176" fontId="0" fillId="0" borderId="6" xfId="0" applyNumberFormat="1" applyBorder="1" applyAlignment="1">
      <alignment horizontal="left"/>
    </xf>
    <xf numFmtId="175" fontId="0" fillId="0" borderId="2" xfId="6" applyNumberFormat="1" applyFont="1" applyBorder="1" applyAlignment="1" applyProtection="1">
      <alignment horizontal="left"/>
    </xf>
    <xf numFmtId="175" fontId="0" fillId="0" borderId="58" xfId="6" applyNumberFormat="1" applyFont="1" applyBorder="1" applyAlignment="1" applyProtection="1">
      <alignment horizontal="left"/>
    </xf>
    <xf numFmtId="175" fontId="0" fillId="0" borderId="6" xfId="6" applyNumberFormat="1" applyFont="1" applyBorder="1" applyAlignment="1" applyProtection="1">
      <alignment horizontal="left"/>
    </xf>
    <xf numFmtId="176" fontId="0" fillId="0" borderId="52" xfId="0" applyNumberFormat="1" applyBorder="1" applyAlignment="1">
      <alignment horizontal="left"/>
    </xf>
    <xf numFmtId="176" fontId="0" fillId="0" borderId="55" xfId="0" applyNumberFormat="1" applyBorder="1" applyAlignment="1">
      <alignment horizontal="left"/>
    </xf>
    <xf numFmtId="176" fontId="0" fillId="0" borderId="70" xfId="0" applyNumberFormat="1" applyBorder="1" applyAlignment="1">
      <alignment horizontal="left"/>
    </xf>
    <xf numFmtId="176" fontId="0" fillId="0" borderId="71" xfId="0" applyNumberFormat="1" applyBorder="1" applyAlignment="1">
      <alignment horizontal="left"/>
    </xf>
    <xf numFmtId="176" fontId="37" fillId="0" borderId="2" xfId="0" applyNumberFormat="1" applyFont="1" applyBorder="1" applyAlignment="1">
      <alignment horizontal="center" wrapText="1"/>
    </xf>
    <xf numFmtId="176" fontId="37" fillId="0" borderId="58" xfId="0" applyNumberFormat="1" applyFont="1" applyBorder="1" applyAlignment="1">
      <alignment horizontal="center" wrapText="1"/>
    </xf>
    <xf numFmtId="176" fontId="37" fillId="0" borderId="6" xfId="0" applyNumberFormat="1" applyFont="1" applyBorder="1" applyAlignment="1">
      <alignment horizontal="center" wrapText="1"/>
    </xf>
    <xf numFmtId="0" fontId="9" fillId="30" borderId="35" xfId="0" applyFont="1" applyFill="1" applyBorder="1" applyAlignment="1">
      <alignment horizontal="center"/>
    </xf>
    <xf numFmtId="0" fontId="9" fillId="30" borderId="39" xfId="0" applyFont="1" applyFill="1" applyBorder="1" applyAlignment="1">
      <alignment horizontal="center"/>
    </xf>
    <xf numFmtId="0" fontId="9" fillId="30" borderId="40" xfId="0" applyFont="1" applyFill="1" applyBorder="1" applyAlignment="1">
      <alignment horizontal="center"/>
    </xf>
    <xf numFmtId="175" fontId="0" fillId="0" borderId="58" xfId="6" applyNumberFormat="1" applyFont="1" applyBorder="1" applyAlignment="1" applyProtection="1">
      <alignment horizontal="center"/>
    </xf>
    <xf numFmtId="175" fontId="0" fillId="0" borderId="28" xfId="6" applyNumberFormat="1" applyFont="1" applyBorder="1" applyAlignment="1" applyProtection="1">
      <alignment horizontal="center"/>
    </xf>
    <xf numFmtId="0" fontId="38" fillId="27" borderId="39" xfId="0" applyFont="1" applyFill="1" applyBorder="1" applyAlignment="1">
      <alignment horizontal="center" vertical="center"/>
    </xf>
    <xf numFmtId="0" fontId="38" fillId="27" borderId="40" xfId="0" applyFont="1" applyFill="1" applyBorder="1" applyAlignment="1">
      <alignment horizontal="center" vertical="center"/>
    </xf>
    <xf numFmtId="0" fontId="38" fillId="27" borderId="0" xfId="0" applyFont="1" applyFill="1" applyAlignment="1">
      <alignment horizontal="center" vertical="center"/>
    </xf>
    <xf numFmtId="0" fontId="38" fillId="27" borderId="41" xfId="0" applyFont="1" applyFill="1" applyBorder="1" applyAlignment="1">
      <alignment horizontal="center" vertical="center"/>
    </xf>
    <xf numFmtId="0" fontId="38" fillId="27" borderId="43" xfId="0" applyFont="1" applyFill="1" applyBorder="1" applyAlignment="1">
      <alignment horizontal="center" vertical="center"/>
    </xf>
    <xf numFmtId="0" fontId="38" fillId="27" borderId="44" xfId="0" applyFont="1" applyFill="1" applyBorder="1" applyAlignment="1">
      <alignment horizontal="center" vertical="center"/>
    </xf>
    <xf numFmtId="176" fontId="0" fillId="0" borderId="79" xfId="0" applyNumberFormat="1" applyBorder="1" applyAlignment="1">
      <alignment horizontal="center" vertical="center"/>
    </xf>
    <xf numFmtId="176" fontId="0" fillId="0" borderId="59" xfId="0" applyNumberFormat="1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9" fillId="19" borderId="22" xfId="0" applyFont="1" applyFill="1" applyBorder="1" applyAlignment="1">
      <alignment horizontal="center"/>
    </xf>
    <xf numFmtId="0" fontId="9" fillId="19" borderId="45" xfId="0" applyFont="1" applyFill="1" applyBorder="1" applyAlignment="1">
      <alignment horizontal="center"/>
    </xf>
    <xf numFmtId="0" fontId="9" fillId="19" borderId="46" xfId="0" applyFont="1" applyFill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9" fillId="30" borderId="47" xfId="0" applyFont="1" applyFill="1" applyBorder="1" applyAlignment="1">
      <alignment horizontal="center"/>
    </xf>
    <xf numFmtId="0" fontId="9" fillId="30" borderId="37" xfId="0" applyFont="1" applyFill="1" applyBorder="1" applyAlignment="1">
      <alignment horizontal="center"/>
    </xf>
    <xf numFmtId="0" fontId="9" fillId="30" borderId="60" xfId="0" applyFont="1" applyFill="1" applyBorder="1" applyAlignment="1">
      <alignment horizontal="center"/>
    </xf>
    <xf numFmtId="0" fontId="9" fillId="30" borderId="38" xfId="0" applyFont="1" applyFill="1" applyBorder="1" applyAlignment="1">
      <alignment horizontal="center"/>
    </xf>
    <xf numFmtId="176" fontId="0" fillId="7" borderId="2" xfId="0" applyNumberFormat="1" applyFill="1" applyBorder="1" applyAlignment="1">
      <alignment horizontal="right"/>
    </xf>
    <xf numFmtId="174" fontId="0" fillId="7" borderId="2" xfId="0" applyNumberFormat="1" applyFill="1" applyBorder="1" applyAlignment="1">
      <alignment horizontal="right"/>
    </xf>
    <xf numFmtId="174" fontId="0" fillId="7" borderId="79" xfId="0" applyNumberFormat="1" applyFill="1" applyBorder="1" applyAlignment="1">
      <alignment horizontal="center"/>
    </xf>
    <xf numFmtId="174" fontId="0" fillId="7" borderId="90" xfId="0" applyNumberFormat="1" applyFill="1" applyBorder="1" applyAlignment="1">
      <alignment horizontal="center"/>
    </xf>
    <xf numFmtId="174" fontId="0" fillId="7" borderId="59" xfId="0" applyNumberFormat="1" applyFill="1" applyBorder="1" applyAlignment="1">
      <alignment horizontal="center"/>
    </xf>
    <xf numFmtId="174" fontId="0" fillId="7" borderId="69" xfId="0" applyNumberFormat="1" applyFill="1" applyBorder="1" applyAlignment="1">
      <alignment horizontal="center"/>
    </xf>
    <xf numFmtId="176" fontId="0" fillId="7" borderId="2" xfId="0" applyNumberForma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165" fontId="21" fillId="23" borderId="22" xfId="5" applyNumberFormat="1" applyFont="1" applyFill="1" applyBorder="1" applyAlignment="1" applyProtection="1">
      <alignment horizontal="center"/>
    </xf>
    <xf numFmtId="165" fontId="21" fillId="23" borderId="45" xfId="5" applyNumberFormat="1" applyFont="1" applyFill="1" applyBorder="1" applyAlignment="1" applyProtection="1">
      <alignment horizontal="center"/>
    </xf>
    <xf numFmtId="165" fontId="21" fillId="23" borderId="46" xfId="5" applyNumberFormat="1" applyFont="1" applyFill="1" applyBorder="1" applyAlignment="1" applyProtection="1">
      <alignment horizontal="center"/>
    </xf>
    <xf numFmtId="0" fontId="1" fillId="0" borderId="22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9" borderId="22" xfId="0" applyFill="1" applyBorder="1" applyAlignment="1">
      <alignment horizontal="left" wrapText="1"/>
    </xf>
    <xf numFmtId="0" fontId="0" fillId="9" borderId="45" xfId="0" applyFill="1" applyBorder="1" applyAlignment="1">
      <alignment horizontal="left" wrapText="1"/>
    </xf>
    <xf numFmtId="0" fontId="0" fillId="9" borderId="46" xfId="0" applyFill="1" applyBorder="1" applyAlignment="1">
      <alignment horizontal="left" wrapText="1"/>
    </xf>
    <xf numFmtId="165" fontId="21" fillId="21" borderId="35" xfId="5" applyNumberFormat="1" applyFont="1" applyFill="1" applyBorder="1" applyAlignment="1" applyProtection="1">
      <alignment horizontal="center" wrapText="1"/>
    </xf>
    <xf numFmtId="165" fontId="21" fillId="21" borderId="39" xfId="5" applyNumberFormat="1" applyFont="1" applyFill="1" applyBorder="1" applyAlignment="1" applyProtection="1">
      <alignment horizontal="center" wrapText="1"/>
    </xf>
    <xf numFmtId="165" fontId="21" fillId="21" borderId="40" xfId="5" applyNumberFormat="1" applyFont="1" applyFill="1" applyBorder="1" applyAlignment="1" applyProtection="1">
      <alignment horizontal="center" wrapText="1"/>
    </xf>
    <xf numFmtId="165" fontId="21" fillId="21" borderId="42" xfId="5" applyNumberFormat="1" applyFont="1" applyFill="1" applyBorder="1" applyAlignment="1" applyProtection="1">
      <alignment horizontal="center" wrapText="1"/>
    </xf>
    <xf numFmtId="165" fontId="21" fillId="21" borderId="43" xfId="5" applyNumberFormat="1" applyFont="1" applyFill="1" applyBorder="1" applyAlignment="1" applyProtection="1">
      <alignment horizontal="center" wrapText="1"/>
    </xf>
    <xf numFmtId="165" fontId="21" fillId="21" borderId="44" xfId="5" applyNumberFormat="1" applyFont="1" applyFill="1" applyBorder="1" applyAlignment="1" applyProtection="1">
      <alignment horizontal="center" wrapText="1"/>
    </xf>
    <xf numFmtId="1" fontId="21" fillId="11" borderId="60" xfId="0" applyNumberFormat="1" applyFont="1" applyFill="1" applyBorder="1" applyAlignment="1">
      <alignment horizontal="center" vertical="center" wrapText="1"/>
    </xf>
    <xf numFmtId="1" fontId="21" fillId="11" borderId="39" xfId="0" applyNumberFormat="1" applyFont="1" applyFill="1" applyBorder="1" applyAlignment="1">
      <alignment horizontal="center" vertical="center" wrapText="1"/>
    </xf>
    <xf numFmtId="1" fontId="21" fillId="11" borderId="40" xfId="0" applyNumberFormat="1" applyFont="1" applyFill="1" applyBorder="1" applyAlignment="1">
      <alignment horizontal="center" vertical="center" wrapText="1"/>
    </xf>
    <xf numFmtId="1" fontId="21" fillId="11" borderId="59" xfId="0" applyNumberFormat="1" applyFont="1" applyFill="1" applyBorder="1" applyAlignment="1">
      <alignment horizontal="center" vertical="center" wrapText="1"/>
    </xf>
    <xf numFmtId="1" fontId="21" fillId="11" borderId="68" xfId="0" applyNumberFormat="1" applyFont="1" applyFill="1" applyBorder="1" applyAlignment="1">
      <alignment horizontal="center" vertical="center" wrapText="1"/>
    </xf>
    <xf numFmtId="1" fontId="21" fillId="11" borderId="69" xfId="0" applyNumberFormat="1" applyFont="1" applyFill="1" applyBorder="1" applyAlignment="1">
      <alignment horizontal="center" vertical="center" wrapText="1"/>
    </xf>
    <xf numFmtId="175" fontId="0" fillId="0" borderId="2" xfId="0" applyNumberFormat="1" applyBorder="1" applyAlignment="1">
      <alignment horizontal="right"/>
    </xf>
    <xf numFmtId="0" fontId="5" fillId="28" borderId="35" xfId="2" applyFont="1" applyFill="1" applyBorder="1" applyAlignment="1" applyProtection="1">
      <alignment horizontal="center" wrapText="1"/>
    </xf>
    <xf numFmtId="0" fontId="5" fillId="28" borderId="40" xfId="2" applyFont="1" applyFill="1" applyBorder="1" applyAlignment="1" applyProtection="1">
      <alignment horizontal="center" wrapText="1"/>
    </xf>
    <xf numFmtId="0" fontId="0" fillId="0" borderId="60" xfId="0" applyBorder="1" applyAlignment="1">
      <alignment horizontal="center"/>
    </xf>
    <xf numFmtId="0" fontId="0" fillId="0" borderId="36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5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4" fillId="0" borderId="3" xfId="3" applyFill="1" applyBorder="1" applyAlignment="1" applyProtection="1">
      <alignment horizontal="center"/>
    </xf>
    <xf numFmtId="0" fontId="4" fillId="0" borderId="5" xfId="3" applyFill="1" applyBorder="1" applyAlignment="1" applyProtection="1">
      <alignment horizontal="center"/>
    </xf>
    <xf numFmtId="0" fontId="1" fillId="13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59" xfId="0" applyFont="1" applyBorder="1" applyAlignment="1">
      <alignment horizontal="center"/>
    </xf>
    <xf numFmtId="165" fontId="1" fillId="34" borderId="11" xfId="5" applyNumberFormat="1" applyFont="1" applyFill="1" applyBorder="1" applyAlignment="1">
      <alignment horizontal="center"/>
    </xf>
    <xf numFmtId="165" fontId="1" fillId="34" borderId="51" xfId="5" applyNumberFormat="1" applyFont="1" applyFill="1" applyBorder="1" applyAlignment="1">
      <alignment horizontal="center"/>
    </xf>
    <xf numFmtId="165" fontId="1" fillId="34" borderId="22" xfId="5" applyNumberFormat="1" applyFont="1" applyFill="1" applyBorder="1" applyAlignment="1">
      <alignment horizontal="center"/>
    </xf>
    <xf numFmtId="165" fontId="1" fillId="34" borderId="45" xfId="5" applyNumberFormat="1" applyFont="1" applyFill="1" applyBorder="1" applyAlignment="1">
      <alignment horizontal="center"/>
    </xf>
    <xf numFmtId="9" fontId="0" fillId="34" borderId="5" xfId="5" applyNumberFormat="1" applyFont="1" applyFill="1" applyBorder="1" applyAlignment="1">
      <alignment horizontal="left"/>
    </xf>
    <xf numFmtId="9" fontId="0" fillId="34" borderId="6" xfId="5" applyNumberFormat="1" applyFont="1" applyFill="1" applyBorder="1" applyAlignment="1">
      <alignment horizontal="left"/>
    </xf>
    <xf numFmtId="9" fontId="0" fillId="34" borderId="7" xfId="5" applyNumberFormat="1" applyFont="1" applyFill="1" applyBorder="1" applyAlignment="1">
      <alignment horizontal="left"/>
    </xf>
    <xf numFmtId="9" fontId="0" fillId="34" borderId="8" xfId="5" applyNumberFormat="1" applyFont="1" applyFill="1" applyBorder="1" applyAlignment="1">
      <alignment horizontal="left"/>
    </xf>
    <xf numFmtId="0" fontId="9" fillId="34" borderId="35" xfId="0" applyFont="1" applyFill="1" applyBorder="1" applyAlignment="1">
      <alignment horizontal="left" wrapText="1"/>
    </xf>
    <xf numFmtId="0" fontId="9" fillId="34" borderId="39" xfId="0" applyFont="1" applyFill="1" applyBorder="1" applyAlignment="1">
      <alignment horizontal="left" wrapText="1"/>
    </xf>
    <xf numFmtId="0" fontId="9" fillId="34" borderId="40" xfId="0" applyFont="1" applyFill="1" applyBorder="1" applyAlignment="1">
      <alignment horizontal="left" wrapText="1"/>
    </xf>
    <xf numFmtId="0" fontId="9" fillId="34" borderId="42" xfId="0" applyFont="1" applyFill="1" applyBorder="1" applyAlignment="1">
      <alignment horizontal="left" wrapText="1"/>
    </xf>
    <xf numFmtId="0" fontId="9" fillId="34" borderId="43" xfId="0" applyFont="1" applyFill="1" applyBorder="1" applyAlignment="1">
      <alignment horizontal="left" wrapText="1"/>
    </xf>
    <xf numFmtId="0" fontId="9" fillId="34" borderId="44" xfId="0" applyFont="1" applyFill="1" applyBorder="1" applyAlignment="1">
      <alignment horizontal="left" wrapText="1"/>
    </xf>
    <xf numFmtId="165" fontId="1" fillId="34" borderId="34" xfId="5" applyNumberFormat="1" applyFont="1" applyFill="1" applyBorder="1" applyAlignment="1">
      <alignment horizontal="center" wrapText="1"/>
    </xf>
    <xf numFmtId="165" fontId="1" fillId="34" borderId="76" xfId="5" applyNumberFormat="1" applyFont="1" applyFill="1" applyBorder="1" applyAlignment="1">
      <alignment horizontal="center" wrapText="1"/>
    </xf>
    <xf numFmtId="165" fontId="1" fillId="34" borderId="45" xfId="5" applyNumberFormat="1" applyFont="1" applyFill="1" applyBorder="1" applyAlignment="1">
      <alignment horizontal="center" wrapText="1"/>
    </xf>
    <xf numFmtId="165" fontId="1" fillId="34" borderId="47" xfId="5" applyNumberFormat="1" applyFont="1" applyFill="1" applyBorder="1" applyAlignment="1">
      <alignment horizontal="center"/>
    </xf>
    <xf numFmtId="165" fontId="1" fillId="34" borderId="38" xfId="5" applyNumberFormat="1" applyFont="1" applyFill="1" applyBorder="1" applyAlignment="1">
      <alignment horizontal="center"/>
    </xf>
    <xf numFmtId="165" fontId="1" fillId="34" borderId="35" xfId="5" applyNumberFormat="1" applyFont="1" applyFill="1" applyBorder="1" applyAlignment="1">
      <alignment horizontal="center"/>
    </xf>
    <xf numFmtId="165" fontId="1" fillId="34" borderId="39" xfId="5" applyNumberFormat="1" applyFont="1" applyFill="1" applyBorder="1" applyAlignment="1">
      <alignment horizontal="center"/>
    </xf>
    <xf numFmtId="165" fontId="1" fillId="34" borderId="36" xfId="5" applyNumberFormat="1" applyFont="1" applyFill="1" applyBorder="1" applyAlignment="1">
      <alignment horizontal="center"/>
    </xf>
    <xf numFmtId="165" fontId="1" fillId="34" borderId="37" xfId="5" applyNumberFormat="1" applyFont="1" applyFill="1" applyBorder="1" applyAlignment="1">
      <alignment horizontal="center"/>
    </xf>
    <xf numFmtId="165" fontId="1" fillId="34" borderId="72" xfId="5" applyNumberFormat="1" applyFont="1" applyFill="1" applyBorder="1" applyAlignment="1">
      <alignment horizontal="center" wrapText="1"/>
    </xf>
    <xf numFmtId="165" fontId="1" fillId="34" borderId="46" xfId="5" applyNumberFormat="1" applyFont="1" applyFill="1" applyBorder="1" applyAlignment="1">
      <alignment horizontal="center"/>
    </xf>
    <xf numFmtId="165" fontId="0" fillId="34" borderId="0" xfId="5" applyNumberFormat="1" applyFont="1" applyFill="1" applyBorder="1" applyAlignment="1">
      <alignment horizontal="center"/>
    </xf>
    <xf numFmtId="165" fontId="1" fillId="34" borderId="22" xfId="5" applyNumberFormat="1" applyFont="1" applyFill="1" applyBorder="1" applyAlignment="1">
      <alignment horizontal="left"/>
    </xf>
    <xf numFmtId="165" fontId="1" fillId="34" borderId="46" xfId="5" applyNumberFormat="1" applyFont="1" applyFill="1" applyBorder="1" applyAlignment="1">
      <alignment horizontal="left"/>
    </xf>
    <xf numFmtId="9" fontId="0" fillId="34" borderId="3" xfId="5" applyNumberFormat="1" applyFont="1" applyFill="1" applyBorder="1" applyAlignment="1">
      <alignment horizontal="left"/>
    </xf>
    <xf numFmtId="9" fontId="0" fillId="34" borderId="4" xfId="5" applyNumberFormat="1" applyFont="1" applyFill="1" applyBorder="1" applyAlignment="1">
      <alignment horizontal="left"/>
    </xf>
    <xf numFmtId="0" fontId="0" fillId="29" borderId="84" xfId="0" applyFill="1" applyBorder="1" applyAlignment="1">
      <alignment horizontal="left"/>
    </xf>
    <xf numFmtId="0" fontId="0" fillId="10" borderId="67" xfId="0" applyFill="1" applyBorder="1" applyAlignment="1">
      <alignment horizontal="left"/>
    </xf>
    <xf numFmtId="0" fontId="0" fillId="10" borderId="14" xfId="0" applyFill="1" applyBorder="1" applyAlignment="1">
      <alignment horizontal="left"/>
    </xf>
    <xf numFmtId="0" fontId="0" fillId="28" borderId="45" xfId="0" applyFill="1" applyBorder="1" applyAlignment="1">
      <alignment horizontal="center"/>
    </xf>
    <xf numFmtId="0" fontId="0" fillId="14" borderId="22" xfId="0" applyFill="1" applyBorder="1" applyAlignment="1">
      <alignment horizontal="left"/>
    </xf>
    <xf numFmtId="0" fontId="0" fillId="14" borderId="45" xfId="0" applyFill="1" applyBorder="1" applyAlignment="1">
      <alignment horizontal="left"/>
    </xf>
    <xf numFmtId="0" fontId="0" fillId="14" borderId="83" xfId="0" applyFill="1" applyBorder="1" applyAlignment="1">
      <alignment horizontal="left"/>
    </xf>
    <xf numFmtId="0" fontId="0" fillId="28" borderId="42" xfId="0" applyFill="1" applyBorder="1" applyAlignment="1">
      <alignment horizontal="left"/>
    </xf>
    <xf numFmtId="0" fontId="0" fillId="28" borderId="43" xfId="0" applyFill="1" applyBorder="1" applyAlignment="1">
      <alignment horizontal="left"/>
    </xf>
    <xf numFmtId="0" fontId="0" fillId="28" borderId="26" xfId="0" applyFill="1" applyBorder="1" applyAlignment="1">
      <alignment horizontal="left"/>
    </xf>
    <xf numFmtId="0" fontId="0" fillId="28" borderId="0" xfId="0" applyFill="1" applyAlignment="1">
      <alignment horizontal="left"/>
    </xf>
    <xf numFmtId="0" fontId="0" fillId="28" borderId="35" xfId="0" applyFill="1" applyBorder="1" applyAlignment="1">
      <alignment horizontal="left"/>
    </xf>
    <xf numFmtId="0" fontId="0" fillId="28" borderId="39" xfId="0" applyFill="1" applyBorder="1" applyAlignment="1">
      <alignment horizontal="left"/>
    </xf>
    <xf numFmtId="0" fontId="0" fillId="10" borderId="27" xfId="0" applyFill="1" applyBorder="1" applyAlignment="1">
      <alignment horizontal="left"/>
    </xf>
    <xf numFmtId="0" fontId="0" fillId="10" borderId="13" xfId="0" applyFill="1" applyBorder="1" applyAlignment="1">
      <alignment horizontal="left"/>
    </xf>
    <xf numFmtId="0" fontId="1" fillId="10" borderId="22" xfId="0" applyFont="1" applyFill="1" applyBorder="1" applyAlignment="1">
      <alignment horizontal="center"/>
    </xf>
    <xf numFmtId="0" fontId="1" fillId="10" borderId="45" xfId="0" applyFont="1" applyFill="1" applyBorder="1" applyAlignment="1">
      <alignment horizontal="center"/>
    </xf>
    <xf numFmtId="0" fontId="1" fillId="10" borderId="46" xfId="0" applyFont="1" applyFill="1" applyBorder="1" applyAlignment="1">
      <alignment horizontal="center"/>
    </xf>
    <xf numFmtId="0" fontId="1" fillId="33" borderId="3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8" borderId="43" xfId="0" applyFont="1" applyFill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74" fontId="27" fillId="5" borderId="19" xfId="9" applyNumberFormat="1" applyBorder="1" applyAlignment="1">
      <alignment horizontal="right"/>
    </xf>
    <xf numFmtId="174" fontId="27" fillId="5" borderId="2" xfId="9" applyNumberFormat="1" applyBorder="1" applyAlignment="1">
      <alignment horizontal="right"/>
    </xf>
    <xf numFmtId="174" fontId="27" fillId="5" borderId="13" xfId="9" applyNumberFormat="1" applyBorder="1" applyAlignment="1">
      <alignment horizontal="right"/>
    </xf>
    <xf numFmtId="0" fontId="0" fillId="33" borderId="22" xfId="0" applyFill="1" applyBorder="1" applyAlignment="1">
      <alignment horizontal="center"/>
    </xf>
    <xf numFmtId="0" fontId="0" fillId="33" borderId="45" xfId="0" applyFill="1" applyBorder="1" applyAlignment="1">
      <alignment horizontal="center"/>
    </xf>
    <xf numFmtId="0" fontId="0" fillId="33" borderId="46" xfId="0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45" xfId="0" applyFont="1" applyFill="1" applyBorder="1" applyAlignment="1">
      <alignment horizontal="center"/>
    </xf>
    <xf numFmtId="0" fontId="1" fillId="8" borderId="46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0" fontId="1" fillId="12" borderId="41" xfId="0" applyFont="1" applyFill="1" applyBorder="1" applyAlignment="1">
      <alignment horizontal="center"/>
    </xf>
    <xf numFmtId="0" fontId="1" fillId="12" borderId="40" xfId="0" applyFont="1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0" fillId="26" borderId="42" xfId="0" applyFill="1" applyBorder="1" applyAlignment="1">
      <alignment horizontal="center"/>
    </xf>
    <xf numFmtId="0" fontId="0" fillId="26" borderId="44" xfId="0" applyFill="1" applyBorder="1" applyAlignment="1">
      <alignment horizontal="center"/>
    </xf>
    <xf numFmtId="167" fontId="8" fillId="18" borderId="2" xfId="0" applyNumberFormat="1" applyFont="1" applyFill="1" applyBorder="1" applyAlignment="1">
      <alignment horizontal="center" vertical="center"/>
    </xf>
    <xf numFmtId="167" fontId="8" fillId="18" borderId="14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1" fillId="15" borderId="22" xfId="0" applyFont="1" applyFill="1" applyBorder="1" applyAlignment="1">
      <alignment horizontal="center"/>
    </xf>
    <xf numFmtId="0" fontId="31" fillId="15" borderId="45" xfId="0" applyFont="1" applyFill="1" applyBorder="1" applyAlignment="1">
      <alignment horizontal="center"/>
    </xf>
    <xf numFmtId="0" fontId="31" fillId="15" borderId="46" xfId="0" applyFont="1" applyFill="1" applyBorder="1" applyAlignment="1">
      <alignment horizontal="center"/>
    </xf>
    <xf numFmtId="0" fontId="0" fillId="17" borderId="3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167" fontId="8" fillId="18" borderId="13" xfId="0" applyNumberFormat="1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 wrapText="1"/>
    </xf>
    <xf numFmtId="0" fontId="0" fillId="17" borderId="31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 wrapText="1"/>
    </xf>
    <xf numFmtId="0" fontId="32" fillId="15" borderId="22" xfId="0" applyFont="1" applyFill="1" applyBorder="1" applyAlignment="1">
      <alignment horizontal="center" wrapText="1"/>
    </xf>
    <xf numFmtId="0" fontId="32" fillId="15" borderId="45" xfId="0" applyFont="1" applyFill="1" applyBorder="1" applyAlignment="1">
      <alignment horizontal="center" wrapText="1"/>
    </xf>
    <xf numFmtId="0" fontId="32" fillId="15" borderId="46" xfId="0" applyFont="1" applyFill="1" applyBorder="1" applyAlignment="1">
      <alignment horizontal="center" wrapText="1"/>
    </xf>
    <xf numFmtId="0" fontId="33" fillId="17" borderId="18" xfId="0" applyFont="1" applyFill="1" applyBorder="1" applyAlignment="1">
      <alignment horizontal="center" vertical="center" wrapText="1"/>
    </xf>
    <xf numFmtId="0" fontId="33" fillId="17" borderId="48" xfId="0" applyFont="1" applyFill="1" applyBorder="1" applyAlignment="1">
      <alignment horizontal="center" vertical="center" wrapText="1"/>
    </xf>
    <xf numFmtId="0" fontId="33" fillId="17" borderId="63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15" xfId="0" applyFont="1" applyFill="1" applyBorder="1" applyAlignment="1">
      <alignment horizontal="center" vertical="center"/>
    </xf>
    <xf numFmtId="0" fontId="33" fillId="14" borderId="65" xfId="0" applyFont="1" applyFill="1" applyBorder="1" applyAlignment="1">
      <alignment horizontal="center" vertical="center"/>
    </xf>
    <xf numFmtId="0" fontId="33" fillId="14" borderId="21" xfId="0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/>
    </xf>
    <xf numFmtId="0" fontId="33" fillId="24" borderId="21" xfId="0" applyFont="1" applyFill="1" applyBorder="1" applyAlignment="1">
      <alignment horizontal="center" vertical="center"/>
    </xf>
    <xf numFmtId="167" fontId="34" fillId="18" borderId="19" xfId="0" applyNumberFormat="1" applyFont="1" applyFill="1" applyBorder="1" applyAlignment="1">
      <alignment horizontal="center" vertical="center"/>
    </xf>
    <xf numFmtId="167" fontId="34" fillId="18" borderId="15" xfId="0" applyNumberFormat="1" applyFont="1" applyFill="1" applyBorder="1" applyAlignment="1">
      <alignment horizontal="center" vertical="center"/>
    </xf>
    <xf numFmtId="167" fontId="34" fillId="18" borderId="65" xfId="0" applyNumberFormat="1" applyFont="1" applyFill="1" applyBorder="1" applyAlignment="1">
      <alignment horizontal="center" vertical="center"/>
    </xf>
    <xf numFmtId="167" fontId="34" fillId="18" borderId="21" xfId="0" applyNumberFormat="1" applyFon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0">
    <cellStyle name="Bad" xfId="8" builtinId="27"/>
    <cellStyle name="Calculation" xfId="4" builtinId="22"/>
    <cellStyle name="Comma" xfId="5" builtinId="3"/>
    <cellStyle name="Currency" xfId="6" builtinId="4"/>
    <cellStyle name="Good" xfId="1" builtinId="26"/>
    <cellStyle name="Input" xfId="3" builtinId="20"/>
    <cellStyle name="Neutral" xfId="2" builtinId="28"/>
    <cellStyle name="Normal" xfId="0" builtinId="0"/>
    <cellStyle name="Output" xfId="9" builtinId="21"/>
    <cellStyle name="Percent" xfId="7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Medium9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$E$100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1752600</xdr:colOff>
          <xdr:row>146</xdr:row>
          <xdr:rowOff>180975</xdr:rowOff>
        </xdr:from>
        <xdr:to>
          <xdr:col>4</xdr:col>
          <xdr:colOff>238125</xdr:colOff>
          <xdr:row>148</xdr:row>
          <xdr:rowOff>57150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0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nb-N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Eksisterend 16kW LR har Smartpack S controller?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82830</xdr:colOff>
      <xdr:row>166</xdr:row>
      <xdr:rowOff>166068</xdr:rowOff>
    </xdr:from>
    <xdr:to>
      <xdr:col>6</xdr:col>
      <xdr:colOff>2772335</xdr:colOff>
      <xdr:row>177</xdr:row>
      <xdr:rowOff>109395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30" y="33055333"/>
          <a:ext cx="12254846" cy="2038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78</xdr:row>
      <xdr:rowOff>133350</xdr:rowOff>
    </xdr:from>
    <xdr:to>
      <xdr:col>24</xdr:col>
      <xdr:colOff>45306</xdr:colOff>
      <xdr:row>93</xdr:row>
      <xdr:rowOff>143277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5" y="16059150"/>
          <a:ext cx="10688542" cy="2876951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Utvikling effektkalkulator" id="{3E72B40D-49AC-4A0A-9E05-690FB07BAB0D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BD26-666F-4DBE-8043-5D0A7F9F7B98}">
  <dimension ref="A1:AD251"/>
  <sheetViews>
    <sheetView showZeros="0" tabSelected="1" topLeftCell="A88" zoomScaleNormal="100" workbookViewId="0">
      <selection activeCell="B154" sqref="B154"/>
    </sheetView>
  </sheetViews>
  <sheetFormatPr defaultColWidth="9.140625" defaultRowHeight="15" x14ac:dyDescent="0.25"/>
  <cols>
    <col min="1" max="1" width="44.42578125" customWidth="1"/>
    <col min="2" max="2" width="27" customWidth="1"/>
    <col min="3" max="3" width="19.5703125" bestFit="1" customWidth="1"/>
    <col min="4" max="4" width="16" customWidth="1"/>
    <col min="5" max="5" width="14.28515625" bestFit="1" customWidth="1"/>
    <col min="6" max="6" width="22.28515625" customWidth="1"/>
    <col min="7" max="7" width="63.42578125" customWidth="1"/>
    <col min="8" max="8" width="6.28515625" customWidth="1"/>
    <col min="9" max="9" width="14" bestFit="1" customWidth="1"/>
    <col min="10" max="10" width="8.140625" bestFit="1" customWidth="1"/>
    <col min="11" max="11" width="10.140625" bestFit="1" customWidth="1"/>
    <col min="12" max="12" width="30.42578125" bestFit="1" customWidth="1"/>
    <col min="13" max="13" width="8.7109375" bestFit="1" customWidth="1"/>
    <col min="14" max="14" width="10" bestFit="1" customWidth="1"/>
    <col min="15" max="16" width="8.7109375" bestFit="1" customWidth="1"/>
    <col min="17" max="17" width="12.28515625" hidden="1" customWidth="1"/>
    <col min="18" max="18" width="17" hidden="1" customWidth="1"/>
    <col min="19" max="19" width="17.85546875" bestFit="1" customWidth="1"/>
    <col min="20" max="20" width="12" hidden="1" customWidth="1"/>
    <col min="21" max="21" width="16.7109375" hidden="1" customWidth="1"/>
    <col min="22" max="22" width="11.7109375" hidden="1" customWidth="1"/>
    <col min="23" max="23" width="17.140625" bestFit="1" customWidth="1"/>
    <col min="24" max="24" width="11.7109375" style="528" hidden="1" customWidth="1"/>
    <col min="25" max="25" width="6.5703125" style="528" hidden="1" customWidth="1"/>
    <col min="26" max="26" width="7.85546875" style="528" hidden="1" customWidth="1"/>
    <col min="27" max="27" width="16.140625" bestFit="1" customWidth="1"/>
    <col min="28" max="28" width="16.140625" hidden="1" customWidth="1"/>
    <col min="29" max="29" width="12" hidden="1" customWidth="1"/>
    <col min="30" max="30" width="11.85546875" hidden="1" customWidth="1"/>
    <col min="32" max="32" width="11.7109375" bestFit="1" customWidth="1"/>
  </cols>
  <sheetData>
    <row r="1" spans="1:27" ht="26.25" x14ac:dyDescent="0.4">
      <c r="A1" s="778" t="s">
        <v>110</v>
      </c>
      <c r="B1" s="779"/>
      <c r="C1" s="779"/>
      <c r="D1" s="779"/>
      <c r="E1" s="779"/>
      <c r="F1" s="779"/>
      <c r="G1" s="779"/>
      <c r="H1" s="780"/>
      <c r="I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</row>
    <row r="2" spans="1:27" ht="27" customHeight="1" thickBot="1" x14ac:dyDescent="0.45">
      <c r="A2" s="786" t="s">
        <v>424</v>
      </c>
      <c r="B2" s="787"/>
      <c r="C2" s="787"/>
      <c r="D2" s="787"/>
      <c r="E2" s="787"/>
      <c r="F2" s="787"/>
      <c r="G2" s="787"/>
      <c r="H2" s="709"/>
      <c r="I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</row>
    <row r="3" spans="1:27" ht="15.75" customHeight="1" thickBot="1" x14ac:dyDescent="0.3">
      <c r="A3" s="525" t="s">
        <v>0</v>
      </c>
      <c r="B3" s="526"/>
      <c r="C3" s="810" t="s">
        <v>423</v>
      </c>
      <c r="D3" s="811"/>
      <c r="E3" s="811"/>
      <c r="F3" s="811"/>
      <c r="G3" s="812"/>
      <c r="H3" s="527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3"/>
    </row>
    <row r="4" spans="1:27" ht="33" customHeight="1" x14ac:dyDescent="0.25">
      <c r="A4" s="31" t="s">
        <v>1</v>
      </c>
      <c r="B4" s="345" t="s">
        <v>426</v>
      </c>
      <c r="C4" s="813"/>
      <c r="D4" s="814"/>
      <c r="E4" s="814"/>
      <c r="F4" s="814"/>
      <c r="G4" s="815"/>
      <c r="H4" s="527"/>
      <c r="I4" s="523"/>
      <c r="J4" s="523"/>
      <c r="K4" s="523"/>
      <c r="L4" s="523"/>
      <c r="M4" s="523"/>
      <c r="N4" s="523"/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  <c r="Z4" s="523"/>
      <c r="AA4" s="523"/>
    </row>
    <row r="5" spans="1:27" ht="15.75" customHeight="1" thickBot="1" x14ac:dyDescent="0.3">
      <c r="A5" s="66" t="s">
        <v>2</v>
      </c>
      <c r="B5" s="346" t="s">
        <v>427</v>
      </c>
      <c r="C5" s="813"/>
      <c r="D5" s="814"/>
      <c r="E5" s="814"/>
      <c r="F5" s="814"/>
      <c r="G5" s="815"/>
      <c r="H5" s="527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3"/>
    </row>
    <row r="6" spans="1:27" ht="15" customHeight="1" x14ac:dyDescent="0.25">
      <c r="A6" s="31" t="s">
        <v>109</v>
      </c>
      <c r="B6" s="345" t="s">
        <v>428</v>
      </c>
      <c r="C6" s="813"/>
      <c r="D6" s="814"/>
      <c r="E6" s="814"/>
      <c r="F6" s="814"/>
      <c r="G6" s="815"/>
      <c r="H6" s="527"/>
      <c r="I6" s="523"/>
      <c r="J6" s="523"/>
      <c r="K6" s="523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  <c r="Z6" s="523"/>
      <c r="AA6" s="523"/>
    </row>
    <row r="7" spans="1:27" ht="15.75" customHeight="1" x14ac:dyDescent="0.25">
      <c r="A7" s="531" t="s">
        <v>106</v>
      </c>
      <c r="B7" s="347"/>
      <c r="C7" s="813"/>
      <c r="D7" s="814"/>
      <c r="E7" s="814"/>
      <c r="F7" s="814"/>
      <c r="G7" s="815"/>
      <c r="H7" s="527"/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523"/>
      <c r="Z7" s="523"/>
      <c r="AA7" s="523"/>
    </row>
    <row r="8" spans="1:27" ht="15" customHeight="1" x14ac:dyDescent="0.25">
      <c r="A8" s="531" t="s">
        <v>107</v>
      </c>
      <c r="B8" s="347"/>
      <c r="C8" s="813"/>
      <c r="D8" s="814"/>
      <c r="E8" s="814"/>
      <c r="F8" s="814"/>
      <c r="G8" s="815"/>
      <c r="H8" s="527"/>
      <c r="I8" s="523"/>
      <c r="J8" s="523"/>
      <c r="K8" s="523"/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  <c r="AA8" s="523"/>
    </row>
    <row r="9" spans="1:27" ht="15.75" customHeight="1" thickBot="1" x14ac:dyDescent="0.3">
      <c r="A9" s="532" t="s">
        <v>108</v>
      </c>
      <c r="B9" s="348"/>
      <c r="C9" s="813"/>
      <c r="D9" s="814"/>
      <c r="E9" s="814"/>
      <c r="F9" s="814"/>
      <c r="G9" s="815"/>
      <c r="H9" s="527"/>
      <c r="I9" s="523"/>
      <c r="J9" s="523"/>
      <c r="K9" s="523"/>
      <c r="L9" s="523"/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  <c r="Z9" s="523"/>
      <c r="AA9" s="523"/>
    </row>
    <row r="10" spans="1:27" ht="15" customHeight="1" x14ac:dyDescent="0.25">
      <c r="A10" s="533" t="s">
        <v>58</v>
      </c>
      <c r="B10" s="349">
        <v>46013</v>
      </c>
      <c r="C10" s="813"/>
      <c r="D10" s="814"/>
      <c r="E10" s="814"/>
      <c r="F10" s="814"/>
      <c r="G10" s="815"/>
      <c r="H10" s="527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</row>
    <row r="11" spans="1:27" ht="15.75" customHeight="1" thickBot="1" x14ac:dyDescent="0.3">
      <c r="A11" s="532" t="s">
        <v>59</v>
      </c>
      <c r="B11" s="348" t="s">
        <v>425</v>
      </c>
      <c r="C11" s="813"/>
      <c r="D11" s="814"/>
      <c r="E11" s="814"/>
      <c r="F11" s="814"/>
      <c r="G11" s="815"/>
      <c r="H11" s="527"/>
      <c r="I11" s="523"/>
      <c r="J11" s="523"/>
      <c r="K11" s="523"/>
      <c r="L11" s="523"/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  <c r="Z11" s="523"/>
      <c r="AA11" s="523"/>
    </row>
    <row r="12" spans="1:27" ht="15" customHeight="1" x14ac:dyDescent="0.25">
      <c r="A12" s="895"/>
      <c r="B12" s="896"/>
      <c r="C12" s="813"/>
      <c r="D12" s="814"/>
      <c r="E12" s="814"/>
      <c r="F12" s="814"/>
      <c r="G12" s="815"/>
      <c r="H12" s="527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</row>
    <row r="13" spans="1:27" ht="15" customHeight="1" x14ac:dyDescent="0.25">
      <c r="A13" s="833"/>
      <c r="B13" s="828"/>
      <c r="C13" s="813"/>
      <c r="D13" s="814"/>
      <c r="E13" s="814"/>
      <c r="F13" s="814"/>
      <c r="G13" s="815"/>
      <c r="H13" s="527"/>
      <c r="I13" s="523"/>
      <c r="J13" s="523"/>
      <c r="K13" s="523"/>
      <c r="L13" s="523"/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  <c r="Z13" s="523"/>
      <c r="AA13" s="523"/>
    </row>
    <row r="14" spans="1:27" ht="15" customHeight="1" x14ac:dyDescent="0.25">
      <c r="A14" s="833"/>
      <c r="B14" s="828"/>
      <c r="C14" s="813"/>
      <c r="D14" s="814"/>
      <c r="E14" s="814"/>
      <c r="F14" s="814"/>
      <c r="G14" s="815"/>
      <c r="H14" s="527"/>
      <c r="I14" s="523"/>
      <c r="J14" s="523"/>
      <c r="K14" s="523"/>
      <c r="L14" s="523"/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  <c r="Z14" s="523"/>
      <c r="AA14" s="523"/>
    </row>
    <row r="15" spans="1:27" ht="15" customHeight="1" x14ac:dyDescent="0.25">
      <c r="A15" s="833"/>
      <c r="B15" s="828"/>
      <c r="C15" s="813"/>
      <c r="D15" s="814"/>
      <c r="E15" s="814"/>
      <c r="F15" s="814"/>
      <c r="G15" s="815"/>
      <c r="H15" s="527"/>
      <c r="I15" s="523"/>
      <c r="J15" s="523"/>
      <c r="K15" s="523"/>
      <c r="L15" s="523"/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  <c r="Y15" s="523"/>
      <c r="Z15" s="523"/>
      <c r="AA15" s="523"/>
    </row>
    <row r="16" spans="1:27" ht="15.75" customHeight="1" x14ac:dyDescent="0.25">
      <c r="A16" s="833"/>
      <c r="B16" s="828"/>
      <c r="C16" s="813"/>
      <c r="D16" s="814"/>
      <c r="E16" s="814"/>
      <c r="F16" s="814"/>
      <c r="G16" s="815"/>
      <c r="H16" s="527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</row>
    <row r="17" spans="1:27" ht="15" customHeight="1" x14ac:dyDescent="0.25">
      <c r="A17" s="833"/>
      <c r="B17" s="828"/>
      <c r="C17" s="813"/>
      <c r="D17" s="814"/>
      <c r="E17" s="814"/>
      <c r="F17" s="814"/>
      <c r="G17" s="815"/>
      <c r="H17" s="527"/>
      <c r="K17" s="523"/>
      <c r="L17" s="523"/>
      <c r="M17" s="523"/>
      <c r="N17" s="523"/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  <c r="Z17" s="523"/>
      <c r="AA17" s="523"/>
    </row>
    <row r="18" spans="1:27" ht="15.75" customHeight="1" thickBot="1" x14ac:dyDescent="0.3">
      <c r="A18" s="781"/>
      <c r="B18" s="830"/>
      <c r="C18" s="816"/>
      <c r="D18" s="817"/>
      <c r="E18" s="817"/>
      <c r="F18" s="817"/>
      <c r="G18" s="818"/>
      <c r="H18" s="529"/>
      <c r="J18" s="12"/>
      <c r="K18" s="523"/>
      <c r="L18" s="523"/>
      <c r="M18" s="523"/>
      <c r="N18" s="523"/>
      <c r="O18" s="523"/>
      <c r="P18" s="523"/>
      <c r="Q18" s="523"/>
      <c r="R18" s="523"/>
      <c r="S18" s="523"/>
      <c r="T18" s="523"/>
      <c r="U18" s="523"/>
      <c r="V18" s="523"/>
      <c r="W18" s="523"/>
      <c r="X18" s="523"/>
      <c r="Y18" s="523"/>
      <c r="Z18" s="523"/>
      <c r="AA18" s="523"/>
    </row>
    <row r="19" spans="1:27" ht="15.75" customHeight="1" thickBot="1" x14ac:dyDescent="0.3">
      <c r="A19" s="2"/>
      <c r="H19" s="529"/>
      <c r="J19" s="20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3"/>
      <c r="AA19" s="523"/>
    </row>
    <row r="20" spans="1:27" ht="15.75" customHeight="1" thickBot="1" x14ac:dyDescent="0.3">
      <c r="A20" s="74" t="s">
        <v>60</v>
      </c>
      <c r="B20" s="791" t="s">
        <v>415</v>
      </c>
      <c r="C20" s="792"/>
      <c r="D20" s="792"/>
      <c r="E20" s="792"/>
      <c r="F20" s="792"/>
      <c r="G20" s="793"/>
      <c r="H20" s="315"/>
      <c r="I20" s="12"/>
      <c r="J20" s="20"/>
      <c r="K20" s="523"/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  <c r="Z20" s="523"/>
      <c r="AA20" s="523"/>
    </row>
    <row r="21" spans="1:27" ht="45.75" thickBot="1" x14ac:dyDescent="0.3">
      <c r="A21" s="13" t="str">
        <f>_xlfn.CONCAT("Modellsite ice:  ",IF(AND(B24&gt;=1,B25&gt;=1),"LARGE + 450",IF(AND(B23&gt;=1,B25&gt;=1),"MEDIUM + 450",IF(AND(B22&gt;=1,B25&gt;=1),"SMALL + 450",IF(B24&gt;=1,"LARGE",IF(B23&gt;=1,"MEDIUM",IF(B22&gt;=1,"SMALL",))))))," (sitenivå)")</f>
        <v>Modellsite ice:  LARGE (sitenivå)</v>
      </c>
      <c r="B21" s="14" t="s">
        <v>3</v>
      </c>
      <c r="C21" s="15" t="s">
        <v>4</v>
      </c>
      <c r="D21" s="16" t="s">
        <v>404</v>
      </c>
      <c r="E21" s="685" t="s">
        <v>5</v>
      </c>
      <c r="F21" s="920" t="s">
        <v>416</v>
      </c>
      <c r="G21" s="921"/>
      <c r="H21" s="19"/>
      <c r="I21" s="20"/>
      <c r="J21" s="20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  <c r="AA21" s="523"/>
    </row>
    <row r="22" spans="1:27" ht="15" customHeight="1" x14ac:dyDescent="0.25">
      <c r="A22" s="21" t="s">
        <v>6</v>
      </c>
      <c r="B22" s="700">
        <v>0</v>
      </c>
      <c r="C22" s="708">
        <v>571</v>
      </c>
      <c r="D22" s="158">
        <v>301</v>
      </c>
      <c r="E22" s="158">
        <f>0.8*864</f>
        <v>691.2</v>
      </c>
      <c r="F22" s="919">
        <v>540</v>
      </c>
      <c r="G22" s="919"/>
      <c r="H22" s="535"/>
      <c r="I22" s="24"/>
      <c r="J22" s="20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</row>
    <row r="23" spans="1:27" ht="15" customHeight="1" x14ac:dyDescent="0.25">
      <c r="A23" s="25" t="s">
        <v>7</v>
      </c>
      <c r="B23" s="701"/>
      <c r="C23" s="708">
        <f>C22+813</f>
        <v>1384</v>
      </c>
      <c r="D23" s="158">
        <f>D22+330</f>
        <v>631</v>
      </c>
      <c r="E23" s="158">
        <f>E22+0.8*1252</f>
        <v>1692.8000000000002</v>
      </c>
      <c r="F23" s="919">
        <v>735</v>
      </c>
      <c r="G23" s="919"/>
      <c r="H23" s="535"/>
      <c r="I23" s="24"/>
      <c r="J23" s="97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</row>
    <row r="24" spans="1:27" ht="15.75" customHeight="1" thickBot="1" x14ac:dyDescent="0.3">
      <c r="A24" s="27" t="s">
        <v>8</v>
      </c>
      <c r="B24" s="702">
        <v>3</v>
      </c>
      <c r="C24" s="708">
        <f>C23+750</f>
        <v>2134</v>
      </c>
      <c r="D24" s="158">
        <f>D23+396</f>
        <v>1027</v>
      </c>
      <c r="E24" s="158">
        <f>E23+0.8*864</f>
        <v>2384</v>
      </c>
      <c r="F24" s="919">
        <v>1010</v>
      </c>
      <c r="G24" s="919"/>
      <c r="H24" s="537"/>
      <c r="I24" s="24"/>
      <c r="J24" s="97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</row>
    <row r="25" spans="1:27" ht="15.75" customHeight="1" thickBot="1" x14ac:dyDescent="0.3">
      <c r="A25" s="73" t="s">
        <v>19</v>
      </c>
      <c r="B25" s="703"/>
      <c r="C25" s="708"/>
      <c r="D25" s="158">
        <v>176</v>
      </c>
      <c r="E25" s="158">
        <f>351*0.8</f>
        <v>280.8</v>
      </c>
      <c r="F25" s="919">
        <v>351</v>
      </c>
      <c r="G25" s="919"/>
      <c r="H25" s="537"/>
      <c r="J25" s="97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  <c r="AA25" s="523"/>
    </row>
    <row r="26" spans="1:27" ht="15" customHeight="1" x14ac:dyDescent="0.25">
      <c r="A26" s="31" t="s">
        <v>9</v>
      </c>
      <c r="B26" s="704">
        <f>IF(AND(OR(B22&gt;0,B23&gt;0),B24=0),1,0)</f>
        <v>0</v>
      </c>
      <c r="C26" s="708">
        <v>227</v>
      </c>
      <c r="D26" s="158">
        <v>227</v>
      </c>
      <c r="E26" s="158">
        <v>227</v>
      </c>
      <c r="F26" s="919">
        <v>227</v>
      </c>
      <c r="G26" s="919"/>
      <c r="H26" s="537"/>
      <c r="J26" s="97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  <c r="AA26" s="523"/>
    </row>
    <row r="27" spans="1:27" ht="15.75" customHeight="1" thickBot="1" x14ac:dyDescent="0.3">
      <c r="A27" s="66" t="s">
        <v>10</v>
      </c>
      <c r="B27" s="705">
        <f>IF(B24&gt;0,1,0)</f>
        <v>1</v>
      </c>
      <c r="C27" s="708">
        <v>376</v>
      </c>
      <c r="D27" s="158">
        <v>376</v>
      </c>
      <c r="E27" s="158">
        <v>376</v>
      </c>
      <c r="F27" s="919">
        <v>376</v>
      </c>
      <c r="G27" s="919"/>
      <c r="H27" s="537"/>
      <c r="J27" s="24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  <c r="AA27" s="523"/>
    </row>
    <row r="28" spans="1:27" ht="15" customHeight="1" x14ac:dyDescent="0.25">
      <c r="A28" s="3" t="s">
        <v>421</v>
      </c>
      <c r="B28" s="706">
        <v>1</v>
      </c>
      <c r="C28" s="708">
        <v>100</v>
      </c>
      <c r="D28" s="158">
        <v>100</v>
      </c>
      <c r="E28" s="158">
        <v>100</v>
      </c>
      <c r="F28" s="919">
        <v>100</v>
      </c>
      <c r="G28" s="919"/>
      <c r="H28" s="537"/>
      <c r="J28" s="24"/>
      <c r="K28" s="523"/>
      <c r="L28" s="523"/>
      <c r="M28" s="523"/>
      <c r="N28" s="523"/>
      <c r="O28" s="523"/>
      <c r="P28" s="523"/>
      <c r="Q28" s="523"/>
      <c r="R28" s="523"/>
      <c r="S28" s="523"/>
      <c r="T28" s="523"/>
      <c r="U28" s="523"/>
      <c r="V28" s="523"/>
      <c r="W28" s="523"/>
      <c r="X28" s="523"/>
      <c r="Y28" s="523"/>
      <c r="Z28" s="523"/>
      <c r="AA28" s="523"/>
    </row>
    <row r="29" spans="1:27" ht="15.75" customHeight="1" thickBot="1" x14ac:dyDescent="0.3">
      <c r="A29" s="4" t="s">
        <v>46</v>
      </c>
      <c r="B29" s="707">
        <v>0</v>
      </c>
      <c r="C29" s="708">
        <v>100</v>
      </c>
      <c r="D29" s="158">
        <v>100</v>
      </c>
      <c r="E29" s="158">
        <v>100</v>
      </c>
      <c r="F29" s="919">
        <v>100</v>
      </c>
      <c r="G29" s="919"/>
      <c r="H29" s="537"/>
      <c r="J29" s="24"/>
      <c r="K29" s="523"/>
      <c r="L29" s="523"/>
      <c r="M29" s="523"/>
      <c r="N29" s="523"/>
      <c r="O29" s="523"/>
      <c r="P29" s="523"/>
      <c r="Q29" s="523"/>
      <c r="R29" s="523"/>
      <c r="S29" s="523"/>
      <c r="T29" s="523"/>
      <c r="U29" s="523"/>
      <c r="V29" s="523"/>
      <c r="W29" s="523"/>
      <c r="X29" s="523"/>
      <c r="Y29" s="523"/>
      <c r="Z29" s="523"/>
      <c r="AA29" s="523"/>
    </row>
    <row r="30" spans="1:27" ht="15.75" customHeight="1" thickBot="1" x14ac:dyDescent="0.3">
      <c r="A30" s="2"/>
      <c r="G30" s="529"/>
      <c r="H30" s="529"/>
      <c r="I30" s="539"/>
      <c r="J30" s="24"/>
      <c r="K30" s="523"/>
      <c r="L30" s="523"/>
      <c r="M30" s="523"/>
      <c r="N30" s="523"/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3"/>
      <c r="Z30" s="523"/>
      <c r="AA30" s="523"/>
    </row>
    <row r="31" spans="1:27" ht="24" customHeight="1" thickBot="1" x14ac:dyDescent="0.4">
      <c r="A31" s="540" t="s">
        <v>227</v>
      </c>
      <c r="B31" s="304">
        <f>B155</f>
        <v>5</v>
      </c>
      <c r="C31" s="897"/>
      <c r="D31" s="898"/>
      <c r="E31" s="898"/>
      <c r="F31" s="898"/>
      <c r="G31" s="899"/>
      <c r="H31" s="529"/>
      <c r="I31" s="539"/>
      <c r="J31" s="24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  <c r="Z31" s="523"/>
      <c r="AA31" s="523"/>
    </row>
    <row r="32" spans="1:27" ht="24" customHeight="1" thickBot="1" x14ac:dyDescent="0.4">
      <c r="A32" s="540" t="s">
        <v>196</v>
      </c>
      <c r="B32" s="155">
        <f>$B$22*E22+$B$23*E23+$B$24*E24+$B$26*E26+$B$27*E27+$B$25*E25+B28*E28+B29*E29</f>
        <v>7628</v>
      </c>
      <c r="C32" s="897" t="s">
        <v>102</v>
      </c>
      <c r="D32" s="898"/>
      <c r="E32" s="898"/>
      <c r="F32" s="898"/>
      <c r="G32" s="899"/>
      <c r="H32" s="153"/>
      <c r="I32" s="539"/>
      <c r="J32" s="24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</row>
    <row r="33" spans="1:27" ht="24" customHeight="1" thickBot="1" x14ac:dyDescent="0.4">
      <c r="A33" s="541" t="s">
        <v>405</v>
      </c>
      <c r="B33" s="156">
        <f>$B$22*D22+$B$23*D23+$B$24*D24+$B$26*D26+$B$27*D27+B25*D25+B28*D28+B29*D29</f>
        <v>3557</v>
      </c>
      <c r="C33" s="907" t="s">
        <v>111</v>
      </c>
      <c r="D33" s="908"/>
      <c r="E33" s="908"/>
      <c r="F33" s="908"/>
      <c r="G33" s="909"/>
      <c r="H33" s="154"/>
      <c r="I33" s="24"/>
      <c r="J33" s="24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  <c r="AA33" s="523"/>
    </row>
    <row r="34" spans="1:27" ht="20.25" customHeight="1" thickBot="1" x14ac:dyDescent="0.35">
      <c r="A34" s="689" t="s">
        <v>405</v>
      </c>
      <c r="B34" s="149">
        <f>B33/1000</f>
        <v>3.5569999999999999</v>
      </c>
      <c r="C34" s="910"/>
      <c r="D34" s="911"/>
      <c r="E34" s="911"/>
      <c r="F34" s="911"/>
      <c r="G34" s="912"/>
      <c r="H34" s="154"/>
      <c r="I34" s="24"/>
      <c r="J34" s="24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</row>
    <row r="35" spans="1:27" ht="15" hidden="1" customHeight="1" thickBot="1" x14ac:dyDescent="0.3">
      <c r="A35" s="690" t="s">
        <v>112</v>
      </c>
      <c r="B35" s="542">
        <f>$B$22*E22+$B$23*E23+$B$24*E24+$B$26*E26+$B$27*E27+B25*E25+B28*E28+B29*E29</f>
        <v>7628</v>
      </c>
      <c r="C35" s="719"/>
      <c r="D35" s="720"/>
      <c r="E35" s="720"/>
      <c r="F35" s="720"/>
      <c r="G35" s="721"/>
      <c r="H35" s="529"/>
      <c r="I35" s="24"/>
      <c r="J35" s="24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</row>
    <row r="36" spans="1:27" ht="15.75" hidden="1" customHeight="1" thickBot="1" x14ac:dyDescent="0.3">
      <c r="A36" s="691" t="s">
        <v>113</v>
      </c>
      <c r="B36" s="543">
        <f>$B$22*F22+$B$23*F23+$B$24*F24+$B$26*F26+$B$27*F27+B25*F25+B28*F28+B29*F29</f>
        <v>3506</v>
      </c>
      <c r="C36" s="722"/>
      <c r="D36" s="723"/>
      <c r="E36" s="723"/>
      <c r="F36" s="723"/>
      <c r="G36" s="724"/>
      <c r="H36" s="529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</row>
    <row r="37" spans="1:27" ht="15.75" hidden="1" customHeight="1" x14ac:dyDescent="0.3">
      <c r="A37" s="692" t="s">
        <v>414</v>
      </c>
      <c r="B37" s="546">
        <f>AVERAGE(B35,B36,B36,B36,B36,B36,B36,B36,B36,B36,B36,B36)</f>
        <v>3849.5</v>
      </c>
      <c r="C37" s="913" t="s">
        <v>114</v>
      </c>
      <c r="D37" s="914"/>
      <c r="E37" s="914"/>
      <c r="F37" s="914"/>
      <c r="G37" s="915"/>
      <c r="H37" s="547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  <c r="AA37" s="523"/>
    </row>
    <row r="38" spans="1:27" ht="15.75" hidden="1" customHeight="1" x14ac:dyDescent="0.3">
      <c r="A38" s="692" t="s">
        <v>11</v>
      </c>
      <c r="B38" s="686">
        <f>AVERAGE(B35,B36,B36,B36,B36,B36,B36,B36,B36,B36,B36,B36,B36,B36,B36,B36,B36,B36,B36,B36,B36,B36,B36,B36)</f>
        <v>3677.75</v>
      </c>
      <c r="C38" s="916"/>
      <c r="D38" s="917"/>
      <c r="E38" s="917"/>
      <c r="F38" s="917"/>
      <c r="G38" s="918"/>
      <c r="H38" s="547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  <c r="Z38" s="523"/>
      <c r="AA38" s="523"/>
    </row>
    <row r="39" spans="1:27" ht="16.5" hidden="1" customHeight="1" x14ac:dyDescent="0.3">
      <c r="A39" s="821" t="s">
        <v>409</v>
      </c>
      <c r="B39" s="819">
        <f>ROUNDUP(Batteriutregninger!D3/4,0)</f>
        <v>2</v>
      </c>
      <c r="C39" s="731" t="s">
        <v>410</v>
      </c>
      <c r="D39" s="732"/>
      <c r="E39" s="729">
        <f>ROUNDUP(Batteriutregninger!D4/4,0)</f>
        <v>3</v>
      </c>
      <c r="F39" s="725" t="s">
        <v>413</v>
      </c>
      <c r="G39" s="726"/>
      <c r="H39" s="547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  <c r="AA39" s="523"/>
    </row>
    <row r="40" spans="1:27" ht="16.5" hidden="1" customHeight="1" x14ac:dyDescent="0.25">
      <c r="A40" s="822"/>
      <c r="B40" s="820"/>
      <c r="C40" s="733"/>
      <c r="D40" s="734"/>
      <c r="E40" s="730"/>
      <c r="F40" s="727"/>
      <c r="G40" s="728"/>
      <c r="H40" s="529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3"/>
    </row>
    <row r="41" spans="1:27" ht="16.5" customHeight="1" x14ac:dyDescent="0.25">
      <c r="A41" s="687" t="s">
        <v>193</v>
      </c>
      <c r="B41" s="688">
        <f>B34*24</f>
        <v>85.367999999999995</v>
      </c>
      <c r="C41" s="823"/>
      <c r="D41" s="824"/>
      <c r="E41" s="824"/>
      <c r="F41" s="824"/>
      <c r="G41" s="825"/>
      <c r="H41" s="529"/>
      <c r="J41" s="12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</row>
    <row r="42" spans="1:27" ht="15.75" customHeight="1" x14ac:dyDescent="0.25">
      <c r="A42" s="550" t="s">
        <v>194</v>
      </c>
      <c r="B42" s="306">
        <f>B34*8760/12</f>
        <v>2596.61</v>
      </c>
      <c r="C42" s="826"/>
      <c r="D42" s="827"/>
      <c r="E42" s="827"/>
      <c r="F42" s="827"/>
      <c r="G42" s="828"/>
      <c r="H42" s="529"/>
      <c r="J42" s="12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</row>
    <row r="43" spans="1:27" ht="15.75" customHeight="1" thickBot="1" x14ac:dyDescent="0.3">
      <c r="A43" s="41" t="s">
        <v>195</v>
      </c>
      <c r="B43" s="308">
        <f>B34*8760</f>
        <v>31159.32</v>
      </c>
      <c r="C43" s="829"/>
      <c r="D43" s="782"/>
      <c r="E43" s="782"/>
      <c r="F43" s="782"/>
      <c r="G43" s="830"/>
      <c r="H43" s="529"/>
      <c r="J43" s="12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</row>
    <row r="44" spans="1:27" ht="15.75" hidden="1" customHeight="1" x14ac:dyDescent="0.25">
      <c r="A44" s="551" t="s">
        <v>12</v>
      </c>
      <c r="B44" s="307">
        <f>$B$17*B41</f>
        <v>0</v>
      </c>
      <c r="C44" s="35"/>
      <c r="D44" s="35"/>
      <c r="E44" s="35"/>
      <c r="F44" s="552"/>
      <c r="G44" s="552"/>
      <c r="H44" s="529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</row>
    <row r="45" spans="1:27" ht="1.5" customHeight="1" x14ac:dyDescent="0.25">
      <c r="A45" s="553" t="s">
        <v>13</v>
      </c>
      <c r="B45" s="42">
        <f>$B$17*B42</f>
        <v>0</v>
      </c>
      <c r="C45" s="26"/>
      <c r="D45" s="26"/>
      <c r="E45" s="26"/>
      <c r="F45" s="179"/>
      <c r="G45" s="179"/>
      <c r="H45" s="529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</row>
    <row r="46" spans="1:27" ht="0.75" customHeight="1" thickBot="1" x14ac:dyDescent="0.3">
      <c r="A46" s="548" t="s">
        <v>14</v>
      </c>
      <c r="B46" s="43">
        <f>$B$17*B43</f>
        <v>0</v>
      </c>
      <c r="C46" s="33"/>
      <c r="D46" s="33"/>
      <c r="E46" s="33"/>
      <c r="F46" s="240"/>
      <c r="G46" s="240"/>
      <c r="H46" s="529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</row>
    <row r="47" spans="1:27" ht="15" customHeight="1" x14ac:dyDescent="0.25">
      <c r="A47" s="554"/>
      <c r="B47" s="555"/>
      <c r="H47" s="529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</row>
    <row r="48" spans="1:27" ht="15.75" customHeight="1" thickBot="1" x14ac:dyDescent="0.3">
      <c r="A48" s="554"/>
      <c r="B48" s="555"/>
      <c r="H48" s="529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</row>
    <row r="49" spans="1:27" ht="15.75" customHeight="1" thickBot="1" x14ac:dyDescent="0.3">
      <c r="A49" s="556" t="s">
        <v>18</v>
      </c>
      <c r="B49" s="900" t="s">
        <v>15</v>
      </c>
      <c r="C49" s="901"/>
      <c r="D49" s="902"/>
      <c r="E49" s="752" t="s">
        <v>366</v>
      </c>
      <c r="F49" s="753"/>
      <c r="G49" s="754"/>
      <c r="H49" s="529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</row>
    <row r="50" spans="1:27" ht="15" customHeight="1" x14ac:dyDescent="0.25">
      <c r="A50" s="557" t="s">
        <v>16</v>
      </c>
      <c r="B50" s="351">
        <v>16000</v>
      </c>
      <c r="C50" s="808" t="str">
        <f>IF(B50&gt;=B32,"JA","NEI")</f>
        <v>JA</v>
      </c>
      <c r="D50" s="809"/>
      <c r="E50" s="755"/>
      <c r="F50" s="756"/>
      <c r="G50" s="757"/>
      <c r="H50" s="529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</row>
    <row r="51" spans="1:27" ht="15.75" customHeight="1" thickBot="1" x14ac:dyDescent="0.3">
      <c r="A51" s="558" t="s">
        <v>365</v>
      </c>
      <c r="B51" s="352">
        <v>6434</v>
      </c>
      <c r="C51" s="831" t="str">
        <f>IF(B51&gt;=B37,"JA","NEI")</f>
        <v>JA</v>
      </c>
      <c r="D51" s="832"/>
      <c r="E51" s="755"/>
      <c r="F51" s="756"/>
      <c r="G51" s="757"/>
      <c r="H51" s="529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</row>
    <row r="52" spans="1:27" ht="15" customHeight="1" x14ac:dyDescent="0.25">
      <c r="A52" s="2"/>
      <c r="B52" s="2"/>
      <c r="E52" s="755"/>
      <c r="F52" s="756"/>
      <c r="G52" s="757"/>
      <c r="H52" s="529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</row>
    <row r="53" spans="1:27" ht="15.75" customHeight="1" thickBot="1" x14ac:dyDescent="0.3">
      <c r="A53" s="2"/>
      <c r="B53" s="2"/>
      <c r="E53" s="758"/>
      <c r="F53" s="759"/>
      <c r="G53" s="760"/>
      <c r="H53" s="529"/>
      <c r="K53" s="523"/>
      <c r="L53" s="523"/>
      <c r="M53" s="523"/>
      <c r="N53" s="523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  <c r="Z53" s="523"/>
      <c r="AA53" s="523"/>
    </row>
    <row r="54" spans="1:27" ht="15.75" customHeight="1" thickBot="1" x14ac:dyDescent="0.3">
      <c r="A54" s="559"/>
      <c r="B54" s="559"/>
      <c r="C54" s="44"/>
      <c r="D54" s="44"/>
      <c r="E54" s="44"/>
      <c r="F54" s="44"/>
      <c r="G54" s="45"/>
      <c r="H54" s="529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  <c r="Z54" s="523"/>
      <c r="AA54" s="523"/>
    </row>
    <row r="55" spans="1:27" ht="15.75" customHeight="1" thickBot="1" x14ac:dyDescent="0.3">
      <c r="A55" s="2"/>
      <c r="H55" s="529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3"/>
    </row>
    <row r="56" spans="1:27" ht="27" thickBot="1" x14ac:dyDescent="0.45">
      <c r="A56" s="783" t="s">
        <v>367</v>
      </c>
      <c r="B56" s="784"/>
      <c r="C56" s="784"/>
      <c r="D56" s="784"/>
      <c r="E56" s="784"/>
      <c r="F56" s="784"/>
      <c r="G56" s="785"/>
      <c r="H56" s="560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</row>
    <row r="57" spans="1:27" ht="15.75" customHeight="1" thickBot="1" x14ac:dyDescent="0.3">
      <c r="A57" s="561">
        <f>'Beregning vern LR'!K1</f>
        <v>0</v>
      </c>
      <c r="B57" s="803" t="s">
        <v>104</v>
      </c>
      <c r="C57" s="804"/>
      <c r="D57" s="805"/>
      <c r="G57" s="529"/>
      <c r="H57" s="529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3"/>
    </row>
    <row r="58" spans="1:27" ht="30.75" thickBot="1" x14ac:dyDescent="0.3">
      <c r="A58" s="126">
        <f>'Beregning vern LR'!K2</f>
        <v>0</v>
      </c>
      <c r="B58" s="806" t="str">
        <f>'Beregning vern LR'!L2</f>
        <v>PDU vern - Modell S, M og L</v>
      </c>
      <c r="C58" s="807"/>
      <c r="D58" s="96" t="str">
        <f>'Beregning vern LR'!N2</f>
        <v>PDU vern ved 450Mhz</v>
      </c>
      <c r="E58" s="791" t="s">
        <v>47</v>
      </c>
      <c r="F58" s="792"/>
      <c r="G58" s="793"/>
      <c r="H58" s="529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3"/>
    </row>
    <row r="59" spans="1:27" ht="15.75" customHeight="1" thickBot="1" x14ac:dyDescent="0.3">
      <c r="A59" s="562">
        <f>'Beregning vern LR'!K3</f>
        <v>0</v>
      </c>
      <c r="B59" s="108" t="str">
        <f>'Beregning vern LR'!L3</f>
        <v>PDU vern A</v>
      </c>
      <c r="C59" s="109" t="str">
        <f>'Beregning vern LR'!M3</f>
        <v>PDU vern B</v>
      </c>
      <c r="D59" s="110" t="str">
        <f>'Beregning vern LR'!N3</f>
        <v>PDU vern C</v>
      </c>
      <c r="E59" s="794" t="s">
        <v>360</v>
      </c>
      <c r="F59" s="795"/>
      <c r="G59" s="796"/>
      <c r="H59" s="529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</row>
    <row r="60" spans="1:27" ht="15" customHeight="1" x14ac:dyDescent="0.25">
      <c r="A60" s="563" t="str">
        <f>'Beregning vern LR'!K4</f>
        <v>Dimensjonerende effekt - 80% av maks [W]</v>
      </c>
      <c r="B60" s="564">
        <f>'Beregning vern LR'!L4</f>
        <v>4378</v>
      </c>
      <c r="C60" s="564">
        <f>'Beregning vern LR'!M4</f>
        <v>3295.6000000000004</v>
      </c>
      <c r="D60" s="565">
        <f>'Beregning vern LR'!N4</f>
        <v>0</v>
      </c>
      <c r="E60" s="797"/>
      <c r="F60" s="798"/>
      <c r="G60" s="799"/>
      <c r="H60" s="529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</row>
    <row r="61" spans="1:27" ht="15.75" customHeight="1" thickBot="1" x14ac:dyDescent="0.3">
      <c r="A61" s="566" t="str">
        <f>'Beregning vern LR'!K5</f>
        <v>Dimmensjonerende strøm [A] @38V ved RRH</v>
      </c>
      <c r="B61" s="567">
        <f>'Beregning vern LR'!L5</f>
        <v>115.21052631578948</v>
      </c>
      <c r="C61" s="567">
        <f>'Beregning vern LR'!M5</f>
        <v>86.726315789473688</v>
      </c>
      <c r="D61" s="568">
        <f>'Beregning vern LR'!N5</f>
        <v>0</v>
      </c>
      <c r="E61" s="797"/>
      <c r="F61" s="798"/>
      <c r="G61" s="799"/>
      <c r="H61" s="529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</row>
    <row r="62" spans="1:27" ht="15.75" customHeight="1" thickBot="1" x14ac:dyDescent="0.3">
      <c r="A62" s="127" t="str">
        <f>'Beregning vern LR'!K6</f>
        <v>Alternativ 1 (standard)</v>
      </c>
      <c r="B62" s="115">
        <f>'Beregning vern LR'!L6</f>
        <v>125</v>
      </c>
      <c r="C62" s="115">
        <f>'Beregning vern LR'!M6</f>
        <v>125</v>
      </c>
      <c r="D62" s="117" t="str">
        <f>'Beregning vern LR'!N6</f>
        <v>N/A</v>
      </c>
      <c r="E62" s="797"/>
      <c r="F62" s="798"/>
      <c r="G62" s="799"/>
      <c r="H62" s="529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</row>
    <row r="63" spans="1:27" ht="15" customHeight="1" x14ac:dyDescent="0.25">
      <c r="A63" s="119" t="str">
        <f>'Beregning vern LR'!K7</f>
        <v>Alternativ 2</v>
      </c>
      <c r="B63" s="116">
        <f>'Beregning vern LR'!L7</f>
        <v>125</v>
      </c>
      <c r="C63" s="116">
        <f>'Beregning vern LR'!M7</f>
        <v>125</v>
      </c>
      <c r="D63" s="118" t="str">
        <f>'Beregning vern LR'!N7</f>
        <v>N/A</v>
      </c>
      <c r="E63" s="797"/>
      <c r="F63" s="798"/>
      <c r="G63" s="799"/>
      <c r="H63" s="529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</row>
    <row r="64" spans="1:27" ht="15.75" customHeight="1" thickBot="1" x14ac:dyDescent="0.3">
      <c r="A64" s="120" t="str">
        <f>'Beregning vern LR'!K8</f>
        <v>Alternativ 3</v>
      </c>
      <c r="B64" s="128">
        <f>'Beregning vern LR'!L8</f>
        <v>125</v>
      </c>
      <c r="C64" s="128">
        <f>'Beregning vern LR'!M8</f>
        <v>100</v>
      </c>
      <c r="D64" s="129" t="str">
        <f>'Beregning vern LR'!N8</f>
        <v>N/A</v>
      </c>
      <c r="E64" s="800"/>
      <c r="F64" s="801"/>
      <c r="G64" s="802"/>
      <c r="H64" s="529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</row>
    <row r="65" spans="1:27" ht="15.75" customHeight="1" thickBot="1" x14ac:dyDescent="0.3">
      <c r="A65" s="2"/>
      <c r="E65">
        <f>'Beregning vern LR'!O7</f>
        <v>0</v>
      </c>
      <c r="G65" s="529">
        <f>'Beregning vern LR'!P7</f>
        <v>0</v>
      </c>
      <c r="H65" s="529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3"/>
    </row>
    <row r="66" spans="1:27" ht="15.75" customHeight="1" thickBot="1" x14ac:dyDescent="0.3">
      <c r="A66" s="904" t="s">
        <v>105</v>
      </c>
      <c r="B66" s="905"/>
      <c r="C66" s="905"/>
      <c r="D66" s="905"/>
      <c r="E66" s="906"/>
      <c r="F66" s="533"/>
      <c r="G66" s="361">
        <f>'Beregning vern LR'!P8</f>
        <v>0</v>
      </c>
      <c r="H66" s="529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</row>
    <row r="67" spans="1:27" ht="27" customHeight="1" thickBot="1" x14ac:dyDescent="0.3">
      <c r="A67" s="833"/>
      <c r="B67" s="827"/>
      <c r="C67" s="827"/>
      <c r="D67" s="827"/>
      <c r="E67" s="827"/>
      <c r="F67" s="827"/>
      <c r="G67" s="827"/>
      <c r="H67" s="828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3"/>
    </row>
    <row r="68" spans="1:27" ht="27" customHeight="1" thickBot="1" x14ac:dyDescent="0.45">
      <c r="A68" s="878" t="s">
        <v>115</v>
      </c>
      <c r="B68" s="879"/>
      <c r="C68" s="879"/>
      <c r="D68" s="879"/>
      <c r="E68" s="879"/>
      <c r="F68" s="879"/>
      <c r="G68" s="880"/>
      <c r="H68" s="560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3"/>
    </row>
    <row r="69" spans="1:27" ht="19.5" customHeight="1" thickBot="1" x14ac:dyDescent="0.3">
      <c r="A69" s="46" t="s">
        <v>33</v>
      </c>
      <c r="B69" s="47" t="s">
        <v>34</v>
      </c>
      <c r="C69" s="47" t="s">
        <v>35</v>
      </c>
      <c r="D69" s="58" t="s">
        <v>45</v>
      </c>
      <c r="E69" s="900" t="s">
        <v>47</v>
      </c>
      <c r="F69" s="901"/>
      <c r="G69" s="902"/>
      <c r="H69" s="570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3"/>
    </row>
    <row r="70" spans="1:27" ht="19.5" customHeight="1" x14ac:dyDescent="0.25">
      <c r="A70" s="3" t="str">
        <f>'Beregning kabler'!G8</f>
        <v>Lengde sektor 1 - Lavbånd RRH (7/8/9)</v>
      </c>
      <c r="B70" s="150">
        <v>28</v>
      </c>
      <c r="C70" s="569">
        <f>IF('Beregning kabler'!I8="380V DC",6,'Beregning kabler'!I8)</f>
        <v>10</v>
      </c>
      <c r="D70" s="788">
        <f>IF('Beregning kabler'!J8="380V DC","X",0)</f>
        <v>0</v>
      </c>
      <c r="E70" s="834" t="str">
        <f>IF(D70="x","Prosjekter for HVDC-løsning","")</f>
        <v/>
      </c>
      <c r="F70" s="835"/>
      <c r="G70" s="836"/>
      <c r="H70" s="570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</row>
    <row r="71" spans="1:27" ht="27" customHeight="1" x14ac:dyDescent="0.25">
      <c r="A71" s="10" t="str">
        <f>'Beregning kabler'!G9</f>
        <v>Lengde sektor 1 - Mid-band RRH (18/21)</v>
      </c>
      <c r="B71" s="151">
        <v>28</v>
      </c>
      <c r="C71" s="666">
        <f>IF('Beregning kabler'!I9="380V DC",6,'Beregning kabler'!I9)</f>
        <v>10</v>
      </c>
      <c r="D71" s="789"/>
      <c r="E71" s="837"/>
      <c r="F71" s="838"/>
      <c r="G71" s="839"/>
      <c r="H71" s="570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3"/>
    </row>
    <row r="72" spans="1:27" ht="19.5" thickBot="1" x14ac:dyDescent="0.3">
      <c r="A72" s="4" t="str">
        <f>'Beregning kabler'!G10</f>
        <v>Lengde sektor 1 - High-band (N35)</v>
      </c>
      <c r="B72" s="152">
        <v>32</v>
      </c>
      <c r="C72" s="667">
        <f>IF('Beregning kabler'!I10="380V DC",6,'Beregning kabler'!I10)</f>
        <v>10</v>
      </c>
      <c r="D72" s="790"/>
      <c r="E72" s="840"/>
      <c r="F72" s="841"/>
      <c r="G72" s="842"/>
      <c r="H72" s="570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</row>
    <row r="73" spans="1:27" ht="18.75" x14ac:dyDescent="0.25">
      <c r="A73" s="3" t="str">
        <f>'Beregning kabler'!G11</f>
        <v>Lengde sektor 2 - Lavbånd RRH (7/8/9)</v>
      </c>
      <c r="B73" s="150">
        <v>53</v>
      </c>
      <c r="C73" s="569">
        <f>IF('Beregning kabler'!I11="380V DC",6,'Beregning kabler'!I11)</f>
        <v>16</v>
      </c>
      <c r="D73" s="749">
        <f>IF('Beregning kabler'!J11="380V DC","X",0)</f>
        <v>0</v>
      </c>
      <c r="E73" s="835" t="str">
        <f>IF(D73="x","Prosjekter for HVDC-løsning","")</f>
        <v/>
      </c>
      <c r="F73" s="835"/>
      <c r="G73" s="836"/>
      <c r="H73" s="570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</row>
    <row r="74" spans="1:27" ht="18.75" x14ac:dyDescent="0.25">
      <c r="A74" s="10" t="str">
        <f>'Beregning kabler'!G12</f>
        <v>Lengde sektor 2 - Mid-band RRH (18/21)</v>
      </c>
      <c r="B74" s="151">
        <v>53</v>
      </c>
      <c r="C74" s="666">
        <f>IF('Beregning kabler'!I12="380V DC",6,'Beregning kabler'!I12)</f>
        <v>16</v>
      </c>
      <c r="D74" s="750"/>
      <c r="E74" s="838"/>
      <c r="F74" s="838"/>
      <c r="G74" s="839"/>
      <c r="H74" s="570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3"/>
    </row>
    <row r="75" spans="1:27" ht="19.5" thickBot="1" x14ac:dyDescent="0.3">
      <c r="A75" s="4" t="str">
        <f>'Beregning kabler'!G13</f>
        <v>Lengde sektor 2 - High-band (N35)</v>
      </c>
      <c r="B75" s="152">
        <v>57</v>
      </c>
      <c r="C75" s="667">
        <f>IF('Beregning kabler'!I13="380V DC",6,'Beregning kabler'!I13)</f>
        <v>16</v>
      </c>
      <c r="D75" s="751"/>
      <c r="E75" s="841"/>
      <c r="F75" s="841"/>
      <c r="G75" s="842"/>
      <c r="H75" s="570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3"/>
    </row>
    <row r="76" spans="1:27" ht="18.75" x14ac:dyDescent="0.25">
      <c r="A76" s="3" t="str">
        <f>'Beregning kabler'!G14</f>
        <v>Lengde sektor 3 - Lavbånd RRH (7/8/9)</v>
      </c>
      <c r="B76" s="150">
        <v>28</v>
      </c>
      <c r="C76" s="569">
        <f>IF('Beregning kabler'!I14="380V DC",6,'Beregning kabler'!I14)</f>
        <v>10</v>
      </c>
      <c r="D76" s="749">
        <f>IF('Beregning kabler'!J14="380V DC","X",0)</f>
        <v>0</v>
      </c>
      <c r="E76" s="835" t="str">
        <f>IF(D76="x","Prosjekter for HVDC-løsning","")</f>
        <v/>
      </c>
      <c r="F76" s="835"/>
      <c r="G76" s="836"/>
      <c r="H76" s="570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3"/>
    </row>
    <row r="77" spans="1:27" ht="18.75" x14ac:dyDescent="0.25">
      <c r="A77" s="10" t="str">
        <f>'Beregning kabler'!G15</f>
        <v>Lengde sektor 3 - Mid-band RRH (18/21)</v>
      </c>
      <c r="B77" s="151">
        <v>28</v>
      </c>
      <c r="C77" s="666">
        <f>IF('Beregning kabler'!I15="380V DC",6,'Beregning kabler'!I15)</f>
        <v>10</v>
      </c>
      <c r="D77" s="750"/>
      <c r="E77" s="838"/>
      <c r="F77" s="838"/>
      <c r="G77" s="839"/>
      <c r="H77" s="570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</row>
    <row r="78" spans="1:27" ht="19.5" thickBot="1" x14ac:dyDescent="0.3">
      <c r="A78" s="4" t="str">
        <f>'Beregning kabler'!G16</f>
        <v>Lengde sektor 3 - High-band (N35)</v>
      </c>
      <c r="B78" s="152">
        <v>32</v>
      </c>
      <c r="C78" s="667">
        <f>IF('Beregning kabler'!I16="380V DC",6,'Beregning kabler'!I16)</f>
        <v>10</v>
      </c>
      <c r="D78" s="751"/>
      <c r="E78" s="841"/>
      <c r="F78" s="841"/>
      <c r="G78" s="842"/>
      <c r="H78" s="570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3"/>
    </row>
    <row r="79" spans="1:27" ht="18.75" x14ac:dyDescent="0.25">
      <c r="A79" s="3">
        <f>'Beregning kabler'!G17</f>
        <v>0</v>
      </c>
      <c r="B79" s="150">
        <v>0</v>
      </c>
      <c r="C79" s="569">
        <f>IF('Beregning kabler'!I17="380V DC",6,'Beregning kabler'!I17)</f>
        <v>6</v>
      </c>
      <c r="D79" s="749">
        <f>IF('Beregning kabler'!J17="380V DC","X",0)</f>
        <v>0</v>
      </c>
      <c r="E79" s="835" t="str">
        <f>IF(D79="x","Prosjekter for HVDC-løsning","")</f>
        <v/>
      </c>
      <c r="F79" s="835"/>
      <c r="G79" s="836"/>
      <c r="H79" s="570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3"/>
    </row>
    <row r="80" spans="1:27" ht="18.75" x14ac:dyDescent="0.25">
      <c r="A80" s="10">
        <f>'Beregning kabler'!G18</f>
        <v>0</v>
      </c>
      <c r="B80" s="151">
        <v>0</v>
      </c>
      <c r="C80" s="666">
        <f>IF('Beregning kabler'!I18="380V DC",6,'Beregning kabler'!I18)</f>
        <v>6</v>
      </c>
      <c r="D80" s="750"/>
      <c r="E80" s="838"/>
      <c r="F80" s="838"/>
      <c r="G80" s="839"/>
      <c r="H80" s="570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</row>
    <row r="81" spans="1:27" ht="19.5" thickBot="1" x14ac:dyDescent="0.3">
      <c r="A81" s="48">
        <f>'Beregning kabler'!G19</f>
        <v>0</v>
      </c>
      <c r="B81" s="672">
        <v>0</v>
      </c>
      <c r="C81" s="673">
        <f>IF('Beregning kabler'!I19="380V DC",6,'Beregning kabler'!I19)</f>
        <v>6</v>
      </c>
      <c r="D81" s="903"/>
      <c r="E81" s="838"/>
      <c r="F81" s="838"/>
      <c r="G81" s="839"/>
      <c r="H81" s="570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3"/>
    </row>
    <row r="82" spans="1:27" ht="18.75" x14ac:dyDescent="0.25">
      <c r="A82" s="3">
        <f>'Beregning kabler'!G20</f>
        <v>0</v>
      </c>
      <c r="B82" s="150"/>
      <c r="C82" s="569">
        <f>IF('Beregning kabler'!I20="380V DC",6,'Beregning kabler'!I20)</f>
        <v>6</v>
      </c>
      <c r="D82" s="766">
        <f>IF('Beregning kabler'!J20="380V DC","X",0)</f>
        <v>0</v>
      </c>
      <c r="E82" s="864" t="str">
        <f>IF(D82="x","Prosjekter for HVDC-løsning","")</f>
        <v/>
      </c>
      <c r="F82" s="864"/>
      <c r="G82" s="865"/>
      <c r="H82" s="570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</row>
    <row r="83" spans="1:27" ht="18.75" x14ac:dyDescent="0.25">
      <c r="A83" s="10">
        <f>'Beregning kabler'!G21</f>
        <v>0</v>
      </c>
      <c r="B83" s="151">
        <v>0</v>
      </c>
      <c r="C83" s="666">
        <f>IF('Beregning kabler'!I21="380V DC",6,'Beregning kabler'!I21)</f>
        <v>6</v>
      </c>
      <c r="D83" s="767"/>
      <c r="E83" s="866"/>
      <c r="F83" s="866"/>
      <c r="G83" s="867"/>
      <c r="H83" s="570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3"/>
    </row>
    <row r="84" spans="1:27" ht="18.75" x14ac:dyDescent="0.25">
      <c r="A84" s="10">
        <f>'Beregning kabler'!G22</f>
        <v>0</v>
      </c>
      <c r="B84" s="151">
        <v>0</v>
      </c>
      <c r="C84" s="666">
        <f>IF('Beregning kabler'!I22="380V DC",6,'Beregning kabler'!I22)</f>
        <v>6</v>
      </c>
      <c r="D84" s="767"/>
      <c r="E84" s="866"/>
      <c r="F84" s="866"/>
      <c r="G84" s="867"/>
      <c r="H84" s="570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  <c r="AA84" s="523"/>
    </row>
    <row r="85" spans="1:27" ht="19.5" thickBot="1" x14ac:dyDescent="0.3">
      <c r="A85" s="4">
        <f>'Beregning kabler'!G23</f>
        <v>0</v>
      </c>
      <c r="B85" s="152">
        <v>0</v>
      </c>
      <c r="C85" s="667">
        <f>IF('Beregning kabler'!I23="380V DC",6,'Beregning kabler'!I23)</f>
        <v>6</v>
      </c>
      <c r="D85" s="768"/>
      <c r="E85" s="868"/>
      <c r="F85" s="868"/>
      <c r="G85" s="869"/>
      <c r="H85" s="570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3"/>
    </row>
    <row r="86" spans="1:27" ht="21.75" thickBot="1" x14ac:dyDescent="0.4">
      <c r="A86" s="664" t="s">
        <v>42</v>
      </c>
      <c r="B86" s="665"/>
      <c r="C86" s="665"/>
      <c r="D86" s="665"/>
      <c r="E86" s="665"/>
      <c r="F86" s="680"/>
      <c r="G86" s="674"/>
      <c r="H86" s="571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</row>
    <row r="87" spans="1:27" ht="15.75" thickBot="1" x14ac:dyDescent="0.3">
      <c r="A87" s="139"/>
      <c r="B87" s="213"/>
      <c r="C87" s="213"/>
      <c r="D87" s="881" t="s">
        <v>47</v>
      </c>
      <c r="E87" s="881"/>
      <c r="F87" s="882"/>
      <c r="G87" s="883"/>
      <c r="H87" s="529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  <c r="AA87" s="523"/>
    </row>
    <row r="88" spans="1:27" x14ac:dyDescent="0.25">
      <c r="A88" s="3" t="s">
        <v>36</v>
      </c>
      <c r="B88" s="663">
        <f>SUMIF($C$70:$C$85,4,$B$70:$B$85)</f>
        <v>0</v>
      </c>
      <c r="C88" s="32"/>
      <c r="D88" s="872" t="s">
        <v>387</v>
      </c>
      <c r="E88" s="872"/>
      <c r="F88" s="872"/>
      <c r="G88" s="873"/>
      <c r="H88" s="572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  <c r="AA88" s="523"/>
    </row>
    <row r="89" spans="1:27" x14ac:dyDescent="0.25">
      <c r="A89" s="10" t="s">
        <v>37</v>
      </c>
      <c r="B89" s="573">
        <f>SUMIF($C$70:$C$85,6,$B$70:$B$85)</f>
        <v>0</v>
      </c>
      <c r="C89" s="40"/>
      <c r="D89" s="874"/>
      <c r="E89" s="874"/>
      <c r="F89" s="874"/>
      <c r="G89" s="875"/>
      <c r="H89" s="572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  <c r="AA89" s="523"/>
    </row>
    <row r="90" spans="1:27" x14ac:dyDescent="0.25">
      <c r="A90" s="10" t="s">
        <v>38</v>
      </c>
      <c r="B90" s="573">
        <f>SUMIF($C$70:$C$85,10,$B$70:$B$85)</f>
        <v>176</v>
      </c>
      <c r="C90" s="40"/>
      <c r="D90" s="874"/>
      <c r="E90" s="874"/>
      <c r="F90" s="874"/>
      <c r="G90" s="875"/>
      <c r="H90" s="572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  <c r="AA90" s="523"/>
    </row>
    <row r="91" spans="1:27" x14ac:dyDescent="0.25">
      <c r="A91" s="10" t="s">
        <v>39</v>
      </c>
      <c r="B91" s="573">
        <f>SUMIF($C$70:$C$85,16,$B$70:$B$85)</f>
        <v>163</v>
      </c>
      <c r="C91" s="40"/>
      <c r="D91" s="874"/>
      <c r="E91" s="874"/>
      <c r="F91" s="874"/>
      <c r="G91" s="875"/>
      <c r="H91" s="572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</row>
    <row r="92" spans="1:27" x14ac:dyDescent="0.25">
      <c r="A92" s="10" t="s">
        <v>40</v>
      </c>
      <c r="B92" s="573">
        <f>SUMIF($C$70:$C$85,25,$B$70:$B$85)</f>
        <v>0</v>
      </c>
      <c r="C92" s="40"/>
      <c r="D92" s="874"/>
      <c r="E92" s="874"/>
      <c r="F92" s="874"/>
      <c r="G92" s="875"/>
      <c r="H92" s="572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  <c r="AA92" s="523"/>
    </row>
    <row r="93" spans="1:27" x14ac:dyDescent="0.25">
      <c r="A93" s="10" t="s">
        <v>402</v>
      </c>
      <c r="B93" s="573">
        <f>SUMIF($C$70:$C$85,35,$B$70:$B$85)</f>
        <v>0</v>
      </c>
      <c r="C93" s="40"/>
      <c r="D93" s="874"/>
      <c r="E93" s="874"/>
      <c r="F93" s="874"/>
      <c r="G93" s="875"/>
      <c r="H93" s="572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  <c r="AA93" s="523"/>
    </row>
    <row r="94" spans="1:27" x14ac:dyDescent="0.25">
      <c r="A94" s="10" t="s">
        <v>403</v>
      </c>
      <c r="B94" s="573">
        <f>SUMIF($C$70:$C$85,50,$B$70:$B$85)</f>
        <v>0</v>
      </c>
      <c r="C94" s="40"/>
      <c r="D94" s="874"/>
      <c r="E94" s="874"/>
      <c r="F94" s="874"/>
      <c r="G94" s="875"/>
      <c r="H94" s="572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  <c r="AA94" s="523"/>
    </row>
    <row r="95" spans="1:27" ht="15.75" thickBot="1" x14ac:dyDescent="0.3">
      <c r="A95" s="143" t="s">
        <v>41</v>
      </c>
      <c r="B95" s="662">
        <f>SUM(B88:B94)</f>
        <v>339</v>
      </c>
      <c r="C95" s="45"/>
      <c r="D95" s="876"/>
      <c r="E95" s="876"/>
      <c r="F95" s="876"/>
      <c r="G95" s="877"/>
      <c r="H95" s="572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  <c r="AA95" s="523"/>
    </row>
    <row r="96" spans="1:27" ht="15.75" thickBot="1" x14ac:dyDescent="0.3">
      <c r="A96" s="559"/>
      <c r="B96" s="44"/>
      <c r="C96" s="44"/>
      <c r="D96" s="44"/>
      <c r="E96" s="44"/>
      <c r="F96" s="44"/>
      <c r="G96" s="44"/>
      <c r="H96" s="45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  <c r="AA96" s="523"/>
    </row>
    <row r="97" spans="1:27" x14ac:dyDescent="0.25">
      <c r="A97" s="2"/>
      <c r="H97" s="529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  <c r="AA97" s="523"/>
    </row>
    <row r="98" spans="1:27" ht="15.75" hidden="1" customHeight="1" thickBot="1" x14ac:dyDescent="0.3">
      <c r="A98" s="559"/>
      <c r="B98" s="44"/>
      <c r="C98" s="44"/>
      <c r="D98" s="44"/>
      <c r="E98" s="44"/>
      <c r="F98" s="44"/>
      <c r="G98" s="44"/>
      <c r="H98" s="45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  <c r="AA98" s="523"/>
    </row>
    <row r="99" spans="1:27" ht="15.75" hidden="1" customHeight="1" thickBot="1" x14ac:dyDescent="0.3">
      <c r="A99" s="575"/>
      <c r="B99" s="53" t="s">
        <v>49</v>
      </c>
      <c r="C99" s="65" t="s">
        <v>293</v>
      </c>
      <c r="D99" s="53" t="s">
        <v>294</v>
      </c>
      <c r="E99" s="53" t="s">
        <v>388</v>
      </c>
      <c r="F99" s="53"/>
      <c r="H99" s="529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</row>
    <row r="100" spans="1:27" ht="15" hidden="1" customHeight="1" x14ac:dyDescent="0.25">
      <c r="A100" s="574"/>
      <c r="B100" s="675" t="b">
        <f>'Beregning kabler'!I8="380V DC"</f>
        <v>0</v>
      </c>
      <c r="C100" s="675" t="b">
        <f>AND(C70=6,D70="X")</f>
        <v>0</v>
      </c>
      <c r="D100" s="675" t="b">
        <f>AND(NOT(C70=6),D70="X")</f>
        <v>0</v>
      </c>
      <c r="E100" s="694" t="b">
        <v>0</v>
      </c>
      <c r="F100" s="676"/>
      <c r="G100" s="242"/>
      <c r="H100" s="529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  <c r="AA100" s="523"/>
    </row>
    <row r="101" spans="1:27" ht="15" hidden="1" customHeight="1" x14ac:dyDescent="0.25">
      <c r="A101" s="677"/>
      <c r="B101" t="b">
        <f>'Beregning kabler'!I9="380V DC"</f>
        <v>0</v>
      </c>
      <c r="C101" t="b">
        <f>AND(C71=6,D70="X")</f>
        <v>0</v>
      </c>
      <c r="D101" t="b">
        <f>AND(NOT(C71=6),D70="X")</f>
        <v>0</v>
      </c>
      <c r="G101" s="678"/>
      <c r="H101" s="529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  <c r="AA101" s="523"/>
    </row>
    <row r="102" spans="1:27" ht="15" hidden="1" customHeight="1" x14ac:dyDescent="0.25">
      <c r="A102" s="552"/>
      <c r="B102" s="679" t="b">
        <f>'Beregning kabler'!I10="380V DC"</f>
        <v>0</v>
      </c>
      <c r="C102" s="679" t="b">
        <f>AND(C72=6,D70="X")</f>
        <v>0</v>
      </c>
      <c r="D102" s="679" t="b">
        <f>AND(NOT(C72=6),D70="X")</f>
        <v>0</v>
      </c>
      <c r="E102" s="679"/>
      <c r="F102" s="679"/>
      <c r="G102" s="295"/>
      <c r="H102" s="529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  <c r="AA102" s="523"/>
    </row>
    <row r="103" spans="1:27" ht="15" hidden="1" customHeight="1" x14ac:dyDescent="0.25">
      <c r="A103" s="574"/>
      <c r="B103" s="675" t="b">
        <f>'Beregning kabler'!I11="380V DC"</f>
        <v>0</v>
      </c>
      <c r="C103" s="675" t="b">
        <f>AND(C73=6,D73="X")</f>
        <v>0</v>
      </c>
      <c r="D103" s="675" t="b">
        <f>AND(NOT(C73=6),D73="X")</f>
        <v>0</v>
      </c>
      <c r="E103" s="675"/>
      <c r="F103" s="675"/>
      <c r="G103" s="242"/>
      <c r="H103" s="529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  <c r="AA103" s="523"/>
    </row>
    <row r="104" spans="1:27" ht="15" hidden="1" customHeight="1" x14ac:dyDescent="0.25">
      <c r="A104" s="677"/>
      <c r="B104" t="b">
        <f>'Beregning kabler'!I12="380V DC"</f>
        <v>0</v>
      </c>
      <c r="C104" t="b">
        <f>AND(C74=6,D73="X")</f>
        <v>0</v>
      </c>
      <c r="D104" t="b">
        <f>AND(NOT(C74=6),D73="X")</f>
        <v>0</v>
      </c>
      <c r="G104" s="678"/>
      <c r="H104" s="529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  <c r="AA104" s="523"/>
    </row>
    <row r="105" spans="1:27" ht="15" hidden="1" customHeight="1" x14ac:dyDescent="0.25">
      <c r="A105" s="552"/>
      <c r="B105" s="679" t="b">
        <f>'Beregning kabler'!I13="380V DC"</f>
        <v>0</v>
      </c>
      <c r="C105" s="679" t="b">
        <f>AND(C75=6,D73="X")</f>
        <v>0</v>
      </c>
      <c r="D105" s="679" t="b">
        <f>AND(NOT(C75=6),D73="X")</f>
        <v>0</v>
      </c>
      <c r="E105" s="679"/>
      <c r="F105" s="679"/>
      <c r="G105" s="295"/>
      <c r="H105" s="529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</row>
    <row r="106" spans="1:27" ht="15" hidden="1" customHeight="1" x14ac:dyDescent="0.25">
      <c r="A106" s="574"/>
      <c r="B106" s="675" t="b">
        <f>'Beregning kabler'!I14="380V DC"</f>
        <v>0</v>
      </c>
      <c r="C106" s="675" t="b">
        <f>AND(C76=6,D76="X")</f>
        <v>0</v>
      </c>
      <c r="D106" s="675" t="b">
        <f>AND(NOT(C76=6),D76="X")</f>
        <v>0</v>
      </c>
      <c r="E106" s="675"/>
      <c r="F106" s="675"/>
      <c r="G106" s="242"/>
      <c r="H106" s="529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  <c r="AA106" s="523"/>
    </row>
    <row r="107" spans="1:27" ht="15" hidden="1" customHeight="1" x14ac:dyDescent="0.25">
      <c r="A107" s="677"/>
      <c r="B107" t="b">
        <f>'Beregning kabler'!I15="380V DC"</f>
        <v>0</v>
      </c>
      <c r="C107" t="b">
        <f>AND(C77=6,D76="X")</f>
        <v>0</v>
      </c>
      <c r="D107" t="b">
        <f>AND(NOT(C77=6),D76="X")</f>
        <v>0</v>
      </c>
      <c r="G107" s="678"/>
      <c r="H107" s="529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  <c r="AA107" s="523"/>
    </row>
    <row r="108" spans="1:27" ht="15" hidden="1" customHeight="1" x14ac:dyDescent="0.25">
      <c r="A108" s="552"/>
      <c r="B108" s="679" t="b">
        <f>'Beregning kabler'!I16="380V DC"</f>
        <v>0</v>
      </c>
      <c r="C108" s="679" t="b">
        <f>AND(C78=6,D76="X")</f>
        <v>0</v>
      </c>
      <c r="D108" s="679" t="b">
        <f>AND(NOT(C78=6),D76="X")</f>
        <v>0</v>
      </c>
      <c r="E108" s="679"/>
      <c r="F108" s="679"/>
      <c r="G108" s="295"/>
      <c r="H108" s="529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  <c r="AA108" s="523"/>
    </row>
    <row r="109" spans="1:27" ht="15" hidden="1" customHeight="1" x14ac:dyDescent="0.25">
      <c r="A109" s="574"/>
      <c r="B109" s="675" t="b">
        <f>'Beregning kabler'!I17="380V DC"</f>
        <v>0</v>
      </c>
      <c r="C109" s="675" t="b">
        <f>AND(C79=6,D79="X")</f>
        <v>0</v>
      </c>
      <c r="D109" s="675" t="b">
        <f>AND(NOT(C79=6),D79="X")</f>
        <v>0</v>
      </c>
      <c r="E109" s="675"/>
      <c r="F109" s="675"/>
      <c r="G109" s="242"/>
      <c r="H109" s="529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  <c r="AA109" s="523"/>
    </row>
    <row r="110" spans="1:27" ht="15" hidden="1" customHeight="1" x14ac:dyDescent="0.25">
      <c r="A110" s="677"/>
      <c r="B110" t="b">
        <f>'Beregning kabler'!I18="380V DC"</f>
        <v>0</v>
      </c>
      <c r="C110" t="b">
        <f>AND(C80=6,D79="X")</f>
        <v>0</v>
      </c>
      <c r="D110" t="b">
        <f>AND(NOT(C80=6),D79="X")</f>
        <v>0</v>
      </c>
      <c r="G110" s="28" t="s">
        <v>399</v>
      </c>
      <c r="H110" s="529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  <c r="AA110" s="523"/>
    </row>
    <row r="111" spans="1:27" ht="15" hidden="1" customHeight="1" x14ac:dyDescent="0.25">
      <c r="A111" s="677"/>
      <c r="B111" t="b">
        <f>'Beregning kabler'!I19="380V DC"</f>
        <v>0</v>
      </c>
      <c r="C111" t="b">
        <f>AND(C81=6,D79="X")</f>
        <v>0</v>
      </c>
      <c r="D111" t="b">
        <f>AND(NOT(C81=6),D79="X")</f>
        <v>0</v>
      </c>
      <c r="G111" s="549" t="b">
        <f>IF(B22+B23+B24&lt;=4,TRUE,FALSE)</f>
        <v>1</v>
      </c>
      <c r="H111" s="529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  <c r="AA111" s="523"/>
    </row>
    <row r="112" spans="1:27" ht="15" hidden="1" customHeight="1" x14ac:dyDescent="0.25">
      <c r="A112" s="574"/>
      <c r="B112" s="675" t="b">
        <f>'Beregning kabler'!I20="380V DC"</f>
        <v>0</v>
      </c>
      <c r="C112" s="675" t="b">
        <f>AND(C82=6,D82="X")</f>
        <v>0</v>
      </c>
      <c r="D112" s="675" t="b">
        <f>AND(NOT(C82=6),D82="X")</f>
        <v>0</v>
      </c>
      <c r="E112" s="675"/>
      <c r="F112" s="675"/>
      <c r="G112" s="242"/>
      <c r="H112" s="529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  <c r="AA112" s="523"/>
    </row>
    <row r="113" spans="1:27" ht="15" hidden="1" customHeight="1" x14ac:dyDescent="0.25">
      <c r="A113" s="677"/>
      <c r="B113" t="b">
        <f>'Beregning kabler'!I21="380V DC"</f>
        <v>0</v>
      </c>
      <c r="C113" t="b">
        <f>AND(C83=6,D82="X")</f>
        <v>0</v>
      </c>
      <c r="D113" t="b">
        <f>AND(NOT(C83=6),D82="X")</f>
        <v>0</v>
      </c>
      <c r="G113" s="678"/>
      <c r="H113" s="529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</row>
    <row r="114" spans="1:27" ht="15" hidden="1" customHeight="1" x14ac:dyDescent="0.25">
      <c r="A114" s="677"/>
      <c r="B114" t="b">
        <f>'Beregning kabler'!I22="380V DC"</f>
        <v>0</v>
      </c>
      <c r="C114" t="b">
        <f>AND(C84=6,D82="X")</f>
        <v>0</v>
      </c>
      <c r="D114" t="b">
        <f>AND(NOT(C84=6),D82="X")</f>
        <v>0</v>
      </c>
      <c r="G114" s="678"/>
      <c r="H114" s="529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</row>
    <row r="115" spans="1:27" ht="15" hidden="1" customHeight="1" x14ac:dyDescent="0.25">
      <c r="A115" s="552"/>
      <c r="B115" s="679" t="b">
        <f>'Beregning kabler'!I23="380V DC"</f>
        <v>0</v>
      </c>
      <c r="C115" s="679" t="b">
        <f>AND(C85=6,D82="X")</f>
        <v>0</v>
      </c>
      <c r="D115" s="679" t="b">
        <f>AND(NOT(C85=6),D82="X")</f>
        <v>0</v>
      </c>
      <c r="E115" s="679"/>
      <c r="F115" s="679"/>
      <c r="G115" s="295"/>
      <c r="H115" s="529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</row>
    <row r="116" spans="1:27" ht="15.75" thickBot="1" x14ac:dyDescent="0.3">
      <c r="A116" s="781"/>
      <c r="B116" s="782"/>
      <c r="C116" s="782"/>
      <c r="D116" s="782"/>
      <c r="E116" s="782"/>
      <c r="F116" s="782"/>
      <c r="G116" s="782"/>
      <c r="H116" s="577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</row>
    <row r="117" spans="1:27" ht="27" thickBot="1" x14ac:dyDescent="0.45">
      <c r="A117" s="878" t="s">
        <v>182</v>
      </c>
      <c r="B117" s="879"/>
      <c r="C117" s="879"/>
      <c r="D117" s="879"/>
      <c r="E117" s="879"/>
      <c r="F117" s="879"/>
      <c r="G117" s="880"/>
      <c r="H117" s="577"/>
      <c r="I117" s="578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</row>
    <row r="118" spans="1:27" ht="27" thickBot="1" x14ac:dyDescent="0.45">
      <c r="A118" s="884" t="s">
        <v>279</v>
      </c>
      <c r="B118" s="885"/>
      <c r="C118" s="885"/>
      <c r="D118" s="885"/>
      <c r="E118" s="885"/>
      <c r="F118" s="886"/>
      <c r="G118" s="887"/>
      <c r="H118" s="577"/>
      <c r="I118" s="5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</row>
    <row r="119" spans="1:27" ht="26.25" x14ac:dyDescent="0.4">
      <c r="A119" s="579" t="s">
        <v>190</v>
      </c>
      <c r="B119" s="630" t="s">
        <v>130</v>
      </c>
      <c r="C119" s="746" t="s">
        <v>379</v>
      </c>
      <c r="D119" s="746"/>
      <c r="E119" s="746"/>
      <c r="F119" s="747"/>
      <c r="G119" s="748"/>
      <c r="H119" s="524"/>
      <c r="I119" s="580"/>
      <c r="J119" s="580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</row>
    <row r="120" spans="1:27" ht="26.25" x14ac:dyDescent="0.4">
      <c r="A120" s="581" t="s">
        <v>362</v>
      </c>
      <c r="B120" s="631">
        <v>5</v>
      </c>
      <c r="C120" s="775" t="s">
        <v>389</v>
      </c>
      <c r="D120" s="775"/>
      <c r="E120" s="775"/>
      <c r="F120" s="776"/>
      <c r="G120" s="777"/>
      <c r="H120" s="524"/>
      <c r="I120" s="580"/>
      <c r="J120" s="580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</row>
    <row r="121" spans="1:27" ht="26.25" x14ac:dyDescent="0.4">
      <c r="A121" s="581" t="s">
        <v>363</v>
      </c>
      <c r="B121" s="631">
        <v>5</v>
      </c>
      <c r="C121" s="775" t="s">
        <v>389</v>
      </c>
      <c r="D121" s="775"/>
      <c r="E121" s="775"/>
      <c r="F121" s="776"/>
      <c r="G121" s="777"/>
      <c r="H121" s="524"/>
      <c r="I121" s="580"/>
      <c r="J121" s="580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</row>
    <row r="122" spans="1:27" ht="26.25" x14ac:dyDescent="0.4">
      <c r="A122" s="581" t="s">
        <v>331</v>
      </c>
      <c r="B122" s="631" t="s">
        <v>284</v>
      </c>
      <c r="C122" s="846" t="s">
        <v>380</v>
      </c>
      <c r="D122" s="846"/>
      <c r="E122" s="846"/>
      <c r="F122" s="847"/>
      <c r="G122" s="848"/>
      <c r="H122" s="524"/>
      <c r="I122" s="580"/>
      <c r="J122" s="580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  <c r="AA122" s="523"/>
    </row>
    <row r="123" spans="1:27" x14ac:dyDescent="0.25">
      <c r="A123" s="10" t="s">
        <v>364</v>
      </c>
      <c r="B123" s="632">
        <v>50</v>
      </c>
      <c r="C123" s="846" t="s">
        <v>382</v>
      </c>
      <c r="D123" s="846"/>
      <c r="E123" s="846"/>
      <c r="F123" s="847"/>
      <c r="G123" s="848"/>
      <c r="H123" s="529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</row>
    <row r="124" spans="1:27" x14ac:dyDescent="0.25">
      <c r="A124" s="10" t="s">
        <v>292</v>
      </c>
      <c r="B124" s="633" t="s">
        <v>217</v>
      </c>
      <c r="C124" s="846" t="s">
        <v>381</v>
      </c>
      <c r="D124" s="846"/>
      <c r="E124" s="846"/>
      <c r="F124" s="847"/>
      <c r="G124" s="848"/>
      <c r="H124" s="529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  <c r="AA124" s="523"/>
    </row>
    <row r="125" spans="1:27" ht="26.25" x14ac:dyDescent="0.4">
      <c r="A125" s="581" t="s">
        <v>283</v>
      </c>
      <c r="B125" s="187">
        <f>B32</f>
        <v>7628</v>
      </c>
      <c r="C125" s="846" t="s">
        <v>383</v>
      </c>
      <c r="D125" s="846"/>
      <c r="E125" s="846"/>
      <c r="F125" s="847"/>
      <c r="G125" s="848"/>
      <c r="H125" s="524"/>
      <c r="I125" s="580"/>
      <c r="J125" s="580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  <c r="AA125" s="523"/>
    </row>
    <row r="126" spans="1:27" ht="26.25" x14ac:dyDescent="0.4">
      <c r="A126" s="581" t="s">
        <v>361</v>
      </c>
      <c r="B126" s="187">
        <f>B155*2000+2000</f>
        <v>12000</v>
      </c>
      <c r="C126" s="846" t="s">
        <v>384</v>
      </c>
      <c r="D126" s="846"/>
      <c r="E126" s="846"/>
      <c r="F126" s="847"/>
      <c r="G126" s="848"/>
      <c r="H126" s="524"/>
      <c r="I126" s="580"/>
      <c r="J126" s="580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  <c r="AA126" s="523"/>
    </row>
    <row r="127" spans="1:27" ht="27" thickBot="1" x14ac:dyDescent="0.45">
      <c r="A127" s="582" t="s">
        <v>271</v>
      </c>
      <c r="B127" s="350">
        <f>'Beregning AC vern'!S1</f>
        <v>215</v>
      </c>
      <c r="C127" s="843" t="s">
        <v>385</v>
      </c>
      <c r="D127" s="843"/>
      <c r="E127" s="843"/>
      <c r="F127" s="844"/>
      <c r="G127" s="845"/>
      <c r="H127" s="524"/>
      <c r="I127" s="580"/>
      <c r="J127" s="580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  <c r="AA127" s="523"/>
    </row>
    <row r="128" spans="1:27" ht="15.75" thickBot="1" x14ac:dyDescent="0.3">
      <c r="A128" s="583" t="s">
        <v>322</v>
      </c>
      <c r="B128" s="584"/>
      <c r="C128" s="772"/>
      <c r="D128" s="773"/>
      <c r="E128" s="773"/>
      <c r="F128" s="773"/>
      <c r="G128" s="774"/>
      <c r="H128" s="577"/>
      <c r="J128" s="528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  <c r="AA128" s="523"/>
    </row>
    <row r="129" spans="1:27" ht="15.75" hidden="1" customHeight="1" thickBot="1" x14ac:dyDescent="0.3">
      <c r="A129" s="585" t="s">
        <v>296</v>
      </c>
      <c r="B129" s="190" cm="1">
        <f t="array" ref="B129">_xlfn.IFS($B$119="IT-230V",$B$125/(SQRT(3)*$B$127),$B$119="TN-400V",$B$125/(SQRT(3)*SQRT(3)*$B$127))</f>
        <v>20.483850480830071</v>
      </c>
      <c r="C129" s="586"/>
      <c r="D129" s="586"/>
      <c r="E129" s="846" t="s">
        <v>282</v>
      </c>
      <c r="F129" s="847"/>
      <c r="G129" s="848"/>
      <c r="H129" s="529"/>
      <c r="I129" s="587"/>
      <c r="J129" s="528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  <c r="AA129" s="523"/>
    </row>
    <row r="130" spans="1:27" ht="15.75" thickBot="1" x14ac:dyDescent="0.3">
      <c r="A130" s="4" t="s">
        <v>295</v>
      </c>
      <c r="B130" s="344" cm="1">
        <f t="array" ref="B130">_xlfn.IFS($B$119="IT-230V",$B$126/(SQRT(3)*$B$127),$B$119="TN-400V",$B$126/(SQRT(3)*SQRT(3)*$B$127))</f>
        <v>32.224201071048881</v>
      </c>
      <c r="C130" s="769" t="s">
        <v>386</v>
      </c>
      <c r="D130" s="770"/>
      <c r="E130" s="770"/>
      <c r="F130" s="770"/>
      <c r="G130" s="771"/>
      <c r="H130" s="529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523"/>
    </row>
    <row r="131" spans="1:27" x14ac:dyDescent="0.25">
      <c r="A131" s="2"/>
      <c r="B131" s="305"/>
      <c r="C131" s="589"/>
      <c r="D131" s="589"/>
      <c r="E131" s="590"/>
      <c r="F131" s="590"/>
      <c r="G131" s="590"/>
      <c r="H131" s="529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  <c r="AA131" s="523"/>
    </row>
    <row r="132" spans="1:27" ht="15.75" thickBot="1" x14ac:dyDescent="0.3">
      <c r="A132" s="2"/>
      <c r="B132" s="305"/>
      <c r="C132" s="589"/>
      <c r="D132" s="589"/>
      <c r="E132" s="590"/>
      <c r="F132" s="590"/>
      <c r="G132" s="590"/>
      <c r="H132" s="529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523"/>
    </row>
    <row r="133" spans="1:27" ht="27" thickBot="1" x14ac:dyDescent="0.45">
      <c r="A133" s="763" t="s">
        <v>369</v>
      </c>
      <c r="B133" s="764"/>
      <c r="C133" s="764"/>
      <c r="D133" s="764"/>
      <c r="E133" s="764"/>
      <c r="F133" s="764"/>
      <c r="G133" s="765"/>
      <c r="H133" s="529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  <c r="AA133" s="523"/>
    </row>
    <row r="134" spans="1:27" ht="30" x14ac:dyDescent="0.25">
      <c r="A134" s="581" t="s">
        <v>284</v>
      </c>
      <c r="B134" s="591"/>
      <c r="C134" s="592" t="s">
        <v>358</v>
      </c>
      <c r="D134" s="592" t="s">
        <v>189</v>
      </c>
      <c r="E134" s="592" t="s">
        <v>357</v>
      </c>
      <c r="F134" s="761"/>
      <c r="G134" s="762"/>
      <c r="H134" s="529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  <c r="AA134" s="523"/>
    </row>
    <row r="135" spans="1:27" x14ac:dyDescent="0.25">
      <c r="A135" s="593" t="s">
        <v>323</v>
      </c>
      <c r="B135" s="693" t="s">
        <v>222</v>
      </c>
      <c r="C135" s="894" t="e">
        <f>IF('Beregning AC vern'!X49=TRUE,"JA","NEI")</f>
        <v>#N/A</v>
      </c>
      <c r="D135" s="888" t="e">
        <f>IF(AND($C$135="JA",'Kabellengder AC - samlet'!$J$10=TRUE),"Gjenbruk kabel",IF(E135="Ingen treff","Manuell beregning","Legg ny kabel"))</f>
        <v>#N/A</v>
      </c>
      <c r="E135" s="889" t="str">
        <f>'Kabellengder AC - samlet'!J20</f>
        <v>Ingen treff</v>
      </c>
      <c r="F135" s="890"/>
      <c r="G135" s="891"/>
      <c r="H135" s="529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</row>
    <row r="136" spans="1:27" x14ac:dyDescent="0.25">
      <c r="A136" s="593" t="s">
        <v>324</v>
      </c>
      <c r="B136" s="693" t="s">
        <v>261</v>
      </c>
      <c r="C136" s="894"/>
      <c r="D136" s="888"/>
      <c r="E136" s="889"/>
      <c r="F136" s="892"/>
      <c r="G136" s="893"/>
      <c r="H136" s="529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  <c r="AA136" s="523"/>
    </row>
    <row r="137" spans="1:27" x14ac:dyDescent="0.25">
      <c r="A137" s="594" t="s">
        <v>280</v>
      </c>
      <c r="B137" s="595" t="str">
        <f>_xlfn.CONCAT(" ",_xlfn.IFS('Effektkalkulator ice'!$B$119="IT-230V",'Beregning AC vern'!$T$16,$B$119="TN-400V",'Beregning AC vern'!$W$14))</f>
        <v xml:space="preserve"> 3x40A (IT)</v>
      </c>
      <c r="C137" s="596"/>
      <c r="D137" s="597" t="str">
        <f>'Kabellengder AC - samlet'!F21</f>
        <v>10mm2 Cu</v>
      </c>
      <c r="E137" s="598">
        <f>IF('Kabellengder AC - samlet'!J21&gt;=$B$123,'Kabellengder AC - samlet'!J21,IF($B$1031&gt;='Kabellengder AC - samlet'!J22,'Kabellengder AC - samlet'!J22,IF($B$123&gt;='Kabellengder AC - samlet'!J23,'Kabellengder AC - samlet'!J23,"Ingen funn i tabell")))</f>
        <v>81</v>
      </c>
      <c r="F137" s="735" t="s">
        <v>417</v>
      </c>
      <c r="G137" s="736"/>
      <c r="H137" s="529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  <c r="AA137" s="523"/>
    </row>
    <row r="138" spans="1:27" ht="15.75" hidden="1" thickBot="1" x14ac:dyDescent="0.3">
      <c r="A138" s="695" t="s">
        <v>280</v>
      </c>
      <c r="B138" s="696" t="str">
        <f>_xlfn.CONCAT("Eaton ",'Beregning AC vern'!$R$63)</f>
        <v>Eaton 3x40A (IT)</v>
      </c>
      <c r="C138" s="697"/>
      <c r="D138" s="698" t="str">
        <f>'Kabellengder AC - samlet'!F24</f>
        <v>16mm2 Cu</v>
      </c>
      <c r="E138" s="699">
        <f>'Kabellengder AC - samlet'!J24</f>
        <v>103</v>
      </c>
      <c r="F138" s="737" t="s">
        <v>418</v>
      </c>
      <c r="G138" s="738"/>
      <c r="H138" s="529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  <c r="AA138" s="523"/>
    </row>
    <row r="139" spans="1:27" ht="15" hidden="1" customHeight="1" x14ac:dyDescent="0.25">
      <c r="A139" s="599" t="s">
        <v>184</v>
      </c>
      <c r="B139" s="600"/>
      <c r="C139" s="601" t="s">
        <v>312</v>
      </c>
      <c r="D139" s="745" t="s">
        <v>189</v>
      </c>
      <c r="E139" s="745"/>
      <c r="F139" s="681"/>
      <c r="G139" s="602"/>
      <c r="H139" s="529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  <c r="AA139" s="523"/>
    </row>
    <row r="140" spans="1:27" ht="15" hidden="1" customHeight="1" x14ac:dyDescent="0.25">
      <c r="A140" s="10" t="s">
        <v>323</v>
      </c>
      <c r="B140" s="190" t="s">
        <v>222</v>
      </c>
      <c r="C140" s="870" t="str">
        <f>IF('Beregning AC vern'!X50=TRUE,"JA","NEI")</f>
        <v>NEI</v>
      </c>
      <c r="D140" s="744"/>
      <c r="E140" s="744"/>
      <c r="F140" s="682"/>
      <c r="G140" s="603"/>
      <c r="H140" s="529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  <c r="AA140" s="523"/>
    </row>
    <row r="141" spans="1:27" ht="15" hidden="1" customHeight="1" x14ac:dyDescent="0.25">
      <c r="A141" s="10" t="s">
        <v>324</v>
      </c>
      <c r="B141" s="190" t="s">
        <v>256</v>
      </c>
      <c r="C141" s="871"/>
      <c r="D141" s="743"/>
      <c r="E141" s="743"/>
      <c r="F141" s="683"/>
      <c r="G141" s="605"/>
      <c r="H141" s="529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  <c r="AA141" s="523"/>
    </row>
    <row r="142" spans="1:27" ht="15" hidden="1" customHeight="1" x14ac:dyDescent="0.25">
      <c r="A142" s="10" t="s">
        <v>297</v>
      </c>
      <c r="B142" s="606" t="str">
        <f>_xlfn.CONCAT("Eaton ",_xlfn.IFS('Effektkalkulator ice'!$B$119="IT-230V",'Beregning AC vern'!$T$18,$B$119="TN-400V",'Beregning AC vern'!$W$16))</f>
        <v>Eaton 3x63A (IT)</v>
      </c>
      <c r="C142" s="607"/>
      <c r="D142" s="743"/>
      <c r="E142" s="743"/>
      <c r="F142" s="683"/>
      <c r="G142" s="605"/>
      <c r="H142" s="529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  <c r="AA142" s="523"/>
    </row>
    <row r="143" spans="1:27" ht="15.75" hidden="1" customHeight="1" thickBot="1" x14ac:dyDescent="0.3">
      <c r="A143" s="4" t="s">
        <v>281</v>
      </c>
      <c r="B143" s="343" t="str">
        <f>_xlfn.CONCAT("Eaton ",'Beregning AC vern'!$R$63)</f>
        <v>Eaton 3x40A (IT)</v>
      </c>
      <c r="C143" s="608"/>
      <c r="D143" s="742"/>
      <c r="E143" s="742"/>
      <c r="F143" s="684"/>
      <c r="G143" s="609"/>
      <c r="H143" s="529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</row>
    <row r="144" spans="1:27" x14ac:dyDescent="0.25">
      <c r="A144" s="2"/>
      <c r="B144" s="305"/>
      <c r="C144" s="589"/>
      <c r="D144" s="610"/>
      <c r="E144" s="610"/>
      <c r="F144" s="610"/>
      <c r="G144" s="589"/>
      <c r="H144" s="529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  <c r="AA144" s="523"/>
    </row>
    <row r="145" spans="1:27" ht="15.75" thickBot="1" x14ac:dyDescent="0.3">
      <c r="A145" s="2"/>
      <c r="B145" s="305"/>
      <c r="C145" s="589"/>
      <c r="D145" s="610"/>
      <c r="E145" s="610"/>
      <c r="F145" s="610"/>
      <c r="G145" s="589"/>
      <c r="H145" s="529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</row>
    <row r="146" spans="1:27" ht="26.25" x14ac:dyDescent="0.4">
      <c r="A146" s="859" t="s">
        <v>368</v>
      </c>
      <c r="B146" s="860"/>
      <c r="C146" s="860"/>
      <c r="D146" s="860"/>
      <c r="E146" s="860"/>
      <c r="F146" s="860"/>
      <c r="G146" s="861"/>
      <c r="H146" s="560"/>
      <c r="I146" s="578"/>
      <c r="J146" s="578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  <c r="AA146" s="523"/>
    </row>
    <row r="147" spans="1:27" x14ac:dyDescent="0.25">
      <c r="A147" s="611" t="s">
        <v>262</v>
      </c>
      <c r="B147" s="612" t="s">
        <v>197</v>
      </c>
      <c r="C147" s="612" t="s">
        <v>312</v>
      </c>
      <c r="D147" s="613"/>
      <c r="E147" s="739" t="s">
        <v>47</v>
      </c>
      <c r="F147" s="740"/>
      <c r="G147" s="741"/>
      <c r="H147" s="577"/>
      <c r="I147" s="53"/>
      <c r="J147" s="528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  <c r="AA147" s="523"/>
    </row>
    <row r="148" spans="1:27" x14ac:dyDescent="0.25">
      <c r="A148" s="10" t="s">
        <v>187</v>
      </c>
      <c r="B148" s="188" t="s">
        <v>261</v>
      </c>
      <c r="C148" s="862"/>
      <c r="D148" s="863"/>
      <c r="E148" s="710" t="str">
        <f>IF(B148='Beregning AC vern'!Q27,"Erstatt 8kW likeretter",IF(AND(B148='Beregning AC vern'!Q28,E100=TRUE),"Ved gjenbruk av 16kW likeretter kreves en tilførsel på 25 A/3-fas IT, eller 20 A/3-fas TN-C-S.                          Prosedyren for «ICE Optional Mains and Current Limitation» må følges under idriftsettelse",IF(B148='Beregning AC vern'!Q29,"Gjenbruk 24kW likeretter","Erstatt 16kW likeretter")))</f>
        <v>Erstatt 16kW likeretter</v>
      </c>
      <c r="F148" s="711"/>
      <c r="G148" s="712"/>
      <c r="H148" s="614"/>
      <c r="I148" s="587"/>
      <c r="J148" s="576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  <c r="AA148" s="523"/>
    </row>
    <row r="149" spans="1:27" x14ac:dyDescent="0.25">
      <c r="A149" s="10" t="s">
        <v>265</v>
      </c>
      <c r="B149" s="83" t="str">
        <f>IF(B148="Ikke valgt","Velg først likeretter",VLOOKUP(B148,'Beregning AC vern'!$Q$27:$S$29,3,))</f>
        <v>Velg først likeretter</v>
      </c>
      <c r="C149" s="586"/>
      <c r="D149" s="586"/>
      <c r="E149" s="713"/>
      <c r="F149" s="714"/>
      <c r="G149" s="715"/>
      <c r="H149" s="614"/>
      <c r="I149" s="587"/>
      <c r="J149" s="576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</row>
    <row r="150" spans="1:27" x14ac:dyDescent="0.25">
      <c r="A150" s="10" t="s">
        <v>246</v>
      </c>
      <c r="B150" s="188" t="s">
        <v>237</v>
      </c>
      <c r="C150" s="604" t="str">
        <f>IF('Beregning AC vern'!X34=TRUE,"JA",IF('Beregning AC vern'!X34=FALSE,"NEI","Velg LR-vern A"))</f>
        <v>JA</v>
      </c>
      <c r="D150" s="615"/>
      <c r="E150" s="713"/>
      <c r="F150" s="714"/>
      <c r="G150" s="715"/>
      <c r="H150" s="614"/>
      <c r="I150" s="587"/>
      <c r="J150" s="528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</row>
    <row r="151" spans="1:27" x14ac:dyDescent="0.25">
      <c r="A151" s="10" t="s">
        <v>247</v>
      </c>
      <c r="B151" s="188" t="s">
        <v>237</v>
      </c>
      <c r="C151" s="604" t="str">
        <f>IF('Beregning AC vern'!X35=TRUE,"JA",IF('Beregning AC vern'!X35=FALSE,"NEI","Velg LR-vern A"))</f>
        <v>JA</v>
      </c>
      <c r="D151" s="26"/>
      <c r="E151" s="716"/>
      <c r="F151" s="717"/>
      <c r="G151" s="718"/>
      <c r="H151" s="529"/>
      <c r="I151" s="587"/>
      <c r="J151" s="528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  <c r="AA151" s="523"/>
    </row>
    <row r="152" spans="1:27" x14ac:dyDescent="0.25">
      <c r="A152" s="611" t="s">
        <v>277</v>
      </c>
      <c r="B152" s="612"/>
      <c r="C152" s="616" t="s">
        <v>370</v>
      </c>
      <c r="D152" s="613"/>
      <c r="E152" s="739" t="s">
        <v>47</v>
      </c>
      <c r="F152" s="740"/>
      <c r="G152" s="741"/>
      <c r="H152" s="614"/>
      <c r="I152" s="587"/>
      <c r="J152" s="576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  <c r="AA152" s="523"/>
    </row>
    <row r="153" spans="1:27" x14ac:dyDescent="0.25">
      <c r="A153" s="10" t="s">
        <v>228</v>
      </c>
      <c r="B153" s="26" t="str">
        <f>IF(AND(B148='Beregning AC vern'!Q28,E100=TRUE),"Gjenbruk 16kW likeretter",IF(B148='Beregning AC vern'!Q29,"Gjenbruk 24kW likeretter","Installer ny likeretter"))</f>
        <v>Installer ny likeretter</v>
      </c>
      <c r="C153" s="617"/>
      <c r="D153" s="615"/>
      <c r="E153" s="849"/>
      <c r="F153" s="850"/>
      <c r="G153" s="851"/>
      <c r="H153" s="529"/>
      <c r="I153" s="587"/>
      <c r="J153" s="528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  <c r="AA153" s="523"/>
    </row>
    <row r="154" spans="1:27" x14ac:dyDescent="0.25">
      <c r="A154" s="10" t="s">
        <v>187</v>
      </c>
      <c r="B154" s="188" t="s">
        <v>192</v>
      </c>
      <c r="C154" s="604" t="str">
        <f>IF(OR(AND(B156=8,E100=TRUE,B156&gt;=B155),AND(B156=12,B156&gt;=B155)),"JA","NEI")</f>
        <v>JA</v>
      </c>
      <c r="D154" s="615"/>
      <c r="E154" s="849"/>
      <c r="F154" s="850"/>
      <c r="G154" s="851"/>
      <c r="H154" s="529"/>
      <c r="I154" s="587"/>
      <c r="J154" s="528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  <c r="AA154" s="523"/>
    </row>
    <row r="155" spans="1:27" x14ac:dyDescent="0.25">
      <c r="A155" s="10" t="s">
        <v>278</v>
      </c>
      <c r="B155" s="606">
        <f>ROUNDUP(B125/2000,0)+1</f>
        <v>5</v>
      </c>
      <c r="C155" s="615"/>
      <c r="D155" s="615"/>
      <c r="E155" s="849"/>
      <c r="F155" s="850"/>
      <c r="G155" s="851"/>
      <c r="H155" s="529"/>
      <c r="I155" s="587"/>
      <c r="J155" s="528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</row>
    <row r="156" spans="1:27" x14ac:dyDescent="0.25">
      <c r="A156" s="10" t="s">
        <v>198</v>
      </c>
      <c r="B156" s="606">
        <f>IF(B154="Ikke valgt","Velg først likeretter",VLOOKUP(B154,'Beregning AC vern'!$Q$27:$S$29,3,))</f>
        <v>12</v>
      </c>
      <c r="C156" s="83"/>
      <c r="D156" s="586">
        <f>D154/2000</f>
        <v>0</v>
      </c>
      <c r="E156" s="846"/>
      <c r="F156" s="847"/>
      <c r="G156" s="848"/>
      <c r="H156" s="529"/>
      <c r="I156" s="587"/>
      <c r="J156" s="528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  <c r="AA156" s="523"/>
    </row>
    <row r="157" spans="1:27" x14ac:dyDescent="0.25">
      <c r="A157" s="10" t="s">
        <v>270</v>
      </c>
      <c r="B157" s="606">
        <f>ROUNDUP(B155/2,0)</f>
        <v>3</v>
      </c>
      <c r="C157" s="83"/>
      <c r="D157" s="586"/>
      <c r="E157" s="856"/>
      <c r="F157" s="857"/>
      <c r="G157" s="858"/>
      <c r="H157" s="529"/>
      <c r="I157" s="587"/>
      <c r="J157" s="528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  <c r="AA157" s="523"/>
    </row>
    <row r="158" spans="1:27" x14ac:dyDescent="0.25">
      <c r="A158" s="10" t="str">
        <f>_xlfn.CONCAT("Dimensjonerende effekt LR-vern @",B127,"V")</f>
        <v>Dimensjonerende effekt LR-vern @215V</v>
      </c>
      <c r="B158" s="189">
        <f>B157*2000</f>
        <v>6000</v>
      </c>
      <c r="C158" s="83"/>
      <c r="D158" s="586"/>
      <c r="E158" s="846"/>
      <c r="F158" s="847"/>
      <c r="G158" s="848"/>
      <c r="H158" s="529"/>
      <c r="I158" s="587"/>
      <c r="J158" s="528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  <c r="AA158" s="523"/>
    </row>
    <row r="159" spans="1:27" x14ac:dyDescent="0.25">
      <c r="A159" s="10" t="str">
        <f>_xlfn.CONCAT("Dimensjonerende laststrøm LR-vern @",B127,"V")</f>
        <v>Dimensjonerende laststrøm LR-vern @215V</v>
      </c>
      <c r="B159" s="190">
        <f>IF(B119="IT-230V",B158/(SQRT(3)*B127),IF(B119="TN-400V",B158/(SQRT(3)*SQRT(3)*B127)))</f>
        <v>16.112100535524441</v>
      </c>
      <c r="C159" s="83"/>
      <c r="D159" s="586"/>
      <c r="E159" s="846"/>
      <c r="F159" s="847"/>
      <c r="G159" s="848"/>
      <c r="H159" s="529"/>
      <c r="I159" s="587"/>
      <c r="J159" s="528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</row>
    <row r="160" spans="1:27" x14ac:dyDescent="0.25">
      <c r="A160" s="581" t="s">
        <v>268</v>
      </c>
      <c r="B160" s="618" t="str">
        <f>_xlfn.CONCAT("Eaton ",IF(B119="IT-230V",'Beregning AC vern'!T14,IF(B119="TN-400V",'Beregning AC vern'!W12,"Velg nettsystem")))</f>
        <v>Eaton 3x25A (IT)</v>
      </c>
      <c r="C160" s="586"/>
      <c r="D160" s="586"/>
      <c r="E160" s="847" t="s">
        <v>269</v>
      </c>
      <c r="F160" s="854"/>
      <c r="G160" s="855"/>
      <c r="H160" s="529"/>
      <c r="I160" s="587"/>
      <c r="J160" s="528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  <c r="AA160" s="523"/>
    </row>
    <row r="161" spans="1:27" ht="15.75" thickBot="1" x14ac:dyDescent="0.3">
      <c r="A161" s="4" t="s">
        <v>267</v>
      </c>
      <c r="B161" s="619" t="str">
        <f>_xlfn.CONCAT("Eaton ",'Beregning AC vern'!R44)</f>
        <v>Eaton 3x20A (IT)</v>
      </c>
      <c r="C161" s="588"/>
      <c r="D161" s="588"/>
      <c r="E161" s="844" t="s">
        <v>422</v>
      </c>
      <c r="F161" s="852"/>
      <c r="G161" s="853"/>
      <c r="H161" s="529"/>
      <c r="I161" s="587"/>
      <c r="J161" s="528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  <c r="AA161" s="523"/>
    </row>
    <row r="162" spans="1:27" x14ac:dyDescent="0.25">
      <c r="A162" s="2"/>
      <c r="H162" s="529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  <c r="AA162" s="523"/>
    </row>
    <row r="163" spans="1:27" ht="15.75" thickBot="1" x14ac:dyDescent="0.3">
      <c r="A163" s="2"/>
      <c r="H163" s="529"/>
      <c r="J163" s="528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</row>
    <row r="164" spans="1:27" ht="15.75" thickBot="1" x14ac:dyDescent="0.3">
      <c r="A164" s="620" t="s">
        <v>183</v>
      </c>
      <c r="B164" s="621"/>
      <c r="C164" s="620" t="s">
        <v>186</v>
      </c>
      <c r="D164" s="621"/>
      <c r="E164" s="622"/>
      <c r="F164" s="622"/>
      <c r="G164" s="623" t="s">
        <v>120</v>
      </c>
      <c r="H164" s="577"/>
      <c r="I164" s="65"/>
      <c r="J164" s="528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  <c r="AA164" s="523"/>
    </row>
    <row r="165" spans="1:27" x14ac:dyDescent="0.25">
      <c r="A165" s="2" t="s">
        <v>185</v>
      </c>
      <c r="B165" t="str">
        <f>$B$136</f>
        <v>Ikke valgt</v>
      </c>
      <c r="C165" s="540" t="str">
        <f>_xlfn.CONCAT("Eksisterende stigekabel"," (",$B$123,"m)")</f>
        <v>Eksisterende stigekabel (50m)</v>
      </c>
      <c r="D165" s="146"/>
      <c r="E165" s="624" t="str">
        <f>$B$124</f>
        <v>16mm2 Cu</v>
      </c>
      <c r="F165" s="626"/>
      <c r="G165" s="625" t="str">
        <f>_xlfn.CONCAT("Standard likerettervern (2 stk) --&gt; ",B160)</f>
        <v>Standard likerettervern (2 stk) --&gt; Eaton 3x25A (IT)</v>
      </c>
      <c r="H165" s="626"/>
      <c r="I165" s="627"/>
      <c r="J165" s="528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  <c r="AA165" s="523"/>
    </row>
    <row r="166" spans="1:27" ht="15.75" thickBot="1" x14ac:dyDescent="0.3">
      <c r="A166" s="559" t="s">
        <v>297</v>
      </c>
      <c r="B166" s="44" t="str">
        <f>B137</f>
        <v xml:space="preserve"> 3x40A (IT)</v>
      </c>
      <c r="C166" s="559" t="str">
        <f>_xlfn.CONCAT("Stigekabel standard vern"," (",$B$123,"m)")</f>
        <v>Stigekabel standard vern (50m)</v>
      </c>
      <c r="D166" s="44"/>
      <c r="E166" s="628" t="str">
        <f>D137</f>
        <v>10mm2 Cu</v>
      </c>
      <c r="F166" s="628"/>
      <c r="G166" s="629" t="str">
        <f>_xlfn.CONCAT("Alternativt likerettervern (2 stk) --&gt; ",B161)</f>
        <v>Alternativt likerettervern (2 stk) --&gt; Eaton 3x20A (IT)</v>
      </c>
      <c r="H166" s="529"/>
      <c r="J166" s="528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  <c r="AA166" s="523"/>
    </row>
    <row r="167" spans="1:27" x14ac:dyDescent="0.25">
      <c r="A167" s="2"/>
      <c r="G167" s="529"/>
      <c r="H167" s="529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  <c r="AA167" s="523"/>
    </row>
    <row r="168" spans="1:27" x14ac:dyDescent="0.25">
      <c r="A168" s="2"/>
      <c r="G168" s="529"/>
      <c r="H168" s="529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  <c r="AA168" s="523"/>
    </row>
    <row r="169" spans="1:27" x14ac:dyDescent="0.25">
      <c r="A169" s="2"/>
      <c r="G169" s="529"/>
      <c r="H169" s="529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  <c r="AA169" s="523"/>
    </row>
    <row r="170" spans="1:27" x14ac:dyDescent="0.25">
      <c r="A170" s="2"/>
      <c r="G170" s="529"/>
      <c r="H170" s="529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  <c r="AA170" s="523"/>
    </row>
    <row r="171" spans="1:27" x14ac:dyDescent="0.25">
      <c r="A171" s="2"/>
      <c r="G171" s="529"/>
      <c r="H171" s="529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  <c r="AA171" s="523"/>
    </row>
    <row r="172" spans="1:27" x14ac:dyDescent="0.25">
      <c r="A172" s="2"/>
      <c r="G172" s="529"/>
      <c r="H172" s="529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  <c r="AA172" s="523"/>
    </row>
    <row r="173" spans="1:27" x14ac:dyDescent="0.25">
      <c r="A173" s="2"/>
      <c r="G173" s="529"/>
      <c r="H173" s="529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  <c r="AA173" s="523"/>
    </row>
    <row r="174" spans="1:27" x14ac:dyDescent="0.25">
      <c r="A174" s="2"/>
      <c r="G174" s="529"/>
      <c r="H174" s="529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  <c r="AA174" s="523"/>
    </row>
    <row r="175" spans="1:27" x14ac:dyDescent="0.25">
      <c r="A175" s="2"/>
      <c r="G175" s="529"/>
      <c r="H175" s="529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  <c r="AA175" s="523"/>
    </row>
    <row r="176" spans="1:27" x14ac:dyDescent="0.25">
      <c r="A176" s="2"/>
      <c r="G176" s="529"/>
      <c r="H176" s="529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  <c r="AA176" s="523"/>
    </row>
    <row r="177" spans="1:27" x14ac:dyDescent="0.25">
      <c r="A177" s="2"/>
      <c r="G177" s="529"/>
      <c r="H177" s="529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  <c r="AA177" s="523"/>
    </row>
    <row r="178" spans="1:27" ht="15.75" thickBot="1" x14ac:dyDescent="0.3">
      <c r="A178" s="559"/>
      <c r="B178" s="44"/>
      <c r="C178" s="44"/>
      <c r="D178" s="44"/>
      <c r="E178" s="44"/>
      <c r="F178" s="44"/>
      <c r="G178" s="45"/>
      <c r="H178" s="529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  <c r="AA178" s="523"/>
    </row>
    <row r="179" spans="1:27" ht="15.75" thickBot="1" x14ac:dyDescent="0.3">
      <c r="A179" s="781"/>
      <c r="B179" s="782"/>
      <c r="C179" s="782"/>
      <c r="D179" s="782"/>
      <c r="E179" s="782"/>
      <c r="F179" s="782"/>
      <c r="G179" s="782"/>
      <c r="H179" s="830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</row>
    <row r="180" spans="1:27" x14ac:dyDescent="0.25"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</row>
    <row r="181" spans="1:27" x14ac:dyDescent="0.25"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  <c r="AA181" s="523"/>
    </row>
    <row r="182" spans="1:27" x14ac:dyDescent="0.25"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  <c r="AA182" s="523"/>
    </row>
    <row r="183" spans="1:27" x14ac:dyDescent="0.25"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</row>
    <row r="184" spans="1:27" x14ac:dyDescent="0.25"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  <c r="AA184" s="523"/>
    </row>
    <row r="185" spans="1:27" ht="15.75" customHeight="1" x14ac:dyDescent="0.25"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  <c r="AA185" s="523"/>
    </row>
    <row r="186" spans="1:27" x14ac:dyDescent="0.25"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  <c r="AA186" s="523"/>
    </row>
    <row r="187" spans="1:27" ht="15" customHeight="1" x14ac:dyDescent="0.25"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  <c r="AA187" s="523"/>
    </row>
    <row r="188" spans="1:27" ht="15" customHeight="1" x14ac:dyDescent="0.25"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</row>
    <row r="189" spans="1:27" ht="15.75" customHeight="1" x14ac:dyDescent="0.25"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  <c r="AA189" s="523"/>
    </row>
    <row r="190" spans="1:27" x14ac:dyDescent="0.25"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523"/>
    </row>
    <row r="191" spans="1:27" x14ac:dyDescent="0.25"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  <c r="AA191" s="523"/>
    </row>
    <row r="192" spans="1:27" x14ac:dyDescent="0.25"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  <c r="AA192" s="523"/>
    </row>
    <row r="193" spans="11:27" x14ac:dyDescent="0.25"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  <c r="AA193" s="523"/>
    </row>
    <row r="194" spans="11:27" x14ac:dyDescent="0.25"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  <c r="AA194" s="523"/>
    </row>
    <row r="195" spans="11:27" x14ac:dyDescent="0.25"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  <c r="AA195" s="523"/>
    </row>
    <row r="196" spans="11:27" x14ac:dyDescent="0.25"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  <c r="AA196" s="523"/>
    </row>
    <row r="197" spans="11:27" x14ac:dyDescent="0.25"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  <c r="AA197" s="523"/>
    </row>
    <row r="198" spans="11:27" x14ac:dyDescent="0.25"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  <c r="AA198" s="523"/>
    </row>
    <row r="199" spans="11:27" x14ac:dyDescent="0.25"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  <c r="AA199" s="523"/>
    </row>
    <row r="200" spans="11:27" x14ac:dyDescent="0.25"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  <c r="AA200" s="523"/>
    </row>
    <row r="201" spans="11:27" x14ac:dyDescent="0.25"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  <c r="AA201" s="523"/>
    </row>
    <row r="202" spans="11:27" x14ac:dyDescent="0.25"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  <c r="AA202" s="523"/>
    </row>
    <row r="203" spans="11:27" x14ac:dyDescent="0.25"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</row>
    <row r="204" spans="11:27" x14ac:dyDescent="0.25"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  <c r="AA204" s="523"/>
    </row>
    <row r="205" spans="11:27" x14ac:dyDescent="0.25"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  <c r="AA205" s="523"/>
    </row>
    <row r="206" spans="11:27" x14ac:dyDescent="0.25"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  <c r="AA206" s="523"/>
    </row>
    <row r="207" spans="11:27" x14ac:dyDescent="0.25"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  <c r="AA207" s="523"/>
    </row>
    <row r="208" spans="11:27" x14ac:dyDescent="0.25"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  <c r="AA208" s="523"/>
    </row>
    <row r="209" spans="11:27" x14ac:dyDescent="0.25"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  <c r="AA209" s="523"/>
    </row>
    <row r="210" spans="11:27" x14ac:dyDescent="0.25"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  <c r="AA210" s="523"/>
    </row>
    <row r="211" spans="11:27" x14ac:dyDescent="0.25"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  <c r="AA211" s="523"/>
    </row>
    <row r="212" spans="11:27" x14ac:dyDescent="0.25"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  <c r="AA212" s="523"/>
    </row>
    <row r="249" ht="15" customHeight="1" x14ac:dyDescent="0.25"/>
    <row r="250" ht="15" customHeight="1" x14ac:dyDescent="0.25"/>
    <row r="251" ht="15.75" customHeight="1" x14ac:dyDescent="0.25"/>
  </sheetData>
  <sheetProtection algorithmName="SHA-512" hashValue="7sxDwnDRwIXpAQljFE7XOD2HIvZGtzxaeXTDuW/m6QQfMiZFBF+cp3LoaJuKRMNCMlJB73G93fZR9srx2YIrqg==" saltValue="TvTxBzeMjiPZAhGfFlyyJw==" spinCount="100000" sheet="1" selectLockedCells="1"/>
  <mergeCells count="94">
    <mergeCell ref="F21:G21"/>
    <mergeCell ref="F26:G26"/>
    <mergeCell ref="F25:G25"/>
    <mergeCell ref="F24:G24"/>
    <mergeCell ref="F23:G23"/>
    <mergeCell ref="F22:G22"/>
    <mergeCell ref="A12:B18"/>
    <mergeCell ref="C31:G31"/>
    <mergeCell ref="A68:G68"/>
    <mergeCell ref="E69:G69"/>
    <mergeCell ref="E79:G81"/>
    <mergeCell ref="E76:G78"/>
    <mergeCell ref="E73:G75"/>
    <mergeCell ref="D79:D81"/>
    <mergeCell ref="A66:E66"/>
    <mergeCell ref="C32:G32"/>
    <mergeCell ref="C33:G34"/>
    <mergeCell ref="C37:G38"/>
    <mergeCell ref="B49:D49"/>
    <mergeCell ref="F29:G29"/>
    <mergeCell ref="F28:G28"/>
    <mergeCell ref="F27:G27"/>
    <mergeCell ref="E158:G158"/>
    <mergeCell ref="E157:G157"/>
    <mergeCell ref="A146:G146"/>
    <mergeCell ref="C148:D148"/>
    <mergeCell ref="E82:G85"/>
    <mergeCell ref="E152:G152"/>
    <mergeCell ref="E129:G129"/>
    <mergeCell ref="C140:C141"/>
    <mergeCell ref="D88:G95"/>
    <mergeCell ref="A117:G117"/>
    <mergeCell ref="D87:G87"/>
    <mergeCell ref="A118:G118"/>
    <mergeCell ref="D135:D136"/>
    <mergeCell ref="E135:E136"/>
    <mergeCell ref="F135:G136"/>
    <mergeCell ref="C135:C136"/>
    <mergeCell ref="A179:H179"/>
    <mergeCell ref="A67:H67"/>
    <mergeCell ref="E70:G72"/>
    <mergeCell ref="C127:G127"/>
    <mergeCell ref="C126:G126"/>
    <mergeCell ref="C125:G125"/>
    <mergeCell ref="C124:G124"/>
    <mergeCell ref="C123:G123"/>
    <mergeCell ref="C122:G122"/>
    <mergeCell ref="E156:G156"/>
    <mergeCell ref="E155:G155"/>
    <mergeCell ref="E154:G154"/>
    <mergeCell ref="E153:G153"/>
    <mergeCell ref="E161:G161"/>
    <mergeCell ref="E160:G160"/>
    <mergeCell ref="E159:G159"/>
    <mergeCell ref="A1:H1"/>
    <mergeCell ref="A116:G116"/>
    <mergeCell ref="A56:G56"/>
    <mergeCell ref="A2:G2"/>
    <mergeCell ref="D70:D72"/>
    <mergeCell ref="E58:G58"/>
    <mergeCell ref="E59:G64"/>
    <mergeCell ref="B57:D57"/>
    <mergeCell ref="B58:C58"/>
    <mergeCell ref="C50:D50"/>
    <mergeCell ref="B20:G20"/>
    <mergeCell ref="C3:G18"/>
    <mergeCell ref="B39:B40"/>
    <mergeCell ref="A39:A40"/>
    <mergeCell ref="C41:G43"/>
    <mergeCell ref="C51:D51"/>
    <mergeCell ref="E49:G53"/>
    <mergeCell ref="F134:G134"/>
    <mergeCell ref="A133:G133"/>
    <mergeCell ref="D82:D85"/>
    <mergeCell ref="C130:G130"/>
    <mergeCell ref="C128:G128"/>
    <mergeCell ref="C121:G121"/>
    <mergeCell ref="C120:G120"/>
    <mergeCell ref="E148:G151"/>
    <mergeCell ref="C35:G36"/>
    <mergeCell ref="F39:G40"/>
    <mergeCell ref="E39:E40"/>
    <mergeCell ref="C39:D40"/>
    <mergeCell ref="F137:G137"/>
    <mergeCell ref="F138:G138"/>
    <mergeCell ref="E147:G147"/>
    <mergeCell ref="D143:E143"/>
    <mergeCell ref="D142:E142"/>
    <mergeCell ref="D141:E141"/>
    <mergeCell ref="D140:E140"/>
    <mergeCell ref="D139:E139"/>
    <mergeCell ref="C119:G119"/>
    <mergeCell ref="D73:D75"/>
    <mergeCell ref="D76:D78"/>
  </mergeCells>
  <conditionalFormatting sqref="A140:D143 G140:G143">
    <cfRule type="expression" dxfId="41" priority="12">
      <formula>$B$122="AC fordeling huseier"</formula>
    </cfRule>
  </conditionalFormatting>
  <conditionalFormatting sqref="A135:F135 A136:C136 A137:F138">
    <cfRule type="expression" dxfId="40" priority="13">
      <formula>$B$122="AC fordeling ice"</formula>
    </cfRule>
  </conditionalFormatting>
  <conditionalFormatting sqref="B28">
    <cfRule type="expression" dxfId="39" priority="109">
      <formula>#REF!</formula>
    </cfRule>
  </conditionalFormatting>
  <conditionalFormatting sqref="B70:B85">
    <cfRule type="expression" dxfId="38" priority="132">
      <formula>$B100</formula>
    </cfRule>
  </conditionalFormatting>
  <conditionalFormatting sqref="B156">
    <cfRule type="expression" dxfId="37" priority="6">
      <formula>$B$156&lt;$B$155</formula>
    </cfRule>
  </conditionalFormatting>
  <conditionalFormatting sqref="C50:C51">
    <cfRule type="containsText" dxfId="36" priority="65" operator="containsText" text="OK">
      <formula>NOT(ISERROR(SEARCH("OK",C50)))</formula>
    </cfRule>
    <cfRule type="cellIs" dxfId="35" priority="66" operator="equal">
      <formula>"NEI"</formula>
    </cfRule>
  </conditionalFormatting>
  <conditionalFormatting sqref="C70:C85">
    <cfRule type="expression" dxfId="34" priority="134">
      <formula>D100</formula>
    </cfRule>
    <cfRule type="expression" dxfId="33" priority="135">
      <formula>C100</formula>
    </cfRule>
  </conditionalFormatting>
  <conditionalFormatting sqref="C135">
    <cfRule type="cellIs" dxfId="32" priority="22" operator="equal">
      <formula>"NEI"</formula>
    </cfRule>
    <cfRule type="cellIs" dxfId="31" priority="23" operator="equal">
      <formula>"JA"</formula>
    </cfRule>
  </conditionalFormatting>
  <conditionalFormatting sqref="C140">
    <cfRule type="cellIs" dxfId="30" priority="20" operator="equal">
      <formula>"NEI"</formula>
    </cfRule>
    <cfRule type="cellIs" dxfId="29" priority="21" operator="equal">
      <formula>"JA"</formula>
    </cfRule>
  </conditionalFormatting>
  <conditionalFormatting sqref="C150:C151">
    <cfRule type="cellIs" dxfId="28" priority="16" operator="equal">
      <formula>"NEI"</formula>
    </cfRule>
    <cfRule type="cellIs" dxfId="27" priority="17" operator="equal">
      <formula>"JA"</formula>
    </cfRule>
  </conditionalFormatting>
  <conditionalFormatting sqref="C154">
    <cfRule type="cellIs" dxfId="26" priority="7" operator="equal">
      <formula>"NEI"</formula>
    </cfRule>
    <cfRule type="cellIs" dxfId="25" priority="8" operator="equal">
      <formula>"JA"</formula>
    </cfRule>
  </conditionalFormatting>
  <conditionalFormatting sqref="C50:D51">
    <cfRule type="cellIs" dxfId="24" priority="9" operator="equal">
      <formula>"JA"</formula>
    </cfRule>
  </conditionalFormatting>
  <conditionalFormatting sqref="D70:F70 D71:D72">
    <cfRule type="expression" dxfId="23" priority="5">
      <formula>$D$70="X"</formula>
    </cfRule>
  </conditionalFormatting>
  <conditionalFormatting sqref="D73:F73 D74:D75">
    <cfRule type="expression" dxfId="22" priority="4">
      <formula>$D$73="X"</formula>
    </cfRule>
  </conditionalFormatting>
  <conditionalFormatting sqref="D76:F76 D77:D78">
    <cfRule type="expression" dxfId="21" priority="3">
      <formula>$D$76="X"</formula>
    </cfRule>
  </conditionalFormatting>
  <conditionalFormatting sqref="D79:F79 D80:D81">
    <cfRule type="expression" dxfId="20" priority="2">
      <formula>$D$79="X"</formula>
    </cfRule>
  </conditionalFormatting>
  <conditionalFormatting sqref="E135:F135 E136">
    <cfRule type="expression" dxfId="19" priority="1">
      <formula>$D$135="Legg ny kabel"</formula>
    </cfRule>
  </conditionalFormatting>
  <dataValidations xWindow="599" yWindow="286" count="11">
    <dataValidation type="whole" allowBlank="1" showInputMessage="1" showErrorMessage="1" sqref="B50:B51" xr:uid="{86333C60-4F42-4944-ACD9-2D689296A93D}">
      <formula1>0</formula1>
      <formula2>96000</formula2>
    </dataValidation>
    <dataValidation type="list" allowBlank="1" showInputMessage="1" showErrorMessage="1" sqref="B26:B28" xr:uid="{EE935FAE-50A6-4733-B208-CB3FAA2358BE}">
      <formula1>"0,1"</formula1>
    </dataValidation>
    <dataValidation type="list" allowBlank="1" showErrorMessage="1" sqref="B22:B25" xr:uid="{7F50796B-4E38-4E07-B051-1A61B76B1F38}">
      <formula1>"0,1,2,3,4"</formula1>
    </dataValidation>
    <dataValidation type="list" allowBlank="1" showInputMessage="1" showErrorMessage="1" sqref="B29" xr:uid="{8BCAB645-9EB8-4224-A84F-8113B2224294}">
      <formula1>"0,1,2,3,4,5"</formula1>
    </dataValidation>
    <dataValidation type="list" allowBlank="1" showInputMessage="1" showErrorMessage="1" sqref="B119" xr:uid="{F3911583-7F59-4DB9-82A9-6B3C9A2D07D3}">
      <formula1>"Ikke valgt,IT-230V,TN-400V"</formula1>
    </dataValidation>
    <dataValidation type="whole" allowBlank="1" showInputMessage="1" showErrorMessage="1" sqref="B123" xr:uid="{D9B30848-02B6-4938-9D8B-A2D95895CCFE}">
      <formula1>1</formula1>
      <formula2>300</formula2>
    </dataValidation>
    <dataValidation type="decimal" allowBlank="1" showInputMessage="1" showErrorMessage="1" promptTitle="Velg kalkulert Ik2min" prompt="Velg verdi mellom 0,25-15kA" sqref="B120" xr:uid="{7ABB48AC-F588-43BD-95D3-365A893D0D73}">
      <formula1>0.25</formula1>
      <formula2>15</formula2>
    </dataValidation>
    <dataValidation type="list" allowBlank="1" showInputMessage="1" showErrorMessage="1" sqref="B154" xr:uid="{C9F15321-749E-4AD7-8642-31B1A4E8283A}">
      <formula1>"Ikke valgt,Eltek FP2 - 16kW,Eltek FP2 - 24kW"</formula1>
    </dataValidation>
    <dataValidation type="list" allowBlank="1" showInputMessage="1" showErrorMessage="1" sqref="B122:B123" xr:uid="{0A01EC15-BBDC-4E70-BDB2-37BC1718B5C5}">
      <formula1>"Ikke valgt,AC fordeling huseier,AC fordeling ice"</formula1>
    </dataValidation>
    <dataValidation type="decimal" allowBlank="1" showInputMessage="1" showErrorMessage="1" promptTitle="Velg kalkulert Ik2min" prompt="Velg verdi mellom 0,25-15kA" sqref="B121" xr:uid="{2BDEFEE6-DD42-4183-9687-E92C03306E73}">
      <formula1>0.25</formula1>
      <formula2>19.9</formula2>
    </dataValidation>
    <dataValidation type="custom" showInputMessage="1" showErrorMessage="1" errorTitle="Feilmelding" error="FEIL" sqref="B21" xr:uid="{581AF88F-7A6F-4A8B-AB99-BAE097A2F640}">
      <formula1>"(B22+B23+B24)&gt;4"</formula1>
    </dataValidation>
  </dataValidations>
  <pageMargins left="0.7" right="0.7" top="0.75" bottom="0.75" header="0.3" footer="0.3"/>
  <pageSetup orientation="portrait" r:id="rId1"/>
  <ignoredErrors>
    <ignoredError sqref="D137" evalErro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84" r:id="rId4" name="Check Box 40">
              <controlPr defaultSize="0" autoFill="0" autoLine="0" autoPict="0" altText="">
                <anchor moveWithCells="1">
                  <from>
                    <xdr:col>1</xdr:col>
                    <xdr:colOff>1752600</xdr:colOff>
                    <xdr:row>146</xdr:row>
                    <xdr:rowOff>180975</xdr:rowOff>
                  </from>
                  <to>
                    <xdr:col>4</xdr:col>
                    <xdr:colOff>238125</xdr:colOff>
                    <xdr:row>148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xWindow="599" yWindow="286" count="6">
        <x14:dataValidation type="list" allowBlank="1" showInputMessage="1" showErrorMessage="1" xr:uid="{9D23490B-272C-400E-98CE-951AFC4DCB05}">
          <x14:formula1>
            <xm:f>'Beregning AC vern'!$R$33:$R$37</xm:f>
          </x14:formula1>
          <xm:sqref>B150:B151</xm:sqref>
        </x14:dataValidation>
        <x14:dataValidation type="list" allowBlank="1" showInputMessage="1" showErrorMessage="1" xr:uid="{ABFC8868-3D2F-4FD9-9EFF-ECBAC60C4DC4}">
          <x14:formula1>
            <xm:f>'Beregning AC vern'!$R$48:$R$62</xm:f>
          </x14:formula1>
          <xm:sqref>B136 B141</xm:sqref>
        </x14:dataValidation>
        <x14:dataValidation type="list" allowBlank="1" showInputMessage="1" showErrorMessage="1" xr:uid="{CADF77AB-5AAD-44F0-A62C-9589D45C3A8F}">
          <x14:formula1>
            <xm:f>'Beregning AC vern'!$Q$66:$Q$73</xm:f>
          </x14:formula1>
          <xm:sqref>B124</xm:sqref>
        </x14:dataValidation>
        <x14:dataValidation type="list" allowBlank="1" showInputMessage="1" showErrorMessage="1" xr:uid="{5DDBD230-24AD-4022-8337-F452C08A4D3C}">
          <x14:formula1>
            <xm:f>'Beregning AC vern'!$Q$26:$Q$29</xm:f>
          </x14:formula1>
          <xm:sqref>B148</xm:sqref>
        </x14:dataValidation>
        <x14:dataValidation type="list" allowBlank="1" showInputMessage="1" showErrorMessage="1" xr:uid="{B7186627-DB12-4E1F-B16B-7855D3096D24}">
          <x14:formula1>
            <xm:f>'Kabellengder AC - samlet'!$P$2:$P$7</xm:f>
          </x14:formula1>
          <xm:sqref>B140</xm:sqref>
        </x14:dataValidation>
        <x14:dataValidation type="list" allowBlank="1" showInputMessage="1" showErrorMessage="1" xr:uid="{897C3A23-D773-41BD-B405-1DF788ABBD19}">
          <x14:formula1>
            <xm:f>'Kabellengder AC - samlet'!$P$2:$P$9</xm:f>
          </x14:formula1>
          <xm:sqref>B135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AECB-293F-4423-875F-BBE1B17D5112}">
  <dimension ref="A1:N33"/>
  <sheetViews>
    <sheetView workbookViewId="0">
      <selection activeCell="B24" sqref="B24"/>
    </sheetView>
  </sheetViews>
  <sheetFormatPr defaultColWidth="9.140625" defaultRowHeight="15" x14ac:dyDescent="0.25"/>
  <cols>
    <col min="1" max="1" width="47.140625" bestFit="1" customWidth="1"/>
    <col min="3" max="3" width="52.85546875" customWidth="1"/>
    <col min="4" max="4" width="19.7109375" customWidth="1"/>
    <col min="5" max="5" width="16.7109375" customWidth="1"/>
    <col min="6" max="6" width="22.5703125" customWidth="1"/>
    <col min="7" max="7" width="13.42578125" customWidth="1"/>
    <col min="8" max="9" width="18.42578125" customWidth="1"/>
    <col min="10" max="10" width="19.140625" customWidth="1"/>
    <col min="11" max="11" width="39.85546875" customWidth="1"/>
    <col min="12" max="13" width="20.140625" customWidth="1"/>
    <col min="14" max="14" width="21.5703125" customWidth="1"/>
  </cols>
  <sheetData>
    <row r="1" spans="1:14" ht="47.25" customHeight="1" thickBot="1" x14ac:dyDescent="0.3">
      <c r="A1" s="46" t="s">
        <v>50</v>
      </c>
      <c r="B1" s="925" t="s">
        <v>56</v>
      </c>
      <c r="C1" s="925"/>
      <c r="D1" s="926"/>
      <c r="E1" s="88"/>
      <c r="F1" s="88"/>
      <c r="G1" s="927" t="s">
        <v>96</v>
      </c>
      <c r="H1" s="928"/>
      <c r="I1" s="927" t="s">
        <v>71</v>
      </c>
      <c r="J1" s="928"/>
      <c r="K1" s="80"/>
      <c r="L1" s="803" t="s">
        <v>101</v>
      </c>
      <c r="M1" s="804"/>
      <c r="N1" s="805"/>
    </row>
    <row r="2" spans="1:14" ht="30.75" customHeight="1" thickBot="1" x14ac:dyDescent="0.3">
      <c r="A2" s="46"/>
      <c r="B2" s="93"/>
      <c r="C2" s="93"/>
      <c r="D2" s="94"/>
      <c r="E2" s="88"/>
      <c r="F2" s="88"/>
      <c r="G2" s="91"/>
      <c r="H2" s="92"/>
      <c r="I2" s="91"/>
      <c r="J2" s="92"/>
      <c r="K2" s="126"/>
      <c r="L2" s="806" t="s">
        <v>69</v>
      </c>
      <c r="M2" s="807"/>
      <c r="N2" s="96" t="s">
        <v>70</v>
      </c>
    </row>
    <row r="3" spans="1:14" ht="15.75" thickBot="1" x14ac:dyDescent="0.3">
      <c r="A3" s="46"/>
      <c r="B3" s="93"/>
      <c r="C3" s="93"/>
      <c r="D3" s="94"/>
      <c r="E3" s="88"/>
      <c r="F3" s="88"/>
      <c r="G3" s="79"/>
      <c r="H3" s="81"/>
      <c r="I3" s="79"/>
      <c r="J3" s="81"/>
      <c r="K3" s="65"/>
      <c r="L3" s="108" t="s">
        <v>80</v>
      </c>
      <c r="M3" s="109" t="s">
        <v>81</v>
      </c>
      <c r="N3" s="110" t="s">
        <v>82</v>
      </c>
    </row>
    <row r="4" spans="1:14" ht="30.75" thickBot="1" x14ac:dyDescent="0.3">
      <c r="A4" s="46"/>
      <c r="B4" s="93"/>
      <c r="C4" s="93"/>
      <c r="D4" s="94"/>
      <c r="E4" s="88"/>
      <c r="F4" s="88"/>
      <c r="G4" s="79"/>
      <c r="H4" s="81"/>
      <c r="I4" s="79"/>
      <c r="J4" s="95"/>
      <c r="K4" s="39" t="s">
        <v>98</v>
      </c>
      <c r="L4" s="22">
        <f>L26</f>
        <v>4378</v>
      </c>
      <c r="M4" s="22">
        <f>N26</f>
        <v>3295.6000000000004</v>
      </c>
      <c r="N4" s="32">
        <f>N29</f>
        <v>0</v>
      </c>
    </row>
    <row r="5" spans="1:14" ht="30.75" thickBot="1" x14ac:dyDescent="0.3">
      <c r="A5" s="49"/>
      <c r="B5" s="75" t="s">
        <v>55</v>
      </c>
      <c r="C5" s="75" t="s">
        <v>54</v>
      </c>
      <c r="D5" s="78" t="s">
        <v>57</v>
      </c>
      <c r="E5" s="12"/>
      <c r="F5" s="12"/>
      <c r="G5" s="934" t="s">
        <v>61</v>
      </c>
      <c r="H5" s="935"/>
      <c r="I5" s="934" t="s">
        <v>63</v>
      </c>
      <c r="J5" s="940"/>
      <c r="K5" s="41" t="s">
        <v>103</v>
      </c>
      <c r="L5" s="130">
        <f>L4/38</f>
        <v>115.21052631578948</v>
      </c>
      <c r="M5" s="130">
        <f>M4/38</f>
        <v>86.726315789473688</v>
      </c>
      <c r="N5" s="131">
        <f>N4/38</f>
        <v>0</v>
      </c>
    </row>
    <row r="6" spans="1:14" ht="15.75" thickBot="1" x14ac:dyDescent="0.3">
      <c r="A6" s="3" t="s">
        <v>8</v>
      </c>
      <c r="B6" s="82">
        <v>2</v>
      </c>
      <c r="C6" s="82"/>
      <c r="D6" s="85"/>
      <c r="E6" s="12"/>
      <c r="F6" s="12"/>
      <c r="G6" s="936">
        <f>'Effektkalkulator ice'!B32</f>
        <v>7628</v>
      </c>
      <c r="H6" s="937"/>
      <c r="I6" s="936">
        <f>G6/38</f>
        <v>200.73684210526315</v>
      </c>
      <c r="J6" s="937"/>
      <c r="K6" s="127" t="s">
        <v>100</v>
      </c>
      <c r="L6" s="115">
        <f>IF(AND($B$16&gt;0,$B$17=0,$B$18=0),63,IF(L5&gt;125,"&gt; 125 A",125))</f>
        <v>125</v>
      </c>
      <c r="M6" s="115">
        <f>IF(AND($B$16&gt;0,$B$17=0,$B$18=0),63,IF(M5&gt;125,"&gt; 125 A",125))</f>
        <v>125</v>
      </c>
      <c r="N6" s="115" t="str">
        <f>IF(B19&gt;0,63,"N/A")</f>
        <v>N/A</v>
      </c>
    </row>
    <row r="7" spans="1:14" ht="15.75" thickBot="1" x14ac:dyDescent="0.3">
      <c r="A7" s="10" t="s">
        <v>51</v>
      </c>
      <c r="B7" s="83">
        <v>2</v>
      </c>
      <c r="C7" s="83"/>
      <c r="D7" s="86">
        <v>1</v>
      </c>
      <c r="E7" s="12"/>
      <c r="F7" s="12"/>
      <c r="G7" s="938"/>
      <c r="H7" s="939"/>
      <c r="I7" s="938"/>
      <c r="J7" s="939"/>
      <c r="K7" s="119" t="s">
        <v>93</v>
      </c>
      <c r="L7" s="116">
        <f>IF(L$5&lt;=63,63,IF(L$5&lt;=125,125,"&gt; 125 A"))</f>
        <v>125</v>
      </c>
      <c r="M7" s="116">
        <f t="shared" ref="M7" si="0">IF(M$5&lt;=63,63,IF(M$5&lt;=125,125,"&gt; 125 A"))</f>
        <v>125</v>
      </c>
      <c r="N7" s="118" t="str">
        <f>IF(B19=0,"N/A",IF(N$5&lt;=32,32,IF(N$5&lt;=63,63,IF(B19&gt;0,"&gt;63 A"))))</f>
        <v>N/A</v>
      </c>
    </row>
    <row r="8" spans="1:14" ht="15.75" thickBot="1" x14ac:dyDescent="0.3">
      <c r="A8" s="10" t="s">
        <v>7</v>
      </c>
      <c r="B8" s="83"/>
      <c r="C8" s="83">
        <v>2</v>
      </c>
      <c r="D8" s="86"/>
      <c r="E8" s="12"/>
      <c r="F8" s="12"/>
      <c r="G8" s="833"/>
      <c r="H8" s="828"/>
      <c r="I8" s="833"/>
      <c r="J8" s="828"/>
      <c r="K8" s="120" t="s">
        <v>99</v>
      </c>
      <c r="L8" s="128">
        <f>IF(L$5&lt;=32,32,IF(L$5&lt;=63,63,IF(L$5&lt;=80,80,IF(L$5&lt;=100,100,IF(L$5&lt;=125,125,"&gt; 125 A")))))</f>
        <v>125</v>
      </c>
      <c r="M8" s="128">
        <f>IF(M$5&lt;=32,32,IF(M$5&lt;=63,63,IF(M$5&lt;=80,80,IF(M$5&lt;=100,100,IF(M$5&lt;=125,125,"&gt; 125 A")))))</f>
        <v>100</v>
      </c>
      <c r="N8" s="129" t="str">
        <f>IF(B19=0,"N/A",IF(N$5&lt;=16,16,IF(N$5&lt;=32,32,IF(N$5&lt;=63,63,IF(N$5&lt;=125,125,"&gt; 63 A")))))</f>
        <v>N/A</v>
      </c>
    </row>
    <row r="9" spans="1:14" ht="15.75" thickBot="1" x14ac:dyDescent="0.3">
      <c r="A9" s="10" t="s">
        <v>52</v>
      </c>
      <c r="B9" s="83"/>
      <c r="C9" s="83">
        <v>2</v>
      </c>
      <c r="D9" s="86">
        <v>1</v>
      </c>
      <c r="E9" s="12"/>
      <c r="F9" s="12"/>
      <c r="G9" s="932" t="s">
        <v>62</v>
      </c>
      <c r="H9" s="933"/>
      <c r="I9" s="932" t="s">
        <v>64</v>
      </c>
      <c r="J9" s="933"/>
      <c r="K9" s="111"/>
      <c r="L9" s="24"/>
      <c r="M9" s="24"/>
      <c r="N9" s="23"/>
    </row>
    <row r="10" spans="1:14" ht="45" x14ac:dyDescent="0.25">
      <c r="A10" s="21" t="s">
        <v>6</v>
      </c>
      <c r="B10" s="83"/>
      <c r="C10" s="83"/>
      <c r="D10" s="86">
        <v>2</v>
      </c>
      <c r="E10" s="12"/>
      <c r="F10" s="12"/>
      <c r="G10" s="76" t="s">
        <v>65</v>
      </c>
      <c r="H10" s="77" t="s">
        <v>66</v>
      </c>
      <c r="I10" s="76" t="s">
        <v>68</v>
      </c>
      <c r="J10" s="77" t="s">
        <v>67</v>
      </c>
      <c r="K10" s="111"/>
      <c r="L10" s="24"/>
      <c r="M10" s="24"/>
      <c r="N10" s="23"/>
    </row>
    <row r="11" spans="1:14" ht="15.75" thickBot="1" x14ac:dyDescent="0.3">
      <c r="A11" s="4" t="s">
        <v>53</v>
      </c>
      <c r="B11" s="84"/>
      <c r="C11" s="84"/>
      <c r="D11" s="87">
        <v>3</v>
      </c>
      <c r="E11" s="12"/>
      <c r="F11" s="12"/>
      <c r="G11" s="89">
        <f>G6-H11</f>
        <v>7628</v>
      </c>
      <c r="H11" s="90">
        <f>'Effektkalkulator ice'!B25*'Effektkalkulator ice'!E25</f>
        <v>0</v>
      </c>
      <c r="I11" s="89">
        <f>G11/38</f>
        <v>200.73684210526315</v>
      </c>
      <c r="J11" s="90">
        <f>H11/38</f>
        <v>0</v>
      </c>
      <c r="K11" s="112"/>
      <c r="L11" s="113"/>
      <c r="M11" s="113"/>
      <c r="N11" s="114"/>
    </row>
    <row r="13" spans="1:14" ht="15.75" thickBot="1" x14ac:dyDescent="0.3"/>
    <row r="14" spans="1:14" ht="15.75" thickBot="1" x14ac:dyDescent="0.3">
      <c r="A14" s="74" t="str">
        <f>'Effektkalkulator ice'!A20</f>
        <v>Input-data - Effektberegning</v>
      </c>
      <c r="B14" s="791" t="str">
        <f>'Effektkalkulator ice'!B20</f>
        <v>Kalkulator bruker ICE-effekter og beregner totalt ift. valgt sammensetning</v>
      </c>
      <c r="C14" s="792">
        <f>'Effektkalkulator ice'!C20</f>
        <v>0</v>
      </c>
      <c r="D14" s="792">
        <f>'Effektkalkulator ice'!D20</f>
        <v>0</v>
      </c>
      <c r="E14" s="792"/>
      <c r="F14" s="792">
        <f>'Effektkalkulator ice'!E20</f>
        <v>0</v>
      </c>
      <c r="G14" s="793">
        <f>'Effektkalkulator ice'!G20</f>
        <v>0</v>
      </c>
      <c r="H14" s="74">
        <f>'Effektkalkulator ice'!I20</f>
        <v>0</v>
      </c>
      <c r="I14" s="12"/>
      <c r="K14" s="106" t="s">
        <v>83</v>
      </c>
      <c r="L14" s="931" t="s">
        <v>84</v>
      </c>
      <c r="M14" s="931"/>
      <c r="N14" s="132" t="s">
        <v>85</v>
      </c>
    </row>
    <row r="15" spans="1:14" ht="80.25" thickBot="1" x14ac:dyDescent="0.6">
      <c r="A15" s="13" t="str">
        <f>'Effektkalkulator ice'!A21</f>
        <v>Modellsite ice:  LARGE (sitenivå)</v>
      </c>
      <c r="B15" s="14" t="str">
        <f>'Effektkalkulator ice'!B21</f>
        <v>Antall sektorer/
baseband</v>
      </c>
      <c r="C15" s="15" t="str">
        <f>'Effektkalkulator ice'!C21</f>
        <v>Effekt 
normaldrift
"busy hour"</v>
      </c>
      <c r="D15" s="16" t="str">
        <f>'Effektkalkulator ice'!D21</f>
        <v>ICE
normaltdrift
snitteffekt</v>
      </c>
      <c r="E15" s="16" t="s">
        <v>404</v>
      </c>
      <c r="F15" s="17" t="str">
        <f>'Effektkalkulator ice'!E21</f>
        <v>Effekt
normaltdrift
80% av maks</v>
      </c>
      <c r="G15" s="18" t="str">
        <f>'Effektkalkulator ice'!F21</f>
        <v>ICE Effekt batteridrift (450Mhz+800Mhz aktiv)
100% av maks</v>
      </c>
      <c r="H15" s="98">
        <f>'Effektkalkulator ice'!I21</f>
        <v>0</v>
      </c>
      <c r="K15" s="107" t="s">
        <v>79</v>
      </c>
      <c r="L15" s="47" t="s">
        <v>72</v>
      </c>
      <c r="M15" s="47" t="s">
        <v>74</v>
      </c>
      <c r="N15" s="59" t="s">
        <v>73</v>
      </c>
    </row>
    <row r="16" spans="1:14" x14ac:dyDescent="0.25">
      <c r="A16" s="21" t="str">
        <f>'Effektkalkulator ice'!A22</f>
        <v>Small</v>
      </c>
      <c r="B16" s="121">
        <f>'Effektkalkulator ice'!B22</f>
        <v>0</v>
      </c>
      <c r="C16" s="69">
        <f>'Effektkalkulator ice'!C22</f>
        <v>571</v>
      </c>
      <c r="D16" s="22">
        <f>'Effektkalkulator ice'!D22</f>
        <v>301</v>
      </c>
      <c r="E16" s="534">
        <v>308</v>
      </c>
      <c r="F16" s="9">
        <f>'Effektkalkulator ice'!E22</f>
        <v>691.2</v>
      </c>
      <c r="G16" s="9">
        <f>'Effektkalkulator ice'!F22</f>
        <v>540</v>
      </c>
      <c r="H16" s="99" t="e">
        <f>'Effektkalkulator ice'!#REF!</f>
        <v>#REF!</v>
      </c>
      <c r="K16" s="929" t="s">
        <v>75</v>
      </c>
      <c r="L16" s="22">
        <f>B16</f>
        <v>0</v>
      </c>
      <c r="M16" s="22"/>
      <c r="N16" s="32">
        <v>0</v>
      </c>
    </row>
    <row r="17" spans="1:14" x14ac:dyDescent="0.25">
      <c r="A17" s="25" t="str">
        <f>'Effektkalkulator ice'!A23</f>
        <v>Medium</v>
      </c>
      <c r="B17" s="122">
        <f>'Effektkalkulator ice'!B23</f>
        <v>0</v>
      </c>
      <c r="C17" s="70">
        <f>'Effektkalkulator ice'!C23</f>
        <v>1384</v>
      </c>
      <c r="D17" s="26">
        <f>'Effektkalkulator ice'!D23</f>
        <v>631</v>
      </c>
      <c r="E17" s="158">
        <f>E16+330</f>
        <v>638</v>
      </c>
      <c r="F17" s="6">
        <f>'Effektkalkulator ice'!E23</f>
        <v>1692.8000000000002</v>
      </c>
      <c r="G17" s="6">
        <f>'Effektkalkulator ice'!F23</f>
        <v>735</v>
      </c>
      <c r="H17" s="100" t="e">
        <f>'Effektkalkulator ice'!#REF!</f>
        <v>#REF!</v>
      </c>
      <c r="K17" s="930"/>
      <c r="L17" s="26">
        <f>B17</f>
        <v>0</v>
      </c>
      <c r="M17" s="26"/>
      <c r="N17" s="40">
        <f>B17</f>
        <v>0</v>
      </c>
    </row>
    <row r="18" spans="1:14" ht="15.75" thickBot="1" x14ac:dyDescent="0.3">
      <c r="A18" s="27" t="str">
        <f>'Effektkalkulator ice'!A24</f>
        <v>Large</v>
      </c>
      <c r="B18" s="123">
        <f>'Effektkalkulator ice'!B24</f>
        <v>3</v>
      </c>
      <c r="C18" s="71">
        <f>'Effektkalkulator ice'!C24</f>
        <v>2134</v>
      </c>
      <c r="D18" s="28">
        <f>'Effektkalkulator ice'!D24</f>
        <v>1027</v>
      </c>
      <c r="E18" s="536">
        <f>E17+396</f>
        <v>1034</v>
      </c>
      <c r="F18" s="7">
        <f>'Effektkalkulator ice'!E24</f>
        <v>2384</v>
      </c>
      <c r="G18" s="7">
        <f>'Effektkalkulator ice'!F24</f>
        <v>1010</v>
      </c>
      <c r="H18" s="101" t="e">
        <f>'Effektkalkulator ice'!#REF!</f>
        <v>#REF!</v>
      </c>
      <c r="K18" s="930"/>
      <c r="L18" s="26">
        <f>B18</f>
        <v>3</v>
      </c>
      <c r="M18" s="26">
        <f>B18</f>
        <v>3</v>
      </c>
      <c r="N18" s="40">
        <f>B18</f>
        <v>3</v>
      </c>
    </row>
    <row r="19" spans="1:14" ht="15.75" thickBot="1" x14ac:dyDescent="0.3">
      <c r="A19" s="73" t="str">
        <f>'Effektkalkulator ice'!A25</f>
        <v>Antall sektorer 450Mhz</v>
      </c>
      <c r="B19" s="124">
        <f>'Effektkalkulator ice'!B25</f>
        <v>0</v>
      </c>
      <c r="C19" s="72">
        <f>'Effektkalkulator ice'!C25</f>
        <v>0</v>
      </c>
      <c r="D19" s="29">
        <f>'Effektkalkulator ice'!D25</f>
        <v>176</v>
      </c>
      <c r="E19" s="538">
        <v>176</v>
      </c>
      <c r="F19" s="29">
        <f>'Effektkalkulator ice'!E25</f>
        <v>280.8</v>
      </c>
      <c r="G19" s="30">
        <f>'Effektkalkulator ice'!F25</f>
        <v>351</v>
      </c>
      <c r="H19" s="102" t="e">
        <f>'Effektkalkulator ice'!#REF!</f>
        <v>#REF!</v>
      </c>
      <c r="K19" s="133" t="s">
        <v>78</v>
      </c>
      <c r="L19" s="134">
        <f>SUM(L16:L18)</f>
        <v>3</v>
      </c>
      <c r="M19" s="134">
        <f>SUM(M16:M18)</f>
        <v>3</v>
      </c>
      <c r="N19" s="135">
        <f>SUM(N16:N18)</f>
        <v>3</v>
      </c>
    </row>
    <row r="20" spans="1:14" x14ac:dyDescent="0.25">
      <c r="A20" s="31" t="str">
        <f>'Effektkalkulator ice'!A26</f>
        <v>Baseband 1</v>
      </c>
      <c r="B20" s="63">
        <f>'Effektkalkulator ice'!B26</f>
        <v>0</v>
      </c>
      <c r="C20" s="69">
        <f>'Effektkalkulator ice'!C26</f>
        <v>227</v>
      </c>
      <c r="D20" s="22">
        <f>'Effektkalkulator ice'!D26</f>
        <v>227</v>
      </c>
      <c r="E20" s="534">
        <v>227</v>
      </c>
      <c r="F20" s="22">
        <f>'Effektkalkulator ice'!E26</f>
        <v>227</v>
      </c>
      <c r="G20" s="32">
        <f>'Effektkalkulator ice'!F26</f>
        <v>227</v>
      </c>
      <c r="H20" s="103" t="e">
        <f>'Effektkalkulator ice'!#REF!</f>
        <v>#REF!</v>
      </c>
      <c r="I20" s="12"/>
      <c r="K20" s="57" t="s">
        <v>76</v>
      </c>
      <c r="L20" s="35">
        <f>848*0.8</f>
        <v>678.40000000000009</v>
      </c>
      <c r="M20" s="35">
        <f>877*0.8</f>
        <v>701.6</v>
      </c>
      <c r="N20" s="36">
        <f>1274*0.8</f>
        <v>1019.2</v>
      </c>
    </row>
    <row r="21" spans="1:14" ht="15.75" thickBot="1" x14ac:dyDescent="0.3">
      <c r="A21" s="66" t="str">
        <f>'Effektkalkulator ice'!A27</f>
        <v>Baseband 2 (N35)</v>
      </c>
      <c r="B21" s="67">
        <f>'Effektkalkulator ice'!B27</f>
        <v>1</v>
      </c>
      <c r="C21" s="71">
        <f>'Effektkalkulator ice'!C27</f>
        <v>376</v>
      </c>
      <c r="D21" s="28">
        <f>'Effektkalkulator ice'!D27</f>
        <v>376</v>
      </c>
      <c r="E21" s="536">
        <v>376</v>
      </c>
      <c r="F21" s="28">
        <f>'Effektkalkulator ice'!E27</f>
        <v>376</v>
      </c>
      <c r="G21" s="38">
        <f>'Effektkalkulator ice'!F27</f>
        <v>376</v>
      </c>
      <c r="H21" s="37" t="e">
        <f>'Effektkalkulator ice'!#REF!</f>
        <v>#REF!</v>
      </c>
      <c r="I21" s="12"/>
      <c r="K21" s="10" t="s">
        <v>77</v>
      </c>
      <c r="L21" s="26">
        <f>L19*L20</f>
        <v>2035.2000000000003</v>
      </c>
      <c r="M21" s="26">
        <f>M19*M20</f>
        <v>2104.8000000000002</v>
      </c>
      <c r="N21" s="40">
        <f>N19*N20</f>
        <v>3057.6000000000004</v>
      </c>
    </row>
    <row r="22" spans="1:14" x14ac:dyDescent="0.25">
      <c r="A22" s="3" t="str">
        <f>'Effektkalkulator ice'!A28</f>
        <v>Basestasjonsaksess (CSR)</v>
      </c>
      <c r="B22" s="125">
        <f>'Effektkalkulator ice'!B28</f>
        <v>1</v>
      </c>
      <c r="C22" s="8">
        <f>'Effektkalkulator ice'!C28</f>
        <v>100</v>
      </c>
      <c r="D22" s="68">
        <f>'Effektkalkulator ice'!D28</f>
        <v>100</v>
      </c>
      <c r="E22" s="534">
        <v>200</v>
      </c>
      <c r="F22" s="22">
        <f>'Effektkalkulator ice'!E28</f>
        <v>100</v>
      </c>
      <c r="G22" s="32">
        <f>'Effektkalkulator ice'!F28</f>
        <v>100</v>
      </c>
      <c r="H22" s="103" t="e">
        <f>'Effektkalkulator ice'!#REF!</f>
        <v>#REF!</v>
      </c>
      <c r="I22" s="136"/>
      <c r="K22" s="10" t="s">
        <v>87</v>
      </c>
      <c r="L22" s="137">
        <f>($B$20*$F$20+$B$21*$F$21+$B$22*$F$22+$B$23*$F$23)*0.5</f>
        <v>238</v>
      </c>
      <c r="M22" s="26"/>
      <c r="N22" s="138">
        <f>($B$20*$F$20+$B$21*$F$21+$B$22*$F$22+$B$23*$F$23)*0.5</f>
        <v>238</v>
      </c>
    </row>
    <row r="23" spans="1:14" ht="15.75" thickBot="1" x14ac:dyDescent="0.3">
      <c r="A23" s="4" t="str">
        <f>'Effektkalkulator ice'!A29</f>
        <v>Komplett radiolinje</v>
      </c>
      <c r="B23" s="105">
        <f>'Effektkalkulator ice'!B29</f>
        <v>0</v>
      </c>
      <c r="C23" s="11">
        <f>'Effektkalkulator ice'!C29</f>
        <v>100</v>
      </c>
      <c r="D23" s="33">
        <f>'Effektkalkulator ice'!D29</f>
        <v>100</v>
      </c>
      <c r="E23" s="160">
        <v>200</v>
      </c>
      <c r="F23" s="33">
        <f>'Effektkalkulator ice'!E29</f>
        <v>100</v>
      </c>
      <c r="G23" s="34">
        <f>'Effektkalkulator ice'!F29</f>
        <v>100</v>
      </c>
      <c r="H23" s="104" t="e">
        <f>'Effektkalkulator ice'!#REF!</f>
        <v>#REF!</v>
      </c>
      <c r="I23" s="136"/>
      <c r="K23" s="10" t="s">
        <v>87</v>
      </c>
      <c r="L23" s="26"/>
      <c r="M23" s="26"/>
      <c r="N23" s="40"/>
    </row>
    <row r="24" spans="1:14" ht="15.75" thickBot="1" x14ac:dyDescent="0.3">
      <c r="A24" s="4">
        <f>'Effektkalkulator ice'!A30</f>
        <v>0</v>
      </c>
      <c r="B24" s="105">
        <f>'Effektkalkulator ice'!B30</f>
        <v>0</v>
      </c>
      <c r="C24" s="11">
        <f>'Effektkalkulator ice'!C30</f>
        <v>0</v>
      </c>
      <c r="D24" s="33">
        <f>'Effektkalkulator ice'!D30</f>
        <v>0</v>
      </c>
      <c r="E24" s="33"/>
      <c r="F24" s="33">
        <f>'Effektkalkulator ice'!E30</f>
        <v>0</v>
      </c>
      <c r="G24" s="34">
        <f>'Effektkalkulator ice'!G30</f>
        <v>0</v>
      </c>
      <c r="H24" s="104" t="e">
        <f>'Effektkalkulator ice'!#REF!</f>
        <v>#REF!</v>
      </c>
      <c r="K24" s="10"/>
      <c r="L24" s="26"/>
      <c r="M24" s="26"/>
      <c r="N24" s="40"/>
    </row>
    <row r="25" spans="1:14" ht="15.75" thickBot="1" x14ac:dyDescent="0.3">
      <c r="A25" s="4" t="str">
        <f>'Effektkalkulator ice'!A32</f>
        <v>Maks effekt normaldrift (80% av maks)</v>
      </c>
      <c r="B25" s="105">
        <f>'Effektkalkulator ice'!B32</f>
        <v>7628</v>
      </c>
      <c r="C25" s="11" t="str">
        <f>'Effektkalkulator ice'!C32</f>
        <v>Dimensjonerende effekt likeretter</v>
      </c>
      <c r="D25" s="33">
        <f>'Effektkalkulator ice'!D32</f>
        <v>0</v>
      </c>
      <c r="E25" s="33"/>
      <c r="F25" s="33">
        <f>'Effektkalkulator ice'!E32</f>
        <v>0</v>
      </c>
      <c r="G25" s="34">
        <f>'Effektkalkulator ice'!G32</f>
        <v>0</v>
      </c>
      <c r="H25" s="104">
        <f>'Effektkalkulator ice'!I32</f>
        <v>0</v>
      </c>
      <c r="K25" s="4" t="s">
        <v>88</v>
      </c>
      <c r="L25" s="33">
        <f>SUM(L21:L24)</f>
        <v>2273.2000000000003</v>
      </c>
      <c r="M25" s="33">
        <f>SUM(M21:M24)</f>
        <v>2104.8000000000002</v>
      </c>
      <c r="N25" s="33">
        <f>SUM(N21:N24)</f>
        <v>3295.6000000000004</v>
      </c>
    </row>
    <row r="26" spans="1:14" ht="15.75" thickBot="1" x14ac:dyDescent="0.3">
      <c r="A26" s="4" t="str">
        <f>'Effektkalkulator ice'!A33</f>
        <v>Totalt effekttrekk - normaltdrift ICE</v>
      </c>
      <c r="B26" s="105">
        <f>'Effektkalkulator ice'!B33</f>
        <v>3557</v>
      </c>
      <c r="C26" s="11" t="str">
        <f>'Effektkalkulator ice'!C33</f>
        <v>Dette er effekten vi forventer å bruke i gjennomsnitt</v>
      </c>
      <c r="D26" s="33">
        <f>'Effektkalkulator ice'!D33</f>
        <v>0</v>
      </c>
      <c r="E26" s="33"/>
      <c r="F26" s="33">
        <f>'Effektkalkulator ice'!E33</f>
        <v>0</v>
      </c>
      <c r="G26" s="34">
        <f>'Effektkalkulator ice'!G33</f>
        <v>0</v>
      </c>
      <c r="H26" s="104">
        <f>'Effektkalkulator ice'!I33</f>
        <v>0</v>
      </c>
      <c r="K26" s="139" t="s">
        <v>86</v>
      </c>
      <c r="L26" s="922">
        <f>SUM(L25:M25)</f>
        <v>4378</v>
      </c>
      <c r="M26" s="923"/>
      <c r="N26" s="140">
        <f>N25</f>
        <v>3295.6000000000004</v>
      </c>
    </row>
    <row r="27" spans="1:14" ht="15.75" thickBot="1" x14ac:dyDescent="0.3">
      <c r="K27" s="141" t="s">
        <v>91</v>
      </c>
      <c r="L27" s="924">
        <f>L26/38</f>
        <v>115.21052631578948</v>
      </c>
      <c r="M27" s="924"/>
      <c r="N27" s="131">
        <f>N26/38</f>
        <v>86.726315789473688</v>
      </c>
    </row>
    <row r="28" spans="1:14" x14ac:dyDescent="0.25">
      <c r="K28" s="3" t="s">
        <v>90</v>
      </c>
      <c r="L28" s="22"/>
      <c r="M28" s="22"/>
      <c r="N28" s="142">
        <f>SUM(L26:N26)</f>
        <v>7673.6</v>
      </c>
    </row>
    <row r="29" spans="1:14" x14ac:dyDescent="0.25">
      <c r="K29" s="10" t="s">
        <v>92</v>
      </c>
      <c r="L29" s="26"/>
      <c r="M29" s="26"/>
      <c r="N29" s="40">
        <f>B19*F19</f>
        <v>0</v>
      </c>
    </row>
    <row r="30" spans="1:14" ht="15.75" thickBot="1" x14ac:dyDescent="0.3">
      <c r="K30" s="4" t="s">
        <v>89</v>
      </c>
      <c r="L30" s="33"/>
      <c r="M30" s="33"/>
      <c r="N30" s="34">
        <f>N28+N29</f>
        <v>7673.6</v>
      </c>
    </row>
    <row r="31" spans="1:14" ht="15.75" thickBot="1" x14ac:dyDescent="0.3">
      <c r="K31" s="143" t="s">
        <v>94</v>
      </c>
      <c r="L31" s="144" t="str">
        <f>IF(N30=B25,"OK","FEIL")</f>
        <v>FEIL</v>
      </c>
    </row>
    <row r="32" spans="1:14" ht="15.75" thickBot="1" x14ac:dyDescent="0.3">
      <c r="K32" s="143" t="s">
        <v>95</v>
      </c>
      <c r="L32" s="144" t="str">
        <f>IF(N30=SUM(L4:N4),"OK","FEIL")</f>
        <v>OK</v>
      </c>
    </row>
    <row r="33" spans="11:12" ht="15.75" thickBot="1" x14ac:dyDescent="0.3">
      <c r="K33" s="143" t="s">
        <v>97</v>
      </c>
      <c r="L33" s="144" t="str">
        <f>IF(N30=G11+H11,"OK","FEIL")</f>
        <v>FEIL</v>
      </c>
    </row>
  </sheetData>
  <mergeCells count="18">
    <mergeCell ref="I5:J5"/>
    <mergeCell ref="I6:J7"/>
    <mergeCell ref="L1:N1"/>
    <mergeCell ref="L26:M26"/>
    <mergeCell ref="L27:M27"/>
    <mergeCell ref="B1:D1"/>
    <mergeCell ref="G1:H1"/>
    <mergeCell ref="B14:G14"/>
    <mergeCell ref="K16:K18"/>
    <mergeCell ref="L14:M14"/>
    <mergeCell ref="L2:M2"/>
    <mergeCell ref="G9:H9"/>
    <mergeCell ref="I9:J9"/>
    <mergeCell ref="I8:J8"/>
    <mergeCell ref="G8:H8"/>
    <mergeCell ref="G5:H5"/>
    <mergeCell ref="G6:H7"/>
    <mergeCell ref="I1:J1"/>
  </mergeCells>
  <phoneticPr fontId="13" type="noConversion"/>
  <conditionalFormatting sqref="B22 I22">
    <cfRule type="expression" dxfId="18" priority="3">
      <formula>$I$38</formula>
    </cfRule>
  </conditionalFormatting>
  <conditionalFormatting sqref="L31:L33">
    <cfRule type="cellIs" dxfId="17" priority="1" operator="equal">
      <formula>"FEIL"</formula>
    </cfRule>
    <cfRule type="cellIs" dxfId="16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9061-38E3-4F1C-98D0-C0E93541DFDD}">
  <dimension ref="A1:AC96"/>
  <sheetViews>
    <sheetView topLeftCell="Q62" workbookViewId="0">
      <selection activeCell="B24" sqref="B24"/>
    </sheetView>
  </sheetViews>
  <sheetFormatPr defaultColWidth="9.140625" defaultRowHeight="15" x14ac:dyDescent="0.25"/>
  <cols>
    <col min="1" max="1" width="22.85546875" hidden="1" customWidth="1"/>
    <col min="2" max="2" width="19.28515625" hidden="1" customWidth="1"/>
    <col min="3" max="3" width="16.5703125" hidden="1" customWidth="1"/>
    <col min="4" max="4" width="21.85546875" style="145" hidden="1" customWidth="1"/>
    <col min="5" max="5" width="22.85546875" style="145" hidden="1" customWidth="1"/>
    <col min="6" max="6" width="19.28515625" style="145" hidden="1" customWidth="1"/>
    <col min="7" max="7" width="15.7109375" style="145" hidden="1" customWidth="1"/>
    <col min="8" max="9" width="34.140625" style="145" hidden="1" customWidth="1"/>
    <col min="10" max="10" width="33.28515625" hidden="1" customWidth="1"/>
    <col min="11" max="11" width="48.85546875" hidden="1" customWidth="1"/>
    <col min="12" max="12" width="17" hidden="1" customWidth="1"/>
    <col min="13" max="13" width="15.7109375" hidden="1" customWidth="1"/>
    <col min="14" max="14" width="12.7109375" hidden="1" customWidth="1"/>
    <col min="15" max="15" width="34.140625" hidden="1" customWidth="1"/>
    <col min="16" max="16" width="0" hidden="1" customWidth="1"/>
    <col min="17" max="17" width="19.42578125" customWidth="1"/>
    <col min="18" max="18" width="20.140625" bestFit="1" customWidth="1"/>
    <col min="19" max="19" width="19.7109375" bestFit="1" customWidth="1"/>
    <col min="20" max="20" width="37.28515625" bestFit="1" customWidth="1"/>
    <col min="21" max="21" width="10.140625" bestFit="1" customWidth="1"/>
    <col min="22" max="22" width="21.28515625" customWidth="1"/>
    <col min="23" max="23" width="20.140625" bestFit="1" customWidth="1"/>
    <col min="24" max="24" width="12.28515625" customWidth="1"/>
    <col min="25" max="25" width="20.7109375" customWidth="1"/>
    <col min="27" max="27" width="21" customWidth="1"/>
    <col min="28" max="28" width="10.140625" bestFit="1" customWidth="1"/>
    <col min="29" max="30" width="12.85546875" bestFit="1" customWidth="1"/>
  </cols>
  <sheetData>
    <row r="1" spans="1:29" ht="15.75" thickBot="1" x14ac:dyDescent="0.3">
      <c r="A1" s="364"/>
      <c r="B1" s="365"/>
      <c r="C1" s="365"/>
      <c r="D1" s="958" t="s">
        <v>116</v>
      </c>
      <c r="E1" s="959"/>
      <c r="F1" s="960" t="s">
        <v>117</v>
      </c>
      <c r="G1" s="961"/>
      <c r="H1" s="961"/>
      <c r="I1" s="961"/>
      <c r="J1" s="962" t="s">
        <v>118</v>
      </c>
      <c r="K1" s="963"/>
      <c r="L1" s="960" t="s">
        <v>119</v>
      </c>
      <c r="M1" s="961"/>
      <c r="N1" s="961"/>
      <c r="O1" s="961"/>
      <c r="P1" s="366"/>
      <c r="Q1" s="147" t="s">
        <v>242</v>
      </c>
      <c r="R1" s="147"/>
      <c r="S1" s="182">
        <v>215</v>
      </c>
      <c r="T1" s="126" t="s">
        <v>190</v>
      </c>
      <c r="U1" s="191" t="str">
        <f>'Effektkalkulator ice'!B119</f>
        <v>IT-230V</v>
      </c>
      <c r="V1" s="214" t="s">
        <v>288</v>
      </c>
      <c r="W1" s="215"/>
      <c r="X1" s="216"/>
      <c r="Y1" s="192">
        <f>'Effektkalkulator ice'!B130</f>
        <v>32.224201071048881</v>
      </c>
    </row>
    <row r="2" spans="1:29" s="53" customFormat="1" ht="15.75" thickBot="1" x14ac:dyDescent="0.3">
      <c r="A2" s="367" t="s">
        <v>120</v>
      </c>
      <c r="B2" s="368" t="s">
        <v>121</v>
      </c>
      <c r="C2" s="369" t="s">
        <v>122</v>
      </c>
      <c r="D2" s="370" t="s">
        <v>123</v>
      </c>
      <c r="E2" s="371" t="s">
        <v>124</v>
      </c>
      <c r="F2" s="370" t="s">
        <v>125</v>
      </c>
      <c r="G2" s="372" t="s">
        <v>126</v>
      </c>
      <c r="H2" s="372" t="s">
        <v>127</v>
      </c>
      <c r="I2" s="373" t="s">
        <v>128</v>
      </c>
      <c r="J2" s="374" t="s">
        <v>123</v>
      </c>
      <c r="K2" s="371" t="s">
        <v>124</v>
      </c>
      <c r="L2" s="370" t="s">
        <v>125</v>
      </c>
      <c r="M2" s="372" t="s">
        <v>126</v>
      </c>
      <c r="N2" s="373" t="s">
        <v>127</v>
      </c>
      <c r="O2" s="375" t="s">
        <v>128</v>
      </c>
      <c r="P2" s="376"/>
      <c r="Q2" s="974" t="s">
        <v>272</v>
      </c>
      <c r="R2" s="974"/>
      <c r="S2" s="192">
        <f>'Effektkalkulator ice'!B159</f>
        <v>16.112100535524441</v>
      </c>
      <c r="T2" s="126" t="str">
        <f>'Effektkalkulator ice'!A120</f>
        <v>Dimensjonerende Ik2pmin</v>
      </c>
      <c r="U2" s="232">
        <f>'Effektkalkulator ice'!B120</f>
        <v>5</v>
      </c>
      <c r="V2" s="206" t="s">
        <v>332</v>
      </c>
      <c r="W2" s="207"/>
      <c r="X2" s="208"/>
      <c r="Y2" s="197" t="str">
        <f>'Effektkalkulator ice'!B136</f>
        <v>Ikke valgt</v>
      </c>
    </row>
    <row r="3" spans="1:29" ht="15.75" thickBot="1" x14ac:dyDescent="0.3">
      <c r="A3" s="377" t="s">
        <v>129</v>
      </c>
      <c r="B3" s="378">
        <v>16</v>
      </c>
      <c r="C3" s="379" t="s">
        <v>130</v>
      </c>
      <c r="D3" s="380">
        <f>B3*230*SQRT(3)</f>
        <v>6373.9469718534683</v>
      </c>
      <c r="E3" s="381">
        <f t="shared" ref="E3:E14" si="0">D3*1.13</f>
        <v>7202.5600781944186</v>
      </c>
      <c r="F3" s="382">
        <f t="shared" ref="F3:F14" si="1">$C$33/D3</f>
        <v>0.42093227506406683</v>
      </c>
      <c r="G3" s="383">
        <f t="shared" ref="G3:G14" si="2">$C$34/D3</f>
        <v>1.020560733988727</v>
      </c>
      <c r="H3" s="384">
        <f t="shared" ref="H3:H14" si="3">$C$35/D3</f>
        <v>1.4766360689165103</v>
      </c>
      <c r="I3" s="385">
        <f t="shared" ref="I3:I11" si="4">12000/D3</f>
        <v>1.8826639212705187</v>
      </c>
      <c r="J3" s="380">
        <f>B3*230*0.9*SQRT(3)</f>
        <v>5736.5522746681208</v>
      </c>
      <c r="K3" s="386">
        <f t="shared" ref="K3:K14" si="5">J3*1.13</f>
        <v>6482.3040703749757</v>
      </c>
      <c r="L3" s="387">
        <f t="shared" ref="L3:L14" si="6">$C$33/J3</f>
        <v>0.46770252784896321</v>
      </c>
      <c r="M3" s="388">
        <f t="shared" ref="M3:M14" si="7">$C$34/J3</f>
        <v>1.1339563710985858</v>
      </c>
      <c r="N3" s="389">
        <f t="shared" ref="N3:N14" si="8">$C$35/J3</f>
        <v>1.6407067432405671</v>
      </c>
      <c r="O3" s="390">
        <f>12000/J3</f>
        <v>2.0918488014116878</v>
      </c>
      <c r="P3" s="391"/>
      <c r="Q3" s="971" t="s">
        <v>319</v>
      </c>
      <c r="R3" s="971"/>
      <c r="S3" s="197" t="str">
        <f>'Effektkalkulator ice'!B150</f>
        <v>3x25A (IT)</v>
      </c>
      <c r="V3" s="206" t="s">
        <v>335</v>
      </c>
      <c r="W3" s="207"/>
      <c r="X3" s="208"/>
      <c r="Y3" s="197" t="e">
        <f>VLOOKUP(Y2,$AA$12:$AB$37,2,)</f>
        <v>#N/A</v>
      </c>
    </row>
    <row r="4" spans="1:29" ht="15.75" thickBot="1" x14ac:dyDescent="0.3">
      <c r="A4" s="392" t="s">
        <v>178</v>
      </c>
      <c r="B4" s="393">
        <v>16</v>
      </c>
      <c r="C4" s="394" t="s">
        <v>131</v>
      </c>
      <c r="D4" s="395">
        <f>B4*230*SQRT(3)*SQRT(3)</f>
        <v>11040</v>
      </c>
      <c r="E4" s="396">
        <f t="shared" si="0"/>
        <v>12475.199999999999</v>
      </c>
      <c r="F4" s="397">
        <f t="shared" si="1"/>
        <v>0.24302536231884059</v>
      </c>
      <c r="G4" s="398">
        <f t="shared" si="2"/>
        <v>0.58922101449275366</v>
      </c>
      <c r="H4" s="399">
        <f t="shared" si="3"/>
        <v>0.85253623188405792</v>
      </c>
      <c r="I4" s="400">
        <f t="shared" si="4"/>
        <v>1.0869565217391304</v>
      </c>
      <c r="J4" s="395">
        <f>B4*230*0.9*SQRT(3)*SQRT(3)</f>
        <v>9935.9999999999982</v>
      </c>
      <c r="K4" s="401">
        <f t="shared" si="5"/>
        <v>11227.679999999997</v>
      </c>
      <c r="L4" s="397">
        <f t="shared" si="6"/>
        <v>0.27002818035426734</v>
      </c>
      <c r="M4" s="398">
        <f t="shared" si="7"/>
        <v>0.65469001610305966</v>
      </c>
      <c r="N4" s="399">
        <f t="shared" si="8"/>
        <v>0.94726247987117573</v>
      </c>
      <c r="O4" s="402">
        <f t="shared" ref="O4" si="9">12000/J4</f>
        <v>1.2077294685990341</v>
      </c>
      <c r="P4" s="391"/>
      <c r="Q4" s="221" t="s">
        <v>313</v>
      </c>
      <c r="R4" s="221"/>
      <c r="S4" s="224">
        <f>VLOOKUP(S3,$AA$12:$AB$37,2,)</f>
        <v>25</v>
      </c>
      <c r="V4" s="206" t="s">
        <v>334</v>
      </c>
      <c r="W4" s="207"/>
      <c r="X4" s="208"/>
      <c r="Y4" s="197" t="str">
        <f>'Effektkalkulator ice'!$B$141</f>
        <v>4x32A (TN)</v>
      </c>
    </row>
    <row r="5" spans="1:29" ht="15.75" thickBot="1" x14ac:dyDescent="0.3">
      <c r="A5" s="377" t="s">
        <v>132</v>
      </c>
      <c r="B5" s="378">
        <v>20</v>
      </c>
      <c r="C5" s="379" t="s">
        <v>130</v>
      </c>
      <c r="D5" s="380">
        <f>B5*230*SQRT(3)</f>
        <v>7967.4337148168352</v>
      </c>
      <c r="E5" s="381">
        <f t="shared" si="0"/>
        <v>9003.2000977430234</v>
      </c>
      <c r="F5" s="382">
        <f t="shared" si="1"/>
        <v>0.33674582005125347</v>
      </c>
      <c r="G5" s="383">
        <f t="shared" si="2"/>
        <v>0.81644858719098168</v>
      </c>
      <c r="H5" s="384">
        <f t="shared" si="3"/>
        <v>1.1813088551332083</v>
      </c>
      <c r="I5" s="385">
        <f t="shared" si="4"/>
        <v>1.5061311370164152</v>
      </c>
      <c r="J5" s="380">
        <f>B5*230*0.9*SQRT(3)</f>
        <v>7170.6903433351517</v>
      </c>
      <c r="K5" s="386">
        <f t="shared" si="5"/>
        <v>8102.8800879687205</v>
      </c>
      <c r="L5" s="387">
        <f t="shared" si="6"/>
        <v>0.3741620222791705</v>
      </c>
      <c r="M5" s="388">
        <f t="shared" si="7"/>
        <v>0.90716509687886848</v>
      </c>
      <c r="N5" s="389">
        <f t="shared" si="8"/>
        <v>1.3125653945924536</v>
      </c>
      <c r="O5" s="390">
        <f>12000/J5</f>
        <v>1.6734790411293501</v>
      </c>
      <c r="P5" s="391"/>
      <c r="Q5" s="971" t="s">
        <v>320</v>
      </c>
      <c r="R5" s="971"/>
      <c r="S5" s="197" t="str">
        <f>'Effektkalkulator ice'!B151</f>
        <v>3x25A (IT)</v>
      </c>
      <c r="V5" s="975" t="s">
        <v>333</v>
      </c>
      <c r="W5" s="976"/>
      <c r="X5" s="977"/>
      <c r="Y5" s="197">
        <f>VLOOKUP(Y4,$AA$12:$AB$37,2,)</f>
        <v>32</v>
      </c>
    </row>
    <row r="6" spans="1:29" ht="15.75" thickBot="1" x14ac:dyDescent="0.3">
      <c r="A6" s="392" t="s">
        <v>179</v>
      </c>
      <c r="B6" s="393">
        <v>20</v>
      </c>
      <c r="C6" s="394" t="s">
        <v>131</v>
      </c>
      <c r="D6" s="395">
        <f>B6*230*SQRT(3)*SQRT(3)</f>
        <v>13799.999999999998</v>
      </c>
      <c r="E6" s="396">
        <f t="shared" si="0"/>
        <v>15593.999999999996</v>
      </c>
      <c r="F6" s="397">
        <f t="shared" si="1"/>
        <v>0.19442028985507248</v>
      </c>
      <c r="G6" s="398">
        <f t="shared" si="2"/>
        <v>0.47137681159420297</v>
      </c>
      <c r="H6" s="399">
        <f t="shared" si="3"/>
        <v>0.68202898550724644</v>
      </c>
      <c r="I6" s="400">
        <f t="shared" si="4"/>
        <v>0.86956521739130443</v>
      </c>
      <c r="J6" s="395">
        <f>B6*230*0.9*SQRT(3)*SQRT(3)</f>
        <v>12419.999999999998</v>
      </c>
      <c r="K6" s="401">
        <f t="shared" si="5"/>
        <v>14034.599999999997</v>
      </c>
      <c r="L6" s="397">
        <f t="shared" si="6"/>
        <v>0.21602254428341389</v>
      </c>
      <c r="M6" s="398">
        <f t="shared" si="7"/>
        <v>0.52375201288244777</v>
      </c>
      <c r="N6" s="399">
        <f t="shared" si="8"/>
        <v>0.75780998389694054</v>
      </c>
      <c r="O6" s="402">
        <f t="shared" ref="O6" si="10">12000/J6</f>
        <v>0.96618357487922724</v>
      </c>
      <c r="P6" s="391"/>
      <c r="Q6" s="217" t="s">
        <v>313</v>
      </c>
      <c r="R6" s="217"/>
      <c r="S6" s="228">
        <f>VLOOKUP(S5,$AA$12:$AB$37,2,)</f>
        <v>25</v>
      </c>
      <c r="V6" s="982" t="s">
        <v>280</v>
      </c>
      <c r="W6" s="983"/>
      <c r="X6" s="983"/>
      <c r="Y6" s="197" t="str" cm="1">
        <f t="array" ref="Y6">_xlfn.IFS(U1="IT-230V",T15,U1="TN-400V",W14)</f>
        <v>3x32A (IT)</v>
      </c>
    </row>
    <row r="7" spans="1:29" ht="15.75" thickBot="1" x14ac:dyDescent="0.3">
      <c r="A7" s="377" t="s">
        <v>133</v>
      </c>
      <c r="B7" s="378">
        <v>25</v>
      </c>
      <c r="C7" s="379" t="s">
        <v>130</v>
      </c>
      <c r="D7" s="380">
        <f>B7*230*SQRT(3)</f>
        <v>9959.2921435210446</v>
      </c>
      <c r="E7" s="381">
        <f t="shared" si="0"/>
        <v>11254.000122178779</v>
      </c>
      <c r="F7" s="382">
        <f t="shared" si="1"/>
        <v>0.26939665604100277</v>
      </c>
      <c r="G7" s="383">
        <f t="shared" si="2"/>
        <v>0.65315886975278525</v>
      </c>
      <c r="H7" s="384">
        <f t="shared" si="3"/>
        <v>0.94504708410656657</v>
      </c>
      <c r="I7" s="385">
        <f t="shared" si="4"/>
        <v>1.2049049096131319</v>
      </c>
      <c r="J7" s="380">
        <f>B7*230*0.9*SQRT(3)</f>
        <v>8963.3629291689394</v>
      </c>
      <c r="K7" s="386">
        <f t="shared" si="5"/>
        <v>10128.6001099609</v>
      </c>
      <c r="L7" s="387">
        <f t="shared" si="6"/>
        <v>0.29932961782333645</v>
      </c>
      <c r="M7" s="388">
        <f t="shared" si="7"/>
        <v>0.72573207750309487</v>
      </c>
      <c r="N7" s="389">
        <f t="shared" si="8"/>
        <v>1.050052315673963</v>
      </c>
      <c r="O7" s="390">
        <f>12000/J7</f>
        <v>1.3387832329034801</v>
      </c>
      <c r="P7" s="391"/>
      <c r="Q7" s="984" t="str">
        <f>'Effektkalkulator ice'!A123</f>
        <v>Lengde stigekabel</v>
      </c>
      <c r="R7" s="985"/>
      <c r="S7" s="225">
        <f>'Effektkalkulator ice'!$B$123</f>
        <v>50</v>
      </c>
      <c r="V7" s="980" t="s">
        <v>349</v>
      </c>
      <c r="W7" s="981"/>
      <c r="X7" s="981"/>
      <c r="Y7" s="262">
        <f>VLOOKUP(Y6,AA11:AC37,2,FALSE)</f>
        <v>32</v>
      </c>
    </row>
    <row r="8" spans="1:29" ht="15.75" thickBot="1" x14ac:dyDescent="0.3">
      <c r="A8" s="392" t="s">
        <v>164</v>
      </c>
      <c r="B8" s="393">
        <v>25</v>
      </c>
      <c r="C8" s="394" t="s">
        <v>131</v>
      </c>
      <c r="D8" s="395">
        <f>B8*230*SQRT(3)*SQRT(3)</f>
        <v>17250</v>
      </c>
      <c r="E8" s="396">
        <f t="shared" si="0"/>
        <v>19492.499999999996</v>
      </c>
      <c r="F8" s="397">
        <f t="shared" si="1"/>
        <v>0.15553623188405796</v>
      </c>
      <c r="G8" s="398">
        <f t="shared" si="2"/>
        <v>0.37710144927536232</v>
      </c>
      <c r="H8" s="399">
        <f t="shared" si="3"/>
        <v>0.54562318840579715</v>
      </c>
      <c r="I8" s="400">
        <f t="shared" si="4"/>
        <v>0.69565217391304346</v>
      </c>
      <c r="J8" s="395">
        <f>B8*230*0.9*SQRT(3)*SQRT(3)</f>
        <v>15524.999999999998</v>
      </c>
      <c r="K8" s="401">
        <f t="shared" si="5"/>
        <v>17543.249999999996</v>
      </c>
      <c r="L8" s="397">
        <f t="shared" si="6"/>
        <v>0.1728180354267311</v>
      </c>
      <c r="M8" s="398">
        <f t="shared" si="7"/>
        <v>0.41900161030595817</v>
      </c>
      <c r="N8" s="399">
        <f t="shared" si="8"/>
        <v>0.60624798711755246</v>
      </c>
      <c r="O8" s="402">
        <f t="shared" ref="O8:O14" si="11">12000/J8</f>
        <v>0.77294685990338174</v>
      </c>
      <c r="P8" s="391"/>
      <c r="Q8" s="353" t="str">
        <f>'Effektkalkulator ice'!A124</f>
        <v>Eksisterende kabel type</v>
      </c>
      <c r="R8" s="222"/>
      <c r="S8" s="223" t="str">
        <f>'Effektkalkulator ice'!B124</f>
        <v>16mm2 Cu</v>
      </c>
      <c r="V8" s="980" t="s">
        <v>347</v>
      </c>
      <c r="W8" s="981"/>
      <c r="X8" s="981"/>
      <c r="Y8" s="262" t="str">
        <f>R63</f>
        <v>3x40A (IT)</v>
      </c>
    </row>
    <row r="9" spans="1:29" ht="15.75" thickBot="1" x14ac:dyDescent="0.3">
      <c r="A9" s="392" t="s">
        <v>134</v>
      </c>
      <c r="B9" s="393">
        <v>32</v>
      </c>
      <c r="C9" s="394" t="s">
        <v>130</v>
      </c>
      <c r="D9" s="395">
        <f>B9*230*SQRT(3)</f>
        <v>12747.893943706937</v>
      </c>
      <c r="E9" s="396">
        <f t="shared" si="0"/>
        <v>14405.120156388837</v>
      </c>
      <c r="F9" s="397">
        <f t="shared" si="1"/>
        <v>0.21046613753203341</v>
      </c>
      <c r="G9" s="398">
        <f t="shared" si="2"/>
        <v>0.51028036699436352</v>
      </c>
      <c r="H9" s="399">
        <f t="shared" si="3"/>
        <v>0.73831803445825517</v>
      </c>
      <c r="I9" s="400">
        <f t="shared" si="4"/>
        <v>0.94133196063525937</v>
      </c>
      <c r="J9" s="395">
        <f>B9*230*0.9*SQRT(3)</f>
        <v>11473.104549336242</v>
      </c>
      <c r="K9" s="401">
        <f t="shared" si="5"/>
        <v>12964.608140749951</v>
      </c>
      <c r="L9" s="397">
        <f t="shared" si="6"/>
        <v>0.23385126392448161</v>
      </c>
      <c r="M9" s="398">
        <f t="shared" si="7"/>
        <v>0.56697818554929291</v>
      </c>
      <c r="N9" s="399">
        <f t="shared" si="8"/>
        <v>0.82035337162028354</v>
      </c>
      <c r="O9" s="402">
        <f t="shared" si="11"/>
        <v>1.0459244007058439</v>
      </c>
      <c r="P9" s="391"/>
      <c r="Q9" s="972"/>
      <c r="R9" s="973"/>
      <c r="S9" s="229"/>
      <c r="V9" s="978" t="s">
        <v>348</v>
      </c>
      <c r="W9" s="979"/>
      <c r="X9" s="979"/>
      <c r="Y9" s="262">
        <f>VLOOKUP(Y8,AA13:AC39,2,FALSE)</f>
        <v>40</v>
      </c>
    </row>
    <row r="10" spans="1:29" ht="15.75" thickBot="1" x14ac:dyDescent="0.3">
      <c r="A10" s="392" t="s">
        <v>165</v>
      </c>
      <c r="B10" s="393">
        <v>32</v>
      </c>
      <c r="C10" s="394" t="s">
        <v>131</v>
      </c>
      <c r="D10" s="395">
        <f>B10*230*SQRT(3)*SQRT(3)</f>
        <v>22080</v>
      </c>
      <c r="E10" s="396">
        <f t="shared" si="0"/>
        <v>24950.399999999998</v>
      </c>
      <c r="F10" s="397">
        <f t="shared" si="1"/>
        <v>0.12151268115942029</v>
      </c>
      <c r="G10" s="398">
        <f t="shared" si="2"/>
        <v>0.29461050724637683</v>
      </c>
      <c r="H10" s="399">
        <f t="shared" si="3"/>
        <v>0.42626811594202896</v>
      </c>
      <c r="I10" s="400">
        <f t="shared" si="4"/>
        <v>0.54347826086956519</v>
      </c>
      <c r="J10" s="395">
        <f>B10*230*0.9*SQRT(3)*SQRT(3)</f>
        <v>19871.999999999996</v>
      </c>
      <c r="K10" s="401">
        <f t="shared" si="5"/>
        <v>22455.359999999993</v>
      </c>
      <c r="L10" s="397">
        <f t="shared" si="6"/>
        <v>0.13501409017713367</v>
      </c>
      <c r="M10" s="398">
        <f t="shared" si="7"/>
        <v>0.32734500805152983</v>
      </c>
      <c r="N10" s="399">
        <f t="shared" si="8"/>
        <v>0.47363123993558787</v>
      </c>
      <c r="O10" s="402">
        <f t="shared" si="11"/>
        <v>0.60386473429951704</v>
      </c>
      <c r="P10" s="391"/>
    </row>
    <row r="11" spans="1:29" ht="15.75" thickBot="1" x14ac:dyDescent="0.3">
      <c r="A11" s="392" t="s">
        <v>135</v>
      </c>
      <c r="B11" s="393">
        <v>40</v>
      </c>
      <c r="C11" s="394" t="s">
        <v>130</v>
      </c>
      <c r="D11" s="395">
        <f>B11*230*SQRT(3)</f>
        <v>15934.86742963367</v>
      </c>
      <c r="E11" s="396">
        <f t="shared" si="0"/>
        <v>18006.400195486047</v>
      </c>
      <c r="F11" s="397">
        <f t="shared" si="1"/>
        <v>0.16837291002562674</v>
      </c>
      <c r="G11" s="398">
        <f t="shared" si="2"/>
        <v>0.40822429359549084</v>
      </c>
      <c r="H11" s="399">
        <f t="shared" si="3"/>
        <v>0.59065442756660413</v>
      </c>
      <c r="I11" s="400">
        <f t="shared" si="4"/>
        <v>0.75306556850820761</v>
      </c>
      <c r="J11" s="395">
        <f t="shared" ref="J11" si="12">B11*230*0.9*SQRT(3)</f>
        <v>14341.380686670303</v>
      </c>
      <c r="K11" s="401">
        <f t="shared" si="5"/>
        <v>16205.760175937441</v>
      </c>
      <c r="L11" s="397">
        <f t="shared" si="6"/>
        <v>0.18708101113958525</v>
      </c>
      <c r="M11" s="398">
        <f t="shared" si="7"/>
        <v>0.45358254843943424</v>
      </c>
      <c r="N11" s="399">
        <f t="shared" si="8"/>
        <v>0.65628269729622679</v>
      </c>
      <c r="O11" s="402">
        <f t="shared" si="11"/>
        <v>0.83673952056467504</v>
      </c>
      <c r="P11" s="391"/>
      <c r="Q11" s="193" t="s">
        <v>231</v>
      </c>
      <c r="R11" s="47" t="s">
        <v>234</v>
      </c>
      <c r="S11" s="47" t="str">
        <f>_xlfn.CONCAT("Effekt (",$S$1," V)")</f>
        <v>Effekt (215 V)</v>
      </c>
      <c r="T11" s="47" t="s">
        <v>232</v>
      </c>
      <c r="U11" s="47" t="s">
        <v>234</v>
      </c>
      <c r="V11" s="47" t="str">
        <f>_xlfn.CONCAT("Effekt (",$S$1," V)")</f>
        <v>Effekt (215 V)</v>
      </c>
      <c r="W11" s="47" t="s">
        <v>233</v>
      </c>
      <c r="X11" s="47" t="s">
        <v>234</v>
      </c>
      <c r="Y11" s="59" t="str">
        <f>_xlfn.CONCAT("Effekt (",$S$1," V)")</f>
        <v>Effekt (215 V)</v>
      </c>
      <c r="AA11" s="46" t="s">
        <v>310</v>
      </c>
      <c r="AB11" s="47" t="s">
        <v>234</v>
      </c>
      <c r="AC11" s="59" t="str">
        <f>_xlfn.CONCAT("Effekt (",$S$1," V)")</f>
        <v>Effekt (215 V)</v>
      </c>
    </row>
    <row r="12" spans="1:29" ht="15.75" thickBot="1" x14ac:dyDescent="0.3">
      <c r="A12" s="403" t="s">
        <v>166</v>
      </c>
      <c r="B12" s="404">
        <v>40</v>
      </c>
      <c r="C12" s="405" t="s">
        <v>131</v>
      </c>
      <c r="D12" s="406">
        <f>B12*230*SQRT(3)*SQRT(3)</f>
        <v>27599.999999999996</v>
      </c>
      <c r="E12" s="407">
        <f t="shared" si="0"/>
        <v>31187.999999999993</v>
      </c>
      <c r="F12" s="408">
        <f t="shared" si="1"/>
        <v>9.7210144927536241E-2</v>
      </c>
      <c r="G12" s="409">
        <f t="shared" si="2"/>
        <v>0.23568840579710149</v>
      </c>
      <c r="H12" s="410">
        <f t="shared" si="3"/>
        <v>0.34101449275362322</v>
      </c>
      <c r="I12" s="411">
        <f>12000/D12</f>
        <v>0.43478260869565222</v>
      </c>
      <c r="J12" s="406">
        <f>B12*230*0.9*SQRT(3)*SQRT(3)</f>
        <v>24839.999999999996</v>
      </c>
      <c r="K12" s="412">
        <f t="shared" si="5"/>
        <v>28069.199999999993</v>
      </c>
      <c r="L12" s="408">
        <f t="shared" si="6"/>
        <v>0.10801127214170694</v>
      </c>
      <c r="M12" s="409">
        <f t="shared" si="7"/>
        <v>0.26187600644122389</v>
      </c>
      <c r="N12" s="410">
        <f t="shared" si="8"/>
        <v>0.37890499194847027</v>
      </c>
      <c r="O12" s="413">
        <f t="shared" si="11"/>
        <v>0.48309178743961362</v>
      </c>
      <c r="P12" s="391"/>
      <c r="Q12" s="198" t="s">
        <v>249</v>
      </c>
      <c r="R12" s="183">
        <v>16</v>
      </c>
      <c r="S12" s="201">
        <f>R12*$S$1</f>
        <v>3440</v>
      </c>
      <c r="T12" s="3" t="s">
        <v>235</v>
      </c>
      <c r="U12" s="183">
        <v>16</v>
      </c>
      <c r="V12" s="201">
        <f t="shared" ref="V12:V22" si="13">U12*SQRT(3)*$S$1</f>
        <v>5958.2547780369378</v>
      </c>
      <c r="W12" s="3" t="s">
        <v>253</v>
      </c>
      <c r="X12" s="183">
        <v>16</v>
      </c>
      <c r="Y12" s="201">
        <f t="shared" ref="Y12:Y22" si="14">X12*SQRT(3)*SQRT(3)*$S$1</f>
        <v>10319.999999999998</v>
      </c>
      <c r="AA12" s="3" t="str">
        <f t="shared" ref="AA12:AA24" si="15">T12</f>
        <v>3x16A (IT)</v>
      </c>
      <c r="AB12" s="183">
        <f t="shared" ref="AB12:AB24" si="16">U12</f>
        <v>16</v>
      </c>
      <c r="AC12" s="157">
        <f t="shared" ref="AC12:AC24" si="17">V12</f>
        <v>5958.2547780369378</v>
      </c>
    </row>
    <row r="13" spans="1:29" x14ac:dyDescent="0.25">
      <c r="A13" s="392" t="s">
        <v>136</v>
      </c>
      <c r="B13" s="393">
        <v>63</v>
      </c>
      <c r="C13" s="394" t="s">
        <v>130</v>
      </c>
      <c r="D13" s="395">
        <f>B13*230*SQRT(3)</f>
        <v>25097.41620167303</v>
      </c>
      <c r="E13" s="396">
        <f t="shared" si="0"/>
        <v>28360.080307890519</v>
      </c>
      <c r="F13" s="397">
        <f t="shared" si="1"/>
        <v>0.10690343493690586</v>
      </c>
      <c r="G13" s="398">
        <f t="shared" si="2"/>
        <v>0.25919002767967675</v>
      </c>
      <c r="H13" s="399">
        <f t="shared" si="3"/>
        <v>0.37501868416927248</v>
      </c>
      <c r="I13" s="400">
        <f t="shared" ref="I13" si="18">12000/D13</f>
        <v>0.47813686889410006</v>
      </c>
      <c r="J13" s="395">
        <f t="shared" ref="J13" si="19">B13*230*0.9*SQRT(3)</f>
        <v>22587.674581505729</v>
      </c>
      <c r="K13" s="401">
        <f t="shared" si="5"/>
        <v>25524.072277101473</v>
      </c>
      <c r="L13" s="397">
        <f t="shared" si="6"/>
        <v>0.11878159437433984</v>
      </c>
      <c r="M13" s="398">
        <f t="shared" si="7"/>
        <v>0.28798891964408524</v>
      </c>
      <c r="N13" s="399">
        <f t="shared" si="8"/>
        <v>0.41668742685474713</v>
      </c>
      <c r="O13" s="402">
        <f t="shared" si="11"/>
        <v>0.53126318766011116</v>
      </c>
      <c r="P13" s="391"/>
      <c r="Q13" s="199" t="s">
        <v>250</v>
      </c>
      <c r="R13" s="184">
        <v>20</v>
      </c>
      <c r="S13" s="202">
        <f>R13*$S$1</f>
        <v>4300</v>
      </c>
      <c r="T13" s="10" t="s">
        <v>236</v>
      </c>
      <c r="U13" s="184">
        <v>20</v>
      </c>
      <c r="V13" s="202">
        <f t="shared" si="13"/>
        <v>7447.8184725461715</v>
      </c>
      <c r="W13" s="10" t="s">
        <v>254</v>
      </c>
      <c r="X13" s="184">
        <v>20</v>
      </c>
      <c r="Y13" s="202">
        <f t="shared" si="14"/>
        <v>12899.999999999998</v>
      </c>
      <c r="AA13" s="10" t="str">
        <f t="shared" si="15"/>
        <v>3x20A (IT)</v>
      </c>
      <c r="AB13" s="184">
        <f t="shared" si="16"/>
        <v>20</v>
      </c>
      <c r="AC13" s="159">
        <f t="shared" si="17"/>
        <v>7447.8184725461715</v>
      </c>
    </row>
    <row r="14" spans="1:29" ht="15.75" thickBot="1" x14ac:dyDescent="0.3">
      <c r="A14" s="403" t="s">
        <v>169</v>
      </c>
      <c r="B14" s="404">
        <v>63</v>
      </c>
      <c r="C14" s="405" t="s">
        <v>131</v>
      </c>
      <c r="D14" s="406">
        <f>B14*230*SQRT(3)*SQRT(3)</f>
        <v>43469.999999999993</v>
      </c>
      <c r="E14" s="407">
        <f t="shared" si="0"/>
        <v>49121.099999999984</v>
      </c>
      <c r="F14" s="408">
        <f t="shared" si="1"/>
        <v>6.1720726938118253E-2</v>
      </c>
      <c r="G14" s="409">
        <f t="shared" si="2"/>
        <v>0.14964343225212792</v>
      </c>
      <c r="H14" s="410">
        <f t="shared" si="3"/>
        <v>0.21651713825626873</v>
      </c>
      <c r="I14" s="411">
        <f>12000/D14</f>
        <v>0.2760524499654935</v>
      </c>
      <c r="J14" s="406">
        <f>B14*230*0.9*SQRT(3)*SQRT(3)</f>
        <v>39123</v>
      </c>
      <c r="K14" s="412">
        <f t="shared" si="5"/>
        <v>44208.99</v>
      </c>
      <c r="L14" s="408">
        <f t="shared" si="6"/>
        <v>6.8578585486798044E-2</v>
      </c>
      <c r="M14" s="409">
        <f t="shared" si="7"/>
        <v>0.1662704802801421</v>
      </c>
      <c r="N14" s="410">
        <f t="shared" si="8"/>
        <v>0.24057459806252077</v>
      </c>
      <c r="O14" s="413">
        <f t="shared" si="11"/>
        <v>0.30672494440610382</v>
      </c>
      <c r="P14" s="391"/>
      <c r="Q14" s="199" t="s">
        <v>251</v>
      </c>
      <c r="R14" s="184">
        <v>25</v>
      </c>
      <c r="S14" s="202">
        <f>R14*$S$1</f>
        <v>5375</v>
      </c>
      <c r="T14" s="10" t="s">
        <v>237</v>
      </c>
      <c r="U14" s="184">
        <v>25</v>
      </c>
      <c r="V14" s="202">
        <f t="shared" si="13"/>
        <v>9309.7730906827146</v>
      </c>
      <c r="W14" s="10" t="s">
        <v>255</v>
      </c>
      <c r="X14" s="184">
        <v>25</v>
      </c>
      <c r="Y14" s="202">
        <f t="shared" si="14"/>
        <v>16125</v>
      </c>
      <c r="AA14" s="10" t="str">
        <f t="shared" si="15"/>
        <v>3x25A (IT)</v>
      </c>
      <c r="AB14" s="184">
        <f t="shared" si="16"/>
        <v>25</v>
      </c>
      <c r="AC14" s="159">
        <f t="shared" si="17"/>
        <v>9309.7730906827146</v>
      </c>
    </row>
    <row r="15" spans="1:29" x14ac:dyDescent="0.25">
      <c r="A15" s="414"/>
      <c r="B15" s="415"/>
      <c r="C15" s="415"/>
      <c r="D15" s="416"/>
      <c r="E15" s="416"/>
      <c r="F15" s="417"/>
      <c r="G15" s="417"/>
      <c r="H15" s="417"/>
      <c r="I15" s="417"/>
      <c r="J15" s="416"/>
      <c r="K15" s="416"/>
      <c r="L15" s="417"/>
      <c r="M15" s="417"/>
      <c r="N15" s="417"/>
      <c r="O15" s="417"/>
      <c r="P15" s="391"/>
      <c r="Q15" s="199" t="s">
        <v>252</v>
      </c>
      <c r="R15" s="184">
        <v>32</v>
      </c>
      <c r="S15" s="202">
        <f>R15*$S$1</f>
        <v>6880</v>
      </c>
      <c r="T15" s="10" t="s">
        <v>238</v>
      </c>
      <c r="U15" s="184">
        <v>32</v>
      </c>
      <c r="V15" s="202">
        <f t="shared" si="13"/>
        <v>11916.509556073876</v>
      </c>
      <c r="W15" s="10" t="s">
        <v>256</v>
      </c>
      <c r="X15" s="184">
        <v>32</v>
      </c>
      <c r="Y15" s="202">
        <f t="shared" si="14"/>
        <v>20639.999999999996</v>
      </c>
      <c r="AA15" s="10" t="str">
        <f t="shared" si="15"/>
        <v>3x32A (IT)</v>
      </c>
      <c r="AB15" s="184">
        <f t="shared" si="16"/>
        <v>32</v>
      </c>
      <c r="AC15" s="159">
        <f t="shared" si="17"/>
        <v>11916.509556073876</v>
      </c>
    </row>
    <row r="16" spans="1:29" ht="15.75" thickBot="1" x14ac:dyDescent="0.3">
      <c r="A16" s="414"/>
      <c r="B16" s="415"/>
      <c r="C16" s="415"/>
      <c r="D16" s="416"/>
      <c r="E16" s="416"/>
      <c r="F16" s="416"/>
      <c r="G16" s="416"/>
      <c r="H16" s="416"/>
      <c r="I16" s="416"/>
      <c r="J16" s="415"/>
      <c r="K16" s="415"/>
      <c r="L16" s="415"/>
      <c r="M16" s="415"/>
      <c r="N16" s="415"/>
      <c r="O16" s="415"/>
      <c r="P16" s="391"/>
      <c r="Q16" s="199"/>
      <c r="R16" s="26"/>
      <c r="S16" s="203"/>
      <c r="T16" s="10" t="s">
        <v>239</v>
      </c>
      <c r="U16" s="184">
        <v>40</v>
      </c>
      <c r="V16" s="202">
        <f t="shared" si="13"/>
        <v>14895.636945092343</v>
      </c>
      <c r="W16" s="10" t="s">
        <v>257</v>
      </c>
      <c r="X16" s="184">
        <v>40</v>
      </c>
      <c r="Y16" s="202">
        <f t="shared" si="14"/>
        <v>25799.999999999996</v>
      </c>
      <c r="AA16" s="10" t="str">
        <f t="shared" si="15"/>
        <v>3x40A (IT)</v>
      </c>
      <c r="AB16" s="184">
        <f t="shared" si="16"/>
        <v>40</v>
      </c>
      <c r="AC16" s="159">
        <f t="shared" si="17"/>
        <v>14895.636945092343</v>
      </c>
    </row>
    <row r="17" spans="1:29" ht="15.75" thickBot="1" x14ac:dyDescent="0.3">
      <c r="A17" s="414"/>
      <c r="B17" s="415"/>
      <c r="C17" s="415"/>
      <c r="D17" s="955" t="s">
        <v>137</v>
      </c>
      <c r="E17" s="944" t="s">
        <v>138</v>
      </c>
      <c r="F17" s="965"/>
      <c r="G17" s="418"/>
      <c r="H17" s="966"/>
      <c r="I17" s="966"/>
      <c r="J17" s="966"/>
      <c r="K17" s="415"/>
      <c r="L17" s="415"/>
      <c r="M17" s="415"/>
      <c r="N17" s="415"/>
      <c r="O17" s="415"/>
      <c r="P17" s="391"/>
      <c r="Q17" s="199"/>
      <c r="R17" s="26"/>
      <c r="S17" s="203"/>
      <c r="T17" s="10" t="s">
        <v>240</v>
      </c>
      <c r="U17" s="184">
        <v>50</v>
      </c>
      <c r="V17" s="202">
        <f>U17*SQRT(3)*$S$1</f>
        <v>18619.546181365429</v>
      </c>
      <c r="W17" s="10" t="s">
        <v>258</v>
      </c>
      <c r="X17" s="184">
        <v>50</v>
      </c>
      <c r="Y17" s="202">
        <f t="shared" si="14"/>
        <v>32250</v>
      </c>
      <c r="AA17" s="10" t="str">
        <f t="shared" si="15"/>
        <v>3x50A (IT)</v>
      </c>
      <c r="AB17" s="184">
        <f t="shared" si="16"/>
        <v>50</v>
      </c>
      <c r="AC17" s="159">
        <f t="shared" si="17"/>
        <v>18619.546181365429</v>
      </c>
    </row>
    <row r="18" spans="1:29" ht="15.75" thickBot="1" x14ac:dyDescent="0.3">
      <c r="A18" s="367" t="s">
        <v>139</v>
      </c>
      <c r="B18" s="368" t="s">
        <v>121</v>
      </c>
      <c r="C18" s="369" t="s">
        <v>122</v>
      </c>
      <c r="D18" s="964"/>
      <c r="E18" s="374" t="s">
        <v>140</v>
      </c>
      <c r="F18" s="371" t="s">
        <v>141</v>
      </c>
      <c r="G18" s="967" t="s">
        <v>142</v>
      </c>
      <c r="H18" s="968"/>
      <c r="I18" s="419"/>
      <c r="J18" s="420"/>
      <c r="K18" s="420"/>
      <c r="L18" s="420"/>
      <c r="M18" s="415"/>
      <c r="N18" s="415"/>
      <c r="O18" s="415"/>
      <c r="P18" s="391"/>
      <c r="Q18" s="199"/>
      <c r="R18" s="26"/>
      <c r="S18" s="203"/>
      <c r="T18" s="10" t="s">
        <v>241</v>
      </c>
      <c r="U18" s="184">
        <v>63</v>
      </c>
      <c r="V18" s="202">
        <f t="shared" si="13"/>
        <v>23460.628188520441</v>
      </c>
      <c r="W18" s="10" t="s">
        <v>259</v>
      </c>
      <c r="X18" s="184">
        <v>63</v>
      </c>
      <c r="Y18" s="202">
        <f t="shared" si="14"/>
        <v>40634.999999999993</v>
      </c>
      <c r="AA18" s="10" t="str">
        <f t="shared" si="15"/>
        <v>3x63A (IT)</v>
      </c>
      <c r="AB18" s="184">
        <f t="shared" si="16"/>
        <v>63</v>
      </c>
      <c r="AC18" s="159">
        <f t="shared" si="17"/>
        <v>23460.628188520441</v>
      </c>
    </row>
    <row r="19" spans="1:29" ht="15.75" thickBot="1" x14ac:dyDescent="0.3">
      <c r="A19" s="421" t="s">
        <v>133</v>
      </c>
      <c r="B19" s="422">
        <v>25</v>
      </c>
      <c r="C19" s="423" t="s">
        <v>130</v>
      </c>
      <c r="D19" s="424">
        <f>B19*230*SQRT(3)</f>
        <v>9959.2921435210446</v>
      </c>
      <c r="E19" s="425">
        <f>24000/D19</f>
        <v>2.4098098192262638</v>
      </c>
      <c r="F19" s="425">
        <f t="shared" ref="F19:F28" si="20">24000/(D19*0.9)</f>
        <v>2.6775664658069598</v>
      </c>
      <c r="G19" s="969"/>
      <c r="H19" s="970"/>
      <c r="I19" s="419"/>
      <c r="J19" s="415"/>
      <c r="K19" s="415"/>
      <c r="L19" s="415"/>
      <c r="M19" s="415"/>
      <c r="N19" s="415"/>
      <c r="O19" s="415"/>
      <c r="P19" s="391"/>
      <c r="Q19" s="199"/>
      <c r="R19" s="26"/>
      <c r="S19" s="40"/>
      <c r="T19" s="48" t="s">
        <v>260</v>
      </c>
      <c r="U19" s="204">
        <v>80</v>
      </c>
      <c r="V19" s="205">
        <f t="shared" si="13"/>
        <v>29791.273890184686</v>
      </c>
      <c r="W19" s="48" t="s">
        <v>300</v>
      </c>
      <c r="X19" s="204">
        <v>80</v>
      </c>
      <c r="Y19" s="205">
        <f t="shared" si="14"/>
        <v>51599.999999999993</v>
      </c>
      <c r="AA19" s="10" t="str">
        <f t="shared" si="15"/>
        <v>3x80A (IT)</v>
      </c>
      <c r="AB19" s="184">
        <f t="shared" si="16"/>
        <v>80</v>
      </c>
      <c r="AC19" s="159">
        <f t="shared" si="17"/>
        <v>29791.273890184686</v>
      </c>
    </row>
    <row r="20" spans="1:29" ht="15.75" thickBot="1" x14ac:dyDescent="0.3">
      <c r="A20" s="392" t="s">
        <v>133</v>
      </c>
      <c r="B20" s="393">
        <v>25</v>
      </c>
      <c r="C20" s="394" t="s">
        <v>131</v>
      </c>
      <c r="D20" s="426">
        <f>B20*230*SQRT(3)*SQRT(3)</f>
        <v>17250</v>
      </c>
      <c r="E20" s="427">
        <f t="shared" ref="E20" si="21">24000/D20</f>
        <v>1.3913043478260869</v>
      </c>
      <c r="F20" s="427">
        <f t="shared" si="20"/>
        <v>1.5458937198067633</v>
      </c>
      <c r="G20" s="945"/>
      <c r="H20" s="946"/>
      <c r="I20" s="419"/>
      <c r="J20" s="415"/>
      <c r="K20" s="415"/>
      <c r="L20" s="415"/>
      <c r="M20" s="415"/>
      <c r="N20" s="415"/>
      <c r="O20" s="415"/>
      <c r="P20" s="391"/>
      <c r="Q20" s="199"/>
      <c r="R20" s="26"/>
      <c r="S20" s="40"/>
      <c r="T20" s="3" t="s">
        <v>301</v>
      </c>
      <c r="U20" s="183">
        <v>32</v>
      </c>
      <c r="V20" s="201">
        <f t="shared" si="13"/>
        <v>11916.509556073876</v>
      </c>
      <c r="W20" s="3" t="s">
        <v>303</v>
      </c>
      <c r="X20" s="183">
        <v>32</v>
      </c>
      <c r="Y20" s="201">
        <f t="shared" si="14"/>
        <v>20639.999999999996</v>
      </c>
      <c r="AA20" s="10" t="str">
        <f t="shared" si="15"/>
        <v>Lastbryter 3x32A (IT)</v>
      </c>
      <c r="AB20" s="184">
        <f t="shared" si="16"/>
        <v>32</v>
      </c>
      <c r="AC20" s="159">
        <f t="shared" si="17"/>
        <v>11916.509556073876</v>
      </c>
    </row>
    <row r="21" spans="1:29" x14ac:dyDescent="0.25">
      <c r="A21" s="421" t="s">
        <v>134</v>
      </c>
      <c r="B21" s="422">
        <v>32</v>
      </c>
      <c r="C21" s="423" t="s">
        <v>130</v>
      </c>
      <c r="D21" s="424">
        <f>B21*230*SQRT(3)</f>
        <v>12747.893943706937</v>
      </c>
      <c r="E21" s="425">
        <f>24000/D21</f>
        <v>1.8826639212705187</v>
      </c>
      <c r="F21" s="425">
        <f t="shared" si="20"/>
        <v>2.0918488014116874</v>
      </c>
      <c r="G21" s="969"/>
      <c r="H21" s="970"/>
      <c r="I21" s="419"/>
      <c r="J21" s="415"/>
      <c r="K21" s="415"/>
      <c r="L21" s="415"/>
      <c r="M21" s="415"/>
      <c r="N21" s="415"/>
      <c r="O21" s="415"/>
      <c r="P21" s="391"/>
      <c r="Q21" s="199"/>
      <c r="R21" s="26"/>
      <c r="S21" s="40"/>
      <c r="T21" s="10" t="s">
        <v>299</v>
      </c>
      <c r="U21" s="184">
        <v>40</v>
      </c>
      <c r="V21" s="202">
        <f t="shared" si="13"/>
        <v>14895.636945092343</v>
      </c>
      <c r="W21" s="10" t="s">
        <v>304</v>
      </c>
      <c r="X21" s="184">
        <v>40</v>
      </c>
      <c r="Y21" s="202">
        <f t="shared" si="14"/>
        <v>25799.999999999996</v>
      </c>
      <c r="AA21" s="10" t="str">
        <f t="shared" si="15"/>
        <v>Lastbryter 3x40A (IT)</v>
      </c>
      <c r="AB21" s="184">
        <f t="shared" si="16"/>
        <v>40</v>
      </c>
      <c r="AC21" s="159">
        <f t="shared" si="17"/>
        <v>14895.636945092343</v>
      </c>
    </row>
    <row r="22" spans="1:29" ht="15.75" thickBot="1" x14ac:dyDescent="0.3">
      <c r="A22" s="392" t="s">
        <v>134</v>
      </c>
      <c r="B22" s="393">
        <v>32</v>
      </c>
      <c r="C22" s="394" t="s">
        <v>131</v>
      </c>
      <c r="D22" s="426">
        <f>B22*230*SQRT(3)*SQRT(3)</f>
        <v>22080</v>
      </c>
      <c r="E22" s="427">
        <f t="shared" ref="E22" si="22">24000/D22</f>
        <v>1.0869565217391304</v>
      </c>
      <c r="F22" s="427">
        <f t="shared" si="20"/>
        <v>1.2077294685990339</v>
      </c>
      <c r="G22" s="945"/>
      <c r="H22" s="946"/>
      <c r="I22" s="419"/>
      <c r="J22" s="428"/>
      <c r="K22" s="428"/>
      <c r="L22" s="415"/>
      <c r="M22" s="415"/>
      <c r="N22" s="415"/>
      <c r="O22" s="415"/>
      <c r="P22" s="391"/>
      <c r="Q22" s="199"/>
      <c r="R22" s="26"/>
      <c r="S22" s="40"/>
      <c r="T22" s="10" t="s">
        <v>307</v>
      </c>
      <c r="U22" s="184">
        <v>50</v>
      </c>
      <c r="V22" s="202">
        <f t="shared" si="13"/>
        <v>18619.546181365429</v>
      </c>
      <c r="W22" s="10" t="s">
        <v>308</v>
      </c>
      <c r="X22" s="184">
        <v>50</v>
      </c>
      <c r="Y22" s="202">
        <f t="shared" si="14"/>
        <v>32250</v>
      </c>
      <c r="AA22" s="10" t="str">
        <f t="shared" si="15"/>
        <v>Lastbryter 3x50A (IT)</v>
      </c>
      <c r="AB22" s="184">
        <f t="shared" si="16"/>
        <v>50</v>
      </c>
      <c r="AC22" s="159">
        <f t="shared" si="17"/>
        <v>18619.546181365429</v>
      </c>
    </row>
    <row r="23" spans="1:29" x14ac:dyDescent="0.25">
      <c r="A23" s="421" t="s">
        <v>135</v>
      </c>
      <c r="B23" s="422">
        <v>40</v>
      </c>
      <c r="C23" s="423" t="s">
        <v>130</v>
      </c>
      <c r="D23" s="424">
        <f>B23*230*SQRT(3)</f>
        <v>15934.86742963367</v>
      </c>
      <c r="E23" s="425">
        <f>24000/D23</f>
        <v>1.5061311370164152</v>
      </c>
      <c r="F23" s="425">
        <f t="shared" si="20"/>
        <v>1.6734790411293501</v>
      </c>
      <c r="G23" s="969"/>
      <c r="H23" s="970"/>
      <c r="I23" s="419"/>
      <c r="J23" s="416"/>
      <c r="K23" s="416"/>
      <c r="L23" s="415"/>
      <c r="M23" s="415"/>
      <c r="N23" s="415"/>
      <c r="O23" s="415"/>
      <c r="P23" s="391"/>
      <c r="Q23" s="199"/>
      <c r="R23" s="26"/>
      <c r="S23" s="40"/>
      <c r="T23" s="10" t="s">
        <v>298</v>
      </c>
      <c r="U23" s="184">
        <v>63</v>
      </c>
      <c r="V23" s="202">
        <f>U23*SQRT(3)*$S$1</f>
        <v>23460.628188520441</v>
      </c>
      <c r="W23" s="10" t="s">
        <v>305</v>
      </c>
      <c r="X23" s="184">
        <v>63</v>
      </c>
      <c r="Y23" s="202">
        <f>X23*SQRT(3)*SQRT(3)*$S$1</f>
        <v>40634.999999999993</v>
      </c>
      <c r="AA23" s="10" t="str">
        <f t="shared" si="15"/>
        <v>Lastbryter 3x63A (IT)</v>
      </c>
      <c r="AB23" s="184">
        <f t="shared" si="16"/>
        <v>63</v>
      </c>
      <c r="AC23" s="159">
        <f t="shared" si="17"/>
        <v>23460.628188520441</v>
      </c>
    </row>
    <row r="24" spans="1:29" ht="15.75" thickBot="1" x14ac:dyDescent="0.3">
      <c r="A24" s="392" t="s">
        <v>135</v>
      </c>
      <c r="B24" s="393">
        <v>40</v>
      </c>
      <c r="C24" s="394" t="s">
        <v>131</v>
      </c>
      <c r="D24" s="426">
        <f>B24*230*SQRT(3)*SQRT(3)</f>
        <v>27599.999999999996</v>
      </c>
      <c r="E24" s="427">
        <f t="shared" ref="E24:E28" si="23">24000/D24</f>
        <v>0.86956521739130443</v>
      </c>
      <c r="F24" s="427">
        <f t="shared" si="20"/>
        <v>0.96618357487922724</v>
      </c>
      <c r="G24" s="945" t="s">
        <v>143</v>
      </c>
      <c r="H24" s="946"/>
      <c r="I24" s="419"/>
      <c r="J24" s="416"/>
      <c r="K24" s="416"/>
      <c r="L24" s="415"/>
      <c r="M24" s="415"/>
      <c r="N24" s="415"/>
      <c r="O24" s="415"/>
      <c r="P24" s="391"/>
      <c r="Q24" s="242"/>
      <c r="R24" s="28"/>
      <c r="S24" s="38"/>
      <c r="T24" s="48" t="s">
        <v>302</v>
      </c>
      <c r="U24" s="204">
        <v>80</v>
      </c>
      <c r="V24" s="205">
        <f>U24*SQRT(3)*$S$1</f>
        <v>29791.273890184686</v>
      </c>
      <c r="W24" s="48" t="s">
        <v>306</v>
      </c>
      <c r="X24" s="204">
        <v>80</v>
      </c>
      <c r="Y24" s="205">
        <f>X24*SQRT(3)*SQRT(3)*$S$1</f>
        <v>51599.999999999993</v>
      </c>
      <c r="AA24" s="4" t="str">
        <f t="shared" si="15"/>
        <v>Lastbryter 3x80A (IT)</v>
      </c>
      <c r="AB24" s="194">
        <f t="shared" si="16"/>
        <v>80</v>
      </c>
      <c r="AC24" s="161">
        <f t="shared" si="17"/>
        <v>29791.273890184686</v>
      </c>
    </row>
    <row r="25" spans="1:29" ht="30" x14ac:dyDescent="0.25">
      <c r="A25" s="392" t="s">
        <v>136</v>
      </c>
      <c r="B25" s="393">
        <v>63</v>
      </c>
      <c r="C25" s="394" t="s">
        <v>130</v>
      </c>
      <c r="D25" s="426">
        <f>B25*230*SQRT(3)</f>
        <v>25097.41620167303</v>
      </c>
      <c r="E25" s="427">
        <f t="shared" si="23"/>
        <v>0.95627373778820013</v>
      </c>
      <c r="F25" s="427">
        <f t="shared" si="20"/>
        <v>1.0625263753202223</v>
      </c>
      <c r="G25" s="945" t="s">
        <v>144</v>
      </c>
      <c r="H25" s="946"/>
      <c r="I25" s="419"/>
      <c r="J25" s="416"/>
      <c r="K25" s="416"/>
      <c r="L25" s="415"/>
      <c r="M25" s="415"/>
      <c r="N25" s="415"/>
      <c r="O25" s="415"/>
      <c r="P25" s="391"/>
      <c r="Q25" s="354" t="s">
        <v>263</v>
      </c>
      <c r="R25" s="230" t="s">
        <v>264</v>
      </c>
      <c r="S25" s="231" t="s">
        <v>266</v>
      </c>
      <c r="T25" s="198"/>
      <c r="U25" s="22"/>
      <c r="V25" s="32"/>
      <c r="W25" s="198"/>
      <c r="X25" s="22"/>
      <c r="Y25" s="32"/>
      <c r="AA25" s="3" t="str">
        <f t="shared" ref="AA25:AA37" si="24">W12</f>
        <v>4x16A (TN)</v>
      </c>
      <c r="AB25" s="183">
        <f t="shared" ref="AB25:AB37" si="25">X12</f>
        <v>16</v>
      </c>
      <c r="AC25" s="157">
        <f t="shared" ref="AC25:AC37" si="26">Y12</f>
        <v>10319.999999999998</v>
      </c>
    </row>
    <row r="26" spans="1:29" x14ac:dyDescent="0.25">
      <c r="A26" s="392" t="s">
        <v>136</v>
      </c>
      <c r="B26" s="393">
        <v>63</v>
      </c>
      <c r="C26" s="394" t="s">
        <v>131</v>
      </c>
      <c r="D26" s="426">
        <f>B26*230*SQRT(3)*SQRT(3)</f>
        <v>43469.999999999993</v>
      </c>
      <c r="E26" s="427">
        <f>24000/D26</f>
        <v>0.55210489993098699</v>
      </c>
      <c r="F26" s="427">
        <f t="shared" si="20"/>
        <v>0.61344988881220774</v>
      </c>
      <c r="G26" s="945" t="s">
        <v>145</v>
      </c>
      <c r="H26" s="946"/>
      <c r="I26" s="419"/>
      <c r="J26" s="416"/>
      <c r="K26" s="416"/>
      <c r="L26" s="415"/>
      <c r="M26" s="415"/>
      <c r="N26" s="415"/>
      <c r="O26" s="415"/>
      <c r="P26" s="391"/>
      <c r="Q26" s="199" t="s">
        <v>261</v>
      </c>
      <c r="R26" s="26"/>
      <c r="S26" s="40"/>
      <c r="T26" s="199"/>
      <c r="U26" s="26"/>
      <c r="V26" s="40"/>
      <c r="W26" s="199"/>
      <c r="X26" s="26"/>
      <c r="Y26" s="40"/>
      <c r="AA26" s="10" t="str">
        <f t="shared" si="24"/>
        <v>4x20A (TN)</v>
      </c>
      <c r="AB26" s="184">
        <f t="shared" si="25"/>
        <v>20</v>
      </c>
      <c r="AC26" s="159">
        <f t="shared" si="26"/>
        <v>12899.999999999998</v>
      </c>
    </row>
    <row r="27" spans="1:29" x14ac:dyDescent="0.25">
      <c r="A27" s="392" t="s">
        <v>146</v>
      </c>
      <c r="B27" s="393">
        <v>80</v>
      </c>
      <c r="C27" s="394" t="s">
        <v>130</v>
      </c>
      <c r="D27" s="426">
        <f>B27*230*SQRT(3)</f>
        <v>31869.734859267341</v>
      </c>
      <c r="E27" s="427">
        <f t="shared" si="23"/>
        <v>0.75306556850820761</v>
      </c>
      <c r="F27" s="427">
        <f t="shared" si="20"/>
        <v>0.83673952056467504</v>
      </c>
      <c r="G27" s="945" t="s">
        <v>147</v>
      </c>
      <c r="H27" s="946"/>
      <c r="I27" s="419"/>
      <c r="J27" s="416"/>
      <c r="K27" s="416"/>
      <c r="L27" s="415"/>
      <c r="M27" s="415"/>
      <c r="N27" s="415"/>
      <c r="O27" s="415"/>
      <c r="P27" s="391"/>
      <c r="Q27" s="199" t="s">
        <v>191</v>
      </c>
      <c r="R27" s="158">
        <f>8000-2000</f>
        <v>6000</v>
      </c>
      <c r="S27" s="40">
        <v>4</v>
      </c>
      <c r="T27" s="199"/>
      <c r="U27" s="26"/>
      <c r="V27" s="40"/>
      <c r="W27" s="199"/>
      <c r="X27" s="26"/>
      <c r="Y27" s="40"/>
      <c r="AA27" s="10" t="str">
        <f t="shared" si="24"/>
        <v>4x25A (TN)</v>
      </c>
      <c r="AB27" s="184">
        <f t="shared" si="25"/>
        <v>25</v>
      </c>
      <c r="AC27" s="159">
        <f t="shared" si="26"/>
        <v>16125</v>
      </c>
    </row>
    <row r="28" spans="1:29" ht="15.75" thickBot="1" x14ac:dyDescent="0.3">
      <c r="A28" s="403" t="s">
        <v>146</v>
      </c>
      <c r="B28" s="404">
        <v>80</v>
      </c>
      <c r="C28" s="405" t="s">
        <v>131</v>
      </c>
      <c r="D28" s="429">
        <f>B28*230*SQRT(3)*SQRT(3)</f>
        <v>55199.999999999993</v>
      </c>
      <c r="E28" s="430">
        <f t="shared" si="23"/>
        <v>0.43478260869565222</v>
      </c>
      <c r="F28" s="430">
        <f t="shared" si="20"/>
        <v>0.48309178743961362</v>
      </c>
      <c r="G28" s="947"/>
      <c r="H28" s="948"/>
      <c r="I28" s="419"/>
      <c r="J28" s="416"/>
      <c r="K28" s="416"/>
      <c r="L28" s="415"/>
      <c r="M28" s="415"/>
      <c r="N28" s="415"/>
      <c r="O28" s="415"/>
      <c r="P28" s="391"/>
      <c r="Q28" s="199" t="s">
        <v>188</v>
      </c>
      <c r="R28" s="158">
        <f>16000-2000</f>
        <v>14000</v>
      </c>
      <c r="S28" s="40">
        <v>8</v>
      </c>
      <c r="T28" s="199"/>
      <c r="U28" s="26"/>
      <c r="V28" s="40"/>
      <c r="W28" s="199"/>
      <c r="X28" s="26"/>
      <c r="Y28" s="40"/>
      <c r="AA28" s="10" t="str">
        <f t="shared" si="24"/>
        <v>4x32A (TN)</v>
      </c>
      <c r="AB28" s="184">
        <f t="shared" si="25"/>
        <v>32</v>
      </c>
      <c r="AC28" s="159">
        <f t="shared" si="26"/>
        <v>20639.999999999996</v>
      </c>
    </row>
    <row r="29" spans="1:29" ht="15.75" thickBot="1" x14ac:dyDescent="0.3">
      <c r="A29" s="414"/>
      <c r="B29" s="415"/>
      <c r="C29" s="415"/>
      <c r="D29" s="416"/>
      <c r="E29" s="431"/>
      <c r="F29" s="431"/>
      <c r="G29" s="432"/>
      <c r="H29" s="432"/>
      <c r="I29" s="419"/>
      <c r="J29" s="416"/>
      <c r="K29" s="416"/>
      <c r="L29" s="415"/>
      <c r="M29" s="415"/>
      <c r="N29" s="415"/>
      <c r="O29" s="415"/>
      <c r="P29" s="391"/>
      <c r="Q29" s="200" t="s">
        <v>192</v>
      </c>
      <c r="R29" s="160">
        <f>24000-2000</f>
        <v>22000</v>
      </c>
      <c r="S29" s="34">
        <v>12</v>
      </c>
      <c r="T29" s="200"/>
      <c r="U29" s="33"/>
      <c r="V29" s="34"/>
      <c r="W29" s="200"/>
      <c r="X29" s="33"/>
      <c r="Y29" s="34"/>
      <c r="AA29" s="10" t="str">
        <f t="shared" si="24"/>
        <v>4x40A (TN)</v>
      </c>
      <c r="AB29" s="184">
        <f t="shared" si="25"/>
        <v>40</v>
      </c>
      <c r="AC29" s="159">
        <f t="shared" si="26"/>
        <v>25799.999999999996</v>
      </c>
    </row>
    <row r="30" spans="1:29" ht="15.75" thickBot="1" x14ac:dyDescent="0.3">
      <c r="A30" s="414"/>
      <c r="B30" s="415"/>
      <c r="C30" s="415"/>
      <c r="D30" s="416"/>
      <c r="E30" s="431"/>
      <c r="F30" s="431"/>
      <c r="G30" s="432"/>
      <c r="H30" s="432"/>
      <c r="I30" s="419"/>
      <c r="J30" s="416"/>
      <c r="K30" s="416"/>
      <c r="L30" s="415"/>
      <c r="M30" s="415"/>
      <c r="N30" s="415"/>
      <c r="O30" s="415"/>
      <c r="P30" s="391"/>
      <c r="AA30" s="10" t="str">
        <f t="shared" si="24"/>
        <v>4x50A (TN)</v>
      </c>
      <c r="AB30" s="184">
        <f t="shared" si="25"/>
        <v>50</v>
      </c>
      <c r="AC30" s="159">
        <f t="shared" si="26"/>
        <v>32250</v>
      </c>
    </row>
    <row r="31" spans="1:29" ht="15.75" thickBot="1" x14ac:dyDescent="0.3">
      <c r="A31" s="414"/>
      <c r="B31" s="415"/>
      <c r="C31" s="415"/>
      <c r="D31" s="416"/>
      <c r="E31" s="431"/>
      <c r="F31" s="431"/>
      <c r="G31" s="432"/>
      <c r="H31" s="432"/>
      <c r="I31" s="419"/>
      <c r="J31" s="416"/>
      <c r="K31" s="416"/>
      <c r="L31" s="415"/>
      <c r="M31" s="415"/>
      <c r="N31" s="415"/>
      <c r="O31" s="415"/>
      <c r="P31" s="391"/>
      <c r="Q31" s="1" t="s">
        <v>248</v>
      </c>
      <c r="R31" s="218" t="s">
        <v>273</v>
      </c>
      <c r="S31" s="219"/>
      <c r="T31" s="219"/>
      <c r="U31" s="219"/>
      <c r="V31" s="219"/>
      <c r="W31" s="219"/>
      <c r="X31" s="220"/>
      <c r="AA31" s="10" t="str">
        <f t="shared" si="24"/>
        <v>4x63A (TN)</v>
      </c>
      <c r="AB31" s="184">
        <f t="shared" si="25"/>
        <v>63</v>
      </c>
      <c r="AC31" s="159">
        <f t="shared" si="26"/>
        <v>40634.999999999993</v>
      </c>
    </row>
    <row r="32" spans="1:29" ht="15.75" customHeight="1" thickBot="1" x14ac:dyDescent="0.3">
      <c r="A32" s="513" t="s">
        <v>148</v>
      </c>
      <c r="B32" s="514" t="s">
        <v>314</v>
      </c>
      <c r="C32" s="515" t="s">
        <v>150</v>
      </c>
      <c r="D32" s="515" t="s">
        <v>151</v>
      </c>
      <c r="E32" s="516" t="s">
        <v>152</v>
      </c>
      <c r="F32" s="431"/>
      <c r="G32" s="432"/>
      <c r="H32" s="432"/>
      <c r="I32" s="419"/>
      <c r="J32" s="416"/>
      <c r="K32" s="416"/>
      <c r="L32" s="415"/>
      <c r="M32" s="415"/>
      <c r="N32" s="415"/>
      <c r="O32" s="415"/>
      <c r="P32" s="391"/>
      <c r="Q32" s="146" t="s">
        <v>261</v>
      </c>
      <c r="R32" s="46" t="s">
        <v>274</v>
      </c>
      <c r="S32" s="47" t="s">
        <v>321</v>
      </c>
      <c r="T32" s="47" t="s">
        <v>316</v>
      </c>
      <c r="U32" s="47" t="s">
        <v>276</v>
      </c>
      <c r="V32" s="47" t="s">
        <v>315</v>
      </c>
      <c r="W32" s="47" t="s">
        <v>321</v>
      </c>
      <c r="X32" s="59" t="s">
        <v>311</v>
      </c>
      <c r="AA32" s="10" t="str">
        <f t="shared" si="24"/>
        <v>4x80A (TN)</v>
      </c>
      <c r="AB32" s="184">
        <f t="shared" si="25"/>
        <v>80</v>
      </c>
      <c r="AC32" s="159">
        <f t="shared" si="26"/>
        <v>51599.999999999993</v>
      </c>
    </row>
    <row r="33" spans="1:29" ht="15.75" thickBot="1" x14ac:dyDescent="0.3">
      <c r="A33" s="517" t="s">
        <v>153</v>
      </c>
      <c r="B33" s="518">
        <v>1678</v>
      </c>
      <c r="C33" s="518">
        <v>2683</v>
      </c>
      <c r="D33" s="518" t="s">
        <v>154</v>
      </c>
      <c r="E33" s="519">
        <v>3</v>
      </c>
      <c r="F33" s="431"/>
      <c r="G33" s="432"/>
      <c r="H33" s="432"/>
      <c r="I33" s="419"/>
      <c r="J33" s="416"/>
      <c r="K33" s="416"/>
      <c r="L33" s="415"/>
      <c r="M33" s="415"/>
      <c r="N33" s="415"/>
      <c r="O33" s="415"/>
      <c r="P33" s="391"/>
      <c r="Q33" s="355" t="str">
        <f>Q12</f>
        <v>1x16A (IT/TN)</v>
      </c>
      <c r="R33" s="139" t="s">
        <v>261</v>
      </c>
      <c r="S33" s="213"/>
      <c r="T33" s="213"/>
      <c r="U33" s="213"/>
      <c r="V33" s="213"/>
      <c r="W33" s="213"/>
      <c r="X33" s="140"/>
      <c r="AA33" s="10" t="str">
        <f t="shared" si="24"/>
        <v>Lastbryter 4x32A (TN)</v>
      </c>
      <c r="AB33" s="184">
        <f t="shared" si="25"/>
        <v>32</v>
      </c>
      <c r="AC33" s="159">
        <f t="shared" si="26"/>
        <v>20639.999999999996</v>
      </c>
    </row>
    <row r="34" spans="1:29" x14ac:dyDescent="0.25">
      <c r="A34" s="517" t="s">
        <v>155</v>
      </c>
      <c r="B34" s="518">
        <v>3856</v>
      </c>
      <c r="C34" s="518">
        <v>6505</v>
      </c>
      <c r="D34" s="518" t="s">
        <v>156</v>
      </c>
      <c r="E34" s="519">
        <v>5</v>
      </c>
      <c r="F34" s="431"/>
      <c r="G34" s="432"/>
      <c r="H34" s="432"/>
      <c r="I34" s="419"/>
      <c r="J34" s="416"/>
      <c r="K34" s="416"/>
      <c r="L34" s="415"/>
      <c r="M34" s="415"/>
      <c r="N34" s="415"/>
      <c r="O34" s="415"/>
      <c r="P34" s="391"/>
      <c r="Q34" s="356" t="str">
        <f>Q13</f>
        <v>1x20A (IT/TN)</v>
      </c>
      <c r="R34" s="3" t="str">
        <f>IF($U$1="IT-230V",T12,IF($U$1="TN-400V",W12,""))</f>
        <v>3x16A (IT)</v>
      </c>
      <c r="S34" s="183">
        <f>VLOOKUP(R34,$AA$11:$AC$37,2,FALSE)</f>
        <v>16</v>
      </c>
      <c r="T34" s="186">
        <f>$S$2</f>
        <v>16.112100535524441</v>
      </c>
      <c r="U34" s="32" t="b">
        <f>IF(S34&gt;=T34,TRUE,FALSE)</f>
        <v>0</v>
      </c>
      <c r="V34" s="198" t="str">
        <f>$S$3</f>
        <v>3x25A (IT)</v>
      </c>
      <c r="W34" s="22">
        <f>$S$4</f>
        <v>25</v>
      </c>
      <c r="X34" s="32" t="b">
        <f>IF(W34&gt;=T34,TRUE,FALSE)</f>
        <v>1</v>
      </c>
      <c r="AA34" s="10" t="str">
        <f t="shared" si="24"/>
        <v>Lastbryter 4x40A (TN)</v>
      </c>
      <c r="AB34" s="184">
        <f t="shared" si="25"/>
        <v>40</v>
      </c>
      <c r="AC34" s="159">
        <f t="shared" si="26"/>
        <v>25799.999999999996</v>
      </c>
    </row>
    <row r="35" spans="1:29" ht="15.75" thickBot="1" x14ac:dyDescent="0.3">
      <c r="A35" s="520" t="s">
        <v>157</v>
      </c>
      <c r="B35" s="521">
        <v>5995</v>
      </c>
      <c r="C35" s="521">
        <v>9412</v>
      </c>
      <c r="D35" s="521" t="s">
        <v>158</v>
      </c>
      <c r="E35" s="522">
        <v>6</v>
      </c>
      <c r="F35" s="431"/>
      <c r="G35" s="432"/>
      <c r="H35" s="432"/>
      <c r="I35" s="419"/>
      <c r="J35" s="416"/>
      <c r="K35" s="416"/>
      <c r="L35" s="415"/>
      <c r="M35" s="415"/>
      <c r="N35" s="415"/>
      <c r="O35" s="415"/>
      <c r="P35" s="391"/>
      <c r="Q35" s="356" t="str">
        <f>Q14</f>
        <v>1x25A (IT/TN)</v>
      </c>
      <c r="R35" s="10" t="str">
        <f>IF($U$1="IT-230V",T13,IF($U$1="TN-400V",W13,""))</f>
        <v>3x20A (IT)</v>
      </c>
      <c r="S35" s="184">
        <f t="shared" ref="S35:S37" si="27">VLOOKUP(R35,$AA$11:$AC$37,2,FALSE)</f>
        <v>20</v>
      </c>
      <c r="T35" s="185">
        <f>$S$2</f>
        <v>16.112100535524441</v>
      </c>
      <c r="U35" s="40" t="b">
        <f t="shared" ref="U35:U37" si="28">IF(S35&gt;=T35,TRUE,FALSE)</f>
        <v>1</v>
      </c>
      <c r="V35" s="200" t="str">
        <f>S5</f>
        <v>3x25A (IT)</v>
      </c>
      <c r="W35" s="33">
        <f>$S$6</f>
        <v>25</v>
      </c>
      <c r="X35" s="34" t="b">
        <f>IF(W35&gt;=T35,TRUE,FALSE)</f>
        <v>1</v>
      </c>
      <c r="AA35" s="10" t="str">
        <f t="shared" si="24"/>
        <v>Lastbryter 4x50A (TN)</v>
      </c>
      <c r="AB35" s="184">
        <f t="shared" si="25"/>
        <v>50</v>
      </c>
      <c r="AC35" s="159">
        <f t="shared" si="26"/>
        <v>32250</v>
      </c>
    </row>
    <row r="36" spans="1:29" x14ac:dyDescent="0.25">
      <c r="A36" s="414"/>
      <c r="B36" s="415"/>
      <c r="C36" s="415"/>
      <c r="D36" s="416"/>
      <c r="E36" s="431"/>
      <c r="F36" s="431"/>
      <c r="G36" s="432"/>
      <c r="H36" s="432"/>
      <c r="I36" s="419"/>
      <c r="J36" s="416"/>
      <c r="K36" s="416"/>
      <c r="L36" s="415"/>
      <c r="M36" s="415"/>
      <c r="N36" s="415"/>
      <c r="O36" s="415"/>
      <c r="P36" s="391"/>
      <c r="Q36" s="356" t="str">
        <f>Q15</f>
        <v>1x32A (IT/TN)</v>
      </c>
      <c r="R36" s="10" t="str">
        <f>IF($U$1="IT-230V",T14,IF($U$1="TN-400V",W14,""))</f>
        <v>3x25A (IT)</v>
      </c>
      <c r="S36" s="184">
        <f t="shared" si="27"/>
        <v>25</v>
      </c>
      <c r="T36" s="185">
        <f>$S$2</f>
        <v>16.112100535524441</v>
      </c>
      <c r="U36" s="40" t="b">
        <f t="shared" si="28"/>
        <v>1</v>
      </c>
      <c r="AA36" s="10" t="str">
        <f t="shared" si="24"/>
        <v>Lastbryter 4x63A (TN)</v>
      </c>
      <c r="AB36" s="184">
        <f t="shared" si="25"/>
        <v>63</v>
      </c>
      <c r="AC36" s="159">
        <f t="shared" si="26"/>
        <v>40634.999999999993</v>
      </c>
    </row>
    <row r="37" spans="1:29" ht="15.75" thickBot="1" x14ac:dyDescent="0.3">
      <c r="A37" s="414"/>
      <c r="B37" s="415"/>
      <c r="C37" s="415"/>
      <c r="D37" s="416"/>
      <c r="E37" s="431"/>
      <c r="F37" s="431"/>
      <c r="G37" s="432"/>
      <c r="H37" s="432"/>
      <c r="I37" s="419"/>
      <c r="J37" s="416"/>
      <c r="K37" s="416"/>
      <c r="L37" s="415"/>
      <c r="M37" s="415"/>
      <c r="N37" s="415"/>
      <c r="O37" s="415"/>
      <c r="P37" s="391"/>
      <c r="Q37" s="356" t="str">
        <f>T12</f>
        <v>3x16A (IT)</v>
      </c>
      <c r="R37" s="10" t="str">
        <f>IF($U$1="IT-230V",T15,IF($U$1="TN-400V",W15,""))</f>
        <v>3x32A (IT)</v>
      </c>
      <c r="S37" s="184">
        <f t="shared" si="27"/>
        <v>32</v>
      </c>
      <c r="T37" s="185">
        <f>$S$2</f>
        <v>16.112100535524441</v>
      </c>
      <c r="U37" s="40" t="b">
        <f t="shared" si="28"/>
        <v>1</v>
      </c>
      <c r="AA37" s="4" t="str">
        <f t="shared" si="24"/>
        <v>Lastbryter 4x80A (TN)</v>
      </c>
      <c r="AB37" s="194">
        <f t="shared" si="25"/>
        <v>80</v>
      </c>
      <c r="AC37" s="161">
        <f t="shared" si="26"/>
        <v>51599.999999999993</v>
      </c>
    </row>
    <row r="38" spans="1:29" x14ac:dyDescent="0.25">
      <c r="A38" s="414"/>
      <c r="B38" s="415"/>
      <c r="C38" s="415"/>
      <c r="D38" s="416"/>
      <c r="E38" s="431"/>
      <c r="F38" s="431"/>
      <c r="G38" s="432"/>
      <c r="H38" s="432"/>
      <c r="I38" s="419"/>
      <c r="J38" s="416"/>
      <c r="K38" s="416"/>
      <c r="L38" s="415"/>
      <c r="M38" s="415"/>
      <c r="N38" s="415"/>
      <c r="O38" s="415"/>
      <c r="P38" s="391"/>
      <c r="Q38" s="356" t="str">
        <f>T13</f>
        <v>3x20A (IT)</v>
      </c>
      <c r="R38" s="10"/>
      <c r="S38" s="184"/>
      <c r="T38" s="185"/>
      <c r="U38" s="40"/>
    </row>
    <row r="39" spans="1:29" x14ac:dyDescent="0.25">
      <c r="A39" s="414"/>
      <c r="B39" s="415"/>
      <c r="C39" s="415"/>
      <c r="D39" s="416"/>
      <c r="E39" s="431"/>
      <c r="F39" s="431"/>
      <c r="G39" s="432"/>
      <c r="H39" s="432"/>
      <c r="I39" s="419"/>
      <c r="J39" s="416"/>
      <c r="K39" s="416"/>
      <c r="L39" s="415"/>
      <c r="M39" s="415"/>
      <c r="N39" s="415"/>
      <c r="O39" s="415"/>
      <c r="P39" s="391"/>
      <c r="Q39" s="356" t="str">
        <f>T14</f>
        <v>3x25A (IT)</v>
      </c>
      <c r="R39" s="10"/>
      <c r="S39" s="184"/>
      <c r="T39" s="185"/>
      <c r="U39" s="40"/>
    </row>
    <row r="40" spans="1:29" x14ac:dyDescent="0.25">
      <c r="A40" s="414"/>
      <c r="B40" s="415"/>
      <c r="C40" s="415"/>
      <c r="D40" s="416"/>
      <c r="E40" s="431"/>
      <c r="F40" s="431"/>
      <c r="G40" s="432"/>
      <c r="H40" s="432"/>
      <c r="I40" s="419"/>
      <c r="J40" s="416"/>
      <c r="K40" s="416"/>
      <c r="L40" s="415"/>
      <c r="M40" s="415"/>
      <c r="N40" s="415"/>
      <c r="O40" s="415"/>
      <c r="P40" s="391"/>
      <c r="Q40" s="356" t="str">
        <f>T15</f>
        <v>3x32A (IT)</v>
      </c>
      <c r="R40" s="10"/>
      <c r="S40" s="184"/>
      <c r="T40" s="185"/>
      <c r="U40" s="40"/>
    </row>
    <row r="41" spans="1:29" ht="15.75" thickBot="1" x14ac:dyDescent="0.3">
      <c r="A41" s="414"/>
      <c r="B41" s="415"/>
      <c r="C41" s="415"/>
      <c r="D41" s="416"/>
      <c r="E41" s="431"/>
      <c r="F41" s="431"/>
      <c r="G41" s="432"/>
      <c r="H41" s="432"/>
      <c r="I41" s="419"/>
      <c r="J41" s="416"/>
      <c r="K41" s="416"/>
      <c r="L41" s="415"/>
      <c r="M41" s="415"/>
      <c r="N41" s="415"/>
      <c r="O41" s="415"/>
      <c r="P41" s="391"/>
      <c r="Q41" s="356" t="str">
        <f>W12</f>
        <v>4x16A (TN)</v>
      </c>
      <c r="R41" s="10"/>
      <c r="S41" s="26"/>
      <c r="T41" s="26"/>
      <c r="U41" s="40"/>
    </row>
    <row r="42" spans="1:29" ht="15" customHeight="1" x14ac:dyDescent="0.25">
      <c r="A42" s="949" t="s">
        <v>159</v>
      </c>
      <c r="B42" s="950"/>
      <c r="C42" s="950"/>
      <c r="D42" s="950"/>
      <c r="E42" s="950"/>
      <c r="F42" s="950"/>
      <c r="G42" s="950"/>
      <c r="H42" s="950"/>
      <c r="I42" s="950"/>
      <c r="J42" s="950"/>
      <c r="K42" s="951"/>
      <c r="L42" s="415"/>
      <c r="M42" s="415"/>
      <c r="N42" s="415"/>
      <c r="O42" s="415"/>
      <c r="P42" s="391"/>
      <c r="Q42" s="356" t="str">
        <f>W13</f>
        <v>4x20A (TN)</v>
      </c>
      <c r="R42" s="10"/>
      <c r="S42" s="26"/>
      <c r="T42" s="26"/>
      <c r="U42" s="40"/>
    </row>
    <row r="43" spans="1:29" ht="15.75" customHeight="1" thickBot="1" x14ac:dyDescent="0.3">
      <c r="A43" s="952"/>
      <c r="B43" s="953"/>
      <c r="C43" s="953"/>
      <c r="D43" s="953"/>
      <c r="E43" s="953"/>
      <c r="F43" s="953"/>
      <c r="G43" s="953"/>
      <c r="H43" s="953"/>
      <c r="I43" s="953"/>
      <c r="J43" s="953"/>
      <c r="K43" s="954"/>
      <c r="L43" s="415"/>
      <c r="M43" s="415"/>
      <c r="N43" s="415"/>
      <c r="O43" s="415"/>
      <c r="P43" s="391"/>
      <c r="Q43" s="357" t="str">
        <f>W14</f>
        <v>4x25A (TN)</v>
      </c>
      <c r="R43" s="4"/>
      <c r="S43" s="33"/>
      <c r="T43" s="33"/>
      <c r="U43" s="34"/>
    </row>
    <row r="44" spans="1:29" ht="15.75" customHeight="1" thickBot="1" x14ac:dyDescent="0.3">
      <c r="A44" s="364"/>
      <c r="B44" s="365"/>
      <c r="C44" s="365"/>
      <c r="D44" s="955" t="s">
        <v>137</v>
      </c>
      <c r="E44" s="955" t="s">
        <v>160</v>
      </c>
      <c r="F44" s="957" t="s">
        <v>161</v>
      </c>
      <c r="G44" s="944"/>
      <c r="H44" s="944"/>
      <c r="I44" s="439" t="s">
        <v>138</v>
      </c>
      <c r="J44" s="440"/>
      <c r="K44" s="441"/>
      <c r="L44" s="415"/>
      <c r="M44" s="415"/>
      <c r="N44" s="415"/>
      <c r="O44" s="415"/>
      <c r="P44" s="391"/>
      <c r="Q44" s="358" t="s">
        <v>289</v>
      </c>
      <c r="R44" s="259" t="str" cm="1">
        <f t="array" ref="R44">_xlfn.IFS(S34&gt;=T34,R34,S35&gt;=T35,R35,S36&gt;=T36,R36,S37&gt;=T37,R37)</f>
        <v>3x20A (IT)</v>
      </c>
      <c r="S44" s="260"/>
      <c r="T44" s="148"/>
      <c r="U44" s="261"/>
      <c r="V44" s="53"/>
      <c r="W44" s="53"/>
    </row>
    <row r="45" spans="1:29" ht="15.75" customHeight="1" thickBot="1" x14ac:dyDescent="0.3">
      <c r="A45" s="442" t="s">
        <v>139</v>
      </c>
      <c r="B45" s="443" t="s">
        <v>121</v>
      </c>
      <c r="C45" s="444" t="s">
        <v>122</v>
      </c>
      <c r="D45" s="956"/>
      <c r="E45" s="956"/>
      <c r="F45" s="428" t="s">
        <v>6</v>
      </c>
      <c r="G45" s="445" t="s">
        <v>7</v>
      </c>
      <c r="H45" s="446" t="s">
        <v>8</v>
      </c>
      <c r="I45" s="447" t="s">
        <v>140</v>
      </c>
      <c r="J45" s="448" t="s">
        <v>141</v>
      </c>
      <c r="K45" s="449" t="s">
        <v>162</v>
      </c>
      <c r="L45" s="415"/>
      <c r="M45" s="415"/>
      <c r="N45" s="415"/>
      <c r="O45" s="415"/>
      <c r="P45" s="391"/>
    </row>
    <row r="46" spans="1:29" ht="15.75" customHeight="1" thickBot="1" x14ac:dyDescent="0.3">
      <c r="A46" s="421" t="s">
        <v>133</v>
      </c>
      <c r="B46" s="422">
        <v>25</v>
      </c>
      <c r="C46" s="423" t="s">
        <v>130</v>
      </c>
      <c r="D46" s="450">
        <f>B46*230*SQRT(3)</f>
        <v>9959.2921435210446</v>
      </c>
      <c r="E46" s="451">
        <f>D46*0.9</f>
        <v>8963.3629291689413</v>
      </c>
      <c r="F46" s="452">
        <f>$C$77/E46</f>
        <v>0.29932961782333639</v>
      </c>
      <c r="G46" s="452">
        <f>$C$78/E46</f>
        <v>0.72573207750309465</v>
      </c>
      <c r="H46" s="452">
        <f>$C$79/E46</f>
        <v>1.0500523156739627</v>
      </c>
      <c r="I46" s="453">
        <f t="shared" ref="I46:I55" si="29">24000/D46</f>
        <v>2.4098098192262638</v>
      </c>
      <c r="J46" s="454">
        <f t="shared" ref="J46:J55" si="30">24000/(D46*0.9)</f>
        <v>2.6775664658069598</v>
      </c>
      <c r="K46" s="455" t="s">
        <v>163</v>
      </c>
      <c r="L46" s="415"/>
      <c r="M46" s="415"/>
      <c r="N46" s="415"/>
      <c r="O46" s="415"/>
      <c r="P46" s="391"/>
      <c r="Q46" s="1" t="s">
        <v>285</v>
      </c>
      <c r="R46" s="210" t="s">
        <v>286</v>
      </c>
      <c r="S46" s="211"/>
      <c r="T46" s="211"/>
      <c r="U46" s="211"/>
      <c r="V46" s="211"/>
      <c r="W46" s="211"/>
      <c r="X46" s="211"/>
      <c r="Y46" s="212"/>
    </row>
    <row r="47" spans="1:29" ht="15.75" customHeight="1" thickBot="1" x14ac:dyDescent="0.3">
      <c r="A47" s="392" t="s">
        <v>164</v>
      </c>
      <c r="B47" s="393">
        <v>25</v>
      </c>
      <c r="C47" s="394" t="s">
        <v>131</v>
      </c>
      <c r="D47" s="395">
        <f>B47*230*SQRT(3)*SQRT(3)</f>
        <v>17250</v>
      </c>
      <c r="E47" s="396">
        <f t="shared" ref="E47:E55" si="31">D47*0.9</f>
        <v>15525</v>
      </c>
      <c r="F47" s="456">
        <f t="shared" ref="F47:F55" si="32">$C$77/E47</f>
        <v>0.17281803542673108</v>
      </c>
      <c r="G47" s="456">
        <f t="shared" ref="G47:G55" si="33">$C$78/E47</f>
        <v>0.41900161030595812</v>
      </c>
      <c r="H47" s="456">
        <f t="shared" ref="H47:H55" si="34">$C$79/E47</f>
        <v>0.60624798711755234</v>
      </c>
      <c r="I47" s="457">
        <f t="shared" si="29"/>
        <v>1.3913043478260869</v>
      </c>
      <c r="J47" s="458">
        <f t="shared" si="30"/>
        <v>1.5458937198067633</v>
      </c>
      <c r="K47" s="459" t="s">
        <v>163</v>
      </c>
      <c r="L47" s="415"/>
      <c r="M47" s="415"/>
      <c r="N47" s="415"/>
      <c r="O47" s="415"/>
      <c r="P47" s="391"/>
      <c r="Q47" s="359" t="s">
        <v>261</v>
      </c>
      <c r="R47" s="193" t="s">
        <v>274</v>
      </c>
      <c r="S47" s="47" t="s">
        <v>275</v>
      </c>
      <c r="T47" s="47" t="s">
        <v>287</v>
      </c>
      <c r="U47" s="58" t="s">
        <v>276</v>
      </c>
      <c r="V47" s="50" t="s">
        <v>309</v>
      </c>
      <c r="W47" s="51" t="s">
        <v>275</v>
      </c>
      <c r="X47" s="51" t="s">
        <v>311</v>
      </c>
      <c r="Y47" s="52" t="s">
        <v>47</v>
      </c>
    </row>
    <row r="48" spans="1:29" ht="18" customHeight="1" thickBot="1" x14ac:dyDescent="0.3">
      <c r="A48" s="392" t="s">
        <v>134</v>
      </c>
      <c r="B48" s="393">
        <v>32</v>
      </c>
      <c r="C48" s="394" t="s">
        <v>130</v>
      </c>
      <c r="D48" s="395">
        <f>B48*230*SQRT(3)</f>
        <v>12747.893943706937</v>
      </c>
      <c r="E48" s="396">
        <f>D48*0.9</f>
        <v>11473.104549336244</v>
      </c>
      <c r="F48" s="456">
        <f t="shared" si="32"/>
        <v>0.23385126392448158</v>
      </c>
      <c r="G48" s="456">
        <f t="shared" si="33"/>
        <v>0.5669781855492928</v>
      </c>
      <c r="H48" s="456">
        <f t="shared" si="34"/>
        <v>0.82035337162028343</v>
      </c>
      <c r="I48" s="460">
        <f t="shared" si="29"/>
        <v>1.8826639212705187</v>
      </c>
      <c r="J48" s="458">
        <f t="shared" si="30"/>
        <v>2.0918488014116874</v>
      </c>
      <c r="K48" s="459" t="s">
        <v>163</v>
      </c>
      <c r="L48" s="415"/>
      <c r="M48" s="415"/>
      <c r="N48" s="415"/>
      <c r="O48" s="415"/>
      <c r="P48" s="391"/>
      <c r="Q48" s="356" t="str">
        <f t="shared" ref="Q48:Q55" si="35">T12</f>
        <v>3x16A (IT)</v>
      </c>
      <c r="R48" s="3" t="s">
        <v>261</v>
      </c>
      <c r="S48" s="22"/>
      <c r="T48" s="22"/>
      <c r="U48" s="209"/>
      <c r="V48" s="49"/>
      <c r="W48" s="29"/>
      <c r="X48" s="29"/>
      <c r="Y48" s="30"/>
    </row>
    <row r="49" spans="1:25" ht="15.75" customHeight="1" thickBot="1" x14ac:dyDescent="0.3">
      <c r="A49" s="392" t="s">
        <v>165</v>
      </c>
      <c r="B49" s="393">
        <v>32</v>
      </c>
      <c r="C49" s="394" t="s">
        <v>131</v>
      </c>
      <c r="D49" s="395">
        <f>B49*230*SQRT(3)*SQRT(3)</f>
        <v>22080</v>
      </c>
      <c r="E49" s="396">
        <f t="shared" si="31"/>
        <v>19872</v>
      </c>
      <c r="F49" s="456">
        <f t="shared" si="32"/>
        <v>0.13501409017713364</v>
      </c>
      <c r="G49" s="456">
        <f t="shared" si="33"/>
        <v>0.32734500805152977</v>
      </c>
      <c r="H49" s="456">
        <f t="shared" si="34"/>
        <v>0.47363123993558776</v>
      </c>
      <c r="I49" s="457">
        <f t="shared" si="29"/>
        <v>1.0869565217391304</v>
      </c>
      <c r="J49" s="458">
        <f t="shared" si="30"/>
        <v>1.2077294685990339</v>
      </c>
      <c r="K49" s="459" t="s">
        <v>163</v>
      </c>
      <c r="L49" s="415"/>
      <c r="M49" s="415"/>
      <c r="N49" s="415"/>
      <c r="O49" s="415"/>
      <c r="P49" s="391"/>
      <c r="Q49" s="356" t="str">
        <f t="shared" si="35"/>
        <v>3x20A (IT)</v>
      </c>
      <c r="R49" s="10" t="str">
        <f t="shared" ref="R49:R61" si="36">IF($U$1="IT-230V",T12,IF($U$1="TN-400V",W12,""))</f>
        <v>3x16A (IT)</v>
      </c>
      <c r="S49" s="184">
        <f>VLOOKUP(R49,AA11:AC37,2,FALSE)</f>
        <v>16</v>
      </c>
      <c r="T49" s="185">
        <f t="shared" ref="T49:T56" si="37">$Y$1</f>
        <v>32.224201071048881</v>
      </c>
      <c r="U49" s="179" t="b">
        <f>IF(S49&gt;=T49,TRUE,FALSE)</f>
        <v>0</v>
      </c>
      <c r="V49" s="49" t="str">
        <f>$Y$2</f>
        <v>Ikke valgt</v>
      </c>
      <c r="W49" s="29" t="e">
        <f>$Y$3</f>
        <v>#N/A</v>
      </c>
      <c r="X49" s="29" t="e">
        <f>IF(W49&gt;=T49,TRUE,FALSE)</f>
        <v>#N/A</v>
      </c>
      <c r="Y49" s="30" t="s">
        <v>317</v>
      </c>
    </row>
    <row r="50" spans="1:25" ht="15.75" customHeight="1" thickBot="1" x14ac:dyDescent="0.3">
      <c r="A50" s="392" t="s">
        <v>135</v>
      </c>
      <c r="B50" s="393">
        <v>40</v>
      </c>
      <c r="C50" s="394" t="s">
        <v>130</v>
      </c>
      <c r="D50" s="395">
        <f>B50*230*SQRT(3)</f>
        <v>15934.86742963367</v>
      </c>
      <c r="E50" s="396">
        <f t="shared" si="31"/>
        <v>14341.380686670303</v>
      </c>
      <c r="F50" s="456">
        <f t="shared" si="32"/>
        <v>0.18708101113958525</v>
      </c>
      <c r="G50" s="456">
        <f t="shared" si="33"/>
        <v>0.45358254843943424</v>
      </c>
      <c r="H50" s="456">
        <f t="shared" si="34"/>
        <v>0.65628269729622679</v>
      </c>
      <c r="I50" s="460">
        <f t="shared" si="29"/>
        <v>1.5061311370164152</v>
      </c>
      <c r="J50" s="458">
        <f t="shared" si="30"/>
        <v>1.6734790411293501</v>
      </c>
      <c r="K50" s="459" t="s">
        <v>163</v>
      </c>
      <c r="L50" s="415"/>
      <c r="M50" s="415"/>
      <c r="N50" s="415"/>
      <c r="O50" s="415"/>
      <c r="P50" s="391"/>
      <c r="Q50" s="356" t="str">
        <f t="shared" si="35"/>
        <v>3x25A (IT)</v>
      </c>
      <c r="R50" s="10" t="str">
        <f t="shared" si="36"/>
        <v>3x20A (IT)</v>
      </c>
      <c r="S50" s="184">
        <f t="shared" ref="S50:S56" si="38">VLOOKUP(R50,AA12:AC38,2,FALSE)</f>
        <v>20</v>
      </c>
      <c r="T50" s="185">
        <f t="shared" si="37"/>
        <v>32.224201071048881</v>
      </c>
      <c r="U50" s="179" t="b">
        <f t="shared" ref="U50:U56" si="39">IF(S50&gt;=T50,TRUE,FALSE)</f>
        <v>0</v>
      </c>
      <c r="V50" s="49" t="str">
        <f>$Y$4</f>
        <v>4x32A (TN)</v>
      </c>
      <c r="W50" s="29">
        <f>$Y$5</f>
        <v>32</v>
      </c>
      <c r="X50" s="29" t="b">
        <f>IF(W50&gt;=T50,TRUE,FALSE)</f>
        <v>0</v>
      </c>
      <c r="Y50" s="30" t="s">
        <v>318</v>
      </c>
    </row>
    <row r="51" spans="1:25" ht="18" customHeight="1" x14ac:dyDescent="0.25">
      <c r="A51" s="392" t="s">
        <v>166</v>
      </c>
      <c r="B51" s="393">
        <v>40</v>
      </c>
      <c r="C51" s="394" t="s">
        <v>131</v>
      </c>
      <c r="D51" s="395">
        <f>B51*230*SQRT(3)*SQRT(3)</f>
        <v>27599.999999999996</v>
      </c>
      <c r="E51" s="396">
        <f t="shared" si="31"/>
        <v>24839.999999999996</v>
      </c>
      <c r="F51" s="456">
        <f t="shared" si="32"/>
        <v>0.10801127214170694</v>
      </c>
      <c r="G51" s="456">
        <f t="shared" si="33"/>
        <v>0.26187600644122389</v>
      </c>
      <c r="H51" s="456">
        <f t="shared" si="34"/>
        <v>0.37890499194847027</v>
      </c>
      <c r="I51" s="461">
        <f t="shared" si="29"/>
        <v>0.86956521739130443</v>
      </c>
      <c r="J51" s="462">
        <f t="shared" si="30"/>
        <v>0.96618357487922724</v>
      </c>
      <c r="K51" s="459" t="s">
        <v>167</v>
      </c>
      <c r="L51" s="415"/>
      <c r="M51" s="415"/>
      <c r="N51" s="415"/>
      <c r="O51" s="415"/>
      <c r="P51" s="391"/>
      <c r="Q51" s="356" t="str">
        <f t="shared" si="35"/>
        <v>3x32A (IT)</v>
      </c>
      <c r="R51" s="10" t="str">
        <f t="shared" si="36"/>
        <v>3x25A (IT)</v>
      </c>
      <c r="S51" s="184">
        <f t="shared" si="38"/>
        <v>25</v>
      </c>
      <c r="T51" s="185">
        <f t="shared" si="37"/>
        <v>32.224201071048881</v>
      </c>
      <c r="U51" s="40" t="b">
        <f t="shared" si="39"/>
        <v>0</v>
      </c>
    </row>
    <row r="52" spans="1:25" x14ac:dyDescent="0.25">
      <c r="A52" s="392" t="s">
        <v>136</v>
      </c>
      <c r="B52" s="393">
        <v>63</v>
      </c>
      <c r="C52" s="394" t="s">
        <v>130</v>
      </c>
      <c r="D52" s="395">
        <f>B52*230*SQRT(3)</f>
        <v>25097.41620167303</v>
      </c>
      <c r="E52" s="396">
        <f t="shared" si="31"/>
        <v>22587.674581505726</v>
      </c>
      <c r="F52" s="456">
        <f t="shared" si="32"/>
        <v>0.11878159437433987</v>
      </c>
      <c r="G52" s="456">
        <f t="shared" si="33"/>
        <v>0.28798891964408529</v>
      </c>
      <c r="H52" s="456">
        <f t="shared" si="34"/>
        <v>0.41668742685474719</v>
      </c>
      <c r="I52" s="461">
        <f t="shared" si="29"/>
        <v>0.95627373778820013</v>
      </c>
      <c r="J52" s="462">
        <f t="shared" si="30"/>
        <v>1.0625263753202223</v>
      </c>
      <c r="K52" s="459" t="s">
        <v>168</v>
      </c>
      <c r="L52" s="415"/>
      <c r="M52" s="415"/>
      <c r="N52" s="415"/>
      <c r="O52" s="415"/>
      <c r="P52" s="391"/>
      <c r="Q52" s="356" t="str">
        <f t="shared" si="35"/>
        <v>3x40A (IT)</v>
      </c>
      <c r="R52" s="10" t="str">
        <f t="shared" si="36"/>
        <v>3x32A (IT)</v>
      </c>
      <c r="S52" s="184">
        <f t="shared" si="38"/>
        <v>32</v>
      </c>
      <c r="T52" s="185">
        <f t="shared" si="37"/>
        <v>32.224201071048881</v>
      </c>
      <c r="U52" s="40" t="b">
        <f t="shared" si="39"/>
        <v>0</v>
      </c>
    </row>
    <row r="53" spans="1:25" x14ac:dyDescent="0.25">
      <c r="A53" s="392" t="s">
        <v>169</v>
      </c>
      <c r="B53" s="393">
        <v>63</v>
      </c>
      <c r="C53" s="394" t="s">
        <v>131</v>
      </c>
      <c r="D53" s="395">
        <f>B53*230*SQRT(3)*SQRT(3)</f>
        <v>43469.999999999993</v>
      </c>
      <c r="E53" s="396">
        <f t="shared" si="31"/>
        <v>39122.999999999993</v>
      </c>
      <c r="F53" s="456">
        <f t="shared" si="32"/>
        <v>6.8578585486798058E-2</v>
      </c>
      <c r="G53" s="456">
        <f t="shared" si="33"/>
        <v>0.16627048028014216</v>
      </c>
      <c r="H53" s="456">
        <f t="shared" si="34"/>
        <v>0.24057459806252082</v>
      </c>
      <c r="I53" s="461">
        <f t="shared" si="29"/>
        <v>0.55210489993098699</v>
      </c>
      <c r="J53" s="462">
        <f t="shared" si="30"/>
        <v>0.61344988881220774</v>
      </c>
      <c r="K53" s="459" t="s">
        <v>170</v>
      </c>
      <c r="L53" s="415"/>
      <c r="M53" s="415"/>
      <c r="N53" s="415"/>
      <c r="O53" s="415"/>
      <c r="P53" s="391"/>
      <c r="Q53" s="356" t="str">
        <f t="shared" si="35"/>
        <v>3x50A (IT)</v>
      </c>
      <c r="R53" s="10" t="str">
        <f t="shared" si="36"/>
        <v>3x40A (IT)</v>
      </c>
      <c r="S53" s="184">
        <f t="shared" si="38"/>
        <v>40</v>
      </c>
      <c r="T53" s="185">
        <f t="shared" si="37"/>
        <v>32.224201071048881</v>
      </c>
      <c r="U53" s="40" t="b">
        <f t="shared" si="39"/>
        <v>1</v>
      </c>
    </row>
    <row r="54" spans="1:25" x14ac:dyDescent="0.25">
      <c r="A54" s="392" t="s">
        <v>146</v>
      </c>
      <c r="B54" s="393">
        <v>80</v>
      </c>
      <c r="C54" s="394" t="s">
        <v>130</v>
      </c>
      <c r="D54" s="395">
        <f>B54*230*SQRT(3)</f>
        <v>31869.734859267341</v>
      </c>
      <c r="E54" s="396">
        <f t="shared" si="31"/>
        <v>28682.761373340607</v>
      </c>
      <c r="F54" s="456">
        <f t="shared" si="32"/>
        <v>9.3540505569792626E-2</v>
      </c>
      <c r="G54" s="456">
        <f t="shared" si="33"/>
        <v>0.22679127421971712</v>
      </c>
      <c r="H54" s="456">
        <f t="shared" si="34"/>
        <v>0.3281413486481134</v>
      </c>
      <c r="I54" s="461">
        <f t="shared" si="29"/>
        <v>0.75306556850820761</v>
      </c>
      <c r="J54" s="462">
        <f t="shared" si="30"/>
        <v>0.83673952056467504</v>
      </c>
      <c r="K54" s="459" t="s">
        <v>171</v>
      </c>
      <c r="L54" s="415"/>
      <c r="M54" s="415"/>
      <c r="N54" s="415"/>
      <c r="O54" s="415"/>
      <c r="P54" s="391"/>
      <c r="Q54" s="356" t="str">
        <f t="shared" si="35"/>
        <v>3x63A (IT)</v>
      </c>
      <c r="R54" s="10" t="str">
        <f t="shared" si="36"/>
        <v>3x50A (IT)</v>
      </c>
      <c r="S54" s="184">
        <f t="shared" si="38"/>
        <v>50</v>
      </c>
      <c r="T54" s="185">
        <f t="shared" si="37"/>
        <v>32.224201071048881</v>
      </c>
      <c r="U54" s="40" t="b">
        <f t="shared" si="39"/>
        <v>1</v>
      </c>
    </row>
    <row r="55" spans="1:25" ht="15.75" thickBot="1" x14ac:dyDescent="0.3">
      <c r="A55" s="403" t="s">
        <v>172</v>
      </c>
      <c r="B55" s="404">
        <v>80</v>
      </c>
      <c r="C55" s="405" t="s">
        <v>131</v>
      </c>
      <c r="D55" s="406">
        <f>B55*230*SQRT(3)*SQRT(3)</f>
        <v>55199.999999999993</v>
      </c>
      <c r="E55" s="407">
        <f t="shared" si="31"/>
        <v>49679.999999999993</v>
      </c>
      <c r="F55" s="463">
        <f t="shared" si="32"/>
        <v>5.4005636070853472E-2</v>
      </c>
      <c r="G55" s="463">
        <f t="shared" si="33"/>
        <v>0.13093800322061194</v>
      </c>
      <c r="H55" s="463">
        <f t="shared" si="34"/>
        <v>0.18945249597423514</v>
      </c>
      <c r="I55" s="464">
        <f t="shared" si="29"/>
        <v>0.43478260869565222</v>
      </c>
      <c r="J55" s="465">
        <f t="shared" si="30"/>
        <v>0.48309178743961362</v>
      </c>
      <c r="K55" s="466" t="s">
        <v>173</v>
      </c>
      <c r="L55" s="415"/>
      <c r="M55" s="415"/>
      <c r="N55" s="415"/>
      <c r="O55" s="415"/>
      <c r="P55" s="467"/>
      <c r="Q55" s="356" t="str">
        <f t="shared" si="35"/>
        <v>3x80A (IT)</v>
      </c>
      <c r="R55" s="10" t="str">
        <f t="shared" si="36"/>
        <v>3x63A (IT)</v>
      </c>
      <c r="S55" s="184">
        <f t="shared" si="38"/>
        <v>63</v>
      </c>
      <c r="T55" s="185">
        <f t="shared" si="37"/>
        <v>32.224201071048881</v>
      </c>
      <c r="U55" s="40" t="b">
        <f t="shared" si="39"/>
        <v>1</v>
      </c>
    </row>
    <row r="56" spans="1:25" x14ac:dyDescent="0.25">
      <c r="A56" s="414"/>
      <c r="B56" s="415"/>
      <c r="C56" s="415"/>
      <c r="D56" s="416"/>
      <c r="E56" s="416"/>
      <c r="F56" s="417"/>
      <c r="G56" s="417"/>
      <c r="H56" s="417"/>
      <c r="I56" s="468"/>
      <c r="J56" s="469"/>
      <c r="K56" s="470"/>
      <c r="L56" s="415"/>
      <c r="M56" s="415"/>
      <c r="N56" s="415"/>
      <c r="O56" s="415"/>
      <c r="P56" s="391"/>
      <c r="Q56" s="356" t="str">
        <f t="shared" ref="Q56:Q62" si="40">W12</f>
        <v>4x16A (TN)</v>
      </c>
      <c r="R56" s="10" t="str">
        <f t="shared" si="36"/>
        <v>3x80A (IT)</v>
      </c>
      <c r="S56" s="184">
        <f t="shared" si="38"/>
        <v>80</v>
      </c>
      <c r="T56" s="185">
        <f t="shared" si="37"/>
        <v>32.224201071048881</v>
      </c>
      <c r="U56" s="40" t="b">
        <f t="shared" si="39"/>
        <v>1</v>
      </c>
    </row>
    <row r="57" spans="1:25" ht="15.75" thickBot="1" x14ac:dyDescent="0.3">
      <c r="A57" s="414"/>
      <c r="B57" s="415"/>
      <c r="C57" s="415"/>
      <c r="D57" s="416"/>
      <c r="E57" s="416"/>
      <c r="F57" s="416"/>
      <c r="G57" s="416"/>
      <c r="H57" s="416"/>
      <c r="I57" s="416"/>
      <c r="J57" s="415"/>
      <c r="K57" s="415"/>
      <c r="L57" s="415"/>
      <c r="M57" s="415"/>
      <c r="N57" s="415"/>
      <c r="O57" s="415"/>
      <c r="P57" s="391"/>
      <c r="Q57" s="356" t="str">
        <f t="shared" si="40"/>
        <v>4x20A (TN)</v>
      </c>
      <c r="R57" s="10" t="str">
        <f t="shared" si="36"/>
        <v>Lastbryter 3x32A (IT)</v>
      </c>
      <c r="S57" s="184"/>
      <c r="T57" s="185"/>
      <c r="U57" s="40"/>
    </row>
    <row r="58" spans="1:25" ht="15" customHeight="1" x14ac:dyDescent="0.25">
      <c r="A58" s="949" t="s">
        <v>174</v>
      </c>
      <c r="B58" s="950"/>
      <c r="C58" s="950"/>
      <c r="D58" s="950"/>
      <c r="E58" s="950"/>
      <c r="F58" s="950"/>
      <c r="G58" s="950"/>
      <c r="H58" s="950"/>
      <c r="I58" s="950"/>
      <c r="J58" s="951"/>
      <c r="K58" s="415"/>
      <c r="L58" s="415"/>
      <c r="M58" s="415"/>
      <c r="N58" s="415"/>
      <c r="O58" s="415"/>
      <c r="P58" s="391"/>
      <c r="Q58" s="356" t="str">
        <f t="shared" si="40"/>
        <v>4x25A (TN)</v>
      </c>
      <c r="R58" s="10" t="str">
        <f t="shared" si="36"/>
        <v>Lastbryter 3x40A (IT)</v>
      </c>
      <c r="S58" s="184"/>
      <c r="T58" s="185"/>
      <c r="U58" s="40"/>
    </row>
    <row r="59" spans="1:25" ht="15.75" customHeight="1" thickBot="1" x14ac:dyDescent="0.3">
      <c r="A59" s="952"/>
      <c r="B59" s="953"/>
      <c r="C59" s="953"/>
      <c r="D59" s="953"/>
      <c r="E59" s="953"/>
      <c r="F59" s="953"/>
      <c r="G59" s="953"/>
      <c r="H59" s="953"/>
      <c r="I59" s="953"/>
      <c r="J59" s="954"/>
      <c r="K59" s="415"/>
      <c r="L59" s="415"/>
      <c r="M59" s="415"/>
      <c r="N59" s="415"/>
      <c r="O59" s="415"/>
      <c r="P59" s="391"/>
      <c r="Q59" s="356" t="str">
        <f t="shared" si="40"/>
        <v>4x32A (TN)</v>
      </c>
      <c r="R59" s="10" t="str">
        <f t="shared" si="36"/>
        <v>Lastbryter 3x50A (IT)</v>
      </c>
      <c r="S59" s="184"/>
      <c r="T59" s="185"/>
      <c r="U59" s="40"/>
    </row>
    <row r="60" spans="1:25" ht="27" thickBot="1" x14ac:dyDescent="0.45">
      <c r="A60" s="471"/>
      <c r="B60" s="472"/>
      <c r="C60" s="472"/>
      <c r="D60" s="941" t="s">
        <v>118</v>
      </c>
      <c r="E60" s="942"/>
      <c r="F60" s="943" t="s">
        <v>175</v>
      </c>
      <c r="G60" s="944"/>
      <c r="H60" s="944"/>
      <c r="I60" s="944"/>
      <c r="J60" s="473" t="s">
        <v>162</v>
      </c>
      <c r="K60" s="474"/>
      <c r="L60" s="415"/>
      <c r="M60" s="415"/>
      <c r="N60" s="415"/>
      <c r="O60" s="415"/>
      <c r="P60" s="391"/>
      <c r="Q60" s="356" t="str">
        <f t="shared" si="40"/>
        <v>4x40A (TN)</v>
      </c>
      <c r="R60" s="10" t="str">
        <f t="shared" si="36"/>
        <v>Lastbryter 3x63A (IT)</v>
      </c>
      <c r="S60" s="184"/>
      <c r="T60" s="185"/>
      <c r="U60" s="40"/>
    </row>
    <row r="61" spans="1:25" ht="27" thickBot="1" x14ac:dyDescent="0.45">
      <c r="A61" s="475" t="s">
        <v>120</v>
      </c>
      <c r="B61" s="476" t="s">
        <v>121</v>
      </c>
      <c r="C61" s="477" t="s">
        <v>122</v>
      </c>
      <c r="D61" s="478" t="s">
        <v>123</v>
      </c>
      <c r="E61" s="479" t="s">
        <v>124</v>
      </c>
      <c r="F61" s="480" t="s">
        <v>125</v>
      </c>
      <c r="G61" s="481" t="s">
        <v>126</v>
      </c>
      <c r="H61" s="482" t="s">
        <v>127</v>
      </c>
      <c r="I61" s="483" t="s">
        <v>176</v>
      </c>
      <c r="J61" s="484"/>
      <c r="K61" s="485"/>
      <c r="L61" s="415"/>
      <c r="M61" s="415"/>
      <c r="N61" s="415"/>
      <c r="O61" s="415"/>
      <c r="P61" s="391"/>
      <c r="Q61" s="356" t="str">
        <f t="shared" si="40"/>
        <v>4x50A (TN)</v>
      </c>
      <c r="R61" s="10" t="str">
        <f t="shared" si="36"/>
        <v>Lastbryter 3x80A (IT)</v>
      </c>
      <c r="S61" s="184"/>
      <c r="T61" s="185"/>
      <c r="U61" s="40"/>
    </row>
    <row r="62" spans="1:25" ht="27" thickBot="1" x14ac:dyDescent="0.45">
      <c r="A62" s="421" t="s">
        <v>129</v>
      </c>
      <c r="B62" s="422">
        <v>16</v>
      </c>
      <c r="C62" s="423" t="s">
        <v>130</v>
      </c>
      <c r="D62" s="450">
        <f>B62*230*0.9*SQRT(3)</f>
        <v>5736.5522746681208</v>
      </c>
      <c r="E62" s="486">
        <f>D62*1.13</f>
        <v>6482.3040703749757</v>
      </c>
      <c r="F62" s="487">
        <f>$C$77/D62</f>
        <v>0.46770252784896321</v>
      </c>
      <c r="G62" s="487">
        <f>$C$78/D62</f>
        <v>1.1339563710985858</v>
      </c>
      <c r="H62" s="487">
        <f>$C$78/D62</f>
        <v>1.1339563710985858</v>
      </c>
      <c r="I62" s="488">
        <f>12000/D62</f>
        <v>2.0918488014116878</v>
      </c>
      <c r="J62" s="489" t="s">
        <v>177</v>
      </c>
      <c r="K62" s="485"/>
      <c r="L62" s="415"/>
      <c r="M62" s="415"/>
      <c r="N62" s="415"/>
      <c r="O62" s="415"/>
      <c r="P62" s="391"/>
      <c r="Q62" s="357" t="str">
        <f t="shared" si="40"/>
        <v>4x63A (TN)</v>
      </c>
      <c r="R62" s="4"/>
      <c r="S62" s="194"/>
      <c r="T62" s="196"/>
      <c r="U62" s="34"/>
    </row>
    <row r="63" spans="1:25" ht="27" thickBot="1" x14ac:dyDescent="0.45">
      <c r="A63" s="392" t="s">
        <v>178</v>
      </c>
      <c r="B63" s="393">
        <v>16</v>
      </c>
      <c r="C63" s="394" t="s">
        <v>131</v>
      </c>
      <c r="D63" s="395">
        <f>B63*230*0.9*SQRT(3)*SQRT(3)</f>
        <v>9935.9999999999982</v>
      </c>
      <c r="E63" s="401">
        <f t="shared" ref="E63:E73" si="41">D63*1.13</f>
        <v>11227.679999999997</v>
      </c>
      <c r="F63" s="490">
        <f t="shared" ref="F63:F73" si="42">$C$77/D63</f>
        <v>0.27002818035426734</v>
      </c>
      <c r="G63" s="490">
        <f t="shared" ref="G63:G73" si="43">$C$78/D63</f>
        <v>0.65469001610305966</v>
      </c>
      <c r="H63" s="490">
        <f t="shared" ref="H63:H73" si="44">$C$78/D63</f>
        <v>0.65469001610305966</v>
      </c>
      <c r="I63" s="491">
        <f t="shared" ref="I63" si="45">12000/D63</f>
        <v>1.2077294685990341</v>
      </c>
      <c r="J63" s="492" t="s">
        <v>177</v>
      </c>
      <c r="K63" s="485"/>
      <c r="L63" s="415"/>
      <c r="M63" s="415"/>
      <c r="N63" s="415"/>
      <c r="O63" s="415"/>
      <c r="P63" s="391"/>
      <c r="Q63" s="358" t="s">
        <v>281</v>
      </c>
      <c r="R63" s="226" t="str" cm="1">
        <f t="array" ref="R63">_xlfn.IFS(S49&gt;=T49,R49,S50&gt;=T50,R50,S51&gt;=T51,R51,S52&gt;=T52,R52,S53&gt;=T53,R53,S54&gt;=T54,R54,S55&gt;=T55,R55,S56&gt;=T56,R56)</f>
        <v>3x40A (IT)</v>
      </c>
      <c r="S63" s="227">
        <f>VLOOKUP(R63,AA11:AC37,2,FALSE)</f>
        <v>40</v>
      </c>
      <c r="T63" s="195"/>
      <c r="U63" s="144"/>
      <c r="V63" s="12"/>
      <c r="W63" s="12"/>
      <c r="X63" s="12"/>
    </row>
    <row r="64" spans="1:25" ht="27" thickBot="1" x14ac:dyDescent="0.45">
      <c r="A64" s="377" t="s">
        <v>132</v>
      </c>
      <c r="B64" s="378">
        <v>20</v>
      </c>
      <c r="C64" s="379" t="s">
        <v>130</v>
      </c>
      <c r="D64" s="380">
        <f>B64*230*0.9*SQRT(3)</f>
        <v>7170.6903433351517</v>
      </c>
      <c r="E64" s="386">
        <f t="shared" si="41"/>
        <v>8102.8800879687205</v>
      </c>
      <c r="F64" s="493">
        <f t="shared" si="42"/>
        <v>0.3741620222791705</v>
      </c>
      <c r="G64" s="493">
        <f t="shared" si="43"/>
        <v>0.90716509687886848</v>
      </c>
      <c r="H64" s="493">
        <f t="shared" si="44"/>
        <v>0.90716509687886848</v>
      </c>
      <c r="I64" s="494">
        <f>12000/D64</f>
        <v>1.6734790411293501</v>
      </c>
      <c r="J64" s="492" t="s">
        <v>177</v>
      </c>
      <c r="K64" s="485"/>
      <c r="L64" s="415"/>
      <c r="M64" s="415"/>
      <c r="N64" s="415"/>
      <c r="O64" s="415"/>
      <c r="P64" s="391"/>
    </row>
    <row r="65" spans="1:17" ht="27" thickBot="1" x14ac:dyDescent="0.45">
      <c r="A65" s="392" t="s">
        <v>179</v>
      </c>
      <c r="B65" s="393">
        <v>20</v>
      </c>
      <c r="C65" s="394" t="s">
        <v>131</v>
      </c>
      <c r="D65" s="395">
        <f>B65*230*0.9*SQRT(3)*SQRT(3)</f>
        <v>12419.999999999998</v>
      </c>
      <c r="E65" s="401">
        <f t="shared" si="41"/>
        <v>14034.599999999997</v>
      </c>
      <c r="F65" s="490">
        <f t="shared" si="42"/>
        <v>0.21602254428341389</v>
      </c>
      <c r="G65" s="490">
        <f t="shared" si="43"/>
        <v>0.52375201288244777</v>
      </c>
      <c r="H65" s="490">
        <f t="shared" si="44"/>
        <v>0.52375201288244777</v>
      </c>
      <c r="I65" s="495">
        <f t="shared" ref="I65" si="46">12000/D65</f>
        <v>0.96618357487922724</v>
      </c>
      <c r="J65" s="492" t="s">
        <v>177</v>
      </c>
      <c r="K65" s="485"/>
      <c r="L65" s="415"/>
      <c r="M65" s="415"/>
      <c r="N65" s="415"/>
      <c r="O65" s="415"/>
      <c r="P65" s="391"/>
      <c r="Q65" s="360" t="s">
        <v>290</v>
      </c>
    </row>
    <row r="66" spans="1:17" ht="26.25" x14ac:dyDescent="0.4">
      <c r="A66" s="377" t="s">
        <v>133</v>
      </c>
      <c r="B66" s="378">
        <v>25</v>
      </c>
      <c r="C66" s="379" t="s">
        <v>130</v>
      </c>
      <c r="D66" s="380">
        <f>B66*230*0.9*SQRT(3)</f>
        <v>8963.3629291689394</v>
      </c>
      <c r="E66" s="386">
        <f t="shared" si="41"/>
        <v>10128.6001099609</v>
      </c>
      <c r="F66" s="493">
        <f t="shared" si="42"/>
        <v>0.29932961782333645</v>
      </c>
      <c r="G66" s="493">
        <f t="shared" si="43"/>
        <v>0.72573207750309487</v>
      </c>
      <c r="H66" s="493">
        <f t="shared" si="44"/>
        <v>0.72573207750309487</v>
      </c>
      <c r="I66" s="494">
        <f>12000/D66</f>
        <v>1.3387832329034801</v>
      </c>
      <c r="J66" s="492" t="s">
        <v>177</v>
      </c>
      <c r="K66" s="485"/>
      <c r="L66" s="415"/>
      <c r="M66" s="415"/>
      <c r="N66" s="415"/>
      <c r="O66" s="415"/>
      <c r="P66" s="391"/>
      <c r="Q66" s="361" t="s">
        <v>261</v>
      </c>
    </row>
    <row r="67" spans="1:17" ht="26.25" x14ac:dyDescent="0.4">
      <c r="A67" s="392" t="s">
        <v>164</v>
      </c>
      <c r="B67" s="393">
        <v>25</v>
      </c>
      <c r="C67" s="394" t="s">
        <v>131</v>
      </c>
      <c r="D67" s="395">
        <f>B67*230*0.9*SQRT(3)*SQRT(3)</f>
        <v>15524.999999999998</v>
      </c>
      <c r="E67" s="401">
        <f t="shared" si="41"/>
        <v>17543.249999999996</v>
      </c>
      <c r="F67" s="490">
        <f t="shared" si="42"/>
        <v>0.1728180354267311</v>
      </c>
      <c r="G67" s="490">
        <f t="shared" si="43"/>
        <v>0.41900161030595817</v>
      </c>
      <c r="H67" s="490">
        <f t="shared" si="44"/>
        <v>0.41900161030595817</v>
      </c>
      <c r="I67" s="496">
        <f t="shared" ref="I67:I73" si="47">12000/D67</f>
        <v>0.77294685990338174</v>
      </c>
      <c r="J67" s="492" t="s">
        <v>167</v>
      </c>
      <c r="K67" s="485"/>
      <c r="L67" s="415"/>
      <c r="M67" s="415"/>
      <c r="N67" s="415"/>
      <c r="O67" s="415"/>
      <c r="P67" s="391"/>
      <c r="Q67" s="362" t="s">
        <v>212</v>
      </c>
    </row>
    <row r="68" spans="1:17" ht="27" thickBot="1" x14ac:dyDescent="0.45">
      <c r="A68" s="403" t="s">
        <v>134</v>
      </c>
      <c r="B68" s="404">
        <v>32</v>
      </c>
      <c r="C68" s="405" t="s">
        <v>130</v>
      </c>
      <c r="D68" s="406">
        <f>B68*230*0.9*SQRT(3)</f>
        <v>11473.104549336242</v>
      </c>
      <c r="E68" s="412">
        <f t="shared" si="41"/>
        <v>12964.608140749951</v>
      </c>
      <c r="F68" s="497">
        <f t="shared" si="42"/>
        <v>0.23385126392448161</v>
      </c>
      <c r="G68" s="497">
        <f t="shared" si="43"/>
        <v>0.56697818554929291</v>
      </c>
      <c r="H68" s="497">
        <f t="shared" si="44"/>
        <v>0.56697818554929291</v>
      </c>
      <c r="I68" s="498">
        <f>12000/D68</f>
        <v>1.0459244007058439</v>
      </c>
      <c r="J68" s="499" t="s">
        <v>168</v>
      </c>
      <c r="K68" s="485"/>
      <c r="L68" s="415"/>
      <c r="M68" s="415"/>
      <c r="N68" s="415"/>
      <c r="O68" s="415"/>
      <c r="P68" s="391"/>
      <c r="Q68" s="362" t="s">
        <v>214</v>
      </c>
    </row>
    <row r="69" spans="1:17" ht="26.25" x14ac:dyDescent="0.4">
      <c r="A69" s="377" t="s">
        <v>165</v>
      </c>
      <c r="B69" s="378">
        <v>32</v>
      </c>
      <c r="C69" s="379" t="s">
        <v>131</v>
      </c>
      <c r="D69" s="380">
        <f>B69*230*0.9*SQRT(3)*SQRT(3)</f>
        <v>19871.999999999996</v>
      </c>
      <c r="E69" s="386">
        <f t="shared" si="41"/>
        <v>22455.359999999993</v>
      </c>
      <c r="F69" s="493">
        <f t="shared" si="42"/>
        <v>0.13501409017713367</v>
      </c>
      <c r="G69" s="493">
        <f t="shared" si="43"/>
        <v>0.32734500805152983</v>
      </c>
      <c r="H69" s="493">
        <f t="shared" si="44"/>
        <v>0.32734500805152983</v>
      </c>
      <c r="I69" s="500">
        <f t="shared" si="47"/>
        <v>0.60386473429951704</v>
      </c>
      <c r="J69" s="501" t="s">
        <v>173</v>
      </c>
      <c r="K69" s="485"/>
      <c r="L69" s="415"/>
      <c r="M69" s="415"/>
      <c r="N69" s="415"/>
      <c r="O69" s="415"/>
      <c r="P69" s="391"/>
      <c r="Q69" s="362" t="s">
        <v>217</v>
      </c>
    </row>
    <row r="70" spans="1:17" ht="26.25" x14ac:dyDescent="0.4">
      <c r="A70" s="392" t="s">
        <v>135</v>
      </c>
      <c r="B70" s="393">
        <v>40</v>
      </c>
      <c r="C70" s="394" t="s">
        <v>130</v>
      </c>
      <c r="D70" s="395">
        <f>B70*230*0.9*SQRT(3)</f>
        <v>14341.380686670303</v>
      </c>
      <c r="E70" s="401">
        <f t="shared" si="41"/>
        <v>16205.760175937441</v>
      </c>
      <c r="F70" s="490">
        <f t="shared" si="42"/>
        <v>0.18708101113958525</v>
      </c>
      <c r="G70" s="490">
        <f t="shared" si="43"/>
        <v>0.45358254843943424</v>
      </c>
      <c r="H70" s="490">
        <f t="shared" si="44"/>
        <v>0.45358254843943424</v>
      </c>
      <c r="I70" s="502">
        <f t="shared" si="47"/>
        <v>0.83673952056467504</v>
      </c>
      <c r="J70" s="492" t="s">
        <v>173</v>
      </c>
      <c r="K70" s="485"/>
      <c r="L70" s="415"/>
      <c r="M70" s="415"/>
      <c r="N70" s="415"/>
      <c r="O70" s="415"/>
      <c r="P70" s="391"/>
      <c r="Q70" s="362" t="s">
        <v>226</v>
      </c>
    </row>
    <row r="71" spans="1:17" ht="27" thickBot="1" x14ac:dyDescent="0.45">
      <c r="A71" s="403" t="s">
        <v>166</v>
      </c>
      <c r="B71" s="404">
        <v>40</v>
      </c>
      <c r="C71" s="405" t="s">
        <v>131</v>
      </c>
      <c r="D71" s="406">
        <f>B71*230*0.9*SQRT(3)*SQRT(3)</f>
        <v>24839.999999999996</v>
      </c>
      <c r="E71" s="412">
        <f t="shared" si="41"/>
        <v>28069.199999999993</v>
      </c>
      <c r="F71" s="497">
        <f t="shared" si="42"/>
        <v>0.10801127214170694</v>
      </c>
      <c r="G71" s="497">
        <f t="shared" si="43"/>
        <v>0.26187600644122389</v>
      </c>
      <c r="H71" s="497">
        <f t="shared" si="44"/>
        <v>0.26187600644122389</v>
      </c>
      <c r="I71" s="503">
        <f t="shared" si="47"/>
        <v>0.48309178743961362</v>
      </c>
      <c r="J71" s="492" t="s">
        <v>173</v>
      </c>
      <c r="K71" s="485"/>
      <c r="L71" s="415"/>
      <c r="M71" s="415"/>
      <c r="N71" s="415"/>
      <c r="O71" s="415"/>
      <c r="P71" s="391"/>
      <c r="Q71" s="362" t="s">
        <v>215</v>
      </c>
    </row>
    <row r="72" spans="1:17" ht="26.25" x14ac:dyDescent="0.4">
      <c r="A72" s="392" t="s">
        <v>136</v>
      </c>
      <c r="B72" s="393">
        <v>63</v>
      </c>
      <c r="C72" s="394" t="s">
        <v>130</v>
      </c>
      <c r="D72" s="395">
        <f>B72*230*0.9*SQRT(3)</f>
        <v>22587.674581505729</v>
      </c>
      <c r="E72" s="401">
        <f t="shared" si="41"/>
        <v>25524.072277101473</v>
      </c>
      <c r="F72" s="490">
        <f t="shared" si="42"/>
        <v>0.11878159437433984</v>
      </c>
      <c r="G72" s="490">
        <f t="shared" si="43"/>
        <v>0.28798891964408524</v>
      </c>
      <c r="H72" s="490">
        <f t="shared" si="44"/>
        <v>0.28798891964408524</v>
      </c>
      <c r="I72" s="502">
        <f t="shared" si="47"/>
        <v>0.53126318766011116</v>
      </c>
      <c r="J72" s="492" t="s">
        <v>173</v>
      </c>
      <c r="K72" s="485"/>
      <c r="L72" s="415"/>
      <c r="M72" s="415"/>
      <c r="N72" s="415"/>
      <c r="O72" s="415"/>
      <c r="P72" s="391"/>
      <c r="Q72" s="362" t="s">
        <v>216</v>
      </c>
    </row>
    <row r="73" spans="1:17" ht="27" thickBot="1" x14ac:dyDescent="0.45">
      <c r="A73" s="403" t="s">
        <v>169</v>
      </c>
      <c r="B73" s="404">
        <v>63</v>
      </c>
      <c r="C73" s="405" t="s">
        <v>131</v>
      </c>
      <c r="D73" s="406">
        <f>B73*230*0.9*SQRT(3)*SQRT(3)</f>
        <v>39123</v>
      </c>
      <c r="E73" s="412">
        <f t="shared" si="41"/>
        <v>44208.99</v>
      </c>
      <c r="F73" s="497">
        <f t="shared" si="42"/>
        <v>6.8578585486798044E-2</v>
      </c>
      <c r="G73" s="497">
        <f t="shared" si="43"/>
        <v>0.1662704802801421</v>
      </c>
      <c r="H73" s="497">
        <f t="shared" si="44"/>
        <v>0.1662704802801421</v>
      </c>
      <c r="I73" s="503">
        <f t="shared" si="47"/>
        <v>0.30672494440610382</v>
      </c>
      <c r="J73" s="499" t="s">
        <v>173</v>
      </c>
      <c r="K73" s="485"/>
      <c r="L73" s="415"/>
      <c r="M73" s="415"/>
      <c r="N73" s="415"/>
      <c r="O73" s="415"/>
      <c r="P73" s="391"/>
      <c r="Q73" s="363" t="s">
        <v>291</v>
      </c>
    </row>
    <row r="74" spans="1:17" x14ac:dyDescent="0.25">
      <c r="A74" s="414"/>
      <c r="B74" s="415"/>
      <c r="C74" s="415"/>
      <c r="D74" s="416"/>
      <c r="E74" s="416"/>
      <c r="F74" s="417"/>
      <c r="G74" s="417"/>
      <c r="H74" s="417"/>
      <c r="I74" s="417"/>
      <c r="J74" s="416"/>
      <c r="K74" s="416"/>
      <c r="L74" s="415"/>
      <c r="M74" s="415"/>
      <c r="N74" s="415"/>
      <c r="O74" s="415"/>
      <c r="P74" s="391"/>
    </row>
    <row r="75" spans="1:17" ht="15.75" thickBot="1" x14ac:dyDescent="0.3">
      <c r="A75" s="414"/>
      <c r="B75" s="415"/>
      <c r="C75" s="415"/>
      <c r="D75" s="416"/>
      <c r="E75" s="416"/>
      <c r="F75" s="416"/>
      <c r="G75" s="416"/>
      <c r="H75" s="416"/>
      <c r="I75" s="416"/>
      <c r="J75" s="415"/>
      <c r="K75" s="415"/>
      <c r="L75" s="415"/>
      <c r="M75" s="415"/>
      <c r="N75" s="415"/>
      <c r="O75" s="415"/>
      <c r="P75" s="391"/>
    </row>
    <row r="76" spans="1:17" ht="30.75" thickBot="1" x14ac:dyDescent="0.35">
      <c r="A76" s="433" t="s">
        <v>148</v>
      </c>
      <c r="B76" s="434" t="s">
        <v>149</v>
      </c>
      <c r="C76" s="435" t="s">
        <v>150</v>
      </c>
      <c r="D76" s="435" t="s">
        <v>151</v>
      </c>
      <c r="E76" s="435" t="s">
        <v>152</v>
      </c>
      <c r="F76" s="416"/>
      <c r="G76" s="504" t="s">
        <v>180</v>
      </c>
      <c r="H76" s="505"/>
      <c r="I76" s="505"/>
      <c r="J76" s="506" t="s">
        <v>181</v>
      </c>
      <c r="K76" s="366"/>
      <c r="L76" s="415"/>
      <c r="M76" s="415"/>
      <c r="N76" s="415"/>
      <c r="O76" s="415"/>
      <c r="P76" s="391"/>
    </row>
    <row r="77" spans="1:17" ht="15.75" thickBot="1" x14ac:dyDescent="0.3">
      <c r="A77" s="436" t="s">
        <v>153</v>
      </c>
      <c r="B77" s="437">
        <v>1678</v>
      </c>
      <c r="C77" s="437">
        <v>2683</v>
      </c>
      <c r="D77" s="438" t="s">
        <v>154</v>
      </c>
      <c r="E77" s="507">
        <v>3</v>
      </c>
      <c r="F77" s="416"/>
      <c r="G77" s="508"/>
      <c r="H77" s="416"/>
      <c r="I77" s="416"/>
      <c r="J77" s="416"/>
      <c r="K77" s="391"/>
      <c r="L77" s="415"/>
      <c r="M77" s="415"/>
      <c r="N77" s="415"/>
      <c r="O77" s="415"/>
      <c r="P77" s="391"/>
    </row>
    <row r="78" spans="1:17" ht="15.75" thickBot="1" x14ac:dyDescent="0.3">
      <c r="A78" s="436" t="s">
        <v>155</v>
      </c>
      <c r="B78" s="437">
        <v>3856</v>
      </c>
      <c r="C78" s="437">
        <v>6505</v>
      </c>
      <c r="D78" s="438" t="s">
        <v>156</v>
      </c>
      <c r="E78" s="507">
        <v>5</v>
      </c>
      <c r="F78" s="416"/>
      <c r="G78" s="508"/>
      <c r="H78" s="416"/>
      <c r="I78" s="416"/>
      <c r="J78" s="415"/>
      <c r="K78" s="391"/>
      <c r="L78" s="415"/>
      <c r="M78" s="415"/>
      <c r="N78" s="415"/>
      <c r="O78" s="415"/>
      <c r="P78" s="391"/>
    </row>
    <row r="79" spans="1:17" ht="15.75" thickBot="1" x14ac:dyDescent="0.3">
      <c r="A79" s="436" t="s">
        <v>157</v>
      </c>
      <c r="B79" s="437">
        <v>5995</v>
      </c>
      <c r="C79" s="437">
        <v>9412</v>
      </c>
      <c r="D79" s="438" t="s">
        <v>158</v>
      </c>
      <c r="E79" s="507">
        <v>6</v>
      </c>
      <c r="F79" s="416"/>
      <c r="G79" s="508"/>
      <c r="H79" s="416"/>
      <c r="I79" s="416"/>
      <c r="J79" s="415"/>
      <c r="K79" s="391"/>
      <c r="L79" s="415"/>
      <c r="M79" s="415"/>
      <c r="N79" s="415"/>
      <c r="O79" s="415"/>
      <c r="P79" s="391"/>
    </row>
    <row r="80" spans="1:17" x14ac:dyDescent="0.25">
      <c r="A80" s="414"/>
      <c r="B80" s="415"/>
      <c r="C80" s="415"/>
      <c r="D80" s="416"/>
      <c r="E80" s="416"/>
      <c r="F80" s="416"/>
      <c r="G80" s="416"/>
      <c r="H80" s="416"/>
      <c r="I80" s="416"/>
      <c r="J80" s="415"/>
      <c r="K80" s="415"/>
      <c r="L80" s="415"/>
      <c r="M80" s="415"/>
      <c r="N80" s="415"/>
      <c r="O80" s="415"/>
      <c r="P80" s="391"/>
    </row>
    <row r="81" spans="1:16" x14ac:dyDescent="0.25">
      <c r="A81" s="414"/>
      <c r="B81" s="415"/>
      <c r="C81" s="415"/>
      <c r="D81" s="416"/>
      <c r="E81" s="416"/>
      <c r="F81" s="416"/>
      <c r="G81" s="416"/>
      <c r="H81" s="416"/>
      <c r="I81" s="416"/>
      <c r="J81" s="415"/>
      <c r="K81" s="415"/>
      <c r="L81" s="415"/>
      <c r="M81" s="415"/>
      <c r="N81" s="415"/>
      <c r="O81" s="415"/>
      <c r="P81" s="391"/>
    </row>
    <row r="82" spans="1:16" x14ac:dyDescent="0.25">
      <c r="A82" s="414"/>
      <c r="B82" s="415"/>
      <c r="C82" s="415"/>
      <c r="D82" s="416"/>
      <c r="E82" s="416"/>
      <c r="F82" s="416"/>
      <c r="G82" s="416"/>
      <c r="H82" s="416"/>
      <c r="I82" s="416"/>
      <c r="J82" s="415"/>
      <c r="K82" s="415"/>
      <c r="L82" s="415"/>
      <c r="M82" s="415"/>
      <c r="N82" s="415"/>
      <c r="O82" s="415"/>
      <c r="P82" s="391"/>
    </row>
    <row r="83" spans="1:16" x14ac:dyDescent="0.25">
      <c r="A83" s="414"/>
      <c r="B83" s="415"/>
      <c r="C83" s="415"/>
      <c r="D83" s="416"/>
      <c r="E83" s="416"/>
      <c r="F83" s="416"/>
      <c r="G83" s="416"/>
      <c r="H83" s="416"/>
      <c r="I83" s="416"/>
      <c r="J83" s="415"/>
      <c r="K83" s="415"/>
      <c r="L83" s="415"/>
      <c r="M83" s="415"/>
      <c r="N83" s="415"/>
      <c r="O83" s="415"/>
      <c r="P83" s="391"/>
    </row>
    <row r="84" spans="1:16" x14ac:dyDescent="0.25">
      <c r="A84" s="414"/>
      <c r="B84" s="415"/>
      <c r="C84" s="415"/>
      <c r="D84" s="416"/>
      <c r="E84" s="416"/>
      <c r="F84" s="416"/>
      <c r="G84" s="416"/>
      <c r="H84" s="416"/>
      <c r="I84" s="416"/>
      <c r="J84" s="415"/>
      <c r="K84" s="415"/>
      <c r="L84" s="415"/>
      <c r="M84" s="415"/>
      <c r="N84" s="415"/>
      <c r="O84" s="415"/>
      <c r="P84" s="391"/>
    </row>
    <row r="85" spans="1:16" x14ac:dyDescent="0.25">
      <c r="A85" s="414"/>
      <c r="B85" s="415"/>
      <c r="C85" s="415"/>
      <c r="D85" s="416"/>
      <c r="E85" s="416"/>
      <c r="F85" s="416"/>
      <c r="G85" s="416"/>
      <c r="H85" s="416"/>
      <c r="I85" s="416"/>
      <c r="J85" s="415"/>
      <c r="K85" s="415"/>
      <c r="L85" s="415"/>
      <c r="M85" s="415"/>
      <c r="N85" s="415"/>
      <c r="O85" s="415"/>
      <c r="P85" s="391"/>
    </row>
    <row r="86" spans="1:16" x14ac:dyDescent="0.25">
      <c r="A86" s="414"/>
      <c r="B86" s="415"/>
      <c r="C86" s="415"/>
      <c r="D86" s="416"/>
      <c r="E86" s="416"/>
      <c r="F86" s="416"/>
      <c r="G86" s="416"/>
      <c r="H86" s="416"/>
      <c r="I86" s="416"/>
      <c r="J86" s="415"/>
      <c r="K86" s="415"/>
      <c r="L86" s="415"/>
      <c r="M86" s="415"/>
      <c r="N86" s="415"/>
      <c r="O86" s="415"/>
      <c r="P86" s="391"/>
    </row>
    <row r="87" spans="1:16" x14ac:dyDescent="0.25">
      <c r="A87" s="414"/>
      <c r="B87" s="415"/>
      <c r="C87" s="415"/>
      <c r="D87" s="416"/>
      <c r="E87" s="416"/>
      <c r="F87" s="416"/>
      <c r="G87" s="416"/>
      <c r="H87" s="416"/>
      <c r="I87" s="416"/>
      <c r="J87" s="415"/>
      <c r="K87" s="415"/>
      <c r="L87" s="415"/>
      <c r="M87" s="415"/>
      <c r="N87" s="415"/>
      <c r="O87" s="415"/>
      <c r="P87" s="391"/>
    </row>
    <row r="88" spans="1:16" x14ac:dyDescent="0.25">
      <c r="A88" s="414"/>
      <c r="B88" s="415"/>
      <c r="C88" s="415"/>
      <c r="D88" s="416"/>
      <c r="E88" s="416"/>
      <c r="F88" s="416"/>
      <c r="G88" s="416"/>
      <c r="H88" s="416"/>
      <c r="I88" s="416"/>
      <c r="J88" s="415"/>
      <c r="K88" s="415"/>
      <c r="L88" s="415"/>
      <c r="M88" s="415"/>
      <c r="N88" s="415"/>
      <c r="O88" s="415"/>
      <c r="P88" s="391"/>
    </row>
    <row r="89" spans="1:16" x14ac:dyDescent="0.25">
      <c r="A89" s="414"/>
      <c r="B89" s="415"/>
      <c r="C89" s="415"/>
      <c r="D89" s="416"/>
      <c r="E89" s="416"/>
      <c r="F89" s="416"/>
      <c r="G89" s="416"/>
      <c r="H89" s="416"/>
      <c r="I89" s="416"/>
      <c r="J89" s="415"/>
      <c r="K89" s="415"/>
      <c r="L89" s="415"/>
      <c r="M89" s="415"/>
      <c r="N89" s="415"/>
      <c r="O89" s="415"/>
      <c r="P89" s="391"/>
    </row>
    <row r="90" spans="1:16" x14ac:dyDescent="0.25">
      <c r="A90" s="414"/>
      <c r="B90" s="415"/>
      <c r="C90" s="415"/>
      <c r="D90" s="416"/>
      <c r="E90" s="416"/>
      <c r="F90" s="416"/>
      <c r="G90" s="416"/>
      <c r="H90" s="416"/>
      <c r="I90" s="416"/>
      <c r="J90" s="415"/>
      <c r="K90" s="415"/>
      <c r="L90" s="415"/>
      <c r="M90" s="415"/>
      <c r="N90" s="415"/>
      <c r="O90" s="415"/>
      <c r="P90" s="391"/>
    </row>
    <row r="91" spans="1:16" x14ac:dyDescent="0.25">
      <c r="A91" s="414"/>
      <c r="B91" s="415"/>
      <c r="C91" s="415"/>
      <c r="D91" s="416"/>
      <c r="E91" s="416"/>
      <c r="F91" s="416"/>
      <c r="G91" s="416"/>
      <c r="H91" s="416"/>
      <c r="I91" s="416"/>
      <c r="J91" s="415"/>
      <c r="K91" s="415"/>
      <c r="L91" s="415"/>
      <c r="M91" s="415"/>
      <c r="N91" s="415"/>
      <c r="O91" s="415"/>
      <c r="P91" s="391"/>
    </row>
    <row r="92" spans="1:16" x14ac:dyDescent="0.25">
      <c r="A92" s="414"/>
      <c r="B92" s="415"/>
      <c r="C92" s="415"/>
      <c r="D92" s="416"/>
      <c r="E92" s="416"/>
      <c r="F92" s="416"/>
      <c r="G92" s="416"/>
      <c r="H92" s="416"/>
      <c r="I92" s="416"/>
      <c r="J92" s="415"/>
      <c r="K92" s="415"/>
      <c r="L92" s="415"/>
      <c r="M92" s="415"/>
      <c r="N92" s="415"/>
      <c r="O92" s="415"/>
      <c r="P92" s="391"/>
    </row>
    <row r="93" spans="1:16" x14ac:dyDescent="0.25">
      <c r="A93" s="414"/>
      <c r="B93" s="415"/>
      <c r="C93" s="415"/>
      <c r="D93" s="416"/>
      <c r="E93" s="416"/>
      <c r="F93" s="416"/>
      <c r="G93" s="416"/>
      <c r="H93" s="416"/>
      <c r="I93" s="416"/>
      <c r="J93" s="415"/>
      <c r="K93" s="415"/>
      <c r="L93" s="415"/>
      <c r="M93" s="415"/>
      <c r="N93" s="415"/>
      <c r="O93" s="415"/>
      <c r="P93" s="391"/>
    </row>
    <row r="94" spans="1:16" x14ac:dyDescent="0.25">
      <c r="A94" s="414"/>
      <c r="B94" s="415"/>
      <c r="C94" s="415"/>
      <c r="D94" s="416"/>
      <c r="E94" s="416"/>
      <c r="F94" s="416"/>
      <c r="G94" s="416"/>
      <c r="H94" s="416"/>
      <c r="I94" s="416"/>
      <c r="J94" s="415"/>
      <c r="K94" s="415"/>
      <c r="L94" s="415"/>
      <c r="M94" s="415"/>
      <c r="N94" s="415"/>
      <c r="O94" s="415"/>
      <c r="P94" s="391"/>
    </row>
    <row r="95" spans="1:16" x14ac:dyDescent="0.25">
      <c r="A95" s="414"/>
      <c r="B95" s="415"/>
      <c r="C95" s="415"/>
      <c r="D95" s="416"/>
      <c r="E95" s="416"/>
      <c r="F95" s="416"/>
      <c r="G95" s="416"/>
      <c r="H95" s="416"/>
      <c r="I95" s="416"/>
      <c r="J95" s="415"/>
      <c r="K95" s="415"/>
      <c r="L95" s="415"/>
      <c r="M95" s="415"/>
      <c r="N95" s="415"/>
      <c r="O95" s="415"/>
      <c r="P95" s="391"/>
    </row>
    <row r="96" spans="1:16" ht="15.75" thickBot="1" x14ac:dyDescent="0.3">
      <c r="A96" s="509"/>
      <c r="B96" s="510"/>
      <c r="C96" s="510"/>
      <c r="D96" s="511"/>
      <c r="E96" s="511"/>
      <c r="F96" s="511"/>
      <c r="G96" s="511"/>
      <c r="H96" s="511"/>
      <c r="I96" s="511"/>
      <c r="J96" s="510"/>
      <c r="K96" s="510"/>
      <c r="L96" s="510"/>
      <c r="M96" s="510"/>
      <c r="N96" s="510"/>
      <c r="O96" s="510"/>
      <c r="P96" s="512"/>
    </row>
  </sheetData>
  <mergeCells count="35">
    <mergeCell ref="Q5:R5"/>
    <mergeCell ref="Q9:R9"/>
    <mergeCell ref="Q2:R2"/>
    <mergeCell ref="Q3:R3"/>
    <mergeCell ref="V5:X5"/>
    <mergeCell ref="V9:X9"/>
    <mergeCell ref="V8:X8"/>
    <mergeCell ref="V7:X7"/>
    <mergeCell ref="V6:X6"/>
    <mergeCell ref="Q7:R7"/>
    <mergeCell ref="G24:H24"/>
    <mergeCell ref="D1:E1"/>
    <mergeCell ref="F1:I1"/>
    <mergeCell ref="J1:K1"/>
    <mergeCell ref="L1:O1"/>
    <mergeCell ref="D17:D18"/>
    <mergeCell ref="E17:F17"/>
    <mergeCell ref="H17:J17"/>
    <mergeCell ref="G18:H18"/>
    <mergeCell ref="G19:H19"/>
    <mergeCell ref="G20:H20"/>
    <mergeCell ref="G21:H21"/>
    <mergeCell ref="G22:H22"/>
    <mergeCell ref="G23:H23"/>
    <mergeCell ref="D60:E60"/>
    <mergeCell ref="F60:I60"/>
    <mergeCell ref="G25:H25"/>
    <mergeCell ref="G26:H26"/>
    <mergeCell ref="G27:H27"/>
    <mergeCell ref="G28:H28"/>
    <mergeCell ref="A42:K43"/>
    <mergeCell ref="D44:D45"/>
    <mergeCell ref="E44:E45"/>
    <mergeCell ref="F44:H44"/>
    <mergeCell ref="A58:J59"/>
  </mergeCells>
  <conditionalFormatting sqref="U34:U37 U49:U56">
    <cfRule type="cellIs" dxfId="15" priority="10" operator="equal">
      <formula>FALSE</formula>
    </cfRule>
    <cfRule type="cellIs" dxfId="14" priority="11" operator="equal">
      <formula>TRUE</formula>
    </cfRule>
  </conditionalFormatting>
  <conditionalFormatting sqref="X34:X35">
    <cfRule type="cellIs" dxfId="13" priority="1" operator="equal">
      <formula>FALSE</formula>
    </cfRule>
    <cfRule type="cellIs" dxfId="12" priority="2" operator="equal">
      <formula>TRUE</formula>
    </cfRule>
  </conditionalFormatting>
  <conditionalFormatting sqref="X49:X50">
    <cfRule type="cellIs" dxfId="11" priority="3" operator="equal">
      <formula>FALSE</formula>
    </cfRule>
    <cfRule type="cellIs" dxfId="10" priority="4" operator="equal">
      <formula>TRUE</formula>
    </cfRule>
  </conditionalFormatting>
  <dataValidations count="1">
    <dataValidation type="list" allowBlank="1" showInputMessage="1" showErrorMessage="1" sqref="Y2" xr:uid="{07479340-2084-4113-A914-1122E09D0D9E}">
      <formula1>$AA$12:$AA$37</formula1>
    </dataValidation>
  </dataValidations>
  <pageMargins left="0.7" right="0.7" top="0.75" bottom="0.75" header="0.3" footer="0.3"/>
  <pageSetup paperSize="9" orientation="portrait" verticalDpi="0" r:id="rId1"/>
  <ignoredErrors>
    <ignoredError sqref="Y4 S5 Y8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41F1-43B5-4F94-80B7-597F617C0DB8}">
  <dimension ref="A1:AX356"/>
  <sheetViews>
    <sheetView workbookViewId="0">
      <selection activeCell="B24" sqref="B24"/>
    </sheetView>
  </sheetViews>
  <sheetFormatPr defaultColWidth="9.140625" defaultRowHeight="15" x14ac:dyDescent="0.25"/>
  <cols>
    <col min="1" max="1" width="14.7109375" customWidth="1"/>
    <col min="2" max="2" width="27.42578125" customWidth="1"/>
    <col min="3" max="3" width="10.140625" bestFit="1" customWidth="1"/>
    <col min="4" max="4" width="15.7109375" customWidth="1"/>
    <col min="5" max="5" width="11.28515625" bestFit="1" customWidth="1"/>
    <col min="6" max="6" width="41.28515625" bestFit="1" customWidth="1"/>
    <col min="7" max="7" width="5.85546875" bestFit="1" customWidth="1"/>
    <col min="8" max="8" width="13.7109375" bestFit="1" customWidth="1"/>
    <col min="9" max="9" width="15.28515625" customWidth="1"/>
    <col min="10" max="10" width="15.85546875" bestFit="1" customWidth="1"/>
    <col min="11" max="11" width="30.7109375" bestFit="1" customWidth="1"/>
    <col min="12" max="12" width="25.85546875" bestFit="1" customWidth="1"/>
    <col min="13" max="13" width="21.42578125" customWidth="1"/>
    <col min="14" max="14" width="19.85546875" customWidth="1"/>
    <col min="15" max="15" width="19.140625" customWidth="1"/>
    <col min="16" max="16" width="25.85546875" bestFit="1" customWidth="1"/>
    <col min="17" max="17" width="17.85546875" bestFit="1" customWidth="1"/>
    <col min="18" max="18" width="15" bestFit="1" customWidth="1"/>
    <col min="19" max="19" width="17.85546875" bestFit="1" customWidth="1"/>
    <col min="20" max="20" width="15.85546875" bestFit="1" customWidth="1"/>
    <col min="21" max="21" width="21.5703125" bestFit="1" customWidth="1"/>
    <col min="22" max="22" width="11.28515625" bestFit="1" customWidth="1"/>
    <col min="23" max="23" width="24" bestFit="1" customWidth="1"/>
    <col min="24" max="24" width="13.85546875" bestFit="1" customWidth="1"/>
    <col min="25" max="25" width="10" bestFit="1" customWidth="1"/>
    <col min="26" max="26" width="15.85546875" bestFit="1" customWidth="1"/>
    <col min="27" max="27" width="9.5703125" customWidth="1"/>
    <col min="28" max="28" width="15.85546875" bestFit="1" customWidth="1"/>
    <col min="29" max="29" width="21.5703125" bestFit="1" customWidth="1"/>
    <col min="30" max="30" width="11.28515625" bestFit="1" customWidth="1"/>
    <col min="31" max="31" width="12.42578125" bestFit="1" customWidth="1"/>
    <col min="32" max="32" width="13.85546875" bestFit="1" customWidth="1"/>
    <col min="33" max="33" width="10" bestFit="1" customWidth="1"/>
    <col min="34" max="34" width="15.85546875" bestFit="1" customWidth="1"/>
    <col min="35" max="35" width="10.140625" bestFit="1" customWidth="1"/>
    <col min="36" max="36" width="8.42578125" bestFit="1" customWidth="1"/>
    <col min="37" max="37" width="21.5703125" bestFit="1" customWidth="1"/>
    <col min="38" max="38" width="11.28515625" bestFit="1" customWidth="1"/>
    <col min="39" max="39" width="10.28515625" bestFit="1" customWidth="1"/>
    <col min="40" max="40" width="13.85546875" bestFit="1" customWidth="1"/>
    <col min="41" max="41" width="10" bestFit="1" customWidth="1"/>
    <col min="42" max="42" width="15.85546875" bestFit="1" customWidth="1"/>
    <col min="44" max="44" width="8.42578125" bestFit="1" customWidth="1"/>
    <col min="45" max="45" width="21.5703125" bestFit="1" customWidth="1"/>
    <col min="46" max="46" width="11.28515625" bestFit="1" customWidth="1"/>
    <col min="47" max="47" width="10.28515625" bestFit="1" customWidth="1"/>
    <col min="48" max="48" width="13.85546875" bestFit="1" customWidth="1"/>
    <col min="49" max="49" width="10" bestFit="1" customWidth="1"/>
    <col min="50" max="50" width="15.85546875" bestFit="1" customWidth="1"/>
  </cols>
  <sheetData>
    <row r="1" spans="1:20" ht="15.75" thickBot="1" x14ac:dyDescent="0.3">
      <c r="A1" s="1000" t="str">
        <f>'Effektkalkulator ice'!A134</f>
        <v>AC fordeling huseier</v>
      </c>
      <c r="B1" s="1000"/>
      <c r="C1" s="1000"/>
      <c r="D1" s="1000"/>
      <c r="E1" s="233" t="s">
        <v>234</v>
      </c>
      <c r="F1" s="986" t="s">
        <v>197</v>
      </c>
      <c r="G1" s="987"/>
      <c r="H1" s="987"/>
      <c r="I1" s="987"/>
      <c r="J1" s="988"/>
      <c r="K1" s="989" t="str">
        <f>'Effektkalkulator ice'!A139</f>
        <v>AC fordeling ICE</v>
      </c>
      <c r="L1" s="990"/>
      <c r="M1" s="990"/>
      <c r="N1" s="246" t="s">
        <v>234</v>
      </c>
      <c r="P1" s="296" t="s">
        <v>330</v>
      </c>
      <c r="Q1" s="50" t="s">
        <v>337</v>
      </c>
      <c r="R1" s="51" t="s">
        <v>340</v>
      </c>
      <c r="S1" s="51" t="s">
        <v>336</v>
      </c>
      <c r="T1" s="52" t="s">
        <v>340</v>
      </c>
    </row>
    <row r="2" spans="1:20" x14ac:dyDescent="0.25">
      <c r="A2" s="991" t="str">
        <f>'Effektkalkulator ice'!A135</f>
        <v>Eksisterende OV-vern (fabrikat)</v>
      </c>
      <c r="B2" s="992"/>
      <c r="C2" s="1005" t="str">
        <f>'Effektkalkulator ice'!B135</f>
        <v>Eaton elementautomat</v>
      </c>
      <c r="D2" s="1005"/>
      <c r="E2" s="32"/>
      <c r="F2" s="3" t="s">
        <v>190</v>
      </c>
      <c r="G2" s="198"/>
      <c r="H2" s="22"/>
      <c r="I2" s="22"/>
      <c r="J2" s="235" t="str">
        <f>'Effektkalkulator ice'!B119</f>
        <v>IT-230V</v>
      </c>
      <c r="K2" s="309" t="str">
        <f>'Effektkalkulator ice'!A140</f>
        <v>Eksisterende OV-vern (fabrikat)</v>
      </c>
      <c r="L2" s="310"/>
      <c r="M2" s="311" t="str">
        <f>'Effektkalkulator ice'!B140</f>
        <v>Eaton elementautomat</v>
      </c>
      <c r="N2" s="40"/>
      <c r="P2" s="247" t="s">
        <v>261</v>
      </c>
      <c r="Q2" s="295">
        <v>0.25</v>
      </c>
      <c r="R2" s="35"/>
      <c r="S2" s="35">
        <v>9.9</v>
      </c>
      <c r="T2" s="36" t="s">
        <v>339</v>
      </c>
    </row>
    <row r="3" spans="1:20" x14ac:dyDescent="0.25">
      <c r="A3" s="993" t="str">
        <f>'Effektkalkulator ice'!A136</f>
        <v>Eksisterende OV-vern (størrelse)</v>
      </c>
      <c r="B3" s="994"/>
      <c r="C3" s="1004" t="str">
        <f>'Beregning AC vern'!Y2</f>
        <v>Ikke valgt</v>
      </c>
      <c r="D3" s="1004"/>
      <c r="E3" s="239" t="e">
        <f>'Beregning AC vern'!Y3</f>
        <v>#N/A</v>
      </c>
      <c r="F3" s="10" t="str">
        <f>'Effektkalkulator ice'!A120</f>
        <v>Dimensjonerende Ik2pmin</v>
      </c>
      <c r="G3" s="199"/>
      <c r="H3" s="26"/>
      <c r="I3" s="26"/>
      <c r="J3" s="238">
        <f>'Effektkalkulator ice'!B120</f>
        <v>5</v>
      </c>
      <c r="K3" s="309" t="str">
        <f>'Effektkalkulator ice'!A141</f>
        <v>Eksisterende OV-vern (størrelse)</v>
      </c>
      <c r="L3" s="310"/>
      <c r="M3" s="311" t="str">
        <f>'Beregning AC vern'!Y4</f>
        <v>4x32A (TN)</v>
      </c>
      <c r="N3" s="239">
        <f>'Beregning AC vern'!Y5</f>
        <v>32</v>
      </c>
      <c r="P3" s="237" t="s">
        <v>222</v>
      </c>
      <c r="Q3" s="199">
        <v>0.5</v>
      </c>
      <c r="R3" s="26"/>
      <c r="S3" s="26">
        <v>19.899999999999999</v>
      </c>
      <c r="T3" s="40" t="s">
        <v>338</v>
      </c>
    </row>
    <row r="4" spans="1:20" x14ac:dyDescent="0.25">
      <c r="A4" s="993" t="str">
        <f>'Effektkalkulator ice'!A137</f>
        <v>Standard OV-vern</v>
      </c>
      <c r="B4" s="994"/>
      <c r="C4" s="1004" t="str">
        <f>'Effektkalkulator ice'!B137</f>
        <v xml:space="preserve"> 3x40A (IT)</v>
      </c>
      <c r="D4" s="1004"/>
      <c r="E4" s="239">
        <f>'Beregning AC vern'!$Y$7</f>
        <v>32</v>
      </c>
      <c r="F4" s="2" t="str">
        <f>'Effektkalkulator ice'!A121</f>
        <v>Dimensjonerende Ik3pmaks</v>
      </c>
      <c r="J4" s="238">
        <f>'Effektkalkulator ice'!B121</f>
        <v>5</v>
      </c>
      <c r="K4" s="309" t="str">
        <f>'Effektkalkulator ice'!A142</f>
        <v>Standard vern</v>
      </c>
      <c r="L4" s="310"/>
      <c r="M4" s="311" t="str">
        <f>'Effektkalkulator ice'!B142</f>
        <v>Eaton 3x63A (IT)</v>
      </c>
      <c r="N4" s="239">
        <f>'Beregning AC vern'!$Y$7</f>
        <v>32</v>
      </c>
      <c r="P4" s="237" t="s">
        <v>219</v>
      </c>
      <c r="Q4" s="199">
        <v>1</v>
      </c>
      <c r="R4" s="26"/>
      <c r="S4" s="26"/>
      <c r="T4" s="40"/>
    </row>
    <row r="5" spans="1:20" ht="15.75" thickBot="1" x14ac:dyDescent="0.3">
      <c r="A5" s="1001" t="str">
        <f>'Effektkalkulator ice'!A138</f>
        <v>Standard OV-vern</v>
      </c>
      <c r="B5" s="1002"/>
      <c r="C5" s="1003" t="str">
        <f>'Effektkalkulator ice'!B138</f>
        <v>Eaton 3x40A (IT)</v>
      </c>
      <c r="D5" s="1003"/>
      <c r="E5" s="239">
        <f>'Beregning AC vern'!$Y$9</f>
        <v>40</v>
      </c>
      <c r="F5" s="10" t="str">
        <f>'Effektkalkulator ice'!A122</f>
        <v>Plassering OV-vern</v>
      </c>
      <c r="G5" s="199"/>
      <c r="H5" s="26"/>
      <c r="I5" s="26"/>
      <c r="J5" s="234" t="str">
        <f>'Effektkalkulator ice'!B122</f>
        <v>AC fordeling huseier</v>
      </c>
      <c r="K5" s="309" t="str">
        <f>'Effektkalkulator ice'!A143</f>
        <v>Alternativt OV-vern</v>
      </c>
      <c r="L5" s="310"/>
      <c r="M5" s="311" t="str">
        <f>'Effektkalkulator ice'!B143</f>
        <v>Eaton 3x40A (IT)</v>
      </c>
      <c r="N5" s="239">
        <f>'Beregning AC vern'!$Y$9</f>
        <v>40</v>
      </c>
      <c r="P5" s="237" t="s">
        <v>225</v>
      </c>
      <c r="Q5" s="199">
        <v>2</v>
      </c>
      <c r="R5" s="26"/>
      <c r="S5" s="26"/>
      <c r="T5" s="40"/>
    </row>
    <row r="6" spans="1:20" ht="15.75" thickBot="1" x14ac:dyDescent="0.3">
      <c r="A6" s="991" t="s">
        <v>325</v>
      </c>
      <c r="B6" s="992"/>
      <c r="C6" s="999"/>
      <c r="D6" s="999"/>
      <c r="E6" s="32"/>
      <c r="F6" s="48" t="str">
        <f>'Beregning AC vern'!V1</f>
        <v>Dimensjonerende laststrøm OV-vern (IT/TN)</v>
      </c>
      <c r="G6" s="242"/>
      <c r="H6" s="28"/>
      <c r="I6" s="28"/>
      <c r="J6" s="241">
        <f>'Beregning AC vern'!Y1</f>
        <v>32.224201071048881</v>
      </c>
      <c r="K6" s="309" t="s">
        <v>325</v>
      </c>
      <c r="L6" s="310"/>
      <c r="M6" s="310"/>
      <c r="N6" s="40"/>
      <c r="P6" s="237" t="s">
        <v>328</v>
      </c>
      <c r="Q6" s="199">
        <v>5</v>
      </c>
      <c r="R6" s="26"/>
      <c r="S6" s="26"/>
      <c r="T6" s="40"/>
    </row>
    <row r="7" spans="1:20" ht="15.75" thickBot="1" x14ac:dyDescent="0.3">
      <c r="A7" s="993" t="s">
        <v>326</v>
      </c>
      <c r="B7" s="994"/>
      <c r="C7" s="998"/>
      <c r="D7" s="998"/>
      <c r="E7" s="179"/>
      <c r="F7" s="3" t="str">
        <f>'Effektkalkulator ice'!A123</f>
        <v>Lengde stigekabel</v>
      </c>
      <c r="G7" s="22"/>
      <c r="H7" s="22"/>
      <c r="I7" s="22"/>
      <c r="J7" s="225">
        <f>'Beregning AC vern'!S7</f>
        <v>50</v>
      </c>
      <c r="K7" s="312" t="s">
        <v>326</v>
      </c>
      <c r="L7" s="310"/>
      <c r="M7" s="310"/>
      <c r="N7" s="40"/>
      <c r="P7" s="237" t="s">
        <v>329</v>
      </c>
      <c r="Q7" s="242">
        <v>8.5</v>
      </c>
      <c r="R7" s="28"/>
      <c r="S7" s="28"/>
      <c r="T7" s="38"/>
    </row>
    <row r="8" spans="1:20" ht="15.75" thickBot="1" x14ac:dyDescent="0.3">
      <c r="A8" s="995" t="s">
        <v>327</v>
      </c>
      <c r="B8" s="996"/>
      <c r="C8" s="997"/>
      <c r="D8" s="997"/>
      <c r="E8" s="240"/>
      <c r="F8" s="10" t="str">
        <f>'Effektkalkulator ice'!A124</f>
        <v>Eksisterende kabel type</v>
      </c>
      <c r="G8" s="26"/>
      <c r="H8" s="26"/>
      <c r="I8" s="26"/>
      <c r="J8" s="223" t="str">
        <f>'Beregning AC vern'!S8</f>
        <v>16mm2 Cu</v>
      </c>
      <c r="K8" s="313" t="s">
        <v>327</v>
      </c>
      <c r="L8" s="314"/>
      <c r="M8" s="314"/>
      <c r="N8" s="34"/>
      <c r="P8" s="237" t="s">
        <v>359</v>
      </c>
      <c r="Q8" s="198">
        <v>10</v>
      </c>
      <c r="R8" s="22" t="s">
        <v>338</v>
      </c>
      <c r="S8" s="22"/>
      <c r="T8" s="32"/>
    </row>
    <row r="9" spans="1:20" ht="15.75" thickBot="1" x14ac:dyDescent="0.3">
      <c r="A9" s="236"/>
      <c r="B9" s="236"/>
      <c r="C9" s="12"/>
      <c r="D9" s="12"/>
      <c r="F9" s="10" t="s">
        <v>343</v>
      </c>
      <c r="G9" s="26"/>
      <c r="H9" s="26"/>
      <c r="I9" s="26"/>
      <c r="J9" s="297" t="e" cm="1">
        <f t="array" ref="J9">IF(COUNTA(L39:L356=1),SUM(L39:L356),"ERROR")</f>
        <v>#N/A</v>
      </c>
      <c r="K9" s="236"/>
      <c r="P9" s="104"/>
      <c r="Q9" s="200">
        <v>15</v>
      </c>
      <c r="R9" s="33" t="s">
        <v>338</v>
      </c>
      <c r="S9" s="33"/>
      <c r="T9" s="34"/>
    </row>
    <row r="10" spans="1:20" ht="15.75" thickBot="1" x14ac:dyDescent="0.3">
      <c r="A10" s="236"/>
      <c r="B10" s="236"/>
      <c r="C10" s="12"/>
      <c r="D10" s="12"/>
      <c r="F10" s="4" t="s">
        <v>344</v>
      </c>
      <c r="G10" s="33"/>
      <c r="H10" s="33"/>
      <c r="I10" s="33"/>
      <c r="J10" s="34" t="e">
        <f>IF(J9&gt;=J7,TRUE,FALSE)</f>
        <v>#N/A</v>
      </c>
      <c r="K10" s="236"/>
    </row>
    <row r="11" spans="1:20" x14ac:dyDescent="0.25">
      <c r="A11" s="236"/>
      <c r="B11" s="236"/>
      <c r="C11" s="12"/>
      <c r="D11" s="12"/>
      <c r="J11" s="303"/>
      <c r="K11" s="236"/>
    </row>
    <row r="12" spans="1:20" x14ac:dyDescent="0.25">
      <c r="A12" s="236"/>
      <c r="B12" s="236"/>
      <c r="C12" s="12"/>
      <c r="D12" s="12"/>
      <c r="J12" s="236"/>
      <c r="K12" s="236"/>
    </row>
    <row r="13" spans="1:20" x14ac:dyDescent="0.25">
      <c r="A13" s="236"/>
      <c r="B13" s="236"/>
      <c r="C13" s="12"/>
      <c r="D13" s="12"/>
      <c r="J13" s="236"/>
      <c r="K13" s="236"/>
    </row>
    <row r="14" spans="1:20" x14ac:dyDescent="0.25">
      <c r="A14" s="236"/>
      <c r="B14" s="236"/>
      <c r="C14" s="12"/>
      <c r="D14" s="12"/>
      <c r="J14" s="236"/>
      <c r="K14" s="236"/>
    </row>
    <row r="15" spans="1:20" x14ac:dyDescent="0.25">
      <c r="A15" s="236"/>
      <c r="B15" s="236"/>
      <c r="C15" s="12"/>
      <c r="D15" s="12"/>
      <c r="J15" s="236"/>
      <c r="K15" s="236"/>
    </row>
    <row r="16" spans="1:20" x14ac:dyDescent="0.25">
      <c r="A16" s="236"/>
      <c r="B16" s="236"/>
      <c r="C16" s="12"/>
      <c r="D16" s="12"/>
      <c r="J16" s="236"/>
      <c r="K16" s="236"/>
    </row>
    <row r="17" spans="1:12" ht="15.75" thickBot="1" x14ac:dyDescent="0.3">
      <c r="A17" s="236"/>
      <c r="B17" s="236"/>
      <c r="C17" s="12"/>
      <c r="D17" s="12"/>
      <c r="J17" s="236"/>
      <c r="K17" s="236"/>
    </row>
    <row r="18" spans="1:12" ht="15.75" thickBot="1" x14ac:dyDescent="0.3">
      <c r="A18" s="1009" t="str">
        <f>A1</f>
        <v>AC fordeling huseier</v>
      </c>
      <c r="B18" s="1010"/>
      <c r="C18" s="1010"/>
      <c r="D18" s="1010"/>
      <c r="E18" s="1010"/>
      <c r="F18" s="1010"/>
      <c r="G18" s="1010"/>
      <c r="H18" s="1010"/>
      <c r="I18" s="1010"/>
      <c r="J18" s="1010"/>
      <c r="K18" s="1010"/>
      <c r="L18" s="1011"/>
    </row>
    <row r="19" spans="1:12" x14ac:dyDescent="0.25">
      <c r="A19" s="243" t="s">
        <v>190</v>
      </c>
      <c r="B19" s="244" t="s">
        <v>243</v>
      </c>
      <c r="C19" s="244" t="s">
        <v>206</v>
      </c>
      <c r="D19" s="244" t="s">
        <v>207</v>
      </c>
      <c r="E19" s="244" t="s">
        <v>208</v>
      </c>
      <c r="F19" s="244" t="s">
        <v>209</v>
      </c>
      <c r="G19" s="244" t="s">
        <v>341</v>
      </c>
      <c r="H19" s="244" t="s">
        <v>229</v>
      </c>
      <c r="I19" s="244" t="s">
        <v>230</v>
      </c>
      <c r="J19" s="244" t="s">
        <v>245</v>
      </c>
      <c r="K19" s="244" t="s">
        <v>356</v>
      </c>
      <c r="L19" s="245" t="s">
        <v>47</v>
      </c>
    </row>
    <row r="20" spans="1:12" x14ac:dyDescent="0.25">
      <c r="A20" s="299" t="str">
        <f>$J$2</f>
        <v>IT-230V</v>
      </c>
      <c r="B20" s="270" t="str">
        <f>$C$2</f>
        <v>Eaton elementautomat</v>
      </c>
      <c r="C20" s="271" t="e">
        <f>$E$3</f>
        <v>#N/A</v>
      </c>
      <c r="D20" s="272" cm="1">
        <f t="array" ref="D20">_xlfn.IFS($J$4&lt;=9.9,9.9,$J$4&gt;9.9,19.9)</f>
        <v>9.9</v>
      </c>
      <c r="E20" s="273">
        <f>VLOOKUP($J$3,$Q$1:$Q$9,1,TRUE)</f>
        <v>5</v>
      </c>
      <c r="F20" s="5" t="str">
        <f>$J$8</f>
        <v>16mm2 Cu</v>
      </c>
      <c r="G20" s="274" t="str">
        <f>MID(F20,1,2)</f>
        <v>16</v>
      </c>
      <c r="H20" s="274" cm="1">
        <f t="array" aca="1" ref="H20" ca="1">IF(MIN(FIND({0,1,2,3,4,5,6,7,8,9},$G$20&amp;"_0123456789"))&gt;LEN($G$20), "",SUMPRODUCT(MID(0&amp;$G$20,LARGE(INDEX(ISNUMBER(--MID($G$20,ROW(INDIRECT("$1:$"&amp;LEN($G$20))),1))*ROW(INDIRECT("$1:$"&amp;LEN($G$20))),0),ROW(INDIRECT("$1:$"&amp;LEN($G$20))))+1,1)*10^ROW(INDIRECT("$1:$"&amp;LEN($G$20)))/10))</f>
        <v>16</v>
      </c>
      <c r="I20" s="274" t="str">
        <f>MID($F$20,6,3)</f>
        <v xml:space="preserve"> Cu</v>
      </c>
      <c r="J20" s="294" t="str">
        <f>_xlfn.IFNA(VLOOKUP(TRUE,K38:L356,2,TRUE),"Ingen treff")</f>
        <v>Ingen treff</v>
      </c>
      <c r="K20" s="298">
        <f>$L$37</f>
        <v>0</v>
      </c>
      <c r="L20" s="300" t="s">
        <v>342</v>
      </c>
    </row>
    <row r="21" spans="1:12" x14ac:dyDescent="0.25">
      <c r="A21" s="263" t="str">
        <f>$J$2</f>
        <v>IT-230V</v>
      </c>
      <c r="B21" s="264" t="str">
        <f>IF($J$4&lt;=$S$2,$P$3,$P$5)</f>
        <v>Eaton elementautomat</v>
      </c>
      <c r="C21" s="265">
        <f>'Beregning AC vern'!$Y$7</f>
        <v>32</v>
      </c>
      <c r="D21" s="266">
        <f t="shared" ref="D21:D26" si="0">IF($J$4&lt;=9.9,9.9,IF($J$4&gt;9.9,19.9,""))</f>
        <v>9.9</v>
      </c>
      <c r="E21" s="267">
        <f t="shared" ref="E21:E26" si="1">VLOOKUP($J$3,$Q$1:$Q$9,1,TRUE)</f>
        <v>5</v>
      </c>
      <c r="F21" s="268" t="str">
        <f>VLOOKUP(TRUE,$M$38:$O$356,3,)</f>
        <v>10mm2 Cu</v>
      </c>
      <c r="G21" s="275" t="str">
        <f t="shared" ref="G21:G26" si="2">MID(F21,1,2)</f>
        <v>10</v>
      </c>
      <c r="H21" s="275" cm="1">
        <f t="array" aca="1" ref="H21" ca="1">IF(MIN(FIND({0,1,2,3,4,5,6,7,8,9},$G$21&amp;"_0123456789"))&gt;LEN($G$21), "",SUMPRODUCT(MID(0&amp;$G$21,LARGE(INDEX(ISNUMBER(--MID($G$21,ROW(INDIRECT("$1:$"&amp;LEN($G$21))),1))*ROW(INDIRECT("$1:$"&amp;LEN($G$21))),0),ROW(INDIRECT("$1:$"&amp;LEN($G$21))))+1,1)*10^ROW(INDIRECT("$1:$"&amp;LEN($G$21)))/10))</f>
        <v>10</v>
      </c>
      <c r="I21" s="275" t="str">
        <f>MID(F21,6,3)</f>
        <v xml:space="preserve"> Cu</v>
      </c>
      <c r="J21" s="282">
        <f>_xlfn.IFNA(VLOOKUP(TRUE,$M$38:$O$356,2,),"Ingen treff")</f>
        <v>81</v>
      </c>
      <c r="K21" s="268">
        <f>COUNT($N$39:$N$356)</f>
        <v>3</v>
      </c>
      <c r="L21" s="281" t="s">
        <v>346</v>
      </c>
    </row>
    <row r="22" spans="1:12" hidden="1" x14ac:dyDescent="0.25">
      <c r="A22" s="263" t="str">
        <f t="shared" ref="A22:A23" si="3">$J$2</f>
        <v>IT-230V</v>
      </c>
      <c r="B22" s="264" t="str">
        <f t="shared" ref="B22:B23" si="4">IF($J$4&lt;=$S$2,$P$3,$P$5)</f>
        <v>Eaton elementautomat</v>
      </c>
      <c r="C22" s="265">
        <f>'Beregning AC vern'!$Y$7</f>
        <v>32</v>
      </c>
      <c r="D22" s="266">
        <f t="shared" si="0"/>
        <v>9.9</v>
      </c>
      <c r="E22" s="267">
        <f t="shared" si="1"/>
        <v>5</v>
      </c>
      <c r="F22" s="268" t="str">
        <f t="shared" ref="F22:F23" si="5">VLOOKUP(TRUE,$M$38:$O$356,3,)</f>
        <v>10mm2 Cu</v>
      </c>
      <c r="G22" s="275" t="str">
        <f t="shared" si="2"/>
        <v>10</v>
      </c>
      <c r="H22" s="275" cm="1">
        <f t="array" aca="1" ref="H22" ca="1">IF(MIN(FIND({0,1,2,3,4,5,6,7,8,9},$G$21&amp;"_0123456789"))&gt;LEN($G$21), "",SUMPRODUCT(MID(0&amp;$G$21,LARGE(INDEX(ISNUMBER(--MID($G$21,ROW(INDIRECT("$1:$"&amp;LEN($G$21))),1))*ROW(INDIRECT("$1:$"&amp;LEN($G$21))),0),ROW(INDIRECT("$1:$"&amp;LEN($G$21))))+1,1)*10^ROW(INDIRECT("$1:$"&amp;LEN($G$21)))/10))</f>
        <v>10</v>
      </c>
      <c r="I22" s="275" t="str">
        <f t="shared" ref="I22:I23" si="6">MID(F22,6,3)</f>
        <v xml:space="preserve"> Cu</v>
      </c>
      <c r="J22" s="282">
        <f t="shared" ref="J22:J23" si="7">VLOOKUP(TRUE,$M$38:$O$356,2,)</f>
        <v>81</v>
      </c>
      <c r="K22" s="268">
        <f>COUNT($N$39:$N$356)</f>
        <v>3</v>
      </c>
      <c r="L22" s="281" t="s">
        <v>346</v>
      </c>
    </row>
    <row r="23" spans="1:12" hidden="1" x14ac:dyDescent="0.25">
      <c r="A23" s="263" t="str">
        <f t="shared" si="3"/>
        <v>IT-230V</v>
      </c>
      <c r="B23" s="264" t="str">
        <f t="shared" si="4"/>
        <v>Eaton elementautomat</v>
      </c>
      <c r="C23" s="265">
        <f>'Beregning AC vern'!$Y$7</f>
        <v>32</v>
      </c>
      <c r="D23" s="266">
        <f t="shared" si="0"/>
        <v>9.9</v>
      </c>
      <c r="E23" s="267">
        <f t="shared" si="1"/>
        <v>5</v>
      </c>
      <c r="F23" s="268" t="str">
        <f t="shared" si="5"/>
        <v>10mm2 Cu</v>
      </c>
      <c r="G23" s="275" t="str">
        <f t="shared" si="2"/>
        <v>10</v>
      </c>
      <c r="H23" s="275" cm="1">
        <f t="array" aca="1" ref="H23" ca="1">IF(MIN(FIND({0,1,2,3,4,5,6,7,8,9},$G$21&amp;"_0123456789"))&gt;LEN($G$21), "",SUMPRODUCT(MID(0&amp;$G$21,LARGE(INDEX(ISNUMBER(--MID($G$21,ROW(INDIRECT("$1:$"&amp;LEN($G$21))),1))*ROW(INDIRECT("$1:$"&amp;LEN($G$21))),0),ROW(INDIRECT("$1:$"&amp;LEN($G$21))))+1,1)*10^ROW(INDIRECT("$1:$"&amp;LEN($G$21)))/10))</f>
        <v>10</v>
      </c>
      <c r="I23" s="275" t="str">
        <f t="shared" si="6"/>
        <v xml:space="preserve"> Cu</v>
      </c>
      <c r="J23" s="282">
        <f t="shared" si="7"/>
        <v>81</v>
      </c>
      <c r="K23" s="268">
        <f>COUNT($N$39:$N$356)</f>
        <v>3</v>
      </c>
      <c r="L23" s="281" t="s">
        <v>346</v>
      </c>
    </row>
    <row r="24" spans="1:12" x14ac:dyDescent="0.25">
      <c r="A24" s="301" t="str">
        <f>$J$2</f>
        <v>IT-230V</v>
      </c>
      <c r="B24" s="276" t="str">
        <f>IF($J$4&lt;=$S$2,$P$3,$P$5)</f>
        <v>Eaton elementautomat</v>
      </c>
      <c r="C24" s="277">
        <f>'Beregning AC vern'!$Y$9</f>
        <v>40</v>
      </c>
      <c r="D24" s="278">
        <f t="shared" si="0"/>
        <v>9.9</v>
      </c>
      <c r="E24" s="279">
        <f t="shared" si="1"/>
        <v>5</v>
      </c>
      <c r="F24" s="269" t="str">
        <f>VLOOKUP(TRUE,$P$38:$R$356,3,)</f>
        <v>16mm2 Cu</v>
      </c>
      <c r="G24" s="280" t="str">
        <f t="shared" si="2"/>
        <v>16</v>
      </c>
      <c r="H24" s="280" cm="1">
        <f t="array" aca="1" ref="H24" ca="1">IF(MIN(FIND({0,1,2,3,4,5,6,7,8,9},$G$24&amp;"_0123456789"))&gt;LEN($G$24), "",SUMPRODUCT(MID(0&amp;$G$24,LARGE(INDEX(ISNUMBER(--MID($G$24,ROW(INDIRECT("$1:$"&amp;LEN($G$24))),1))*ROW(INDIRECT("$1:$"&amp;LEN($G$24))),0),ROW(INDIRECT("$1:$"&amp;LEN($G$24))))+1,1)*10^ROW(INDIRECT("$1:$"&amp;LEN($G$24)))/10))</f>
        <v>16</v>
      </c>
      <c r="I24" s="280" t="str">
        <f>MID(F24,6,3)</f>
        <v xml:space="preserve"> Cu</v>
      </c>
      <c r="J24" s="292">
        <f>_xlfn.IFNA(VLOOKUP(TRUE,$P$38:$R$356,2,),"Ingen treff")</f>
        <v>103</v>
      </c>
      <c r="K24" s="293">
        <f>COUNT($Q$39:$Q$356)</f>
        <v>3</v>
      </c>
      <c r="L24" s="302" t="s">
        <v>345</v>
      </c>
    </row>
    <row r="25" spans="1:12" hidden="1" x14ac:dyDescent="0.25">
      <c r="A25" s="301" t="str">
        <f t="shared" ref="A25:A26" si="8">$J$2</f>
        <v>IT-230V</v>
      </c>
      <c r="B25" s="276" t="str">
        <f t="shared" ref="B25:B26" si="9">IF($J$4&lt;=$S$2,$P$3,$P$5)</f>
        <v>Eaton elementautomat</v>
      </c>
      <c r="C25" s="277">
        <f>'Beregning AC vern'!$Y$9</f>
        <v>40</v>
      </c>
      <c r="D25" s="278">
        <f t="shared" si="0"/>
        <v>9.9</v>
      </c>
      <c r="E25" s="279">
        <f t="shared" si="1"/>
        <v>5</v>
      </c>
      <c r="F25" s="269" t="str">
        <f t="shared" ref="F25:F26" si="10">VLOOKUP(TRUE,$P$38:$R$356,3,)</f>
        <v>16mm2 Cu</v>
      </c>
      <c r="G25" s="280" t="str">
        <f t="shared" si="2"/>
        <v>16</v>
      </c>
      <c r="H25" s="280" cm="1">
        <f t="array" aca="1" ref="H25" ca="1">IF(MIN(FIND({0,1,2,3,4,5,6,7,8,9},$G$24&amp;"_0123456789"))&gt;LEN($G$24), "",SUMPRODUCT(MID(0&amp;$G$24,LARGE(INDEX(ISNUMBER(--MID($G$24,ROW(INDIRECT("$1:$"&amp;LEN($G$24))),1))*ROW(INDIRECT("$1:$"&amp;LEN($G$24))),0),ROW(INDIRECT("$1:$"&amp;LEN($G$24))))+1,1)*10^ROW(INDIRECT("$1:$"&amp;LEN($G$24)))/10))</f>
        <v>16</v>
      </c>
      <c r="I25" s="280" t="str">
        <f t="shared" ref="I25:I26" si="11">MID(F25,6,3)</f>
        <v xml:space="preserve"> Cu</v>
      </c>
      <c r="J25" s="292">
        <f t="shared" ref="J25:J26" si="12">VLOOKUP(TRUE,$P$38:$R$356,2,)</f>
        <v>103</v>
      </c>
      <c r="K25" s="293">
        <f>COUNT($Q$39:$Q$356)</f>
        <v>3</v>
      </c>
      <c r="L25" s="302" t="s">
        <v>345</v>
      </c>
    </row>
    <row r="26" spans="1:12" hidden="1" x14ac:dyDescent="0.25">
      <c r="A26" s="301" t="str">
        <f t="shared" si="8"/>
        <v>IT-230V</v>
      </c>
      <c r="B26" s="276" t="str">
        <f t="shared" si="9"/>
        <v>Eaton elementautomat</v>
      </c>
      <c r="C26" s="277">
        <f>'Beregning AC vern'!$Y$9</f>
        <v>40</v>
      </c>
      <c r="D26" s="278">
        <f t="shared" si="0"/>
        <v>9.9</v>
      </c>
      <c r="E26" s="279">
        <f t="shared" si="1"/>
        <v>5</v>
      </c>
      <c r="F26" s="269" t="str">
        <f t="shared" si="10"/>
        <v>16mm2 Cu</v>
      </c>
      <c r="G26" s="280" t="str">
        <f t="shared" si="2"/>
        <v>16</v>
      </c>
      <c r="H26" s="280" cm="1">
        <f t="array" aca="1" ref="H26" ca="1">IF(MIN(FIND({0,1,2,3,4,5,6,7,8,9},$G$24&amp;"_0123456789"))&gt;LEN($G$24), "",SUMPRODUCT(MID(0&amp;$G$24,LARGE(INDEX(ISNUMBER(--MID($G$24,ROW(INDIRECT("$1:$"&amp;LEN($G$24))),1))*ROW(INDIRECT("$1:$"&amp;LEN($G$24))),0),ROW(INDIRECT("$1:$"&amp;LEN($G$24))))+1,1)*10^ROW(INDIRECT("$1:$"&amp;LEN($G$24)))/10))</f>
        <v>16</v>
      </c>
      <c r="I26" s="280" t="str">
        <f t="shared" si="11"/>
        <v xml:space="preserve"> Cu</v>
      </c>
      <c r="J26" s="292">
        <f t="shared" si="12"/>
        <v>103</v>
      </c>
      <c r="K26" s="293">
        <f>COUNT($Q$39:$Q$356)</f>
        <v>3</v>
      </c>
      <c r="L26" s="302" t="s">
        <v>345</v>
      </c>
    </row>
    <row r="28" spans="1:12" ht="15.75" hidden="1" thickBot="1" x14ac:dyDescent="0.3">
      <c r="A28" s="1006" t="str">
        <f>K1</f>
        <v>AC fordeling ICE</v>
      </c>
      <c r="B28" s="1007"/>
      <c r="C28" s="1007"/>
      <c r="D28" s="1007"/>
      <c r="E28" s="1007"/>
      <c r="F28" s="1007"/>
      <c r="G28" s="1007"/>
      <c r="H28" s="1007"/>
      <c r="I28" s="1007"/>
      <c r="J28" s="1007"/>
      <c r="K28" s="1007"/>
      <c r="L28" s="1008"/>
    </row>
    <row r="29" spans="1:12" hidden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idden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idden="1" x14ac:dyDescent="0.25"/>
    <row r="32" spans="1:12" hidden="1" x14ac:dyDescent="0.25"/>
    <row r="33" spans="1:35" hidden="1" x14ac:dyDescent="0.25"/>
    <row r="34" spans="1:35" hidden="1" x14ac:dyDescent="0.25"/>
    <row r="35" spans="1:35" hidden="1" x14ac:dyDescent="0.25"/>
    <row r="36" spans="1:35" hidden="1" x14ac:dyDescent="0.25"/>
    <row r="37" spans="1:35" ht="15.75" thickBot="1" x14ac:dyDescent="0.3"/>
    <row r="38" spans="1:35" ht="30.75" thickBot="1" x14ac:dyDescent="0.3">
      <c r="A38" s="283" t="s">
        <v>190</v>
      </c>
      <c r="B38" s="284" t="s">
        <v>243</v>
      </c>
      <c r="C38" s="284" t="s">
        <v>206</v>
      </c>
      <c r="D38" s="284" t="s">
        <v>207</v>
      </c>
      <c r="E38" s="284" t="s">
        <v>208</v>
      </c>
      <c r="F38" s="284" t="s">
        <v>209</v>
      </c>
      <c r="G38" s="284"/>
      <c r="H38" s="284" t="s">
        <v>229</v>
      </c>
      <c r="I38" s="284" t="s">
        <v>230</v>
      </c>
      <c r="J38" s="284" t="s">
        <v>245</v>
      </c>
      <c r="K38" s="285" t="s">
        <v>351</v>
      </c>
      <c r="L38" s="286" t="s">
        <v>352</v>
      </c>
      <c r="M38" s="287" t="s">
        <v>350</v>
      </c>
      <c r="N38" s="288" t="s">
        <v>353</v>
      </c>
      <c r="O38" s="288" t="s">
        <v>355</v>
      </c>
      <c r="P38" s="289" t="s">
        <v>350</v>
      </c>
      <c r="Q38" s="290" t="s">
        <v>354</v>
      </c>
      <c r="R38" s="291" t="s">
        <v>355</v>
      </c>
      <c r="V38" s="250" t="s">
        <v>199</v>
      </c>
      <c r="W38" s="251"/>
      <c r="X38" s="250" t="s">
        <v>200</v>
      </c>
      <c r="Y38" s="252"/>
      <c r="Z38" s="164"/>
      <c r="AA38" s="164" t="s">
        <v>201</v>
      </c>
      <c r="AB38" s="165" t="s">
        <v>202</v>
      </c>
      <c r="AI38" s="88"/>
    </row>
    <row r="39" spans="1:35" ht="15.75" thickBot="1" x14ac:dyDescent="0.3">
      <c r="A39" s="178" t="s">
        <v>130</v>
      </c>
      <c r="B39" s="178" t="s">
        <v>219</v>
      </c>
      <c r="C39" s="178">
        <v>25</v>
      </c>
      <c r="D39" s="178">
        <v>9.9</v>
      </c>
      <c r="E39" s="178">
        <v>0.25</v>
      </c>
      <c r="F39" s="178" t="s">
        <v>212</v>
      </c>
      <c r="G39" s="178"/>
      <c r="H39" s="178">
        <v>6</v>
      </c>
      <c r="I39" s="178" t="str">
        <f>MID(F39,6,3)</f>
        <v>Cu</v>
      </c>
      <c r="J39" s="178">
        <v>15</v>
      </c>
      <c r="K39" s="35" t="e">
        <f t="shared" ref="K39:K44" si="13">IF(AND($A$20=$A39,$B$20=$B39,$C$20=$C39,$D$20=$D39,$E$20=$E39,$F$20=$F39),TRUE,"")</f>
        <v>#N/A</v>
      </c>
      <c r="L39" s="35" t="e">
        <f>IF(K39=TRUE,J39,"")</f>
        <v>#N/A</v>
      </c>
      <c r="M39" s="35" t="str">
        <f>IF(AND($A$21=$A39,$B$21=$B39,$C$21=$C39,$D$21=$D39,$E$21=$E39,$J$7&lt;=J39),TRUE,"")</f>
        <v/>
      </c>
      <c r="N39" s="35" t="str">
        <f>IF(M39=TRUE,J39,"")</f>
        <v/>
      </c>
      <c r="O39" s="35" t="str">
        <f>IF(M39=TRUE,F39,"")</f>
        <v/>
      </c>
      <c r="P39" s="35" t="str">
        <f>IF(AND($C$24=50,'Beregning AC vern'!U1="IT-230V"),FALSE,IF(AND($A$24=$A39,$B$24=$B39,$C$24=$C39,$D$24=$D39,$E$24=$E39),TRUE,""))</f>
        <v/>
      </c>
      <c r="Q39" s="35" t="b">
        <f>IF(P39=TRUE,J39,IF(P39=FALSE,FALSE))</f>
        <v>0</v>
      </c>
      <c r="R39" s="35" t="b">
        <f>IF(P39=TRUE,F39,IF(P39=FALSE,"Data mangler"))</f>
        <v>0</v>
      </c>
      <c r="V39" s="253" t="s">
        <v>203</v>
      </c>
      <c r="W39" s="254"/>
      <c r="X39" s="168"/>
      <c r="Y39" s="168"/>
      <c r="Z39" s="168"/>
      <c r="AA39" s="168" t="s">
        <v>204</v>
      </c>
      <c r="AB39" s="169" t="s">
        <v>205</v>
      </c>
    </row>
    <row r="40" spans="1:35" ht="15.75" thickBot="1" x14ac:dyDescent="0.3">
      <c r="A40" s="83" t="s">
        <v>130</v>
      </c>
      <c r="B40" s="178" t="s">
        <v>219</v>
      </c>
      <c r="C40" s="178">
        <v>25</v>
      </c>
      <c r="D40" s="178">
        <v>9.9</v>
      </c>
      <c r="E40" s="178">
        <v>0.25</v>
      </c>
      <c r="F40" s="178" t="s">
        <v>214</v>
      </c>
      <c r="G40" s="178"/>
      <c r="H40" s="178">
        <v>10</v>
      </c>
      <c r="I40" s="178" t="str">
        <f t="shared" ref="I40:I101" si="14">MID(F40,6,3)</f>
        <v xml:space="preserve"> Cu</v>
      </c>
      <c r="J40" s="178">
        <v>25</v>
      </c>
      <c r="K40" s="26" t="e">
        <f t="shared" si="13"/>
        <v>#N/A</v>
      </c>
      <c r="L40" s="26" t="e">
        <f t="shared" ref="L40:L103" si="15">IF(K40=TRUE,J40,"")</f>
        <v>#N/A</v>
      </c>
      <c r="M40" s="35" t="str">
        <f t="shared" ref="M40:M103" si="16">IF(AND($A$21=$A40,$B$21=$B40,$C$21=$C40,$D$21=$D40,$E$21=$E40,$J$7&lt;=J40),TRUE,"")</f>
        <v/>
      </c>
      <c r="N40" s="26" t="str">
        <f t="shared" ref="N40:N103" si="17">IF(M40=TRUE,J40,"")</f>
        <v/>
      </c>
      <c r="O40" s="26" t="str">
        <f t="shared" ref="O40:O103" si="18">IF(M40=TRUE,F40,"")</f>
        <v/>
      </c>
      <c r="P40" s="35" t="str">
        <f>IF(AND($C$24=50,'Beregning AC vern'!U2="IT-230V"),FALSE,IF(AND($A$24=$A40,$B$24=$B40,$C$24=$C40,$D$24=$D40,$E$24=$E40),TRUE,""))</f>
        <v/>
      </c>
      <c r="Q40" s="26" t="b">
        <f t="shared" ref="Q40:Q103" si="19">IF(P40=TRUE,J40,IF(P40=FALSE,FALSE))</f>
        <v>0</v>
      </c>
      <c r="R40" s="26" t="b">
        <f t="shared" ref="R40:R103" si="20">IF(P40=TRUE,F40,IF(P40=FALSE,"Data mangler"))</f>
        <v>0</v>
      </c>
      <c r="V40" s="255" t="s">
        <v>219</v>
      </c>
      <c r="W40" s="256"/>
    </row>
    <row r="41" spans="1:35" x14ac:dyDescent="0.25">
      <c r="A41" s="83" t="s">
        <v>130</v>
      </c>
      <c r="B41" s="83" t="s">
        <v>219</v>
      </c>
      <c r="C41" s="83">
        <v>25</v>
      </c>
      <c r="D41" s="83">
        <v>9.9</v>
      </c>
      <c r="E41" s="83">
        <v>0.25</v>
      </c>
      <c r="F41" s="83" t="s">
        <v>215</v>
      </c>
      <c r="G41" s="83"/>
      <c r="H41" s="83">
        <v>25</v>
      </c>
      <c r="I41" s="83" t="str">
        <f t="shared" si="14"/>
        <v xml:space="preserve"> Al</v>
      </c>
      <c r="J41" s="83">
        <v>38</v>
      </c>
      <c r="K41" s="26" t="e">
        <f t="shared" si="13"/>
        <v>#N/A</v>
      </c>
      <c r="L41" s="26" t="e">
        <f t="shared" si="15"/>
        <v>#N/A</v>
      </c>
      <c r="M41" s="35" t="str">
        <f t="shared" si="16"/>
        <v/>
      </c>
      <c r="N41" s="26" t="str">
        <f t="shared" si="17"/>
        <v/>
      </c>
      <c r="O41" s="26" t="str">
        <f t="shared" si="18"/>
        <v/>
      </c>
      <c r="P41" s="35" t="str">
        <f>IF(AND($C$24=50,'Beregning AC vern'!U3="IT-230V"),FALSE,IF(AND($A$24=$A41,$B$24=$B41,$C$24=$C41,$D$24=$D41,$E$24=$E41),TRUE,""))</f>
        <v/>
      </c>
      <c r="Q41" s="26" t="b">
        <f t="shared" si="19"/>
        <v>0</v>
      </c>
      <c r="R41" s="26" t="b">
        <f t="shared" si="20"/>
        <v>0</v>
      </c>
    </row>
    <row r="42" spans="1:35" x14ac:dyDescent="0.25">
      <c r="A42" s="83" t="s">
        <v>130</v>
      </c>
      <c r="B42" s="83" t="s">
        <v>219</v>
      </c>
      <c r="C42" s="83">
        <v>25</v>
      </c>
      <c r="D42" s="83">
        <v>9.9</v>
      </c>
      <c r="E42" s="83">
        <v>0.25</v>
      </c>
      <c r="F42" s="83" t="s">
        <v>216</v>
      </c>
      <c r="G42" s="83"/>
      <c r="H42" s="83">
        <v>50</v>
      </c>
      <c r="I42" s="83" t="str">
        <f t="shared" si="14"/>
        <v xml:space="preserve"> Al</v>
      </c>
      <c r="J42" s="83">
        <v>69</v>
      </c>
      <c r="K42" s="26" t="e">
        <f t="shared" si="13"/>
        <v>#N/A</v>
      </c>
      <c r="L42" s="26" t="e">
        <f t="shared" si="15"/>
        <v>#N/A</v>
      </c>
      <c r="M42" s="35" t="str">
        <f t="shared" si="16"/>
        <v/>
      </c>
      <c r="N42" s="26" t="str">
        <f t="shared" si="17"/>
        <v/>
      </c>
      <c r="O42" s="26" t="str">
        <f t="shared" si="18"/>
        <v/>
      </c>
      <c r="P42" s="35" t="str">
        <f>IF(AND($C$24=50,'Beregning AC vern'!U4="IT-230V"),FALSE,IF(AND($A$24=$A42,$B$24=$B42,$C$24=$C42,$D$24=$D42,$E$24=$E42),TRUE,""))</f>
        <v/>
      </c>
      <c r="Q42" s="26" t="b">
        <f t="shared" si="19"/>
        <v>0</v>
      </c>
      <c r="R42" s="26" t="b">
        <f t="shared" si="20"/>
        <v>0</v>
      </c>
    </row>
    <row r="43" spans="1:35" x14ac:dyDescent="0.25">
      <c r="A43" s="83" t="s">
        <v>130</v>
      </c>
      <c r="B43" s="83" t="s">
        <v>219</v>
      </c>
      <c r="C43" s="83">
        <v>25</v>
      </c>
      <c r="D43" s="83">
        <v>9.9</v>
      </c>
      <c r="E43" s="83">
        <v>0.5</v>
      </c>
      <c r="F43" s="83" t="s">
        <v>212</v>
      </c>
      <c r="G43" s="83"/>
      <c r="H43" s="83">
        <v>6</v>
      </c>
      <c r="I43" s="83" t="str">
        <f t="shared" si="14"/>
        <v>Cu</v>
      </c>
      <c r="J43" s="83">
        <v>43</v>
      </c>
      <c r="K43" s="26" t="e">
        <f t="shared" si="13"/>
        <v>#N/A</v>
      </c>
      <c r="L43" s="26" t="e">
        <f t="shared" si="15"/>
        <v>#N/A</v>
      </c>
      <c r="M43" s="35" t="str">
        <f t="shared" si="16"/>
        <v/>
      </c>
      <c r="N43" s="26" t="str">
        <f t="shared" si="17"/>
        <v/>
      </c>
      <c r="O43" s="26" t="str">
        <f t="shared" si="18"/>
        <v/>
      </c>
      <c r="P43" s="35" t="str">
        <f>IF(AND($C$24=50,'Beregning AC vern'!U5="IT-230V"),FALSE,IF(AND($A$24=$A43,$B$24=$B43,$C$24=$C43,$D$24=$D43,$E$24=$E43),TRUE,""))</f>
        <v/>
      </c>
      <c r="Q43" s="26" t="b">
        <f t="shared" si="19"/>
        <v>0</v>
      </c>
      <c r="R43" s="26" t="b">
        <f t="shared" si="20"/>
        <v>0</v>
      </c>
    </row>
    <row r="44" spans="1:35" x14ac:dyDescent="0.25">
      <c r="A44" s="83" t="s">
        <v>130</v>
      </c>
      <c r="B44" s="83" t="s">
        <v>219</v>
      </c>
      <c r="C44" s="83">
        <v>25</v>
      </c>
      <c r="D44" s="83">
        <v>9.9</v>
      </c>
      <c r="E44" s="83">
        <v>0.5</v>
      </c>
      <c r="F44" s="83" t="s">
        <v>214</v>
      </c>
      <c r="G44" s="83"/>
      <c r="H44" s="83">
        <v>10</v>
      </c>
      <c r="I44" s="83" t="str">
        <f t="shared" si="14"/>
        <v xml:space="preserve"> Cu</v>
      </c>
      <c r="J44" s="83">
        <v>73</v>
      </c>
      <c r="K44" s="26" t="e">
        <f t="shared" si="13"/>
        <v>#N/A</v>
      </c>
      <c r="L44" s="26" t="e">
        <f t="shared" si="15"/>
        <v>#N/A</v>
      </c>
      <c r="M44" s="35" t="str">
        <f t="shared" si="16"/>
        <v/>
      </c>
      <c r="N44" s="26" t="str">
        <f t="shared" si="17"/>
        <v/>
      </c>
      <c r="O44" s="26" t="str">
        <f t="shared" si="18"/>
        <v/>
      </c>
      <c r="P44" s="35" t="str">
        <f>IF(AND($C$24=50,'Beregning AC vern'!U6="IT-230V"),FALSE,IF(AND($A$24=$A44,$B$24=$B44,$C$24=$C44,$D$24=$D44,$E$24=$E44),TRUE,""))</f>
        <v/>
      </c>
      <c r="Q44" s="26" t="b">
        <f t="shared" si="19"/>
        <v>0</v>
      </c>
      <c r="R44" s="26" t="b">
        <f t="shared" si="20"/>
        <v>0</v>
      </c>
    </row>
    <row r="45" spans="1:35" x14ac:dyDescent="0.25">
      <c r="A45" s="83" t="s">
        <v>130</v>
      </c>
      <c r="B45" s="83" t="s">
        <v>219</v>
      </c>
      <c r="C45" s="83">
        <v>25</v>
      </c>
      <c r="D45" s="83">
        <v>9.9</v>
      </c>
      <c r="E45" s="83">
        <v>0.5</v>
      </c>
      <c r="F45" s="83" t="s">
        <v>215</v>
      </c>
      <c r="G45" s="83"/>
      <c r="H45" s="83">
        <v>25</v>
      </c>
      <c r="I45" s="83" t="str">
        <f t="shared" si="14"/>
        <v xml:space="preserve"> Al</v>
      </c>
      <c r="J45" s="83">
        <v>110</v>
      </c>
      <c r="K45" s="26" t="e">
        <f t="shared" ref="K45:K103" si="21">IF(AND($A$20=$A45,$B$20=$B45,$C$20=$C45,$D$20=$D45,$E$20=$E45,$F$20=$F45),TRUE,"")</f>
        <v>#N/A</v>
      </c>
      <c r="L45" s="26" t="e">
        <f t="shared" si="15"/>
        <v>#N/A</v>
      </c>
      <c r="M45" s="35" t="str">
        <f t="shared" si="16"/>
        <v/>
      </c>
      <c r="N45" s="26" t="str">
        <f t="shared" si="17"/>
        <v/>
      </c>
      <c r="O45" s="26" t="str">
        <f t="shared" si="18"/>
        <v/>
      </c>
      <c r="P45" s="35" t="str">
        <f>IF(AND($C$24=50,'Beregning AC vern'!U7="IT-230V"),FALSE,IF(AND($A$24=$A45,$B$24=$B45,$C$24=$C45,$D$24=$D45,$E$24=$E45),TRUE,""))</f>
        <v/>
      </c>
      <c r="Q45" s="26" t="b">
        <f t="shared" si="19"/>
        <v>0</v>
      </c>
      <c r="R45" s="26" t="b">
        <f t="shared" si="20"/>
        <v>0</v>
      </c>
    </row>
    <row r="46" spans="1:35" x14ac:dyDescent="0.25">
      <c r="A46" s="83" t="s">
        <v>130</v>
      </c>
      <c r="B46" s="83" t="s">
        <v>219</v>
      </c>
      <c r="C46" s="83">
        <v>25</v>
      </c>
      <c r="D46" s="83">
        <v>9.9</v>
      </c>
      <c r="E46" s="83">
        <v>0.5</v>
      </c>
      <c r="F46" s="83" t="s">
        <v>216</v>
      </c>
      <c r="G46" s="83"/>
      <c r="H46" s="83">
        <v>50</v>
      </c>
      <c r="I46" s="83" t="str">
        <f t="shared" si="14"/>
        <v xml:space="preserve"> Al</v>
      </c>
      <c r="J46" s="83">
        <v>204</v>
      </c>
      <c r="K46" s="26" t="e">
        <f t="shared" si="21"/>
        <v>#N/A</v>
      </c>
      <c r="L46" s="26" t="e">
        <f t="shared" si="15"/>
        <v>#N/A</v>
      </c>
      <c r="M46" s="35" t="str">
        <f t="shared" si="16"/>
        <v/>
      </c>
      <c r="N46" s="26" t="str">
        <f t="shared" si="17"/>
        <v/>
      </c>
      <c r="O46" s="26" t="str">
        <f t="shared" si="18"/>
        <v/>
      </c>
      <c r="P46" s="35" t="str">
        <f>IF(AND($C$24=50,'Beregning AC vern'!U8="IT-230V"),FALSE,IF(AND($A$24=$A46,$B$24=$B46,$C$24=$C46,$D$24=$D46,$E$24=$E46),TRUE,""))</f>
        <v/>
      </c>
      <c r="Q46" s="26" t="b">
        <f t="shared" si="19"/>
        <v>0</v>
      </c>
      <c r="R46" s="26" t="b">
        <f t="shared" si="20"/>
        <v>0</v>
      </c>
    </row>
    <row r="47" spans="1:35" x14ac:dyDescent="0.25">
      <c r="A47" s="83" t="s">
        <v>130</v>
      </c>
      <c r="B47" s="83" t="s">
        <v>219</v>
      </c>
      <c r="C47" s="83">
        <v>32</v>
      </c>
      <c r="D47" s="83">
        <v>9.9</v>
      </c>
      <c r="E47" s="83">
        <v>0.5</v>
      </c>
      <c r="F47" s="83" t="s">
        <v>214</v>
      </c>
      <c r="G47" s="83"/>
      <c r="H47" s="83">
        <v>10</v>
      </c>
      <c r="I47" s="83" t="str">
        <f t="shared" si="14"/>
        <v xml:space="preserve"> Cu</v>
      </c>
      <c r="J47" s="83">
        <v>44</v>
      </c>
      <c r="K47" s="26" t="e">
        <f t="shared" si="21"/>
        <v>#N/A</v>
      </c>
      <c r="L47" s="26" t="e">
        <f t="shared" si="15"/>
        <v>#N/A</v>
      </c>
      <c r="M47" s="35" t="str">
        <f t="shared" si="16"/>
        <v/>
      </c>
      <c r="N47" s="26" t="str">
        <f t="shared" si="17"/>
        <v/>
      </c>
      <c r="O47" s="26" t="str">
        <f t="shared" si="18"/>
        <v/>
      </c>
      <c r="P47" s="35" t="str">
        <f>IF(AND($C$24=50,'Beregning AC vern'!U9="IT-230V"),FALSE,IF(AND($A$24=$A47,$B$24=$B47,$C$24=$C47,$D$24=$D47,$E$24=$E47),TRUE,""))</f>
        <v/>
      </c>
      <c r="Q47" s="26" t="b">
        <f t="shared" si="19"/>
        <v>0</v>
      </c>
      <c r="R47" s="26" t="b">
        <f t="shared" si="20"/>
        <v>0</v>
      </c>
    </row>
    <row r="48" spans="1:35" x14ac:dyDescent="0.25">
      <c r="A48" s="83" t="s">
        <v>130</v>
      </c>
      <c r="B48" s="83" t="s">
        <v>219</v>
      </c>
      <c r="C48" s="83">
        <v>32</v>
      </c>
      <c r="D48" s="83">
        <v>9.9</v>
      </c>
      <c r="E48" s="83">
        <v>0.5</v>
      </c>
      <c r="F48" s="83" t="s">
        <v>215</v>
      </c>
      <c r="G48" s="83"/>
      <c r="H48" s="83">
        <v>25</v>
      </c>
      <c r="I48" s="83" t="str">
        <f t="shared" si="14"/>
        <v xml:space="preserve"> Al</v>
      </c>
      <c r="J48" s="83">
        <v>66</v>
      </c>
      <c r="K48" s="26" t="e">
        <f t="shared" si="21"/>
        <v>#N/A</v>
      </c>
      <c r="L48" s="26" t="e">
        <f t="shared" si="15"/>
        <v>#N/A</v>
      </c>
      <c r="M48" s="35" t="str">
        <f t="shared" si="16"/>
        <v/>
      </c>
      <c r="N48" s="26" t="str">
        <f t="shared" si="17"/>
        <v/>
      </c>
      <c r="O48" s="26" t="str">
        <f t="shared" si="18"/>
        <v/>
      </c>
      <c r="P48" s="35" t="str">
        <f>IF(AND($C$24=50,'Beregning AC vern'!U10="IT-230V"),FALSE,IF(AND($A$24=$A48,$B$24=$B48,$C$24=$C48,$D$24=$D48,$E$24=$E48),TRUE,""))</f>
        <v/>
      </c>
      <c r="Q48" s="26" t="b">
        <f t="shared" si="19"/>
        <v>0</v>
      </c>
      <c r="R48" s="26" t="b">
        <f t="shared" si="20"/>
        <v>0</v>
      </c>
    </row>
    <row r="49" spans="1:50" x14ac:dyDescent="0.25">
      <c r="A49" s="83" t="s">
        <v>130</v>
      </c>
      <c r="B49" s="83" t="s">
        <v>219</v>
      </c>
      <c r="C49" s="83">
        <v>32</v>
      </c>
      <c r="D49" s="83">
        <v>9.9</v>
      </c>
      <c r="E49" s="83">
        <v>0.5</v>
      </c>
      <c r="F49" s="83" t="s">
        <v>216</v>
      </c>
      <c r="G49" s="83"/>
      <c r="H49" s="83">
        <v>50</v>
      </c>
      <c r="I49" s="83" t="str">
        <f t="shared" si="14"/>
        <v xml:space="preserve"> Al</v>
      </c>
      <c r="J49" s="83">
        <v>123</v>
      </c>
      <c r="K49" s="26" t="e">
        <f t="shared" si="21"/>
        <v>#N/A</v>
      </c>
      <c r="L49" s="26" t="e">
        <f t="shared" si="15"/>
        <v>#N/A</v>
      </c>
      <c r="M49" s="35" t="str">
        <f t="shared" si="16"/>
        <v/>
      </c>
      <c r="N49" s="26" t="str">
        <f t="shared" si="17"/>
        <v/>
      </c>
      <c r="O49" s="26" t="str">
        <f t="shared" si="18"/>
        <v/>
      </c>
      <c r="P49" s="35" t="str">
        <f>IF(AND($C$24=50,'Beregning AC vern'!U11="IT-230V"),FALSE,IF(AND($A$24=$A49,$B$24=$B49,$C$24=$C49,$D$24=$D49,$E$24=$E49),TRUE,""))</f>
        <v/>
      </c>
      <c r="Q49" s="26" t="b">
        <f t="shared" si="19"/>
        <v>0</v>
      </c>
      <c r="R49" s="26" t="b">
        <f t="shared" si="20"/>
        <v>0</v>
      </c>
    </row>
    <row r="50" spans="1:50" x14ac:dyDescent="0.25">
      <c r="A50" s="83" t="s">
        <v>130</v>
      </c>
      <c r="B50" s="83" t="s">
        <v>219</v>
      </c>
      <c r="C50" s="83">
        <v>40</v>
      </c>
      <c r="D50" s="83">
        <v>9.9</v>
      </c>
      <c r="E50" s="83">
        <v>0.5</v>
      </c>
      <c r="F50" s="83" t="s">
        <v>217</v>
      </c>
      <c r="G50" s="83"/>
      <c r="H50" s="83">
        <v>16</v>
      </c>
      <c r="I50" s="83" t="str">
        <f t="shared" si="14"/>
        <v xml:space="preserve"> Cu</v>
      </c>
      <c r="J50" s="83">
        <v>45</v>
      </c>
      <c r="K50" s="26" t="e">
        <f t="shared" si="21"/>
        <v>#N/A</v>
      </c>
      <c r="L50" s="26" t="e">
        <f t="shared" si="15"/>
        <v>#N/A</v>
      </c>
      <c r="M50" s="35" t="str">
        <f t="shared" si="16"/>
        <v/>
      </c>
      <c r="N50" s="26" t="str">
        <f t="shared" si="17"/>
        <v/>
      </c>
      <c r="O50" s="26" t="str">
        <f t="shared" si="18"/>
        <v/>
      </c>
      <c r="P50" s="35" t="str">
        <f>IF(AND($C$24=50,'Beregning AC vern'!U12="IT-230V"),FALSE,IF(AND($A$24=$A50,$B$24=$B50,$C$24=$C50,$D$24=$D50,$E$24=$E50),TRUE,""))</f>
        <v/>
      </c>
      <c r="Q50" s="26" t="b">
        <f t="shared" si="19"/>
        <v>0</v>
      </c>
      <c r="R50" s="26" t="b">
        <f t="shared" si="20"/>
        <v>0</v>
      </c>
    </row>
    <row r="51" spans="1:50" x14ac:dyDescent="0.25">
      <c r="A51" s="83" t="s">
        <v>130</v>
      </c>
      <c r="B51" s="83" t="s">
        <v>219</v>
      </c>
      <c r="C51" s="83">
        <v>40</v>
      </c>
      <c r="D51" s="83">
        <v>9.9</v>
      </c>
      <c r="E51" s="83">
        <v>0.5</v>
      </c>
      <c r="F51" s="83" t="s">
        <v>215</v>
      </c>
      <c r="G51" s="83"/>
      <c r="H51" s="83">
        <v>25</v>
      </c>
      <c r="I51" s="83" t="str">
        <f t="shared" si="14"/>
        <v xml:space="preserve"> Al</v>
      </c>
      <c r="J51" s="83">
        <v>43</v>
      </c>
      <c r="K51" s="26" t="e">
        <f t="shared" si="21"/>
        <v>#N/A</v>
      </c>
      <c r="L51" s="26" t="e">
        <f t="shared" si="15"/>
        <v>#N/A</v>
      </c>
      <c r="M51" s="35" t="str">
        <f t="shared" si="16"/>
        <v/>
      </c>
      <c r="N51" s="26" t="str">
        <f t="shared" si="17"/>
        <v/>
      </c>
      <c r="O51" s="26" t="str">
        <f t="shared" si="18"/>
        <v/>
      </c>
      <c r="P51" s="35" t="str">
        <f>IF(AND($C$24=50,'Beregning AC vern'!U13="IT-230V"),FALSE,IF(AND($A$24=$A51,$B$24=$B51,$C$24=$C51,$D$24=$D51,$E$24=$E51),TRUE,""))</f>
        <v/>
      </c>
      <c r="Q51" s="26" t="b">
        <f t="shared" si="19"/>
        <v>0</v>
      </c>
      <c r="R51" s="26" t="b">
        <f t="shared" si="20"/>
        <v>0</v>
      </c>
      <c r="AI51" s="12"/>
    </row>
    <row r="52" spans="1:50" x14ac:dyDescent="0.25">
      <c r="A52" s="83" t="s">
        <v>130</v>
      </c>
      <c r="B52" s="83" t="s">
        <v>219</v>
      </c>
      <c r="C52" s="83">
        <v>40</v>
      </c>
      <c r="D52" s="83">
        <v>9.9</v>
      </c>
      <c r="E52" s="83">
        <v>0.5</v>
      </c>
      <c r="F52" s="83" t="s">
        <v>216</v>
      </c>
      <c r="G52" s="83"/>
      <c r="H52" s="83">
        <v>50</v>
      </c>
      <c r="I52" s="83" t="str">
        <f t="shared" si="14"/>
        <v xml:space="preserve"> Al</v>
      </c>
      <c r="J52" s="83">
        <v>80</v>
      </c>
      <c r="K52" s="26" t="e">
        <f t="shared" si="21"/>
        <v>#N/A</v>
      </c>
      <c r="L52" s="26" t="e">
        <f t="shared" si="15"/>
        <v>#N/A</v>
      </c>
      <c r="M52" s="35" t="str">
        <f t="shared" si="16"/>
        <v/>
      </c>
      <c r="N52" s="26" t="str">
        <f t="shared" si="17"/>
        <v/>
      </c>
      <c r="O52" s="26" t="str">
        <f t="shared" si="18"/>
        <v/>
      </c>
      <c r="P52" s="35" t="str">
        <f>IF(AND($C$24=50,'Beregning AC vern'!U14="IT-230V"),FALSE,IF(AND($A$24=$A52,$B$24=$B52,$C$24=$C52,$D$24=$D52,$E$24=$E52),TRUE,""))</f>
        <v/>
      </c>
      <c r="Q52" s="26" t="b">
        <f t="shared" si="19"/>
        <v>0</v>
      </c>
      <c r="R52" s="26" t="b">
        <f t="shared" si="20"/>
        <v>0</v>
      </c>
    </row>
    <row r="53" spans="1:50" x14ac:dyDescent="0.25">
      <c r="A53" s="83" t="s">
        <v>130</v>
      </c>
      <c r="B53" s="83" t="s">
        <v>219</v>
      </c>
      <c r="C53" s="83">
        <v>63</v>
      </c>
      <c r="D53" s="83">
        <v>9.9</v>
      </c>
      <c r="E53" s="83">
        <v>0.5</v>
      </c>
      <c r="F53" s="83" t="s">
        <v>218</v>
      </c>
      <c r="G53" s="83"/>
      <c r="H53" s="83">
        <v>95</v>
      </c>
      <c r="I53" s="83" t="str">
        <f t="shared" si="14"/>
        <v xml:space="preserve"> Al</v>
      </c>
      <c r="J53" s="83">
        <v>12</v>
      </c>
      <c r="K53" s="26" t="e">
        <f t="shared" si="21"/>
        <v>#N/A</v>
      </c>
      <c r="L53" s="26" t="e">
        <f t="shared" si="15"/>
        <v>#N/A</v>
      </c>
      <c r="M53" s="35" t="str">
        <f t="shared" si="16"/>
        <v/>
      </c>
      <c r="N53" s="26" t="str">
        <f t="shared" si="17"/>
        <v/>
      </c>
      <c r="O53" s="26" t="str">
        <f t="shared" si="18"/>
        <v/>
      </c>
      <c r="P53" s="35" t="str">
        <f>IF(AND($C$24=50,'Beregning AC vern'!U15="IT-230V"),FALSE,IF(AND($A$24=$A53,$B$24=$B53,$C$24=$C53,$D$24=$D53,$E$24=$E53),TRUE,""))</f>
        <v/>
      </c>
      <c r="Q53" s="26" t="b">
        <f t="shared" si="19"/>
        <v>0</v>
      </c>
      <c r="R53" s="26" t="b">
        <f t="shared" si="20"/>
        <v>0</v>
      </c>
    </row>
    <row r="54" spans="1:50" x14ac:dyDescent="0.25">
      <c r="A54" s="83" t="s">
        <v>130</v>
      </c>
      <c r="B54" s="83" t="s">
        <v>219</v>
      </c>
      <c r="C54" s="83">
        <v>25</v>
      </c>
      <c r="D54" s="83">
        <v>9.9</v>
      </c>
      <c r="E54" s="83">
        <v>1</v>
      </c>
      <c r="F54" s="83" t="s">
        <v>212</v>
      </c>
      <c r="G54" s="83"/>
      <c r="H54" s="83">
        <v>6</v>
      </c>
      <c r="I54" s="83" t="str">
        <f t="shared" si="14"/>
        <v>Cu</v>
      </c>
      <c r="J54" s="83">
        <v>57</v>
      </c>
      <c r="K54" s="26" t="e">
        <f t="shared" si="21"/>
        <v>#N/A</v>
      </c>
      <c r="L54" s="26" t="e">
        <f t="shared" si="15"/>
        <v>#N/A</v>
      </c>
      <c r="M54" s="35" t="str">
        <f t="shared" si="16"/>
        <v/>
      </c>
      <c r="N54" s="26" t="str">
        <f t="shared" si="17"/>
        <v/>
      </c>
      <c r="O54" s="26" t="str">
        <f t="shared" si="18"/>
        <v/>
      </c>
      <c r="P54" s="35" t="str">
        <f>IF(AND($C$24=50,'Beregning AC vern'!U16="IT-230V"),FALSE,IF(AND($A$24=$A54,$B$24=$B54,$C$24=$C54,$D$24=$D54,$E$24=$E54),TRUE,""))</f>
        <v/>
      </c>
      <c r="Q54" s="26" t="b">
        <f t="shared" si="19"/>
        <v>0</v>
      </c>
      <c r="R54" s="26" t="b">
        <f t="shared" si="20"/>
        <v>0</v>
      </c>
    </row>
    <row r="55" spans="1:50" x14ac:dyDescent="0.25">
      <c r="A55" s="83" t="s">
        <v>130</v>
      </c>
      <c r="B55" s="83" t="s">
        <v>219</v>
      </c>
      <c r="C55" s="83">
        <v>25</v>
      </c>
      <c r="D55" s="83">
        <v>9.9</v>
      </c>
      <c r="E55" s="83">
        <v>1</v>
      </c>
      <c r="F55" s="83" t="s">
        <v>214</v>
      </c>
      <c r="G55" s="83"/>
      <c r="H55" s="83">
        <v>10</v>
      </c>
      <c r="I55" s="83" t="str">
        <f t="shared" si="14"/>
        <v xml:space="preserve"> Cu</v>
      </c>
      <c r="J55" s="83">
        <v>95</v>
      </c>
      <c r="K55" s="26" t="e">
        <f t="shared" si="21"/>
        <v>#N/A</v>
      </c>
      <c r="L55" s="26" t="e">
        <f t="shared" si="15"/>
        <v>#N/A</v>
      </c>
      <c r="M55" s="35" t="str">
        <f t="shared" si="16"/>
        <v/>
      </c>
      <c r="N55" s="26" t="str">
        <f t="shared" si="17"/>
        <v/>
      </c>
      <c r="O55" s="26" t="str">
        <f t="shared" si="18"/>
        <v/>
      </c>
      <c r="P55" s="35" t="str">
        <f>IF(AND($C$24=50,'Beregning AC vern'!U17="IT-230V"),FALSE,IF(AND($A$24=$A55,$B$24=$B55,$C$24=$C55,$D$24=$D55,$E$24=$E55),TRUE,""))</f>
        <v/>
      </c>
      <c r="Q55" s="26" t="b">
        <f t="shared" si="19"/>
        <v>0</v>
      </c>
      <c r="R55" s="26" t="b">
        <f t="shared" si="20"/>
        <v>0</v>
      </c>
    </row>
    <row r="56" spans="1:50" x14ac:dyDescent="0.25">
      <c r="A56" s="83" t="s">
        <v>130</v>
      </c>
      <c r="B56" s="83" t="s">
        <v>219</v>
      </c>
      <c r="C56" s="83">
        <v>25</v>
      </c>
      <c r="D56" s="83">
        <v>9.9</v>
      </c>
      <c r="E56" s="83">
        <v>1</v>
      </c>
      <c r="F56" s="83" t="s">
        <v>215</v>
      </c>
      <c r="G56" s="83"/>
      <c r="H56" s="83">
        <v>25</v>
      </c>
      <c r="I56" s="83" t="str">
        <f t="shared" si="14"/>
        <v xml:space="preserve"> Al</v>
      </c>
      <c r="J56" s="83">
        <v>145</v>
      </c>
      <c r="K56" s="26" t="e">
        <f t="shared" si="21"/>
        <v>#N/A</v>
      </c>
      <c r="L56" s="26" t="e">
        <f t="shared" si="15"/>
        <v>#N/A</v>
      </c>
      <c r="M56" s="35" t="str">
        <f t="shared" si="16"/>
        <v/>
      </c>
      <c r="N56" s="26" t="str">
        <f t="shared" si="17"/>
        <v/>
      </c>
      <c r="O56" s="26" t="str">
        <f t="shared" si="18"/>
        <v/>
      </c>
      <c r="P56" s="35" t="str">
        <f>IF(AND($C$24=50,'Beregning AC vern'!U18="IT-230V"),FALSE,IF(AND($A$24=$A56,$B$24=$B56,$C$24=$C56,$D$24=$D56,$E$24=$E56),TRUE,""))</f>
        <v/>
      </c>
      <c r="Q56" s="26" t="b">
        <f t="shared" si="19"/>
        <v>0</v>
      </c>
      <c r="R56" s="26" t="b">
        <f t="shared" si="20"/>
        <v>0</v>
      </c>
      <c r="AI56" s="88"/>
    </row>
    <row r="57" spans="1:50" x14ac:dyDescent="0.25">
      <c r="A57" s="83" t="s">
        <v>130</v>
      </c>
      <c r="B57" s="83" t="s">
        <v>219</v>
      </c>
      <c r="C57" s="83">
        <v>25</v>
      </c>
      <c r="D57" s="83">
        <v>9.9</v>
      </c>
      <c r="E57" s="83">
        <v>1</v>
      </c>
      <c r="F57" s="83" t="s">
        <v>216</v>
      </c>
      <c r="G57" s="83"/>
      <c r="H57" s="83">
        <v>50</v>
      </c>
      <c r="I57" s="83" t="str">
        <f t="shared" si="14"/>
        <v xml:space="preserve"> Al</v>
      </c>
      <c r="J57" s="83">
        <v>270</v>
      </c>
      <c r="K57" s="26" t="e">
        <f t="shared" si="21"/>
        <v>#N/A</v>
      </c>
      <c r="L57" s="26" t="e">
        <f t="shared" si="15"/>
        <v>#N/A</v>
      </c>
      <c r="M57" s="35" t="str">
        <f t="shared" si="16"/>
        <v/>
      </c>
      <c r="N57" s="26" t="str">
        <f t="shared" si="17"/>
        <v/>
      </c>
      <c r="O57" s="26" t="str">
        <f t="shared" si="18"/>
        <v/>
      </c>
      <c r="P57" s="35" t="str">
        <f>IF(AND($C$24=50,'Beregning AC vern'!U19="IT-230V"),FALSE,IF(AND($A$24=$A57,$B$24=$B57,$C$24=$C57,$D$24=$D57,$E$24=$E57),TRUE,""))</f>
        <v/>
      </c>
      <c r="Q57" s="26" t="b">
        <f t="shared" si="19"/>
        <v>0</v>
      </c>
      <c r="R57" s="26" t="b">
        <f t="shared" si="20"/>
        <v>0</v>
      </c>
    </row>
    <row r="58" spans="1:50" x14ac:dyDescent="0.25">
      <c r="A58" s="83" t="s">
        <v>130</v>
      </c>
      <c r="B58" s="83" t="s">
        <v>219</v>
      </c>
      <c r="C58" s="83">
        <v>32</v>
      </c>
      <c r="D58" s="83">
        <v>9.9</v>
      </c>
      <c r="E58" s="83">
        <v>1</v>
      </c>
      <c r="F58" s="83" t="s">
        <v>214</v>
      </c>
      <c r="G58" s="83"/>
      <c r="H58" s="83">
        <v>10</v>
      </c>
      <c r="I58" s="83" t="str">
        <f t="shared" si="14"/>
        <v xml:space="preserve"> Cu</v>
      </c>
      <c r="J58" s="83">
        <v>67</v>
      </c>
      <c r="K58" s="26" t="e">
        <f t="shared" si="21"/>
        <v>#N/A</v>
      </c>
      <c r="L58" s="26" t="e">
        <f t="shared" si="15"/>
        <v>#N/A</v>
      </c>
      <c r="M58" s="35" t="str">
        <f t="shared" si="16"/>
        <v/>
      </c>
      <c r="N58" s="26" t="str">
        <f t="shared" si="17"/>
        <v/>
      </c>
      <c r="O58" s="26" t="str">
        <f t="shared" si="18"/>
        <v/>
      </c>
      <c r="P58" s="35" t="str">
        <f>IF(AND($C$24=50,'Beregning AC vern'!U20="IT-230V"),FALSE,IF(AND($A$24=$A58,$B$24=$B58,$C$24=$C58,$D$24=$D58,$E$24=$E58),TRUE,""))</f>
        <v/>
      </c>
      <c r="Q58" s="26" t="b">
        <f t="shared" si="19"/>
        <v>0</v>
      </c>
      <c r="R58" s="26" t="b">
        <f t="shared" si="20"/>
        <v>0</v>
      </c>
    </row>
    <row r="59" spans="1:50" x14ac:dyDescent="0.25">
      <c r="A59" s="83" t="s">
        <v>130</v>
      </c>
      <c r="B59" s="83" t="s">
        <v>219</v>
      </c>
      <c r="C59" s="83">
        <v>32</v>
      </c>
      <c r="D59" s="83">
        <v>9.9</v>
      </c>
      <c r="E59" s="83">
        <v>1</v>
      </c>
      <c r="F59" s="83" t="s">
        <v>215</v>
      </c>
      <c r="G59" s="83"/>
      <c r="H59" s="83">
        <v>25</v>
      </c>
      <c r="I59" s="83" t="str">
        <f t="shared" si="14"/>
        <v xml:space="preserve"> Al</v>
      </c>
      <c r="J59" s="83">
        <v>101</v>
      </c>
      <c r="K59" s="26" t="e">
        <f t="shared" si="21"/>
        <v>#N/A</v>
      </c>
      <c r="L59" s="26" t="e">
        <f t="shared" si="15"/>
        <v>#N/A</v>
      </c>
      <c r="M59" s="35" t="str">
        <f t="shared" si="16"/>
        <v/>
      </c>
      <c r="N59" s="26" t="str">
        <f t="shared" si="17"/>
        <v/>
      </c>
      <c r="O59" s="26" t="str">
        <f t="shared" si="18"/>
        <v/>
      </c>
      <c r="P59" s="35" t="str">
        <f>IF(AND($C$24=50,'Beregning AC vern'!U21="IT-230V"),FALSE,IF(AND($A$24=$A59,$B$24=$B59,$C$24=$C59,$D$24=$D59,$E$24=$E59),TRUE,""))</f>
        <v/>
      </c>
      <c r="Q59" s="26" t="b">
        <f t="shared" si="19"/>
        <v>0</v>
      </c>
      <c r="R59" s="26" t="b">
        <f t="shared" si="20"/>
        <v>0</v>
      </c>
    </row>
    <row r="60" spans="1:50" x14ac:dyDescent="0.25">
      <c r="A60" s="83" t="s">
        <v>130</v>
      </c>
      <c r="B60" s="83" t="s">
        <v>219</v>
      </c>
      <c r="C60" s="83">
        <v>32</v>
      </c>
      <c r="D60" s="83">
        <v>9.9</v>
      </c>
      <c r="E60" s="83">
        <v>1</v>
      </c>
      <c r="F60" s="83" t="s">
        <v>216</v>
      </c>
      <c r="G60" s="83"/>
      <c r="H60" s="83">
        <v>50</v>
      </c>
      <c r="I60" s="83" t="str">
        <f t="shared" si="14"/>
        <v xml:space="preserve"> Al</v>
      </c>
      <c r="J60" s="83">
        <v>189</v>
      </c>
      <c r="K60" s="26" t="e">
        <f t="shared" si="21"/>
        <v>#N/A</v>
      </c>
      <c r="L60" s="26" t="e">
        <f t="shared" si="15"/>
        <v>#N/A</v>
      </c>
      <c r="M60" s="35" t="str">
        <f t="shared" si="16"/>
        <v/>
      </c>
      <c r="N60" s="26" t="str">
        <f t="shared" si="17"/>
        <v/>
      </c>
      <c r="O60" s="26" t="str">
        <f t="shared" si="18"/>
        <v/>
      </c>
      <c r="P60" s="35" t="str">
        <f>IF(AND($C$24=50,'Beregning AC vern'!U22="IT-230V"),FALSE,IF(AND($A$24=$A60,$B$24=$B60,$C$24=$C60,$D$24=$D60,$E$24=$E60),TRUE,""))</f>
        <v/>
      </c>
      <c r="Q60" s="26" t="b">
        <f t="shared" si="19"/>
        <v>0</v>
      </c>
      <c r="R60" s="26" t="b">
        <f t="shared" si="20"/>
        <v>0</v>
      </c>
    </row>
    <row r="61" spans="1:50" x14ac:dyDescent="0.25">
      <c r="A61" s="83" t="s">
        <v>130</v>
      </c>
      <c r="B61" s="83" t="s">
        <v>219</v>
      </c>
      <c r="C61" s="83">
        <v>40</v>
      </c>
      <c r="D61" s="83">
        <v>9.9</v>
      </c>
      <c r="E61" s="83">
        <v>1</v>
      </c>
      <c r="F61" s="83" t="s">
        <v>217</v>
      </c>
      <c r="G61" s="83"/>
      <c r="H61" s="83">
        <v>16</v>
      </c>
      <c r="I61" s="83" t="str">
        <f t="shared" si="14"/>
        <v xml:space="preserve"> Cu</v>
      </c>
      <c r="J61" s="83">
        <v>83</v>
      </c>
      <c r="K61" s="26" t="e">
        <f t="shared" si="21"/>
        <v>#N/A</v>
      </c>
      <c r="L61" s="26" t="e">
        <f t="shared" si="15"/>
        <v>#N/A</v>
      </c>
      <c r="M61" s="35" t="str">
        <f t="shared" si="16"/>
        <v/>
      </c>
      <c r="N61" s="26" t="str">
        <f t="shared" si="17"/>
        <v/>
      </c>
      <c r="O61" s="26" t="str">
        <f t="shared" si="18"/>
        <v/>
      </c>
      <c r="P61" s="35" t="str">
        <f>IF(AND($C$24=50,'Beregning AC vern'!U23="IT-230V"),FALSE,IF(AND($A$24=$A61,$B$24=$B61,$C$24=$C61,$D$24=$D61,$E$24=$E61),TRUE,""))</f>
        <v/>
      </c>
      <c r="Q61" s="26" t="b">
        <f t="shared" si="19"/>
        <v>0</v>
      </c>
      <c r="R61" s="26" t="b">
        <f t="shared" si="20"/>
        <v>0</v>
      </c>
    </row>
    <row r="62" spans="1:50" x14ac:dyDescent="0.25">
      <c r="A62" s="83" t="s">
        <v>130</v>
      </c>
      <c r="B62" s="83" t="s">
        <v>219</v>
      </c>
      <c r="C62" s="83">
        <v>40</v>
      </c>
      <c r="D62" s="83">
        <v>9.9</v>
      </c>
      <c r="E62" s="83">
        <v>1</v>
      </c>
      <c r="F62" s="83" t="s">
        <v>215</v>
      </c>
      <c r="G62" s="83"/>
      <c r="H62" s="83">
        <v>25</v>
      </c>
      <c r="I62" s="83" t="str">
        <f t="shared" si="14"/>
        <v xml:space="preserve"> Al</v>
      </c>
      <c r="J62" s="83">
        <v>79</v>
      </c>
      <c r="K62" s="26" t="e">
        <f t="shared" si="21"/>
        <v>#N/A</v>
      </c>
      <c r="L62" s="26" t="e">
        <f t="shared" si="15"/>
        <v>#N/A</v>
      </c>
      <c r="M62" s="35" t="str">
        <f t="shared" si="16"/>
        <v/>
      </c>
      <c r="N62" s="26" t="str">
        <f t="shared" si="17"/>
        <v/>
      </c>
      <c r="O62" s="26" t="str">
        <f t="shared" si="18"/>
        <v/>
      </c>
      <c r="P62" s="35" t="str">
        <f>IF(AND($C$24=50,'Beregning AC vern'!U24="IT-230V"),FALSE,IF(AND($A$24=$A62,$B$24=$B62,$C$24=$C62,$D$24=$D62,$E$24=$E62),TRUE,""))</f>
        <v/>
      </c>
      <c r="Q62" s="26" t="b">
        <f t="shared" si="19"/>
        <v>0</v>
      </c>
      <c r="R62" s="26" t="b">
        <f t="shared" si="20"/>
        <v>0</v>
      </c>
    </row>
    <row r="63" spans="1:50" x14ac:dyDescent="0.25">
      <c r="A63" s="83" t="s">
        <v>130</v>
      </c>
      <c r="B63" s="83" t="s">
        <v>219</v>
      </c>
      <c r="C63" s="83">
        <v>40</v>
      </c>
      <c r="D63" s="83">
        <v>9.9</v>
      </c>
      <c r="E63" s="83">
        <v>1</v>
      </c>
      <c r="F63" s="83" t="s">
        <v>216</v>
      </c>
      <c r="G63" s="83"/>
      <c r="H63" s="83">
        <v>50</v>
      </c>
      <c r="I63" s="83" t="str">
        <f t="shared" si="14"/>
        <v xml:space="preserve"> Al</v>
      </c>
      <c r="J63" s="83">
        <v>147</v>
      </c>
      <c r="K63" s="26" t="e">
        <f t="shared" si="21"/>
        <v>#N/A</v>
      </c>
      <c r="L63" s="26" t="e">
        <f t="shared" si="15"/>
        <v>#N/A</v>
      </c>
      <c r="M63" s="35" t="str">
        <f t="shared" si="16"/>
        <v/>
      </c>
      <c r="N63" s="26" t="str">
        <f t="shared" si="17"/>
        <v/>
      </c>
      <c r="O63" s="26" t="str">
        <f t="shared" si="18"/>
        <v/>
      </c>
      <c r="P63" s="35" t="str">
        <f>IF(AND($C$24=50,'Beregning AC vern'!U25="IT-230V"),FALSE,IF(AND($A$24=$A63,$B$24=$B63,$C$24=$C63,$D$24=$D63,$E$24=$E63),TRUE,""))</f>
        <v/>
      </c>
      <c r="Q63" s="26" t="b">
        <f t="shared" si="19"/>
        <v>0</v>
      </c>
      <c r="R63" s="26" t="b">
        <f t="shared" si="20"/>
        <v>0</v>
      </c>
      <c r="AJ63" s="12"/>
      <c r="AK63" s="12"/>
      <c r="AL63" s="12"/>
      <c r="AP63" s="12"/>
      <c r="AR63" s="12"/>
      <c r="AS63" s="12"/>
      <c r="AT63" s="12"/>
      <c r="AX63" s="12"/>
    </row>
    <row r="64" spans="1:50" x14ac:dyDescent="0.25">
      <c r="A64" s="83" t="s">
        <v>130</v>
      </c>
      <c r="B64" s="83" t="s">
        <v>219</v>
      </c>
      <c r="C64" s="83">
        <v>63</v>
      </c>
      <c r="D64" s="83">
        <v>9.9</v>
      </c>
      <c r="E64" s="83">
        <v>1</v>
      </c>
      <c r="F64" s="83" t="s">
        <v>216</v>
      </c>
      <c r="G64" s="83"/>
      <c r="H64" s="83">
        <v>50</v>
      </c>
      <c r="I64" s="83" t="str">
        <f t="shared" si="14"/>
        <v xml:space="preserve"> Al</v>
      </c>
      <c r="J64" s="83">
        <v>75</v>
      </c>
      <c r="K64" s="26" t="e">
        <f t="shared" si="21"/>
        <v>#N/A</v>
      </c>
      <c r="L64" s="26" t="e">
        <f t="shared" si="15"/>
        <v>#N/A</v>
      </c>
      <c r="M64" s="35" t="str">
        <f t="shared" si="16"/>
        <v/>
      </c>
      <c r="N64" s="26" t="str">
        <f t="shared" si="17"/>
        <v/>
      </c>
      <c r="O64" s="26" t="str">
        <f t="shared" si="18"/>
        <v/>
      </c>
      <c r="P64" s="35" t="str">
        <f>IF(AND($C$24=50,'Beregning AC vern'!U26="IT-230V"),FALSE,IF(AND($A$24=$A64,$B$24=$B64,$C$24=$C64,$D$24=$D64,$E$24=$E64),TRUE,""))</f>
        <v/>
      </c>
      <c r="Q64" s="26" t="b">
        <f t="shared" si="19"/>
        <v>0</v>
      </c>
      <c r="R64" s="26" t="b">
        <f t="shared" si="20"/>
        <v>0</v>
      </c>
    </row>
    <row r="65" spans="1:50" x14ac:dyDescent="0.25">
      <c r="A65" s="83" t="s">
        <v>130</v>
      </c>
      <c r="B65" s="83" t="s">
        <v>219</v>
      </c>
      <c r="C65" s="83">
        <v>80</v>
      </c>
      <c r="D65" s="83">
        <v>9.9</v>
      </c>
      <c r="E65" s="83">
        <v>1</v>
      </c>
      <c r="F65" s="83" t="s">
        <v>218</v>
      </c>
      <c r="G65" s="83"/>
      <c r="H65" s="83">
        <v>95</v>
      </c>
      <c r="I65" s="83" t="str">
        <f t="shared" si="14"/>
        <v xml:space="preserve"> Al</v>
      </c>
      <c r="J65" s="83">
        <v>136</v>
      </c>
      <c r="K65" s="26" t="e">
        <f t="shared" si="21"/>
        <v>#N/A</v>
      </c>
      <c r="L65" s="26" t="e">
        <f t="shared" si="15"/>
        <v>#N/A</v>
      </c>
      <c r="M65" s="35" t="str">
        <f t="shared" si="16"/>
        <v/>
      </c>
      <c r="N65" s="26" t="str">
        <f t="shared" si="17"/>
        <v/>
      </c>
      <c r="O65" s="26" t="str">
        <f t="shared" si="18"/>
        <v/>
      </c>
      <c r="P65" s="35" t="str">
        <f>IF(AND($C$24=50,'Beregning AC vern'!U27="IT-230V"),FALSE,IF(AND($A$24=$A65,$B$24=$B65,$C$24=$C65,$D$24=$D65,$E$24=$E65),TRUE,""))</f>
        <v/>
      </c>
      <c r="Q65" s="26" t="b">
        <f t="shared" si="19"/>
        <v>0</v>
      </c>
      <c r="R65" s="26" t="b">
        <f t="shared" si="20"/>
        <v>0</v>
      </c>
    </row>
    <row r="66" spans="1:50" x14ac:dyDescent="0.25">
      <c r="A66" s="83" t="s">
        <v>130</v>
      </c>
      <c r="B66" s="83" t="s">
        <v>219</v>
      </c>
      <c r="C66" s="83">
        <v>25</v>
      </c>
      <c r="D66" s="83">
        <v>9.9</v>
      </c>
      <c r="E66" s="83">
        <v>2</v>
      </c>
      <c r="F66" s="83" t="s">
        <v>212</v>
      </c>
      <c r="G66" s="83"/>
      <c r="H66" s="83">
        <v>6</v>
      </c>
      <c r="I66" s="83" t="str">
        <f t="shared" si="14"/>
        <v>Cu</v>
      </c>
      <c r="J66" s="83">
        <v>63</v>
      </c>
      <c r="K66" s="26" t="e">
        <f t="shared" si="21"/>
        <v>#N/A</v>
      </c>
      <c r="L66" s="26" t="e">
        <f t="shared" si="15"/>
        <v>#N/A</v>
      </c>
      <c r="M66" s="35" t="str">
        <f t="shared" si="16"/>
        <v/>
      </c>
      <c r="N66" s="26" t="str">
        <f t="shared" si="17"/>
        <v/>
      </c>
      <c r="O66" s="26" t="str">
        <f t="shared" si="18"/>
        <v/>
      </c>
      <c r="P66" s="35" t="str">
        <f>IF(AND($C$24=50,'Beregning AC vern'!U28="IT-230V"),FALSE,IF(AND($A$24=$A66,$B$24=$B66,$C$24=$C66,$D$24=$D66,$E$24=$E66),TRUE,""))</f>
        <v/>
      </c>
      <c r="Q66" s="26" t="b">
        <f t="shared" si="19"/>
        <v>0</v>
      </c>
      <c r="R66" s="26" t="b">
        <f t="shared" si="20"/>
        <v>0</v>
      </c>
    </row>
    <row r="67" spans="1:50" x14ac:dyDescent="0.25">
      <c r="A67" s="83" t="s">
        <v>130</v>
      </c>
      <c r="B67" s="83" t="s">
        <v>219</v>
      </c>
      <c r="C67" s="83">
        <v>25</v>
      </c>
      <c r="D67" s="83">
        <v>9.9</v>
      </c>
      <c r="E67" s="83">
        <v>2</v>
      </c>
      <c r="F67" s="83" t="s">
        <v>214</v>
      </c>
      <c r="G67" s="83"/>
      <c r="H67" s="83">
        <v>10</v>
      </c>
      <c r="I67" s="83" t="str">
        <f t="shared" si="14"/>
        <v xml:space="preserve"> Cu</v>
      </c>
      <c r="J67" s="83">
        <v>104</v>
      </c>
      <c r="K67" s="26" t="e">
        <f t="shared" si="21"/>
        <v>#N/A</v>
      </c>
      <c r="L67" s="26" t="e">
        <f t="shared" si="15"/>
        <v>#N/A</v>
      </c>
      <c r="M67" s="35" t="str">
        <f t="shared" si="16"/>
        <v/>
      </c>
      <c r="N67" s="26" t="str">
        <f t="shared" si="17"/>
        <v/>
      </c>
      <c r="O67" s="26" t="str">
        <f t="shared" si="18"/>
        <v/>
      </c>
      <c r="P67" s="35" t="str">
        <f>IF(AND($C$24=50,'Beregning AC vern'!U29="IT-230V"),FALSE,IF(AND($A$24=$A67,$B$24=$B67,$C$24=$C67,$D$24=$D67,$E$24=$E67),TRUE,""))</f>
        <v/>
      </c>
      <c r="Q67" s="26" t="b">
        <f t="shared" si="19"/>
        <v>0</v>
      </c>
      <c r="R67" s="26" t="b">
        <f t="shared" si="20"/>
        <v>0</v>
      </c>
      <c r="AJ67" s="12"/>
      <c r="AK67" s="12"/>
      <c r="AL67" s="12"/>
      <c r="AR67" s="12"/>
      <c r="AS67" s="12"/>
      <c r="AT67" s="12"/>
    </row>
    <row r="68" spans="1:50" x14ac:dyDescent="0.25">
      <c r="A68" s="83" t="s">
        <v>130</v>
      </c>
      <c r="B68" s="83" t="s">
        <v>219</v>
      </c>
      <c r="C68" s="83">
        <v>25</v>
      </c>
      <c r="D68" s="83">
        <v>9.9</v>
      </c>
      <c r="E68" s="83">
        <v>2</v>
      </c>
      <c r="F68" s="83" t="s">
        <v>215</v>
      </c>
      <c r="G68" s="83"/>
      <c r="H68" s="83">
        <v>25</v>
      </c>
      <c r="I68" s="83" t="str">
        <f t="shared" si="14"/>
        <v xml:space="preserve"> Al</v>
      </c>
      <c r="J68" s="83">
        <v>158</v>
      </c>
      <c r="K68" s="26" t="e">
        <f t="shared" si="21"/>
        <v>#N/A</v>
      </c>
      <c r="L68" s="26" t="e">
        <f t="shared" si="15"/>
        <v>#N/A</v>
      </c>
      <c r="M68" s="35" t="str">
        <f t="shared" si="16"/>
        <v/>
      </c>
      <c r="N68" s="26" t="str">
        <f t="shared" si="17"/>
        <v/>
      </c>
      <c r="O68" s="26" t="str">
        <f t="shared" si="18"/>
        <v/>
      </c>
      <c r="P68" s="35" t="str">
        <f>IF(AND($C$24=50,'Beregning AC vern'!U30="IT-230V"),FALSE,IF(AND($A$24=$A68,$B$24=$B68,$C$24=$C68,$D$24=$D68,$E$24=$E68),TRUE,""))</f>
        <v/>
      </c>
      <c r="Q68" s="26" t="b">
        <f t="shared" si="19"/>
        <v>0</v>
      </c>
      <c r="R68" s="26" t="b">
        <f t="shared" si="20"/>
        <v>0</v>
      </c>
    </row>
    <row r="69" spans="1:50" x14ac:dyDescent="0.25">
      <c r="A69" s="83" t="s">
        <v>130</v>
      </c>
      <c r="B69" s="83" t="s">
        <v>219</v>
      </c>
      <c r="C69" s="83">
        <v>25</v>
      </c>
      <c r="D69" s="83">
        <v>9.9</v>
      </c>
      <c r="E69" s="83">
        <v>2</v>
      </c>
      <c r="F69" s="83" t="s">
        <v>216</v>
      </c>
      <c r="G69" s="83"/>
      <c r="H69" s="83">
        <v>50</v>
      </c>
      <c r="I69" s="83" t="str">
        <f t="shared" si="14"/>
        <v xml:space="preserve"> Al</v>
      </c>
      <c r="J69" s="83">
        <v>285</v>
      </c>
      <c r="K69" s="26" t="e">
        <f t="shared" si="21"/>
        <v>#N/A</v>
      </c>
      <c r="L69" s="26" t="e">
        <f t="shared" si="15"/>
        <v>#N/A</v>
      </c>
      <c r="M69" s="35" t="str">
        <f t="shared" si="16"/>
        <v/>
      </c>
      <c r="N69" s="26" t="str">
        <f t="shared" si="17"/>
        <v/>
      </c>
      <c r="O69" s="26" t="str">
        <f t="shared" si="18"/>
        <v/>
      </c>
      <c r="P69" s="35" t="str">
        <f>IF(AND($C$24=50,'Beregning AC vern'!U31="IT-230V"),FALSE,IF(AND($A$24=$A69,$B$24=$B69,$C$24=$C69,$D$24=$D69,$E$24=$E69),TRUE,""))</f>
        <v/>
      </c>
      <c r="Q69" s="26" t="b">
        <f t="shared" si="19"/>
        <v>0</v>
      </c>
      <c r="R69" s="26" t="b">
        <f t="shared" si="20"/>
        <v>0</v>
      </c>
      <c r="AJ69" s="12"/>
      <c r="AK69" s="12"/>
      <c r="AL69" s="12"/>
      <c r="AM69" s="12"/>
      <c r="AN69" s="12"/>
      <c r="AO69" s="12"/>
      <c r="AP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83" t="s">
        <v>130</v>
      </c>
      <c r="B70" s="83" t="s">
        <v>219</v>
      </c>
      <c r="C70" s="83">
        <v>32</v>
      </c>
      <c r="D70" s="83">
        <v>9.9</v>
      </c>
      <c r="E70" s="83">
        <v>2</v>
      </c>
      <c r="F70" s="83" t="s">
        <v>214</v>
      </c>
      <c r="G70" s="83"/>
      <c r="H70" s="83">
        <v>10</v>
      </c>
      <c r="I70" s="83" t="str">
        <f t="shared" si="14"/>
        <v xml:space="preserve"> Cu</v>
      </c>
      <c r="J70" s="83">
        <v>78</v>
      </c>
      <c r="K70" s="26" t="e">
        <f t="shared" si="21"/>
        <v>#N/A</v>
      </c>
      <c r="L70" s="26" t="e">
        <f t="shared" si="15"/>
        <v>#N/A</v>
      </c>
      <c r="M70" s="35" t="str">
        <f t="shared" si="16"/>
        <v/>
      </c>
      <c r="N70" s="26" t="str">
        <f t="shared" si="17"/>
        <v/>
      </c>
      <c r="O70" s="26" t="str">
        <f t="shared" si="18"/>
        <v/>
      </c>
      <c r="P70" s="35" t="str">
        <f>IF(AND($C$24=50,'Beregning AC vern'!U32="IT-230V"),FALSE,IF(AND($A$24=$A70,$B$24=$B70,$C$24=$C70,$D$24=$D70,$E$24=$E70),TRUE,""))</f>
        <v/>
      </c>
      <c r="Q70" s="26" t="b">
        <f t="shared" si="19"/>
        <v>0</v>
      </c>
      <c r="R70" s="26" t="b">
        <f t="shared" si="20"/>
        <v>0</v>
      </c>
    </row>
    <row r="71" spans="1:50" x14ac:dyDescent="0.25">
      <c r="A71" s="83" t="s">
        <v>130</v>
      </c>
      <c r="B71" s="83" t="s">
        <v>219</v>
      </c>
      <c r="C71" s="83">
        <v>32</v>
      </c>
      <c r="D71" s="83">
        <v>9.9</v>
      </c>
      <c r="E71" s="83">
        <v>2</v>
      </c>
      <c r="F71" s="83" t="s">
        <v>215</v>
      </c>
      <c r="G71" s="83"/>
      <c r="H71" s="83">
        <v>25</v>
      </c>
      <c r="I71" s="83" t="str">
        <f t="shared" si="14"/>
        <v xml:space="preserve"> Al</v>
      </c>
      <c r="J71" s="83">
        <v>119</v>
      </c>
      <c r="K71" s="26" t="e">
        <f t="shared" si="21"/>
        <v>#N/A</v>
      </c>
      <c r="L71" s="26" t="e">
        <f t="shared" si="15"/>
        <v>#N/A</v>
      </c>
      <c r="M71" s="35" t="str">
        <f t="shared" si="16"/>
        <v/>
      </c>
      <c r="N71" s="26" t="str">
        <f t="shared" si="17"/>
        <v/>
      </c>
      <c r="O71" s="26" t="str">
        <f t="shared" si="18"/>
        <v/>
      </c>
      <c r="P71" s="35" t="str">
        <f>IF(AND($C$24=50,'Beregning AC vern'!U33="IT-230V"),FALSE,IF(AND($A$24=$A71,$B$24=$B71,$C$24=$C71,$D$24=$D71,$E$24=$E71),TRUE,""))</f>
        <v/>
      </c>
      <c r="Q71" s="26" t="b">
        <f t="shared" si="19"/>
        <v>0</v>
      </c>
      <c r="R71" s="26" t="b">
        <f t="shared" si="20"/>
        <v>0</v>
      </c>
      <c r="AI71" s="12"/>
    </row>
    <row r="72" spans="1:50" x14ac:dyDescent="0.25">
      <c r="A72" s="83" t="s">
        <v>130</v>
      </c>
      <c r="B72" s="83" t="s">
        <v>219</v>
      </c>
      <c r="C72" s="83">
        <v>32</v>
      </c>
      <c r="D72" s="83">
        <v>9.9</v>
      </c>
      <c r="E72" s="83">
        <v>2</v>
      </c>
      <c r="F72" s="83" t="s">
        <v>216</v>
      </c>
      <c r="G72" s="83"/>
      <c r="H72" s="83">
        <v>50</v>
      </c>
      <c r="I72" s="83" t="str">
        <f t="shared" si="14"/>
        <v xml:space="preserve"> Al</v>
      </c>
      <c r="J72" s="83">
        <v>221</v>
      </c>
      <c r="K72" s="26" t="e">
        <f t="shared" si="21"/>
        <v>#N/A</v>
      </c>
      <c r="L72" s="26" t="e">
        <f t="shared" si="15"/>
        <v>#N/A</v>
      </c>
      <c r="M72" s="35" t="str">
        <f t="shared" si="16"/>
        <v/>
      </c>
      <c r="N72" s="26" t="str">
        <f t="shared" si="17"/>
        <v/>
      </c>
      <c r="O72" s="26" t="str">
        <f t="shared" si="18"/>
        <v/>
      </c>
      <c r="P72" s="35" t="str">
        <f>IF(AND($C$24=50,'Beregning AC vern'!U34="IT-230V"),FALSE,IF(AND($A$24=$A72,$B$24=$B72,$C$24=$C72,$D$24=$D72,$E$24=$E72),TRUE,""))</f>
        <v/>
      </c>
      <c r="Q72" s="26" t="b">
        <f t="shared" si="19"/>
        <v>0</v>
      </c>
      <c r="R72" s="26" t="b">
        <f t="shared" si="20"/>
        <v>0</v>
      </c>
    </row>
    <row r="73" spans="1:50" x14ac:dyDescent="0.25">
      <c r="A73" s="83" t="s">
        <v>130</v>
      </c>
      <c r="B73" s="83" t="s">
        <v>219</v>
      </c>
      <c r="C73" s="83">
        <v>40</v>
      </c>
      <c r="D73" s="83">
        <v>9.9</v>
      </c>
      <c r="E73" s="83">
        <v>2</v>
      </c>
      <c r="F73" s="83" t="s">
        <v>217</v>
      </c>
      <c r="G73" s="83"/>
      <c r="H73" s="83">
        <v>16</v>
      </c>
      <c r="I73" s="83" t="str">
        <f t="shared" si="14"/>
        <v xml:space="preserve"> Cu</v>
      </c>
      <c r="J73" s="83">
        <v>101</v>
      </c>
      <c r="K73" s="26" t="e">
        <f t="shared" si="21"/>
        <v>#N/A</v>
      </c>
      <c r="L73" s="26" t="e">
        <f t="shared" si="15"/>
        <v>#N/A</v>
      </c>
      <c r="M73" s="35" t="str">
        <f t="shared" si="16"/>
        <v/>
      </c>
      <c r="N73" s="26" t="str">
        <f t="shared" si="17"/>
        <v/>
      </c>
      <c r="O73" s="26" t="str">
        <f t="shared" si="18"/>
        <v/>
      </c>
      <c r="P73" s="35" t="str">
        <f>IF(AND($C$24=50,'Beregning AC vern'!U35="IT-230V"),FALSE,IF(AND($A$24=$A73,$B$24=$B73,$C$24=$C73,$D$24=$D73,$E$24=$E73),TRUE,""))</f>
        <v/>
      </c>
      <c r="Q73" s="26" t="b">
        <f t="shared" si="19"/>
        <v>0</v>
      </c>
      <c r="R73" s="26" t="b">
        <f t="shared" si="20"/>
        <v>0</v>
      </c>
    </row>
    <row r="74" spans="1:50" x14ac:dyDescent="0.25">
      <c r="A74" s="83" t="s">
        <v>130</v>
      </c>
      <c r="B74" s="83" t="s">
        <v>219</v>
      </c>
      <c r="C74" s="83">
        <v>40</v>
      </c>
      <c r="D74" s="83">
        <v>9.9</v>
      </c>
      <c r="E74" s="83">
        <v>2</v>
      </c>
      <c r="F74" s="83" t="s">
        <v>215</v>
      </c>
      <c r="G74" s="83"/>
      <c r="H74" s="83">
        <v>25</v>
      </c>
      <c r="I74" s="83" t="str">
        <f t="shared" si="14"/>
        <v xml:space="preserve"> Al</v>
      </c>
      <c r="J74" s="83">
        <v>96</v>
      </c>
      <c r="K74" s="26" t="e">
        <f t="shared" si="21"/>
        <v>#N/A</v>
      </c>
      <c r="L74" s="26" t="e">
        <f t="shared" si="15"/>
        <v>#N/A</v>
      </c>
      <c r="M74" s="35" t="str">
        <f t="shared" si="16"/>
        <v/>
      </c>
      <c r="N74" s="26" t="str">
        <f t="shared" si="17"/>
        <v/>
      </c>
      <c r="O74" s="26" t="str">
        <f t="shared" si="18"/>
        <v/>
      </c>
      <c r="P74" s="35" t="str">
        <f>IF(AND($C$24=50,'Beregning AC vern'!U36="IT-230V"),FALSE,IF(AND($A$24=$A74,$B$24=$B74,$C$24=$C74,$D$24=$D74,$E$24=$E74),TRUE,""))</f>
        <v/>
      </c>
      <c r="Q74" s="26" t="b">
        <f t="shared" si="19"/>
        <v>0</v>
      </c>
      <c r="R74" s="26" t="b">
        <f t="shared" si="20"/>
        <v>0</v>
      </c>
    </row>
    <row r="75" spans="1:50" x14ac:dyDescent="0.25">
      <c r="A75" s="83" t="s">
        <v>130</v>
      </c>
      <c r="B75" s="83" t="s">
        <v>219</v>
      </c>
      <c r="C75" s="83">
        <v>40</v>
      </c>
      <c r="D75" s="83">
        <v>9.9</v>
      </c>
      <c r="E75" s="83">
        <v>2</v>
      </c>
      <c r="F75" s="83" t="s">
        <v>216</v>
      </c>
      <c r="G75" s="83"/>
      <c r="H75" s="83">
        <v>50</v>
      </c>
      <c r="I75" s="83" t="str">
        <f t="shared" si="14"/>
        <v xml:space="preserve"> Al</v>
      </c>
      <c r="J75" s="83">
        <v>179</v>
      </c>
      <c r="K75" s="26" t="e">
        <f t="shared" si="21"/>
        <v>#N/A</v>
      </c>
      <c r="L75" s="26" t="e">
        <f t="shared" si="15"/>
        <v>#N/A</v>
      </c>
      <c r="M75" s="35" t="str">
        <f t="shared" si="16"/>
        <v/>
      </c>
      <c r="N75" s="26" t="str">
        <f t="shared" si="17"/>
        <v/>
      </c>
      <c r="O75" s="26" t="str">
        <f t="shared" si="18"/>
        <v/>
      </c>
      <c r="P75" s="35" t="str">
        <f>IF(AND($C$24=50,'Beregning AC vern'!U37="IT-230V"),FALSE,IF(AND($A$24=$A75,$B$24=$B75,$C$24=$C75,$D$24=$D75,$E$24=$E75),TRUE,""))</f>
        <v/>
      </c>
      <c r="Q75" s="26" t="b">
        <f t="shared" si="19"/>
        <v>0</v>
      </c>
      <c r="R75" s="26" t="b">
        <f t="shared" si="20"/>
        <v>0</v>
      </c>
    </row>
    <row r="76" spans="1:50" x14ac:dyDescent="0.25">
      <c r="A76" s="83" t="s">
        <v>130</v>
      </c>
      <c r="B76" s="83" t="s">
        <v>219</v>
      </c>
      <c r="C76" s="83">
        <v>63</v>
      </c>
      <c r="D76" s="83">
        <v>9.9</v>
      </c>
      <c r="E76" s="83">
        <v>2</v>
      </c>
      <c r="F76" s="83" t="s">
        <v>216</v>
      </c>
      <c r="G76" s="83"/>
      <c r="H76" s="83">
        <v>50</v>
      </c>
      <c r="I76" s="83" t="str">
        <f t="shared" si="14"/>
        <v xml:space="preserve"> Al</v>
      </c>
      <c r="J76" s="83">
        <v>108</v>
      </c>
      <c r="K76" s="26" t="e">
        <f t="shared" si="21"/>
        <v>#N/A</v>
      </c>
      <c r="L76" s="26" t="e">
        <f t="shared" si="15"/>
        <v>#N/A</v>
      </c>
      <c r="M76" s="35" t="str">
        <f t="shared" si="16"/>
        <v/>
      </c>
      <c r="N76" s="26" t="str">
        <f t="shared" si="17"/>
        <v/>
      </c>
      <c r="O76" s="26" t="str">
        <f t="shared" si="18"/>
        <v/>
      </c>
      <c r="P76" s="35" t="str">
        <f>IF(AND($C$24=50,'Beregning AC vern'!U38="IT-230V"),FALSE,IF(AND($A$24=$A76,$B$24=$B76,$C$24=$C76,$D$24=$D76,$E$24=$E76),TRUE,""))</f>
        <v/>
      </c>
      <c r="Q76" s="26" t="b">
        <f t="shared" si="19"/>
        <v>0</v>
      </c>
      <c r="R76" s="26" t="b">
        <f t="shared" si="20"/>
        <v>0</v>
      </c>
    </row>
    <row r="77" spans="1:50" x14ac:dyDescent="0.25">
      <c r="A77" s="83" t="s">
        <v>130</v>
      </c>
      <c r="B77" s="83" t="s">
        <v>219</v>
      </c>
      <c r="C77" s="83">
        <v>80</v>
      </c>
      <c r="D77" s="83">
        <v>9.9</v>
      </c>
      <c r="E77" s="83">
        <v>2</v>
      </c>
      <c r="F77" s="83" t="s">
        <v>218</v>
      </c>
      <c r="G77" s="83"/>
      <c r="H77" s="83">
        <v>95</v>
      </c>
      <c r="I77" s="83" t="str">
        <f t="shared" si="14"/>
        <v xml:space="preserve"> Al</v>
      </c>
      <c r="J77" s="83">
        <v>170</v>
      </c>
      <c r="K77" s="26" t="e">
        <f t="shared" si="21"/>
        <v>#N/A</v>
      </c>
      <c r="L77" s="26" t="e">
        <f t="shared" si="15"/>
        <v>#N/A</v>
      </c>
      <c r="M77" s="35" t="str">
        <f t="shared" si="16"/>
        <v/>
      </c>
      <c r="N77" s="26" t="str">
        <f t="shared" si="17"/>
        <v/>
      </c>
      <c r="O77" s="26" t="str">
        <f t="shared" si="18"/>
        <v/>
      </c>
      <c r="P77" s="35" t="str">
        <f>IF(AND($C$24=50,'Beregning AC vern'!U39="IT-230V"),FALSE,IF(AND($A$24=$A77,$B$24=$B77,$C$24=$C77,$D$24=$D77,$E$24=$E77),TRUE,""))</f>
        <v/>
      </c>
      <c r="Q77" s="26" t="b">
        <f t="shared" si="19"/>
        <v>0</v>
      </c>
      <c r="R77" s="26" t="b">
        <f t="shared" si="20"/>
        <v>0</v>
      </c>
    </row>
    <row r="78" spans="1:50" x14ac:dyDescent="0.25">
      <c r="A78" s="83" t="s">
        <v>130</v>
      </c>
      <c r="B78" s="83" t="s">
        <v>219</v>
      </c>
      <c r="C78" s="83">
        <v>25</v>
      </c>
      <c r="D78" s="83">
        <v>9.9</v>
      </c>
      <c r="E78" s="83">
        <v>5</v>
      </c>
      <c r="F78" s="83" t="s">
        <v>212</v>
      </c>
      <c r="G78" s="83"/>
      <c r="H78" s="83">
        <v>6</v>
      </c>
      <c r="I78" s="83" t="str">
        <f t="shared" si="14"/>
        <v>Cu</v>
      </c>
      <c r="J78" s="83">
        <v>63</v>
      </c>
      <c r="K78" s="26" t="e">
        <f t="shared" si="21"/>
        <v>#N/A</v>
      </c>
      <c r="L78" s="26" t="e">
        <f t="shared" si="15"/>
        <v>#N/A</v>
      </c>
      <c r="M78" s="35" t="str">
        <f t="shared" si="16"/>
        <v/>
      </c>
      <c r="N78" s="26" t="str">
        <f t="shared" si="17"/>
        <v/>
      </c>
      <c r="O78" s="26" t="str">
        <f t="shared" si="18"/>
        <v/>
      </c>
      <c r="P78" s="35" t="str">
        <f>IF(AND($C$24=50,'Beregning AC vern'!U40="IT-230V"),FALSE,IF(AND($A$24=$A78,$B$24=$B78,$C$24=$C78,$D$24=$D78,$E$24=$E78),TRUE,""))</f>
        <v/>
      </c>
      <c r="Q78" s="26" t="b">
        <f t="shared" si="19"/>
        <v>0</v>
      </c>
      <c r="R78" s="26" t="b">
        <f t="shared" si="20"/>
        <v>0</v>
      </c>
    </row>
    <row r="79" spans="1:50" x14ac:dyDescent="0.25">
      <c r="A79" s="83" t="s">
        <v>130</v>
      </c>
      <c r="B79" s="83" t="s">
        <v>219</v>
      </c>
      <c r="C79" s="83">
        <v>25</v>
      </c>
      <c r="D79" s="83">
        <v>9.9</v>
      </c>
      <c r="E79" s="83">
        <v>5</v>
      </c>
      <c r="F79" s="83" t="s">
        <v>214</v>
      </c>
      <c r="G79" s="83"/>
      <c r="H79" s="83">
        <v>10</v>
      </c>
      <c r="I79" s="83" t="str">
        <f t="shared" si="14"/>
        <v xml:space="preserve"> Cu</v>
      </c>
      <c r="J79" s="83">
        <v>105</v>
      </c>
      <c r="K79" s="26" t="e">
        <f t="shared" si="21"/>
        <v>#N/A</v>
      </c>
      <c r="L79" s="26" t="e">
        <f t="shared" si="15"/>
        <v>#N/A</v>
      </c>
      <c r="M79" s="35" t="str">
        <f t="shared" si="16"/>
        <v/>
      </c>
      <c r="N79" s="26" t="str">
        <f t="shared" si="17"/>
        <v/>
      </c>
      <c r="O79" s="26" t="str">
        <f t="shared" si="18"/>
        <v/>
      </c>
      <c r="P79" s="35" t="str">
        <f>IF(AND($C$24=50,'Beregning AC vern'!U41="IT-230V"),FALSE,IF(AND($A$24=$A79,$B$24=$B79,$C$24=$C79,$D$24=$D79,$E$24=$E79),TRUE,""))</f>
        <v/>
      </c>
      <c r="Q79" s="26" t="b">
        <f t="shared" si="19"/>
        <v>0</v>
      </c>
      <c r="R79" s="26" t="b">
        <f t="shared" si="20"/>
        <v>0</v>
      </c>
    </row>
    <row r="80" spans="1:50" x14ac:dyDescent="0.25">
      <c r="A80" s="83" t="s">
        <v>130</v>
      </c>
      <c r="B80" s="83" t="s">
        <v>219</v>
      </c>
      <c r="C80" s="83">
        <v>25</v>
      </c>
      <c r="D80" s="83">
        <v>9.9</v>
      </c>
      <c r="E80" s="83">
        <v>5</v>
      </c>
      <c r="F80" s="83" t="s">
        <v>215</v>
      </c>
      <c r="G80" s="83"/>
      <c r="H80" s="83">
        <v>25</v>
      </c>
      <c r="I80" s="83" t="str">
        <f t="shared" si="14"/>
        <v xml:space="preserve"> Al</v>
      </c>
      <c r="J80" s="83">
        <v>158</v>
      </c>
      <c r="K80" s="26" t="e">
        <f t="shared" si="21"/>
        <v>#N/A</v>
      </c>
      <c r="L80" s="26" t="e">
        <f t="shared" si="15"/>
        <v>#N/A</v>
      </c>
      <c r="M80" s="35" t="str">
        <f t="shared" si="16"/>
        <v/>
      </c>
      <c r="N80" s="26" t="str">
        <f t="shared" si="17"/>
        <v/>
      </c>
      <c r="O80" s="26" t="str">
        <f t="shared" si="18"/>
        <v/>
      </c>
      <c r="P80" s="35" t="str">
        <f>IF(AND($C$24=50,'Beregning AC vern'!U42="IT-230V"),FALSE,IF(AND($A$24=$A80,$B$24=$B80,$C$24=$C80,$D$24=$D80,$E$24=$E80),TRUE,""))</f>
        <v/>
      </c>
      <c r="Q80" s="26" t="b">
        <f t="shared" si="19"/>
        <v>0</v>
      </c>
      <c r="R80" s="26" t="b">
        <f t="shared" si="20"/>
        <v>0</v>
      </c>
    </row>
    <row r="81" spans="1:18" x14ac:dyDescent="0.25">
      <c r="A81" s="83" t="s">
        <v>130</v>
      </c>
      <c r="B81" s="83" t="s">
        <v>219</v>
      </c>
      <c r="C81" s="83">
        <v>25</v>
      </c>
      <c r="D81" s="83">
        <v>9.9</v>
      </c>
      <c r="E81" s="83">
        <v>5</v>
      </c>
      <c r="F81" s="83" t="s">
        <v>216</v>
      </c>
      <c r="G81" s="83"/>
      <c r="H81" s="83">
        <v>50</v>
      </c>
      <c r="I81" s="83" t="str">
        <f t="shared" si="14"/>
        <v xml:space="preserve"> Al</v>
      </c>
      <c r="J81" s="83">
        <v>288</v>
      </c>
      <c r="K81" s="26" t="e">
        <f t="shared" si="21"/>
        <v>#N/A</v>
      </c>
      <c r="L81" s="26" t="e">
        <f t="shared" si="15"/>
        <v>#N/A</v>
      </c>
      <c r="M81" s="35" t="str">
        <f t="shared" si="16"/>
        <v/>
      </c>
      <c r="N81" s="26" t="str">
        <f t="shared" si="17"/>
        <v/>
      </c>
      <c r="O81" s="26" t="str">
        <f t="shared" si="18"/>
        <v/>
      </c>
      <c r="P81" s="35" t="str">
        <f>IF(AND($C$24=50,'Beregning AC vern'!U43="IT-230V"),FALSE,IF(AND($A$24=$A81,$B$24=$B81,$C$24=$C81,$D$24=$D81,$E$24=$E81),TRUE,""))</f>
        <v/>
      </c>
      <c r="Q81" s="26" t="b">
        <f t="shared" si="19"/>
        <v>0</v>
      </c>
      <c r="R81" s="26" t="b">
        <f t="shared" si="20"/>
        <v>0</v>
      </c>
    </row>
    <row r="82" spans="1:18" x14ac:dyDescent="0.25">
      <c r="A82" s="83" t="s">
        <v>130</v>
      </c>
      <c r="B82" s="83" t="s">
        <v>219</v>
      </c>
      <c r="C82" s="83">
        <v>32</v>
      </c>
      <c r="D82" s="83">
        <v>9.9</v>
      </c>
      <c r="E82" s="83">
        <v>5</v>
      </c>
      <c r="F82" s="83" t="s">
        <v>214</v>
      </c>
      <c r="G82" s="83"/>
      <c r="H82" s="83">
        <v>10</v>
      </c>
      <c r="I82" s="83" t="str">
        <f t="shared" si="14"/>
        <v xml:space="preserve"> Cu</v>
      </c>
      <c r="J82" s="83">
        <v>82</v>
      </c>
      <c r="K82" s="26" t="e">
        <f t="shared" si="21"/>
        <v>#N/A</v>
      </c>
      <c r="L82" s="26" t="e">
        <f t="shared" si="15"/>
        <v>#N/A</v>
      </c>
      <c r="M82" s="35" t="str">
        <f t="shared" si="16"/>
        <v/>
      </c>
      <c r="N82" s="26" t="str">
        <f t="shared" si="17"/>
        <v/>
      </c>
      <c r="O82" s="26" t="str">
        <f t="shared" si="18"/>
        <v/>
      </c>
      <c r="P82" s="35" t="str">
        <f>IF(AND($C$24=50,'Beregning AC vern'!U44="IT-230V"),FALSE,IF(AND($A$24=$A82,$B$24=$B82,$C$24=$C82,$D$24=$D82,$E$24=$E82),TRUE,""))</f>
        <v/>
      </c>
      <c r="Q82" s="26" t="b">
        <f t="shared" si="19"/>
        <v>0</v>
      </c>
      <c r="R82" s="26" t="b">
        <f t="shared" si="20"/>
        <v>0</v>
      </c>
    </row>
    <row r="83" spans="1:18" x14ac:dyDescent="0.25">
      <c r="A83" s="83" t="s">
        <v>130</v>
      </c>
      <c r="B83" s="83" t="s">
        <v>219</v>
      </c>
      <c r="C83" s="83">
        <v>32</v>
      </c>
      <c r="D83" s="83">
        <v>9.9</v>
      </c>
      <c r="E83" s="83">
        <v>5</v>
      </c>
      <c r="F83" s="83" t="s">
        <v>215</v>
      </c>
      <c r="G83" s="83"/>
      <c r="H83" s="83">
        <v>25</v>
      </c>
      <c r="I83" s="83" t="str">
        <f t="shared" si="14"/>
        <v xml:space="preserve"> Al</v>
      </c>
      <c r="J83" s="83">
        <v>123</v>
      </c>
      <c r="K83" s="26" t="e">
        <f t="shared" si="21"/>
        <v>#N/A</v>
      </c>
      <c r="L83" s="26" t="e">
        <f t="shared" si="15"/>
        <v>#N/A</v>
      </c>
      <c r="M83" s="35" t="str">
        <f t="shared" si="16"/>
        <v/>
      </c>
      <c r="N83" s="26" t="str">
        <f t="shared" si="17"/>
        <v/>
      </c>
      <c r="O83" s="26" t="str">
        <f t="shared" si="18"/>
        <v/>
      </c>
      <c r="P83" s="35" t="str">
        <f>IF(AND($C$24=50,'Beregning AC vern'!U45="IT-230V"),FALSE,IF(AND($A$24=$A83,$B$24=$B83,$C$24=$C83,$D$24=$D83,$E$24=$E83),TRUE,""))</f>
        <v/>
      </c>
      <c r="Q83" s="26" t="b">
        <f t="shared" si="19"/>
        <v>0</v>
      </c>
      <c r="R83" s="26" t="b">
        <f t="shared" si="20"/>
        <v>0</v>
      </c>
    </row>
    <row r="84" spans="1:18" x14ac:dyDescent="0.25">
      <c r="A84" s="83" t="s">
        <v>130</v>
      </c>
      <c r="B84" s="83" t="s">
        <v>219</v>
      </c>
      <c r="C84" s="83">
        <v>32</v>
      </c>
      <c r="D84" s="83">
        <v>9.9</v>
      </c>
      <c r="E84" s="83">
        <v>5</v>
      </c>
      <c r="F84" s="83" t="s">
        <v>216</v>
      </c>
      <c r="G84" s="83"/>
      <c r="H84" s="83">
        <v>50</v>
      </c>
      <c r="I84" s="83" t="str">
        <f t="shared" si="14"/>
        <v xml:space="preserve"> Al</v>
      </c>
      <c r="J84" s="83">
        <v>226</v>
      </c>
      <c r="K84" s="26" t="e">
        <f t="shared" si="21"/>
        <v>#N/A</v>
      </c>
      <c r="L84" s="26" t="e">
        <f t="shared" si="15"/>
        <v>#N/A</v>
      </c>
      <c r="M84" s="35" t="str">
        <f t="shared" si="16"/>
        <v/>
      </c>
      <c r="N84" s="26" t="str">
        <f t="shared" si="17"/>
        <v/>
      </c>
      <c r="O84" s="26" t="str">
        <f t="shared" si="18"/>
        <v/>
      </c>
      <c r="P84" s="35" t="str">
        <f>IF(AND($C$24=50,'Beregning AC vern'!U46="IT-230V"),FALSE,IF(AND($A$24=$A84,$B$24=$B84,$C$24=$C84,$D$24=$D84,$E$24=$E84),TRUE,""))</f>
        <v/>
      </c>
      <c r="Q84" s="26" t="b">
        <f t="shared" si="19"/>
        <v>0</v>
      </c>
      <c r="R84" s="26" t="b">
        <f t="shared" si="20"/>
        <v>0</v>
      </c>
    </row>
    <row r="85" spans="1:18" x14ac:dyDescent="0.25">
      <c r="A85" s="83" t="s">
        <v>130</v>
      </c>
      <c r="B85" s="83" t="s">
        <v>219</v>
      </c>
      <c r="C85" s="83">
        <v>40</v>
      </c>
      <c r="D85" s="83">
        <v>9.9</v>
      </c>
      <c r="E85" s="83">
        <v>5</v>
      </c>
      <c r="F85" s="83" t="s">
        <v>217</v>
      </c>
      <c r="G85" s="83"/>
      <c r="H85" s="83">
        <v>16</v>
      </c>
      <c r="I85" s="83" t="str">
        <f t="shared" si="14"/>
        <v xml:space="preserve"> Cu</v>
      </c>
      <c r="J85" s="83">
        <v>103</v>
      </c>
      <c r="K85" s="26" t="e">
        <f t="shared" si="21"/>
        <v>#N/A</v>
      </c>
      <c r="L85" s="26" t="e">
        <f t="shared" si="15"/>
        <v>#N/A</v>
      </c>
      <c r="M85" s="35" t="str">
        <f t="shared" si="16"/>
        <v/>
      </c>
      <c r="N85" s="26" t="str">
        <f t="shared" si="17"/>
        <v/>
      </c>
      <c r="O85" s="26" t="str">
        <f t="shared" si="18"/>
        <v/>
      </c>
      <c r="P85" s="35" t="str">
        <f>IF(AND($C$24=50,'Beregning AC vern'!U47="IT-230V"),FALSE,IF(AND($A$24=$A85,$B$24=$B85,$C$24=$C85,$D$24=$D85,$E$24=$E85),TRUE,""))</f>
        <v/>
      </c>
      <c r="Q85" s="26" t="b">
        <f t="shared" si="19"/>
        <v>0</v>
      </c>
      <c r="R85" s="26" t="b">
        <f t="shared" si="20"/>
        <v>0</v>
      </c>
    </row>
    <row r="86" spans="1:18" x14ac:dyDescent="0.25">
      <c r="A86" s="83" t="s">
        <v>130</v>
      </c>
      <c r="B86" s="83" t="s">
        <v>219</v>
      </c>
      <c r="C86" s="83">
        <v>40</v>
      </c>
      <c r="D86" s="83">
        <v>9.9</v>
      </c>
      <c r="E86" s="83">
        <v>5</v>
      </c>
      <c r="F86" s="83" t="s">
        <v>215</v>
      </c>
      <c r="G86" s="83"/>
      <c r="H86" s="83">
        <v>25</v>
      </c>
      <c r="I86" s="83" t="str">
        <f t="shared" si="14"/>
        <v xml:space="preserve"> Al</v>
      </c>
      <c r="J86" s="83">
        <v>99</v>
      </c>
      <c r="K86" s="26" t="e">
        <f t="shared" si="21"/>
        <v>#N/A</v>
      </c>
      <c r="L86" s="26" t="e">
        <f t="shared" si="15"/>
        <v>#N/A</v>
      </c>
      <c r="M86" s="35" t="str">
        <f t="shared" si="16"/>
        <v/>
      </c>
      <c r="N86" s="26" t="str">
        <f t="shared" si="17"/>
        <v/>
      </c>
      <c r="O86" s="26" t="str">
        <f t="shared" si="18"/>
        <v/>
      </c>
      <c r="P86" s="35" t="str">
        <f>IF(AND($C$24=50,'Beregning AC vern'!U48="IT-230V"),FALSE,IF(AND($A$24=$A86,$B$24=$B86,$C$24=$C86,$D$24=$D86,$E$24=$E86),TRUE,""))</f>
        <v/>
      </c>
      <c r="Q86" s="26" t="b">
        <f t="shared" si="19"/>
        <v>0</v>
      </c>
      <c r="R86" s="26" t="b">
        <f t="shared" si="20"/>
        <v>0</v>
      </c>
    </row>
    <row r="87" spans="1:18" x14ac:dyDescent="0.25">
      <c r="A87" s="83" t="s">
        <v>130</v>
      </c>
      <c r="B87" s="83" t="s">
        <v>219</v>
      </c>
      <c r="C87" s="83">
        <v>40</v>
      </c>
      <c r="D87" s="83">
        <v>9.9</v>
      </c>
      <c r="E87" s="83">
        <v>5</v>
      </c>
      <c r="F87" s="83" t="s">
        <v>216</v>
      </c>
      <c r="G87" s="83"/>
      <c r="H87" s="83">
        <v>50</v>
      </c>
      <c r="I87" s="83" t="str">
        <f t="shared" si="14"/>
        <v xml:space="preserve"> Al</v>
      </c>
      <c r="J87" s="83">
        <v>180</v>
      </c>
      <c r="K87" s="26" t="e">
        <f t="shared" si="21"/>
        <v>#N/A</v>
      </c>
      <c r="L87" s="26" t="e">
        <f t="shared" si="15"/>
        <v>#N/A</v>
      </c>
      <c r="M87" s="35" t="str">
        <f t="shared" si="16"/>
        <v/>
      </c>
      <c r="N87" s="26" t="str">
        <f t="shared" si="17"/>
        <v/>
      </c>
      <c r="O87" s="26" t="str">
        <f t="shared" si="18"/>
        <v/>
      </c>
      <c r="P87" s="35" t="str">
        <f>IF(AND($C$24=50,'Beregning AC vern'!U49="IT-230V"),FALSE,IF(AND($A$24=$A87,$B$24=$B87,$C$24=$C87,$D$24=$D87,$E$24=$E87),TRUE,""))</f>
        <v/>
      </c>
      <c r="Q87" s="26" t="b">
        <f t="shared" si="19"/>
        <v>0</v>
      </c>
      <c r="R87" s="26" t="b">
        <f t="shared" si="20"/>
        <v>0</v>
      </c>
    </row>
    <row r="88" spans="1:18" x14ac:dyDescent="0.25">
      <c r="A88" s="83" t="s">
        <v>130</v>
      </c>
      <c r="B88" s="83" t="s">
        <v>219</v>
      </c>
      <c r="C88" s="83">
        <v>63</v>
      </c>
      <c r="D88" s="83">
        <v>9.9</v>
      </c>
      <c r="E88" s="83">
        <v>5</v>
      </c>
      <c r="F88" s="83" t="s">
        <v>216</v>
      </c>
      <c r="G88" s="83"/>
      <c r="H88" s="83">
        <v>50</v>
      </c>
      <c r="I88" s="83" t="str">
        <f t="shared" si="14"/>
        <v xml:space="preserve"> Al</v>
      </c>
      <c r="J88" s="83">
        <v>114</v>
      </c>
      <c r="K88" s="26" t="e">
        <f t="shared" si="21"/>
        <v>#N/A</v>
      </c>
      <c r="L88" s="26" t="e">
        <f t="shared" si="15"/>
        <v>#N/A</v>
      </c>
      <c r="M88" s="35" t="str">
        <f t="shared" si="16"/>
        <v/>
      </c>
      <c r="N88" s="26" t="str">
        <f t="shared" si="17"/>
        <v/>
      </c>
      <c r="O88" s="26" t="str">
        <f t="shared" si="18"/>
        <v/>
      </c>
      <c r="P88" s="35" t="str">
        <f>IF(AND($C$24=50,'Beregning AC vern'!U50="IT-230V"),FALSE,IF(AND($A$24=$A88,$B$24=$B88,$C$24=$C88,$D$24=$D88,$E$24=$E88),TRUE,""))</f>
        <v/>
      </c>
      <c r="Q88" s="26" t="b">
        <f t="shared" si="19"/>
        <v>0</v>
      </c>
      <c r="R88" s="26" t="b">
        <f t="shared" si="20"/>
        <v>0</v>
      </c>
    </row>
    <row r="89" spans="1:18" x14ac:dyDescent="0.25">
      <c r="A89" s="83" t="s">
        <v>130</v>
      </c>
      <c r="B89" s="83" t="s">
        <v>219</v>
      </c>
      <c r="C89" s="83">
        <v>80</v>
      </c>
      <c r="D89" s="83">
        <v>9.9</v>
      </c>
      <c r="E89" s="83">
        <v>5</v>
      </c>
      <c r="F89" s="83" t="s">
        <v>218</v>
      </c>
      <c r="G89" s="83"/>
      <c r="H89" s="83">
        <v>95</v>
      </c>
      <c r="I89" s="83" t="str">
        <f t="shared" si="14"/>
        <v xml:space="preserve"> Al</v>
      </c>
      <c r="J89" s="83">
        <v>170</v>
      </c>
      <c r="K89" s="26" t="e">
        <f t="shared" si="21"/>
        <v>#N/A</v>
      </c>
      <c r="L89" s="26" t="e">
        <f t="shared" si="15"/>
        <v>#N/A</v>
      </c>
      <c r="M89" s="35" t="str">
        <f t="shared" si="16"/>
        <v/>
      </c>
      <c r="N89" s="26" t="str">
        <f t="shared" si="17"/>
        <v/>
      </c>
      <c r="O89" s="26" t="str">
        <f t="shared" si="18"/>
        <v/>
      </c>
      <c r="P89" s="35" t="str">
        <f>IF(AND($C$24=50,'Beregning AC vern'!U51="IT-230V"),FALSE,IF(AND($A$24=$A89,$B$24=$B89,$C$24=$C89,$D$24=$D89,$E$24=$E89),TRUE,""))</f>
        <v/>
      </c>
      <c r="Q89" s="26" t="b">
        <f t="shared" si="19"/>
        <v>0</v>
      </c>
      <c r="R89" s="26" t="b">
        <f t="shared" si="20"/>
        <v>0</v>
      </c>
    </row>
    <row r="90" spans="1:18" x14ac:dyDescent="0.25">
      <c r="A90" s="83" t="s">
        <v>130</v>
      </c>
      <c r="B90" s="83" t="s">
        <v>219</v>
      </c>
      <c r="C90" s="83">
        <v>25</v>
      </c>
      <c r="D90" s="83">
        <v>9.9</v>
      </c>
      <c r="E90" s="83">
        <v>8.5</v>
      </c>
      <c r="F90" s="83" t="s">
        <v>212</v>
      </c>
      <c r="G90" s="83"/>
      <c r="H90" s="83">
        <v>6</v>
      </c>
      <c r="I90" s="83" t="str">
        <f t="shared" si="14"/>
        <v>Cu</v>
      </c>
      <c r="J90" s="83">
        <v>63</v>
      </c>
      <c r="K90" s="26" t="e">
        <f t="shared" si="21"/>
        <v>#N/A</v>
      </c>
      <c r="L90" s="26" t="e">
        <f t="shared" si="15"/>
        <v>#N/A</v>
      </c>
      <c r="M90" s="35" t="str">
        <f t="shared" si="16"/>
        <v/>
      </c>
      <c r="N90" s="26" t="str">
        <f t="shared" si="17"/>
        <v/>
      </c>
      <c r="O90" s="26" t="str">
        <f t="shared" si="18"/>
        <v/>
      </c>
      <c r="P90" s="35" t="str">
        <f>IF(AND($C$24=50,'Beregning AC vern'!U52="IT-230V"),FALSE,IF(AND($A$24=$A90,$B$24=$B90,$C$24=$C90,$D$24=$D90,$E$24=$E90),TRUE,""))</f>
        <v/>
      </c>
      <c r="Q90" s="26" t="b">
        <f t="shared" si="19"/>
        <v>0</v>
      </c>
      <c r="R90" s="26" t="b">
        <f t="shared" si="20"/>
        <v>0</v>
      </c>
    </row>
    <row r="91" spans="1:18" x14ac:dyDescent="0.25">
      <c r="A91" s="83" t="s">
        <v>130</v>
      </c>
      <c r="B91" s="83" t="s">
        <v>219</v>
      </c>
      <c r="C91" s="83">
        <v>25</v>
      </c>
      <c r="D91" s="83">
        <v>9.9</v>
      </c>
      <c r="E91" s="83">
        <v>8.5</v>
      </c>
      <c r="F91" s="83" t="s">
        <v>214</v>
      </c>
      <c r="G91" s="83"/>
      <c r="H91" s="83">
        <v>10</v>
      </c>
      <c r="I91" s="83" t="str">
        <f t="shared" si="14"/>
        <v xml:space="preserve"> Cu</v>
      </c>
      <c r="J91" s="83">
        <v>105</v>
      </c>
      <c r="K91" s="26" t="e">
        <f t="shared" si="21"/>
        <v>#N/A</v>
      </c>
      <c r="L91" s="26" t="e">
        <f t="shared" si="15"/>
        <v>#N/A</v>
      </c>
      <c r="M91" s="35" t="str">
        <f t="shared" si="16"/>
        <v/>
      </c>
      <c r="N91" s="26" t="str">
        <f t="shared" si="17"/>
        <v/>
      </c>
      <c r="O91" s="26" t="str">
        <f t="shared" si="18"/>
        <v/>
      </c>
      <c r="P91" s="35" t="str">
        <f>IF(AND($C$24=50,'Beregning AC vern'!U53="IT-230V"),FALSE,IF(AND($A$24=$A91,$B$24=$B91,$C$24=$C91,$D$24=$D91,$E$24=$E91),TRUE,""))</f>
        <v/>
      </c>
      <c r="Q91" s="26" t="b">
        <f t="shared" si="19"/>
        <v>0</v>
      </c>
      <c r="R91" s="26" t="b">
        <f t="shared" si="20"/>
        <v>0</v>
      </c>
    </row>
    <row r="92" spans="1:18" x14ac:dyDescent="0.25">
      <c r="A92" s="83" t="s">
        <v>130</v>
      </c>
      <c r="B92" s="83" t="s">
        <v>219</v>
      </c>
      <c r="C92" s="83">
        <v>25</v>
      </c>
      <c r="D92" s="83">
        <v>9.9</v>
      </c>
      <c r="E92" s="83">
        <v>8.5</v>
      </c>
      <c r="F92" s="83" t="s">
        <v>215</v>
      </c>
      <c r="G92" s="83"/>
      <c r="H92" s="83">
        <v>25</v>
      </c>
      <c r="I92" s="83" t="str">
        <f t="shared" si="14"/>
        <v xml:space="preserve"> Al</v>
      </c>
      <c r="J92" s="83">
        <v>158</v>
      </c>
      <c r="K92" s="26" t="e">
        <f t="shared" si="21"/>
        <v>#N/A</v>
      </c>
      <c r="L92" s="26" t="e">
        <f t="shared" si="15"/>
        <v>#N/A</v>
      </c>
      <c r="M92" s="35" t="str">
        <f t="shared" si="16"/>
        <v/>
      </c>
      <c r="N92" s="26" t="str">
        <f t="shared" si="17"/>
        <v/>
      </c>
      <c r="O92" s="26" t="str">
        <f t="shared" si="18"/>
        <v/>
      </c>
      <c r="P92" s="35" t="str">
        <f>IF(AND($C$24=50,'Beregning AC vern'!U54="IT-230V"),FALSE,IF(AND($A$24=$A92,$B$24=$B92,$C$24=$C92,$D$24=$D92,$E$24=$E92),TRUE,""))</f>
        <v/>
      </c>
      <c r="Q92" s="26" t="b">
        <f t="shared" si="19"/>
        <v>0</v>
      </c>
      <c r="R92" s="26" t="b">
        <f t="shared" si="20"/>
        <v>0</v>
      </c>
    </row>
    <row r="93" spans="1:18" x14ac:dyDescent="0.25">
      <c r="A93" s="83" t="s">
        <v>130</v>
      </c>
      <c r="B93" s="83" t="s">
        <v>219</v>
      </c>
      <c r="C93" s="83">
        <v>25</v>
      </c>
      <c r="D93" s="83">
        <v>9.9</v>
      </c>
      <c r="E93" s="83">
        <v>8.5</v>
      </c>
      <c r="F93" s="83" t="s">
        <v>216</v>
      </c>
      <c r="G93" s="83"/>
      <c r="H93" s="83">
        <v>50</v>
      </c>
      <c r="I93" s="83" t="str">
        <f t="shared" si="14"/>
        <v xml:space="preserve"> Al</v>
      </c>
      <c r="J93" s="83">
        <v>288</v>
      </c>
      <c r="K93" s="26" t="e">
        <f t="shared" si="21"/>
        <v>#N/A</v>
      </c>
      <c r="L93" s="26" t="e">
        <f t="shared" si="15"/>
        <v>#N/A</v>
      </c>
      <c r="M93" s="35" t="str">
        <f t="shared" si="16"/>
        <v/>
      </c>
      <c r="N93" s="26" t="str">
        <f t="shared" si="17"/>
        <v/>
      </c>
      <c r="O93" s="26" t="str">
        <f t="shared" si="18"/>
        <v/>
      </c>
      <c r="P93" s="35" t="str">
        <f>IF(AND($C$24=50,'Beregning AC vern'!U55="IT-230V"),FALSE,IF(AND($A$24=$A93,$B$24=$B93,$C$24=$C93,$D$24=$D93,$E$24=$E93),TRUE,""))</f>
        <v/>
      </c>
      <c r="Q93" s="26" t="b">
        <f t="shared" si="19"/>
        <v>0</v>
      </c>
      <c r="R93" s="26" t="b">
        <f t="shared" si="20"/>
        <v>0</v>
      </c>
    </row>
    <row r="94" spans="1:18" x14ac:dyDescent="0.25">
      <c r="A94" s="83" t="s">
        <v>130</v>
      </c>
      <c r="B94" s="83" t="s">
        <v>219</v>
      </c>
      <c r="C94" s="83">
        <v>32</v>
      </c>
      <c r="D94" s="83">
        <v>9.9</v>
      </c>
      <c r="E94" s="83">
        <v>8.5</v>
      </c>
      <c r="F94" s="83" t="s">
        <v>214</v>
      </c>
      <c r="G94" s="83"/>
      <c r="H94" s="83">
        <v>10</v>
      </c>
      <c r="I94" s="83" t="str">
        <f t="shared" si="14"/>
        <v xml:space="preserve"> Cu</v>
      </c>
      <c r="J94" s="83">
        <v>82</v>
      </c>
      <c r="K94" s="26" t="e">
        <f t="shared" si="21"/>
        <v>#N/A</v>
      </c>
      <c r="L94" s="26" t="e">
        <f t="shared" si="15"/>
        <v>#N/A</v>
      </c>
      <c r="M94" s="35" t="str">
        <f t="shared" si="16"/>
        <v/>
      </c>
      <c r="N94" s="26" t="str">
        <f t="shared" si="17"/>
        <v/>
      </c>
      <c r="O94" s="26" t="str">
        <f t="shared" si="18"/>
        <v/>
      </c>
      <c r="P94" s="35" t="str">
        <f>IF(AND($C$24=50,'Beregning AC vern'!U56="IT-230V"),FALSE,IF(AND($A$24=$A94,$B$24=$B94,$C$24=$C94,$D$24=$D94,$E$24=$E94),TRUE,""))</f>
        <v/>
      </c>
      <c r="Q94" s="26" t="b">
        <f t="shared" si="19"/>
        <v>0</v>
      </c>
      <c r="R94" s="26" t="b">
        <f t="shared" si="20"/>
        <v>0</v>
      </c>
    </row>
    <row r="95" spans="1:18" x14ac:dyDescent="0.25">
      <c r="A95" s="83" t="s">
        <v>130</v>
      </c>
      <c r="B95" s="83" t="s">
        <v>219</v>
      </c>
      <c r="C95" s="83">
        <v>32</v>
      </c>
      <c r="D95" s="83">
        <v>9.9</v>
      </c>
      <c r="E95" s="83">
        <v>8.5</v>
      </c>
      <c r="F95" s="83" t="s">
        <v>215</v>
      </c>
      <c r="G95" s="83"/>
      <c r="H95" s="83">
        <v>25</v>
      </c>
      <c r="I95" s="83" t="str">
        <f t="shared" si="14"/>
        <v xml:space="preserve"> Al</v>
      </c>
      <c r="J95" s="83">
        <v>123</v>
      </c>
      <c r="K95" s="26" t="e">
        <f t="shared" si="21"/>
        <v>#N/A</v>
      </c>
      <c r="L95" s="26" t="e">
        <f t="shared" si="15"/>
        <v>#N/A</v>
      </c>
      <c r="M95" s="35" t="str">
        <f t="shared" si="16"/>
        <v/>
      </c>
      <c r="N95" s="26" t="str">
        <f t="shared" si="17"/>
        <v/>
      </c>
      <c r="O95" s="26" t="str">
        <f t="shared" si="18"/>
        <v/>
      </c>
      <c r="P95" s="35" t="str">
        <f>IF(AND($C$24=50,'Beregning AC vern'!U57="IT-230V"),FALSE,IF(AND($A$24=$A95,$B$24=$B95,$C$24=$C95,$D$24=$D95,$E$24=$E95),TRUE,""))</f>
        <v/>
      </c>
      <c r="Q95" s="26" t="b">
        <f t="shared" si="19"/>
        <v>0</v>
      </c>
      <c r="R95" s="26" t="b">
        <f t="shared" si="20"/>
        <v>0</v>
      </c>
    </row>
    <row r="96" spans="1:18" x14ac:dyDescent="0.25">
      <c r="A96" s="83" t="s">
        <v>130</v>
      </c>
      <c r="B96" s="83" t="s">
        <v>219</v>
      </c>
      <c r="C96" s="83">
        <v>32</v>
      </c>
      <c r="D96" s="83">
        <v>9.9</v>
      </c>
      <c r="E96" s="83">
        <v>8.5</v>
      </c>
      <c r="F96" s="83" t="s">
        <v>216</v>
      </c>
      <c r="G96" s="83"/>
      <c r="H96" s="83">
        <v>50</v>
      </c>
      <c r="I96" s="83" t="str">
        <f t="shared" si="14"/>
        <v xml:space="preserve"> Al</v>
      </c>
      <c r="J96" s="83">
        <v>226</v>
      </c>
      <c r="K96" s="26" t="e">
        <f t="shared" si="21"/>
        <v>#N/A</v>
      </c>
      <c r="L96" s="26" t="e">
        <f t="shared" si="15"/>
        <v>#N/A</v>
      </c>
      <c r="M96" s="35" t="str">
        <f t="shared" si="16"/>
        <v/>
      </c>
      <c r="N96" s="26" t="str">
        <f t="shared" si="17"/>
        <v/>
      </c>
      <c r="O96" s="26" t="str">
        <f t="shared" si="18"/>
        <v/>
      </c>
      <c r="P96" s="35" t="str">
        <f>IF(AND($C$24=50,'Beregning AC vern'!U58="IT-230V"),FALSE,IF(AND($A$24=$A96,$B$24=$B96,$C$24=$C96,$D$24=$D96,$E$24=$E96),TRUE,""))</f>
        <v/>
      </c>
      <c r="Q96" s="26" t="b">
        <f t="shared" si="19"/>
        <v>0</v>
      </c>
      <c r="R96" s="26" t="b">
        <f t="shared" si="20"/>
        <v>0</v>
      </c>
    </row>
    <row r="97" spans="1:28" x14ac:dyDescent="0.25">
      <c r="A97" s="83" t="s">
        <v>130</v>
      </c>
      <c r="B97" s="83" t="s">
        <v>219</v>
      </c>
      <c r="C97" s="83">
        <v>40</v>
      </c>
      <c r="D97" s="83">
        <v>9.9</v>
      </c>
      <c r="E97" s="83">
        <v>8.5</v>
      </c>
      <c r="F97" s="83" t="s">
        <v>217</v>
      </c>
      <c r="G97" s="83"/>
      <c r="H97" s="83">
        <v>16</v>
      </c>
      <c r="I97" s="83" t="str">
        <f t="shared" si="14"/>
        <v xml:space="preserve"> Cu</v>
      </c>
      <c r="J97" s="83">
        <v>103</v>
      </c>
      <c r="K97" s="26" t="e">
        <f t="shared" si="21"/>
        <v>#N/A</v>
      </c>
      <c r="L97" s="26" t="e">
        <f t="shared" si="15"/>
        <v>#N/A</v>
      </c>
      <c r="M97" s="35" t="str">
        <f t="shared" si="16"/>
        <v/>
      </c>
      <c r="N97" s="26" t="str">
        <f t="shared" si="17"/>
        <v/>
      </c>
      <c r="O97" s="26" t="str">
        <f t="shared" si="18"/>
        <v/>
      </c>
      <c r="P97" s="35" t="str">
        <f>IF(AND($C$24=50,'Beregning AC vern'!U59="IT-230V"),FALSE,IF(AND($A$24=$A97,$B$24=$B97,$C$24=$C97,$D$24=$D97,$E$24=$E97),TRUE,""))</f>
        <v/>
      </c>
      <c r="Q97" s="26" t="b">
        <f t="shared" si="19"/>
        <v>0</v>
      </c>
      <c r="R97" s="26" t="b">
        <f t="shared" si="20"/>
        <v>0</v>
      </c>
    </row>
    <row r="98" spans="1:28" x14ac:dyDescent="0.25">
      <c r="A98" s="83" t="s">
        <v>130</v>
      </c>
      <c r="B98" s="83" t="s">
        <v>219</v>
      </c>
      <c r="C98" s="83">
        <v>40</v>
      </c>
      <c r="D98" s="83">
        <v>9.9</v>
      </c>
      <c r="E98" s="83">
        <v>8.5</v>
      </c>
      <c r="F98" s="83" t="s">
        <v>215</v>
      </c>
      <c r="G98" s="83"/>
      <c r="H98" s="83">
        <v>25</v>
      </c>
      <c r="I98" s="83" t="str">
        <f t="shared" si="14"/>
        <v xml:space="preserve"> Al</v>
      </c>
      <c r="J98" s="83">
        <v>99</v>
      </c>
      <c r="K98" s="26" t="e">
        <f t="shared" si="21"/>
        <v>#N/A</v>
      </c>
      <c r="L98" s="26" t="e">
        <f t="shared" si="15"/>
        <v>#N/A</v>
      </c>
      <c r="M98" s="35" t="str">
        <f t="shared" si="16"/>
        <v/>
      </c>
      <c r="N98" s="26" t="str">
        <f t="shared" si="17"/>
        <v/>
      </c>
      <c r="O98" s="26" t="str">
        <f t="shared" si="18"/>
        <v/>
      </c>
      <c r="P98" s="35" t="str">
        <f>IF(AND($C$24=50,'Beregning AC vern'!U60="IT-230V"),FALSE,IF(AND($A$24=$A98,$B$24=$B98,$C$24=$C98,$D$24=$D98,$E$24=$E98),TRUE,""))</f>
        <v/>
      </c>
      <c r="Q98" s="26" t="b">
        <f t="shared" si="19"/>
        <v>0</v>
      </c>
      <c r="R98" s="26" t="b">
        <f t="shared" si="20"/>
        <v>0</v>
      </c>
    </row>
    <row r="99" spans="1:28" x14ac:dyDescent="0.25">
      <c r="A99" s="83" t="s">
        <v>130</v>
      </c>
      <c r="B99" s="83" t="s">
        <v>219</v>
      </c>
      <c r="C99" s="83">
        <v>40</v>
      </c>
      <c r="D99" s="83">
        <v>9.9</v>
      </c>
      <c r="E99" s="83">
        <v>8.5</v>
      </c>
      <c r="F99" s="83" t="s">
        <v>216</v>
      </c>
      <c r="G99" s="83"/>
      <c r="H99" s="83">
        <v>50</v>
      </c>
      <c r="I99" s="83" t="str">
        <f t="shared" si="14"/>
        <v xml:space="preserve"> Al</v>
      </c>
      <c r="J99" s="83">
        <v>180</v>
      </c>
      <c r="K99" s="26" t="e">
        <f t="shared" si="21"/>
        <v>#N/A</v>
      </c>
      <c r="L99" s="26" t="e">
        <f t="shared" si="15"/>
        <v>#N/A</v>
      </c>
      <c r="M99" s="35" t="str">
        <f t="shared" si="16"/>
        <v/>
      </c>
      <c r="N99" s="26" t="str">
        <f t="shared" si="17"/>
        <v/>
      </c>
      <c r="O99" s="26" t="str">
        <f t="shared" si="18"/>
        <v/>
      </c>
      <c r="P99" s="35" t="str">
        <f>IF(AND($C$24=50,'Beregning AC vern'!U61="IT-230V"),FALSE,IF(AND($A$24=$A99,$B$24=$B99,$C$24=$C99,$D$24=$D99,$E$24=$E99),TRUE,""))</f>
        <v/>
      </c>
      <c r="Q99" s="26" t="b">
        <f t="shared" si="19"/>
        <v>0</v>
      </c>
      <c r="R99" s="26" t="b">
        <f t="shared" si="20"/>
        <v>0</v>
      </c>
    </row>
    <row r="100" spans="1:28" x14ac:dyDescent="0.25">
      <c r="A100" s="83" t="s">
        <v>130</v>
      </c>
      <c r="B100" s="83" t="s">
        <v>219</v>
      </c>
      <c r="C100" s="83">
        <v>63</v>
      </c>
      <c r="D100" s="83">
        <v>9.9</v>
      </c>
      <c r="E100" s="83">
        <v>8.5</v>
      </c>
      <c r="F100" s="83" t="s">
        <v>216</v>
      </c>
      <c r="G100" s="83"/>
      <c r="H100" s="83">
        <v>50</v>
      </c>
      <c r="I100" s="83" t="str">
        <f t="shared" si="14"/>
        <v xml:space="preserve"> Al</v>
      </c>
      <c r="J100" s="83">
        <v>114</v>
      </c>
      <c r="K100" s="26" t="e">
        <f t="shared" si="21"/>
        <v>#N/A</v>
      </c>
      <c r="L100" s="26" t="e">
        <f t="shared" si="15"/>
        <v>#N/A</v>
      </c>
      <c r="M100" s="35" t="str">
        <f t="shared" si="16"/>
        <v/>
      </c>
      <c r="N100" s="26" t="str">
        <f t="shared" si="17"/>
        <v/>
      </c>
      <c r="O100" s="26" t="str">
        <f t="shared" si="18"/>
        <v/>
      </c>
      <c r="P100" s="35" t="str">
        <f>IF(AND($C$24=50,'Beregning AC vern'!U62="IT-230V"),FALSE,IF(AND($A$24=$A100,$B$24=$B100,$C$24=$C100,$D$24=$D100,$E$24=$E100),TRUE,""))</f>
        <v/>
      </c>
      <c r="Q100" s="26" t="b">
        <f t="shared" si="19"/>
        <v>0</v>
      </c>
      <c r="R100" s="26" t="b">
        <f t="shared" si="20"/>
        <v>0</v>
      </c>
    </row>
    <row r="101" spans="1:28" x14ac:dyDescent="0.25">
      <c r="A101" s="83" t="s">
        <v>130</v>
      </c>
      <c r="B101" s="83" t="s">
        <v>219</v>
      </c>
      <c r="C101" s="83">
        <v>80</v>
      </c>
      <c r="D101" s="83">
        <v>9.9</v>
      </c>
      <c r="E101" s="83">
        <v>8.5</v>
      </c>
      <c r="F101" s="83" t="s">
        <v>216</v>
      </c>
      <c r="G101" s="83"/>
      <c r="H101" s="83">
        <v>50</v>
      </c>
      <c r="I101" s="83" t="str">
        <f t="shared" si="14"/>
        <v xml:space="preserve"> Al</v>
      </c>
      <c r="J101" s="83">
        <v>171</v>
      </c>
      <c r="K101" s="26" t="e">
        <f t="shared" si="21"/>
        <v>#N/A</v>
      </c>
      <c r="L101" s="26" t="e">
        <f t="shared" si="15"/>
        <v>#N/A</v>
      </c>
      <c r="M101" s="35" t="str">
        <f t="shared" si="16"/>
        <v/>
      </c>
      <c r="N101" s="26" t="str">
        <f t="shared" si="17"/>
        <v/>
      </c>
      <c r="O101" s="26" t="str">
        <f t="shared" si="18"/>
        <v/>
      </c>
      <c r="P101" s="35" t="str">
        <f>IF(AND($C$24=50,'Beregning AC vern'!U63="IT-230V"),FALSE,IF(AND($A$24=$A101,$B$24=$B101,$C$24=$C101,$D$24=$D101,$E$24=$E101),TRUE,""))</f>
        <v/>
      </c>
      <c r="Q101" s="26" t="b">
        <f t="shared" si="19"/>
        <v>0</v>
      </c>
      <c r="R101" s="26" t="b">
        <f t="shared" si="20"/>
        <v>0</v>
      </c>
    </row>
    <row r="102" spans="1:28" ht="15.75" thickBot="1" x14ac:dyDescent="0.3">
      <c r="A102" s="181" t="s">
        <v>190</v>
      </c>
      <c r="B102" s="181" t="s">
        <v>243</v>
      </c>
      <c r="C102" s="181" t="s">
        <v>206</v>
      </c>
      <c r="D102" s="181" t="s">
        <v>207</v>
      </c>
      <c r="E102" s="170" t="s">
        <v>208</v>
      </c>
      <c r="F102" s="170" t="s">
        <v>209</v>
      </c>
      <c r="G102" s="170"/>
      <c r="H102" s="170" t="s">
        <v>229</v>
      </c>
      <c r="I102" s="170" t="s">
        <v>230</v>
      </c>
      <c r="J102" s="170" t="s">
        <v>210</v>
      </c>
      <c r="K102" s="26" t="e">
        <f t="shared" si="21"/>
        <v>#N/A</v>
      </c>
      <c r="L102" s="26" t="e">
        <f t="shared" si="15"/>
        <v>#N/A</v>
      </c>
      <c r="M102" s="35" t="str">
        <f t="shared" si="16"/>
        <v/>
      </c>
      <c r="N102" s="26" t="str">
        <f t="shared" si="17"/>
        <v/>
      </c>
      <c r="O102" s="26" t="str">
        <f t="shared" si="18"/>
        <v/>
      </c>
      <c r="P102" s="35" t="str">
        <f>IF(AND($C$24=50,'Beregning AC vern'!U64="IT-230V"),FALSE,IF(AND($A$24=$A102,$B$24=$B102,$C$24=$C102,$D$24=$D102,$E$24=$E102),TRUE,""))</f>
        <v/>
      </c>
      <c r="Q102" s="26" t="b">
        <f t="shared" si="19"/>
        <v>0</v>
      </c>
      <c r="R102" s="26" t="b">
        <f t="shared" si="20"/>
        <v>0</v>
      </c>
    </row>
    <row r="103" spans="1:28" x14ac:dyDescent="0.25">
      <c r="A103" s="83" t="s">
        <v>131</v>
      </c>
      <c r="B103" s="83" t="s">
        <v>219</v>
      </c>
      <c r="C103" s="83">
        <v>25</v>
      </c>
      <c r="D103" s="83">
        <v>9.9</v>
      </c>
      <c r="E103" s="83">
        <v>0.25</v>
      </c>
      <c r="F103" s="83" t="s">
        <v>212</v>
      </c>
      <c r="G103" s="83"/>
      <c r="H103" s="83">
        <v>6</v>
      </c>
      <c r="I103" s="83" t="str">
        <f t="shared" ref="I103:I161" si="22">MID(F103,6,3)</f>
        <v>Cu</v>
      </c>
      <c r="J103" s="83">
        <v>52</v>
      </c>
      <c r="K103" s="26" t="e">
        <f t="shared" si="21"/>
        <v>#N/A</v>
      </c>
      <c r="L103" s="26" t="e">
        <f t="shared" si="15"/>
        <v>#N/A</v>
      </c>
      <c r="M103" s="35" t="str">
        <f t="shared" si="16"/>
        <v/>
      </c>
      <c r="N103" s="26" t="str">
        <f t="shared" si="17"/>
        <v/>
      </c>
      <c r="O103" s="26" t="str">
        <f t="shared" si="18"/>
        <v/>
      </c>
      <c r="P103" s="35" t="str">
        <f>IF(AND($C$24=50,'Beregning AC vern'!U65="IT-230V"),FALSE,IF(AND($A$24=$A103,$B$24=$B103,$C$24=$C103,$D$24=$D103,$E$24=$E103),TRUE,""))</f>
        <v/>
      </c>
      <c r="Q103" s="26" t="b">
        <f t="shared" si="19"/>
        <v>0</v>
      </c>
      <c r="R103" s="26" t="b">
        <f t="shared" si="20"/>
        <v>0</v>
      </c>
      <c r="V103" s="250" t="s">
        <v>220</v>
      </c>
      <c r="W103" s="251"/>
      <c r="X103" s="250" t="s">
        <v>200</v>
      </c>
      <c r="Y103" s="252"/>
      <c r="Z103" s="164"/>
      <c r="AA103" s="164" t="s">
        <v>201</v>
      </c>
      <c r="AB103" s="165" t="s">
        <v>202</v>
      </c>
    </row>
    <row r="104" spans="1:28" ht="15.75" thickBot="1" x14ac:dyDescent="0.3">
      <c r="A104" s="83" t="s">
        <v>131</v>
      </c>
      <c r="B104" s="83" t="s">
        <v>219</v>
      </c>
      <c r="C104" s="83">
        <v>25</v>
      </c>
      <c r="D104" s="83">
        <v>9.9</v>
      </c>
      <c r="E104" s="83">
        <v>0.25</v>
      </c>
      <c r="F104" s="83" t="s">
        <v>214</v>
      </c>
      <c r="G104" s="83"/>
      <c r="H104" s="83">
        <v>10</v>
      </c>
      <c r="I104" s="83" t="str">
        <f t="shared" si="22"/>
        <v xml:space="preserve"> Cu</v>
      </c>
      <c r="J104" s="83">
        <v>86</v>
      </c>
      <c r="K104" s="26" t="e">
        <f t="shared" ref="K104:K167" si="23">IF(AND($A$20=$A104,$B$20=$B104,$C$20=$C104,$D$20=$D104,$E$20=$E104,$F$20=$F104),TRUE,"")</f>
        <v>#N/A</v>
      </c>
      <c r="L104" s="26" t="e">
        <f t="shared" ref="L104:L167" si="24">IF(K104=TRUE,J104,"")</f>
        <v>#N/A</v>
      </c>
      <c r="M104" s="35" t="str">
        <f t="shared" ref="M104:M167" si="25">IF(AND($A$21=$A104,$B$21=$B104,$C$21=$C104,$D$21=$D104,$E$21=$E104,$J$7&lt;=J104),TRUE,"")</f>
        <v/>
      </c>
      <c r="N104" s="26" t="str">
        <f t="shared" ref="N104:N167" si="26">IF(M104=TRUE,J104,"")</f>
        <v/>
      </c>
      <c r="O104" s="26" t="str">
        <f t="shared" ref="O104:O167" si="27">IF(M104=TRUE,F104,"")</f>
        <v/>
      </c>
      <c r="P104" s="35" t="str">
        <f>IF(AND($C$24=50,'Beregning AC vern'!U66="IT-230V"),FALSE,IF(AND($A$24=$A104,$B$24=$B104,$C$24=$C104,$D$24=$D104,$E$24=$E104),TRUE,""))</f>
        <v/>
      </c>
      <c r="Q104" s="26" t="b">
        <f t="shared" ref="Q104:Q167" si="28">IF(P104=TRUE,J104,IF(P104=FALSE,FALSE))</f>
        <v>0</v>
      </c>
      <c r="R104" s="26" t="b">
        <f t="shared" ref="R104:R167" si="29">IF(P104=TRUE,F104,IF(P104=FALSE,"Data mangler"))</f>
        <v>0</v>
      </c>
      <c r="V104" s="253" t="s">
        <v>221</v>
      </c>
      <c r="W104" s="254"/>
      <c r="X104" s="168"/>
      <c r="Y104" s="168"/>
      <c r="Z104" s="168"/>
      <c r="AA104" s="168" t="s">
        <v>204</v>
      </c>
      <c r="AB104" s="169" t="s">
        <v>205</v>
      </c>
    </row>
    <row r="105" spans="1:28" ht="15.75" thickBot="1" x14ac:dyDescent="0.3">
      <c r="A105" s="83" t="s">
        <v>131</v>
      </c>
      <c r="B105" s="83" t="s">
        <v>219</v>
      </c>
      <c r="C105" s="83">
        <v>25</v>
      </c>
      <c r="D105" s="83">
        <v>9.9</v>
      </c>
      <c r="E105" s="83">
        <v>0.25</v>
      </c>
      <c r="F105" s="83" t="s">
        <v>215</v>
      </c>
      <c r="G105" s="83"/>
      <c r="H105" s="83">
        <v>25</v>
      </c>
      <c r="I105" s="83" t="str">
        <f t="shared" si="22"/>
        <v xml:space="preserve"> Al</v>
      </c>
      <c r="J105" s="83">
        <v>132</v>
      </c>
      <c r="K105" s="26" t="e">
        <f t="shared" si="23"/>
        <v>#N/A</v>
      </c>
      <c r="L105" s="26" t="e">
        <f t="shared" si="24"/>
        <v>#N/A</v>
      </c>
      <c r="M105" s="35" t="str">
        <f t="shared" si="25"/>
        <v/>
      </c>
      <c r="N105" s="26" t="str">
        <f t="shared" si="26"/>
        <v/>
      </c>
      <c r="O105" s="26" t="str">
        <f t="shared" si="27"/>
        <v/>
      </c>
      <c r="P105" s="35" t="str">
        <f>IF(AND($C$24=50,'Beregning AC vern'!U67="IT-230V"),FALSE,IF(AND($A$24=$A105,$B$24=$B105,$C$24=$C105,$D$24=$D105,$E$24=$E105),TRUE,""))</f>
        <v/>
      </c>
      <c r="Q105" s="26" t="b">
        <f t="shared" si="28"/>
        <v>0</v>
      </c>
      <c r="R105" s="26" t="b">
        <f t="shared" si="29"/>
        <v>0</v>
      </c>
      <c r="V105" s="255" t="s">
        <v>219</v>
      </c>
      <c r="W105" s="256"/>
    </row>
    <row r="106" spans="1:28" x14ac:dyDescent="0.25">
      <c r="A106" s="83" t="s">
        <v>131</v>
      </c>
      <c r="B106" s="83" t="s">
        <v>219</v>
      </c>
      <c r="C106" s="83">
        <v>25</v>
      </c>
      <c r="D106" s="83">
        <v>9.9</v>
      </c>
      <c r="E106" s="83">
        <v>0.25</v>
      </c>
      <c r="F106" s="83" t="s">
        <v>216</v>
      </c>
      <c r="G106" s="83"/>
      <c r="H106" s="83">
        <v>50</v>
      </c>
      <c r="I106" s="83" t="str">
        <f t="shared" si="22"/>
        <v xml:space="preserve"> Al</v>
      </c>
      <c r="J106" s="83">
        <v>241</v>
      </c>
      <c r="K106" s="26" t="e">
        <f t="shared" si="23"/>
        <v>#N/A</v>
      </c>
      <c r="L106" s="26" t="e">
        <f t="shared" si="24"/>
        <v>#N/A</v>
      </c>
      <c r="M106" s="35" t="str">
        <f t="shared" si="25"/>
        <v/>
      </c>
      <c r="N106" s="26" t="str">
        <f t="shared" si="26"/>
        <v/>
      </c>
      <c r="O106" s="26" t="str">
        <f t="shared" si="27"/>
        <v/>
      </c>
      <c r="P106" s="35" t="str">
        <f>IF(AND($C$24=50,'Beregning AC vern'!U68="IT-230V"),FALSE,IF(AND($A$24=$A106,$B$24=$B106,$C$24=$C106,$D$24=$D106,$E$24=$E106),TRUE,""))</f>
        <v/>
      </c>
      <c r="Q106" s="26" t="b">
        <f t="shared" si="28"/>
        <v>0</v>
      </c>
      <c r="R106" s="26" t="b">
        <f t="shared" si="29"/>
        <v>0</v>
      </c>
    </row>
    <row r="107" spans="1:28" x14ac:dyDescent="0.25">
      <c r="A107" s="83" t="s">
        <v>131</v>
      </c>
      <c r="B107" s="83" t="s">
        <v>219</v>
      </c>
      <c r="C107" s="83">
        <v>25</v>
      </c>
      <c r="D107" s="83">
        <v>9.9</v>
      </c>
      <c r="E107" s="83">
        <v>0.5</v>
      </c>
      <c r="F107" s="83" t="s">
        <v>212</v>
      </c>
      <c r="G107" s="83"/>
      <c r="H107" s="83">
        <v>6</v>
      </c>
      <c r="I107" s="83" t="str">
        <f t="shared" si="22"/>
        <v>Cu</v>
      </c>
      <c r="J107" s="83">
        <v>75</v>
      </c>
      <c r="K107" s="26" t="e">
        <f t="shared" si="23"/>
        <v>#N/A</v>
      </c>
      <c r="L107" s="26" t="e">
        <f t="shared" si="24"/>
        <v>#N/A</v>
      </c>
      <c r="M107" s="35" t="str">
        <f t="shared" si="25"/>
        <v/>
      </c>
      <c r="N107" s="26" t="str">
        <f t="shared" si="26"/>
        <v/>
      </c>
      <c r="O107" s="26" t="str">
        <f t="shared" si="27"/>
        <v/>
      </c>
      <c r="P107" s="35" t="str">
        <f>IF(AND($C$24=50,'Beregning AC vern'!U69="IT-230V"),FALSE,IF(AND($A$24=$A107,$B$24=$B107,$C$24=$C107,$D$24=$D107,$E$24=$E107),TRUE,""))</f>
        <v/>
      </c>
      <c r="Q107" s="26" t="b">
        <f t="shared" si="28"/>
        <v>0</v>
      </c>
      <c r="R107" s="26" t="b">
        <f t="shared" si="29"/>
        <v>0</v>
      </c>
    </row>
    <row r="108" spans="1:28" x14ac:dyDescent="0.25">
      <c r="A108" s="83" t="s">
        <v>131</v>
      </c>
      <c r="B108" s="83" t="s">
        <v>219</v>
      </c>
      <c r="C108" s="83">
        <v>25</v>
      </c>
      <c r="D108" s="83">
        <v>9.9</v>
      </c>
      <c r="E108" s="83">
        <v>0.5</v>
      </c>
      <c r="F108" s="83" t="s">
        <v>214</v>
      </c>
      <c r="G108" s="83"/>
      <c r="H108" s="83">
        <v>10</v>
      </c>
      <c r="I108" s="83" t="str">
        <f t="shared" si="22"/>
        <v xml:space="preserve"> Cu</v>
      </c>
      <c r="J108" s="83">
        <v>127</v>
      </c>
      <c r="K108" s="26" t="e">
        <f t="shared" si="23"/>
        <v>#N/A</v>
      </c>
      <c r="L108" s="26" t="e">
        <f t="shared" si="24"/>
        <v>#N/A</v>
      </c>
      <c r="M108" s="35" t="str">
        <f t="shared" si="25"/>
        <v/>
      </c>
      <c r="N108" s="26" t="str">
        <f t="shared" si="26"/>
        <v/>
      </c>
      <c r="O108" s="26" t="str">
        <f t="shared" si="27"/>
        <v/>
      </c>
      <c r="P108" s="35" t="str">
        <f>IF(AND($C$24=50,'Beregning AC vern'!U70="IT-230V"),FALSE,IF(AND($A$24=$A108,$B$24=$B108,$C$24=$C108,$D$24=$D108,$E$24=$E108),TRUE,""))</f>
        <v/>
      </c>
      <c r="Q108" s="26" t="b">
        <f t="shared" si="28"/>
        <v>0</v>
      </c>
      <c r="R108" s="26" t="b">
        <f t="shared" si="29"/>
        <v>0</v>
      </c>
    </row>
    <row r="109" spans="1:28" x14ac:dyDescent="0.25">
      <c r="A109" s="83" t="s">
        <v>131</v>
      </c>
      <c r="B109" s="83" t="s">
        <v>219</v>
      </c>
      <c r="C109" s="83">
        <v>25</v>
      </c>
      <c r="D109" s="83">
        <v>9.9</v>
      </c>
      <c r="E109" s="83">
        <v>0.5</v>
      </c>
      <c r="F109" s="83" t="s">
        <v>215</v>
      </c>
      <c r="G109" s="83"/>
      <c r="H109" s="83">
        <v>25</v>
      </c>
      <c r="I109" s="83" t="str">
        <f t="shared" si="22"/>
        <v xml:space="preserve"> Al</v>
      </c>
      <c r="J109" s="83">
        <v>199</v>
      </c>
      <c r="K109" s="26" t="e">
        <f t="shared" si="23"/>
        <v>#N/A</v>
      </c>
      <c r="L109" s="26" t="e">
        <f t="shared" si="24"/>
        <v>#N/A</v>
      </c>
      <c r="M109" s="35" t="str">
        <f t="shared" si="25"/>
        <v/>
      </c>
      <c r="N109" s="26" t="str">
        <f t="shared" si="26"/>
        <v/>
      </c>
      <c r="O109" s="26" t="str">
        <f t="shared" si="27"/>
        <v/>
      </c>
      <c r="P109" s="35" t="str">
        <f>IF(AND($C$24=50,'Beregning AC vern'!U71="IT-230V"),FALSE,IF(AND($A$24=$A109,$B$24=$B109,$C$24=$C109,$D$24=$D109,$E$24=$E109),TRUE,""))</f>
        <v/>
      </c>
      <c r="Q109" s="26" t="b">
        <f t="shared" si="28"/>
        <v>0</v>
      </c>
      <c r="R109" s="26" t="b">
        <f t="shared" si="29"/>
        <v>0</v>
      </c>
    </row>
    <row r="110" spans="1:28" x14ac:dyDescent="0.25">
      <c r="A110" s="83" t="s">
        <v>131</v>
      </c>
      <c r="B110" s="83" t="s">
        <v>219</v>
      </c>
      <c r="C110" s="83">
        <v>25</v>
      </c>
      <c r="D110" s="83">
        <v>9.9</v>
      </c>
      <c r="E110" s="83">
        <v>0.5</v>
      </c>
      <c r="F110" s="83" t="s">
        <v>216</v>
      </c>
      <c r="G110" s="83"/>
      <c r="H110" s="83">
        <v>50</v>
      </c>
      <c r="I110" s="83" t="str">
        <f t="shared" si="22"/>
        <v xml:space="preserve"> Al</v>
      </c>
      <c r="J110" s="83">
        <v>368</v>
      </c>
      <c r="K110" s="26" t="e">
        <f t="shared" si="23"/>
        <v>#N/A</v>
      </c>
      <c r="L110" s="26" t="e">
        <f t="shared" si="24"/>
        <v>#N/A</v>
      </c>
      <c r="M110" s="35" t="str">
        <f t="shared" si="25"/>
        <v/>
      </c>
      <c r="N110" s="26" t="str">
        <f t="shared" si="26"/>
        <v/>
      </c>
      <c r="O110" s="26" t="str">
        <f t="shared" si="27"/>
        <v/>
      </c>
      <c r="P110" s="35" t="str">
        <f>IF(AND($C$24=50,'Beregning AC vern'!U72="IT-230V"),FALSE,IF(AND($A$24=$A110,$B$24=$B110,$C$24=$C110,$D$24=$D110,$E$24=$E110),TRUE,""))</f>
        <v/>
      </c>
      <c r="Q110" s="26" t="b">
        <f t="shared" si="28"/>
        <v>0</v>
      </c>
      <c r="R110" s="26" t="b">
        <f t="shared" si="29"/>
        <v>0</v>
      </c>
    </row>
    <row r="111" spans="1:28" x14ac:dyDescent="0.25">
      <c r="A111" s="83" t="s">
        <v>131</v>
      </c>
      <c r="B111" s="83" t="s">
        <v>219</v>
      </c>
      <c r="C111" s="83">
        <v>32</v>
      </c>
      <c r="D111" s="83">
        <v>9.9</v>
      </c>
      <c r="E111" s="83">
        <v>0.5</v>
      </c>
      <c r="F111" s="83" t="s">
        <v>214</v>
      </c>
      <c r="G111" s="83"/>
      <c r="H111" s="83">
        <v>10</v>
      </c>
      <c r="I111" s="83" t="str">
        <f t="shared" si="22"/>
        <v xml:space="preserve"> Cu</v>
      </c>
      <c r="J111" s="83">
        <v>73</v>
      </c>
      <c r="K111" s="26" t="e">
        <f t="shared" si="23"/>
        <v>#N/A</v>
      </c>
      <c r="L111" s="26" t="e">
        <f t="shared" si="24"/>
        <v>#N/A</v>
      </c>
      <c r="M111" s="35" t="str">
        <f t="shared" si="25"/>
        <v/>
      </c>
      <c r="N111" s="26" t="str">
        <f t="shared" si="26"/>
        <v/>
      </c>
      <c r="O111" s="26" t="str">
        <f t="shared" si="27"/>
        <v/>
      </c>
      <c r="P111" s="35" t="str">
        <f>IF(AND($C$24=50,'Beregning AC vern'!U73="IT-230V"),FALSE,IF(AND($A$24=$A111,$B$24=$B111,$C$24=$C111,$D$24=$D111,$E$24=$E111),TRUE,""))</f>
        <v/>
      </c>
      <c r="Q111" s="26" t="b">
        <f t="shared" si="28"/>
        <v>0</v>
      </c>
      <c r="R111" s="26" t="b">
        <f t="shared" si="29"/>
        <v>0</v>
      </c>
    </row>
    <row r="112" spans="1:28" x14ac:dyDescent="0.25">
      <c r="A112" s="83" t="s">
        <v>131</v>
      </c>
      <c r="B112" s="83" t="s">
        <v>219</v>
      </c>
      <c r="C112" s="83">
        <v>32</v>
      </c>
      <c r="D112" s="83">
        <v>9.9</v>
      </c>
      <c r="E112" s="83">
        <v>0.5</v>
      </c>
      <c r="F112" s="83" t="s">
        <v>215</v>
      </c>
      <c r="G112" s="83"/>
      <c r="H112" s="83">
        <v>25</v>
      </c>
      <c r="I112" s="83" t="str">
        <f t="shared" si="22"/>
        <v xml:space="preserve"> Al</v>
      </c>
      <c r="J112" s="83">
        <v>111</v>
      </c>
      <c r="K112" s="26" t="e">
        <f t="shared" si="23"/>
        <v>#N/A</v>
      </c>
      <c r="L112" s="26" t="e">
        <f t="shared" si="24"/>
        <v>#N/A</v>
      </c>
      <c r="M112" s="35" t="str">
        <f t="shared" si="25"/>
        <v/>
      </c>
      <c r="N112" s="26" t="str">
        <f t="shared" si="26"/>
        <v/>
      </c>
      <c r="O112" s="26" t="str">
        <f t="shared" si="27"/>
        <v/>
      </c>
      <c r="P112" s="35" t="str">
        <f>IF(AND($C$24=50,'Beregning AC vern'!U74="IT-230V"),FALSE,IF(AND($A$24=$A112,$B$24=$B112,$C$24=$C112,$D$24=$D112,$E$24=$E112),TRUE,""))</f>
        <v/>
      </c>
      <c r="Q112" s="26" t="b">
        <f t="shared" si="28"/>
        <v>0</v>
      </c>
      <c r="R112" s="26" t="b">
        <f t="shared" si="29"/>
        <v>0</v>
      </c>
    </row>
    <row r="113" spans="1:35" x14ac:dyDescent="0.25">
      <c r="A113" s="83" t="s">
        <v>131</v>
      </c>
      <c r="B113" s="83" t="s">
        <v>219</v>
      </c>
      <c r="C113" s="83">
        <v>32</v>
      </c>
      <c r="D113" s="83">
        <v>9.9</v>
      </c>
      <c r="E113" s="83">
        <v>0.5</v>
      </c>
      <c r="F113" s="83" t="s">
        <v>216</v>
      </c>
      <c r="G113" s="83"/>
      <c r="H113" s="83">
        <v>50</v>
      </c>
      <c r="I113" s="83" t="str">
        <f t="shared" si="22"/>
        <v xml:space="preserve"> Al</v>
      </c>
      <c r="J113" s="83">
        <v>205</v>
      </c>
      <c r="K113" s="26" t="e">
        <f t="shared" si="23"/>
        <v>#N/A</v>
      </c>
      <c r="L113" s="26" t="e">
        <f t="shared" si="24"/>
        <v>#N/A</v>
      </c>
      <c r="M113" s="35" t="str">
        <f t="shared" si="25"/>
        <v/>
      </c>
      <c r="N113" s="26" t="str">
        <f t="shared" si="26"/>
        <v/>
      </c>
      <c r="O113" s="26" t="str">
        <f t="shared" si="27"/>
        <v/>
      </c>
      <c r="P113" s="35" t="str">
        <f>IF(AND($C$24=50,'Beregning AC vern'!U75="IT-230V"),FALSE,IF(AND($A$24=$A113,$B$24=$B113,$C$24=$C113,$D$24=$D113,$E$24=$E113),TRUE,""))</f>
        <v/>
      </c>
      <c r="Q113" s="26" t="b">
        <f t="shared" si="28"/>
        <v>0</v>
      </c>
      <c r="R113" s="26" t="b">
        <f t="shared" si="29"/>
        <v>0</v>
      </c>
    </row>
    <row r="114" spans="1:35" x14ac:dyDescent="0.25">
      <c r="A114" s="83" t="s">
        <v>131</v>
      </c>
      <c r="B114" s="83" t="s">
        <v>219</v>
      </c>
      <c r="C114" s="83">
        <v>40</v>
      </c>
      <c r="D114" s="83">
        <v>9.9</v>
      </c>
      <c r="E114" s="83">
        <v>0.5</v>
      </c>
      <c r="F114" s="83" t="s">
        <v>217</v>
      </c>
      <c r="G114" s="83"/>
      <c r="H114" s="83">
        <v>16</v>
      </c>
      <c r="I114" s="83" t="str">
        <f t="shared" si="22"/>
        <v xml:space="preserve"> Cu</v>
      </c>
      <c r="J114" s="83">
        <v>67</v>
      </c>
      <c r="K114" s="26" t="e">
        <f t="shared" si="23"/>
        <v>#N/A</v>
      </c>
      <c r="L114" s="26" t="e">
        <f t="shared" si="24"/>
        <v>#N/A</v>
      </c>
      <c r="M114" s="35" t="str">
        <f t="shared" si="25"/>
        <v/>
      </c>
      <c r="N114" s="26" t="str">
        <f t="shared" si="26"/>
        <v/>
      </c>
      <c r="O114" s="26" t="str">
        <f t="shared" si="27"/>
        <v/>
      </c>
      <c r="P114" s="35" t="str">
        <f>IF(AND($C$24=50,'Beregning AC vern'!U76="IT-230V"),FALSE,IF(AND($A$24=$A114,$B$24=$B114,$C$24=$C114,$D$24=$D114,$E$24=$E114),TRUE,""))</f>
        <v/>
      </c>
      <c r="Q114" s="26" t="b">
        <f t="shared" si="28"/>
        <v>0</v>
      </c>
      <c r="R114" s="26" t="b">
        <f t="shared" si="29"/>
        <v>0</v>
      </c>
    </row>
    <row r="115" spans="1:35" x14ac:dyDescent="0.25">
      <c r="A115" s="83" t="s">
        <v>131</v>
      </c>
      <c r="B115" s="83" t="s">
        <v>219</v>
      </c>
      <c r="C115" s="83">
        <v>40</v>
      </c>
      <c r="D115" s="83">
        <v>9.9</v>
      </c>
      <c r="E115" s="83">
        <v>0.5</v>
      </c>
      <c r="F115" s="83" t="s">
        <v>215</v>
      </c>
      <c r="G115" s="83"/>
      <c r="H115" s="83">
        <v>25</v>
      </c>
      <c r="I115" s="83" t="str">
        <f t="shared" si="22"/>
        <v xml:space="preserve"> Al</v>
      </c>
      <c r="J115" s="83">
        <v>64</v>
      </c>
      <c r="K115" s="26" t="e">
        <f t="shared" si="23"/>
        <v>#N/A</v>
      </c>
      <c r="L115" s="26" t="e">
        <f t="shared" si="24"/>
        <v>#N/A</v>
      </c>
      <c r="M115" s="35" t="str">
        <f t="shared" si="25"/>
        <v/>
      </c>
      <c r="N115" s="26" t="str">
        <f t="shared" si="26"/>
        <v/>
      </c>
      <c r="O115" s="26" t="str">
        <f t="shared" si="27"/>
        <v/>
      </c>
      <c r="P115" s="35" t="str">
        <f>IF(AND($C$24=50,'Beregning AC vern'!U77="IT-230V"),FALSE,IF(AND($A$24=$A115,$B$24=$B115,$C$24=$C115,$D$24=$D115,$E$24=$E115),TRUE,""))</f>
        <v/>
      </c>
      <c r="Q115" s="26" t="b">
        <f t="shared" si="28"/>
        <v>0</v>
      </c>
      <c r="R115" s="26" t="b">
        <f t="shared" si="29"/>
        <v>0</v>
      </c>
    </row>
    <row r="116" spans="1:35" x14ac:dyDescent="0.25">
      <c r="A116" s="83" t="s">
        <v>131</v>
      </c>
      <c r="B116" s="83" t="s">
        <v>219</v>
      </c>
      <c r="C116" s="83">
        <v>40</v>
      </c>
      <c r="D116" s="83">
        <v>9.9</v>
      </c>
      <c r="E116" s="83">
        <v>0.5</v>
      </c>
      <c r="F116" s="83" t="s">
        <v>216</v>
      </c>
      <c r="G116" s="83"/>
      <c r="H116" s="83">
        <v>50</v>
      </c>
      <c r="I116" s="83" t="str">
        <f t="shared" si="22"/>
        <v xml:space="preserve"> Al</v>
      </c>
      <c r="J116" s="83">
        <v>118</v>
      </c>
      <c r="K116" s="26" t="e">
        <f t="shared" si="23"/>
        <v>#N/A</v>
      </c>
      <c r="L116" s="26" t="e">
        <f t="shared" si="24"/>
        <v>#N/A</v>
      </c>
      <c r="M116" s="35" t="str">
        <f t="shared" si="25"/>
        <v/>
      </c>
      <c r="N116" s="26" t="str">
        <f t="shared" si="26"/>
        <v/>
      </c>
      <c r="O116" s="26" t="str">
        <f t="shared" si="27"/>
        <v/>
      </c>
      <c r="P116" s="35" t="str">
        <f>IF(AND($C$24=50,'Beregning AC vern'!U78="IT-230V"),FALSE,IF(AND($A$24=$A116,$B$24=$B116,$C$24=$C116,$D$24=$D116,$E$24=$E116),TRUE,""))</f>
        <v/>
      </c>
      <c r="Q116" s="26" t="b">
        <f t="shared" si="28"/>
        <v>0</v>
      </c>
      <c r="R116" s="26" t="b">
        <f t="shared" si="29"/>
        <v>0</v>
      </c>
    </row>
    <row r="117" spans="1:35" x14ac:dyDescent="0.25">
      <c r="A117" s="83" t="s">
        <v>131</v>
      </c>
      <c r="B117" s="83" t="s">
        <v>219</v>
      </c>
      <c r="C117" s="83">
        <v>50</v>
      </c>
      <c r="D117" s="83">
        <v>9.9</v>
      </c>
      <c r="E117" s="83">
        <v>0.5</v>
      </c>
      <c r="F117" s="83" t="s">
        <v>216</v>
      </c>
      <c r="G117" s="83"/>
      <c r="H117" s="83">
        <v>50</v>
      </c>
      <c r="I117" s="83" t="str">
        <f t="shared" si="22"/>
        <v xml:space="preserve"> Al</v>
      </c>
      <c r="J117" s="83">
        <v>26</v>
      </c>
      <c r="K117" s="26" t="e">
        <f t="shared" si="23"/>
        <v>#N/A</v>
      </c>
      <c r="L117" s="26" t="e">
        <f t="shared" si="24"/>
        <v>#N/A</v>
      </c>
      <c r="M117" s="35" t="str">
        <f t="shared" si="25"/>
        <v/>
      </c>
      <c r="N117" s="26" t="str">
        <f t="shared" si="26"/>
        <v/>
      </c>
      <c r="O117" s="26" t="str">
        <f t="shared" si="27"/>
        <v/>
      </c>
      <c r="P117" s="35" t="str">
        <f>IF(AND($C$24=50,'Beregning AC vern'!U79="IT-230V"),FALSE,IF(AND($A$24=$A117,$B$24=$B117,$C$24=$C117,$D$24=$D117,$E$24=$E117),TRUE,""))</f>
        <v/>
      </c>
      <c r="Q117" s="26" t="b">
        <f t="shared" si="28"/>
        <v>0</v>
      </c>
      <c r="R117" s="26" t="b">
        <f t="shared" si="29"/>
        <v>0</v>
      </c>
    </row>
    <row r="118" spans="1:35" x14ac:dyDescent="0.25">
      <c r="A118" s="83" t="s">
        <v>131</v>
      </c>
      <c r="B118" s="83" t="s">
        <v>219</v>
      </c>
      <c r="C118" s="83">
        <v>25</v>
      </c>
      <c r="D118" s="83">
        <v>9.9</v>
      </c>
      <c r="E118" s="83">
        <v>1</v>
      </c>
      <c r="F118" s="83" t="s">
        <v>212</v>
      </c>
      <c r="G118" s="83"/>
      <c r="H118" s="83">
        <v>6</v>
      </c>
      <c r="I118" s="83" t="str">
        <f t="shared" si="22"/>
        <v>Cu</v>
      </c>
      <c r="J118" s="83">
        <v>78</v>
      </c>
      <c r="K118" s="26" t="e">
        <f t="shared" si="23"/>
        <v>#N/A</v>
      </c>
      <c r="L118" s="26" t="e">
        <f t="shared" si="24"/>
        <v>#N/A</v>
      </c>
      <c r="M118" s="35" t="str">
        <f t="shared" si="25"/>
        <v/>
      </c>
      <c r="N118" s="26" t="str">
        <f t="shared" si="26"/>
        <v/>
      </c>
      <c r="O118" s="26" t="str">
        <f t="shared" si="27"/>
        <v/>
      </c>
      <c r="P118" s="35" t="str">
        <f>IF(AND($C$24=50,'Beregning AC vern'!U80="IT-230V"),FALSE,IF(AND($A$24=$A118,$B$24=$B118,$C$24=$C118,$D$24=$D118,$E$24=$E118),TRUE,""))</f>
        <v/>
      </c>
      <c r="Q118" s="26" t="b">
        <f t="shared" si="28"/>
        <v>0</v>
      </c>
      <c r="R118" s="26" t="b">
        <f t="shared" si="29"/>
        <v>0</v>
      </c>
    </row>
    <row r="119" spans="1:35" x14ac:dyDescent="0.25">
      <c r="A119" s="83" t="s">
        <v>131</v>
      </c>
      <c r="B119" s="83" t="s">
        <v>219</v>
      </c>
      <c r="C119" s="83">
        <v>25</v>
      </c>
      <c r="D119" s="83">
        <v>9.9</v>
      </c>
      <c r="E119" s="83">
        <v>1</v>
      </c>
      <c r="F119" s="83" t="s">
        <v>214</v>
      </c>
      <c r="G119" s="83"/>
      <c r="H119" s="83">
        <v>10</v>
      </c>
      <c r="I119" s="83" t="str">
        <f t="shared" si="22"/>
        <v xml:space="preserve"> Cu</v>
      </c>
      <c r="J119" s="83">
        <v>132</v>
      </c>
      <c r="K119" s="26" t="e">
        <f t="shared" si="23"/>
        <v>#N/A</v>
      </c>
      <c r="L119" s="26" t="e">
        <f t="shared" si="24"/>
        <v>#N/A</v>
      </c>
      <c r="M119" s="35" t="str">
        <f t="shared" si="25"/>
        <v/>
      </c>
      <c r="N119" s="26" t="str">
        <f t="shared" si="26"/>
        <v/>
      </c>
      <c r="O119" s="26" t="str">
        <f t="shared" si="27"/>
        <v/>
      </c>
      <c r="P119" s="35" t="str">
        <f>IF(AND($C$24=50,'Beregning AC vern'!U81="IT-230V"),FALSE,IF(AND($A$24=$A119,$B$24=$B119,$C$24=$C119,$D$24=$D119,$E$24=$E119),TRUE,""))</f>
        <v/>
      </c>
      <c r="Q119" s="26" t="b">
        <f t="shared" si="28"/>
        <v>0</v>
      </c>
      <c r="R119" s="26" t="b">
        <f t="shared" si="29"/>
        <v>0</v>
      </c>
    </row>
    <row r="120" spans="1:35" x14ac:dyDescent="0.25">
      <c r="A120" s="83" t="s">
        <v>131</v>
      </c>
      <c r="B120" s="83" t="s">
        <v>219</v>
      </c>
      <c r="C120" s="83">
        <v>25</v>
      </c>
      <c r="D120" s="83">
        <v>9.9</v>
      </c>
      <c r="E120" s="83">
        <v>1</v>
      </c>
      <c r="F120" s="83" t="s">
        <v>215</v>
      </c>
      <c r="G120" s="83"/>
      <c r="H120" s="83">
        <v>25</v>
      </c>
      <c r="I120" s="83" t="str">
        <f t="shared" si="22"/>
        <v xml:space="preserve"> Al</v>
      </c>
      <c r="J120" s="83">
        <v>199</v>
      </c>
      <c r="K120" s="26" t="e">
        <f t="shared" si="23"/>
        <v>#N/A</v>
      </c>
      <c r="L120" s="26" t="e">
        <f t="shared" si="24"/>
        <v>#N/A</v>
      </c>
      <c r="M120" s="35" t="str">
        <f t="shared" si="25"/>
        <v/>
      </c>
      <c r="N120" s="26" t="str">
        <f t="shared" si="26"/>
        <v/>
      </c>
      <c r="O120" s="26" t="str">
        <f t="shared" si="27"/>
        <v/>
      </c>
      <c r="P120" s="35" t="str">
        <f>IF(AND($C$24=50,'Beregning AC vern'!U82="IT-230V"),FALSE,IF(AND($A$24=$A120,$B$24=$B120,$C$24=$C120,$D$24=$D120,$E$24=$E120),TRUE,""))</f>
        <v/>
      </c>
      <c r="Q120" s="26" t="b">
        <f t="shared" si="28"/>
        <v>0</v>
      </c>
      <c r="R120" s="26" t="b">
        <f t="shared" si="29"/>
        <v>0</v>
      </c>
    </row>
    <row r="121" spans="1:35" x14ac:dyDescent="0.25">
      <c r="A121" s="83" t="s">
        <v>131</v>
      </c>
      <c r="B121" s="83" t="s">
        <v>219</v>
      </c>
      <c r="C121" s="83">
        <v>25</v>
      </c>
      <c r="D121" s="83">
        <v>9.9</v>
      </c>
      <c r="E121" s="83">
        <v>1</v>
      </c>
      <c r="F121" s="83" t="s">
        <v>216</v>
      </c>
      <c r="G121" s="83"/>
      <c r="H121" s="83">
        <v>50</v>
      </c>
      <c r="I121" s="83" t="str">
        <f t="shared" si="22"/>
        <v xml:space="preserve"> Al</v>
      </c>
      <c r="J121" s="83">
        <v>368</v>
      </c>
      <c r="K121" s="26" t="e">
        <f t="shared" si="23"/>
        <v>#N/A</v>
      </c>
      <c r="L121" s="26" t="e">
        <f t="shared" si="24"/>
        <v>#N/A</v>
      </c>
      <c r="M121" s="35" t="str">
        <f t="shared" si="25"/>
        <v/>
      </c>
      <c r="N121" s="26" t="str">
        <f t="shared" si="26"/>
        <v/>
      </c>
      <c r="O121" s="26" t="str">
        <f t="shared" si="27"/>
        <v/>
      </c>
      <c r="P121" s="35" t="str">
        <f>IF(AND($C$24=50,'Beregning AC vern'!U83="IT-230V"),FALSE,IF(AND($A$24=$A121,$B$24=$B121,$C$24=$C121,$D$24=$D121,$E$24=$E121),TRUE,""))</f>
        <v/>
      </c>
      <c r="Q121" s="26" t="b">
        <f t="shared" si="28"/>
        <v>0</v>
      </c>
      <c r="R121" s="26" t="b">
        <f t="shared" si="29"/>
        <v>0</v>
      </c>
      <c r="W121" s="88"/>
      <c r="X121" s="88"/>
      <c r="Y121" s="88"/>
      <c r="AG121" s="88"/>
      <c r="AH121" s="88"/>
      <c r="AI121" s="88"/>
    </row>
    <row r="122" spans="1:35" x14ac:dyDescent="0.25">
      <c r="A122" s="83" t="s">
        <v>131</v>
      </c>
      <c r="B122" s="83" t="s">
        <v>219</v>
      </c>
      <c r="C122" s="83">
        <v>32</v>
      </c>
      <c r="D122" s="83">
        <v>9.9</v>
      </c>
      <c r="E122" s="83">
        <v>1</v>
      </c>
      <c r="F122" s="83" t="s">
        <v>214</v>
      </c>
      <c r="G122" s="83"/>
      <c r="H122" s="83">
        <v>10</v>
      </c>
      <c r="I122" s="83" t="str">
        <f t="shared" si="22"/>
        <v xml:space="preserve"> Cu</v>
      </c>
      <c r="J122" s="83">
        <v>67</v>
      </c>
      <c r="K122" s="26" t="e">
        <f t="shared" si="23"/>
        <v>#N/A</v>
      </c>
      <c r="L122" s="26" t="e">
        <f t="shared" si="24"/>
        <v>#N/A</v>
      </c>
      <c r="M122" s="35" t="str">
        <f t="shared" si="25"/>
        <v/>
      </c>
      <c r="N122" s="26" t="str">
        <f t="shared" si="26"/>
        <v/>
      </c>
      <c r="O122" s="26" t="str">
        <f t="shared" si="27"/>
        <v/>
      </c>
      <c r="P122" s="35" t="str">
        <f>IF(AND($C$24=50,'Beregning AC vern'!U84="IT-230V"),FALSE,IF(AND($A$24=$A122,$B$24=$B122,$C$24=$C122,$D$24=$D122,$E$24=$E122),TRUE,""))</f>
        <v/>
      </c>
      <c r="Q122" s="26" t="b">
        <f t="shared" si="28"/>
        <v>0</v>
      </c>
      <c r="R122" s="26" t="b">
        <f t="shared" si="29"/>
        <v>0</v>
      </c>
      <c r="Y122" s="12"/>
    </row>
    <row r="123" spans="1:35" x14ac:dyDescent="0.25">
      <c r="A123" s="83" t="s">
        <v>131</v>
      </c>
      <c r="B123" s="83" t="s">
        <v>219</v>
      </c>
      <c r="C123" s="83">
        <v>32</v>
      </c>
      <c r="D123" s="83">
        <v>9.9</v>
      </c>
      <c r="E123" s="83">
        <v>1</v>
      </c>
      <c r="F123" s="83" t="s">
        <v>215</v>
      </c>
      <c r="G123" s="83"/>
      <c r="H123" s="83">
        <v>25</v>
      </c>
      <c r="I123" s="83" t="str">
        <f t="shared" si="22"/>
        <v xml:space="preserve"> Al</v>
      </c>
      <c r="J123" s="83">
        <v>111</v>
      </c>
      <c r="K123" s="26" t="e">
        <f t="shared" si="23"/>
        <v>#N/A</v>
      </c>
      <c r="L123" s="26" t="e">
        <f t="shared" si="24"/>
        <v>#N/A</v>
      </c>
      <c r="M123" s="35" t="str">
        <f t="shared" si="25"/>
        <v/>
      </c>
      <c r="N123" s="26" t="str">
        <f t="shared" si="26"/>
        <v/>
      </c>
      <c r="O123" s="26" t="str">
        <f t="shared" si="27"/>
        <v/>
      </c>
      <c r="P123" s="35" t="str">
        <f>IF(AND($C$24=50,'Beregning AC vern'!U85="IT-230V"),FALSE,IF(AND($A$24=$A123,$B$24=$B123,$C$24=$C123,$D$24=$D123,$E$24=$E123),TRUE,""))</f>
        <v/>
      </c>
      <c r="Q123" s="26" t="b">
        <f t="shared" si="28"/>
        <v>0</v>
      </c>
      <c r="R123" s="26" t="b">
        <f t="shared" si="29"/>
        <v>0</v>
      </c>
    </row>
    <row r="124" spans="1:35" x14ac:dyDescent="0.25">
      <c r="A124" s="83" t="s">
        <v>131</v>
      </c>
      <c r="B124" s="83" t="s">
        <v>219</v>
      </c>
      <c r="C124" s="83">
        <v>32</v>
      </c>
      <c r="D124" s="83">
        <v>9.9</v>
      </c>
      <c r="E124" s="83">
        <v>1</v>
      </c>
      <c r="F124" s="83" t="s">
        <v>216</v>
      </c>
      <c r="G124" s="83"/>
      <c r="H124" s="83">
        <v>50</v>
      </c>
      <c r="I124" s="83" t="str">
        <f t="shared" si="22"/>
        <v xml:space="preserve"> Al</v>
      </c>
      <c r="J124" s="83">
        <v>205</v>
      </c>
      <c r="K124" s="26" t="e">
        <f t="shared" si="23"/>
        <v>#N/A</v>
      </c>
      <c r="L124" s="26" t="e">
        <f t="shared" si="24"/>
        <v>#N/A</v>
      </c>
      <c r="M124" s="35" t="str">
        <f t="shared" si="25"/>
        <v/>
      </c>
      <c r="N124" s="26" t="str">
        <f t="shared" si="26"/>
        <v/>
      </c>
      <c r="O124" s="26" t="str">
        <f t="shared" si="27"/>
        <v/>
      </c>
      <c r="P124" s="35" t="str">
        <f>IF(AND($C$24=50,'Beregning AC vern'!U86="IT-230V"),FALSE,IF(AND($A$24=$A124,$B$24=$B124,$C$24=$C124,$D$24=$D124,$E$24=$E124),TRUE,""))</f>
        <v/>
      </c>
      <c r="Q124" s="26" t="b">
        <f t="shared" si="28"/>
        <v>0</v>
      </c>
      <c r="R124" s="26" t="b">
        <f t="shared" si="29"/>
        <v>0</v>
      </c>
    </row>
    <row r="125" spans="1:35" x14ac:dyDescent="0.25">
      <c r="A125" s="83" t="s">
        <v>131</v>
      </c>
      <c r="B125" s="83" t="s">
        <v>219</v>
      </c>
      <c r="C125" s="83">
        <v>40</v>
      </c>
      <c r="D125" s="83">
        <v>9.9</v>
      </c>
      <c r="E125" s="83">
        <v>1</v>
      </c>
      <c r="F125" s="83" t="s">
        <v>217</v>
      </c>
      <c r="G125" s="83"/>
      <c r="H125" s="83">
        <v>16</v>
      </c>
      <c r="I125" s="83" t="str">
        <f t="shared" si="22"/>
        <v xml:space="preserve"> Cu</v>
      </c>
      <c r="J125" s="83">
        <v>67</v>
      </c>
      <c r="K125" s="26" t="e">
        <f t="shared" si="23"/>
        <v>#N/A</v>
      </c>
      <c r="L125" s="26" t="e">
        <f t="shared" si="24"/>
        <v>#N/A</v>
      </c>
      <c r="M125" s="35" t="str">
        <f t="shared" si="25"/>
        <v/>
      </c>
      <c r="N125" s="26" t="str">
        <f t="shared" si="26"/>
        <v/>
      </c>
      <c r="O125" s="26" t="str">
        <f t="shared" si="27"/>
        <v/>
      </c>
      <c r="P125" s="35" t="str">
        <f>IF(AND($C$24=50,'Beregning AC vern'!U87="IT-230V"),FALSE,IF(AND($A$24=$A125,$B$24=$B125,$C$24=$C125,$D$24=$D125,$E$24=$E125),TRUE,""))</f>
        <v/>
      </c>
      <c r="Q125" s="26" t="b">
        <f t="shared" si="28"/>
        <v>0</v>
      </c>
      <c r="R125" s="26" t="b">
        <f t="shared" si="29"/>
        <v>0</v>
      </c>
    </row>
    <row r="126" spans="1:35" x14ac:dyDescent="0.25">
      <c r="A126" s="83" t="s">
        <v>131</v>
      </c>
      <c r="B126" s="83" t="s">
        <v>219</v>
      </c>
      <c r="C126" s="83">
        <v>40</v>
      </c>
      <c r="D126" s="83">
        <v>9.9</v>
      </c>
      <c r="E126" s="83">
        <v>1</v>
      </c>
      <c r="F126" s="83" t="s">
        <v>215</v>
      </c>
      <c r="G126" s="83"/>
      <c r="H126" s="83">
        <v>25</v>
      </c>
      <c r="I126" s="83" t="str">
        <f t="shared" si="22"/>
        <v xml:space="preserve"> Al</v>
      </c>
      <c r="J126" s="83">
        <v>64</v>
      </c>
      <c r="K126" s="26" t="e">
        <f t="shared" si="23"/>
        <v>#N/A</v>
      </c>
      <c r="L126" s="26" t="e">
        <f t="shared" si="24"/>
        <v>#N/A</v>
      </c>
      <c r="M126" s="35" t="str">
        <f t="shared" si="25"/>
        <v/>
      </c>
      <c r="N126" s="26" t="str">
        <f t="shared" si="26"/>
        <v/>
      </c>
      <c r="O126" s="26" t="str">
        <f t="shared" si="27"/>
        <v/>
      </c>
      <c r="P126" s="35" t="str">
        <f>IF(AND($C$24=50,'Beregning AC vern'!U88="IT-230V"),FALSE,IF(AND($A$24=$A126,$B$24=$B126,$C$24=$C126,$D$24=$D126,$E$24=$E126),TRUE,""))</f>
        <v/>
      </c>
      <c r="Q126" s="26" t="b">
        <f t="shared" si="28"/>
        <v>0</v>
      </c>
      <c r="R126" s="26" t="b">
        <f t="shared" si="29"/>
        <v>0</v>
      </c>
    </row>
    <row r="127" spans="1:35" x14ac:dyDescent="0.25">
      <c r="A127" s="83" t="s">
        <v>131</v>
      </c>
      <c r="B127" s="83" t="s">
        <v>219</v>
      </c>
      <c r="C127" s="83">
        <v>40</v>
      </c>
      <c r="D127" s="83">
        <v>9.9</v>
      </c>
      <c r="E127" s="83">
        <v>1</v>
      </c>
      <c r="F127" s="83" t="s">
        <v>216</v>
      </c>
      <c r="G127" s="83"/>
      <c r="H127" s="83">
        <v>50</v>
      </c>
      <c r="I127" s="83" t="str">
        <f t="shared" si="22"/>
        <v xml:space="preserve"> Al</v>
      </c>
      <c r="J127" s="83">
        <v>118</v>
      </c>
      <c r="K127" s="26" t="e">
        <f t="shared" si="23"/>
        <v>#N/A</v>
      </c>
      <c r="L127" s="26" t="e">
        <f t="shared" si="24"/>
        <v>#N/A</v>
      </c>
      <c r="M127" s="35" t="str">
        <f t="shared" si="25"/>
        <v/>
      </c>
      <c r="N127" s="26" t="str">
        <f t="shared" si="26"/>
        <v/>
      </c>
      <c r="O127" s="26" t="str">
        <f t="shared" si="27"/>
        <v/>
      </c>
      <c r="P127" s="35" t="str">
        <f>IF(AND($C$24=50,'Beregning AC vern'!U89="IT-230V"),FALSE,IF(AND($A$24=$A127,$B$24=$B127,$C$24=$C127,$D$24=$D127,$E$24=$E127),TRUE,""))</f>
        <v/>
      </c>
      <c r="Q127" s="26" t="b">
        <f t="shared" si="28"/>
        <v>0</v>
      </c>
      <c r="R127" s="26" t="b">
        <f t="shared" si="29"/>
        <v>0</v>
      </c>
    </row>
    <row r="128" spans="1:35" x14ac:dyDescent="0.25">
      <c r="A128" s="83" t="s">
        <v>131</v>
      </c>
      <c r="B128" s="83" t="s">
        <v>219</v>
      </c>
      <c r="C128" s="83">
        <v>50</v>
      </c>
      <c r="D128" s="83">
        <v>9.9</v>
      </c>
      <c r="E128" s="83">
        <v>1</v>
      </c>
      <c r="F128" s="83" t="s">
        <v>216</v>
      </c>
      <c r="G128" s="83"/>
      <c r="H128" s="83">
        <v>50</v>
      </c>
      <c r="I128" s="83" t="str">
        <f t="shared" si="22"/>
        <v xml:space="preserve"> Al</v>
      </c>
      <c r="J128" s="83">
        <v>26</v>
      </c>
      <c r="K128" s="26" t="e">
        <f t="shared" si="23"/>
        <v>#N/A</v>
      </c>
      <c r="L128" s="26" t="e">
        <f t="shared" si="24"/>
        <v>#N/A</v>
      </c>
      <c r="M128" s="35" t="str">
        <f t="shared" si="25"/>
        <v/>
      </c>
      <c r="N128" s="26" t="str">
        <f t="shared" si="26"/>
        <v/>
      </c>
      <c r="O128" s="26" t="str">
        <f t="shared" si="27"/>
        <v/>
      </c>
      <c r="P128" s="35" t="str">
        <f>IF(AND($C$24=50,'Beregning AC vern'!U90="IT-230V"),FALSE,IF(AND($A$24=$A128,$B$24=$B128,$C$24=$C128,$D$24=$D128,$E$24=$E128),TRUE,""))</f>
        <v/>
      </c>
      <c r="Q128" s="26" t="b">
        <f t="shared" si="28"/>
        <v>0</v>
      </c>
      <c r="R128" s="26" t="b">
        <f t="shared" si="29"/>
        <v>0</v>
      </c>
    </row>
    <row r="129" spans="1:18" x14ac:dyDescent="0.25">
      <c r="A129" s="83" t="s">
        <v>131</v>
      </c>
      <c r="B129" s="83" t="s">
        <v>219</v>
      </c>
      <c r="C129" s="83">
        <v>25</v>
      </c>
      <c r="D129" s="83">
        <v>9.9</v>
      </c>
      <c r="E129" s="83">
        <v>2</v>
      </c>
      <c r="F129" s="83" t="s">
        <v>212</v>
      </c>
      <c r="G129" s="83"/>
      <c r="H129" s="83">
        <v>6</v>
      </c>
      <c r="I129" s="83" t="str">
        <f t="shared" si="22"/>
        <v>Cu</v>
      </c>
      <c r="J129" s="83">
        <v>78</v>
      </c>
      <c r="K129" s="26" t="e">
        <f t="shared" si="23"/>
        <v>#N/A</v>
      </c>
      <c r="L129" s="26" t="e">
        <f t="shared" si="24"/>
        <v>#N/A</v>
      </c>
      <c r="M129" s="35" t="str">
        <f t="shared" si="25"/>
        <v/>
      </c>
      <c r="N129" s="26" t="str">
        <f t="shared" si="26"/>
        <v/>
      </c>
      <c r="O129" s="26" t="str">
        <f t="shared" si="27"/>
        <v/>
      </c>
      <c r="P129" s="35" t="str">
        <f>IF(AND($C$24=50,'Beregning AC vern'!U91="IT-230V"),FALSE,IF(AND($A$24=$A129,$B$24=$B129,$C$24=$C129,$D$24=$D129,$E$24=$E129),TRUE,""))</f>
        <v/>
      </c>
      <c r="Q129" s="26" t="b">
        <f t="shared" si="28"/>
        <v>0</v>
      </c>
      <c r="R129" s="26" t="b">
        <f t="shared" si="29"/>
        <v>0</v>
      </c>
    </row>
    <row r="130" spans="1:18" x14ac:dyDescent="0.25">
      <c r="A130" s="83" t="s">
        <v>131</v>
      </c>
      <c r="B130" s="83" t="s">
        <v>219</v>
      </c>
      <c r="C130" s="83">
        <v>25</v>
      </c>
      <c r="D130" s="83">
        <v>9.9</v>
      </c>
      <c r="E130" s="83">
        <v>2</v>
      </c>
      <c r="F130" s="83" t="s">
        <v>214</v>
      </c>
      <c r="G130" s="83"/>
      <c r="H130" s="83">
        <v>10</v>
      </c>
      <c r="I130" s="83" t="str">
        <f t="shared" si="22"/>
        <v xml:space="preserve"> Cu</v>
      </c>
      <c r="J130" s="83">
        <v>132</v>
      </c>
      <c r="K130" s="26" t="e">
        <f t="shared" si="23"/>
        <v>#N/A</v>
      </c>
      <c r="L130" s="26" t="e">
        <f t="shared" si="24"/>
        <v>#N/A</v>
      </c>
      <c r="M130" s="35" t="str">
        <f t="shared" si="25"/>
        <v/>
      </c>
      <c r="N130" s="26" t="str">
        <f t="shared" si="26"/>
        <v/>
      </c>
      <c r="O130" s="26" t="str">
        <f t="shared" si="27"/>
        <v/>
      </c>
      <c r="P130" s="35" t="str">
        <f>IF(AND($C$24=50,'Beregning AC vern'!U92="IT-230V"),FALSE,IF(AND($A$24=$A130,$B$24=$B130,$C$24=$C130,$D$24=$D130,$E$24=$E130),TRUE,""))</f>
        <v/>
      </c>
      <c r="Q130" s="26" t="b">
        <f t="shared" si="28"/>
        <v>0</v>
      </c>
      <c r="R130" s="26" t="b">
        <f t="shared" si="29"/>
        <v>0</v>
      </c>
    </row>
    <row r="131" spans="1:18" x14ac:dyDescent="0.25">
      <c r="A131" s="83" t="s">
        <v>131</v>
      </c>
      <c r="B131" s="83" t="s">
        <v>219</v>
      </c>
      <c r="C131" s="83">
        <v>25</v>
      </c>
      <c r="D131" s="83">
        <v>9.9</v>
      </c>
      <c r="E131" s="83">
        <v>2</v>
      </c>
      <c r="F131" s="83" t="s">
        <v>215</v>
      </c>
      <c r="G131" s="83"/>
      <c r="H131" s="83">
        <v>25</v>
      </c>
      <c r="I131" s="83" t="str">
        <f t="shared" si="22"/>
        <v xml:space="preserve"> Al</v>
      </c>
      <c r="J131" s="83">
        <v>199</v>
      </c>
      <c r="K131" s="26" t="e">
        <f t="shared" si="23"/>
        <v>#N/A</v>
      </c>
      <c r="L131" s="26" t="e">
        <f t="shared" si="24"/>
        <v>#N/A</v>
      </c>
      <c r="M131" s="35" t="str">
        <f t="shared" si="25"/>
        <v/>
      </c>
      <c r="N131" s="26" t="str">
        <f t="shared" si="26"/>
        <v/>
      </c>
      <c r="O131" s="26" t="str">
        <f t="shared" si="27"/>
        <v/>
      </c>
      <c r="P131" s="35" t="str">
        <f>IF(AND($C$24=50,'Beregning AC vern'!U93="IT-230V"),FALSE,IF(AND($A$24=$A131,$B$24=$B131,$C$24=$C131,$D$24=$D131,$E$24=$E131),TRUE,""))</f>
        <v/>
      </c>
      <c r="Q131" s="26" t="b">
        <f t="shared" si="28"/>
        <v>0</v>
      </c>
      <c r="R131" s="26" t="b">
        <f t="shared" si="29"/>
        <v>0</v>
      </c>
    </row>
    <row r="132" spans="1:18" x14ac:dyDescent="0.25">
      <c r="A132" s="83" t="s">
        <v>131</v>
      </c>
      <c r="B132" s="83" t="s">
        <v>219</v>
      </c>
      <c r="C132" s="83">
        <v>25</v>
      </c>
      <c r="D132" s="83">
        <v>9.9</v>
      </c>
      <c r="E132" s="83">
        <v>2</v>
      </c>
      <c r="F132" s="83" t="s">
        <v>216</v>
      </c>
      <c r="G132" s="83"/>
      <c r="H132" s="83">
        <v>50</v>
      </c>
      <c r="I132" s="83" t="str">
        <f t="shared" si="22"/>
        <v xml:space="preserve"> Al</v>
      </c>
      <c r="J132" s="83">
        <v>368</v>
      </c>
      <c r="K132" s="26" t="e">
        <f t="shared" si="23"/>
        <v>#N/A</v>
      </c>
      <c r="L132" s="26" t="e">
        <f t="shared" si="24"/>
        <v>#N/A</v>
      </c>
      <c r="M132" s="35" t="str">
        <f t="shared" si="25"/>
        <v/>
      </c>
      <c r="N132" s="26" t="str">
        <f t="shared" si="26"/>
        <v/>
      </c>
      <c r="O132" s="26" t="str">
        <f t="shared" si="27"/>
        <v/>
      </c>
      <c r="P132" s="35" t="str">
        <f>IF(AND($C$24=50,'Beregning AC vern'!U94="IT-230V"),FALSE,IF(AND($A$24=$A132,$B$24=$B132,$C$24=$C132,$D$24=$D132,$E$24=$E132),TRUE,""))</f>
        <v/>
      </c>
      <c r="Q132" s="26" t="b">
        <f t="shared" si="28"/>
        <v>0</v>
      </c>
      <c r="R132" s="26" t="b">
        <f t="shared" si="29"/>
        <v>0</v>
      </c>
    </row>
    <row r="133" spans="1:18" x14ac:dyDescent="0.25">
      <c r="A133" s="83" t="s">
        <v>131</v>
      </c>
      <c r="B133" s="83" t="s">
        <v>219</v>
      </c>
      <c r="C133" s="83">
        <v>32</v>
      </c>
      <c r="D133" s="83">
        <v>9.9</v>
      </c>
      <c r="E133" s="83">
        <v>2</v>
      </c>
      <c r="F133" s="83" t="s">
        <v>214</v>
      </c>
      <c r="G133" s="83"/>
      <c r="H133" s="83">
        <v>10</v>
      </c>
      <c r="I133" s="83" t="str">
        <f t="shared" si="22"/>
        <v xml:space="preserve"> Cu</v>
      </c>
      <c r="J133" s="83">
        <v>67</v>
      </c>
      <c r="K133" s="26" t="e">
        <f t="shared" si="23"/>
        <v>#N/A</v>
      </c>
      <c r="L133" s="26" t="e">
        <f t="shared" si="24"/>
        <v>#N/A</v>
      </c>
      <c r="M133" s="35" t="str">
        <f t="shared" si="25"/>
        <v/>
      </c>
      <c r="N133" s="26" t="str">
        <f t="shared" si="26"/>
        <v/>
      </c>
      <c r="O133" s="26" t="str">
        <f t="shared" si="27"/>
        <v/>
      </c>
      <c r="P133" s="35" t="str">
        <f>IF(AND($C$24=50,'Beregning AC vern'!U95="IT-230V"),FALSE,IF(AND($A$24=$A133,$B$24=$B133,$C$24=$C133,$D$24=$D133,$E$24=$E133),TRUE,""))</f>
        <v/>
      </c>
      <c r="Q133" s="26" t="b">
        <f t="shared" si="28"/>
        <v>0</v>
      </c>
      <c r="R133" s="26" t="b">
        <f t="shared" si="29"/>
        <v>0</v>
      </c>
    </row>
    <row r="134" spans="1:18" x14ac:dyDescent="0.25">
      <c r="A134" s="83" t="s">
        <v>131</v>
      </c>
      <c r="B134" s="83" t="s">
        <v>219</v>
      </c>
      <c r="C134" s="83">
        <v>32</v>
      </c>
      <c r="D134" s="83">
        <v>9.9</v>
      </c>
      <c r="E134" s="83">
        <v>2</v>
      </c>
      <c r="F134" s="83" t="s">
        <v>215</v>
      </c>
      <c r="G134" s="83"/>
      <c r="H134" s="83">
        <v>25</v>
      </c>
      <c r="I134" s="83" t="str">
        <f t="shared" si="22"/>
        <v xml:space="preserve"> Al</v>
      </c>
      <c r="J134" s="83">
        <v>111</v>
      </c>
      <c r="K134" s="26" t="e">
        <f t="shared" si="23"/>
        <v>#N/A</v>
      </c>
      <c r="L134" s="26" t="e">
        <f t="shared" si="24"/>
        <v>#N/A</v>
      </c>
      <c r="M134" s="35" t="str">
        <f t="shared" si="25"/>
        <v/>
      </c>
      <c r="N134" s="26" t="str">
        <f t="shared" si="26"/>
        <v/>
      </c>
      <c r="O134" s="26" t="str">
        <f t="shared" si="27"/>
        <v/>
      </c>
      <c r="P134" s="35" t="str">
        <f>IF(AND($C$24=50,'Beregning AC vern'!U96="IT-230V"),FALSE,IF(AND($A$24=$A134,$B$24=$B134,$C$24=$C134,$D$24=$D134,$E$24=$E134),TRUE,""))</f>
        <v/>
      </c>
      <c r="Q134" s="26" t="b">
        <f t="shared" si="28"/>
        <v>0</v>
      </c>
      <c r="R134" s="26" t="b">
        <f t="shared" si="29"/>
        <v>0</v>
      </c>
    </row>
    <row r="135" spans="1:18" x14ac:dyDescent="0.25">
      <c r="A135" s="83" t="s">
        <v>131</v>
      </c>
      <c r="B135" s="83" t="s">
        <v>219</v>
      </c>
      <c r="C135" s="83">
        <v>32</v>
      </c>
      <c r="D135" s="83">
        <v>9.9</v>
      </c>
      <c r="E135" s="83">
        <v>2</v>
      </c>
      <c r="F135" s="83" t="s">
        <v>216</v>
      </c>
      <c r="G135" s="83"/>
      <c r="H135" s="83">
        <v>50</v>
      </c>
      <c r="I135" s="83" t="str">
        <f t="shared" si="22"/>
        <v xml:space="preserve"> Al</v>
      </c>
      <c r="J135" s="83">
        <v>205</v>
      </c>
      <c r="K135" s="26" t="e">
        <f t="shared" si="23"/>
        <v>#N/A</v>
      </c>
      <c r="L135" s="26" t="e">
        <f t="shared" si="24"/>
        <v>#N/A</v>
      </c>
      <c r="M135" s="35" t="str">
        <f t="shared" si="25"/>
        <v/>
      </c>
      <c r="N135" s="26" t="str">
        <f t="shared" si="26"/>
        <v/>
      </c>
      <c r="O135" s="26" t="str">
        <f t="shared" si="27"/>
        <v/>
      </c>
      <c r="P135" s="35" t="str">
        <f>IF(AND($C$24=50,'Beregning AC vern'!U97="IT-230V"),FALSE,IF(AND($A$24=$A135,$B$24=$B135,$C$24=$C135,$D$24=$D135,$E$24=$E135),TRUE,""))</f>
        <v/>
      </c>
      <c r="Q135" s="26" t="b">
        <f t="shared" si="28"/>
        <v>0</v>
      </c>
      <c r="R135" s="26" t="b">
        <f t="shared" si="29"/>
        <v>0</v>
      </c>
    </row>
    <row r="136" spans="1:18" x14ac:dyDescent="0.25">
      <c r="A136" s="83" t="s">
        <v>131</v>
      </c>
      <c r="B136" s="83" t="s">
        <v>219</v>
      </c>
      <c r="C136" s="83">
        <v>40</v>
      </c>
      <c r="D136" s="83">
        <v>9.9</v>
      </c>
      <c r="E136" s="83">
        <v>2</v>
      </c>
      <c r="F136" s="83" t="s">
        <v>217</v>
      </c>
      <c r="G136" s="83"/>
      <c r="H136" s="83">
        <v>16</v>
      </c>
      <c r="I136" s="83" t="str">
        <f t="shared" si="22"/>
        <v xml:space="preserve"> Cu</v>
      </c>
      <c r="J136" s="83">
        <v>67</v>
      </c>
      <c r="K136" s="26" t="e">
        <f t="shared" si="23"/>
        <v>#N/A</v>
      </c>
      <c r="L136" s="26" t="e">
        <f t="shared" si="24"/>
        <v>#N/A</v>
      </c>
      <c r="M136" s="35" t="str">
        <f t="shared" si="25"/>
        <v/>
      </c>
      <c r="N136" s="26" t="str">
        <f t="shared" si="26"/>
        <v/>
      </c>
      <c r="O136" s="26" t="str">
        <f t="shared" si="27"/>
        <v/>
      </c>
      <c r="P136" s="35" t="str">
        <f>IF(AND($C$24=50,'Beregning AC vern'!U98="IT-230V"),FALSE,IF(AND($A$24=$A136,$B$24=$B136,$C$24=$C136,$D$24=$D136,$E$24=$E136),TRUE,""))</f>
        <v/>
      </c>
      <c r="Q136" s="26" t="b">
        <f t="shared" si="28"/>
        <v>0</v>
      </c>
      <c r="R136" s="26" t="b">
        <f t="shared" si="29"/>
        <v>0</v>
      </c>
    </row>
    <row r="137" spans="1:18" x14ac:dyDescent="0.25">
      <c r="A137" s="83" t="s">
        <v>131</v>
      </c>
      <c r="B137" s="83" t="s">
        <v>219</v>
      </c>
      <c r="C137" s="83">
        <v>40</v>
      </c>
      <c r="D137" s="83">
        <v>9.9</v>
      </c>
      <c r="E137" s="83">
        <v>2</v>
      </c>
      <c r="F137" s="83" t="s">
        <v>215</v>
      </c>
      <c r="G137" s="83"/>
      <c r="H137" s="83">
        <v>25</v>
      </c>
      <c r="I137" s="83" t="str">
        <f t="shared" si="22"/>
        <v xml:space="preserve"> Al</v>
      </c>
      <c r="J137" s="83">
        <v>64</v>
      </c>
      <c r="K137" s="26" t="e">
        <f t="shared" si="23"/>
        <v>#N/A</v>
      </c>
      <c r="L137" s="26" t="e">
        <f t="shared" si="24"/>
        <v>#N/A</v>
      </c>
      <c r="M137" s="35" t="str">
        <f t="shared" si="25"/>
        <v/>
      </c>
      <c r="N137" s="26" t="str">
        <f t="shared" si="26"/>
        <v/>
      </c>
      <c r="O137" s="26" t="str">
        <f t="shared" si="27"/>
        <v/>
      </c>
      <c r="P137" s="35" t="str">
        <f>IF(AND($C$24=50,'Beregning AC vern'!U99="IT-230V"),FALSE,IF(AND($A$24=$A137,$B$24=$B137,$C$24=$C137,$D$24=$D137,$E$24=$E137),TRUE,""))</f>
        <v/>
      </c>
      <c r="Q137" s="26" t="b">
        <f t="shared" si="28"/>
        <v>0</v>
      </c>
      <c r="R137" s="26" t="b">
        <f t="shared" si="29"/>
        <v>0</v>
      </c>
    </row>
    <row r="138" spans="1:18" x14ac:dyDescent="0.25">
      <c r="A138" s="83" t="s">
        <v>131</v>
      </c>
      <c r="B138" s="83" t="s">
        <v>219</v>
      </c>
      <c r="C138" s="83">
        <v>40</v>
      </c>
      <c r="D138" s="83">
        <v>9.9</v>
      </c>
      <c r="E138" s="83">
        <v>2</v>
      </c>
      <c r="F138" s="83" t="s">
        <v>216</v>
      </c>
      <c r="G138" s="83"/>
      <c r="H138" s="83">
        <v>50</v>
      </c>
      <c r="I138" s="83" t="str">
        <f t="shared" si="22"/>
        <v xml:space="preserve"> Al</v>
      </c>
      <c r="J138" s="83">
        <v>118</v>
      </c>
      <c r="K138" s="26" t="e">
        <f t="shared" si="23"/>
        <v>#N/A</v>
      </c>
      <c r="L138" s="26" t="e">
        <f t="shared" si="24"/>
        <v>#N/A</v>
      </c>
      <c r="M138" s="35" t="str">
        <f t="shared" si="25"/>
        <v/>
      </c>
      <c r="N138" s="26" t="str">
        <f t="shared" si="26"/>
        <v/>
      </c>
      <c r="O138" s="26" t="str">
        <f t="shared" si="27"/>
        <v/>
      </c>
      <c r="P138" s="35" t="str">
        <f>IF(AND($C$24=50,'Beregning AC vern'!U100="IT-230V"),FALSE,IF(AND($A$24=$A138,$B$24=$B138,$C$24=$C138,$D$24=$D138,$E$24=$E138),TRUE,""))</f>
        <v/>
      </c>
      <c r="Q138" s="26" t="b">
        <f t="shared" si="28"/>
        <v>0</v>
      </c>
      <c r="R138" s="26" t="b">
        <f t="shared" si="29"/>
        <v>0</v>
      </c>
    </row>
    <row r="139" spans="1:18" x14ac:dyDescent="0.25">
      <c r="A139" s="83" t="s">
        <v>131</v>
      </c>
      <c r="B139" s="83" t="s">
        <v>219</v>
      </c>
      <c r="C139" s="83">
        <v>50</v>
      </c>
      <c r="D139" s="83">
        <v>9.9</v>
      </c>
      <c r="E139" s="83">
        <v>2</v>
      </c>
      <c r="F139" s="83" t="s">
        <v>216</v>
      </c>
      <c r="G139" s="83"/>
      <c r="H139" s="83">
        <v>50</v>
      </c>
      <c r="I139" s="83" t="str">
        <f t="shared" si="22"/>
        <v xml:space="preserve"> Al</v>
      </c>
      <c r="J139" s="83">
        <v>26</v>
      </c>
      <c r="K139" s="26" t="e">
        <f t="shared" si="23"/>
        <v>#N/A</v>
      </c>
      <c r="L139" s="26" t="e">
        <f t="shared" si="24"/>
        <v>#N/A</v>
      </c>
      <c r="M139" s="35" t="str">
        <f t="shared" si="25"/>
        <v/>
      </c>
      <c r="N139" s="26" t="str">
        <f t="shared" si="26"/>
        <v/>
      </c>
      <c r="O139" s="26" t="str">
        <f t="shared" si="27"/>
        <v/>
      </c>
      <c r="P139" s="35" t="str">
        <f>IF(AND($C$24=50,'Beregning AC vern'!U101="IT-230V"),FALSE,IF(AND($A$24=$A139,$B$24=$B139,$C$24=$C139,$D$24=$D139,$E$24=$E139),TRUE,""))</f>
        <v/>
      </c>
      <c r="Q139" s="26" t="b">
        <f t="shared" si="28"/>
        <v>0</v>
      </c>
      <c r="R139" s="26" t="b">
        <f t="shared" si="29"/>
        <v>0</v>
      </c>
    </row>
    <row r="140" spans="1:18" x14ac:dyDescent="0.25">
      <c r="A140" s="83" t="s">
        <v>131</v>
      </c>
      <c r="B140" s="83" t="s">
        <v>219</v>
      </c>
      <c r="C140" s="83">
        <v>25</v>
      </c>
      <c r="D140" s="83">
        <v>9.9</v>
      </c>
      <c r="E140" s="83">
        <v>5</v>
      </c>
      <c r="F140" s="83" t="s">
        <v>212</v>
      </c>
      <c r="G140" s="83"/>
      <c r="H140" s="83">
        <v>6</v>
      </c>
      <c r="I140" s="83" t="str">
        <f t="shared" si="22"/>
        <v>Cu</v>
      </c>
      <c r="J140" s="83">
        <v>78</v>
      </c>
      <c r="K140" s="26" t="e">
        <f t="shared" si="23"/>
        <v>#N/A</v>
      </c>
      <c r="L140" s="26" t="e">
        <f t="shared" si="24"/>
        <v>#N/A</v>
      </c>
      <c r="M140" s="35" t="str">
        <f t="shared" si="25"/>
        <v/>
      </c>
      <c r="N140" s="26" t="str">
        <f t="shared" si="26"/>
        <v/>
      </c>
      <c r="O140" s="26" t="str">
        <f t="shared" si="27"/>
        <v/>
      </c>
      <c r="P140" s="35" t="str">
        <f>IF(AND($C$24=50,'Beregning AC vern'!U102="IT-230V"),FALSE,IF(AND($A$24=$A140,$B$24=$B140,$C$24=$C140,$D$24=$D140,$E$24=$E140),TRUE,""))</f>
        <v/>
      </c>
      <c r="Q140" s="26" t="b">
        <f t="shared" si="28"/>
        <v>0</v>
      </c>
      <c r="R140" s="26" t="b">
        <f t="shared" si="29"/>
        <v>0</v>
      </c>
    </row>
    <row r="141" spans="1:18" x14ac:dyDescent="0.25">
      <c r="A141" s="83" t="s">
        <v>131</v>
      </c>
      <c r="B141" s="83" t="s">
        <v>219</v>
      </c>
      <c r="C141" s="83">
        <v>25</v>
      </c>
      <c r="D141" s="83">
        <v>9.9</v>
      </c>
      <c r="E141" s="83">
        <v>5</v>
      </c>
      <c r="F141" s="83" t="s">
        <v>214</v>
      </c>
      <c r="G141" s="83"/>
      <c r="H141" s="83">
        <v>10</v>
      </c>
      <c r="I141" s="83" t="str">
        <f t="shared" si="22"/>
        <v xml:space="preserve"> Cu</v>
      </c>
      <c r="J141" s="83">
        <v>132</v>
      </c>
      <c r="K141" s="26" t="e">
        <f t="shared" si="23"/>
        <v>#N/A</v>
      </c>
      <c r="L141" s="26" t="e">
        <f t="shared" si="24"/>
        <v>#N/A</v>
      </c>
      <c r="M141" s="35" t="str">
        <f t="shared" si="25"/>
        <v/>
      </c>
      <c r="N141" s="26" t="str">
        <f t="shared" si="26"/>
        <v/>
      </c>
      <c r="O141" s="26" t="str">
        <f t="shared" si="27"/>
        <v/>
      </c>
      <c r="P141" s="35" t="str">
        <f>IF(AND($C$24=50,'Beregning AC vern'!U103="IT-230V"),FALSE,IF(AND($A$24=$A141,$B$24=$B141,$C$24=$C141,$D$24=$D141,$E$24=$E141),TRUE,""))</f>
        <v/>
      </c>
      <c r="Q141" s="26" t="b">
        <f t="shared" si="28"/>
        <v>0</v>
      </c>
      <c r="R141" s="26" t="b">
        <f t="shared" si="29"/>
        <v>0</v>
      </c>
    </row>
    <row r="142" spans="1:18" x14ac:dyDescent="0.25">
      <c r="A142" s="83" t="s">
        <v>131</v>
      </c>
      <c r="B142" s="83" t="s">
        <v>219</v>
      </c>
      <c r="C142" s="83">
        <v>25</v>
      </c>
      <c r="D142" s="83">
        <v>9.9</v>
      </c>
      <c r="E142" s="83">
        <v>5</v>
      </c>
      <c r="F142" s="83" t="s">
        <v>215</v>
      </c>
      <c r="G142" s="83"/>
      <c r="H142" s="83">
        <v>25</v>
      </c>
      <c r="I142" s="83" t="str">
        <f t="shared" si="22"/>
        <v xml:space="preserve"> Al</v>
      </c>
      <c r="J142" s="83">
        <v>199</v>
      </c>
      <c r="K142" s="26" t="e">
        <f t="shared" si="23"/>
        <v>#N/A</v>
      </c>
      <c r="L142" s="26" t="e">
        <f t="shared" si="24"/>
        <v>#N/A</v>
      </c>
      <c r="M142" s="35" t="str">
        <f t="shared" si="25"/>
        <v/>
      </c>
      <c r="N142" s="26" t="str">
        <f t="shared" si="26"/>
        <v/>
      </c>
      <c r="O142" s="26" t="str">
        <f t="shared" si="27"/>
        <v/>
      </c>
      <c r="P142" s="35" t="str">
        <f>IF(AND($C$24=50,'Beregning AC vern'!U104="IT-230V"),FALSE,IF(AND($A$24=$A142,$B$24=$B142,$C$24=$C142,$D$24=$D142,$E$24=$E142),TRUE,""))</f>
        <v/>
      </c>
      <c r="Q142" s="26" t="b">
        <f t="shared" si="28"/>
        <v>0</v>
      </c>
      <c r="R142" s="26" t="b">
        <f t="shared" si="29"/>
        <v>0</v>
      </c>
    </row>
    <row r="143" spans="1:18" x14ac:dyDescent="0.25">
      <c r="A143" s="83" t="s">
        <v>131</v>
      </c>
      <c r="B143" s="83" t="s">
        <v>219</v>
      </c>
      <c r="C143" s="83">
        <v>25</v>
      </c>
      <c r="D143" s="83">
        <v>9.9</v>
      </c>
      <c r="E143" s="83">
        <v>5</v>
      </c>
      <c r="F143" s="83" t="s">
        <v>216</v>
      </c>
      <c r="G143" s="83"/>
      <c r="H143" s="83">
        <v>50</v>
      </c>
      <c r="I143" s="83" t="str">
        <f t="shared" si="22"/>
        <v xml:space="preserve"> Al</v>
      </c>
      <c r="J143" s="83">
        <v>368</v>
      </c>
      <c r="K143" s="26" t="e">
        <f t="shared" si="23"/>
        <v>#N/A</v>
      </c>
      <c r="L143" s="26" t="e">
        <f t="shared" si="24"/>
        <v>#N/A</v>
      </c>
      <c r="M143" s="35" t="str">
        <f t="shared" si="25"/>
        <v/>
      </c>
      <c r="N143" s="26" t="str">
        <f t="shared" si="26"/>
        <v/>
      </c>
      <c r="O143" s="26" t="str">
        <f t="shared" si="27"/>
        <v/>
      </c>
      <c r="P143" s="35" t="str">
        <f>IF(AND($C$24=50,'Beregning AC vern'!U105="IT-230V"),FALSE,IF(AND($A$24=$A143,$B$24=$B143,$C$24=$C143,$D$24=$D143,$E$24=$E143),TRUE,""))</f>
        <v/>
      </c>
      <c r="Q143" s="26" t="b">
        <f t="shared" si="28"/>
        <v>0</v>
      </c>
      <c r="R143" s="26" t="b">
        <f t="shared" si="29"/>
        <v>0</v>
      </c>
    </row>
    <row r="144" spans="1:18" x14ac:dyDescent="0.25">
      <c r="A144" s="83" t="s">
        <v>131</v>
      </c>
      <c r="B144" s="83" t="s">
        <v>219</v>
      </c>
      <c r="C144" s="83">
        <v>32</v>
      </c>
      <c r="D144" s="83">
        <v>9.9</v>
      </c>
      <c r="E144" s="83">
        <v>5</v>
      </c>
      <c r="F144" s="83" t="s">
        <v>214</v>
      </c>
      <c r="G144" s="83"/>
      <c r="H144" s="83">
        <v>10</v>
      </c>
      <c r="I144" s="83" t="str">
        <f t="shared" si="22"/>
        <v xml:space="preserve"> Cu</v>
      </c>
      <c r="J144" s="83">
        <v>73</v>
      </c>
      <c r="K144" s="26" t="e">
        <f t="shared" si="23"/>
        <v>#N/A</v>
      </c>
      <c r="L144" s="26" t="e">
        <f t="shared" si="24"/>
        <v>#N/A</v>
      </c>
      <c r="M144" s="35" t="str">
        <f t="shared" si="25"/>
        <v/>
      </c>
      <c r="N144" s="26" t="str">
        <f t="shared" si="26"/>
        <v/>
      </c>
      <c r="O144" s="26" t="str">
        <f t="shared" si="27"/>
        <v/>
      </c>
      <c r="P144" s="35" t="str">
        <f>IF(AND($C$24=50,'Beregning AC vern'!U106="IT-230V"),FALSE,IF(AND($A$24=$A144,$B$24=$B144,$C$24=$C144,$D$24=$D144,$E$24=$E144),TRUE,""))</f>
        <v/>
      </c>
      <c r="Q144" s="26" t="b">
        <f t="shared" si="28"/>
        <v>0</v>
      </c>
      <c r="R144" s="26" t="b">
        <f t="shared" si="29"/>
        <v>0</v>
      </c>
    </row>
    <row r="145" spans="1:18" x14ac:dyDescent="0.25">
      <c r="A145" s="83" t="s">
        <v>131</v>
      </c>
      <c r="B145" s="83" t="s">
        <v>219</v>
      </c>
      <c r="C145" s="83">
        <v>32</v>
      </c>
      <c r="D145" s="83">
        <v>9.9</v>
      </c>
      <c r="E145" s="83">
        <v>5</v>
      </c>
      <c r="F145" s="83" t="s">
        <v>215</v>
      </c>
      <c r="G145" s="83"/>
      <c r="H145" s="83">
        <v>25</v>
      </c>
      <c r="I145" s="83" t="str">
        <f t="shared" si="22"/>
        <v xml:space="preserve"> Al</v>
      </c>
      <c r="J145" s="83">
        <v>111</v>
      </c>
      <c r="K145" s="26" t="e">
        <f t="shared" si="23"/>
        <v>#N/A</v>
      </c>
      <c r="L145" s="26" t="e">
        <f t="shared" si="24"/>
        <v>#N/A</v>
      </c>
      <c r="M145" s="35" t="str">
        <f t="shared" si="25"/>
        <v/>
      </c>
      <c r="N145" s="26" t="str">
        <f t="shared" si="26"/>
        <v/>
      </c>
      <c r="O145" s="26" t="str">
        <f t="shared" si="27"/>
        <v/>
      </c>
      <c r="P145" s="35" t="str">
        <f>IF(AND($C$24=50,'Beregning AC vern'!U107="IT-230V"),FALSE,IF(AND($A$24=$A145,$B$24=$B145,$C$24=$C145,$D$24=$D145,$E$24=$E145),TRUE,""))</f>
        <v/>
      </c>
      <c r="Q145" s="26" t="b">
        <f t="shared" si="28"/>
        <v>0</v>
      </c>
      <c r="R145" s="26" t="b">
        <f t="shared" si="29"/>
        <v>0</v>
      </c>
    </row>
    <row r="146" spans="1:18" x14ac:dyDescent="0.25">
      <c r="A146" s="83" t="s">
        <v>131</v>
      </c>
      <c r="B146" s="83" t="s">
        <v>219</v>
      </c>
      <c r="C146" s="83">
        <v>32</v>
      </c>
      <c r="D146" s="83">
        <v>9.9</v>
      </c>
      <c r="E146" s="83">
        <v>5</v>
      </c>
      <c r="F146" s="83" t="s">
        <v>216</v>
      </c>
      <c r="G146" s="83"/>
      <c r="H146" s="83">
        <v>50</v>
      </c>
      <c r="I146" s="83" t="str">
        <f t="shared" si="22"/>
        <v xml:space="preserve"> Al</v>
      </c>
      <c r="J146" s="83">
        <v>205</v>
      </c>
      <c r="K146" s="26" t="e">
        <f t="shared" si="23"/>
        <v>#N/A</v>
      </c>
      <c r="L146" s="26" t="e">
        <f t="shared" si="24"/>
        <v>#N/A</v>
      </c>
      <c r="M146" s="35" t="str">
        <f t="shared" si="25"/>
        <v/>
      </c>
      <c r="N146" s="26" t="str">
        <f t="shared" si="26"/>
        <v/>
      </c>
      <c r="O146" s="26" t="str">
        <f t="shared" si="27"/>
        <v/>
      </c>
      <c r="P146" s="35" t="str">
        <f>IF(AND($C$24=50,'Beregning AC vern'!U108="IT-230V"),FALSE,IF(AND($A$24=$A146,$B$24=$B146,$C$24=$C146,$D$24=$D146,$E$24=$E146),TRUE,""))</f>
        <v/>
      </c>
      <c r="Q146" s="26" t="b">
        <f t="shared" si="28"/>
        <v>0</v>
      </c>
      <c r="R146" s="26" t="b">
        <f t="shared" si="29"/>
        <v>0</v>
      </c>
    </row>
    <row r="147" spans="1:18" x14ac:dyDescent="0.25">
      <c r="A147" s="83" t="s">
        <v>131</v>
      </c>
      <c r="B147" s="83" t="s">
        <v>219</v>
      </c>
      <c r="C147" s="83">
        <v>40</v>
      </c>
      <c r="D147" s="83">
        <v>9.9</v>
      </c>
      <c r="E147" s="83">
        <v>5</v>
      </c>
      <c r="F147" s="83" t="s">
        <v>217</v>
      </c>
      <c r="G147" s="83"/>
      <c r="H147" s="83">
        <v>16</v>
      </c>
      <c r="I147" s="83" t="str">
        <f t="shared" si="22"/>
        <v xml:space="preserve"> Cu</v>
      </c>
      <c r="J147" s="83">
        <v>67</v>
      </c>
      <c r="K147" s="26" t="e">
        <f t="shared" si="23"/>
        <v>#N/A</v>
      </c>
      <c r="L147" s="26" t="e">
        <f t="shared" si="24"/>
        <v>#N/A</v>
      </c>
      <c r="M147" s="35" t="str">
        <f t="shared" si="25"/>
        <v/>
      </c>
      <c r="N147" s="26" t="str">
        <f t="shared" si="26"/>
        <v/>
      </c>
      <c r="O147" s="26" t="str">
        <f t="shared" si="27"/>
        <v/>
      </c>
      <c r="P147" s="35" t="str">
        <f>IF(AND($C$24=50,'Beregning AC vern'!U109="IT-230V"),FALSE,IF(AND($A$24=$A147,$B$24=$B147,$C$24=$C147,$D$24=$D147,$E$24=$E147),TRUE,""))</f>
        <v/>
      </c>
      <c r="Q147" s="26" t="b">
        <f t="shared" si="28"/>
        <v>0</v>
      </c>
      <c r="R147" s="26" t="b">
        <f t="shared" si="29"/>
        <v>0</v>
      </c>
    </row>
    <row r="148" spans="1:18" x14ac:dyDescent="0.25">
      <c r="A148" s="83" t="s">
        <v>131</v>
      </c>
      <c r="B148" s="83" t="s">
        <v>219</v>
      </c>
      <c r="C148" s="83">
        <v>40</v>
      </c>
      <c r="D148" s="83">
        <v>9.9</v>
      </c>
      <c r="E148" s="83">
        <v>5</v>
      </c>
      <c r="F148" s="83" t="s">
        <v>215</v>
      </c>
      <c r="G148" s="83"/>
      <c r="H148" s="83">
        <v>25</v>
      </c>
      <c r="I148" s="83" t="str">
        <f t="shared" si="22"/>
        <v xml:space="preserve"> Al</v>
      </c>
      <c r="J148" s="83">
        <v>64</v>
      </c>
      <c r="K148" s="26" t="e">
        <f t="shared" si="23"/>
        <v>#N/A</v>
      </c>
      <c r="L148" s="26" t="e">
        <f t="shared" si="24"/>
        <v>#N/A</v>
      </c>
      <c r="M148" s="35" t="str">
        <f t="shared" si="25"/>
        <v/>
      </c>
      <c r="N148" s="26" t="str">
        <f t="shared" si="26"/>
        <v/>
      </c>
      <c r="O148" s="26" t="str">
        <f t="shared" si="27"/>
        <v/>
      </c>
      <c r="P148" s="35" t="str">
        <f>IF(AND($C$24=50,'Beregning AC vern'!U110="IT-230V"),FALSE,IF(AND($A$24=$A148,$B$24=$B148,$C$24=$C148,$D$24=$D148,$E$24=$E148),TRUE,""))</f>
        <v/>
      </c>
      <c r="Q148" s="26" t="b">
        <f t="shared" si="28"/>
        <v>0</v>
      </c>
      <c r="R148" s="26" t="b">
        <f t="shared" si="29"/>
        <v>0</v>
      </c>
    </row>
    <row r="149" spans="1:18" x14ac:dyDescent="0.25">
      <c r="A149" s="83" t="s">
        <v>131</v>
      </c>
      <c r="B149" s="83" t="s">
        <v>219</v>
      </c>
      <c r="C149" s="83">
        <v>40</v>
      </c>
      <c r="D149" s="83">
        <v>9.9</v>
      </c>
      <c r="E149" s="83">
        <v>5</v>
      </c>
      <c r="F149" s="83" t="s">
        <v>216</v>
      </c>
      <c r="G149" s="83"/>
      <c r="H149" s="83">
        <v>50</v>
      </c>
      <c r="I149" s="83" t="str">
        <f t="shared" si="22"/>
        <v xml:space="preserve"> Al</v>
      </c>
      <c r="J149" s="83">
        <v>118</v>
      </c>
      <c r="K149" s="26" t="e">
        <f t="shared" si="23"/>
        <v>#N/A</v>
      </c>
      <c r="L149" s="26" t="e">
        <f t="shared" si="24"/>
        <v>#N/A</v>
      </c>
      <c r="M149" s="35" t="str">
        <f t="shared" si="25"/>
        <v/>
      </c>
      <c r="N149" s="26" t="str">
        <f t="shared" si="26"/>
        <v/>
      </c>
      <c r="O149" s="26" t="str">
        <f t="shared" si="27"/>
        <v/>
      </c>
      <c r="P149" s="35" t="str">
        <f>IF(AND($C$24=50,'Beregning AC vern'!U111="IT-230V"),FALSE,IF(AND($A$24=$A149,$B$24=$B149,$C$24=$C149,$D$24=$D149,$E$24=$E149),TRUE,""))</f>
        <v/>
      </c>
      <c r="Q149" s="26" t="b">
        <f t="shared" si="28"/>
        <v>0</v>
      </c>
      <c r="R149" s="26" t="b">
        <f t="shared" si="29"/>
        <v>0</v>
      </c>
    </row>
    <row r="150" spans="1:18" x14ac:dyDescent="0.25">
      <c r="A150" s="83" t="s">
        <v>131</v>
      </c>
      <c r="B150" s="83" t="s">
        <v>219</v>
      </c>
      <c r="C150" s="83">
        <v>50</v>
      </c>
      <c r="D150" s="83">
        <v>9.9</v>
      </c>
      <c r="E150" s="83">
        <v>5</v>
      </c>
      <c r="F150" s="83" t="s">
        <v>216</v>
      </c>
      <c r="G150" s="83"/>
      <c r="H150" s="83">
        <v>50</v>
      </c>
      <c r="I150" s="83" t="str">
        <f t="shared" si="22"/>
        <v xml:space="preserve"> Al</v>
      </c>
      <c r="J150" s="83">
        <v>26</v>
      </c>
      <c r="K150" s="26" t="e">
        <f t="shared" si="23"/>
        <v>#N/A</v>
      </c>
      <c r="L150" s="26" t="e">
        <f t="shared" si="24"/>
        <v>#N/A</v>
      </c>
      <c r="M150" s="35" t="str">
        <f t="shared" si="25"/>
        <v/>
      </c>
      <c r="N150" s="26" t="str">
        <f t="shared" si="26"/>
        <v/>
      </c>
      <c r="O150" s="26" t="str">
        <f t="shared" si="27"/>
        <v/>
      </c>
      <c r="P150" s="35" t="str">
        <f>IF(AND($C$24=50,'Beregning AC vern'!U112="IT-230V"),FALSE,IF(AND($A$24=$A150,$B$24=$B150,$C$24=$C150,$D$24=$D150,$E$24=$E150),TRUE,""))</f>
        <v/>
      </c>
      <c r="Q150" s="26" t="b">
        <f t="shared" si="28"/>
        <v>0</v>
      </c>
      <c r="R150" s="26" t="b">
        <f t="shared" si="29"/>
        <v>0</v>
      </c>
    </row>
    <row r="151" spans="1:18" x14ac:dyDescent="0.25">
      <c r="A151" s="83" t="s">
        <v>131</v>
      </c>
      <c r="B151" s="83" t="s">
        <v>219</v>
      </c>
      <c r="C151" s="83">
        <v>25</v>
      </c>
      <c r="D151" s="83">
        <v>9.9</v>
      </c>
      <c r="E151" s="83">
        <v>8.5</v>
      </c>
      <c r="F151" s="83" t="s">
        <v>212</v>
      </c>
      <c r="G151" s="83"/>
      <c r="H151" s="83">
        <v>6</v>
      </c>
      <c r="I151" s="83" t="str">
        <f t="shared" si="22"/>
        <v>Cu</v>
      </c>
      <c r="J151" s="83">
        <v>63</v>
      </c>
      <c r="K151" s="26" t="e">
        <f t="shared" si="23"/>
        <v>#N/A</v>
      </c>
      <c r="L151" s="26" t="e">
        <f t="shared" si="24"/>
        <v>#N/A</v>
      </c>
      <c r="M151" s="35" t="str">
        <f t="shared" si="25"/>
        <v/>
      </c>
      <c r="N151" s="26" t="str">
        <f t="shared" si="26"/>
        <v/>
      </c>
      <c r="O151" s="26" t="str">
        <f t="shared" si="27"/>
        <v/>
      </c>
      <c r="P151" s="35" t="str">
        <f>IF(AND($C$24=50,'Beregning AC vern'!U113="IT-230V"),FALSE,IF(AND($A$24=$A151,$B$24=$B151,$C$24=$C151,$D$24=$D151,$E$24=$E151),TRUE,""))</f>
        <v/>
      </c>
      <c r="Q151" s="26" t="b">
        <f t="shared" si="28"/>
        <v>0</v>
      </c>
      <c r="R151" s="26" t="b">
        <f t="shared" si="29"/>
        <v>0</v>
      </c>
    </row>
    <row r="152" spans="1:18" x14ac:dyDescent="0.25">
      <c r="A152" s="83" t="s">
        <v>131</v>
      </c>
      <c r="B152" s="83" t="s">
        <v>219</v>
      </c>
      <c r="C152" s="83">
        <v>25</v>
      </c>
      <c r="D152" s="83">
        <v>9.9</v>
      </c>
      <c r="E152" s="83">
        <v>8.5</v>
      </c>
      <c r="F152" s="83" t="s">
        <v>214</v>
      </c>
      <c r="G152" s="83"/>
      <c r="H152" s="83">
        <v>10</v>
      </c>
      <c r="I152" s="83" t="str">
        <f t="shared" si="22"/>
        <v xml:space="preserve"> Cu</v>
      </c>
      <c r="J152" s="83">
        <v>105</v>
      </c>
      <c r="K152" s="26" t="e">
        <f t="shared" si="23"/>
        <v>#N/A</v>
      </c>
      <c r="L152" s="26" t="e">
        <f t="shared" si="24"/>
        <v>#N/A</v>
      </c>
      <c r="M152" s="35" t="str">
        <f t="shared" si="25"/>
        <v/>
      </c>
      <c r="N152" s="26" t="str">
        <f t="shared" si="26"/>
        <v/>
      </c>
      <c r="O152" s="26" t="str">
        <f t="shared" si="27"/>
        <v/>
      </c>
      <c r="P152" s="35" t="str">
        <f>IF(AND($C$24=50,'Beregning AC vern'!U114="IT-230V"),FALSE,IF(AND($A$24=$A152,$B$24=$B152,$C$24=$C152,$D$24=$D152,$E$24=$E152),TRUE,""))</f>
        <v/>
      </c>
      <c r="Q152" s="26" t="b">
        <f t="shared" si="28"/>
        <v>0</v>
      </c>
      <c r="R152" s="26" t="b">
        <f t="shared" si="29"/>
        <v>0</v>
      </c>
    </row>
    <row r="153" spans="1:18" x14ac:dyDescent="0.25">
      <c r="A153" s="83" t="s">
        <v>131</v>
      </c>
      <c r="B153" s="83" t="s">
        <v>219</v>
      </c>
      <c r="C153" s="83">
        <v>25</v>
      </c>
      <c r="D153" s="83">
        <v>9.9</v>
      </c>
      <c r="E153" s="83">
        <v>8.5</v>
      </c>
      <c r="F153" s="83" t="s">
        <v>215</v>
      </c>
      <c r="G153" s="83"/>
      <c r="H153" s="83">
        <v>25</v>
      </c>
      <c r="I153" s="83" t="str">
        <f t="shared" si="22"/>
        <v xml:space="preserve"> Al</v>
      </c>
      <c r="J153" s="83">
        <v>158</v>
      </c>
      <c r="K153" s="26" t="e">
        <f t="shared" si="23"/>
        <v>#N/A</v>
      </c>
      <c r="L153" s="26" t="e">
        <f t="shared" si="24"/>
        <v>#N/A</v>
      </c>
      <c r="M153" s="35" t="str">
        <f t="shared" si="25"/>
        <v/>
      </c>
      <c r="N153" s="26" t="str">
        <f t="shared" si="26"/>
        <v/>
      </c>
      <c r="O153" s="26" t="str">
        <f t="shared" si="27"/>
        <v/>
      </c>
      <c r="P153" s="35" t="str">
        <f>IF(AND($C$24=50,'Beregning AC vern'!U115="IT-230V"),FALSE,IF(AND($A$24=$A153,$B$24=$B153,$C$24=$C153,$D$24=$D153,$E$24=$E153),TRUE,""))</f>
        <v/>
      </c>
      <c r="Q153" s="26" t="b">
        <f t="shared" si="28"/>
        <v>0</v>
      </c>
      <c r="R153" s="26" t="b">
        <f t="shared" si="29"/>
        <v>0</v>
      </c>
    </row>
    <row r="154" spans="1:18" x14ac:dyDescent="0.25">
      <c r="A154" s="83" t="s">
        <v>131</v>
      </c>
      <c r="B154" s="83" t="s">
        <v>219</v>
      </c>
      <c r="C154" s="83">
        <v>25</v>
      </c>
      <c r="D154" s="83">
        <v>9.9</v>
      </c>
      <c r="E154" s="83">
        <v>8.5</v>
      </c>
      <c r="F154" s="83" t="s">
        <v>216</v>
      </c>
      <c r="G154" s="83"/>
      <c r="H154" s="83">
        <v>50</v>
      </c>
      <c r="I154" s="83" t="str">
        <f t="shared" si="22"/>
        <v xml:space="preserve"> Al</v>
      </c>
      <c r="J154" s="83">
        <v>289</v>
      </c>
      <c r="K154" s="26" t="e">
        <f t="shared" si="23"/>
        <v>#N/A</v>
      </c>
      <c r="L154" s="26" t="e">
        <f t="shared" si="24"/>
        <v>#N/A</v>
      </c>
      <c r="M154" s="35" t="str">
        <f t="shared" si="25"/>
        <v/>
      </c>
      <c r="N154" s="26" t="str">
        <f t="shared" si="26"/>
        <v/>
      </c>
      <c r="O154" s="26" t="str">
        <f t="shared" si="27"/>
        <v/>
      </c>
      <c r="P154" s="35" t="str">
        <f>IF(AND($C$24=50,'Beregning AC vern'!U116="IT-230V"),FALSE,IF(AND($A$24=$A154,$B$24=$B154,$C$24=$C154,$D$24=$D154,$E$24=$E154),TRUE,""))</f>
        <v/>
      </c>
      <c r="Q154" s="26" t="b">
        <f t="shared" si="28"/>
        <v>0</v>
      </c>
      <c r="R154" s="26" t="b">
        <f t="shared" si="29"/>
        <v>0</v>
      </c>
    </row>
    <row r="155" spans="1:18" x14ac:dyDescent="0.25">
      <c r="A155" s="83" t="s">
        <v>131</v>
      </c>
      <c r="B155" s="83" t="s">
        <v>219</v>
      </c>
      <c r="C155" s="83">
        <v>32</v>
      </c>
      <c r="D155" s="83">
        <v>9.9</v>
      </c>
      <c r="E155" s="83">
        <v>8.5</v>
      </c>
      <c r="F155" s="83" t="s">
        <v>214</v>
      </c>
      <c r="G155" s="83"/>
      <c r="H155" s="83">
        <v>10</v>
      </c>
      <c r="I155" s="83" t="str">
        <f t="shared" si="22"/>
        <v xml:space="preserve"> Cu</v>
      </c>
      <c r="J155" s="83">
        <v>82</v>
      </c>
      <c r="K155" s="26" t="e">
        <f t="shared" si="23"/>
        <v>#N/A</v>
      </c>
      <c r="L155" s="26" t="e">
        <f t="shared" si="24"/>
        <v>#N/A</v>
      </c>
      <c r="M155" s="35" t="str">
        <f t="shared" si="25"/>
        <v/>
      </c>
      <c r="N155" s="26" t="str">
        <f t="shared" si="26"/>
        <v/>
      </c>
      <c r="O155" s="26" t="str">
        <f t="shared" si="27"/>
        <v/>
      </c>
      <c r="P155" s="35" t="str">
        <f>IF(AND($C$24=50,'Beregning AC vern'!U117="IT-230V"),FALSE,IF(AND($A$24=$A155,$B$24=$B155,$C$24=$C155,$D$24=$D155,$E$24=$E155),TRUE,""))</f>
        <v/>
      </c>
      <c r="Q155" s="26" t="b">
        <f t="shared" si="28"/>
        <v>0</v>
      </c>
      <c r="R155" s="26" t="b">
        <f t="shared" si="29"/>
        <v>0</v>
      </c>
    </row>
    <row r="156" spans="1:18" x14ac:dyDescent="0.25">
      <c r="A156" s="83" t="s">
        <v>131</v>
      </c>
      <c r="B156" s="83" t="s">
        <v>219</v>
      </c>
      <c r="C156" s="83">
        <v>32</v>
      </c>
      <c r="D156" s="83">
        <v>9.9</v>
      </c>
      <c r="E156" s="83">
        <v>8.5</v>
      </c>
      <c r="F156" s="83" t="s">
        <v>215</v>
      </c>
      <c r="G156" s="83"/>
      <c r="H156" s="83">
        <v>25</v>
      </c>
      <c r="I156" s="83" t="str">
        <f t="shared" si="22"/>
        <v xml:space="preserve"> Al</v>
      </c>
      <c r="J156" s="83">
        <v>124</v>
      </c>
      <c r="K156" s="26" t="e">
        <f t="shared" si="23"/>
        <v>#N/A</v>
      </c>
      <c r="L156" s="26" t="e">
        <f t="shared" si="24"/>
        <v>#N/A</v>
      </c>
      <c r="M156" s="35" t="str">
        <f t="shared" si="25"/>
        <v/>
      </c>
      <c r="N156" s="26" t="str">
        <f t="shared" si="26"/>
        <v/>
      </c>
      <c r="O156" s="26" t="str">
        <f t="shared" si="27"/>
        <v/>
      </c>
      <c r="P156" s="35" t="str">
        <f>IF(AND($C$24=50,'Beregning AC vern'!U118="IT-230V"),FALSE,IF(AND($A$24=$A156,$B$24=$B156,$C$24=$C156,$D$24=$D156,$E$24=$E156),TRUE,""))</f>
        <v/>
      </c>
      <c r="Q156" s="26" t="b">
        <f t="shared" si="28"/>
        <v>0</v>
      </c>
      <c r="R156" s="26" t="b">
        <f t="shared" si="29"/>
        <v>0</v>
      </c>
    </row>
    <row r="157" spans="1:18" x14ac:dyDescent="0.25">
      <c r="A157" s="83" t="s">
        <v>131</v>
      </c>
      <c r="B157" s="83" t="s">
        <v>219</v>
      </c>
      <c r="C157" s="83">
        <v>32</v>
      </c>
      <c r="D157" s="83">
        <v>9.9</v>
      </c>
      <c r="E157" s="83">
        <v>8.5</v>
      </c>
      <c r="F157" s="83" t="s">
        <v>216</v>
      </c>
      <c r="G157" s="83"/>
      <c r="H157" s="83">
        <v>50</v>
      </c>
      <c r="I157" s="83" t="str">
        <f t="shared" si="22"/>
        <v xml:space="preserve"> Al</v>
      </c>
      <c r="J157" s="83">
        <v>226</v>
      </c>
      <c r="K157" s="26" t="e">
        <f t="shared" si="23"/>
        <v>#N/A</v>
      </c>
      <c r="L157" s="26" t="e">
        <f t="shared" si="24"/>
        <v>#N/A</v>
      </c>
      <c r="M157" s="35" t="str">
        <f t="shared" si="25"/>
        <v/>
      </c>
      <c r="N157" s="26" t="str">
        <f t="shared" si="26"/>
        <v/>
      </c>
      <c r="O157" s="26" t="str">
        <f t="shared" si="27"/>
        <v/>
      </c>
      <c r="P157" s="35" t="str">
        <f>IF(AND($C$24=50,'Beregning AC vern'!U119="IT-230V"),FALSE,IF(AND($A$24=$A157,$B$24=$B157,$C$24=$C157,$D$24=$D157,$E$24=$E157),TRUE,""))</f>
        <v/>
      </c>
      <c r="Q157" s="26" t="b">
        <f t="shared" si="28"/>
        <v>0</v>
      </c>
      <c r="R157" s="26" t="b">
        <f t="shared" si="29"/>
        <v>0</v>
      </c>
    </row>
    <row r="158" spans="1:18" x14ac:dyDescent="0.25">
      <c r="A158" s="83" t="s">
        <v>131</v>
      </c>
      <c r="B158" s="83" t="s">
        <v>219</v>
      </c>
      <c r="C158" s="83">
        <v>40</v>
      </c>
      <c r="D158" s="83">
        <v>9.9</v>
      </c>
      <c r="E158" s="83">
        <v>8.5</v>
      </c>
      <c r="F158" s="83" t="s">
        <v>217</v>
      </c>
      <c r="G158" s="83"/>
      <c r="H158" s="83">
        <v>16</v>
      </c>
      <c r="I158" s="83" t="str">
        <f t="shared" si="22"/>
        <v xml:space="preserve"> Cu</v>
      </c>
      <c r="J158" s="83">
        <v>103</v>
      </c>
      <c r="K158" s="26" t="e">
        <f t="shared" si="23"/>
        <v>#N/A</v>
      </c>
      <c r="L158" s="26" t="e">
        <f t="shared" si="24"/>
        <v>#N/A</v>
      </c>
      <c r="M158" s="35" t="str">
        <f t="shared" si="25"/>
        <v/>
      </c>
      <c r="N158" s="26" t="str">
        <f t="shared" si="26"/>
        <v/>
      </c>
      <c r="O158" s="26" t="str">
        <f t="shared" si="27"/>
        <v/>
      </c>
      <c r="P158" s="35" t="str">
        <f>IF(AND($C$24=50,'Beregning AC vern'!U120="IT-230V"),FALSE,IF(AND($A$24=$A158,$B$24=$B158,$C$24=$C158,$D$24=$D158,$E$24=$E158),TRUE,""))</f>
        <v/>
      </c>
      <c r="Q158" s="26" t="b">
        <f t="shared" si="28"/>
        <v>0</v>
      </c>
      <c r="R158" s="26" t="b">
        <f t="shared" si="29"/>
        <v>0</v>
      </c>
    </row>
    <row r="159" spans="1:18" x14ac:dyDescent="0.25">
      <c r="A159" s="83" t="s">
        <v>131</v>
      </c>
      <c r="B159" s="83" t="s">
        <v>219</v>
      </c>
      <c r="C159" s="83">
        <v>40</v>
      </c>
      <c r="D159" s="83">
        <v>9.9</v>
      </c>
      <c r="E159" s="83">
        <v>8.5</v>
      </c>
      <c r="F159" s="83" t="s">
        <v>215</v>
      </c>
      <c r="G159" s="83"/>
      <c r="H159" s="83">
        <v>25</v>
      </c>
      <c r="I159" s="83" t="str">
        <f t="shared" si="22"/>
        <v xml:space="preserve"> Al</v>
      </c>
      <c r="J159" s="83">
        <v>99</v>
      </c>
      <c r="K159" s="26" t="e">
        <f t="shared" si="23"/>
        <v>#N/A</v>
      </c>
      <c r="L159" s="26" t="e">
        <f t="shared" si="24"/>
        <v>#N/A</v>
      </c>
      <c r="M159" s="35" t="str">
        <f t="shared" si="25"/>
        <v/>
      </c>
      <c r="N159" s="26" t="str">
        <f t="shared" si="26"/>
        <v/>
      </c>
      <c r="O159" s="26" t="str">
        <f t="shared" si="27"/>
        <v/>
      </c>
      <c r="P159" s="35" t="str">
        <f>IF(AND($C$24=50,'Beregning AC vern'!U121="IT-230V"),FALSE,IF(AND($A$24=$A159,$B$24=$B159,$C$24=$C159,$D$24=$D159,$E$24=$E159),TRUE,""))</f>
        <v/>
      </c>
      <c r="Q159" s="26" t="b">
        <f t="shared" si="28"/>
        <v>0</v>
      </c>
      <c r="R159" s="26" t="b">
        <f t="shared" si="29"/>
        <v>0</v>
      </c>
    </row>
    <row r="160" spans="1:18" x14ac:dyDescent="0.25">
      <c r="A160" s="83" t="s">
        <v>131</v>
      </c>
      <c r="B160" s="83" t="s">
        <v>219</v>
      </c>
      <c r="C160" s="83">
        <v>40</v>
      </c>
      <c r="D160" s="83">
        <v>9.9</v>
      </c>
      <c r="E160" s="83">
        <v>8.5</v>
      </c>
      <c r="F160" s="83" t="s">
        <v>216</v>
      </c>
      <c r="G160" s="83"/>
      <c r="H160" s="83">
        <v>50</v>
      </c>
      <c r="I160" s="83" t="str">
        <f t="shared" si="22"/>
        <v xml:space="preserve"> Al</v>
      </c>
      <c r="J160" s="83">
        <v>180</v>
      </c>
      <c r="K160" s="26" t="e">
        <f t="shared" si="23"/>
        <v>#N/A</v>
      </c>
      <c r="L160" s="26" t="e">
        <f t="shared" si="24"/>
        <v>#N/A</v>
      </c>
      <c r="M160" s="35" t="str">
        <f t="shared" si="25"/>
        <v/>
      </c>
      <c r="N160" s="26" t="str">
        <f t="shared" si="26"/>
        <v/>
      </c>
      <c r="O160" s="26" t="str">
        <f t="shared" si="27"/>
        <v/>
      </c>
      <c r="P160" s="35" t="str">
        <f>IF(AND($C$24=50,'Beregning AC vern'!U122="IT-230V"),FALSE,IF(AND($A$24=$A160,$B$24=$B160,$C$24=$C160,$D$24=$D160,$E$24=$E160),TRUE,""))</f>
        <v/>
      </c>
      <c r="Q160" s="26" t="b">
        <f t="shared" si="28"/>
        <v>0</v>
      </c>
      <c r="R160" s="26" t="b">
        <f t="shared" si="29"/>
        <v>0</v>
      </c>
    </row>
    <row r="161" spans="1:28" x14ac:dyDescent="0.25">
      <c r="A161" s="83" t="s">
        <v>131</v>
      </c>
      <c r="B161" s="83" t="s">
        <v>219</v>
      </c>
      <c r="C161" s="83">
        <v>50</v>
      </c>
      <c r="D161" s="83">
        <v>9.9</v>
      </c>
      <c r="E161" s="83">
        <v>8.5</v>
      </c>
      <c r="F161" s="83" t="s">
        <v>216</v>
      </c>
      <c r="G161" s="83"/>
      <c r="H161" s="83">
        <v>50</v>
      </c>
      <c r="I161" s="83" t="str">
        <f t="shared" si="22"/>
        <v xml:space="preserve"> Al</v>
      </c>
      <c r="J161" s="83">
        <v>26</v>
      </c>
      <c r="K161" s="26" t="e">
        <f t="shared" si="23"/>
        <v>#N/A</v>
      </c>
      <c r="L161" s="26" t="e">
        <f t="shared" si="24"/>
        <v>#N/A</v>
      </c>
      <c r="M161" s="35" t="str">
        <f t="shared" si="25"/>
        <v/>
      </c>
      <c r="N161" s="26" t="str">
        <f t="shared" si="26"/>
        <v/>
      </c>
      <c r="O161" s="26" t="str">
        <f t="shared" si="27"/>
        <v/>
      </c>
      <c r="P161" s="35" t="str">
        <f>IF(AND($C$24=50,'Beregning AC vern'!U123="IT-230V"),FALSE,IF(AND($A$24=$A161,$B$24=$B161,$C$24=$C161,$D$24=$D161,$E$24=$E161),TRUE,""))</f>
        <v/>
      </c>
      <c r="Q161" s="26" t="b">
        <f t="shared" si="28"/>
        <v>0</v>
      </c>
      <c r="R161" s="26" t="b">
        <f t="shared" si="29"/>
        <v>0</v>
      </c>
    </row>
    <row r="162" spans="1:28" ht="15.75" thickBot="1" x14ac:dyDescent="0.3">
      <c r="A162" s="181" t="s">
        <v>190</v>
      </c>
      <c r="B162" s="181" t="s">
        <v>243</v>
      </c>
      <c r="C162" s="181" t="s">
        <v>206</v>
      </c>
      <c r="D162" s="181" t="s">
        <v>207</v>
      </c>
      <c r="E162" s="181" t="s">
        <v>208</v>
      </c>
      <c r="F162" s="181" t="s">
        <v>209</v>
      </c>
      <c r="G162" s="181"/>
      <c r="H162" s="170" t="s">
        <v>229</v>
      </c>
      <c r="I162" s="170" t="s">
        <v>230</v>
      </c>
      <c r="J162" s="181" t="s">
        <v>210</v>
      </c>
      <c r="K162" s="26" t="e">
        <f t="shared" si="23"/>
        <v>#N/A</v>
      </c>
      <c r="L162" s="26" t="e">
        <f t="shared" si="24"/>
        <v>#N/A</v>
      </c>
      <c r="M162" s="35" t="str">
        <f t="shared" si="25"/>
        <v/>
      </c>
      <c r="N162" s="26" t="str">
        <f t="shared" si="26"/>
        <v/>
      </c>
      <c r="O162" s="26" t="str">
        <f t="shared" si="27"/>
        <v/>
      </c>
      <c r="P162" s="35" t="str">
        <f>IF(AND($C$24=50,'Beregning AC vern'!U124="IT-230V"),FALSE,IF(AND($A$24=$A162,$B$24=$B162,$C$24=$C162,$D$24=$D162,$E$24=$E162),TRUE,""))</f>
        <v/>
      </c>
      <c r="Q162" s="26" t="b">
        <f t="shared" si="28"/>
        <v>0</v>
      </c>
      <c r="R162" s="26" t="b">
        <f t="shared" si="29"/>
        <v>0</v>
      </c>
    </row>
    <row r="163" spans="1:28" x14ac:dyDescent="0.25">
      <c r="A163" s="83" t="s">
        <v>130</v>
      </c>
      <c r="B163" s="83" t="s">
        <v>222</v>
      </c>
      <c r="C163" s="83">
        <v>25</v>
      </c>
      <c r="D163" s="83">
        <v>9.9</v>
      </c>
      <c r="E163" s="83">
        <v>0.25</v>
      </c>
      <c r="F163" s="83" t="s">
        <v>212</v>
      </c>
      <c r="G163" s="83"/>
      <c r="H163" s="83">
        <v>6</v>
      </c>
      <c r="I163" s="83" t="str">
        <f t="shared" ref="I163:I226" si="30">MID(F163,6,3)</f>
        <v>Cu</v>
      </c>
      <c r="J163" s="175">
        <v>58</v>
      </c>
      <c r="K163" s="26" t="e">
        <f t="shared" si="23"/>
        <v>#N/A</v>
      </c>
      <c r="L163" s="26" t="e">
        <f t="shared" si="24"/>
        <v>#N/A</v>
      </c>
      <c r="M163" s="35" t="str">
        <f t="shared" si="25"/>
        <v/>
      </c>
      <c r="N163" s="26" t="str">
        <f t="shared" si="26"/>
        <v/>
      </c>
      <c r="O163" s="26" t="str">
        <f t="shared" si="27"/>
        <v/>
      </c>
      <c r="P163" s="35" t="str">
        <f>IF(AND($C$24=50,'Beregning AC vern'!U125="IT-230V"),FALSE,IF(AND($A$24=$A163,$B$24=$B163,$C$24=$C163,$D$24=$D163,$E$24=$E163),TRUE,""))</f>
        <v/>
      </c>
      <c r="Q163" s="26" t="b">
        <f t="shared" si="28"/>
        <v>0</v>
      </c>
      <c r="R163" s="26" t="b">
        <f t="shared" si="29"/>
        <v>0</v>
      </c>
      <c r="V163" s="250" t="s">
        <v>199</v>
      </c>
      <c r="W163" s="251"/>
      <c r="X163" s="164" t="s">
        <v>200</v>
      </c>
      <c r="Y163" s="164" t="s">
        <v>201</v>
      </c>
      <c r="Z163" s="164"/>
      <c r="AA163" s="164"/>
      <c r="AB163" s="165" t="s">
        <v>202</v>
      </c>
    </row>
    <row r="164" spans="1:28" ht="15.75" thickBot="1" x14ac:dyDescent="0.3">
      <c r="A164" s="83" t="s">
        <v>130</v>
      </c>
      <c r="B164" s="83" t="s">
        <v>222</v>
      </c>
      <c r="C164" s="83">
        <v>25</v>
      </c>
      <c r="D164" s="83">
        <v>9.9</v>
      </c>
      <c r="E164" s="83">
        <v>0.25</v>
      </c>
      <c r="F164" s="83" t="s">
        <v>214</v>
      </c>
      <c r="G164" s="83"/>
      <c r="H164" s="83">
        <v>10</v>
      </c>
      <c r="I164" s="83" t="str">
        <f t="shared" si="30"/>
        <v xml:space="preserve"> Cu</v>
      </c>
      <c r="J164" s="175">
        <v>98</v>
      </c>
      <c r="K164" s="26" t="e">
        <f t="shared" si="23"/>
        <v>#N/A</v>
      </c>
      <c r="L164" s="26" t="e">
        <f t="shared" si="24"/>
        <v>#N/A</v>
      </c>
      <c r="M164" s="35" t="str">
        <f t="shared" si="25"/>
        <v/>
      </c>
      <c r="N164" s="26" t="str">
        <f t="shared" si="26"/>
        <v/>
      </c>
      <c r="O164" s="26" t="str">
        <f t="shared" si="27"/>
        <v/>
      </c>
      <c r="P164" s="35" t="str">
        <f>IF(AND($C$24=50,'Beregning AC vern'!U126="IT-230V"),FALSE,IF(AND($A$24=$A164,$B$24=$B164,$C$24=$C164,$D$24=$D164,$E$24=$E164),TRUE,""))</f>
        <v/>
      </c>
      <c r="Q164" s="26" t="b">
        <f t="shared" si="28"/>
        <v>0</v>
      </c>
      <c r="R164" s="26" t="b">
        <f t="shared" si="29"/>
        <v>0</v>
      </c>
      <c r="V164" s="253" t="s">
        <v>203</v>
      </c>
      <c r="W164" s="254"/>
      <c r="X164" s="168"/>
      <c r="Y164" s="168" t="s">
        <v>204</v>
      </c>
      <c r="Z164" s="168"/>
      <c r="AA164" s="168"/>
      <c r="AB164" s="169" t="s">
        <v>205</v>
      </c>
    </row>
    <row r="165" spans="1:28" ht="15.75" thickBot="1" x14ac:dyDescent="0.3">
      <c r="A165" s="83" t="s">
        <v>130</v>
      </c>
      <c r="B165" s="83" t="s">
        <v>222</v>
      </c>
      <c r="C165" s="83">
        <v>25</v>
      </c>
      <c r="D165" s="83">
        <v>9.9</v>
      </c>
      <c r="E165" s="83">
        <v>0.25</v>
      </c>
      <c r="F165" s="83" t="s">
        <v>215</v>
      </c>
      <c r="G165" s="83"/>
      <c r="H165" s="83">
        <v>25</v>
      </c>
      <c r="I165" s="83" t="str">
        <f t="shared" si="30"/>
        <v xml:space="preserve"> Al</v>
      </c>
      <c r="J165" s="175">
        <v>145</v>
      </c>
      <c r="K165" s="26" t="e">
        <f t="shared" si="23"/>
        <v>#N/A</v>
      </c>
      <c r="L165" s="26" t="e">
        <f t="shared" si="24"/>
        <v>#N/A</v>
      </c>
      <c r="M165" s="35" t="str">
        <f t="shared" si="25"/>
        <v/>
      </c>
      <c r="N165" s="26" t="str">
        <f t="shared" si="26"/>
        <v/>
      </c>
      <c r="O165" s="26" t="str">
        <f t="shared" si="27"/>
        <v/>
      </c>
      <c r="P165" s="35" t="str">
        <f>IF(AND($C$24=50,'Beregning AC vern'!U127="IT-230V"),FALSE,IF(AND($A$24=$A165,$B$24=$B165,$C$24=$C165,$D$24=$D165,$E$24=$E165),TRUE,""))</f>
        <v/>
      </c>
      <c r="Q165" s="26" t="b">
        <f t="shared" si="28"/>
        <v>0</v>
      </c>
      <c r="R165" s="26" t="b">
        <f t="shared" si="29"/>
        <v>0</v>
      </c>
      <c r="V165" s="257" t="s">
        <v>222</v>
      </c>
      <c r="W165" s="258"/>
      <c r="X165" s="44"/>
      <c r="Y165" s="44"/>
      <c r="Z165" s="44"/>
      <c r="AA165" s="44"/>
      <c r="AB165" s="45"/>
    </row>
    <row r="166" spans="1:28" x14ac:dyDescent="0.25">
      <c r="A166" s="83" t="s">
        <v>130</v>
      </c>
      <c r="B166" s="83" t="s">
        <v>222</v>
      </c>
      <c r="C166" s="83">
        <v>25</v>
      </c>
      <c r="D166" s="83">
        <v>9.9</v>
      </c>
      <c r="E166" s="83">
        <v>0.25</v>
      </c>
      <c r="F166" s="83" t="s">
        <v>216</v>
      </c>
      <c r="G166" s="83"/>
      <c r="H166" s="83">
        <v>50</v>
      </c>
      <c r="I166" s="83" t="str">
        <f t="shared" si="30"/>
        <v xml:space="preserve"> Al</v>
      </c>
      <c r="J166" s="175">
        <v>260</v>
      </c>
      <c r="K166" s="26" t="e">
        <f t="shared" si="23"/>
        <v>#N/A</v>
      </c>
      <c r="L166" s="26" t="e">
        <f t="shared" si="24"/>
        <v>#N/A</v>
      </c>
      <c r="M166" s="35" t="str">
        <f t="shared" si="25"/>
        <v/>
      </c>
      <c r="N166" s="26" t="str">
        <f t="shared" si="26"/>
        <v/>
      </c>
      <c r="O166" s="26" t="str">
        <f t="shared" si="27"/>
        <v/>
      </c>
      <c r="P166" s="35" t="str">
        <f>IF(AND($C$24=50,'Beregning AC vern'!U128="IT-230V"),FALSE,IF(AND($A$24=$A166,$B$24=$B166,$C$24=$C166,$D$24=$D166,$E$24=$E166),TRUE,""))</f>
        <v/>
      </c>
      <c r="Q166" s="26" t="b">
        <f t="shared" si="28"/>
        <v>0</v>
      </c>
      <c r="R166" s="26" t="b">
        <f t="shared" si="29"/>
        <v>0</v>
      </c>
    </row>
    <row r="167" spans="1:28" x14ac:dyDescent="0.25">
      <c r="A167" s="83" t="s">
        <v>130</v>
      </c>
      <c r="B167" s="83" t="s">
        <v>222</v>
      </c>
      <c r="C167" s="83">
        <v>32</v>
      </c>
      <c r="D167" s="83">
        <v>9.9</v>
      </c>
      <c r="E167" s="83">
        <v>0.25</v>
      </c>
      <c r="F167" s="83" t="s">
        <v>214</v>
      </c>
      <c r="G167" s="83"/>
      <c r="H167" s="83">
        <v>10</v>
      </c>
      <c r="I167" s="83" t="str">
        <f t="shared" si="30"/>
        <v xml:space="preserve"> Cu</v>
      </c>
      <c r="J167" s="175">
        <v>55</v>
      </c>
      <c r="K167" s="26" t="e">
        <f t="shared" si="23"/>
        <v>#N/A</v>
      </c>
      <c r="L167" s="26" t="e">
        <f t="shared" si="24"/>
        <v>#N/A</v>
      </c>
      <c r="M167" s="35" t="str">
        <f t="shared" si="25"/>
        <v/>
      </c>
      <c r="N167" s="26" t="str">
        <f t="shared" si="26"/>
        <v/>
      </c>
      <c r="O167" s="26" t="str">
        <f t="shared" si="27"/>
        <v/>
      </c>
      <c r="P167" s="35" t="str">
        <f>IF(AND($C$24=50,'Beregning AC vern'!U129="IT-230V"),FALSE,IF(AND($A$24=$A167,$B$24=$B167,$C$24=$C167,$D$24=$D167,$E$24=$E167),TRUE,""))</f>
        <v/>
      </c>
      <c r="Q167" s="26" t="b">
        <f t="shared" si="28"/>
        <v>0</v>
      </c>
      <c r="R167" s="26" t="b">
        <f t="shared" si="29"/>
        <v>0</v>
      </c>
    </row>
    <row r="168" spans="1:28" x14ac:dyDescent="0.25">
      <c r="A168" s="83" t="s">
        <v>130</v>
      </c>
      <c r="B168" s="83" t="s">
        <v>222</v>
      </c>
      <c r="C168" s="83">
        <v>32</v>
      </c>
      <c r="D168" s="83">
        <v>9.9</v>
      </c>
      <c r="E168" s="83">
        <v>0.25</v>
      </c>
      <c r="F168" s="83" t="s">
        <v>215</v>
      </c>
      <c r="G168" s="83"/>
      <c r="H168" s="83">
        <v>25</v>
      </c>
      <c r="I168" s="83" t="str">
        <f t="shared" si="30"/>
        <v xml:space="preserve"> Al</v>
      </c>
      <c r="J168" s="175">
        <v>82</v>
      </c>
      <c r="K168" s="26" t="e">
        <f t="shared" ref="K168:K231" si="31">IF(AND($A$20=$A168,$B$20=$B168,$C$20=$C168,$D$20=$D168,$E$20=$E168,$F$20=$F168),TRUE,"")</f>
        <v>#N/A</v>
      </c>
      <c r="L168" s="26" t="e">
        <f t="shared" ref="L168:L231" si="32">IF(K168=TRUE,J168,"")</f>
        <v>#N/A</v>
      </c>
      <c r="M168" s="35" t="str">
        <f t="shared" ref="M168:M231" si="33">IF(AND($A$21=$A168,$B$21=$B168,$C$21=$C168,$D$21=$D168,$E$21=$E168,$J$7&lt;=J168),TRUE,"")</f>
        <v/>
      </c>
      <c r="N168" s="26" t="str">
        <f t="shared" ref="N168:N231" si="34">IF(M168=TRUE,J168,"")</f>
        <v/>
      </c>
      <c r="O168" s="26" t="str">
        <f t="shared" ref="O168:O231" si="35">IF(M168=TRUE,F168,"")</f>
        <v/>
      </c>
      <c r="P168" s="35" t="str">
        <f>IF(AND($C$24=50,'Beregning AC vern'!U130="IT-230V"),FALSE,IF(AND($A$24=$A168,$B$24=$B168,$C$24=$C168,$D$24=$D168,$E$24=$E168),TRUE,""))</f>
        <v/>
      </c>
      <c r="Q168" s="26" t="b">
        <f t="shared" ref="Q168:Q231" si="36">IF(P168=TRUE,J168,IF(P168=FALSE,FALSE))</f>
        <v>0</v>
      </c>
      <c r="R168" s="26" t="b">
        <f t="shared" ref="R168:R231" si="37">IF(P168=TRUE,F168,IF(P168=FALSE,"Data mangler"))</f>
        <v>0</v>
      </c>
    </row>
    <row r="169" spans="1:28" x14ac:dyDescent="0.25">
      <c r="A169" s="83" t="s">
        <v>130</v>
      </c>
      <c r="B169" s="83" t="s">
        <v>222</v>
      </c>
      <c r="C169" s="83">
        <v>32</v>
      </c>
      <c r="D169" s="83">
        <v>9.9</v>
      </c>
      <c r="E169" s="83">
        <v>0.25</v>
      </c>
      <c r="F169" s="83" t="s">
        <v>216</v>
      </c>
      <c r="G169" s="83"/>
      <c r="H169" s="83">
        <v>50</v>
      </c>
      <c r="I169" s="83" t="str">
        <f t="shared" si="30"/>
        <v xml:space="preserve"> Al</v>
      </c>
      <c r="J169" s="175">
        <v>150</v>
      </c>
      <c r="K169" s="26" t="e">
        <f t="shared" si="31"/>
        <v>#N/A</v>
      </c>
      <c r="L169" s="26" t="e">
        <f t="shared" si="32"/>
        <v>#N/A</v>
      </c>
      <c r="M169" s="35" t="str">
        <f t="shared" si="33"/>
        <v/>
      </c>
      <c r="N169" s="26" t="str">
        <f t="shared" si="34"/>
        <v/>
      </c>
      <c r="O169" s="26" t="str">
        <f t="shared" si="35"/>
        <v/>
      </c>
      <c r="P169" s="35" t="str">
        <f>IF(AND($C$24=50,'Beregning AC vern'!U131="IT-230V"),FALSE,IF(AND($A$24=$A169,$B$24=$B169,$C$24=$C169,$D$24=$D169,$E$24=$E169),TRUE,""))</f>
        <v/>
      </c>
      <c r="Q169" s="26" t="b">
        <f t="shared" si="36"/>
        <v>0</v>
      </c>
      <c r="R169" s="26" t="b">
        <f t="shared" si="37"/>
        <v>0</v>
      </c>
    </row>
    <row r="170" spans="1:28" x14ac:dyDescent="0.25">
      <c r="A170" s="83" t="s">
        <v>130</v>
      </c>
      <c r="B170" s="83" t="s">
        <v>222</v>
      </c>
      <c r="C170" s="83">
        <v>40</v>
      </c>
      <c r="D170" s="83">
        <v>9.9</v>
      </c>
      <c r="E170" s="83">
        <v>0.25</v>
      </c>
      <c r="F170" s="83" t="s">
        <v>217</v>
      </c>
      <c r="G170" s="83"/>
      <c r="H170" s="83">
        <v>16</v>
      </c>
      <c r="I170" s="83" t="str">
        <f t="shared" si="30"/>
        <v xml:space="preserve"> Cu</v>
      </c>
      <c r="J170" s="175">
        <v>37</v>
      </c>
      <c r="K170" s="26" t="e">
        <f t="shared" si="31"/>
        <v>#N/A</v>
      </c>
      <c r="L170" s="26" t="e">
        <f t="shared" si="32"/>
        <v>#N/A</v>
      </c>
      <c r="M170" s="35" t="str">
        <f t="shared" si="33"/>
        <v/>
      </c>
      <c r="N170" s="26" t="str">
        <f t="shared" si="34"/>
        <v/>
      </c>
      <c r="O170" s="26" t="str">
        <f t="shared" si="35"/>
        <v/>
      </c>
      <c r="P170" s="35" t="str">
        <f>IF(AND($C$24=50,'Beregning AC vern'!U132="IT-230V"),FALSE,IF(AND($A$24=$A170,$B$24=$B170,$C$24=$C170,$D$24=$D170,$E$24=$E170),TRUE,""))</f>
        <v/>
      </c>
      <c r="Q170" s="26" t="b">
        <f t="shared" si="36"/>
        <v>0</v>
      </c>
      <c r="R170" s="26" t="b">
        <f t="shared" si="37"/>
        <v>0</v>
      </c>
    </row>
    <row r="171" spans="1:28" x14ac:dyDescent="0.25">
      <c r="A171" s="83" t="s">
        <v>130</v>
      </c>
      <c r="B171" s="83" t="s">
        <v>222</v>
      </c>
      <c r="C171" s="83">
        <v>40</v>
      </c>
      <c r="D171" s="83">
        <v>9.9</v>
      </c>
      <c r="E171" s="83">
        <v>0.25</v>
      </c>
      <c r="F171" s="83" t="s">
        <v>215</v>
      </c>
      <c r="G171" s="83"/>
      <c r="H171" s="83">
        <v>25</v>
      </c>
      <c r="I171" s="83" t="str">
        <f t="shared" si="30"/>
        <v xml:space="preserve"> Al</v>
      </c>
      <c r="J171" s="175">
        <v>37</v>
      </c>
      <c r="K171" s="26" t="e">
        <f t="shared" si="31"/>
        <v>#N/A</v>
      </c>
      <c r="L171" s="26" t="e">
        <f t="shared" si="32"/>
        <v>#N/A</v>
      </c>
      <c r="M171" s="35" t="str">
        <f t="shared" si="33"/>
        <v/>
      </c>
      <c r="N171" s="26" t="str">
        <f t="shared" si="34"/>
        <v/>
      </c>
      <c r="O171" s="26" t="str">
        <f t="shared" si="35"/>
        <v/>
      </c>
      <c r="P171" s="35" t="str">
        <f>IF(AND($C$24=50,'Beregning AC vern'!U133="IT-230V"),FALSE,IF(AND($A$24=$A171,$B$24=$B171,$C$24=$C171,$D$24=$D171,$E$24=$E171),TRUE,""))</f>
        <v/>
      </c>
      <c r="Q171" s="26" t="b">
        <f t="shared" si="36"/>
        <v>0</v>
      </c>
      <c r="R171" s="26" t="b">
        <f t="shared" si="37"/>
        <v>0</v>
      </c>
    </row>
    <row r="172" spans="1:28" x14ac:dyDescent="0.25">
      <c r="A172" s="83" t="s">
        <v>130</v>
      </c>
      <c r="B172" s="83" t="s">
        <v>222</v>
      </c>
      <c r="C172" s="83">
        <v>40</v>
      </c>
      <c r="D172" s="83">
        <v>9.9</v>
      </c>
      <c r="E172" s="83">
        <v>0.25</v>
      </c>
      <c r="F172" s="83" t="s">
        <v>216</v>
      </c>
      <c r="G172" s="83"/>
      <c r="H172" s="83">
        <v>50</v>
      </c>
      <c r="I172" s="83" t="str">
        <f t="shared" si="30"/>
        <v xml:space="preserve"> Al</v>
      </c>
      <c r="J172" s="175">
        <v>68</v>
      </c>
      <c r="K172" s="26" t="e">
        <f t="shared" si="31"/>
        <v>#N/A</v>
      </c>
      <c r="L172" s="26" t="e">
        <f t="shared" si="32"/>
        <v>#N/A</v>
      </c>
      <c r="M172" s="35" t="str">
        <f t="shared" si="33"/>
        <v/>
      </c>
      <c r="N172" s="26" t="str">
        <f t="shared" si="34"/>
        <v/>
      </c>
      <c r="O172" s="26" t="str">
        <f t="shared" si="35"/>
        <v/>
      </c>
      <c r="P172" s="35" t="str">
        <f>IF(AND($C$24=50,'Beregning AC vern'!U134="IT-230V"),FALSE,IF(AND($A$24=$A172,$B$24=$B172,$C$24=$C172,$D$24=$D172,$E$24=$E172),TRUE,""))</f>
        <v/>
      </c>
      <c r="Q172" s="26" t="b">
        <f t="shared" si="36"/>
        <v>0</v>
      </c>
      <c r="R172" s="26" t="b">
        <f t="shared" si="37"/>
        <v>0</v>
      </c>
    </row>
    <row r="173" spans="1:28" x14ac:dyDescent="0.25">
      <c r="A173" s="83" t="s">
        <v>130</v>
      </c>
      <c r="B173" s="83" t="s">
        <v>222</v>
      </c>
      <c r="C173" s="83">
        <v>25</v>
      </c>
      <c r="D173" s="83">
        <v>9.9</v>
      </c>
      <c r="E173" s="83">
        <v>0.5</v>
      </c>
      <c r="F173" s="83" t="s">
        <v>212</v>
      </c>
      <c r="G173" s="83"/>
      <c r="H173" s="83">
        <v>6</v>
      </c>
      <c r="I173" s="83" t="str">
        <f t="shared" si="30"/>
        <v>Cu</v>
      </c>
      <c r="J173" s="175">
        <v>62</v>
      </c>
      <c r="K173" s="26" t="e">
        <f t="shared" si="31"/>
        <v>#N/A</v>
      </c>
      <c r="L173" s="26" t="e">
        <f t="shared" si="32"/>
        <v>#N/A</v>
      </c>
      <c r="M173" s="35" t="str">
        <f t="shared" si="33"/>
        <v/>
      </c>
      <c r="N173" s="26" t="str">
        <f t="shared" si="34"/>
        <v/>
      </c>
      <c r="O173" s="26" t="str">
        <f t="shared" si="35"/>
        <v/>
      </c>
      <c r="P173" s="35" t="str">
        <f>IF(AND($C$24=50,'Beregning AC vern'!U135="IT-230V"),FALSE,IF(AND($A$24=$A173,$B$24=$B173,$C$24=$C173,$D$24=$D173,$E$24=$E173),TRUE,""))</f>
        <v/>
      </c>
      <c r="Q173" s="26" t="b">
        <f t="shared" si="36"/>
        <v>0</v>
      </c>
      <c r="R173" s="26" t="b">
        <f t="shared" si="37"/>
        <v>0</v>
      </c>
    </row>
    <row r="174" spans="1:28" x14ac:dyDescent="0.25">
      <c r="A174" s="83" t="s">
        <v>130</v>
      </c>
      <c r="B174" s="83" t="s">
        <v>222</v>
      </c>
      <c r="C174" s="83">
        <v>25</v>
      </c>
      <c r="D174" s="83">
        <v>9.9</v>
      </c>
      <c r="E174" s="83">
        <v>0.5</v>
      </c>
      <c r="F174" s="83" t="s">
        <v>214</v>
      </c>
      <c r="G174" s="83"/>
      <c r="H174" s="83">
        <v>10</v>
      </c>
      <c r="I174" s="83" t="str">
        <f t="shared" si="30"/>
        <v xml:space="preserve"> Cu</v>
      </c>
      <c r="J174" s="83">
        <v>104</v>
      </c>
      <c r="K174" s="26" t="e">
        <f t="shared" si="31"/>
        <v>#N/A</v>
      </c>
      <c r="L174" s="26" t="e">
        <f t="shared" si="32"/>
        <v>#N/A</v>
      </c>
      <c r="M174" s="35" t="str">
        <f t="shared" si="33"/>
        <v/>
      </c>
      <c r="N174" s="26" t="str">
        <f t="shared" si="34"/>
        <v/>
      </c>
      <c r="O174" s="26" t="str">
        <f t="shared" si="35"/>
        <v/>
      </c>
      <c r="P174" s="35" t="str">
        <f>IF(AND($C$24=50,'Beregning AC vern'!U136="IT-230V"),FALSE,IF(AND($A$24=$A174,$B$24=$B174,$C$24=$C174,$D$24=$D174,$E$24=$E174),TRUE,""))</f>
        <v/>
      </c>
      <c r="Q174" s="26" t="b">
        <f t="shared" si="36"/>
        <v>0</v>
      </c>
      <c r="R174" s="26" t="b">
        <f t="shared" si="37"/>
        <v>0</v>
      </c>
    </row>
    <row r="175" spans="1:28" x14ac:dyDescent="0.25">
      <c r="A175" s="83" t="s">
        <v>130</v>
      </c>
      <c r="B175" s="83" t="s">
        <v>222</v>
      </c>
      <c r="C175" s="83">
        <v>25</v>
      </c>
      <c r="D175" s="83">
        <v>9.9</v>
      </c>
      <c r="E175" s="83">
        <v>0.5</v>
      </c>
      <c r="F175" s="83" t="s">
        <v>215</v>
      </c>
      <c r="G175" s="83"/>
      <c r="H175" s="83">
        <v>25</v>
      </c>
      <c r="I175" s="83" t="str">
        <f t="shared" si="30"/>
        <v xml:space="preserve"> Al</v>
      </c>
      <c r="J175" s="83">
        <v>155</v>
      </c>
      <c r="K175" s="26" t="e">
        <f t="shared" si="31"/>
        <v>#N/A</v>
      </c>
      <c r="L175" s="26" t="e">
        <f t="shared" si="32"/>
        <v>#N/A</v>
      </c>
      <c r="M175" s="35" t="str">
        <f t="shared" si="33"/>
        <v/>
      </c>
      <c r="N175" s="26" t="str">
        <f t="shared" si="34"/>
        <v/>
      </c>
      <c r="O175" s="26" t="str">
        <f t="shared" si="35"/>
        <v/>
      </c>
      <c r="P175" s="35" t="str">
        <f>IF(AND($C$24=50,'Beregning AC vern'!U137="IT-230V"),FALSE,IF(AND($A$24=$A175,$B$24=$B175,$C$24=$C175,$D$24=$D175,$E$24=$E175),TRUE,""))</f>
        <v/>
      </c>
      <c r="Q175" s="26" t="b">
        <f t="shared" si="36"/>
        <v>0</v>
      </c>
      <c r="R175" s="26" t="b">
        <f t="shared" si="37"/>
        <v>0</v>
      </c>
    </row>
    <row r="176" spans="1:28" x14ac:dyDescent="0.25">
      <c r="A176" s="83" t="s">
        <v>130</v>
      </c>
      <c r="B176" s="83" t="s">
        <v>222</v>
      </c>
      <c r="C176" s="83">
        <v>25</v>
      </c>
      <c r="D176" s="83">
        <v>9.9</v>
      </c>
      <c r="E176" s="83">
        <v>0.5</v>
      </c>
      <c r="F176" s="83" t="s">
        <v>216</v>
      </c>
      <c r="G176" s="83"/>
      <c r="H176" s="83">
        <v>50</v>
      </c>
      <c r="I176" s="83" t="str">
        <f t="shared" si="30"/>
        <v xml:space="preserve"> Al</v>
      </c>
      <c r="J176" s="83">
        <v>280</v>
      </c>
      <c r="K176" s="26" t="e">
        <f t="shared" si="31"/>
        <v>#N/A</v>
      </c>
      <c r="L176" s="26" t="e">
        <f t="shared" si="32"/>
        <v>#N/A</v>
      </c>
      <c r="M176" s="35" t="str">
        <f t="shared" si="33"/>
        <v/>
      </c>
      <c r="N176" s="26" t="str">
        <f t="shared" si="34"/>
        <v/>
      </c>
      <c r="O176" s="26" t="str">
        <f t="shared" si="35"/>
        <v/>
      </c>
      <c r="P176" s="35" t="str">
        <f>IF(AND($C$24=50,'Beregning AC vern'!U138="IT-230V"),FALSE,IF(AND($A$24=$A176,$B$24=$B176,$C$24=$C176,$D$24=$D176,$E$24=$E176),TRUE,""))</f>
        <v/>
      </c>
      <c r="Q176" s="26" t="b">
        <f t="shared" si="36"/>
        <v>0</v>
      </c>
      <c r="R176" s="26" t="b">
        <f t="shared" si="37"/>
        <v>0</v>
      </c>
    </row>
    <row r="177" spans="1:18" x14ac:dyDescent="0.25">
      <c r="A177" s="83" t="s">
        <v>130</v>
      </c>
      <c r="B177" s="83" t="s">
        <v>222</v>
      </c>
      <c r="C177" s="83">
        <v>32</v>
      </c>
      <c r="D177" s="83">
        <v>9.9</v>
      </c>
      <c r="E177" s="83">
        <v>0.5</v>
      </c>
      <c r="F177" s="83" t="s">
        <v>214</v>
      </c>
      <c r="G177" s="83"/>
      <c r="H177" s="83">
        <v>10</v>
      </c>
      <c r="I177" s="83" t="str">
        <f t="shared" si="30"/>
        <v xml:space="preserve"> Cu</v>
      </c>
      <c r="J177" s="83">
        <v>82</v>
      </c>
      <c r="K177" s="26" t="e">
        <f t="shared" si="31"/>
        <v>#N/A</v>
      </c>
      <c r="L177" s="26" t="e">
        <f t="shared" si="32"/>
        <v>#N/A</v>
      </c>
      <c r="M177" s="35" t="str">
        <f t="shared" si="33"/>
        <v/>
      </c>
      <c r="N177" s="26" t="str">
        <f t="shared" si="34"/>
        <v/>
      </c>
      <c r="O177" s="26" t="str">
        <f t="shared" si="35"/>
        <v/>
      </c>
      <c r="P177" s="35" t="str">
        <f>IF(AND($C$24=50,'Beregning AC vern'!U139="IT-230V"),FALSE,IF(AND($A$24=$A177,$B$24=$B177,$C$24=$C177,$D$24=$D177,$E$24=$E177),TRUE,""))</f>
        <v/>
      </c>
      <c r="Q177" s="26" t="b">
        <f t="shared" si="36"/>
        <v>0</v>
      </c>
      <c r="R177" s="26" t="b">
        <f t="shared" si="37"/>
        <v>0</v>
      </c>
    </row>
    <row r="178" spans="1:18" x14ac:dyDescent="0.25">
      <c r="A178" s="83" t="s">
        <v>130</v>
      </c>
      <c r="B178" s="83" t="s">
        <v>222</v>
      </c>
      <c r="C178" s="83">
        <v>32</v>
      </c>
      <c r="D178" s="83">
        <v>9.9</v>
      </c>
      <c r="E178" s="83">
        <v>0.5</v>
      </c>
      <c r="F178" s="83" t="s">
        <v>215</v>
      </c>
      <c r="G178" s="83"/>
      <c r="H178" s="83">
        <v>25</v>
      </c>
      <c r="I178" s="83" t="str">
        <f t="shared" si="30"/>
        <v xml:space="preserve"> Al</v>
      </c>
      <c r="J178" s="83">
        <v>118</v>
      </c>
      <c r="K178" s="26" t="e">
        <f t="shared" si="31"/>
        <v>#N/A</v>
      </c>
      <c r="L178" s="26" t="e">
        <f t="shared" si="32"/>
        <v>#N/A</v>
      </c>
      <c r="M178" s="35" t="str">
        <f t="shared" si="33"/>
        <v/>
      </c>
      <c r="N178" s="26" t="str">
        <f t="shared" si="34"/>
        <v/>
      </c>
      <c r="O178" s="26" t="str">
        <f t="shared" si="35"/>
        <v/>
      </c>
      <c r="P178" s="35" t="str">
        <f>IF(AND($C$24=50,'Beregning AC vern'!U140="IT-230V"),FALSE,IF(AND($A$24=$A178,$B$24=$B178,$C$24=$C178,$D$24=$D178,$E$24=$E178),TRUE,""))</f>
        <v/>
      </c>
      <c r="Q178" s="26" t="b">
        <f t="shared" si="36"/>
        <v>0</v>
      </c>
      <c r="R178" s="26" t="b">
        <f t="shared" si="37"/>
        <v>0</v>
      </c>
    </row>
    <row r="179" spans="1:18" x14ac:dyDescent="0.25">
      <c r="A179" s="83" t="s">
        <v>130</v>
      </c>
      <c r="B179" s="83" t="s">
        <v>222</v>
      </c>
      <c r="C179" s="83">
        <v>32</v>
      </c>
      <c r="D179" s="83">
        <v>9.9</v>
      </c>
      <c r="E179" s="83">
        <v>0.5</v>
      </c>
      <c r="F179" s="83" t="s">
        <v>216</v>
      </c>
      <c r="G179" s="83"/>
      <c r="H179" s="83">
        <v>50</v>
      </c>
      <c r="I179" s="83" t="str">
        <f t="shared" si="30"/>
        <v xml:space="preserve"> Al</v>
      </c>
      <c r="J179" s="83">
        <v>209</v>
      </c>
      <c r="K179" s="26" t="e">
        <f t="shared" si="31"/>
        <v>#N/A</v>
      </c>
      <c r="L179" s="26" t="e">
        <f t="shared" si="32"/>
        <v>#N/A</v>
      </c>
      <c r="M179" s="35" t="str">
        <f t="shared" si="33"/>
        <v/>
      </c>
      <c r="N179" s="26" t="str">
        <f t="shared" si="34"/>
        <v/>
      </c>
      <c r="O179" s="26" t="str">
        <f t="shared" si="35"/>
        <v/>
      </c>
      <c r="P179" s="35" t="str">
        <f>IF(AND($C$24=50,'Beregning AC vern'!U141="IT-230V"),FALSE,IF(AND($A$24=$A179,$B$24=$B179,$C$24=$C179,$D$24=$D179,$E$24=$E179),TRUE,""))</f>
        <v/>
      </c>
      <c r="Q179" s="26" t="b">
        <f t="shared" si="36"/>
        <v>0</v>
      </c>
      <c r="R179" s="26" t="b">
        <f t="shared" si="37"/>
        <v>0</v>
      </c>
    </row>
    <row r="180" spans="1:18" x14ac:dyDescent="0.25">
      <c r="A180" s="83" t="s">
        <v>130</v>
      </c>
      <c r="B180" s="83" t="s">
        <v>222</v>
      </c>
      <c r="C180" s="83">
        <v>40</v>
      </c>
      <c r="D180" s="83">
        <v>9.9</v>
      </c>
      <c r="E180" s="83">
        <v>0.5</v>
      </c>
      <c r="F180" s="83" t="s">
        <v>217</v>
      </c>
      <c r="G180" s="83"/>
      <c r="H180" s="83">
        <v>16</v>
      </c>
      <c r="I180" s="83" t="str">
        <f t="shared" si="30"/>
        <v xml:space="preserve"> Cu</v>
      </c>
      <c r="J180" s="83">
        <v>98</v>
      </c>
      <c r="K180" s="26" t="e">
        <f t="shared" si="31"/>
        <v>#N/A</v>
      </c>
      <c r="L180" s="26" t="e">
        <f t="shared" si="32"/>
        <v>#N/A</v>
      </c>
      <c r="M180" s="35" t="str">
        <f t="shared" si="33"/>
        <v/>
      </c>
      <c r="N180" s="26" t="str">
        <f t="shared" si="34"/>
        <v/>
      </c>
      <c r="O180" s="26" t="str">
        <f t="shared" si="35"/>
        <v/>
      </c>
      <c r="P180" s="35" t="str">
        <f>IF(AND($C$24=50,'Beregning AC vern'!U142="IT-230V"),FALSE,IF(AND($A$24=$A180,$B$24=$B180,$C$24=$C180,$D$24=$D180,$E$24=$E180),TRUE,""))</f>
        <v/>
      </c>
      <c r="Q180" s="26" t="b">
        <f t="shared" si="36"/>
        <v>0</v>
      </c>
      <c r="R180" s="26" t="b">
        <f t="shared" si="37"/>
        <v>0</v>
      </c>
    </row>
    <row r="181" spans="1:18" x14ac:dyDescent="0.25">
      <c r="A181" s="83" t="s">
        <v>130</v>
      </c>
      <c r="B181" s="83" t="s">
        <v>222</v>
      </c>
      <c r="C181" s="83">
        <v>40</v>
      </c>
      <c r="D181" s="83">
        <v>9.9</v>
      </c>
      <c r="E181" s="83">
        <v>0.5</v>
      </c>
      <c r="F181" s="83" t="s">
        <v>215</v>
      </c>
      <c r="G181" s="83"/>
      <c r="H181" s="83">
        <v>25</v>
      </c>
      <c r="I181" s="83" t="str">
        <f t="shared" si="30"/>
        <v xml:space="preserve"> Al</v>
      </c>
      <c r="J181" s="83">
        <v>97</v>
      </c>
      <c r="K181" s="26" t="e">
        <f t="shared" si="31"/>
        <v>#N/A</v>
      </c>
      <c r="L181" s="26" t="e">
        <f t="shared" si="32"/>
        <v>#N/A</v>
      </c>
      <c r="M181" s="35" t="str">
        <f t="shared" si="33"/>
        <v/>
      </c>
      <c r="N181" s="26" t="str">
        <f t="shared" si="34"/>
        <v/>
      </c>
      <c r="O181" s="26" t="str">
        <f t="shared" si="35"/>
        <v/>
      </c>
      <c r="P181" s="35" t="str">
        <f>IF(AND($C$24=50,'Beregning AC vern'!U143="IT-230V"),FALSE,IF(AND($A$24=$A181,$B$24=$B181,$C$24=$C181,$D$24=$D181,$E$24=$E181),TRUE,""))</f>
        <v/>
      </c>
      <c r="Q181" s="26" t="b">
        <f t="shared" si="36"/>
        <v>0</v>
      </c>
      <c r="R181" s="26" t="b">
        <f t="shared" si="37"/>
        <v>0</v>
      </c>
    </row>
    <row r="182" spans="1:18" x14ac:dyDescent="0.25">
      <c r="A182" s="83" t="s">
        <v>130</v>
      </c>
      <c r="B182" s="83" t="s">
        <v>222</v>
      </c>
      <c r="C182" s="83">
        <v>40</v>
      </c>
      <c r="D182" s="83">
        <v>9.9</v>
      </c>
      <c r="E182" s="83">
        <v>0.5</v>
      </c>
      <c r="F182" s="83" t="s">
        <v>216</v>
      </c>
      <c r="G182" s="83"/>
      <c r="H182" s="83">
        <v>50</v>
      </c>
      <c r="I182" s="83" t="str">
        <f t="shared" si="30"/>
        <v xml:space="preserve"> Al</v>
      </c>
      <c r="J182" s="83">
        <v>175</v>
      </c>
      <c r="K182" s="26" t="e">
        <f t="shared" si="31"/>
        <v>#N/A</v>
      </c>
      <c r="L182" s="26" t="e">
        <f t="shared" si="32"/>
        <v>#N/A</v>
      </c>
      <c r="M182" s="35" t="str">
        <f t="shared" si="33"/>
        <v/>
      </c>
      <c r="N182" s="26" t="str">
        <f t="shared" si="34"/>
        <v/>
      </c>
      <c r="O182" s="26" t="str">
        <f t="shared" si="35"/>
        <v/>
      </c>
      <c r="P182" s="35" t="str">
        <f>IF(AND($C$24=50,'Beregning AC vern'!U144="IT-230V"),FALSE,IF(AND($A$24=$A182,$B$24=$B182,$C$24=$C182,$D$24=$D182,$E$24=$E182),TRUE,""))</f>
        <v/>
      </c>
      <c r="Q182" s="26" t="b">
        <f t="shared" si="36"/>
        <v>0</v>
      </c>
      <c r="R182" s="26" t="b">
        <f t="shared" si="37"/>
        <v>0</v>
      </c>
    </row>
    <row r="183" spans="1:18" x14ac:dyDescent="0.25">
      <c r="A183" s="83" t="s">
        <v>130</v>
      </c>
      <c r="B183" s="83" t="s">
        <v>222</v>
      </c>
      <c r="C183" s="83">
        <v>63</v>
      </c>
      <c r="D183" s="83">
        <v>9.9</v>
      </c>
      <c r="E183" s="83">
        <v>0.5</v>
      </c>
      <c r="F183" s="83" t="s">
        <v>216</v>
      </c>
      <c r="G183" s="83"/>
      <c r="H183" s="83">
        <v>50</v>
      </c>
      <c r="I183" s="83" t="str">
        <f t="shared" si="30"/>
        <v xml:space="preserve"> Al</v>
      </c>
      <c r="J183" s="83">
        <v>80</v>
      </c>
      <c r="K183" s="26" t="e">
        <f t="shared" si="31"/>
        <v>#N/A</v>
      </c>
      <c r="L183" s="26" t="e">
        <f t="shared" si="32"/>
        <v>#N/A</v>
      </c>
      <c r="M183" s="35" t="str">
        <f t="shared" si="33"/>
        <v/>
      </c>
      <c r="N183" s="26" t="str">
        <f t="shared" si="34"/>
        <v/>
      </c>
      <c r="O183" s="26" t="str">
        <f t="shared" si="35"/>
        <v/>
      </c>
      <c r="P183" s="35" t="str">
        <f>IF(AND($C$24=50,'Beregning AC vern'!U145="IT-230V"),FALSE,IF(AND($A$24=$A183,$B$24=$B183,$C$24=$C183,$D$24=$D183,$E$24=$E183),TRUE,""))</f>
        <v/>
      </c>
      <c r="Q183" s="26" t="b">
        <f t="shared" si="36"/>
        <v>0</v>
      </c>
      <c r="R183" s="26" t="b">
        <f t="shared" si="37"/>
        <v>0</v>
      </c>
    </row>
    <row r="184" spans="1:18" x14ac:dyDescent="0.25">
      <c r="A184" s="83" t="s">
        <v>130</v>
      </c>
      <c r="B184" s="83" t="s">
        <v>222</v>
      </c>
      <c r="C184" s="83">
        <v>25</v>
      </c>
      <c r="D184" s="83">
        <v>9.9</v>
      </c>
      <c r="E184" s="83">
        <v>1</v>
      </c>
      <c r="F184" s="83" t="s">
        <v>212</v>
      </c>
      <c r="G184" s="83"/>
      <c r="H184" s="83">
        <v>6</v>
      </c>
      <c r="I184" s="83" t="str">
        <f t="shared" si="30"/>
        <v>Cu</v>
      </c>
      <c r="J184" s="175">
        <v>62</v>
      </c>
      <c r="K184" s="26" t="e">
        <f t="shared" si="31"/>
        <v>#N/A</v>
      </c>
      <c r="L184" s="26" t="e">
        <f t="shared" si="32"/>
        <v>#N/A</v>
      </c>
      <c r="M184" s="35" t="str">
        <f t="shared" si="33"/>
        <v/>
      </c>
      <c r="N184" s="26" t="str">
        <f t="shared" si="34"/>
        <v/>
      </c>
      <c r="O184" s="26" t="str">
        <f t="shared" si="35"/>
        <v/>
      </c>
      <c r="P184" s="35" t="str">
        <f>IF(AND($C$24=50,'Beregning AC vern'!U146="IT-230V"),FALSE,IF(AND($A$24=$A184,$B$24=$B184,$C$24=$C184,$D$24=$D184,$E$24=$E184),TRUE,""))</f>
        <v/>
      </c>
      <c r="Q184" s="26" t="b">
        <f t="shared" si="36"/>
        <v>0</v>
      </c>
      <c r="R184" s="26" t="b">
        <f t="shared" si="37"/>
        <v>0</v>
      </c>
    </row>
    <row r="185" spans="1:18" x14ac:dyDescent="0.25">
      <c r="A185" s="83" t="s">
        <v>130</v>
      </c>
      <c r="B185" s="83" t="s">
        <v>222</v>
      </c>
      <c r="C185" s="83">
        <v>25</v>
      </c>
      <c r="D185" s="83">
        <v>9.9</v>
      </c>
      <c r="E185" s="83">
        <v>1</v>
      </c>
      <c r="F185" s="83" t="s">
        <v>214</v>
      </c>
      <c r="G185" s="83"/>
      <c r="H185" s="83">
        <v>10</v>
      </c>
      <c r="I185" s="83" t="str">
        <f t="shared" si="30"/>
        <v xml:space="preserve"> Cu</v>
      </c>
      <c r="J185" s="83">
        <v>104</v>
      </c>
      <c r="K185" s="26" t="e">
        <f t="shared" si="31"/>
        <v>#N/A</v>
      </c>
      <c r="L185" s="26" t="e">
        <f t="shared" si="32"/>
        <v>#N/A</v>
      </c>
      <c r="M185" s="35" t="str">
        <f t="shared" si="33"/>
        <v/>
      </c>
      <c r="N185" s="26" t="str">
        <f t="shared" si="34"/>
        <v/>
      </c>
      <c r="O185" s="26" t="str">
        <f t="shared" si="35"/>
        <v/>
      </c>
      <c r="P185" s="35" t="str">
        <f>IF(AND($C$24=50,'Beregning AC vern'!U147="IT-230V"),FALSE,IF(AND($A$24=$A185,$B$24=$B185,$C$24=$C185,$D$24=$D185,$E$24=$E185),TRUE,""))</f>
        <v/>
      </c>
      <c r="Q185" s="26" t="b">
        <f t="shared" si="36"/>
        <v>0</v>
      </c>
      <c r="R185" s="26" t="b">
        <f t="shared" si="37"/>
        <v>0</v>
      </c>
    </row>
    <row r="186" spans="1:18" x14ac:dyDescent="0.25">
      <c r="A186" s="83" t="s">
        <v>130</v>
      </c>
      <c r="B186" s="83" t="s">
        <v>222</v>
      </c>
      <c r="C186" s="83">
        <v>25</v>
      </c>
      <c r="D186" s="83">
        <v>9.9</v>
      </c>
      <c r="E186" s="83">
        <v>1</v>
      </c>
      <c r="F186" s="83" t="s">
        <v>215</v>
      </c>
      <c r="G186" s="83"/>
      <c r="H186" s="83">
        <v>25</v>
      </c>
      <c r="I186" s="83" t="str">
        <f t="shared" si="30"/>
        <v xml:space="preserve"> Al</v>
      </c>
      <c r="J186" s="83">
        <v>155</v>
      </c>
      <c r="K186" s="26" t="e">
        <f t="shared" si="31"/>
        <v>#N/A</v>
      </c>
      <c r="L186" s="26" t="e">
        <f t="shared" si="32"/>
        <v>#N/A</v>
      </c>
      <c r="M186" s="35" t="str">
        <f t="shared" si="33"/>
        <v/>
      </c>
      <c r="N186" s="26" t="str">
        <f t="shared" si="34"/>
        <v/>
      </c>
      <c r="O186" s="26" t="str">
        <f t="shared" si="35"/>
        <v/>
      </c>
      <c r="P186" s="35" t="str">
        <f>IF(AND($C$24=50,'Beregning AC vern'!U148="IT-230V"),FALSE,IF(AND($A$24=$A186,$B$24=$B186,$C$24=$C186,$D$24=$D186,$E$24=$E186),TRUE,""))</f>
        <v/>
      </c>
      <c r="Q186" s="26" t="b">
        <f t="shared" si="36"/>
        <v>0</v>
      </c>
      <c r="R186" s="26" t="b">
        <f t="shared" si="37"/>
        <v>0</v>
      </c>
    </row>
    <row r="187" spans="1:18" x14ac:dyDescent="0.25">
      <c r="A187" s="83" t="s">
        <v>130</v>
      </c>
      <c r="B187" s="83" t="s">
        <v>222</v>
      </c>
      <c r="C187" s="83">
        <v>25</v>
      </c>
      <c r="D187" s="83">
        <v>9.9</v>
      </c>
      <c r="E187" s="83">
        <v>1</v>
      </c>
      <c r="F187" s="83" t="s">
        <v>216</v>
      </c>
      <c r="G187" s="83"/>
      <c r="H187" s="83">
        <v>50</v>
      </c>
      <c r="I187" s="83" t="str">
        <f t="shared" si="30"/>
        <v xml:space="preserve"> Al</v>
      </c>
      <c r="J187" s="83">
        <v>286</v>
      </c>
      <c r="K187" s="26" t="e">
        <f t="shared" si="31"/>
        <v>#N/A</v>
      </c>
      <c r="L187" s="26" t="e">
        <f t="shared" si="32"/>
        <v>#N/A</v>
      </c>
      <c r="M187" s="35" t="str">
        <f t="shared" si="33"/>
        <v/>
      </c>
      <c r="N187" s="26" t="str">
        <f t="shared" si="34"/>
        <v/>
      </c>
      <c r="O187" s="26" t="str">
        <f t="shared" si="35"/>
        <v/>
      </c>
      <c r="P187" s="35" t="str">
        <f>IF(AND($C$24=50,'Beregning AC vern'!U149="IT-230V"),FALSE,IF(AND($A$24=$A187,$B$24=$B187,$C$24=$C187,$D$24=$D187,$E$24=$E187),TRUE,""))</f>
        <v/>
      </c>
      <c r="Q187" s="26" t="b">
        <f t="shared" si="36"/>
        <v>0</v>
      </c>
      <c r="R187" s="26" t="b">
        <f t="shared" si="37"/>
        <v>0</v>
      </c>
    </row>
    <row r="188" spans="1:18" x14ac:dyDescent="0.25">
      <c r="A188" s="83" t="s">
        <v>130</v>
      </c>
      <c r="B188" s="83" t="s">
        <v>222</v>
      </c>
      <c r="C188" s="83">
        <v>32</v>
      </c>
      <c r="D188" s="83">
        <v>9.9</v>
      </c>
      <c r="E188" s="83">
        <v>1</v>
      </c>
      <c r="F188" s="83" t="s">
        <v>214</v>
      </c>
      <c r="G188" s="83"/>
      <c r="H188" s="83">
        <v>10</v>
      </c>
      <c r="I188" s="83" t="str">
        <f t="shared" si="30"/>
        <v xml:space="preserve"> Cu</v>
      </c>
      <c r="J188" s="83">
        <v>80</v>
      </c>
      <c r="K188" s="26" t="e">
        <f t="shared" si="31"/>
        <v>#N/A</v>
      </c>
      <c r="L188" s="26" t="e">
        <f t="shared" si="32"/>
        <v>#N/A</v>
      </c>
      <c r="M188" s="35" t="str">
        <f t="shared" si="33"/>
        <v/>
      </c>
      <c r="N188" s="26" t="str">
        <f t="shared" si="34"/>
        <v/>
      </c>
      <c r="O188" s="26" t="str">
        <f t="shared" si="35"/>
        <v/>
      </c>
      <c r="P188" s="35" t="str">
        <f>IF(AND($C$24=50,'Beregning AC vern'!U150="IT-230V"),FALSE,IF(AND($A$24=$A188,$B$24=$B188,$C$24=$C188,$D$24=$D188,$E$24=$E188),TRUE,""))</f>
        <v/>
      </c>
      <c r="Q188" s="26" t="b">
        <f t="shared" si="36"/>
        <v>0</v>
      </c>
      <c r="R188" s="26" t="b">
        <f t="shared" si="37"/>
        <v>0</v>
      </c>
    </row>
    <row r="189" spans="1:18" x14ac:dyDescent="0.25">
      <c r="A189" s="83" t="s">
        <v>130</v>
      </c>
      <c r="B189" s="83" t="s">
        <v>222</v>
      </c>
      <c r="C189" s="83">
        <v>32</v>
      </c>
      <c r="D189" s="83">
        <v>9.9</v>
      </c>
      <c r="E189" s="83">
        <v>1</v>
      </c>
      <c r="F189" s="83" t="s">
        <v>215</v>
      </c>
      <c r="G189" s="83"/>
      <c r="H189" s="83">
        <v>25</v>
      </c>
      <c r="I189" s="83" t="str">
        <f t="shared" si="30"/>
        <v xml:space="preserve"> Al</v>
      </c>
      <c r="J189" s="83">
        <v>120</v>
      </c>
      <c r="K189" s="26" t="e">
        <f t="shared" si="31"/>
        <v>#N/A</v>
      </c>
      <c r="L189" s="26" t="e">
        <f t="shared" si="32"/>
        <v>#N/A</v>
      </c>
      <c r="M189" s="35" t="str">
        <f t="shared" si="33"/>
        <v/>
      </c>
      <c r="N189" s="26" t="str">
        <f t="shared" si="34"/>
        <v/>
      </c>
      <c r="O189" s="26" t="str">
        <f t="shared" si="35"/>
        <v/>
      </c>
      <c r="P189" s="35" t="str">
        <f>IF(AND($C$24=50,'Beregning AC vern'!U151="IT-230V"),FALSE,IF(AND($A$24=$A189,$B$24=$B189,$C$24=$C189,$D$24=$D189,$E$24=$E189),TRUE,""))</f>
        <v/>
      </c>
      <c r="Q189" s="26" t="b">
        <f t="shared" si="36"/>
        <v>0</v>
      </c>
      <c r="R189" s="26" t="b">
        <f t="shared" si="37"/>
        <v>0</v>
      </c>
    </row>
    <row r="190" spans="1:18" x14ac:dyDescent="0.25">
      <c r="A190" s="83" t="s">
        <v>130</v>
      </c>
      <c r="B190" s="83" t="s">
        <v>222</v>
      </c>
      <c r="C190" s="83">
        <v>32</v>
      </c>
      <c r="D190" s="83">
        <v>9.9</v>
      </c>
      <c r="E190" s="83">
        <v>1</v>
      </c>
      <c r="F190" s="83" t="s">
        <v>216</v>
      </c>
      <c r="G190" s="83"/>
      <c r="H190" s="83">
        <v>50</v>
      </c>
      <c r="I190" s="83" t="str">
        <f t="shared" si="30"/>
        <v xml:space="preserve"> Al</v>
      </c>
      <c r="J190" s="83">
        <v>215</v>
      </c>
      <c r="K190" s="26" t="e">
        <f t="shared" si="31"/>
        <v>#N/A</v>
      </c>
      <c r="L190" s="26" t="e">
        <f t="shared" si="32"/>
        <v>#N/A</v>
      </c>
      <c r="M190" s="35" t="str">
        <f t="shared" si="33"/>
        <v/>
      </c>
      <c r="N190" s="26" t="str">
        <f t="shared" si="34"/>
        <v/>
      </c>
      <c r="O190" s="26" t="str">
        <f t="shared" si="35"/>
        <v/>
      </c>
      <c r="P190" s="35" t="str">
        <f>IF(AND($C$24=50,'Beregning AC vern'!U152="IT-230V"),FALSE,IF(AND($A$24=$A190,$B$24=$B190,$C$24=$C190,$D$24=$D190,$E$24=$E190),TRUE,""))</f>
        <v/>
      </c>
      <c r="Q190" s="26" t="b">
        <f t="shared" si="36"/>
        <v>0</v>
      </c>
      <c r="R190" s="26" t="b">
        <f t="shared" si="37"/>
        <v>0</v>
      </c>
    </row>
    <row r="191" spans="1:18" x14ac:dyDescent="0.25">
      <c r="A191" s="83" t="s">
        <v>130</v>
      </c>
      <c r="B191" s="83" t="s">
        <v>222</v>
      </c>
      <c r="C191" s="83">
        <v>40</v>
      </c>
      <c r="D191" s="83">
        <v>9.9</v>
      </c>
      <c r="E191" s="83">
        <v>1</v>
      </c>
      <c r="F191" s="83" t="s">
        <v>217</v>
      </c>
      <c r="G191" s="83"/>
      <c r="H191" s="83">
        <v>16</v>
      </c>
      <c r="I191" s="83" t="str">
        <f t="shared" si="30"/>
        <v xml:space="preserve"> Cu</v>
      </c>
      <c r="J191" s="83">
        <v>101</v>
      </c>
      <c r="K191" s="26" t="e">
        <f t="shared" si="31"/>
        <v>#N/A</v>
      </c>
      <c r="L191" s="26" t="e">
        <f t="shared" si="32"/>
        <v>#N/A</v>
      </c>
      <c r="M191" s="35" t="str">
        <f t="shared" si="33"/>
        <v/>
      </c>
      <c r="N191" s="26" t="str">
        <f t="shared" si="34"/>
        <v/>
      </c>
      <c r="O191" s="26" t="str">
        <f t="shared" si="35"/>
        <v/>
      </c>
      <c r="P191" s="35" t="str">
        <f>IF(AND($C$24=50,'Beregning AC vern'!U153="IT-230V"),FALSE,IF(AND($A$24=$A191,$B$24=$B191,$C$24=$C191,$D$24=$D191,$E$24=$E191),TRUE,""))</f>
        <v/>
      </c>
      <c r="Q191" s="26" t="b">
        <f t="shared" si="36"/>
        <v>0</v>
      </c>
      <c r="R191" s="26" t="b">
        <f t="shared" si="37"/>
        <v>0</v>
      </c>
    </row>
    <row r="192" spans="1:18" x14ac:dyDescent="0.25">
      <c r="A192" s="83" t="s">
        <v>130</v>
      </c>
      <c r="B192" s="83" t="s">
        <v>222</v>
      </c>
      <c r="C192" s="83">
        <v>40</v>
      </c>
      <c r="D192" s="83">
        <v>9.9</v>
      </c>
      <c r="E192" s="83">
        <v>1</v>
      </c>
      <c r="F192" s="83" t="s">
        <v>215</v>
      </c>
      <c r="G192" s="83"/>
      <c r="H192" s="83">
        <v>25</v>
      </c>
      <c r="I192" s="83" t="str">
        <f t="shared" si="30"/>
        <v xml:space="preserve"> Al</v>
      </c>
      <c r="J192" s="83">
        <v>97</v>
      </c>
      <c r="K192" s="26" t="e">
        <f t="shared" si="31"/>
        <v>#N/A</v>
      </c>
      <c r="L192" s="26" t="e">
        <f t="shared" si="32"/>
        <v>#N/A</v>
      </c>
      <c r="M192" s="35" t="str">
        <f t="shared" si="33"/>
        <v/>
      </c>
      <c r="N192" s="26" t="str">
        <f t="shared" si="34"/>
        <v/>
      </c>
      <c r="O192" s="26" t="str">
        <f t="shared" si="35"/>
        <v/>
      </c>
      <c r="P192" s="35" t="str">
        <f>IF(AND($C$24=50,'Beregning AC vern'!U154="IT-230V"),FALSE,IF(AND($A$24=$A192,$B$24=$B192,$C$24=$C192,$D$24=$D192,$E$24=$E192),TRUE,""))</f>
        <v/>
      </c>
      <c r="Q192" s="26" t="b">
        <f t="shared" si="36"/>
        <v>0</v>
      </c>
      <c r="R192" s="26" t="b">
        <f t="shared" si="37"/>
        <v>0</v>
      </c>
    </row>
    <row r="193" spans="1:18" x14ac:dyDescent="0.25">
      <c r="A193" s="83" t="s">
        <v>130</v>
      </c>
      <c r="B193" s="83" t="s">
        <v>222</v>
      </c>
      <c r="C193" s="83">
        <v>40</v>
      </c>
      <c r="D193" s="83">
        <v>9.9</v>
      </c>
      <c r="E193" s="83">
        <v>1</v>
      </c>
      <c r="F193" s="83" t="s">
        <v>216</v>
      </c>
      <c r="G193" s="83"/>
      <c r="H193" s="83">
        <v>50</v>
      </c>
      <c r="I193" s="83" t="str">
        <f t="shared" si="30"/>
        <v xml:space="preserve"> Al</v>
      </c>
      <c r="J193" s="83">
        <v>175</v>
      </c>
      <c r="K193" s="26" t="e">
        <f t="shared" si="31"/>
        <v>#N/A</v>
      </c>
      <c r="L193" s="26" t="e">
        <f t="shared" si="32"/>
        <v>#N/A</v>
      </c>
      <c r="M193" s="35" t="str">
        <f t="shared" si="33"/>
        <v/>
      </c>
      <c r="N193" s="26" t="str">
        <f t="shared" si="34"/>
        <v/>
      </c>
      <c r="O193" s="26" t="str">
        <f t="shared" si="35"/>
        <v/>
      </c>
      <c r="P193" s="35" t="str">
        <f>IF(AND($C$24=50,'Beregning AC vern'!U155="IT-230V"),FALSE,IF(AND($A$24=$A193,$B$24=$B193,$C$24=$C193,$D$24=$D193,$E$24=$E193),TRUE,""))</f>
        <v/>
      </c>
      <c r="Q193" s="26" t="b">
        <f t="shared" si="36"/>
        <v>0</v>
      </c>
      <c r="R193" s="26" t="b">
        <f t="shared" si="37"/>
        <v>0</v>
      </c>
    </row>
    <row r="194" spans="1:18" x14ac:dyDescent="0.25">
      <c r="A194" s="83" t="s">
        <v>130</v>
      </c>
      <c r="B194" s="83" t="s">
        <v>222</v>
      </c>
      <c r="C194" s="83">
        <v>63</v>
      </c>
      <c r="D194" s="83">
        <v>9.9</v>
      </c>
      <c r="E194" s="83">
        <v>1</v>
      </c>
      <c r="F194" s="83" t="s">
        <v>216</v>
      </c>
      <c r="G194" s="83"/>
      <c r="H194" s="83">
        <v>50</v>
      </c>
      <c r="I194" s="83" t="str">
        <f t="shared" si="30"/>
        <v xml:space="preserve"> Al</v>
      </c>
      <c r="J194" s="83">
        <v>110</v>
      </c>
      <c r="K194" s="26" t="e">
        <f t="shared" si="31"/>
        <v>#N/A</v>
      </c>
      <c r="L194" s="26" t="e">
        <f t="shared" si="32"/>
        <v>#N/A</v>
      </c>
      <c r="M194" s="35" t="str">
        <f t="shared" si="33"/>
        <v/>
      </c>
      <c r="N194" s="26" t="str">
        <f t="shared" si="34"/>
        <v/>
      </c>
      <c r="O194" s="26" t="str">
        <f t="shared" si="35"/>
        <v/>
      </c>
      <c r="P194" s="35" t="str">
        <f>IF(AND($C$24=50,'Beregning AC vern'!U156="IT-230V"),FALSE,IF(AND($A$24=$A194,$B$24=$B194,$C$24=$C194,$D$24=$D194,$E$24=$E194),TRUE,""))</f>
        <v/>
      </c>
      <c r="Q194" s="26" t="b">
        <f t="shared" si="36"/>
        <v>0</v>
      </c>
      <c r="R194" s="26" t="b">
        <f t="shared" si="37"/>
        <v>0</v>
      </c>
    </row>
    <row r="195" spans="1:18" x14ac:dyDescent="0.25">
      <c r="A195" s="178" t="s">
        <v>130</v>
      </c>
      <c r="B195" s="178" t="s">
        <v>222</v>
      </c>
      <c r="C195" s="178">
        <v>25</v>
      </c>
      <c r="D195" s="178">
        <v>9.9</v>
      </c>
      <c r="E195" s="178">
        <v>2</v>
      </c>
      <c r="F195" s="178" t="s">
        <v>212</v>
      </c>
      <c r="G195" s="178"/>
      <c r="H195" s="178">
        <v>6</v>
      </c>
      <c r="I195" s="178" t="str">
        <f t="shared" si="30"/>
        <v>Cu</v>
      </c>
      <c r="J195" s="178">
        <v>63</v>
      </c>
      <c r="K195" s="26" t="e">
        <f t="shared" si="31"/>
        <v>#N/A</v>
      </c>
      <c r="L195" s="26" t="e">
        <f t="shared" si="32"/>
        <v>#N/A</v>
      </c>
      <c r="M195" s="35" t="str">
        <f t="shared" si="33"/>
        <v/>
      </c>
      <c r="N195" s="26" t="str">
        <f t="shared" si="34"/>
        <v/>
      </c>
      <c r="O195" s="26" t="str">
        <f t="shared" si="35"/>
        <v/>
      </c>
      <c r="P195" s="35" t="str">
        <f>IF(AND($C$24=50,'Beregning AC vern'!U157="IT-230V"),FALSE,IF(AND($A$24=$A195,$B$24=$B195,$C$24=$C195,$D$24=$D195,$E$24=$E195),TRUE,""))</f>
        <v/>
      </c>
      <c r="Q195" s="26" t="b">
        <f t="shared" si="36"/>
        <v>0</v>
      </c>
      <c r="R195" s="26" t="b">
        <f t="shared" si="37"/>
        <v>0</v>
      </c>
    </row>
    <row r="196" spans="1:18" x14ac:dyDescent="0.25">
      <c r="A196" s="83" t="s">
        <v>130</v>
      </c>
      <c r="B196" s="83" t="s">
        <v>222</v>
      </c>
      <c r="C196" s="83">
        <v>25</v>
      </c>
      <c r="D196" s="83">
        <v>9.9</v>
      </c>
      <c r="E196" s="83">
        <v>2</v>
      </c>
      <c r="F196" s="83" t="s">
        <v>214</v>
      </c>
      <c r="G196" s="83"/>
      <c r="H196" s="83">
        <v>10</v>
      </c>
      <c r="I196" s="83" t="str">
        <f t="shared" si="30"/>
        <v xml:space="preserve"> Cu</v>
      </c>
      <c r="J196" s="83">
        <v>104</v>
      </c>
      <c r="K196" s="26" t="e">
        <f t="shared" si="31"/>
        <v>#N/A</v>
      </c>
      <c r="L196" s="26" t="e">
        <f t="shared" si="32"/>
        <v>#N/A</v>
      </c>
      <c r="M196" s="35" t="str">
        <f t="shared" si="33"/>
        <v/>
      </c>
      <c r="N196" s="26" t="str">
        <f t="shared" si="34"/>
        <v/>
      </c>
      <c r="O196" s="26" t="str">
        <f t="shared" si="35"/>
        <v/>
      </c>
      <c r="P196" s="35" t="str">
        <f>IF(AND($C$24=50,'Beregning AC vern'!U158="IT-230V"),FALSE,IF(AND($A$24=$A196,$B$24=$B196,$C$24=$C196,$D$24=$D196,$E$24=$E196),TRUE,""))</f>
        <v/>
      </c>
      <c r="Q196" s="26" t="b">
        <f t="shared" si="36"/>
        <v>0</v>
      </c>
      <c r="R196" s="26" t="b">
        <f t="shared" si="37"/>
        <v>0</v>
      </c>
    </row>
    <row r="197" spans="1:18" x14ac:dyDescent="0.25">
      <c r="A197" s="83" t="s">
        <v>130</v>
      </c>
      <c r="B197" s="83" t="s">
        <v>222</v>
      </c>
      <c r="C197" s="83">
        <v>25</v>
      </c>
      <c r="D197" s="83">
        <v>9.9</v>
      </c>
      <c r="E197" s="83">
        <v>2</v>
      </c>
      <c r="F197" s="83" t="s">
        <v>215</v>
      </c>
      <c r="G197" s="83"/>
      <c r="H197" s="83">
        <v>25</v>
      </c>
      <c r="I197" s="83" t="str">
        <f t="shared" si="30"/>
        <v xml:space="preserve"> Al</v>
      </c>
      <c r="J197" s="83">
        <v>158</v>
      </c>
      <c r="K197" s="26" t="e">
        <f t="shared" si="31"/>
        <v>#N/A</v>
      </c>
      <c r="L197" s="26" t="e">
        <f t="shared" si="32"/>
        <v>#N/A</v>
      </c>
      <c r="M197" s="35" t="str">
        <f t="shared" si="33"/>
        <v/>
      </c>
      <c r="N197" s="26" t="str">
        <f t="shared" si="34"/>
        <v/>
      </c>
      <c r="O197" s="26" t="str">
        <f t="shared" si="35"/>
        <v/>
      </c>
      <c r="P197" s="35" t="str">
        <f>IF(AND($C$24=50,'Beregning AC vern'!U159="IT-230V"),FALSE,IF(AND($A$24=$A197,$B$24=$B197,$C$24=$C197,$D$24=$D197,$E$24=$E197),TRUE,""))</f>
        <v/>
      </c>
      <c r="Q197" s="26" t="b">
        <f t="shared" si="36"/>
        <v>0</v>
      </c>
      <c r="R197" s="26" t="b">
        <f t="shared" si="37"/>
        <v>0</v>
      </c>
    </row>
    <row r="198" spans="1:18" x14ac:dyDescent="0.25">
      <c r="A198" s="83" t="s">
        <v>130</v>
      </c>
      <c r="B198" s="83" t="s">
        <v>222</v>
      </c>
      <c r="C198" s="83">
        <v>25</v>
      </c>
      <c r="D198" s="83">
        <v>9.9</v>
      </c>
      <c r="E198" s="83">
        <v>2</v>
      </c>
      <c r="F198" s="83" t="s">
        <v>216</v>
      </c>
      <c r="G198" s="83"/>
      <c r="H198" s="83">
        <v>50</v>
      </c>
      <c r="I198" s="83" t="str">
        <f t="shared" si="30"/>
        <v xml:space="preserve"> Al</v>
      </c>
      <c r="J198" s="83">
        <v>286</v>
      </c>
      <c r="K198" s="26" t="e">
        <f t="shared" si="31"/>
        <v>#N/A</v>
      </c>
      <c r="L198" s="26" t="e">
        <f t="shared" si="32"/>
        <v>#N/A</v>
      </c>
      <c r="M198" s="35" t="str">
        <f t="shared" si="33"/>
        <v/>
      </c>
      <c r="N198" s="26" t="str">
        <f t="shared" si="34"/>
        <v/>
      </c>
      <c r="O198" s="26" t="str">
        <f t="shared" si="35"/>
        <v/>
      </c>
      <c r="P198" s="35" t="str">
        <f>IF(AND($C$24=50,'Beregning AC vern'!U160="IT-230V"),FALSE,IF(AND($A$24=$A198,$B$24=$B198,$C$24=$C198,$D$24=$D198,$E$24=$E198),TRUE,""))</f>
        <v/>
      </c>
      <c r="Q198" s="26" t="b">
        <f t="shared" si="36"/>
        <v>0</v>
      </c>
      <c r="R198" s="26" t="b">
        <f t="shared" si="37"/>
        <v>0</v>
      </c>
    </row>
    <row r="199" spans="1:18" x14ac:dyDescent="0.25">
      <c r="A199" s="83" t="s">
        <v>130</v>
      </c>
      <c r="B199" s="83" t="s">
        <v>222</v>
      </c>
      <c r="C199" s="83">
        <v>32</v>
      </c>
      <c r="D199" s="83">
        <v>9.9</v>
      </c>
      <c r="E199" s="83">
        <v>2</v>
      </c>
      <c r="F199" s="83" t="s">
        <v>214</v>
      </c>
      <c r="G199" s="83"/>
      <c r="H199" s="83">
        <v>10</v>
      </c>
      <c r="I199" s="83" t="str">
        <f t="shared" si="30"/>
        <v xml:space="preserve"> Cu</v>
      </c>
      <c r="J199" s="83">
        <v>81</v>
      </c>
      <c r="K199" s="26" t="e">
        <f t="shared" si="31"/>
        <v>#N/A</v>
      </c>
      <c r="L199" s="26" t="e">
        <f t="shared" si="32"/>
        <v>#N/A</v>
      </c>
      <c r="M199" s="35" t="str">
        <f t="shared" si="33"/>
        <v/>
      </c>
      <c r="N199" s="26" t="str">
        <f t="shared" si="34"/>
        <v/>
      </c>
      <c r="O199" s="26" t="str">
        <f t="shared" si="35"/>
        <v/>
      </c>
      <c r="P199" s="35" t="str">
        <f>IF(AND($C$24=50,'Beregning AC vern'!U161="IT-230V"),FALSE,IF(AND($A$24=$A199,$B$24=$B199,$C$24=$C199,$D$24=$D199,$E$24=$E199),TRUE,""))</f>
        <v/>
      </c>
      <c r="Q199" s="26" t="b">
        <f t="shared" si="36"/>
        <v>0</v>
      </c>
      <c r="R199" s="26" t="b">
        <f t="shared" si="37"/>
        <v>0</v>
      </c>
    </row>
    <row r="200" spans="1:18" x14ac:dyDescent="0.25">
      <c r="A200" s="83" t="s">
        <v>130</v>
      </c>
      <c r="B200" s="83" t="s">
        <v>222</v>
      </c>
      <c r="C200" s="83">
        <v>32</v>
      </c>
      <c r="D200" s="83">
        <v>9.9</v>
      </c>
      <c r="E200" s="83">
        <v>2</v>
      </c>
      <c r="F200" s="83" t="s">
        <v>215</v>
      </c>
      <c r="G200" s="83"/>
      <c r="H200" s="83">
        <v>25</v>
      </c>
      <c r="I200" s="83" t="str">
        <f t="shared" si="30"/>
        <v xml:space="preserve"> Al</v>
      </c>
      <c r="J200" s="83">
        <v>122</v>
      </c>
      <c r="K200" s="26" t="e">
        <f t="shared" si="31"/>
        <v>#N/A</v>
      </c>
      <c r="L200" s="26" t="e">
        <f t="shared" si="32"/>
        <v>#N/A</v>
      </c>
      <c r="M200" s="35" t="str">
        <f t="shared" si="33"/>
        <v/>
      </c>
      <c r="N200" s="26" t="str">
        <f t="shared" si="34"/>
        <v/>
      </c>
      <c r="O200" s="26" t="str">
        <f t="shared" si="35"/>
        <v/>
      </c>
      <c r="P200" s="35" t="str">
        <f>IF(AND($C$24=50,'Beregning AC vern'!U162="IT-230V"),FALSE,IF(AND($A$24=$A200,$B$24=$B200,$C$24=$C200,$D$24=$D200,$E$24=$E200),TRUE,""))</f>
        <v/>
      </c>
      <c r="Q200" s="26" t="b">
        <f t="shared" si="36"/>
        <v>0</v>
      </c>
      <c r="R200" s="26" t="b">
        <f t="shared" si="37"/>
        <v>0</v>
      </c>
    </row>
    <row r="201" spans="1:18" x14ac:dyDescent="0.25">
      <c r="A201" s="83" t="s">
        <v>130</v>
      </c>
      <c r="B201" s="83" t="s">
        <v>222</v>
      </c>
      <c r="C201" s="83">
        <v>32</v>
      </c>
      <c r="D201" s="83">
        <v>9.9</v>
      </c>
      <c r="E201" s="83">
        <v>2</v>
      </c>
      <c r="F201" s="83" t="s">
        <v>216</v>
      </c>
      <c r="G201" s="83"/>
      <c r="H201" s="83">
        <v>50</v>
      </c>
      <c r="I201" s="83" t="str">
        <f t="shared" si="30"/>
        <v xml:space="preserve"> Al</v>
      </c>
      <c r="J201" s="83">
        <v>223</v>
      </c>
      <c r="K201" s="26" t="e">
        <f t="shared" si="31"/>
        <v>#N/A</v>
      </c>
      <c r="L201" s="26" t="e">
        <f t="shared" si="32"/>
        <v>#N/A</v>
      </c>
      <c r="M201" s="35" t="str">
        <f t="shared" si="33"/>
        <v/>
      </c>
      <c r="N201" s="26" t="str">
        <f t="shared" si="34"/>
        <v/>
      </c>
      <c r="O201" s="26" t="str">
        <f t="shared" si="35"/>
        <v/>
      </c>
      <c r="P201" s="35" t="str">
        <f>IF(AND($C$24=50,'Beregning AC vern'!U163="IT-230V"),FALSE,IF(AND($A$24=$A201,$B$24=$B201,$C$24=$C201,$D$24=$D201,$E$24=$E201),TRUE,""))</f>
        <v/>
      </c>
      <c r="Q201" s="26" t="b">
        <f t="shared" si="36"/>
        <v>0</v>
      </c>
      <c r="R201" s="26" t="b">
        <f t="shared" si="37"/>
        <v>0</v>
      </c>
    </row>
    <row r="202" spans="1:18" x14ac:dyDescent="0.25">
      <c r="A202" s="83" t="s">
        <v>130</v>
      </c>
      <c r="B202" s="83" t="s">
        <v>222</v>
      </c>
      <c r="C202" s="83">
        <v>40</v>
      </c>
      <c r="D202" s="83">
        <v>9.9</v>
      </c>
      <c r="E202" s="83">
        <v>2</v>
      </c>
      <c r="F202" s="83" t="s">
        <v>217</v>
      </c>
      <c r="G202" s="83"/>
      <c r="H202" s="83">
        <v>16</v>
      </c>
      <c r="I202" s="83" t="str">
        <f t="shared" si="30"/>
        <v xml:space="preserve"> Cu</v>
      </c>
      <c r="J202" s="83">
        <v>103</v>
      </c>
      <c r="K202" s="26" t="e">
        <f t="shared" si="31"/>
        <v>#N/A</v>
      </c>
      <c r="L202" s="26" t="e">
        <f t="shared" si="32"/>
        <v>#N/A</v>
      </c>
      <c r="M202" s="35" t="str">
        <f t="shared" si="33"/>
        <v/>
      </c>
      <c r="N202" s="26" t="str">
        <f t="shared" si="34"/>
        <v/>
      </c>
      <c r="O202" s="26" t="str">
        <f t="shared" si="35"/>
        <v/>
      </c>
      <c r="P202" s="35" t="str">
        <f>IF(AND($C$24=50,'Beregning AC vern'!U164="IT-230V"),FALSE,IF(AND($A$24=$A202,$B$24=$B202,$C$24=$C202,$D$24=$D202,$E$24=$E202),TRUE,""))</f>
        <v/>
      </c>
      <c r="Q202" s="26" t="b">
        <f t="shared" si="36"/>
        <v>0</v>
      </c>
      <c r="R202" s="26" t="b">
        <f t="shared" si="37"/>
        <v>0</v>
      </c>
    </row>
    <row r="203" spans="1:18" x14ac:dyDescent="0.25">
      <c r="A203" s="83" t="s">
        <v>130</v>
      </c>
      <c r="B203" s="83" t="s">
        <v>222</v>
      </c>
      <c r="C203" s="83">
        <v>40</v>
      </c>
      <c r="D203" s="83">
        <v>9.9</v>
      </c>
      <c r="E203" s="83">
        <v>2</v>
      </c>
      <c r="F203" s="83" t="s">
        <v>215</v>
      </c>
      <c r="G203" s="83"/>
      <c r="H203" s="83">
        <v>25</v>
      </c>
      <c r="I203" s="83" t="str">
        <f t="shared" si="30"/>
        <v xml:space="preserve"> Al</v>
      </c>
      <c r="J203" s="83">
        <v>97</v>
      </c>
      <c r="K203" s="26" t="e">
        <f t="shared" si="31"/>
        <v>#N/A</v>
      </c>
      <c r="L203" s="26" t="e">
        <f t="shared" si="32"/>
        <v>#N/A</v>
      </c>
      <c r="M203" s="35" t="str">
        <f t="shared" si="33"/>
        <v/>
      </c>
      <c r="N203" s="26" t="str">
        <f t="shared" si="34"/>
        <v/>
      </c>
      <c r="O203" s="26" t="str">
        <f t="shared" si="35"/>
        <v/>
      </c>
      <c r="P203" s="35" t="str">
        <f>IF(AND($C$24=50,'Beregning AC vern'!U165="IT-230V"),FALSE,IF(AND($A$24=$A203,$B$24=$B203,$C$24=$C203,$D$24=$D203,$E$24=$E203),TRUE,""))</f>
        <v/>
      </c>
      <c r="Q203" s="26" t="b">
        <f t="shared" si="36"/>
        <v>0</v>
      </c>
      <c r="R203" s="26" t="b">
        <f t="shared" si="37"/>
        <v>0</v>
      </c>
    </row>
    <row r="204" spans="1:18" x14ac:dyDescent="0.25">
      <c r="A204" s="83" t="s">
        <v>130</v>
      </c>
      <c r="B204" s="83" t="s">
        <v>222</v>
      </c>
      <c r="C204" s="83">
        <v>40</v>
      </c>
      <c r="D204" s="83">
        <v>9.9</v>
      </c>
      <c r="E204" s="83">
        <v>2</v>
      </c>
      <c r="F204" s="83" t="s">
        <v>216</v>
      </c>
      <c r="G204" s="83"/>
      <c r="H204" s="83">
        <v>50</v>
      </c>
      <c r="I204" s="83" t="str">
        <f t="shared" si="30"/>
        <v xml:space="preserve"> Al</v>
      </c>
      <c r="J204" s="83">
        <v>179</v>
      </c>
      <c r="K204" s="26" t="e">
        <f t="shared" si="31"/>
        <v>#N/A</v>
      </c>
      <c r="L204" s="26" t="e">
        <f t="shared" si="32"/>
        <v>#N/A</v>
      </c>
      <c r="M204" s="35" t="str">
        <f t="shared" si="33"/>
        <v/>
      </c>
      <c r="N204" s="26" t="str">
        <f t="shared" si="34"/>
        <v/>
      </c>
      <c r="O204" s="26" t="str">
        <f t="shared" si="35"/>
        <v/>
      </c>
      <c r="P204" s="35" t="str">
        <f>IF(AND($C$24=50,'Beregning AC vern'!U166="IT-230V"),FALSE,IF(AND($A$24=$A204,$B$24=$B204,$C$24=$C204,$D$24=$D204,$E$24=$E204),TRUE,""))</f>
        <v/>
      </c>
      <c r="Q204" s="26" t="b">
        <f t="shared" si="36"/>
        <v>0</v>
      </c>
      <c r="R204" s="26" t="b">
        <f t="shared" si="37"/>
        <v>0</v>
      </c>
    </row>
    <row r="205" spans="1:18" x14ac:dyDescent="0.25">
      <c r="A205" s="83" t="s">
        <v>130</v>
      </c>
      <c r="B205" s="83" t="s">
        <v>222</v>
      </c>
      <c r="C205" s="83">
        <v>63</v>
      </c>
      <c r="D205" s="83">
        <v>9.9</v>
      </c>
      <c r="E205" s="83">
        <v>2</v>
      </c>
      <c r="F205" s="83" t="s">
        <v>216</v>
      </c>
      <c r="G205" s="83"/>
      <c r="H205" s="83">
        <v>50</v>
      </c>
      <c r="I205" s="83" t="str">
        <f t="shared" si="30"/>
        <v xml:space="preserve"> Al</v>
      </c>
      <c r="J205" s="83">
        <v>113</v>
      </c>
      <c r="K205" s="26" t="e">
        <f t="shared" si="31"/>
        <v>#N/A</v>
      </c>
      <c r="L205" s="26" t="e">
        <f t="shared" si="32"/>
        <v>#N/A</v>
      </c>
      <c r="M205" s="35" t="str">
        <f t="shared" si="33"/>
        <v/>
      </c>
      <c r="N205" s="26" t="str">
        <f t="shared" si="34"/>
        <v/>
      </c>
      <c r="O205" s="26" t="str">
        <f t="shared" si="35"/>
        <v/>
      </c>
      <c r="P205" s="35" t="str">
        <f>IF(AND($C$24=50,'Beregning AC vern'!U167="IT-230V"),FALSE,IF(AND($A$24=$A205,$B$24=$B205,$C$24=$C205,$D$24=$D205,$E$24=$E205),TRUE,""))</f>
        <v/>
      </c>
      <c r="Q205" s="26" t="b">
        <f t="shared" si="36"/>
        <v>0</v>
      </c>
      <c r="R205" s="26" t="b">
        <f t="shared" si="37"/>
        <v>0</v>
      </c>
    </row>
    <row r="206" spans="1:18" x14ac:dyDescent="0.25">
      <c r="A206" s="83" t="s">
        <v>130</v>
      </c>
      <c r="B206" s="83" t="s">
        <v>222</v>
      </c>
      <c r="C206" s="83">
        <v>80</v>
      </c>
      <c r="D206" s="83">
        <v>9.9</v>
      </c>
      <c r="E206" s="83">
        <v>2</v>
      </c>
      <c r="F206" s="83" t="s">
        <v>218</v>
      </c>
      <c r="G206" s="83"/>
      <c r="H206" s="83">
        <v>95</v>
      </c>
      <c r="I206" s="83" t="str">
        <f t="shared" si="30"/>
        <v xml:space="preserve"> Al</v>
      </c>
      <c r="J206" s="83">
        <v>170</v>
      </c>
      <c r="K206" s="26" t="e">
        <f t="shared" si="31"/>
        <v>#N/A</v>
      </c>
      <c r="L206" s="26" t="e">
        <f t="shared" si="32"/>
        <v>#N/A</v>
      </c>
      <c r="M206" s="35" t="str">
        <f t="shared" si="33"/>
        <v/>
      </c>
      <c r="N206" s="26" t="str">
        <f t="shared" si="34"/>
        <v/>
      </c>
      <c r="O206" s="26" t="str">
        <f t="shared" si="35"/>
        <v/>
      </c>
      <c r="P206" s="35" t="str">
        <f>IF(AND($C$24=50,'Beregning AC vern'!U168="IT-230V"),FALSE,IF(AND($A$24=$A206,$B$24=$B206,$C$24=$C206,$D$24=$D206,$E$24=$E206),TRUE,""))</f>
        <v/>
      </c>
      <c r="Q206" s="26" t="b">
        <f t="shared" si="36"/>
        <v>0</v>
      </c>
      <c r="R206" s="26" t="b">
        <f t="shared" si="37"/>
        <v>0</v>
      </c>
    </row>
    <row r="207" spans="1:18" x14ac:dyDescent="0.25">
      <c r="A207" s="178" t="s">
        <v>130</v>
      </c>
      <c r="B207" s="178" t="s">
        <v>222</v>
      </c>
      <c r="C207" s="178">
        <v>25</v>
      </c>
      <c r="D207" s="178">
        <v>9.9</v>
      </c>
      <c r="E207" s="178">
        <v>5</v>
      </c>
      <c r="F207" s="178" t="s">
        <v>212</v>
      </c>
      <c r="G207" s="178"/>
      <c r="H207" s="178">
        <v>6</v>
      </c>
      <c r="I207" s="178" t="str">
        <f t="shared" si="30"/>
        <v>Cu</v>
      </c>
      <c r="J207" s="178">
        <v>63</v>
      </c>
      <c r="K207" s="26" t="e">
        <f t="shared" si="31"/>
        <v>#N/A</v>
      </c>
      <c r="L207" s="26" t="e">
        <f t="shared" si="32"/>
        <v>#N/A</v>
      </c>
      <c r="M207" s="35" t="str">
        <f t="shared" si="33"/>
        <v/>
      </c>
      <c r="N207" s="26" t="str">
        <f t="shared" si="34"/>
        <v/>
      </c>
      <c r="O207" s="26" t="str">
        <f t="shared" si="35"/>
        <v/>
      </c>
      <c r="P207" s="35" t="str">
        <f>IF(AND($C$24=50,'Beregning AC vern'!U169="IT-230V"),FALSE,IF(AND($A$24=$A207,$B$24=$B207,$C$24=$C207,$D$24=$D207,$E$24=$E207),TRUE,""))</f>
        <v/>
      </c>
      <c r="Q207" s="26" t="b">
        <f t="shared" si="36"/>
        <v>0</v>
      </c>
      <c r="R207" s="26" t="b">
        <f t="shared" si="37"/>
        <v>0</v>
      </c>
    </row>
    <row r="208" spans="1:18" x14ac:dyDescent="0.25">
      <c r="A208" s="83" t="s">
        <v>130</v>
      </c>
      <c r="B208" s="83" t="s">
        <v>222</v>
      </c>
      <c r="C208" s="83">
        <v>25</v>
      </c>
      <c r="D208" s="83">
        <v>9.9</v>
      </c>
      <c r="E208" s="83">
        <v>5</v>
      </c>
      <c r="F208" s="83" t="s">
        <v>214</v>
      </c>
      <c r="G208" s="83"/>
      <c r="H208" s="83">
        <v>10</v>
      </c>
      <c r="I208" s="83" t="str">
        <f t="shared" si="30"/>
        <v xml:space="preserve"> Cu</v>
      </c>
      <c r="J208" s="83">
        <v>104</v>
      </c>
      <c r="K208" s="26" t="e">
        <f t="shared" si="31"/>
        <v>#N/A</v>
      </c>
      <c r="L208" s="26" t="e">
        <f t="shared" si="32"/>
        <v>#N/A</v>
      </c>
      <c r="M208" s="35" t="str">
        <f t="shared" si="33"/>
        <v/>
      </c>
      <c r="N208" s="26" t="str">
        <f t="shared" si="34"/>
        <v/>
      </c>
      <c r="O208" s="26" t="str">
        <f t="shared" si="35"/>
        <v/>
      </c>
      <c r="P208" s="35" t="str">
        <f>IF(AND($C$24=50,'Beregning AC vern'!U170="IT-230V"),FALSE,IF(AND($A$24=$A208,$B$24=$B208,$C$24=$C208,$D$24=$D208,$E$24=$E208),TRUE,""))</f>
        <v/>
      </c>
      <c r="Q208" s="26" t="b">
        <f t="shared" si="36"/>
        <v>0</v>
      </c>
      <c r="R208" s="26" t="b">
        <f t="shared" si="37"/>
        <v>0</v>
      </c>
    </row>
    <row r="209" spans="1:18" x14ac:dyDescent="0.25">
      <c r="A209" s="83" t="s">
        <v>130</v>
      </c>
      <c r="B209" s="83" t="s">
        <v>222</v>
      </c>
      <c r="C209" s="83">
        <v>25</v>
      </c>
      <c r="D209" s="83">
        <v>9.9</v>
      </c>
      <c r="E209" s="83">
        <v>5</v>
      </c>
      <c r="F209" s="83" t="s">
        <v>215</v>
      </c>
      <c r="G209" s="83"/>
      <c r="H209" s="83">
        <v>25</v>
      </c>
      <c r="I209" s="83" t="str">
        <f t="shared" si="30"/>
        <v xml:space="preserve"> Al</v>
      </c>
      <c r="J209" s="83">
        <v>158</v>
      </c>
      <c r="K209" s="26" t="e">
        <f t="shared" si="31"/>
        <v>#N/A</v>
      </c>
      <c r="L209" s="26" t="e">
        <f t="shared" si="32"/>
        <v>#N/A</v>
      </c>
      <c r="M209" s="35" t="str">
        <f t="shared" si="33"/>
        <v/>
      </c>
      <c r="N209" s="26" t="str">
        <f t="shared" si="34"/>
        <v/>
      </c>
      <c r="O209" s="26" t="str">
        <f t="shared" si="35"/>
        <v/>
      </c>
      <c r="P209" s="35" t="str">
        <f>IF(AND($C$24=50,'Beregning AC vern'!U171="IT-230V"),FALSE,IF(AND($A$24=$A209,$B$24=$B209,$C$24=$C209,$D$24=$D209,$E$24=$E209),TRUE,""))</f>
        <v/>
      </c>
      <c r="Q209" s="26" t="b">
        <f t="shared" si="36"/>
        <v>0</v>
      </c>
      <c r="R209" s="26" t="b">
        <f t="shared" si="37"/>
        <v>0</v>
      </c>
    </row>
    <row r="210" spans="1:18" x14ac:dyDescent="0.25">
      <c r="A210" s="83" t="s">
        <v>130</v>
      </c>
      <c r="B210" s="83" t="s">
        <v>222</v>
      </c>
      <c r="C210" s="83">
        <v>25</v>
      </c>
      <c r="D210" s="83">
        <v>9.9</v>
      </c>
      <c r="E210" s="83">
        <v>5</v>
      </c>
      <c r="F210" s="83" t="s">
        <v>216</v>
      </c>
      <c r="G210" s="83"/>
      <c r="H210" s="83">
        <v>50</v>
      </c>
      <c r="I210" s="83" t="str">
        <f t="shared" si="30"/>
        <v xml:space="preserve"> Al</v>
      </c>
      <c r="J210" s="83">
        <v>286</v>
      </c>
      <c r="K210" s="26" t="e">
        <f t="shared" si="31"/>
        <v>#N/A</v>
      </c>
      <c r="L210" s="26" t="e">
        <f t="shared" si="32"/>
        <v>#N/A</v>
      </c>
      <c r="M210" s="35" t="str">
        <f t="shared" si="33"/>
        <v/>
      </c>
      <c r="N210" s="26" t="str">
        <f t="shared" si="34"/>
        <v/>
      </c>
      <c r="O210" s="26" t="str">
        <f t="shared" si="35"/>
        <v/>
      </c>
      <c r="P210" s="35" t="str">
        <f>IF(AND($C$24=50,'Beregning AC vern'!U172="IT-230V"),FALSE,IF(AND($A$24=$A210,$B$24=$B210,$C$24=$C210,$D$24=$D210,$E$24=$E210),TRUE,""))</f>
        <v/>
      </c>
      <c r="Q210" s="26" t="b">
        <f t="shared" si="36"/>
        <v>0</v>
      </c>
      <c r="R210" s="26" t="b">
        <f t="shared" si="37"/>
        <v>0</v>
      </c>
    </row>
    <row r="211" spans="1:18" x14ac:dyDescent="0.25">
      <c r="A211" s="83" t="s">
        <v>130</v>
      </c>
      <c r="B211" s="83" t="s">
        <v>222</v>
      </c>
      <c r="C211" s="83">
        <v>32</v>
      </c>
      <c r="D211" s="83">
        <v>9.9</v>
      </c>
      <c r="E211" s="83">
        <v>5</v>
      </c>
      <c r="F211" s="83" t="s">
        <v>214</v>
      </c>
      <c r="G211" s="83"/>
      <c r="H211" s="83">
        <v>10</v>
      </c>
      <c r="I211" s="83" t="str">
        <f t="shared" si="30"/>
        <v xml:space="preserve"> Cu</v>
      </c>
      <c r="J211" s="83">
        <v>81</v>
      </c>
      <c r="K211" s="26" t="e">
        <f t="shared" si="31"/>
        <v>#N/A</v>
      </c>
      <c r="L211" s="26" t="e">
        <f t="shared" si="32"/>
        <v>#N/A</v>
      </c>
      <c r="M211" s="35" t="b">
        <f t="shared" si="33"/>
        <v>1</v>
      </c>
      <c r="N211" s="26">
        <f t="shared" si="34"/>
        <v>81</v>
      </c>
      <c r="O211" s="26" t="str">
        <f t="shared" si="35"/>
        <v>10mm2 Cu</v>
      </c>
      <c r="P211" s="35" t="str">
        <f>IF(AND($C$24=50,'Beregning AC vern'!U173="IT-230V"),FALSE,IF(AND($A$24=$A211,$B$24=$B211,$C$24=$C211,$D$24=$D211,$E$24=$E211),TRUE,""))</f>
        <v/>
      </c>
      <c r="Q211" s="26" t="b">
        <f t="shared" si="36"/>
        <v>0</v>
      </c>
      <c r="R211" s="26" t="b">
        <f t="shared" si="37"/>
        <v>0</v>
      </c>
    </row>
    <row r="212" spans="1:18" x14ac:dyDescent="0.25">
      <c r="A212" s="83" t="s">
        <v>130</v>
      </c>
      <c r="B212" s="83" t="s">
        <v>222</v>
      </c>
      <c r="C212" s="83">
        <v>32</v>
      </c>
      <c r="D212" s="83">
        <v>9.9</v>
      </c>
      <c r="E212" s="83">
        <v>5</v>
      </c>
      <c r="F212" s="83" t="s">
        <v>215</v>
      </c>
      <c r="G212" s="83"/>
      <c r="H212" s="83">
        <v>25</v>
      </c>
      <c r="I212" s="83" t="str">
        <f t="shared" si="30"/>
        <v xml:space="preserve"> Al</v>
      </c>
      <c r="J212" s="83">
        <v>122</v>
      </c>
      <c r="K212" s="26" t="e">
        <f t="shared" si="31"/>
        <v>#N/A</v>
      </c>
      <c r="L212" s="26" t="e">
        <f t="shared" si="32"/>
        <v>#N/A</v>
      </c>
      <c r="M212" s="35" t="b">
        <f t="shared" si="33"/>
        <v>1</v>
      </c>
      <c r="N212" s="26">
        <f t="shared" si="34"/>
        <v>122</v>
      </c>
      <c r="O212" s="26" t="str">
        <f t="shared" si="35"/>
        <v>25mm2 Al</v>
      </c>
      <c r="P212" s="35" t="str">
        <f>IF(AND($C$24=50,'Beregning AC vern'!U174="IT-230V"),FALSE,IF(AND($A$24=$A212,$B$24=$B212,$C$24=$C212,$D$24=$D212,$E$24=$E212),TRUE,""))</f>
        <v/>
      </c>
      <c r="Q212" s="26" t="b">
        <f t="shared" si="36"/>
        <v>0</v>
      </c>
      <c r="R212" s="26" t="b">
        <f t="shared" si="37"/>
        <v>0</v>
      </c>
    </row>
    <row r="213" spans="1:18" x14ac:dyDescent="0.25">
      <c r="A213" s="83" t="s">
        <v>130</v>
      </c>
      <c r="B213" s="83" t="s">
        <v>222</v>
      </c>
      <c r="C213" s="83">
        <v>32</v>
      </c>
      <c r="D213" s="83">
        <v>9.9</v>
      </c>
      <c r="E213" s="83">
        <v>5</v>
      </c>
      <c r="F213" s="83" t="s">
        <v>216</v>
      </c>
      <c r="G213" s="83"/>
      <c r="H213" s="83">
        <v>50</v>
      </c>
      <c r="I213" s="83" t="str">
        <f t="shared" si="30"/>
        <v xml:space="preserve"> Al</v>
      </c>
      <c r="J213" s="83">
        <v>226</v>
      </c>
      <c r="K213" s="26" t="e">
        <f t="shared" si="31"/>
        <v>#N/A</v>
      </c>
      <c r="L213" s="26" t="e">
        <f t="shared" si="32"/>
        <v>#N/A</v>
      </c>
      <c r="M213" s="35" t="b">
        <f t="shared" si="33"/>
        <v>1</v>
      </c>
      <c r="N213" s="26">
        <f t="shared" si="34"/>
        <v>226</v>
      </c>
      <c r="O213" s="26" t="str">
        <f t="shared" si="35"/>
        <v>50mm2 Al</v>
      </c>
      <c r="P213" s="35" t="str">
        <f>IF(AND($C$24=50,'Beregning AC vern'!U175="IT-230V"),FALSE,IF(AND($A$24=$A213,$B$24=$B213,$C$24=$C213,$D$24=$D213,$E$24=$E213),TRUE,""))</f>
        <v/>
      </c>
      <c r="Q213" s="26" t="b">
        <f t="shared" si="36"/>
        <v>0</v>
      </c>
      <c r="R213" s="26" t="b">
        <f t="shared" si="37"/>
        <v>0</v>
      </c>
    </row>
    <row r="214" spans="1:18" x14ac:dyDescent="0.25">
      <c r="A214" s="83" t="s">
        <v>130</v>
      </c>
      <c r="B214" s="83" t="s">
        <v>222</v>
      </c>
      <c r="C214" s="83">
        <v>40</v>
      </c>
      <c r="D214" s="83">
        <v>9.9</v>
      </c>
      <c r="E214" s="83">
        <v>5</v>
      </c>
      <c r="F214" s="83" t="s">
        <v>217</v>
      </c>
      <c r="G214" s="83"/>
      <c r="H214" s="83">
        <v>16</v>
      </c>
      <c r="I214" s="83" t="str">
        <f t="shared" si="30"/>
        <v xml:space="preserve"> Cu</v>
      </c>
      <c r="J214" s="83">
        <v>103</v>
      </c>
      <c r="K214" s="26" t="e">
        <f t="shared" si="31"/>
        <v>#N/A</v>
      </c>
      <c r="L214" s="26" t="e">
        <f t="shared" si="32"/>
        <v>#N/A</v>
      </c>
      <c r="M214" s="35" t="str">
        <f t="shared" si="33"/>
        <v/>
      </c>
      <c r="N214" s="26" t="str">
        <f t="shared" si="34"/>
        <v/>
      </c>
      <c r="O214" s="26" t="str">
        <f t="shared" si="35"/>
        <v/>
      </c>
      <c r="P214" s="35" t="b">
        <f>IF(AND($C$24=50,'Beregning AC vern'!U176="IT-230V"),FALSE,IF(AND($A$24=$A214,$B$24=$B214,$C$24=$C214,$D$24=$D214,$E$24=$E214),TRUE,""))</f>
        <v>1</v>
      </c>
      <c r="Q214" s="26">
        <f t="shared" si="36"/>
        <v>103</v>
      </c>
      <c r="R214" s="26" t="str">
        <f t="shared" si="37"/>
        <v>16mm2 Cu</v>
      </c>
    </row>
    <row r="215" spans="1:18" x14ac:dyDescent="0.25">
      <c r="A215" s="83" t="s">
        <v>130</v>
      </c>
      <c r="B215" s="83" t="s">
        <v>222</v>
      </c>
      <c r="C215" s="83">
        <v>40</v>
      </c>
      <c r="D215" s="83">
        <v>9.9</v>
      </c>
      <c r="E215" s="83">
        <v>5</v>
      </c>
      <c r="F215" s="83" t="s">
        <v>215</v>
      </c>
      <c r="G215" s="83"/>
      <c r="H215" s="83">
        <v>25</v>
      </c>
      <c r="I215" s="83" t="str">
        <f t="shared" si="30"/>
        <v xml:space="preserve"> Al</v>
      </c>
      <c r="J215" s="83">
        <v>97</v>
      </c>
      <c r="K215" s="26" t="e">
        <f t="shared" si="31"/>
        <v>#N/A</v>
      </c>
      <c r="L215" s="26" t="e">
        <f t="shared" si="32"/>
        <v>#N/A</v>
      </c>
      <c r="M215" s="35" t="str">
        <f t="shared" si="33"/>
        <v/>
      </c>
      <c r="N215" s="26" t="str">
        <f t="shared" si="34"/>
        <v/>
      </c>
      <c r="O215" s="26" t="str">
        <f t="shared" si="35"/>
        <v/>
      </c>
      <c r="P215" s="35" t="b">
        <f>IF(AND($C$24=50,'Beregning AC vern'!U177="IT-230V"),FALSE,IF(AND($A$24=$A215,$B$24=$B215,$C$24=$C215,$D$24=$D215,$E$24=$E215),TRUE,""))</f>
        <v>1</v>
      </c>
      <c r="Q215" s="26">
        <f t="shared" si="36"/>
        <v>97</v>
      </c>
      <c r="R215" s="26" t="str">
        <f t="shared" si="37"/>
        <v>25mm2 Al</v>
      </c>
    </row>
    <row r="216" spans="1:18" x14ac:dyDescent="0.25">
      <c r="A216" s="83" t="s">
        <v>130</v>
      </c>
      <c r="B216" s="83" t="s">
        <v>222</v>
      </c>
      <c r="C216" s="83">
        <v>40</v>
      </c>
      <c r="D216" s="83">
        <v>9.9</v>
      </c>
      <c r="E216" s="83">
        <v>5</v>
      </c>
      <c r="F216" s="83" t="s">
        <v>216</v>
      </c>
      <c r="G216" s="83"/>
      <c r="H216" s="83">
        <v>50</v>
      </c>
      <c r="I216" s="83" t="str">
        <f t="shared" si="30"/>
        <v xml:space="preserve"> Al</v>
      </c>
      <c r="J216" s="83">
        <v>179</v>
      </c>
      <c r="K216" s="26" t="e">
        <f t="shared" si="31"/>
        <v>#N/A</v>
      </c>
      <c r="L216" s="26" t="e">
        <f t="shared" si="32"/>
        <v>#N/A</v>
      </c>
      <c r="M216" s="35" t="str">
        <f t="shared" si="33"/>
        <v/>
      </c>
      <c r="N216" s="26" t="str">
        <f t="shared" si="34"/>
        <v/>
      </c>
      <c r="O216" s="26" t="str">
        <f t="shared" si="35"/>
        <v/>
      </c>
      <c r="P216" s="35" t="b">
        <f>IF(AND($C$24=50,'Beregning AC vern'!U178="IT-230V"),FALSE,IF(AND($A$24=$A216,$B$24=$B216,$C$24=$C216,$D$24=$D216,$E$24=$E216),TRUE,""))</f>
        <v>1</v>
      </c>
      <c r="Q216" s="26">
        <f t="shared" si="36"/>
        <v>179</v>
      </c>
      <c r="R216" s="26" t="str">
        <f t="shared" si="37"/>
        <v>50mm2 Al</v>
      </c>
    </row>
    <row r="217" spans="1:18" x14ac:dyDescent="0.25">
      <c r="A217" s="83" t="s">
        <v>130</v>
      </c>
      <c r="B217" s="83" t="s">
        <v>222</v>
      </c>
      <c r="C217" s="83">
        <v>63</v>
      </c>
      <c r="D217" s="83">
        <v>9.9</v>
      </c>
      <c r="E217" s="83">
        <v>5</v>
      </c>
      <c r="F217" s="83" t="s">
        <v>216</v>
      </c>
      <c r="G217" s="83"/>
      <c r="H217" s="83">
        <v>50</v>
      </c>
      <c r="I217" s="83" t="str">
        <f t="shared" si="30"/>
        <v xml:space="preserve"> Al</v>
      </c>
      <c r="J217" s="83">
        <v>113</v>
      </c>
      <c r="K217" s="26" t="e">
        <f t="shared" si="31"/>
        <v>#N/A</v>
      </c>
      <c r="L217" s="26" t="e">
        <f t="shared" si="32"/>
        <v>#N/A</v>
      </c>
      <c r="M217" s="35" t="str">
        <f t="shared" si="33"/>
        <v/>
      </c>
      <c r="N217" s="26" t="str">
        <f t="shared" si="34"/>
        <v/>
      </c>
      <c r="O217" s="26" t="str">
        <f t="shared" si="35"/>
        <v/>
      </c>
      <c r="P217" s="35" t="str">
        <f>IF(AND($C$24=50,'Beregning AC vern'!U179="IT-230V"),FALSE,IF(AND($A$24=$A217,$B$24=$B217,$C$24=$C217,$D$24=$D217,$E$24=$E217),TRUE,""))</f>
        <v/>
      </c>
      <c r="Q217" s="26" t="b">
        <f t="shared" si="36"/>
        <v>0</v>
      </c>
      <c r="R217" s="26" t="b">
        <f t="shared" si="37"/>
        <v>0</v>
      </c>
    </row>
    <row r="218" spans="1:18" x14ac:dyDescent="0.25">
      <c r="A218" s="83" t="s">
        <v>130</v>
      </c>
      <c r="B218" s="83" t="s">
        <v>222</v>
      </c>
      <c r="C218" s="83">
        <v>80</v>
      </c>
      <c r="D218" s="83">
        <v>9.9</v>
      </c>
      <c r="E218" s="83">
        <v>5</v>
      </c>
      <c r="F218" s="83" t="s">
        <v>218</v>
      </c>
      <c r="G218" s="83"/>
      <c r="H218" s="83">
        <v>95</v>
      </c>
      <c r="I218" s="83" t="str">
        <f t="shared" si="30"/>
        <v xml:space="preserve"> Al</v>
      </c>
      <c r="J218" s="83">
        <v>170</v>
      </c>
      <c r="K218" s="26" t="e">
        <f t="shared" si="31"/>
        <v>#N/A</v>
      </c>
      <c r="L218" s="26" t="e">
        <f t="shared" si="32"/>
        <v>#N/A</v>
      </c>
      <c r="M218" s="35" t="str">
        <f t="shared" si="33"/>
        <v/>
      </c>
      <c r="N218" s="26" t="str">
        <f t="shared" si="34"/>
        <v/>
      </c>
      <c r="O218" s="26" t="str">
        <f t="shared" si="35"/>
        <v/>
      </c>
      <c r="P218" s="35" t="str">
        <f>IF(AND($C$24=50,'Beregning AC vern'!U180="IT-230V"),FALSE,IF(AND($A$24=$A218,$B$24=$B218,$C$24=$C218,$D$24=$D218,$E$24=$E218),TRUE,""))</f>
        <v/>
      </c>
      <c r="Q218" s="26" t="b">
        <f t="shared" si="36"/>
        <v>0</v>
      </c>
      <c r="R218" s="26" t="b">
        <f t="shared" si="37"/>
        <v>0</v>
      </c>
    </row>
    <row r="219" spans="1:18" x14ac:dyDescent="0.25">
      <c r="A219" s="178" t="s">
        <v>130</v>
      </c>
      <c r="B219" s="178" t="s">
        <v>222</v>
      </c>
      <c r="C219" s="178">
        <v>25</v>
      </c>
      <c r="D219" s="178">
        <v>9.9</v>
      </c>
      <c r="E219" s="178">
        <v>8.5</v>
      </c>
      <c r="F219" s="178" t="s">
        <v>212</v>
      </c>
      <c r="G219" s="178"/>
      <c r="H219" s="178">
        <v>6</v>
      </c>
      <c r="I219" s="178" t="str">
        <f t="shared" si="30"/>
        <v>Cu</v>
      </c>
      <c r="J219" s="178">
        <v>63</v>
      </c>
      <c r="K219" s="26" t="e">
        <f t="shared" si="31"/>
        <v>#N/A</v>
      </c>
      <c r="L219" s="26" t="e">
        <f t="shared" si="32"/>
        <v>#N/A</v>
      </c>
      <c r="M219" s="35" t="str">
        <f t="shared" si="33"/>
        <v/>
      </c>
      <c r="N219" s="26" t="str">
        <f t="shared" si="34"/>
        <v/>
      </c>
      <c r="O219" s="26" t="str">
        <f t="shared" si="35"/>
        <v/>
      </c>
      <c r="P219" s="35" t="str">
        <f>IF(AND($C$24=50,'Beregning AC vern'!U181="IT-230V"),FALSE,IF(AND($A$24=$A219,$B$24=$B219,$C$24=$C219,$D$24=$D219,$E$24=$E219),TRUE,""))</f>
        <v/>
      </c>
      <c r="Q219" s="26" t="b">
        <f t="shared" si="36"/>
        <v>0</v>
      </c>
      <c r="R219" s="26" t="b">
        <f t="shared" si="37"/>
        <v>0</v>
      </c>
    </row>
    <row r="220" spans="1:18" x14ac:dyDescent="0.25">
      <c r="A220" s="83" t="s">
        <v>130</v>
      </c>
      <c r="B220" s="83" t="s">
        <v>222</v>
      </c>
      <c r="C220" s="83">
        <v>25</v>
      </c>
      <c r="D220" s="83">
        <v>9.9</v>
      </c>
      <c r="E220" s="83">
        <v>8.5</v>
      </c>
      <c r="F220" s="83" t="s">
        <v>214</v>
      </c>
      <c r="G220" s="83"/>
      <c r="H220" s="83">
        <v>10</v>
      </c>
      <c r="I220" s="83" t="str">
        <f t="shared" si="30"/>
        <v xml:space="preserve"> Cu</v>
      </c>
      <c r="J220" s="83">
        <v>104</v>
      </c>
      <c r="K220" s="26" t="e">
        <f t="shared" si="31"/>
        <v>#N/A</v>
      </c>
      <c r="L220" s="26" t="e">
        <f t="shared" si="32"/>
        <v>#N/A</v>
      </c>
      <c r="M220" s="35" t="str">
        <f t="shared" si="33"/>
        <v/>
      </c>
      <c r="N220" s="26" t="str">
        <f t="shared" si="34"/>
        <v/>
      </c>
      <c r="O220" s="26" t="str">
        <f t="shared" si="35"/>
        <v/>
      </c>
      <c r="P220" s="35" t="str">
        <f>IF(AND($C$24=50,'Beregning AC vern'!U182="IT-230V"),FALSE,IF(AND($A$24=$A220,$B$24=$B220,$C$24=$C220,$D$24=$D220,$E$24=$E220),TRUE,""))</f>
        <v/>
      </c>
      <c r="Q220" s="26" t="b">
        <f t="shared" si="36"/>
        <v>0</v>
      </c>
      <c r="R220" s="26" t="b">
        <f t="shared" si="37"/>
        <v>0</v>
      </c>
    </row>
    <row r="221" spans="1:18" x14ac:dyDescent="0.25">
      <c r="A221" s="83" t="s">
        <v>130</v>
      </c>
      <c r="B221" s="83" t="s">
        <v>222</v>
      </c>
      <c r="C221" s="83">
        <v>25</v>
      </c>
      <c r="D221" s="83">
        <v>9.9</v>
      </c>
      <c r="E221" s="83">
        <v>8.5</v>
      </c>
      <c r="F221" s="83" t="s">
        <v>215</v>
      </c>
      <c r="G221" s="83"/>
      <c r="H221" s="83">
        <v>25</v>
      </c>
      <c r="I221" s="83" t="str">
        <f t="shared" si="30"/>
        <v xml:space="preserve"> Al</v>
      </c>
      <c r="J221" s="83">
        <v>158</v>
      </c>
      <c r="K221" s="26" t="e">
        <f t="shared" si="31"/>
        <v>#N/A</v>
      </c>
      <c r="L221" s="26" t="e">
        <f t="shared" si="32"/>
        <v>#N/A</v>
      </c>
      <c r="M221" s="35" t="str">
        <f t="shared" si="33"/>
        <v/>
      </c>
      <c r="N221" s="26" t="str">
        <f t="shared" si="34"/>
        <v/>
      </c>
      <c r="O221" s="26" t="str">
        <f t="shared" si="35"/>
        <v/>
      </c>
      <c r="P221" s="35" t="str">
        <f>IF(AND($C$24=50,'Beregning AC vern'!U183="IT-230V"),FALSE,IF(AND($A$24=$A221,$B$24=$B221,$C$24=$C221,$D$24=$D221,$E$24=$E221),TRUE,""))</f>
        <v/>
      </c>
      <c r="Q221" s="26" t="b">
        <f t="shared" si="36"/>
        <v>0</v>
      </c>
      <c r="R221" s="26" t="b">
        <f t="shared" si="37"/>
        <v>0</v>
      </c>
    </row>
    <row r="222" spans="1:18" x14ac:dyDescent="0.25">
      <c r="A222" s="83" t="s">
        <v>130</v>
      </c>
      <c r="B222" s="83" t="s">
        <v>222</v>
      </c>
      <c r="C222" s="83">
        <v>25</v>
      </c>
      <c r="D222" s="83">
        <v>9.9</v>
      </c>
      <c r="E222" s="83">
        <v>8.5</v>
      </c>
      <c r="F222" s="83" t="s">
        <v>216</v>
      </c>
      <c r="G222" s="83"/>
      <c r="H222" s="83">
        <v>50</v>
      </c>
      <c r="I222" s="83" t="str">
        <f t="shared" si="30"/>
        <v xml:space="preserve"> Al</v>
      </c>
      <c r="J222" s="83">
        <v>286</v>
      </c>
      <c r="K222" s="26" t="e">
        <f t="shared" si="31"/>
        <v>#N/A</v>
      </c>
      <c r="L222" s="26" t="e">
        <f t="shared" si="32"/>
        <v>#N/A</v>
      </c>
      <c r="M222" s="35" t="str">
        <f t="shared" si="33"/>
        <v/>
      </c>
      <c r="N222" s="26" t="str">
        <f t="shared" si="34"/>
        <v/>
      </c>
      <c r="O222" s="26" t="str">
        <f t="shared" si="35"/>
        <v/>
      </c>
      <c r="P222" s="35" t="str">
        <f>IF(AND($C$24=50,'Beregning AC vern'!U184="IT-230V"),FALSE,IF(AND($A$24=$A222,$B$24=$B222,$C$24=$C222,$D$24=$D222,$E$24=$E222),TRUE,""))</f>
        <v/>
      </c>
      <c r="Q222" s="26" t="b">
        <f t="shared" si="36"/>
        <v>0</v>
      </c>
      <c r="R222" s="26" t="b">
        <f t="shared" si="37"/>
        <v>0</v>
      </c>
    </row>
    <row r="223" spans="1:18" x14ac:dyDescent="0.25">
      <c r="A223" s="83" t="s">
        <v>130</v>
      </c>
      <c r="B223" s="83" t="s">
        <v>222</v>
      </c>
      <c r="C223" s="83">
        <v>32</v>
      </c>
      <c r="D223" s="83">
        <v>9.9</v>
      </c>
      <c r="E223" s="83">
        <v>8.5</v>
      </c>
      <c r="F223" s="83" t="s">
        <v>214</v>
      </c>
      <c r="G223" s="83"/>
      <c r="H223" s="83">
        <v>10</v>
      </c>
      <c r="I223" s="83" t="str">
        <f t="shared" si="30"/>
        <v xml:space="preserve"> Cu</v>
      </c>
      <c r="J223" s="83">
        <v>81</v>
      </c>
      <c r="K223" s="26" t="e">
        <f t="shared" si="31"/>
        <v>#N/A</v>
      </c>
      <c r="L223" s="26" t="e">
        <f t="shared" si="32"/>
        <v>#N/A</v>
      </c>
      <c r="M223" s="35" t="str">
        <f t="shared" si="33"/>
        <v/>
      </c>
      <c r="N223" s="26" t="str">
        <f t="shared" si="34"/>
        <v/>
      </c>
      <c r="O223" s="26" t="str">
        <f t="shared" si="35"/>
        <v/>
      </c>
      <c r="P223" s="35" t="str">
        <f>IF(AND($C$24=50,'Beregning AC vern'!U185="IT-230V"),FALSE,IF(AND($A$24=$A223,$B$24=$B223,$C$24=$C223,$D$24=$D223,$E$24=$E223),TRUE,""))</f>
        <v/>
      </c>
      <c r="Q223" s="26" t="b">
        <f t="shared" si="36"/>
        <v>0</v>
      </c>
      <c r="R223" s="26" t="b">
        <f t="shared" si="37"/>
        <v>0</v>
      </c>
    </row>
    <row r="224" spans="1:18" x14ac:dyDescent="0.25">
      <c r="A224" s="83" t="s">
        <v>130</v>
      </c>
      <c r="B224" s="83" t="s">
        <v>222</v>
      </c>
      <c r="C224" s="83">
        <v>32</v>
      </c>
      <c r="D224" s="83">
        <v>9.9</v>
      </c>
      <c r="E224" s="83">
        <v>8.5</v>
      </c>
      <c r="F224" s="83" t="s">
        <v>215</v>
      </c>
      <c r="G224" s="83"/>
      <c r="H224" s="83">
        <v>25</v>
      </c>
      <c r="I224" s="83" t="str">
        <f t="shared" si="30"/>
        <v xml:space="preserve"> Al</v>
      </c>
      <c r="J224" s="83">
        <v>122</v>
      </c>
      <c r="K224" s="26" t="e">
        <f t="shared" si="31"/>
        <v>#N/A</v>
      </c>
      <c r="L224" s="26" t="e">
        <f t="shared" si="32"/>
        <v>#N/A</v>
      </c>
      <c r="M224" s="35" t="str">
        <f t="shared" si="33"/>
        <v/>
      </c>
      <c r="N224" s="26" t="str">
        <f t="shared" si="34"/>
        <v/>
      </c>
      <c r="O224" s="26" t="str">
        <f t="shared" si="35"/>
        <v/>
      </c>
      <c r="P224" s="35" t="str">
        <f>IF(AND($C$24=50,'Beregning AC vern'!U186="IT-230V"),FALSE,IF(AND($A$24=$A224,$B$24=$B224,$C$24=$C224,$D$24=$D224,$E$24=$E224),TRUE,""))</f>
        <v/>
      </c>
      <c r="Q224" s="26" t="b">
        <f t="shared" si="36"/>
        <v>0</v>
      </c>
      <c r="R224" s="26" t="b">
        <f t="shared" si="37"/>
        <v>0</v>
      </c>
    </row>
    <row r="225" spans="1:28" x14ac:dyDescent="0.25">
      <c r="A225" s="83" t="s">
        <v>130</v>
      </c>
      <c r="B225" s="83" t="s">
        <v>222</v>
      </c>
      <c r="C225" s="83">
        <v>32</v>
      </c>
      <c r="D225" s="83">
        <v>9.9</v>
      </c>
      <c r="E225" s="83">
        <v>8.5</v>
      </c>
      <c r="F225" s="83" t="s">
        <v>216</v>
      </c>
      <c r="G225" s="83"/>
      <c r="H225" s="83">
        <v>50</v>
      </c>
      <c r="I225" s="83" t="str">
        <f t="shared" si="30"/>
        <v xml:space="preserve"> Al</v>
      </c>
      <c r="J225" s="83">
        <v>226</v>
      </c>
      <c r="K225" s="26" t="e">
        <f t="shared" si="31"/>
        <v>#N/A</v>
      </c>
      <c r="L225" s="26" t="e">
        <f t="shared" si="32"/>
        <v>#N/A</v>
      </c>
      <c r="M225" s="35" t="str">
        <f t="shared" si="33"/>
        <v/>
      </c>
      <c r="N225" s="26" t="str">
        <f t="shared" si="34"/>
        <v/>
      </c>
      <c r="O225" s="26" t="str">
        <f t="shared" si="35"/>
        <v/>
      </c>
      <c r="P225" s="35" t="str">
        <f>IF(AND($C$24=50,'Beregning AC vern'!U187="IT-230V"),FALSE,IF(AND($A$24=$A225,$B$24=$B225,$C$24=$C225,$D$24=$D225,$E$24=$E225),TRUE,""))</f>
        <v/>
      </c>
      <c r="Q225" s="26" t="b">
        <f t="shared" si="36"/>
        <v>0</v>
      </c>
      <c r="R225" s="26" t="b">
        <f t="shared" si="37"/>
        <v>0</v>
      </c>
    </row>
    <row r="226" spans="1:28" x14ac:dyDescent="0.25">
      <c r="A226" s="83" t="s">
        <v>130</v>
      </c>
      <c r="B226" s="83" t="s">
        <v>222</v>
      </c>
      <c r="C226" s="83">
        <v>40</v>
      </c>
      <c r="D226" s="83">
        <v>9.9</v>
      </c>
      <c r="E226" s="83">
        <v>8.5</v>
      </c>
      <c r="F226" s="83" t="s">
        <v>217</v>
      </c>
      <c r="G226" s="83"/>
      <c r="H226" s="83">
        <v>16</v>
      </c>
      <c r="I226" s="83" t="str">
        <f t="shared" si="30"/>
        <v xml:space="preserve"> Cu</v>
      </c>
      <c r="J226" s="83">
        <v>103</v>
      </c>
      <c r="K226" s="26" t="e">
        <f t="shared" si="31"/>
        <v>#N/A</v>
      </c>
      <c r="L226" s="26" t="e">
        <f t="shared" si="32"/>
        <v>#N/A</v>
      </c>
      <c r="M226" s="35" t="str">
        <f t="shared" si="33"/>
        <v/>
      </c>
      <c r="N226" s="26" t="str">
        <f t="shared" si="34"/>
        <v/>
      </c>
      <c r="O226" s="26" t="str">
        <f t="shared" si="35"/>
        <v/>
      </c>
      <c r="P226" s="35" t="str">
        <f>IF(AND($C$24=50,'Beregning AC vern'!U188="IT-230V"),FALSE,IF(AND($A$24=$A226,$B$24=$B226,$C$24=$C226,$D$24=$D226,$E$24=$E226),TRUE,""))</f>
        <v/>
      </c>
      <c r="Q226" s="26" t="b">
        <f t="shared" si="36"/>
        <v>0</v>
      </c>
      <c r="R226" s="26" t="b">
        <f t="shared" si="37"/>
        <v>0</v>
      </c>
    </row>
    <row r="227" spans="1:28" x14ac:dyDescent="0.25">
      <c r="A227" s="83" t="s">
        <v>130</v>
      </c>
      <c r="B227" s="83" t="s">
        <v>222</v>
      </c>
      <c r="C227" s="83">
        <v>40</v>
      </c>
      <c r="D227" s="83">
        <v>9.9</v>
      </c>
      <c r="E227" s="83">
        <v>8.5</v>
      </c>
      <c r="F227" s="83" t="s">
        <v>215</v>
      </c>
      <c r="G227" s="83"/>
      <c r="H227" s="83">
        <v>25</v>
      </c>
      <c r="I227" s="83" t="str">
        <f>MID(F227,6,3)</f>
        <v xml:space="preserve"> Al</v>
      </c>
      <c r="J227" s="83">
        <v>97</v>
      </c>
      <c r="K227" s="26" t="e">
        <f t="shared" si="31"/>
        <v>#N/A</v>
      </c>
      <c r="L227" s="26" t="e">
        <f t="shared" si="32"/>
        <v>#N/A</v>
      </c>
      <c r="M227" s="35" t="str">
        <f t="shared" si="33"/>
        <v/>
      </c>
      <c r="N227" s="26" t="str">
        <f t="shared" si="34"/>
        <v/>
      </c>
      <c r="O227" s="26" t="str">
        <f t="shared" si="35"/>
        <v/>
      </c>
      <c r="P227" s="35" t="str">
        <f>IF(AND($C$24=50,'Beregning AC vern'!U189="IT-230V"),FALSE,IF(AND($A$24=$A227,$B$24=$B227,$C$24=$C227,$D$24=$D227,$E$24=$E227),TRUE,""))</f>
        <v/>
      </c>
      <c r="Q227" s="26" t="b">
        <f t="shared" si="36"/>
        <v>0</v>
      </c>
      <c r="R227" s="26" t="b">
        <f t="shared" si="37"/>
        <v>0</v>
      </c>
    </row>
    <row r="228" spans="1:28" x14ac:dyDescent="0.25">
      <c r="A228" s="83" t="s">
        <v>130</v>
      </c>
      <c r="B228" s="83" t="s">
        <v>222</v>
      </c>
      <c r="C228" s="83">
        <v>40</v>
      </c>
      <c r="D228" s="83">
        <v>9.9</v>
      </c>
      <c r="E228" s="83">
        <v>8.5</v>
      </c>
      <c r="F228" s="83" t="s">
        <v>216</v>
      </c>
      <c r="G228" s="83"/>
      <c r="H228" s="83">
        <v>50</v>
      </c>
      <c r="I228" s="83" t="str">
        <f>MID(F228,6,3)</f>
        <v xml:space="preserve"> Al</v>
      </c>
      <c r="J228" s="83">
        <v>179</v>
      </c>
      <c r="K228" s="26" t="e">
        <f t="shared" si="31"/>
        <v>#N/A</v>
      </c>
      <c r="L228" s="26" t="e">
        <f t="shared" si="32"/>
        <v>#N/A</v>
      </c>
      <c r="M228" s="35" t="str">
        <f t="shared" si="33"/>
        <v/>
      </c>
      <c r="N228" s="26" t="str">
        <f t="shared" si="34"/>
        <v/>
      </c>
      <c r="O228" s="26" t="str">
        <f t="shared" si="35"/>
        <v/>
      </c>
      <c r="P228" s="35" t="str">
        <f>IF(AND($C$24=50,'Beregning AC vern'!U190="IT-230V"),FALSE,IF(AND($A$24=$A228,$B$24=$B228,$C$24=$C228,$D$24=$D228,$E$24=$E228),TRUE,""))</f>
        <v/>
      </c>
      <c r="Q228" s="26" t="b">
        <f t="shared" si="36"/>
        <v>0</v>
      </c>
      <c r="R228" s="26" t="b">
        <f t="shared" si="37"/>
        <v>0</v>
      </c>
    </row>
    <row r="229" spans="1:28" x14ac:dyDescent="0.25">
      <c r="A229" s="83" t="s">
        <v>130</v>
      </c>
      <c r="B229" s="83" t="s">
        <v>222</v>
      </c>
      <c r="C229" s="83">
        <v>63</v>
      </c>
      <c r="D229" s="83">
        <v>9.9</v>
      </c>
      <c r="E229" s="83">
        <v>8.5</v>
      </c>
      <c r="F229" s="83" t="s">
        <v>216</v>
      </c>
      <c r="G229" s="83"/>
      <c r="H229" s="83">
        <v>50</v>
      </c>
      <c r="I229" s="83" t="str">
        <f>MID(F229,6,3)</f>
        <v xml:space="preserve"> Al</v>
      </c>
      <c r="J229" s="83">
        <v>113</v>
      </c>
      <c r="K229" s="26" t="e">
        <f t="shared" si="31"/>
        <v>#N/A</v>
      </c>
      <c r="L229" s="26" t="e">
        <f t="shared" si="32"/>
        <v>#N/A</v>
      </c>
      <c r="M229" s="35" t="str">
        <f t="shared" si="33"/>
        <v/>
      </c>
      <c r="N229" s="26" t="str">
        <f t="shared" si="34"/>
        <v/>
      </c>
      <c r="O229" s="26" t="str">
        <f t="shared" si="35"/>
        <v/>
      </c>
      <c r="P229" s="35" t="str">
        <f>IF(AND($C$24=50,'Beregning AC vern'!U191="IT-230V"),FALSE,IF(AND($A$24=$A229,$B$24=$B229,$C$24=$C229,$D$24=$D229,$E$24=$E229),TRUE,""))</f>
        <v/>
      </c>
      <c r="Q229" s="26" t="b">
        <f t="shared" si="36"/>
        <v>0</v>
      </c>
      <c r="R229" s="26" t="b">
        <f t="shared" si="37"/>
        <v>0</v>
      </c>
    </row>
    <row r="230" spans="1:28" x14ac:dyDescent="0.25">
      <c r="A230" s="83" t="s">
        <v>130</v>
      </c>
      <c r="B230" s="83" t="s">
        <v>222</v>
      </c>
      <c r="C230" s="83">
        <v>80</v>
      </c>
      <c r="D230" s="83">
        <v>9.9</v>
      </c>
      <c r="E230" s="83">
        <v>8.5</v>
      </c>
      <c r="F230" s="83" t="s">
        <v>216</v>
      </c>
      <c r="G230" s="83"/>
      <c r="H230" s="83">
        <v>50</v>
      </c>
      <c r="I230" s="83" t="str">
        <f>MID(F230,6,3)</f>
        <v xml:space="preserve"> Al</v>
      </c>
      <c r="J230" s="83">
        <v>170</v>
      </c>
      <c r="K230" s="26" t="e">
        <f t="shared" si="31"/>
        <v>#N/A</v>
      </c>
      <c r="L230" s="26" t="e">
        <f t="shared" si="32"/>
        <v>#N/A</v>
      </c>
      <c r="M230" s="35" t="str">
        <f t="shared" si="33"/>
        <v/>
      </c>
      <c r="N230" s="26" t="str">
        <f t="shared" si="34"/>
        <v/>
      </c>
      <c r="O230" s="26" t="str">
        <f t="shared" si="35"/>
        <v/>
      </c>
      <c r="P230" s="35" t="str">
        <f>IF(AND($C$24=50,'Beregning AC vern'!U192="IT-230V"),FALSE,IF(AND($A$24=$A230,$B$24=$B230,$C$24=$C230,$D$24=$D230,$E$24=$E230),TRUE,""))</f>
        <v/>
      </c>
      <c r="Q230" s="26" t="b">
        <f t="shared" si="36"/>
        <v>0</v>
      </c>
      <c r="R230" s="26" t="b">
        <f t="shared" si="37"/>
        <v>0</v>
      </c>
    </row>
    <row r="231" spans="1:28" ht="15.75" thickBot="1" x14ac:dyDescent="0.3">
      <c r="A231" s="181" t="s">
        <v>190</v>
      </c>
      <c r="B231" s="181" t="s">
        <v>243</v>
      </c>
      <c r="C231" s="181" t="s">
        <v>206</v>
      </c>
      <c r="D231" s="181" t="s">
        <v>207</v>
      </c>
      <c r="E231" s="181" t="s">
        <v>208</v>
      </c>
      <c r="F231" s="181" t="s">
        <v>209</v>
      </c>
      <c r="G231" s="181"/>
      <c r="H231" s="170" t="s">
        <v>229</v>
      </c>
      <c r="I231" s="170" t="s">
        <v>230</v>
      </c>
      <c r="J231" s="181" t="s">
        <v>210</v>
      </c>
      <c r="K231" s="26" t="e">
        <f t="shared" si="31"/>
        <v>#N/A</v>
      </c>
      <c r="L231" s="26" t="e">
        <f t="shared" si="32"/>
        <v>#N/A</v>
      </c>
      <c r="M231" s="35" t="str">
        <f t="shared" si="33"/>
        <v/>
      </c>
      <c r="N231" s="26" t="str">
        <f t="shared" si="34"/>
        <v/>
      </c>
      <c r="O231" s="26" t="str">
        <f t="shared" si="35"/>
        <v/>
      </c>
      <c r="P231" s="35" t="str">
        <f>IF(AND($C$24=50,'Beregning AC vern'!U193="IT-230V"),FALSE,IF(AND($A$24=$A231,$B$24=$B231,$C$24=$C231,$D$24=$D231,$E$24=$E231),TRUE,""))</f>
        <v/>
      </c>
      <c r="Q231" s="26" t="b">
        <f t="shared" si="36"/>
        <v>0</v>
      </c>
      <c r="R231" s="26" t="b">
        <f t="shared" si="37"/>
        <v>0</v>
      </c>
    </row>
    <row r="232" spans="1:28" x14ac:dyDescent="0.25">
      <c r="A232" s="83" t="s">
        <v>131</v>
      </c>
      <c r="B232" s="83" t="s">
        <v>222</v>
      </c>
      <c r="C232" s="83">
        <v>25</v>
      </c>
      <c r="D232" s="83">
        <v>9.9</v>
      </c>
      <c r="E232" s="83">
        <v>0.25</v>
      </c>
      <c r="F232" s="83" t="s">
        <v>212</v>
      </c>
      <c r="G232" s="83"/>
      <c r="H232" s="83">
        <v>6</v>
      </c>
      <c r="I232" s="83" t="str">
        <f t="shared" ref="I232:I295" si="38">MID(F232,6,3)</f>
        <v>Cu</v>
      </c>
      <c r="J232" s="83">
        <v>108</v>
      </c>
      <c r="K232" s="26" t="e">
        <f t="shared" ref="K232:K295" si="39">IF(AND($A$20=$A232,$B$20=$B232,$C$20=$C232,$D$20=$D232,$E$20=$E232,$F$20=$F232),TRUE,"")</f>
        <v>#N/A</v>
      </c>
      <c r="L232" s="26" t="e">
        <f t="shared" ref="L232:L295" si="40">IF(K232=TRUE,J232,"")</f>
        <v>#N/A</v>
      </c>
      <c r="M232" s="35" t="str">
        <f t="shared" ref="M232:M295" si="41">IF(AND($A$21=$A232,$B$21=$B232,$C$21=$C232,$D$21=$D232,$E$21=$E232,$J$7&lt;=J232),TRUE,"")</f>
        <v/>
      </c>
      <c r="N232" s="26" t="str">
        <f t="shared" ref="N232:N295" si="42">IF(M232=TRUE,J232,"")</f>
        <v/>
      </c>
      <c r="O232" s="26" t="str">
        <f t="shared" ref="O232:O295" si="43">IF(M232=TRUE,F232,"")</f>
        <v/>
      </c>
      <c r="P232" s="35" t="str">
        <f>IF(AND($C$24=50,'Beregning AC vern'!U194="IT-230V"),FALSE,IF(AND($A$24=$A232,$B$24=$B232,$C$24=$C232,$D$24=$D232,$E$24=$E232),TRUE,""))</f>
        <v/>
      </c>
      <c r="Q232" s="26" t="b">
        <f t="shared" ref="Q232:Q295" si="44">IF(P232=TRUE,J232,IF(P232=FALSE,FALSE))</f>
        <v>0</v>
      </c>
      <c r="R232" s="26" t="b">
        <f t="shared" ref="R232:R295" si="45">IF(P232=TRUE,F232,IF(P232=FALSE,"Data mangler"))</f>
        <v>0</v>
      </c>
      <c r="V232" s="250" t="s">
        <v>220</v>
      </c>
      <c r="W232" s="251"/>
      <c r="X232" s="164" t="s">
        <v>200</v>
      </c>
      <c r="Y232" s="164" t="s">
        <v>201</v>
      </c>
      <c r="Z232" s="164"/>
      <c r="AA232" s="164"/>
      <c r="AB232" s="165" t="s">
        <v>202</v>
      </c>
    </row>
    <row r="233" spans="1:28" ht="15.75" thickBot="1" x14ac:dyDescent="0.3">
      <c r="A233" s="83" t="s">
        <v>131</v>
      </c>
      <c r="B233" s="83" t="s">
        <v>222</v>
      </c>
      <c r="C233" s="83">
        <v>25</v>
      </c>
      <c r="D233" s="83">
        <v>9.9</v>
      </c>
      <c r="E233" s="83">
        <v>0.25</v>
      </c>
      <c r="F233" s="83" t="s">
        <v>214</v>
      </c>
      <c r="G233" s="83"/>
      <c r="H233" s="83">
        <v>10</v>
      </c>
      <c r="I233" s="83" t="str">
        <f t="shared" si="38"/>
        <v xml:space="preserve"> Cu</v>
      </c>
      <c r="J233" s="83">
        <v>170</v>
      </c>
      <c r="K233" s="26" t="e">
        <f t="shared" si="39"/>
        <v>#N/A</v>
      </c>
      <c r="L233" s="26" t="e">
        <f t="shared" si="40"/>
        <v>#N/A</v>
      </c>
      <c r="M233" s="35" t="str">
        <f t="shared" si="41"/>
        <v/>
      </c>
      <c r="N233" s="26" t="str">
        <f t="shared" si="42"/>
        <v/>
      </c>
      <c r="O233" s="26" t="str">
        <f t="shared" si="43"/>
        <v/>
      </c>
      <c r="P233" s="35" t="str">
        <f>IF(AND($C$24=50,'Beregning AC vern'!U195="IT-230V"),FALSE,IF(AND($A$24=$A233,$B$24=$B233,$C$24=$C233,$D$24=$D233,$E$24=$E233),TRUE,""))</f>
        <v/>
      </c>
      <c r="Q233" s="26" t="b">
        <f t="shared" si="44"/>
        <v>0</v>
      </c>
      <c r="R233" s="26" t="b">
        <f t="shared" si="45"/>
        <v>0</v>
      </c>
      <c r="V233" s="253" t="s">
        <v>221</v>
      </c>
      <c r="W233" s="254"/>
      <c r="X233" s="168"/>
      <c r="Y233" s="168" t="s">
        <v>204</v>
      </c>
      <c r="Z233" s="168"/>
      <c r="AA233" s="168"/>
      <c r="AB233" s="169" t="s">
        <v>205</v>
      </c>
    </row>
    <row r="234" spans="1:28" ht="15.75" thickBot="1" x14ac:dyDescent="0.3">
      <c r="A234" s="83" t="s">
        <v>131</v>
      </c>
      <c r="B234" s="83" t="s">
        <v>222</v>
      </c>
      <c r="C234" s="83">
        <v>25</v>
      </c>
      <c r="D234" s="83">
        <v>9.9</v>
      </c>
      <c r="E234" s="83">
        <v>0.25</v>
      </c>
      <c r="F234" s="83" t="s">
        <v>215</v>
      </c>
      <c r="G234" s="83"/>
      <c r="H234" s="83">
        <v>25</v>
      </c>
      <c r="I234" s="83" t="str">
        <f t="shared" si="38"/>
        <v xml:space="preserve"> Al</v>
      </c>
      <c r="J234" s="176">
        <v>270</v>
      </c>
      <c r="K234" s="26" t="e">
        <f t="shared" si="39"/>
        <v>#N/A</v>
      </c>
      <c r="L234" s="26" t="e">
        <f t="shared" si="40"/>
        <v>#N/A</v>
      </c>
      <c r="M234" s="35" t="str">
        <f t="shared" si="41"/>
        <v/>
      </c>
      <c r="N234" s="26" t="str">
        <f t="shared" si="42"/>
        <v/>
      </c>
      <c r="O234" s="26" t="str">
        <f t="shared" si="43"/>
        <v/>
      </c>
      <c r="P234" s="35" t="str">
        <f>IF(AND($C$24=50,'Beregning AC vern'!U196="IT-230V"),FALSE,IF(AND($A$24=$A234,$B$24=$B234,$C$24=$C234,$D$24=$D234,$E$24=$E234),TRUE,""))</f>
        <v/>
      </c>
      <c r="Q234" s="26" t="b">
        <f t="shared" si="44"/>
        <v>0</v>
      </c>
      <c r="R234" s="26" t="b">
        <f t="shared" si="45"/>
        <v>0</v>
      </c>
      <c r="V234" s="257" t="s">
        <v>222</v>
      </c>
      <c r="W234" s="258"/>
      <c r="X234" s="44"/>
      <c r="Y234" s="44"/>
      <c r="Z234" s="44"/>
      <c r="AA234" s="44"/>
      <c r="AB234" s="45"/>
    </row>
    <row r="235" spans="1:28" x14ac:dyDescent="0.25">
      <c r="A235" s="83" t="s">
        <v>131</v>
      </c>
      <c r="B235" s="83" t="s">
        <v>222</v>
      </c>
      <c r="C235" s="83">
        <v>25</v>
      </c>
      <c r="D235" s="83">
        <v>9.9</v>
      </c>
      <c r="E235" s="83">
        <v>0.25</v>
      </c>
      <c r="F235" s="83" t="s">
        <v>216</v>
      </c>
      <c r="G235" s="83"/>
      <c r="H235" s="83">
        <v>50</v>
      </c>
      <c r="I235" s="83" t="str">
        <f t="shared" si="38"/>
        <v xml:space="preserve"> Al</v>
      </c>
      <c r="J235" s="83">
        <v>475</v>
      </c>
      <c r="K235" s="26" t="e">
        <f t="shared" si="39"/>
        <v>#N/A</v>
      </c>
      <c r="L235" s="26" t="e">
        <f t="shared" si="40"/>
        <v>#N/A</v>
      </c>
      <c r="M235" s="35" t="str">
        <f t="shared" si="41"/>
        <v/>
      </c>
      <c r="N235" s="26" t="str">
        <f t="shared" si="42"/>
        <v/>
      </c>
      <c r="O235" s="26" t="str">
        <f t="shared" si="43"/>
        <v/>
      </c>
      <c r="P235" s="35" t="str">
        <f>IF(AND($C$24=50,'Beregning AC vern'!U197="IT-230V"),FALSE,IF(AND($A$24=$A235,$B$24=$B235,$C$24=$C235,$D$24=$D235,$E$24=$E235),TRUE,""))</f>
        <v/>
      </c>
      <c r="Q235" s="26" t="b">
        <f t="shared" si="44"/>
        <v>0</v>
      </c>
      <c r="R235" s="26" t="b">
        <f t="shared" si="45"/>
        <v>0</v>
      </c>
    </row>
    <row r="236" spans="1:28" x14ac:dyDescent="0.25">
      <c r="A236" s="83" t="s">
        <v>131</v>
      </c>
      <c r="B236" s="83" t="s">
        <v>222</v>
      </c>
      <c r="C236" s="83">
        <v>32</v>
      </c>
      <c r="D236" s="83">
        <v>9.9</v>
      </c>
      <c r="E236" s="83">
        <v>0.25</v>
      </c>
      <c r="F236" s="83" t="s">
        <v>214</v>
      </c>
      <c r="G236" s="83"/>
      <c r="H236" s="83">
        <v>10</v>
      </c>
      <c r="I236" s="83" t="str">
        <f t="shared" si="38"/>
        <v xml:space="preserve"> Cu</v>
      </c>
      <c r="J236" s="83">
        <v>142</v>
      </c>
      <c r="K236" s="26" t="e">
        <f t="shared" si="39"/>
        <v>#N/A</v>
      </c>
      <c r="L236" s="26" t="e">
        <f t="shared" si="40"/>
        <v>#N/A</v>
      </c>
      <c r="M236" s="35" t="str">
        <f t="shared" si="41"/>
        <v/>
      </c>
      <c r="N236" s="26" t="str">
        <f t="shared" si="42"/>
        <v/>
      </c>
      <c r="O236" s="26" t="str">
        <f t="shared" si="43"/>
        <v/>
      </c>
      <c r="P236" s="35" t="str">
        <f>IF(AND($C$24=50,'Beregning AC vern'!U198="IT-230V"),FALSE,IF(AND($A$24=$A236,$B$24=$B236,$C$24=$C236,$D$24=$D236,$E$24=$E236),TRUE,""))</f>
        <v/>
      </c>
      <c r="Q236" s="26" t="b">
        <f t="shared" si="44"/>
        <v>0</v>
      </c>
      <c r="R236" s="26" t="b">
        <f t="shared" si="45"/>
        <v>0</v>
      </c>
    </row>
    <row r="237" spans="1:28" x14ac:dyDescent="0.25">
      <c r="A237" s="83" t="s">
        <v>131</v>
      </c>
      <c r="B237" s="83" t="s">
        <v>222</v>
      </c>
      <c r="C237" s="83">
        <v>32</v>
      </c>
      <c r="D237" s="83">
        <v>9.9</v>
      </c>
      <c r="E237" s="83">
        <v>0.25</v>
      </c>
      <c r="F237" s="83" t="s">
        <v>215</v>
      </c>
      <c r="G237" s="83"/>
      <c r="H237" s="83">
        <v>25</v>
      </c>
      <c r="I237" s="83" t="str">
        <f t="shared" si="38"/>
        <v xml:space="preserve"> Al</v>
      </c>
      <c r="J237" s="83">
        <v>210</v>
      </c>
      <c r="K237" s="26" t="e">
        <f t="shared" si="39"/>
        <v>#N/A</v>
      </c>
      <c r="L237" s="26" t="e">
        <f t="shared" si="40"/>
        <v>#N/A</v>
      </c>
      <c r="M237" s="35" t="str">
        <f t="shared" si="41"/>
        <v/>
      </c>
      <c r="N237" s="26" t="str">
        <f t="shared" si="42"/>
        <v/>
      </c>
      <c r="O237" s="26" t="str">
        <f t="shared" si="43"/>
        <v/>
      </c>
      <c r="P237" s="35" t="str">
        <f>IF(AND($C$24=50,'Beregning AC vern'!U199="IT-230V"),FALSE,IF(AND($A$24=$A237,$B$24=$B237,$C$24=$C237,$D$24=$D237,$E$24=$E237),TRUE,""))</f>
        <v/>
      </c>
      <c r="Q237" s="26" t="b">
        <f t="shared" si="44"/>
        <v>0</v>
      </c>
      <c r="R237" s="26" t="b">
        <f t="shared" si="45"/>
        <v>0</v>
      </c>
    </row>
    <row r="238" spans="1:28" x14ac:dyDescent="0.25">
      <c r="A238" s="83" t="s">
        <v>131</v>
      </c>
      <c r="B238" s="83" t="s">
        <v>222</v>
      </c>
      <c r="C238" s="83">
        <v>32</v>
      </c>
      <c r="D238" s="83">
        <v>9.9</v>
      </c>
      <c r="E238" s="83">
        <v>0.25</v>
      </c>
      <c r="F238" s="83" t="s">
        <v>216</v>
      </c>
      <c r="G238" s="83"/>
      <c r="H238" s="83">
        <v>50</v>
      </c>
      <c r="I238" s="83" t="str">
        <f t="shared" si="38"/>
        <v xml:space="preserve"> Al</v>
      </c>
      <c r="J238" s="83">
        <v>380</v>
      </c>
      <c r="K238" s="26" t="e">
        <f t="shared" si="39"/>
        <v>#N/A</v>
      </c>
      <c r="L238" s="26" t="e">
        <f t="shared" si="40"/>
        <v>#N/A</v>
      </c>
      <c r="M238" s="35" t="str">
        <f t="shared" si="41"/>
        <v/>
      </c>
      <c r="N238" s="26" t="str">
        <f t="shared" si="42"/>
        <v/>
      </c>
      <c r="O238" s="26" t="str">
        <f t="shared" si="43"/>
        <v/>
      </c>
      <c r="P238" s="35" t="str">
        <f>IF(AND($C$24=50,'Beregning AC vern'!U200="IT-230V"),FALSE,IF(AND($A$24=$A238,$B$24=$B238,$C$24=$C238,$D$24=$D238,$E$24=$E238),TRUE,""))</f>
        <v/>
      </c>
      <c r="Q238" s="26" t="b">
        <f t="shared" si="44"/>
        <v>0</v>
      </c>
      <c r="R238" s="26" t="b">
        <f t="shared" si="45"/>
        <v>0</v>
      </c>
    </row>
    <row r="239" spans="1:28" x14ac:dyDescent="0.25">
      <c r="A239" s="83" t="s">
        <v>131</v>
      </c>
      <c r="B239" s="83" t="s">
        <v>222</v>
      </c>
      <c r="C239" s="83">
        <v>40</v>
      </c>
      <c r="D239" s="83">
        <v>9.9</v>
      </c>
      <c r="E239" s="83">
        <v>0.25</v>
      </c>
      <c r="F239" s="83" t="s">
        <v>217</v>
      </c>
      <c r="G239" s="83"/>
      <c r="H239" s="83">
        <v>16</v>
      </c>
      <c r="I239" s="83" t="str">
        <f t="shared" si="38"/>
        <v xml:space="preserve"> Cu</v>
      </c>
      <c r="J239" s="83">
        <v>135</v>
      </c>
      <c r="K239" s="26" t="e">
        <f t="shared" si="39"/>
        <v>#N/A</v>
      </c>
      <c r="L239" s="26" t="e">
        <f t="shared" si="40"/>
        <v>#N/A</v>
      </c>
      <c r="M239" s="35" t="str">
        <f t="shared" si="41"/>
        <v/>
      </c>
      <c r="N239" s="26" t="str">
        <f t="shared" si="42"/>
        <v/>
      </c>
      <c r="O239" s="26" t="str">
        <f t="shared" si="43"/>
        <v/>
      </c>
      <c r="P239" s="35" t="str">
        <f>IF(AND($C$24=50,'Beregning AC vern'!U201="IT-230V"),FALSE,IF(AND($A$24=$A239,$B$24=$B239,$C$24=$C239,$D$24=$D239,$E$24=$E239),TRUE,""))</f>
        <v/>
      </c>
      <c r="Q239" s="26" t="b">
        <f t="shared" si="44"/>
        <v>0</v>
      </c>
      <c r="R239" s="26" t="b">
        <f t="shared" si="45"/>
        <v>0</v>
      </c>
    </row>
    <row r="240" spans="1:28" x14ac:dyDescent="0.25">
      <c r="A240" s="83" t="s">
        <v>131</v>
      </c>
      <c r="B240" s="83" t="s">
        <v>222</v>
      </c>
      <c r="C240" s="83">
        <v>40</v>
      </c>
      <c r="D240" s="83">
        <v>9.9</v>
      </c>
      <c r="E240" s="83">
        <v>0.25</v>
      </c>
      <c r="F240" s="83" t="s">
        <v>215</v>
      </c>
      <c r="G240" s="83"/>
      <c r="H240" s="83">
        <v>25</v>
      </c>
      <c r="I240" s="83" t="str">
        <f t="shared" si="38"/>
        <v xml:space="preserve"> Al</v>
      </c>
      <c r="J240" s="83">
        <v>125</v>
      </c>
      <c r="K240" s="26" t="e">
        <f t="shared" si="39"/>
        <v>#N/A</v>
      </c>
      <c r="L240" s="26" t="e">
        <f t="shared" si="40"/>
        <v>#N/A</v>
      </c>
      <c r="M240" s="35" t="str">
        <f t="shared" si="41"/>
        <v/>
      </c>
      <c r="N240" s="26" t="str">
        <f t="shared" si="42"/>
        <v/>
      </c>
      <c r="O240" s="26" t="str">
        <f t="shared" si="43"/>
        <v/>
      </c>
      <c r="P240" s="35" t="str">
        <f>IF(AND($C$24=50,'Beregning AC vern'!U202="IT-230V"),FALSE,IF(AND($A$24=$A240,$B$24=$B240,$C$24=$C240,$D$24=$D240,$E$24=$E240),TRUE,""))</f>
        <v/>
      </c>
      <c r="Q240" s="26" t="b">
        <f t="shared" si="44"/>
        <v>0</v>
      </c>
      <c r="R240" s="26" t="b">
        <f t="shared" si="45"/>
        <v>0</v>
      </c>
    </row>
    <row r="241" spans="1:18" x14ac:dyDescent="0.25">
      <c r="A241" s="83" t="s">
        <v>131</v>
      </c>
      <c r="B241" s="83" t="s">
        <v>222</v>
      </c>
      <c r="C241" s="83">
        <v>40</v>
      </c>
      <c r="D241" s="83">
        <v>9.9</v>
      </c>
      <c r="E241" s="83">
        <v>0.25</v>
      </c>
      <c r="F241" s="83" t="s">
        <v>216</v>
      </c>
      <c r="G241" s="83"/>
      <c r="H241" s="83">
        <v>50</v>
      </c>
      <c r="I241" s="83" t="str">
        <f t="shared" si="38"/>
        <v xml:space="preserve"> Al</v>
      </c>
      <c r="J241" s="83">
        <v>240</v>
      </c>
      <c r="K241" s="26" t="e">
        <f t="shared" si="39"/>
        <v>#N/A</v>
      </c>
      <c r="L241" s="26" t="e">
        <f t="shared" si="40"/>
        <v>#N/A</v>
      </c>
      <c r="M241" s="35" t="str">
        <f t="shared" si="41"/>
        <v/>
      </c>
      <c r="N241" s="26" t="str">
        <f t="shared" si="42"/>
        <v/>
      </c>
      <c r="O241" s="26" t="str">
        <f t="shared" si="43"/>
        <v/>
      </c>
      <c r="P241" s="35" t="str">
        <f>IF(AND($C$24=50,'Beregning AC vern'!U203="IT-230V"),FALSE,IF(AND($A$24=$A241,$B$24=$B241,$C$24=$C241,$D$24=$D241,$E$24=$E241),TRUE,""))</f>
        <v/>
      </c>
      <c r="Q241" s="26" t="b">
        <f t="shared" si="44"/>
        <v>0</v>
      </c>
      <c r="R241" s="26" t="b">
        <f t="shared" si="45"/>
        <v>0</v>
      </c>
    </row>
    <row r="242" spans="1:18" x14ac:dyDescent="0.25">
      <c r="A242" s="83" t="s">
        <v>131</v>
      </c>
      <c r="B242" s="83" t="s">
        <v>222</v>
      </c>
      <c r="C242" s="83">
        <v>25</v>
      </c>
      <c r="D242" s="83">
        <v>9.9</v>
      </c>
      <c r="E242" s="83">
        <v>0.5</v>
      </c>
      <c r="F242" s="83" t="s">
        <v>212</v>
      </c>
      <c r="G242" s="83"/>
      <c r="H242" s="83">
        <v>6</v>
      </c>
      <c r="I242" s="83" t="str">
        <f t="shared" si="38"/>
        <v>Cu</v>
      </c>
      <c r="J242" s="83">
        <v>108</v>
      </c>
      <c r="K242" s="26" t="e">
        <f t="shared" si="39"/>
        <v>#N/A</v>
      </c>
      <c r="L242" s="26" t="e">
        <f t="shared" si="40"/>
        <v>#N/A</v>
      </c>
      <c r="M242" s="35" t="str">
        <f t="shared" si="41"/>
        <v/>
      </c>
      <c r="N242" s="26" t="str">
        <f t="shared" si="42"/>
        <v/>
      </c>
      <c r="O242" s="26" t="str">
        <f t="shared" si="43"/>
        <v/>
      </c>
      <c r="P242" s="35" t="str">
        <f>IF(AND($C$24=50,'Beregning AC vern'!U204="IT-230V"),FALSE,IF(AND($A$24=$A242,$B$24=$B242,$C$24=$C242,$D$24=$D242,$E$24=$E242),TRUE,""))</f>
        <v/>
      </c>
      <c r="Q242" s="26" t="b">
        <f t="shared" si="44"/>
        <v>0</v>
      </c>
      <c r="R242" s="26" t="b">
        <f t="shared" si="45"/>
        <v>0</v>
      </c>
    </row>
    <row r="243" spans="1:18" x14ac:dyDescent="0.25">
      <c r="A243" s="83" t="s">
        <v>131</v>
      </c>
      <c r="B243" s="83" t="s">
        <v>222</v>
      </c>
      <c r="C243" s="83">
        <v>25</v>
      </c>
      <c r="D243" s="83">
        <v>9.9</v>
      </c>
      <c r="E243" s="83">
        <v>0.5</v>
      </c>
      <c r="F243" s="83" t="s">
        <v>214</v>
      </c>
      <c r="G243" s="83"/>
      <c r="H243" s="83">
        <v>10</v>
      </c>
      <c r="I243" s="83" t="str">
        <f t="shared" si="38"/>
        <v xml:space="preserve"> Cu</v>
      </c>
      <c r="J243" s="83">
        <v>180</v>
      </c>
      <c r="K243" s="26" t="e">
        <f t="shared" si="39"/>
        <v>#N/A</v>
      </c>
      <c r="L243" s="26" t="e">
        <f t="shared" si="40"/>
        <v>#N/A</v>
      </c>
      <c r="M243" s="35" t="str">
        <f t="shared" si="41"/>
        <v/>
      </c>
      <c r="N243" s="26" t="str">
        <f t="shared" si="42"/>
        <v/>
      </c>
      <c r="O243" s="26" t="str">
        <f t="shared" si="43"/>
        <v/>
      </c>
      <c r="P243" s="35" t="str">
        <f>IF(AND($C$24=50,'Beregning AC vern'!U205="IT-230V"),FALSE,IF(AND($A$24=$A243,$B$24=$B243,$C$24=$C243,$D$24=$D243,$E$24=$E243),TRUE,""))</f>
        <v/>
      </c>
      <c r="Q243" s="26" t="b">
        <f t="shared" si="44"/>
        <v>0</v>
      </c>
      <c r="R243" s="26" t="b">
        <f t="shared" si="45"/>
        <v>0</v>
      </c>
    </row>
    <row r="244" spans="1:18" x14ac:dyDescent="0.25">
      <c r="A244" s="83" t="s">
        <v>131</v>
      </c>
      <c r="B244" s="83" t="s">
        <v>222</v>
      </c>
      <c r="C244" s="83">
        <v>25</v>
      </c>
      <c r="D244" s="83">
        <v>9.9</v>
      </c>
      <c r="E244" s="83">
        <v>0.5</v>
      </c>
      <c r="F244" s="83" t="s">
        <v>215</v>
      </c>
      <c r="G244" s="83"/>
      <c r="H244" s="83">
        <v>25</v>
      </c>
      <c r="I244" s="83" t="str">
        <f t="shared" si="38"/>
        <v xml:space="preserve"> Al</v>
      </c>
      <c r="J244" s="83">
        <v>270</v>
      </c>
      <c r="K244" s="26" t="e">
        <f t="shared" si="39"/>
        <v>#N/A</v>
      </c>
      <c r="L244" s="26" t="e">
        <f t="shared" si="40"/>
        <v>#N/A</v>
      </c>
      <c r="M244" s="35" t="str">
        <f t="shared" si="41"/>
        <v/>
      </c>
      <c r="N244" s="26" t="str">
        <f t="shared" si="42"/>
        <v/>
      </c>
      <c r="O244" s="26" t="str">
        <f t="shared" si="43"/>
        <v/>
      </c>
      <c r="P244" s="35" t="str">
        <f>IF(AND($C$24=50,'Beregning AC vern'!U206="IT-230V"),FALSE,IF(AND($A$24=$A244,$B$24=$B244,$C$24=$C244,$D$24=$D244,$E$24=$E244),TRUE,""))</f>
        <v/>
      </c>
      <c r="Q244" s="26" t="b">
        <f t="shared" si="44"/>
        <v>0</v>
      </c>
      <c r="R244" s="26" t="b">
        <f t="shared" si="45"/>
        <v>0</v>
      </c>
    </row>
    <row r="245" spans="1:18" x14ac:dyDescent="0.25">
      <c r="A245" s="83" t="s">
        <v>131</v>
      </c>
      <c r="B245" s="83" t="s">
        <v>222</v>
      </c>
      <c r="C245" s="83">
        <v>25</v>
      </c>
      <c r="D245" s="83">
        <v>9.9</v>
      </c>
      <c r="E245" s="83">
        <v>0.5</v>
      </c>
      <c r="F245" s="83" t="s">
        <v>216</v>
      </c>
      <c r="G245" s="83"/>
      <c r="H245" s="83">
        <v>50</v>
      </c>
      <c r="I245" s="83" t="str">
        <f t="shared" si="38"/>
        <v xml:space="preserve"> Al</v>
      </c>
      <c r="J245" s="83">
        <v>490</v>
      </c>
      <c r="K245" s="26" t="e">
        <f t="shared" si="39"/>
        <v>#N/A</v>
      </c>
      <c r="L245" s="26" t="e">
        <f t="shared" si="40"/>
        <v>#N/A</v>
      </c>
      <c r="M245" s="35" t="str">
        <f t="shared" si="41"/>
        <v/>
      </c>
      <c r="N245" s="26" t="str">
        <f t="shared" si="42"/>
        <v/>
      </c>
      <c r="O245" s="26" t="str">
        <f t="shared" si="43"/>
        <v/>
      </c>
      <c r="P245" s="35" t="str">
        <f>IF(AND($C$24=50,'Beregning AC vern'!U207="IT-230V"),FALSE,IF(AND($A$24=$A245,$B$24=$B245,$C$24=$C245,$D$24=$D245,$E$24=$E245),TRUE,""))</f>
        <v/>
      </c>
      <c r="Q245" s="26" t="b">
        <f t="shared" si="44"/>
        <v>0</v>
      </c>
      <c r="R245" s="26" t="b">
        <f t="shared" si="45"/>
        <v>0</v>
      </c>
    </row>
    <row r="246" spans="1:18" x14ac:dyDescent="0.25">
      <c r="A246" s="83" t="s">
        <v>131</v>
      </c>
      <c r="B246" s="83" t="s">
        <v>222</v>
      </c>
      <c r="C246" s="83">
        <v>32</v>
      </c>
      <c r="D246" s="83">
        <v>9.9</v>
      </c>
      <c r="E246" s="83">
        <v>0.5</v>
      </c>
      <c r="F246" s="83" t="s">
        <v>214</v>
      </c>
      <c r="G246" s="83"/>
      <c r="H246" s="83">
        <v>10</v>
      </c>
      <c r="I246" s="83" t="str">
        <f t="shared" si="38"/>
        <v xml:space="preserve"> Cu</v>
      </c>
      <c r="J246" s="175">
        <v>142</v>
      </c>
      <c r="K246" s="26" t="e">
        <f t="shared" si="39"/>
        <v>#N/A</v>
      </c>
      <c r="L246" s="26" t="e">
        <f t="shared" si="40"/>
        <v>#N/A</v>
      </c>
      <c r="M246" s="35" t="str">
        <f t="shared" si="41"/>
        <v/>
      </c>
      <c r="N246" s="26" t="str">
        <f t="shared" si="42"/>
        <v/>
      </c>
      <c r="O246" s="26" t="str">
        <f t="shared" si="43"/>
        <v/>
      </c>
      <c r="P246" s="35" t="str">
        <f>IF(AND($C$24=50,'Beregning AC vern'!U208="IT-230V"),FALSE,IF(AND($A$24=$A246,$B$24=$B246,$C$24=$C246,$D$24=$D246,$E$24=$E246),TRUE,""))</f>
        <v/>
      </c>
      <c r="Q246" s="26" t="b">
        <f t="shared" si="44"/>
        <v>0</v>
      </c>
      <c r="R246" s="26" t="b">
        <f t="shared" si="45"/>
        <v>0</v>
      </c>
    </row>
    <row r="247" spans="1:18" x14ac:dyDescent="0.25">
      <c r="A247" s="83" t="s">
        <v>131</v>
      </c>
      <c r="B247" s="83" t="s">
        <v>222</v>
      </c>
      <c r="C247" s="83">
        <v>32</v>
      </c>
      <c r="D247" s="83">
        <v>9.9</v>
      </c>
      <c r="E247" s="83">
        <v>0.5</v>
      </c>
      <c r="F247" s="83" t="s">
        <v>215</v>
      </c>
      <c r="G247" s="83"/>
      <c r="H247" s="83">
        <v>25</v>
      </c>
      <c r="I247" s="83" t="str">
        <f t="shared" si="38"/>
        <v xml:space="preserve"> Al</v>
      </c>
      <c r="J247" s="83">
        <v>210</v>
      </c>
      <c r="K247" s="26" t="e">
        <f t="shared" si="39"/>
        <v>#N/A</v>
      </c>
      <c r="L247" s="26" t="e">
        <f t="shared" si="40"/>
        <v>#N/A</v>
      </c>
      <c r="M247" s="35" t="str">
        <f t="shared" si="41"/>
        <v/>
      </c>
      <c r="N247" s="26" t="str">
        <f t="shared" si="42"/>
        <v/>
      </c>
      <c r="O247" s="26" t="str">
        <f t="shared" si="43"/>
        <v/>
      </c>
      <c r="P247" s="35" t="str">
        <f>IF(AND($C$24=50,'Beregning AC vern'!U209="IT-230V"),FALSE,IF(AND($A$24=$A247,$B$24=$B247,$C$24=$C247,$D$24=$D247,$E$24=$E247),TRUE,""))</f>
        <v/>
      </c>
      <c r="Q247" s="26" t="b">
        <f t="shared" si="44"/>
        <v>0</v>
      </c>
      <c r="R247" s="26" t="b">
        <f t="shared" si="45"/>
        <v>0</v>
      </c>
    </row>
    <row r="248" spans="1:18" x14ac:dyDescent="0.25">
      <c r="A248" s="83" t="s">
        <v>131</v>
      </c>
      <c r="B248" s="83" t="s">
        <v>222</v>
      </c>
      <c r="C248" s="83">
        <v>32</v>
      </c>
      <c r="D248" s="83">
        <v>9.9</v>
      </c>
      <c r="E248" s="83">
        <v>0.5</v>
      </c>
      <c r="F248" s="83" t="s">
        <v>216</v>
      </c>
      <c r="G248" s="83"/>
      <c r="H248" s="83">
        <v>50</v>
      </c>
      <c r="I248" s="83" t="str">
        <f t="shared" si="38"/>
        <v xml:space="preserve"> Al</v>
      </c>
      <c r="J248" s="83">
        <v>390</v>
      </c>
      <c r="K248" s="26" t="e">
        <f t="shared" si="39"/>
        <v>#N/A</v>
      </c>
      <c r="L248" s="26" t="e">
        <f t="shared" si="40"/>
        <v>#N/A</v>
      </c>
      <c r="M248" s="35" t="str">
        <f t="shared" si="41"/>
        <v/>
      </c>
      <c r="N248" s="26" t="str">
        <f t="shared" si="42"/>
        <v/>
      </c>
      <c r="O248" s="26" t="str">
        <f t="shared" si="43"/>
        <v/>
      </c>
      <c r="P248" s="35" t="str">
        <f>IF(AND($C$24=50,'Beregning AC vern'!U210="IT-230V"),FALSE,IF(AND($A$24=$A248,$B$24=$B248,$C$24=$C248,$D$24=$D248,$E$24=$E248),TRUE,""))</f>
        <v/>
      </c>
      <c r="Q248" s="26" t="b">
        <f t="shared" si="44"/>
        <v>0</v>
      </c>
      <c r="R248" s="26" t="b">
        <f t="shared" si="45"/>
        <v>0</v>
      </c>
    </row>
    <row r="249" spans="1:18" x14ac:dyDescent="0.25">
      <c r="A249" s="83" t="s">
        <v>131</v>
      </c>
      <c r="B249" s="83" t="s">
        <v>222</v>
      </c>
      <c r="C249" s="83">
        <v>40</v>
      </c>
      <c r="D249" s="83">
        <v>9.9</v>
      </c>
      <c r="E249" s="83">
        <v>0.5</v>
      </c>
      <c r="F249" s="83" t="s">
        <v>217</v>
      </c>
      <c r="G249" s="83"/>
      <c r="H249" s="83">
        <v>16</v>
      </c>
      <c r="I249" s="83" t="str">
        <f t="shared" si="38"/>
        <v xml:space="preserve"> Cu</v>
      </c>
      <c r="J249" s="175">
        <v>178</v>
      </c>
      <c r="K249" s="26" t="e">
        <f t="shared" si="39"/>
        <v>#N/A</v>
      </c>
      <c r="L249" s="26" t="e">
        <f t="shared" si="40"/>
        <v>#N/A</v>
      </c>
      <c r="M249" s="35" t="str">
        <f t="shared" si="41"/>
        <v/>
      </c>
      <c r="N249" s="26" t="str">
        <f t="shared" si="42"/>
        <v/>
      </c>
      <c r="O249" s="26" t="str">
        <f t="shared" si="43"/>
        <v/>
      </c>
      <c r="P249" s="35" t="str">
        <f>IF(AND($C$24=50,'Beregning AC vern'!U211="IT-230V"),FALSE,IF(AND($A$24=$A249,$B$24=$B249,$C$24=$C249,$D$24=$D249,$E$24=$E249),TRUE,""))</f>
        <v/>
      </c>
      <c r="Q249" s="26" t="b">
        <f t="shared" si="44"/>
        <v>0</v>
      </c>
      <c r="R249" s="26" t="b">
        <f t="shared" si="45"/>
        <v>0</v>
      </c>
    </row>
    <row r="250" spans="1:18" x14ac:dyDescent="0.25">
      <c r="A250" s="83" t="s">
        <v>131</v>
      </c>
      <c r="B250" s="83" t="s">
        <v>222</v>
      </c>
      <c r="C250" s="83">
        <v>40</v>
      </c>
      <c r="D250" s="83">
        <v>9.9</v>
      </c>
      <c r="E250" s="83">
        <v>0.5</v>
      </c>
      <c r="F250" s="83" t="s">
        <v>215</v>
      </c>
      <c r="G250" s="83"/>
      <c r="H250" s="83">
        <v>25</v>
      </c>
      <c r="I250" s="83" t="str">
        <f t="shared" si="38"/>
        <v xml:space="preserve"> Al</v>
      </c>
      <c r="J250" s="83">
        <v>170</v>
      </c>
      <c r="K250" s="26" t="e">
        <f t="shared" si="39"/>
        <v>#N/A</v>
      </c>
      <c r="L250" s="26" t="e">
        <f t="shared" si="40"/>
        <v>#N/A</v>
      </c>
      <c r="M250" s="35" t="str">
        <f t="shared" si="41"/>
        <v/>
      </c>
      <c r="N250" s="26" t="str">
        <f t="shared" si="42"/>
        <v/>
      </c>
      <c r="O250" s="26" t="str">
        <f t="shared" si="43"/>
        <v/>
      </c>
      <c r="P250" s="35" t="str">
        <f>IF(AND($C$24=50,'Beregning AC vern'!U212="IT-230V"),FALSE,IF(AND($A$24=$A250,$B$24=$B250,$C$24=$C250,$D$24=$D250,$E$24=$E250),TRUE,""))</f>
        <v/>
      </c>
      <c r="Q250" s="26" t="b">
        <f t="shared" si="44"/>
        <v>0</v>
      </c>
      <c r="R250" s="26" t="b">
        <f t="shared" si="45"/>
        <v>0</v>
      </c>
    </row>
    <row r="251" spans="1:18" x14ac:dyDescent="0.25">
      <c r="A251" s="83" t="s">
        <v>131</v>
      </c>
      <c r="B251" s="83" t="s">
        <v>222</v>
      </c>
      <c r="C251" s="83">
        <v>40</v>
      </c>
      <c r="D251" s="83">
        <v>9.9</v>
      </c>
      <c r="E251" s="83">
        <v>0.5</v>
      </c>
      <c r="F251" s="83" t="s">
        <v>216</v>
      </c>
      <c r="G251" s="83"/>
      <c r="H251" s="83">
        <v>50</v>
      </c>
      <c r="I251" s="83" t="str">
        <f t="shared" si="38"/>
        <v xml:space="preserve"> Al</v>
      </c>
      <c r="J251" s="83">
        <v>306</v>
      </c>
      <c r="K251" s="26" t="e">
        <f t="shared" si="39"/>
        <v>#N/A</v>
      </c>
      <c r="L251" s="26" t="e">
        <f t="shared" si="40"/>
        <v>#N/A</v>
      </c>
      <c r="M251" s="35" t="str">
        <f t="shared" si="41"/>
        <v/>
      </c>
      <c r="N251" s="26" t="str">
        <f t="shared" si="42"/>
        <v/>
      </c>
      <c r="O251" s="26" t="str">
        <f t="shared" si="43"/>
        <v/>
      </c>
      <c r="P251" s="35" t="str">
        <f>IF(AND($C$24=50,'Beregning AC vern'!U213="IT-230V"),FALSE,IF(AND($A$24=$A251,$B$24=$B251,$C$24=$C251,$D$24=$D251,$E$24=$E251),TRUE,""))</f>
        <v/>
      </c>
      <c r="Q251" s="26" t="b">
        <f t="shared" si="44"/>
        <v>0</v>
      </c>
      <c r="R251" s="26" t="b">
        <f t="shared" si="45"/>
        <v>0</v>
      </c>
    </row>
    <row r="252" spans="1:18" x14ac:dyDescent="0.25">
      <c r="A252" s="83" t="s">
        <v>131</v>
      </c>
      <c r="B252" s="83" t="s">
        <v>222</v>
      </c>
      <c r="C252" s="83">
        <v>50</v>
      </c>
      <c r="D252" s="83">
        <v>9.9</v>
      </c>
      <c r="E252" s="83">
        <v>0.5</v>
      </c>
      <c r="F252" s="83" t="s">
        <v>215</v>
      </c>
      <c r="G252" s="83"/>
      <c r="H252" s="83">
        <v>25</v>
      </c>
      <c r="I252" s="83" t="str">
        <f t="shared" si="38"/>
        <v xml:space="preserve"> Al</v>
      </c>
      <c r="J252" s="83">
        <v>125</v>
      </c>
      <c r="K252" s="26" t="e">
        <f t="shared" si="39"/>
        <v>#N/A</v>
      </c>
      <c r="L252" s="26" t="e">
        <f t="shared" si="40"/>
        <v>#N/A</v>
      </c>
      <c r="M252" s="35" t="str">
        <f t="shared" si="41"/>
        <v/>
      </c>
      <c r="N252" s="26" t="str">
        <f t="shared" si="42"/>
        <v/>
      </c>
      <c r="O252" s="26" t="str">
        <f t="shared" si="43"/>
        <v/>
      </c>
      <c r="P252" s="35" t="str">
        <f>IF(AND($C$24=50,'Beregning AC vern'!U214="IT-230V"),FALSE,IF(AND($A$24=$A252,$B$24=$B252,$C$24=$C252,$D$24=$D252,$E$24=$E252),TRUE,""))</f>
        <v/>
      </c>
      <c r="Q252" s="26" t="b">
        <f t="shared" si="44"/>
        <v>0</v>
      </c>
      <c r="R252" s="26" t="b">
        <f t="shared" si="45"/>
        <v>0</v>
      </c>
    </row>
    <row r="253" spans="1:18" x14ac:dyDescent="0.25">
      <c r="A253" s="83" t="s">
        <v>131</v>
      </c>
      <c r="B253" s="83" t="s">
        <v>222</v>
      </c>
      <c r="C253" s="83">
        <v>50</v>
      </c>
      <c r="D253" s="83">
        <v>9.9</v>
      </c>
      <c r="E253" s="83">
        <v>0.5</v>
      </c>
      <c r="F253" s="83" t="s">
        <v>216</v>
      </c>
      <c r="G253" s="83"/>
      <c r="H253" s="83">
        <v>50</v>
      </c>
      <c r="I253" s="83" t="str">
        <f t="shared" si="38"/>
        <v xml:space="preserve"> Al</v>
      </c>
      <c r="J253" s="175">
        <v>232</v>
      </c>
      <c r="K253" s="26" t="e">
        <f t="shared" si="39"/>
        <v>#N/A</v>
      </c>
      <c r="L253" s="26" t="e">
        <f t="shared" si="40"/>
        <v>#N/A</v>
      </c>
      <c r="M253" s="35" t="str">
        <f t="shared" si="41"/>
        <v/>
      </c>
      <c r="N253" s="26" t="str">
        <f t="shared" si="42"/>
        <v/>
      </c>
      <c r="O253" s="26" t="str">
        <f t="shared" si="43"/>
        <v/>
      </c>
      <c r="P253" s="35" t="str">
        <f>IF(AND($C$24=50,'Beregning AC vern'!U215="IT-230V"),FALSE,IF(AND($A$24=$A253,$B$24=$B253,$C$24=$C253,$D$24=$D253,$E$24=$E253),TRUE,""))</f>
        <v/>
      </c>
      <c r="Q253" s="26" t="b">
        <f t="shared" si="44"/>
        <v>0</v>
      </c>
      <c r="R253" s="26" t="b">
        <f t="shared" si="45"/>
        <v>0</v>
      </c>
    </row>
    <row r="254" spans="1:18" x14ac:dyDescent="0.25">
      <c r="A254" s="83" t="s">
        <v>131</v>
      </c>
      <c r="B254" s="83" t="s">
        <v>222</v>
      </c>
      <c r="C254" s="83">
        <v>63</v>
      </c>
      <c r="D254" s="83">
        <v>9.9</v>
      </c>
      <c r="E254" s="83">
        <v>0.5</v>
      </c>
      <c r="F254" s="83" t="s">
        <v>216</v>
      </c>
      <c r="G254" s="83"/>
      <c r="H254" s="83">
        <v>50</v>
      </c>
      <c r="I254" s="83" t="str">
        <f t="shared" si="38"/>
        <v xml:space="preserve"> Al</v>
      </c>
      <c r="J254" s="83">
        <v>118</v>
      </c>
      <c r="K254" s="26" t="e">
        <f t="shared" si="39"/>
        <v>#N/A</v>
      </c>
      <c r="L254" s="26" t="e">
        <f t="shared" si="40"/>
        <v>#N/A</v>
      </c>
      <c r="M254" s="35" t="str">
        <f t="shared" si="41"/>
        <v/>
      </c>
      <c r="N254" s="26" t="str">
        <f t="shared" si="42"/>
        <v/>
      </c>
      <c r="O254" s="26" t="str">
        <f t="shared" si="43"/>
        <v/>
      </c>
      <c r="P254" s="35" t="str">
        <f>IF(AND($C$24=50,'Beregning AC vern'!U216="IT-230V"),FALSE,IF(AND($A$24=$A254,$B$24=$B254,$C$24=$C254,$D$24=$D254,$E$24=$E254),TRUE,""))</f>
        <v/>
      </c>
      <c r="Q254" s="26" t="b">
        <f t="shared" si="44"/>
        <v>0</v>
      </c>
      <c r="R254" s="26" t="b">
        <f t="shared" si="45"/>
        <v>0</v>
      </c>
    </row>
    <row r="255" spans="1:18" x14ac:dyDescent="0.25">
      <c r="A255" s="83" t="s">
        <v>131</v>
      </c>
      <c r="B255" s="83" t="s">
        <v>222</v>
      </c>
      <c r="C255" s="83">
        <v>25</v>
      </c>
      <c r="D255" s="83">
        <v>9.9</v>
      </c>
      <c r="E255" s="83">
        <v>1</v>
      </c>
      <c r="F255" s="83" t="s">
        <v>212</v>
      </c>
      <c r="G255" s="83"/>
      <c r="H255" s="83">
        <v>6</v>
      </c>
      <c r="I255" s="83" t="str">
        <f t="shared" si="38"/>
        <v>Cu</v>
      </c>
      <c r="J255" s="83">
        <v>108</v>
      </c>
      <c r="K255" s="26" t="e">
        <f t="shared" si="39"/>
        <v>#N/A</v>
      </c>
      <c r="L255" s="26" t="e">
        <f t="shared" si="40"/>
        <v>#N/A</v>
      </c>
      <c r="M255" s="35" t="str">
        <f t="shared" si="41"/>
        <v/>
      </c>
      <c r="N255" s="26" t="str">
        <f t="shared" si="42"/>
        <v/>
      </c>
      <c r="O255" s="26" t="str">
        <f t="shared" si="43"/>
        <v/>
      </c>
      <c r="P255" s="35" t="str">
        <f>IF(AND($C$24=50,'Beregning AC vern'!U217="IT-230V"),FALSE,IF(AND($A$24=$A255,$B$24=$B255,$C$24=$C255,$D$24=$D255,$E$24=$E255),TRUE,""))</f>
        <v/>
      </c>
      <c r="Q255" s="26" t="b">
        <f t="shared" si="44"/>
        <v>0</v>
      </c>
      <c r="R255" s="26" t="b">
        <f t="shared" si="45"/>
        <v>0</v>
      </c>
    </row>
    <row r="256" spans="1:18" x14ac:dyDescent="0.25">
      <c r="A256" s="83" t="s">
        <v>131</v>
      </c>
      <c r="B256" s="83" t="s">
        <v>222</v>
      </c>
      <c r="C256" s="83">
        <v>25</v>
      </c>
      <c r="D256" s="83">
        <v>9.9</v>
      </c>
      <c r="E256" s="83">
        <v>1</v>
      </c>
      <c r="F256" s="83" t="s">
        <v>214</v>
      </c>
      <c r="G256" s="83"/>
      <c r="H256" s="83">
        <v>10</v>
      </c>
      <c r="I256" s="83" t="str">
        <f t="shared" si="38"/>
        <v xml:space="preserve"> Cu</v>
      </c>
      <c r="J256" s="83">
        <v>183</v>
      </c>
      <c r="K256" s="26" t="e">
        <f t="shared" si="39"/>
        <v>#N/A</v>
      </c>
      <c r="L256" s="26" t="e">
        <f t="shared" si="40"/>
        <v>#N/A</v>
      </c>
      <c r="M256" s="35" t="str">
        <f t="shared" si="41"/>
        <v/>
      </c>
      <c r="N256" s="26" t="str">
        <f t="shared" si="42"/>
        <v/>
      </c>
      <c r="O256" s="26" t="str">
        <f t="shared" si="43"/>
        <v/>
      </c>
      <c r="P256" s="35" t="str">
        <f>IF(AND($C$24=50,'Beregning AC vern'!U218="IT-230V"),FALSE,IF(AND($A$24=$A256,$B$24=$B256,$C$24=$C256,$D$24=$D256,$E$24=$E256),TRUE,""))</f>
        <v/>
      </c>
      <c r="Q256" s="26" t="b">
        <f t="shared" si="44"/>
        <v>0</v>
      </c>
      <c r="R256" s="26" t="b">
        <f t="shared" si="45"/>
        <v>0</v>
      </c>
    </row>
    <row r="257" spans="1:18" x14ac:dyDescent="0.25">
      <c r="A257" s="83" t="s">
        <v>131</v>
      </c>
      <c r="B257" s="83" t="s">
        <v>222</v>
      </c>
      <c r="C257" s="83">
        <v>25</v>
      </c>
      <c r="D257" s="83">
        <v>9.9</v>
      </c>
      <c r="E257" s="83">
        <v>1</v>
      </c>
      <c r="F257" s="83" t="s">
        <v>215</v>
      </c>
      <c r="G257" s="83"/>
      <c r="H257" s="83">
        <v>25</v>
      </c>
      <c r="I257" s="83" t="str">
        <f t="shared" si="38"/>
        <v xml:space="preserve"> Al</v>
      </c>
      <c r="J257" s="83">
        <v>275</v>
      </c>
      <c r="K257" s="26" t="e">
        <f t="shared" si="39"/>
        <v>#N/A</v>
      </c>
      <c r="L257" s="26" t="e">
        <f t="shared" si="40"/>
        <v>#N/A</v>
      </c>
      <c r="M257" s="35" t="str">
        <f t="shared" si="41"/>
        <v/>
      </c>
      <c r="N257" s="26" t="str">
        <f t="shared" si="42"/>
        <v/>
      </c>
      <c r="O257" s="26" t="str">
        <f t="shared" si="43"/>
        <v/>
      </c>
      <c r="P257" s="35" t="str">
        <f>IF(AND($C$24=50,'Beregning AC vern'!U219="IT-230V"),FALSE,IF(AND($A$24=$A257,$B$24=$B257,$C$24=$C257,$D$24=$D257,$E$24=$E257),TRUE,""))</f>
        <v/>
      </c>
      <c r="Q257" s="26" t="b">
        <f t="shared" si="44"/>
        <v>0</v>
      </c>
      <c r="R257" s="26" t="b">
        <f t="shared" si="45"/>
        <v>0</v>
      </c>
    </row>
    <row r="258" spans="1:18" x14ac:dyDescent="0.25">
      <c r="A258" s="83" t="s">
        <v>131</v>
      </c>
      <c r="B258" s="83" t="s">
        <v>222</v>
      </c>
      <c r="C258" s="83">
        <v>25</v>
      </c>
      <c r="D258" s="83">
        <v>9.9</v>
      </c>
      <c r="E258" s="83">
        <v>1</v>
      </c>
      <c r="F258" s="83" t="s">
        <v>216</v>
      </c>
      <c r="G258" s="83"/>
      <c r="H258" s="83">
        <v>50</v>
      </c>
      <c r="I258" s="83" t="str">
        <f t="shared" si="38"/>
        <v xml:space="preserve"> Al</v>
      </c>
      <c r="J258" s="83">
        <v>490</v>
      </c>
      <c r="K258" s="26" t="e">
        <f t="shared" si="39"/>
        <v>#N/A</v>
      </c>
      <c r="L258" s="26" t="e">
        <f t="shared" si="40"/>
        <v>#N/A</v>
      </c>
      <c r="M258" s="35" t="str">
        <f t="shared" si="41"/>
        <v/>
      </c>
      <c r="N258" s="26" t="str">
        <f t="shared" si="42"/>
        <v/>
      </c>
      <c r="O258" s="26" t="str">
        <f t="shared" si="43"/>
        <v/>
      </c>
      <c r="P258" s="35" t="str">
        <f>IF(AND($C$24=50,'Beregning AC vern'!U220="IT-230V"),FALSE,IF(AND($A$24=$A258,$B$24=$B258,$C$24=$C258,$D$24=$D258,$E$24=$E258),TRUE,""))</f>
        <v/>
      </c>
      <c r="Q258" s="26" t="b">
        <f t="shared" si="44"/>
        <v>0</v>
      </c>
      <c r="R258" s="26" t="b">
        <f t="shared" si="45"/>
        <v>0</v>
      </c>
    </row>
    <row r="259" spans="1:18" x14ac:dyDescent="0.25">
      <c r="A259" s="83" t="s">
        <v>131</v>
      </c>
      <c r="B259" s="83" t="s">
        <v>222</v>
      </c>
      <c r="C259" s="83">
        <v>32</v>
      </c>
      <c r="D259" s="83">
        <v>9.9</v>
      </c>
      <c r="E259" s="83">
        <v>1</v>
      </c>
      <c r="F259" s="83" t="s">
        <v>214</v>
      </c>
      <c r="G259" s="83"/>
      <c r="H259" s="83">
        <v>10</v>
      </c>
      <c r="I259" s="83" t="str">
        <f t="shared" si="38"/>
        <v xml:space="preserve"> Cu</v>
      </c>
      <c r="J259" s="83">
        <v>142</v>
      </c>
      <c r="K259" s="26" t="e">
        <f t="shared" si="39"/>
        <v>#N/A</v>
      </c>
      <c r="L259" s="26" t="e">
        <f t="shared" si="40"/>
        <v>#N/A</v>
      </c>
      <c r="M259" s="35" t="str">
        <f t="shared" si="41"/>
        <v/>
      </c>
      <c r="N259" s="26" t="str">
        <f t="shared" si="42"/>
        <v/>
      </c>
      <c r="O259" s="26" t="str">
        <f t="shared" si="43"/>
        <v/>
      </c>
      <c r="P259" s="35" t="str">
        <f>IF(AND($C$24=50,'Beregning AC vern'!U221="IT-230V"),FALSE,IF(AND($A$24=$A259,$B$24=$B259,$C$24=$C259,$D$24=$D259,$E$24=$E259),TRUE,""))</f>
        <v/>
      </c>
      <c r="Q259" s="26" t="b">
        <f t="shared" si="44"/>
        <v>0</v>
      </c>
      <c r="R259" s="26" t="b">
        <f t="shared" si="45"/>
        <v>0</v>
      </c>
    </row>
    <row r="260" spans="1:18" x14ac:dyDescent="0.25">
      <c r="A260" s="83" t="s">
        <v>131</v>
      </c>
      <c r="B260" s="83" t="s">
        <v>222</v>
      </c>
      <c r="C260" s="83">
        <v>32</v>
      </c>
      <c r="D260" s="83">
        <v>9.9</v>
      </c>
      <c r="E260" s="83">
        <v>1</v>
      </c>
      <c r="F260" s="83" t="s">
        <v>215</v>
      </c>
      <c r="G260" s="83"/>
      <c r="H260" s="83">
        <v>25</v>
      </c>
      <c r="I260" s="83" t="str">
        <f t="shared" si="38"/>
        <v xml:space="preserve"> Al</v>
      </c>
      <c r="J260" s="83">
        <v>214</v>
      </c>
      <c r="K260" s="26" t="e">
        <f t="shared" si="39"/>
        <v>#N/A</v>
      </c>
      <c r="L260" s="26" t="e">
        <f t="shared" si="40"/>
        <v>#N/A</v>
      </c>
      <c r="M260" s="35" t="str">
        <f t="shared" si="41"/>
        <v/>
      </c>
      <c r="N260" s="26" t="str">
        <f t="shared" si="42"/>
        <v/>
      </c>
      <c r="O260" s="26" t="str">
        <f t="shared" si="43"/>
        <v/>
      </c>
      <c r="P260" s="35" t="str">
        <f>IF(AND($C$24=50,'Beregning AC vern'!U222="IT-230V"),FALSE,IF(AND($A$24=$A260,$B$24=$B260,$C$24=$C260,$D$24=$D260,$E$24=$E260),TRUE,""))</f>
        <v/>
      </c>
      <c r="Q260" s="26" t="b">
        <f t="shared" si="44"/>
        <v>0</v>
      </c>
      <c r="R260" s="26" t="b">
        <f t="shared" si="45"/>
        <v>0</v>
      </c>
    </row>
    <row r="261" spans="1:18" x14ac:dyDescent="0.25">
      <c r="A261" s="83" t="s">
        <v>131</v>
      </c>
      <c r="B261" s="83" t="s">
        <v>222</v>
      </c>
      <c r="C261" s="83">
        <v>32</v>
      </c>
      <c r="D261" s="83">
        <v>9.9</v>
      </c>
      <c r="E261" s="83">
        <v>1</v>
      </c>
      <c r="F261" s="83" t="s">
        <v>216</v>
      </c>
      <c r="G261" s="83"/>
      <c r="H261" s="83">
        <v>50</v>
      </c>
      <c r="I261" s="83" t="str">
        <f t="shared" si="38"/>
        <v xml:space="preserve"> Al</v>
      </c>
      <c r="J261" s="83">
        <v>390</v>
      </c>
      <c r="K261" s="26" t="e">
        <f t="shared" si="39"/>
        <v>#N/A</v>
      </c>
      <c r="L261" s="26" t="e">
        <f t="shared" si="40"/>
        <v>#N/A</v>
      </c>
      <c r="M261" s="35" t="str">
        <f t="shared" si="41"/>
        <v/>
      </c>
      <c r="N261" s="26" t="str">
        <f t="shared" si="42"/>
        <v/>
      </c>
      <c r="O261" s="26" t="str">
        <f t="shared" si="43"/>
        <v/>
      </c>
      <c r="P261" s="35" t="str">
        <f>IF(AND($C$24=50,'Beregning AC vern'!U223="IT-230V"),FALSE,IF(AND($A$24=$A261,$B$24=$B261,$C$24=$C261,$D$24=$D261,$E$24=$E261),TRUE,""))</f>
        <v/>
      </c>
      <c r="Q261" s="26" t="b">
        <f t="shared" si="44"/>
        <v>0</v>
      </c>
      <c r="R261" s="26" t="b">
        <f t="shared" si="45"/>
        <v>0</v>
      </c>
    </row>
    <row r="262" spans="1:18" x14ac:dyDescent="0.25">
      <c r="A262" s="83" t="s">
        <v>131</v>
      </c>
      <c r="B262" s="83" t="s">
        <v>222</v>
      </c>
      <c r="C262" s="83">
        <v>40</v>
      </c>
      <c r="D262" s="83">
        <v>9.9</v>
      </c>
      <c r="E262" s="83">
        <v>1</v>
      </c>
      <c r="F262" s="83" t="s">
        <v>217</v>
      </c>
      <c r="G262" s="83"/>
      <c r="H262" s="83">
        <v>16</v>
      </c>
      <c r="I262" s="83" t="str">
        <f t="shared" si="38"/>
        <v xml:space="preserve"> Cu</v>
      </c>
      <c r="J262" s="83">
        <v>178</v>
      </c>
      <c r="K262" s="26" t="e">
        <f t="shared" si="39"/>
        <v>#N/A</v>
      </c>
      <c r="L262" s="26" t="e">
        <f t="shared" si="40"/>
        <v>#N/A</v>
      </c>
      <c r="M262" s="35" t="str">
        <f t="shared" si="41"/>
        <v/>
      </c>
      <c r="N262" s="26" t="str">
        <f t="shared" si="42"/>
        <v/>
      </c>
      <c r="O262" s="26" t="str">
        <f t="shared" si="43"/>
        <v/>
      </c>
      <c r="P262" s="35" t="str">
        <f>IF(AND($C$24=50,'Beregning AC vern'!U224="IT-230V"),FALSE,IF(AND($A$24=$A262,$B$24=$B262,$C$24=$C262,$D$24=$D262,$E$24=$E262),TRUE,""))</f>
        <v/>
      </c>
      <c r="Q262" s="26" t="b">
        <f t="shared" si="44"/>
        <v>0</v>
      </c>
      <c r="R262" s="26" t="b">
        <f t="shared" si="45"/>
        <v>0</v>
      </c>
    </row>
    <row r="263" spans="1:18" x14ac:dyDescent="0.25">
      <c r="A263" s="83" t="s">
        <v>131</v>
      </c>
      <c r="B263" s="83" t="s">
        <v>222</v>
      </c>
      <c r="C263" s="83">
        <v>40</v>
      </c>
      <c r="D263" s="83">
        <v>9.9</v>
      </c>
      <c r="E263" s="83">
        <v>1</v>
      </c>
      <c r="F263" s="83" t="s">
        <v>215</v>
      </c>
      <c r="G263" s="83"/>
      <c r="H263" s="83">
        <v>25</v>
      </c>
      <c r="I263" s="83" t="str">
        <f t="shared" si="38"/>
        <v xml:space="preserve"> Al</v>
      </c>
      <c r="J263" s="83">
        <v>170</v>
      </c>
      <c r="K263" s="26" t="e">
        <f t="shared" si="39"/>
        <v>#N/A</v>
      </c>
      <c r="L263" s="26" t="e">
        <f t="shared" si="40"/>
        <v>#N/A</v>
      </c>
      <c r="M263" s="35" t="str">
        <f t="shared" si="41"/>
        <v/>
      </c>
      <c r="N263" s="26" t="str">
        <f t="shared" si="42"/>
        <v/>
      </c>
      <c r="O263" s="26" t="str">
        <f t="shared" si="43"/>
        <v/>
      </c>
      <c r="P263" s="35" t="str">
        <f>IF(AND($C$24=50,'Beregning AC vern'!U225="IT-230V"),FALSE,IF(AND($A$24=$A263,$B$24=$B263,$C$24=$C263,$D$24=$D263,$E$24=$E263),TRUE,""))</f>
        <v/>
      </c>
      <c r="Q263" s="26" t="b">
        <f t="shared" si="44"/>
        <v>0</v>
      </c>
      <c r="R263" s="26" t="b">
        <f t="shared" si="45"/>
        <v>0</v>
      </c>
    </row>
    <row r="264" spans="1:18" x14ac:dyDescent="0.25">
      <c r="A264" s="83" t="s">
        <v>131</v>
      </c>
      <c r="B264" s="83" t="s">
        <v>222</v>
      </c>
      <c r="C264" s="83">
        <v>40</v>
      </c>
      <c r="D264" s="83">
        <v>9.9</v>
      </c>
      <c r="E264" s="83">
        <v>1</v>
      </c>
      <c r="F264" s="83" t="s">
        <v>216</v>
      </c>
      <c r="G264" s="83"/>
      <c r="H264" s="83">
        <v>50</v>
      </c>
      <c r="I264" s="83" t="str">
        <f t="shared" si="38"/>
        <v xml:space="preserve"> Al</v>
      </c>
      <c r="J264" s="83">
        <v>306</v>
      </c>
      <c r="K264" s="26" t="e">
        <f t="shared" si="39"/>
        <v>#N/A</v>
      </c>
      <c r="L264" s="26" t="e">
        <f t="shared" si="40"/>
        <v>#N/A</v>
      </c>
      <c r="M264" s="35" t="str">
        <f t="shared" si="41"/>
        <v/>
      </c>
      <c r="N264" s="26" t="str">
        <f t="shared" si="42"/>
        <v/>
      </c>
      <c r="O264" s="26" t="str">
        <f t="shared" si="43"/>
        <v/>
      </c>
      <c r="P264" s="35" t="str">
        <f>IF(AND($C$24=50,'Beregning AC vern'!U226="IT-230V"),FALSE,IF(AND($A$24=$A264,$B$24=$B264,$C$24=$C264,$D$24=$D264,$E$24=$E264),TRUE,""))</f>
        <v/>
      </c>
      <c r="Q264" s="26" t="b">
        <f t="shared" si="44"/>
        <v>0</v>
      </c>
      <c r="R264" s="26" t="b">
        <f t="shared" si="45"/>
        <v>0</v>
      </c>
    </row>
    <row r="265" spans="1:18" x14ac:dyDescent="0.25">
      <c r="A265" s="83" t="s">
        <v>131</v>
      </c>
      <c r="B265" s="83" t="s">
        <v>222</v>
      </c>
      <c r="C265" s="83">
        <v>50</v>
      </c>
      <c r="D265" s="83">
        <v>9.9</v>
      </c>
      <c r="E265" s="83">
        <v>1</v>
      </c>
      <c r="F265" s="83" t="s">
        <v>215</v>
      </c>
      <c r="G265" s="83"/>
      <c r="H265" s="83">
        <v>25</v>
      </c>
      <c r="I265" s="83" t="str">
        <f t="shared" si="38"/>
        <v xml:space="preserve"> Al</v>
      </c>
      <c r="J265" s="83">
        <v>125</v>
      </c>
      <c r="K265" s="26" t="e">
        <f t="shared" si="39"/>
        <v>#N/A</v>
      </c>
      <c r="L265" s="26" t="e">
        <f t="shared" si="40"/>
        <v>#N/A</v>
      </c>
      <c r="M265" s="35" t="str">
        <f t="shared" si="41"/>
        <v/>
      </c>
      <c r="N265" s="26" t="str">
        <f t="shared" si="42"/>
        <v/>
      </c>
      <c r="O265" s="26" t="str">
        <f t="shared" si="43"/>
        <v/>
      </c>
      <c r="P265" s="35" t="str">
        <f>IF(AND($C$24=50,'Beregning AC vern'!U227="IT-230V"),FALSE,IF(AND($A$24=$A265,$B$24=$B265,$C$24=$C265,$D$24=$D265,$E$24=$E265),TRUE,""))</f>
        <v/>
      </c>
      <c r="Q265" s="26" t="b">
        <f t="shared" si="44"/>
        <v>0</v>
      </c>
      <c r="R265" s="26" t="b">
        <f t="shared" si="45"/>
        <v>0</v>
      </c>
    </row>
    <row r="266" spans="1:18" x14ac:dyDescent="0.25">
      <c r="A266" s="83" t="s">
        <v>131</v>
      </c>
      <c r="B266" s="83" t="s">
        <v>222</v>
      </c>
      <c r="C266" s="83">
        <v>50</v>
      </c>
      <c r="D266" s="83">
        <v>9.9</v>
      </c>
      <c r="E266" s="83">
        <v>1</v>
      </c>
      <c r="F266" s="83" t="s">
        <v>216</v>
      </c>
      <c r="G266" s="83"/>
      <c r="H266" s="83">
        <v>50</v>
      </c>
      <c r="I266" s="83" t="str">
        <f t="shared" si="38"/>
        <v xml:space="preserve"> Al</v>
      </c>
      <c r="J266" s="83">
        <v>232</v>
      </c>
      <c r="K266" s="26" t="e">
        <f t="shared" si="39"/>
        <v>#N/A</v>
      </c>
      <c r="L266" s="26" t="e">
        <f t="shared" si="40"/>
        <v>#N/A</v>
      </c>
      <c r="M266" s="35" t="str">
        <f t="shared" si="41"/>
        <v/>
      </c>
      <c r="N266" s="26" t="str">
        <f t="shared" si="42"/>
        <v/>
      </c>
      <c r="O266" s="26" t="str">
        <f t="shared" si="43"/>
        <v/>
      </c>
      <c r="P266" s="35" t="str">
        <f>IF(AND($C$24=50,'Beregning AC vern'!U228="IT-230V"),FALSE,IF(AND($A$24=$A266,$B$24=$B266,$C$24=$C266,$D$24=$D266,$E$24=$E266),TRUE,""))</f>
        <v/>
      </c>
      <c r="Q266" s="26" t="b">
        <f t="shared" si="44"/>
        <v>0</v>
      </c>
      <c r="R266" s="26" t="b">
        <f t="shared" si="45"/>
        <v>0</v>
      </c>
    </row>
    <row r="267" spans="1:18" x14ac:dyDescent="0.25">
      <c r="A267" s="83" t="s">
        <v>131</v>
      </c>
      <c r="B267" s="83" t="s">
        <v>222</v>
      </c>
      <c r="C267" s="83">
        <v>63</v>
      </c>
      <c r="D267" s="83">
        <v>9.9</v>
      </c>
      <c r="E267" s="83">
        <v>1</v>
      </c>
      <c r="F267" s="83" t="s">
        <v>216</v>
      </c>
      <c r="G267" s="83"/>
      <c r="H267" s="83">
        <v>50</v>
      </c>
      <c r="I267" s="83" t="str">
        <f t="shared" si="38"/>
        <v xml:space="preserve"> Al</v>
      </c>
      <c r="J267" s="83">
        <v>118</v>
      </c>
      <c r="K267" s="26" t="e">
        <f t="shared" si="39"/>
        <v>#N/A</v>
      </c>
      <c r="L267" s="26" t="e">
        <f t="shared" si="40"/>
        <v>#N/A</v>
      </c>
      <c r="M267" s="35" t="str">
        <f t="shared" si="41"/>
        <v/>
      </c>
      <c r="N267" s="26" t="str">
        <f t="shared" si="42"/>
        <v/>
      </c>
      <c r="O267" s="26" t="str">
        <f t="shared" si="43"/>
        <v/>
      </c>
      <c r="P267" s="35" t="str">
        <f>IF(AND($C$24=50,'Beregning AC vern'!U229="IT-230V"),FALSE,IF(AND($A$24=$A267,$B$24=$B267,$C$24=$C267,$D$24=$D267,$E$24=$E267),TRUE,""))</f>
        <v/>
      </c>
      <c r="Q267" s="26" t="b">
        <f t="shared" si="44"/>
        <v>0</v>
      </c>
      <c r="R267" s="26" t="b">
        <f t="shared" si="45"/>
        <v>0</v>
      </c>
    </row>
    <row r="268" spans="1:18" x14ac:dyDescent="0.25">
      <c r="A268" s="83" t="s">
        <v>131</v>
      </c>
      <c r="B268" s="83" t="s">
        <v>222</v>
      </c>
      <c r="C268" s="83">
        <v>25</v>
      </c>
      <c r="D268" s="83">
        <v>9.9</v>
      </c>
      <c r="E268" s="83">
        <v>2</v>
      </c>
      <c r="F268" s="83" t="s">
        <v>212</v>
      </c>
      <c r="G268" s="83"/>
      <c r="H268" s="83">
        <v>6</v>
      </c>
      <c r="I268" s="83" t="str">
        <f t="shared" si="38"/>
        <v>Cu</v>
      </c>
      <c r="J268" s="83">
        <v>108</v>
      </c>
      <c r="K268" s="26" t="e">
        <f t="shared" si="39"/>
        <v>#N/A</v>
      </c>
      <c r="L268" s="26" t="e">
        <f t="shared" si="40"/>
        <v>#N/A</v>
      </c>
      <c r="M268" s="35" t="str">
        <f t="shared" si="41"/>
        <v/>
      </c>
      <c r="N268" s="26" t="str">
        <f t="shared" si="42"/>
        <v/>
      </c>
      <c r="O268" s="26" t="str">
        <f t="shared" si="43"/>
        <v/>
      </c>
      <c r="P268" s="35" t="str">
        <f>IF(AND($C$24=50,'Beregning AC vern'!U230="IT-230V"),FALSE,IF(AND($A$24=$A268,$B$24=$B268,$C$24=$C268,$D$24=$D268,$E$24=$E268),TRUE,""))</f>
        <v/>
      </c>
      <c r="Q268" s="26" t="b">
        <f t="shared" si="44"/>
        <v>0</v>
      </c>
      <c r="R268" s="26" t="b">
        <f t="shared" si="45"/>
        <v>0</v>
      </c>
    </row>
    <row r="269" spans="1:18" x14ac:dyDescent="0.25">
      <c r="A269" s="83" t="s">
        <v>131</v>
      </c>
      <c r="B269" s="83" t="s">
        <v>222</v>
      </c>
      <c r="C269" s="83">
        <v>25</v>
      </c>
      <c r="D269" s="83">
        <v>9.9</v>
      </c>
      <c r="E269" s="83">
        <v>2</v>
      </c>
      <c r="F269" s="83" t="s">
        <v>214</v>
      </c>
      <c r="G269" s="83"/>
      <c r="H269" s="83">
        <v>10</v>
      </c>
      <c r="I269" s="83" t="str">
        <f t="shared" si="38"/>
        <v xml:space="preserve"> Cu</v>
      </c>
      <c r="J269" s="83">
        <v>180</v>
      </c>
      <c r="K269" s="26" t="e">
        <f t="shared" si="39"/>
        <v>#N/A</v>
      </c>
      <c r="L269" s="26" t="e">
        <f t="shared" si="40"/>
        <v>#N/A</v>
      </c>
      <c r="M269" s="35" t="str">
        <f t="shared" si="41"/>
        <v/>
      </c>
      <c r="N269" s="26" t="str">
        <f t="shared" si="42"/>
        <v/>
      </c>
      <c r="O269" s="26" t="str">
        <f t="shared" si="43"/>
        <v/>
      </c>
      <c r="P269" s="35" t="str">
        <f>IF(AND($C$24=50,'Beregning AC vern'!U231="IT-230V"),FALSE,IF(AND($A$24=$A269,$B$24=$B269,$C$24=$C269,$D$24=$D269,$E$24=$E269),TRUE,""))</f>
        <v/>
      </c>
      <c r="Q269" s="26" t="b">
        <f t="shared" si="44"/>
        <v>0</v>
      </c>
      <c r="R269" s="26" t="b">
        <f t="shared" si="45"/>
        <v>0</v>
      </c>
    </row>
    <row r="270" spans="1:18" x14ac:dyDescent="0.25">
      <c r="A270" s="83" t="s">
        <v>131</v>
      </c>
      <c r="B270" s="83" t="s">
        <v>222</v>
      </c>
      <c r="C270" s="83">
        <v>25</v>
      </c>
      <c r="D270" s="83">
        <v>9.9</v>
      </c>
      <c r="E270" s="83">
        <v>2</v>
      </c>
      <c r="F270" s="83" t="s">
        <v>215</v>
      </c>
      <c r="G270" s="83"/>
      <c r="H270" s="83">
        <v>25</v>
      </c>
      <c r="I270" s="83" t="str">
        <f t="shared" si="38"/>
        <v xml:space="preserve"> Al</v>
      </c>
      <c r="J270" s="83">
        <v>275</v>
      </c>
      <c r="K270" s="26" t="e">
        <f t="shared" si="39"/>
        <v>#N/A</v>
      </c>
      <c r="L270" s="26" t="e">
        <f t="shared" si="40"/>
        <v>#N/A</v>
      </c>
      <c r="M270" s="35" t="str">
        <f t="shared" si="41"/>
        <v/>
      </c>
      <c r="N270" s="26" t="str">
        <f t="shared" si="42"/>
        <v/>
      </c>
      <c r="O270" s="26" t="str">
        <f t="shared" si="43"/>
        <v/>
      </c>
      <c r="P270" s="35" t="str">
        <f>IF(AND($C$24=50,'Beregning AC vern'!U232="IT-230V"),FALSE,IF(AND($A$24=$A270,$B$24=$B270,$C$24=$C270,$D$24=$D270,$E$24=$E270),TRUE,""))</f>
        <v/>
      </c>
      <c r="Q270" s="26" t="b">
        <f t="shared" si="44"/>
        <v>0</v>
      </c>
      <c r="R270" s="26" t="b">
        <f t="shared" si="45"/>
        <v>0</v>
      </c>
    </row>
    <row r="271" spans="1:18" x14ac:dyDescent="0.25">
      <c r="A271" s="83" t="s">
        <v>131</v>
      </c>
      <c r="B271" s="83" t="s">
        <v>222</v>
      </c>
      <c r="C271" s="83">
        <v>25</v>
      </c>
      <c r="D271" s="83">
        <v>9.9</v>
      </c>
      <c r="E271" s="83">
        <v>2</v>
      </c>
      <c r="F271" s="83" t="s">
        <v>216</v>
      </c>
      <c r="G271" s="83"/>
      <c r="H271" s="83">
        <v>50</v>
      </c>
      <c r="I271" s="83" t="str">
        <f t="shared" si="38"/>
        <v xml:space="preserve"> Al</v>
      </c>
      <c r="J271" s="83">
        <v>490</v>
      </c>
      <c r="K271" s="26" t="e">
        <f t="shared" si="39"/>
        <v>#N/A</v>
      </c>
      <c r="L271" s="26" t="e">
        <f t="shared" si="40"/>
        <v>#N/A</v>
      </c>
      <c r="M271" s="35" t="str">
        <f t="shared" si="41"/>
        <v/>
      </c>
      <c r="N271" s="26" t="str">
        <f t="shared" si="42"/>
        <v/>
      </c>
      <c r="O271" s="26" t="str">
        <f t="shared" si="43"/>
        <v/>
      </c>
      <c r="P271" s="35" t="str">
        <f>IF(AND($C$24=50,'Beregning AC vern'!U233="IT-230V"),FALSE,IF(AND($A$24=$A271,$B$24=$B271,$C$24=$C271,$D$24=$D271,$E$24=$E271),TRUE,""))</f>
        <v/>
      </c>
      <c r="Q271" s="26" t="b">
        <f t="shared" si="44"/>
        <v>0</v>
      </c>
      <c r="R271" s="26" t="b">
        <f t="shared" si="45"/>
        <v>0</v>
      </c>
    </row>
    <row r="272" spans="1:18" x14ac:dyDescent="0.25">
      <c r="A272" s="83" t="s">
        <v>131</v>
      </c>
      <c r="B272" s="83" t="s">
        <v>222</v>
      </c>
      <c r="C272" s="83">
        <v>32</v>
      </c>
      <c r="D272" s="83">
        <v>9.9</v>
      </c>
      <c r="E272" s="83">
        <v>2</v>
      </c>
      <c r="F272" s="83" t="s">
        <v>214</v>
      </c>
      <c r="G272" s="83"/>
      <c r="H272" s="83">
        <v>10</v>
      </c>
      <c r="I272" s="83" t="str">
        <f t="shared" si="38"/>
        <v xml:space="preserve"> Cu</v>
      </c>
      <c r="J272" s="83">
        <v>142</v>
      </c>
      <c r="K272" s="26" t="e">
        <f t="shared" si="39"/>
        <v>#N/A</v>
      </c>
      <c r="L272" s="26" t="e">
        <f t="shared" si="40"/>
        <v>#N/A</v>
      </c>
      <c r="M272" s="35" t="str">
        <f t="shared" si="41"/>
        <v/>
      </c>
      <c r="N272" s="26" t="str">
        <f t="shared" si="42"/>
        <v/>
      </c>
      <c r="O272" s="26" t="str">
        <f t="shared" si="43"/>
        <v/>
      </c>
      <c r="P272" s="35" t="str">
        <f>IF(AND($C$24=50,'Beregning AC vern'!U234="IT-230V"),FALSE,IF(AND($A$24=$A272,$B$24=$B272,$C$24=$C272,$D$24=$D272,$E$24=$E272),TRUE,""))</f>
        <v/>
      </c>
      <c r="Q272" s="26" t="b">
        <f t="shared" si="44"/>
        <v>0</v>
      </c>
      <c r="R272" s="26" t="b">
        <f t="shared" si="45"/>
        <v>0</v>
      </c>
    </row>
    <row r="273" spans="1:18" x14ac:dyDescent="0.25">
      <c r="A273" s="83" t="s">
        <v>131</v>
      </c>
      <c r="B273" s="83" t="s">
        <v>222</v>
      </c>
      <c r="C273" s="83">
        <v>32</v>
      </c>
      <c r="D273" s="83">
        <v>9.9</v>
      </c>
      <c r="E273" s="83">
        <v>2</v>
      </c>
      <c r="F273" s="83" t="s">
        <v>215</v>
      </c>
      <c r="G273" s="83"/>
      <c r="H273" s="83">
        <v>25</v>
      </c>
      <c r="I273" s="83" t="str">
        <f t="shared" si="38"/>
        <v xml:space="preserve"> Al</v>
      </c>
      <c r="J273" s="83">
        <v>214</v>
      </c>
      <c r="K273" s="26" t="e">
        <f t="shared" si="39"/>
        <v>#N/A</v>
      </c>
      <c r="L273" s="26" t="e">
        <f t="shared" si="40"/>
        <v>#N/A</v>
      </c>
      <c r="M273" s="35" t="str">
        <f t="shared" si="41"/>
        <v/>
      </c>
      <c r="N273" s="26" t="str">
        <f t="shared" si="42"/>
        <v/>
      </c>
      <c r="O273" s="26" t="str">
        <f t="shared" si="43"/>
        <v/>
      </c>
      <c r="P273" s="35" t="str">
        <f>IF(AND($C$24=50,'Beregning AC vern'!U235="IT-230V"),FALSE,IF(AND($A$24=$A273,$B$24=$B273,$C$24=$C273,$D$24=$D273,$E$24=$E273),TRUE,""))</f>
        <v/>
      </c>
      <c r="Q273" s="26" t="b">
        <f t="shared" si="44"/>
        <v>0</v>
      </c>
      <c r="R273" s="26" t="b">
        <f t="shared" si="45"/>
        <v>0</v>
      </c>
    </row>
    <row r="274" spans="1:18" x14ac:dyDescent="0.25">
      <c r="A274" s="83" t="s">
        <v>131</v>
      </c>
      <c r="B274" s="83" t="s">
        <v>222</v>
      </c>
      <c r="C274" s="83">
        <v>32</v>
      </c>
      <c r="D274" s="83">
        <v>9.9</v>
      </c>
      <c r="E274" s="83">
        <v>2</v>
      </c>
      <c r="F274" s="83" t="s">
        <v>216</v>
      </c>
      <c r="G274" s="83"/>
      <c r="H274" s="83">
        <v>50</v>
      </c>
      <c r="I274" s="83" t="str">
        <f t="shared" si="38"/>
        <v xml:space="preserve"> Al</v>
      </c>
      <c r="J274" s="83">
        <v>390</v>
      </c>
      <c r="K274" s="26" t="e">
        <f t="shared" si="39"/>
        <v>#N/A</v>
      </c>
      <c r="L274" s="26" t="e">
        <f t="shared" si="40"/>
        <v>#N/A</v>
      </c>
      <c r="M274" s="35" t="str">
        <f t="shared" si="41"/>
        <v/>
      </c>
      <c r="N274" s="26" t="str">
        <f t="shared" si="42"/>
        <v/>
      </c>
      <c r="O274" s="26" t="str">
        <f t="shared" si="43"/>
        <v/>
      </c>
      <c r="P274" s="35" t="str">
        <f>IF(AND($C$24=50,'Beregning AC vern'!U236="IT-230V"),FALSE,IF(AND($A$24=$A274,$B$24=$B274,$C$24=$C274,$D$24=$D274,$E$24=$E274),TRUE,""))</f>
        <v/>
      </c>
      <c r="Q274" s="26" t="b">
        <f t="shared" si="44"/>
        <v>0</v>
      </c>
      <c r="R274" s="26" t="b">
        <f t="shared" si="45"/>
        <v>0</v>
      </c>
    </row>
    <row r="275" spans="1:18" x14ac:dyDescent="0.25">
      <c r="A275" s="83" t="s">
        <v>131</v>
      </c>
      <c r="B275" s="83" t="s">
        <v>222</v>
      </c>
      <c r="C275" s="83">
        <v>40</v>
      </c>
      <c r="D275" s="83">
        <v>9.9</v>
      </c>
      <c r="E275" s="83">
        <v>2</v>
      </c>
      <c r="F275" s="83" t="s">
        <v>217</v>
      </c>
      <c r="G275" s="83"/>
      <c r="H275" s="83">
        <v>16</v>
      </c>
      <c r="I275" s="83" t="str">
        <f t="shared" si="38"/>
        <v xml:space="preserve"> Cu</v>
      </c>
      <c r="J275" s="83">
        <v>178</v>
      </c>
      <c r="K275" s="26" t="e">
        <f t="shared" si="39"/>
        <v>#N/A</v>
      </c>
      <c r="L275" s="26" t="e">
        <f t="shared" si="40"/>
        <v>#N/A</v>
      </c>
      <c r="M275" s="35" t="str">
        <f t="shared" si="41"/>
        <v/>
      </c>
      <c r="N275" s="26" t="str">
        <f t="shared" si="42"/>
        <v/>
      </c>
      <c r="O275" s="26" t="str">
        <f t="shared" si="43"/>
        <v/>
      </c>
      <c r="P275" s="35" t="str">
        <f>IF(AND($C$24=50,'Beregning AC vern'!U237="IT-230V"),FALSE,IF(AND($A$24=$A275,$B$24=$B275,$C$24=$C275,$D$24=$D275,$E$24=$E275),TRUE,""))</f>
        <v/>
      </c>
      <c r="Q275" s="26" t="b">
        <f t="shared" si="44"/>
        <v>0</v>
      </c>
      <c r="R275" s="26" t="b">
        <f t="shared" si="45"/>
        <v>0</v>
      </c>
    </row>
    <row r="276" spans="1:18" x14ac:dyDescent="0.25">
      <c r="A276" s="83" t="s">
        <v>131</v>
      </c>
      <c r="B276" s="83" t="s">
        <v>222</v>
      </c>
      <c r="C276" s="83">
        <v>40</v>
      </c>
      <c r="D276" s="83">
        <v>9.9</v>
      </c>
      <c r="E276" s="83">
        <v>2</v>
      </c>
      <c r="F276" s="83" t="s">
        <v>215</v>
      </c>
      <c r="G276" s="83"/>
      <c r="H276" s="83">
        <v>25</v>
      </c>
      <c r="I276" s="83" t="str">
        <f t="shared" si="38"/>
        <v xml:space="preserve"> Al</v>
      </c>
      <c r="J276" s="83">
        <v>172</v>
      </c>
      <c r="K276" s="26" t="e">
        <f t="shared" si="39"/>
        <v>#N/A</v>
      </c>
      <c r="L276" s="26" t="e">
        <f t="shared" si="40"/>
        <v>#N/A</v>
      </c>
      <c r="M276" s="35" t="str">
        <f t="shared" si="41"/>
        <v/>
      </c>
      <c r="N276" s="26" t="str">
        <f t="shared" si="42"/>
        <v/>
      </c>
      <c r="O276" s="26" t="str">
        <f t="shared" si="43"/>
        <v/>
      </c>
      <c r="P276" s="35" t="str">
        <f>IF(AND($C$24=50,'Beregning AC vern'!U238="IT-230V"),FALSE,IF(AND($A$24=$A276,$B$24=$B276,$C$24=$C276,$D$24=$D276,$E$24=$E276),TRUE,""))</f>
        <v/>
      </c>
      <c r="Q276" s="26" t="b">
        <f t="shared" si="44"/>
        <v>0</v>
      </c>
      <c r="R276" s="26" t="b">
        <f t="shared" si="45"/>
        <v>0</v>
      </c>
    </row>
    <row r="277" spans="1:18" x14ac:dyDescent="0.25">
      <c r="A277" s="83" t="s">
        <v>131</v>
      </c>
      <c r="B277" s="83" t="s">
        <v>222</v>
      </c>
      <c r="C277" s="83">
        <v>40</v>
      </c>
      <c r="D277" s="83">
        <v>9.9</v>
      </c>
      <c r="E277" s="83">
        <v>2</v>
      </c>
      <c r="F277" s="83" t="s">
        <v>216</v>
      </c>
      <c r="G277" s="83"/>
      <c r="H277" s="83">
        <v>50</v>
      </c>
      <c r="I277" s="83" t="str">
        <f t="shared" si="38"/>
        <v xml:space="preserve"> Al</v>
      </c>
      <c r="J277" s="83">
        <v>312</v>
      </c>
      <c r="K277" s="26" t="e">
        <f t="shared" si="39"/>
        <v>#N/A</v>
      </c>
      <c r="L277" s="26" t="e">
        <f t="shared" si="40"/>
        <v>#N/A</v>
      </c>
      <c r="M277" s="35" t="str">
        <f t="shared" si="41"/>
        <v/>
      </c>
      <c r="N277" s="26" t="str">
        <f t="shared" si="42"/>
        <v/>
      </c>
      <c r="O277" s="26" t="str">
        <f t="shared" si="43"/>
        <v/>
      </c>
      <c r="P277" s="35" t="str">
        <f>IF(AND($C$24=50,'Beregning AC vern'!U239="IT-230V"),FALSE,IF(AND($A$24=$A277,$B$24=$B277,$C$24=$C277,$D$24=$D277,$E$24=$E277),TRUE,""))</f>
        <v/>
      </c>
      <c r="Q277" s="26" t="b">
        <f t="shared" si="44"/>
        <v>0</v>
      </c>
      <c r="R277" s="26" t="b">
        <f t="shared" si="45"/>
        <v>0</v>
      </c>
    </row>
    <row r="278" spans="1:18" x14ac:dyDescent="0.25">
      <c r="A278" s="83" t="s">
        <v>131</v>
      </c>
      <c r="B278" s="83" t="s">
        <v>222</v>
      </c>
      <c r="C278" s="83">
        <v>50</v>
      </c>
      <c r="D278" s="83">
        <v>9.9</v>
      </c>
      <c r="E278" s="83">
        <v>2</v>
      </c>
      <c r="F278" s="83" t="s">
        <v>215</v>
      </c>
      <c r="G278" s="83"/>
      <c r="H278" s="83">
        <v>25</v>
      </c>
      <c r="I278" s="83" t="str">
        <f t="shared" si="38"/>
        <v xml:space="preserve"> Al</v>
      </c>
      <c r="J278" s="83">
        <v>126</v>
      </c>
      <c r="K278" s="26" t="e">
        <f t="shared" si="39"/>
        <v>#N/A</v>
      </c>
      <c r="L278" s="26" t="e">
        <f t="shared" si="40"/>
        <v>#N/A</v>
      </c>
      <c r="M278" s="35" t="str">
        <f t="shared" si="41"/>
        <v/>
      </c>
      <c r="N278" s="26" t="str">
        <f t="shared" si="42"/>
        <v/>
      </c>
      <c r="O278" s="26" t="str">
        <f t="shared" si="43"/>
        <v/>
      </c>
      <c r="P278" s="35" t="str">
        <f>IF(AND($C$24=50,'Beregning AC vern'!U240="IT-230V"),FALSE,IF(AND($A$24=$A278,$B$24=$B278,$C$24=$C278,$D$24=$D278,$E$24=$E278),TRUE,""))</f>
        <v/>
      </c>
      <c r="Q278" s="26" t="b">
        <f t="shared" si="44"/>
        <v>0</v>
      </c>
      <c r="R278" s="26" t="b">
        <f t="shared" si="45"/>
        <v>0</v>
      </c>
    </row>
    <row r="279" spans="1:18" x14ac:dyDescent="0.25">
      <c r="A279" s="83" t="s">
        <v>131</v>
      </c>
      <c r="B279" s="83" t="s">
        <v>222</v>
      </c>
      <c r="C279" s="83">
        <v>50</v>
      </c>
      <c r="D279" s="83">
        <v>9.9</v>
      </c>
      <c r="E279" s="83">
        <v>2</v>
      </c>
      <c r="F279" s="83" t="s">
        <v>216</v>
      </c>
      <c r="G279" s="83"/>
      <c r="H279" s="83">
        <v>50</v>
      </c>
      <c r="I279" s="83" t="str">
        <f t="shared" si="38"/>
        <v xml:space="preserve"> Al</v>
      </c>
      <c r="J279" s="83">
        <v>232</v>
      </c>
      <c r="K279" s="26" t="e">
        <f t="shared" si="39"/>
        <v>#N/A</v>
      </c>
      <c r="L279" s="26" t="e">
        <f t="shared" si="40"/>
        <v>#N/A</v>
      </c>
      <c r="M279" s="35" t="str">
        <f t="shared" si="41"/>
        <v/>
      </c>
      <c r="N279" s="26" t="str">
        <f t="shared" si="42"/>
        <v/>
      </c>
      <c r="O279" s="26" t="str">
        <f t="shared" si="43"/>
        <v/>
      </c>
      <c r="P279" s="35" t="str">
        <f>IF(AND($C$24=50,'Beregning AC vern'!U241="IT-230V"),FALSE,IF(AND($A$24=$A279,$B$24=$B279,$C$24=$C279,$D$24=$D279,$E$24=$E279),TRUE,""))</f>
        <v/>
      </c>
      <c r="Q279" s="26" t="b">
        <f t="shared" si="44"/>
        <v>0</v>
      </c>
      <c r="R279" s="26" t="b">
        <f t="shared" si="45"/>
        <v>0</v>
      </c>
    </row>
    <row r="280" spans="1:18" x14ac:dyDescent="0.25">
      <c r="A280" s="83" t="s">
        <v>131</v>
      </c>
      <c r="B280" s="83" t="s">
        <v>222</v>
      </c>
      <c r="C280" s="83">
        <v>63</v>
      </c>
      <c r="D280" s="83">
        <v>9.9</v>
      </c>
      <c r="E280" s="83">
        <v>2</v>
      </c>
      <c r="F280" s="83" t="s">
        <v>216</v>
      </c>
      <c r="G280" s="83"/>
      <c r="H280" s="83">
        <v>50</v>
      </c>
      <c r="I280" s="83" t="str">
        <f t="shared" si="38"/>
        <v xml:space="preserve"> Al</v>
      </c>
      <c r="J280" s="83">
        <v>119</v>
      </c>
      <c r="K280" s="26" t="e">
        <f t="shared" si="39"/>
        <v>#N/A</v>
      </c>
      <c r="L280" s="26" t="e">
        <f t="shared" si="40"/>
        <v>#N/A</v>
      </c>
      <c r="M280" s="35" t="str">
        <f t="shared" si="41"/>
        <v/>
      </c>
      <c r="N280" s="26" t="str">
        <f t="shared" si="42"/>
        <v/>
      </c>
      <c r="O280" s="26" t="str">
        <f t="shared" si="43"/>
        <v/>
      </c>
      <c r="P280" s="35" t="str">
        <f>IF(AND($C$24=50,'Beregning AC vern'!U242="IT-230V"),FALSE,IF(AND($A$24=$A280,$B$24=$B280,$C$24=$C280,$D$24=$D280,$E$24=$E280),TRUE,""))</f>
        <v/>
      </c>
      <c r="Q280" s="26" t="b">
        <f t="shared" si="44"/>
        <v>0</v>
      </c>
      <c r="R280" s="26" t="b">
        <f t="shared" si="45"/>
        <v>0</v>
      </c>
    </row>
    <row r="281" spans="1:18" x14ac:dyDescent="0.25">
      <c r="A281" s="83" t="s">
        <v>131</v>
      </c>
      <c r="B281" s="83" t="s">
        <v>222</v>
      </c>
      <c r="C281" s="83">
        <v>25</v>
      </c>
      <c r="D281" s="83">
        <v>9.9</v>
      </c>
      <c r="E281" s="83">
        <v>5</v>
      </c>
      <c r="F281" s="83" t="s">
        <v>212</v>
      </c>
      <c r="G281" s="83"/>
      <c r="H281" s="83">
        <v>6</v>
      </c>
      <c r="I281" s="83" t="str">
        <f t="shared" si="38"/>
        <v>Cu</v>
      </c>
      <c r="J281" s="83">
        <v>108</v>
      </c>
      <c r="K281" s="26" t="e">
        <f t="shared" si="39"/>
        <v>#N/A</v>
      </c>
      <c r="L281" s="26" t="e">
        <f t="shared" si="40"/>
        <v>#N/A</v>
      </c>
      <c r="M281" s="35" t="str">
        <f t="shared" si="41"/>
        <v/>
      </c>
      <c r="N281" s="26" t="str">
        <f t="shared" si="42"/>
        <v/>
      </c>
      <c r="O281" s="26" t="str">
        <f t="shared" si="43"/>
        <v/>
      </c>
      <c r="P281" s="35" t="str">
        <f>IF(AND($C$24=50,'Beregning AC vern'!U243="IT-230V"),FALSE,IF(AND($A$24=$A281,$B$24=$B281,$C$24=$C281,$D$24=$D281,$E$24=$E281),TRUE,""))</f>
        <v/>
      </c>
      <c r="Q281" s="26" t="b">
        <f t="shared" si="44"/>
        <v>0</v>
      </c>
      <c r="R281" s="26" t="b">
        <f t="shared" si="45"/>
        <v>0</v>
      </c>
    </row>
    <row r="282" spans="1:18" x14ac:dyDescent="0.25">
      <c r="A282" s="83" t="s">
        <v>131</v>
      </c>
      <c r="B282" s="83" t="s">
        <v>222</v>
      </c>
      <c r="C282" s="83">
        <v>25</v>
      </c>
      <c r="D282" s="83">
        <v>9.9</v>
      </c>
      <c r="E282" s="83">
        <v>5</v>
      </c>
      <c r="F282" s="83" t="s">
        <v>214</v>
      </c>
      <c r="G282" s="83"/>
      <c r="H282" s="83">
        <v>10</v>
      </c>
      <c r="I282" s="83" t="str">
        <f t="shared" si="38"/>
        <v xml:space="preserve"> Cu</v>
      </c>
      <c r="J282" s="83">
        <v>180</v>
      </c>
      <c r="K282" s="26" t="e">
        <f t="shared" si="39"/>
        <v>#N/A</v>
      </c>
      <c r="L282" s="26" t="e">
        <f t="shared" si="40"/>
        <v>#N/A</v>
      </c>
      <c r="M282" s="35" t="str">
        <f t="shared" si="41"/>
        <v/>
      </c>
      <c r="N282" s="26" t="str">
        <f t="shared" si="42"/>
        <v/>
      </c>
      <c r="O282" s="26" t="str">
        <f t="shared" si="43"/>
        <v/>
      </c>
      <c r="P282" s="35" t="str">
        <f>IF(AND($C$24=50,'Beregning AC vern'!U244="IT-230V"),FALSE,IF(AND($A$24=$A282,$B$24=$B282,$C$24=$C282,$D$24=$D282,$E$24=$E282),TRUE,""))</f>
        <v/>
      </c>
      <c r="Q282" s="26" t="b">
        <f t="shared" si="44"/>
        <v>0</v>
      </c>
      <c r="R282" s="26" t="b">
        <f t="shared" si="45"/>
        <v>0</v>
      </c>
    </row>
    <row r="283" spans="1:18" x14ac:dyDescent="0.25">
      <c r="A283" s="83" t="s">
        <v>131</v>
      </c>
      <c r="B283" s="83" t="s">
        <v>222</v>
      </c>
      <c r="C283" s="83">
        <v>25</v>
      </c>
      <c r="D283" s="83">
        <v>9.9</v>
      </c>
      <c r="E283" s="83">
        <v>5</v>
      </c>
      <c r="F283" s="83" t="s">
        <v>215</v>
      </c>
      <c r="G283" s="83"/>
      <c r="H283" s="83">
        <v>25</v>
      </c>
      <c r="I283" s="83" t="str">
        <f t="shared" si="38"/>
        <v xml:space="preserve"> Al</v>
      </c>
      <c r="J283" s="83">
        <v>275</v>
      </c>
      <c r="K283" s="26" t="e">
        <f t="shared" si="39"/>
        <v>#N/A</v>
      </c>
      <c r="L283" s="26" t="e">
        <f t="shared" si="40"/>
        <v>#N/A</v>
      </c>
      <c r="M283" s="35" t="str">
        <f t="shared" si="41"/>
        <v/>
      </c>
      <c r="N283" s="26" t="str">
        <f t="shared" si="42"/>
        <v/>
      </c>
      <c r="O283" s="26" t="str">
        <f t="shared" si="43"/>
        <v/>
      </c>
      <c r="P283" s="35" t="str">
        <f>IF(AND($C$24=50,'Beregning AC vern'!U245="IT-230V"),FALSE,IF(AND($A$24=$A283,$B$24=$B283,$C$24=$C283,$D$24=$D283,$E$24=$E283),TRUE,""))</f>
        <v/>
      </c>
      <c r="Q283" s="26" t="b">
        <f t="shared" si="44"/>
        <v>0</v>
      </c>
      <c r="R283" s="26" t="b">
        <f t="shared" si="45"/>
        <v>0</v>
      </c>
    </row>
    <row r="284" spans="1:18" x14ac:dyDescent="0.25">
      <c r="A284" s="83" t="s">
        <v>131</v>
      </c>
      <c r="B284" s="83" t="s">
        <v>222</v>
      </c>
      <c r="C284" s="83">
        <v>25</v>
      </c>
      <c r="D284" s="83">
        <v>9.9</v>
      </c>
      <c r="E284" s="83">
        <v>5</v>
      </c>
      <c r="F284" s="83" t="s">
        <v>216</v>
      </c>
      <c r="G284" s="83"/>
      <c r="H284" s="83">
        <v>50</v>
      </c>
      <c r="I284" s="83" t="str">
        <f t="shared" si="38"/>
        <v xml:space="preserve"> Al</v>
      </c>
      <c r="J284" s="83">
        <v>490</v>
      </c>
      <c r="K284" s="26" t="e">
        <f t="shared" si="39"/>
        <v>#N/A</v>
      </c>
      <c r="L284" s="26" t="e">
        <f t="shared" si="40"/>
        <v>#N/A</v>
      </c>
      <c r="M284" s="35" t="str">
        <f t="shared" si="41"/>
        <v/>
      </c>
      <c r="N284" s="26" t="str">
        <f t="shared" si="42"/>
        <v/>
      </c>
      <c r="O284" s="26" t="str">
        <f t="shared" si="43"/>
        <v/>
      </c>
      <c r="P284" s="35" t="str">
        <f>IF(AND($C$24=50,'Beregning AC vern'!U246="IT-230V"),FALSE,IF(AND($A$24=$A284,$B$24=$B284,$C$24=$C284,$D$24=$D284,$E$24=$E284),TRUE,""))</f>
        <v/>
      </c>
      <c r="Q284" s="26" t="b">
        <f t="shared" si="44"/>
        <v>0</v>
      </c>
      <c r="R284" s="26" t="b">
        <f t="shared" si="45"/>
        <v>0</v>
      </c>
    </row>
    <row r="285" spans="1:18" x14ac:dyDescent="0.25">
      <c r="A285" s="83" t="s">
        <v>131</v>
      </c>
      <c r="B285" s="83" t="s">
        <v>222</v>
      </c>
      <c r="C285" s="83">
        <v>32</v>
      </c>
      <c r="D285" s="83">
        <v>9.9</v>
      </c>
      <c r="E285" s="83">
        <v>5</v>
      </c>
      <c r="F285" s="83" t="s">
        <v>214</v>
      </c>
      <c r="G285" s="83"/>
      <c r="H285" s="83">
        <v>10</v>
      </c>
      <c r="I285" s="83" t="str">
        <f t="shared" si="38"/>
        <v xml:space="preserve"> Cu</v>
      </c>
      <c r="J285" s="83">
        <v>142</v>
      </c>
      <c r="K285" s="26" t="e">
        <f t="shared" si="39"/>
        <v>#N/A</v>
      </c>
      <c r="L285" s="26" t="e">
        <f t="shared" si="40"/>
        <v>#N/A</v>
      </c>
      <c r="M285" s="35" t="str">
        <f t="shared" si="41"/>
        <v/>
      </c>
      <c r="N285" s="26" t="str">
        <f t="shared" si="42"/>
        <v/>
      </c>
      <c r="O285" s="26" t="str">
        <f t="shared" si="43"/>
        <v/>
      </c>
      <c r="P285" s="35" t="str">
        <f>IF(AND($C$24=50,'Beregning AC vern'!U247="IT-230V"),FALSE,IF(AND($A$24=$A285,$B$24=$B285,$C$24=$C285,$D$24=$D285,$E$24=$E285),TRUE,""))</f>
        <v/>
      </c>
      <c r="Q285" s="26" t="b">
        <f t="shared" si="44"/>
        <v>0</v>
      </c>
      <c r="R285" s="26" t="b">
        <f t="shared" si="45"/>
        <v>0</v>
      </c>
    </row>
    <row r="286" spans="1:18" x14ac:dyDescent="0.25">
      <c r="A286" s="83" t="s">
        <v>131</v>
      </c>
      <c r="B286" s="83" t="s">
        <v>222</v>
      </c>
      <c r="C286" s="83">
        <v>32</v>
      </c>
      <c r="D286" s="83">
        <v>9.9</v>
      </c>
      <c r="E286" s="83">
        <v>5</v>
      </c>
      <c r="F286" s="83" t="s">
        <v>215</v>
      </c>
      <c r="G286" s="83"/>
      <c r="H286" s="83">
        <v>25</v>
      </c>
      <c r="I286" s="83" t="str">
        <f t="shared" si="38"/>
        <v xml:space="preserve"> Al</v>
      </c>
      <c r="J286" s="83">
        <v>214</v>
      </c>
      <c r="K286" s="26" t="e">
        <f t="shared" si="39"/>
        <v>#N/A</v>
      </c>
      <c r="L286" s="26" t="e">
        <f t="shared" si="40"/>
        <v>#N/A</v>
      </c>
      <c r="M286" s="35" t="str">
        <f t="shared" si="41"/>
        <v/>
      </c>
      <c r="N286" s="26" t="str">
        <f t="shared" si="42"/>
        <v/>
      </c>
      <c r="O286" s="26" t="str">
        <f t="shared" si="43"/>
        <v/>
      </c>
      <c r="P286" s="35" t="str">
        <f>IF(AND($C$24=50,'Beregning AC vern'!U248="IT-230V"),FALSE,IF(AND($A$24=$A286,$B$24=$B286,$C$24=$C286,$D$24=$D286,$E$24=$E286),TRUE,""))</f>
        <v/>
      </c>
      <c r="Q286" s="26" t="b">
        <f t="shared" si="44"/>
        <v>0</v>
      </c>
      <c r="R286" s="26" t="b">
        <f t="shared" si="45"/>
        <v>0</v>
      </c>
    </row>
    <row r="287" spans="1:18" x14ac:dyDescent="0.25">
      <c r="A287" s="83" t="s">
        <v>131</v>
      </c>
      <c r="B287" s="83" t="s">
        <v>222</v>
      </c>
      <c r="C287" s="83">
        <v>32</v>
      </c>
      <c r="D287" s="83">
        <v>9.9</v>
      </c>
      <c r="E287" s="83">
        <v>5</v>
      </c>
      <c r="F287" s="83" t="s">
        <v>216</v>
      </c>
      <c r="G287" s="83"/>
      <c r="H287" s="83">
        <v>50</v>
      </c>
      <c r="I287" s="83" t="str">
        <f t="shared" si="38"/>
        <v xml:space="preserve"> Al</v>
      </c>
      <c r="J287" s="83">
        <v>390</v>
      </c>
      <c r="K287" s="26" t="e">
        <f t="shared" si="39"/>
        <v>#N/A</v>
      </c>
      <c r="L287" s="26" t="e">
        <f t="shared" si="40"/>
        <v>#N/A</v>
      </c>
      <c r="M287" s="35" t="str">
        <f t="shared" si="41"/>
        <v/>
      </c>
      <c r="N287" s="26" t="str">
        <f t="shared" si="42"/>
        <v/>
      </c>
      <c r="O287" s="26" t="str">
        <f t="shared" si="43"/>
        <v/>
      </c>
      <c r="P287" s="35" t="str">
        <f>IF(AND($C$24=50,'Beregning AC vern'!U249="IT-230V"),FALSE,IF(AND($A$24=$A287,$B$24=$B287,$C$24=$C287,$D$24=$D287,$E$24=$E287),TRUE,""))</f>
        <v/>
      </c>
      <c r="Q287" s="26" t="b">
        <f t="shared" si="44"/>
        <v>0</v>
      </c>
      <c r="R287" s="26" t="b">
        <f t="shared" si="45"/>
        <v>0</v>
      </c>
    </row>
    <row r="288" spans="1:18" x14ac:dyDescent="0.25">
      <c r="A288" s="83" t="s">
        <v>131</v>
      </c>
      <c r="B288" s="83" t="s">
        <v>222</v>
      </c>
      <c r="C288" s="83">
        <v>40</v>
      </c>
      <c r="D288" s="83">
        <v>9.9</v>
      </c>
      <c r="E288" s="83">
        <v>5</v>
      </c>
      <c r="F288" s="83" t="s">
        <v>217</v>
      </c>
      <c r="G288" s="83"/>
      <c r="H288" s="83">
        <v>16</v>
      </c>
      <c r="I288" s="83" t="str">
        <f t="shared" si="38"/>
        <v xml:space="preserve"> Cu</v>
      </c>
      <c r="J288" s="83">
        <v>178</v>
      </c>
      <c r="K288" s="26" t="e">
        <f t="shared" si="39"/>
        <v>#N/A</v>
      </c>
      <c r="L288" s="26" t="e">
        <f t="shared" si="40"/>
        <v>#N/A</v>
      </c>
      <c r="M288" s="35" t="str">
        <f t="shared" si="41"/>
        <v/>
      </c>
      <c r="N288" s="26" t="str">
        <f t="shared" si="42"/>
        <v/>
      </c>
      <c r="O288" s="26" t="str">
        <f t="shared" si="43"/>
        <v/>
      </c>
      <c r="P288" s="35" t="str">
        <f>IF(AND($C$24=50,'Beregning AC vern'!U250="IT-230V"),FALSE,IF(AND($A$24=$A288,$B$24=$B288,$C$24=$C288,$D$24=$D288,$E$24=$E288),TRUE,""))</f>
        <v/>
      </c>
      <c r="Q288" s="26" t="b">
        <f t="shared" si="44"/>
        <v>0</v>
      </c>
      <c r="R288" s="26" t="b">
        <f t="shared" si="45"/>
        <v>0</v>
      </c>
    </row>
    <row r="289" spans="1:18" x14ac:dyDescent="0.25">
      <c r="A289" s="83" t="s">
        <v>131</v>
      </c>
      <c r="B289" s="83" t="s">
        <v>222</v>
      </c>
      <c r="C289" s="83">
        <v>40</v>
      </c>
      <c r="D289" s="83">
        <v>9.9</v>
      </c>
      <c r="E289" s="83">
        <v>5</v>
      </c>
      <c r="F289" s="83" t="s">
        <v>215</v>
      </c>
      <c r="G289" s="83"/>
      <c r="H289" s="83">
        <v>25</v>
      </c>
      <c r="I289" s="83" t="str">
        <f t="shared" si="38"/>
        <v xml:space="preserve"> Al</v>
      </c>
      <c r="J289" s="83">
        <v>172</v>
      </c>
      <c r="K289" s="26" t="e">
        <f t="shared" si="39"/>
        <v>#N/A</v>
      </c>
      <c r="L289" s="26" t="e">
        <f t="shared" si="40"/>
        <v>#N/A</v>
      </c>
      <c r="M289" s="35" t="str">
        <f t="shared" si="41"/>
        <v/>
      </c>
      <c r="N289" s="26" t="str">
        <f t="shared" si="42"/>
        <v/>
      </c>
      <c r="O289" s="26" t="str">
        <f t="shared" si="43"/>
        <v/>
      </c>
      <c r="P289" s="35" t="str">
        <f>IF(AND($C$24=50,'Beregning AC vern'!U251="IT-230V"),FALSE,IF(AND($A$24=$A289,$B$24=$B289,$C$24=$C289,$D$24=$D289,$E$24=$E289),TRUE,""))</f>
        <v/>
      </c>
      <c r="Q289" s="26" t="b">
        <f t="shared" si="44"/>
        <v>0</v>
      </c>
      <c r="R289" s="26" t="b">
        <f t="shared" si="45"/>
        <v>0</v>
      </c>
    </row>
    <row r="290" spans="1:18" x14ac:dyDescent="0.25">
      <c r="A290" s="83" t="s">
        <v>131</v>
      </c>
      <c r="B290" s="83" t="s">
        <v>222</v>
      </c>
      <c r="C290" s="83">
        <v>40</v>
      </c>
      <c r="D290" s="83">
        <v>9.9</v>
      </c>
      <c r="E290" s="83">
        <v>5</v>
      </c>
      <c r="F290" s="83" t="s">
        <v>216</v>
      </c>
      <c r="G290" s="83"/>
      <c r="H290" s="83">
        <v>50</v>
      </c>
      <c r="I290" s="83" t="str">
        <f t="shared" si="38"/>
        <v xml:space="preserve"> Al</v>
      </c>
      <c r="J290" s="83">
        <v>312</v>
      </c>
      <c r="K290" s="26" t="e">
        <f t="shared" si="39"/>
        <v>#N/A</v>
      </c>
      <c r="L290" s="26" t="e">
        <f t="shared" si="40"/>
        <v>#N/A</v>
      </c>
      <c r="M290" s="35" t="str">
        <f t="shared" si="41"/>
        <v/>
      </c>
      <c r="N290" s="26" t="str">
        <f t="shared" si="42"/>
        <v/>
      </c>
      <c r="O290" s="26" t="str">
        <f t="shared" si="43"/>
        <v/>
      </c>
      <c r="P290" s="35" t="str">
        <f>IF(AND($C$24=50,'Beregning AC vern'!U252="IT-230V"),FALSE,IF(AND($A$24=$A290,$B$24=$B290,$C$24=$C290,$D$24=$D290,$E$24=$E290),TRUE,""))</f>
        <v/>
      </c>
      <c r="Q290" s="26" t="b">
        <f t="shared" si="44"/>
        <v>0</v>
      </c>
      <c r="R290" s="26" t="b">
        <f t="shared" si="45"/>
        <v>0</v>
      </c>
    </row>
    <row r="291" spans="1:18" x14ac:dyDescent="0.25">
      <c r="A291" s="83" t="s">
        <v>131</v>
      </c>
      <c r="B291" s="83" t="s">
        <v>222</v>
      </c>
      <c r="C291" s="83">
        <v>50</v>
      </c>
      <c r="D291" s="83">
        <v>9.9</v>
      </c>
      <c r="E291" s="83">
        <v>5</v>
      </c>
      <c r="F291" s="83" t="s">
        <v>215</v>
      </c>
      <c r="G291" s="83"/>
      <c r="H291" s="83">
        <v>25</v>
      </c>
      <c r="I291" s="83" t="str">
        <f t="shared" si="38"/>
        <v xml:space="preserve"> Al</v>
      </c>
      <c r="J291" s="83">
        <v>126</v>
      </c>
      <c r="K291" s="26" t="e">
        <f t="shared" si="39"/>
        <v>#N/A</v>
      </c>
      <c r="L291" s="26" t="e">
        <f t="shared" si="40"/>
        <v>#N/A</v>
      </c>
      <c r="M291" s="35" t="str">
        <f t="shared" si="41"/>
        <v/>
      </c>
      <c r="N291" s="26" t="str">
        <f t="shared" si="42"/>
        <v/>
      </c>
      <c r="O291" s="26" t="str">
        <f t="shared" si="43"/>
        <v/>
      </c>
      <c r="P291" s="35" t="str">
        <f>IF(AND($C$24=50,'Beregning AC vern'!U253="IT-230V"),FALSE,IF(AND($A$24=$A291,$B$24=$B291,$C$24=$C291,$D$24=$D291,$E$24=$E291),TRUE,""))</f>
        <v/>
      </c>
      <c r="Q291" s="26" t="b">
        <f t="shared" si="44"/>
        <v>0</v>
      </c>
      <c r="R291" s="26" t="b">
        <f t="shared" si="45"/>
        <v>0</v>
      </c>
    </row>
    <row r="292" spans="1:18" x14ac:dyDescent="0.25">
      <c r="A292" s="83" t="s">
        <v>131</v>
      </c>
      <c r="B292" s="83" t="s">
        <v>222</v>
      </c>
      <c r="C292" s="83">
        <v>50</v>
      </c>
      <c r="D292" s="83">
        <v>9.9</v>
      </c>
      <c r="E292" s="83">
        <v>5</v>
      </c>
      <c r="F292" s="83" t="s">
        <v>216</v>
      </c>
      <c r="G292" s="83"/>
      <c r="H292" s="83">
        <v>50</v>
      </c>
      <c r="I292" s="83" t="str">
        <f t="shared" si="38"/>
        <v xml:space="preserve"> Al</v>
      </c>
      <c r="J292" s="83">
        <v>232</v>
      </c>
      <c r="K292" s="26" t="e">
        <f t="shared" si="39"/>
        <v>#N/A</v>
      </c>
      <c r="L292" s="26" t="e">
        <f t="shared" si="40"/>
        <v>#N/A</v>
      </c>
      <c r="M292" s="35" t="str">
        <f t="shared" si="41"/>
        <v/>
      </c>
      <c r="N292" s="26" t="str">
        <f t="shared" si="42"/>
        <v/>
      </c>
      <c r="O292" s="26" t="str">
        <f t="shared" si="43"/>
        <v/>
      </c>
      <c r="P292" s="35" t="str">
        <f>IF(AND($C$24=50,'Beregning AC vern'!U254="IT-230V"),FALSE,IF(AND($A$24=$A292,$B$24=$B292,$C$24=$C292,$D$24=$D292,$E$24=$E292),TRUE,""))</f>
        <v/>
      </c>
      <c r="Q292" s="26" t="b">
        <f t="shared" si="44"/>
        <v>0</v>
      </c>
      <c r="R292" s="26" t="b">
        <f t="shared" si="45"/>
        <v>0</v>
      </c>
    </row>
    <row r="293" spans="1:18" x14ac:dyDescent="0.25">
      <c r="A293" s="83" t="s">
        <v>131</v>
      </c>
      <c r="B293" s="83" t="s">
        <v>222</v>
      </c>
      <c r="C293" s="83">
        <v>63</v>
      </c>
      <c r="D293" s="83">
        <v>9.9</v>
      </c>
      <c r="E293" s="83">
        <v>5</v>
      </c>
      <c r="F293" s="83" t="s">
        <v>216</v>
      </c>
      <c r="G293" s="83"/>
      <c r="H293" s="83">
        <v>50</v>
      </c>
      <c r="I293" s="83" t="str">
        <f t="shared" si="38"/>
        <v xml:space="preserve"> Al</v>
      </c>
      <c r="J293" s="83">
        <v>119</v>
      </c>
      <c r="K293" s="26" t="e">
        <f t="shared" si="39"/>
        <v>#N/A</v>
      </c>
      <c r="L293" s="26" t="e">
        <f t="shared" si="40"/>
        <v>#N/A</v>
      </c>
      <c r="M293" s="35" t="str">
        <f t="shared" si="41"/>
        <v/>
      </c>
      <c r="N293" s="26" t="str">
        <f t="shared" si="42"/>
        <v/>
      </c>
      <c r="O293" s="26" t="str">
        <f t="shared" si="43"/>
        <v/>
      </c>
      <c r="P293" s="35" t="str">
        <f>IF(AND($C$24=50,'Beregning AC vern'!U255="IT-230V"),FALSE,IF(AND($A$24=$A293,$B$24=$B293,$C$24=$C293,$D$24=$D293,$E$24=$E293),TRUE,""))</f>
        <v/>
      </c>
      <c r="Q293" s="26" t="b">
        <f t="shared" si="44"/>
        <v>0</v>
      </c>
      <c r="R293" s="26" t="b">
        <f t="shared" si="45"/>
        <v>0</v>
      </c>
    </row>
    <row r="294" spans="1:18" x14ac:dyDescent="0.25">
      <c r="A294" s="83" t="s">
        <v>131</v>
      </c>
      <c r="B294" s="83" t="s">
        <v>222</v>
      </c>
      <c r="C294" s="83">
        <v>25</v>
      </c>
      <c r="D294" s="83">
        <v>9.9</v>
      </c>
      <c r="E294" s="83">
        <v>8.5</v>
      </c>
      <c r="F294" s="83" t="s">
        <v>212</v>
      </c>
      <c r="G294" s="83"/>
      <c r="H294" s="83">
        <v>6</v>
      </c>
      <c r="I294" s="83" t="str">
        <f t="shared" si="38"/>
        <v>Cu</v>
      </c>
      <c r="J294" s="83">
        <v>108</v>
      </c>
      <c r="K294" s="26" t="e">
        <f t="shared" si="39"/>
        <v>#N/A</v>
      </c>
      <c r="L294" s="26" t="e">
        <f t="shared" si="40"/>
        <v>#N/A</v>
      </c>
      <c r="M294" s="35" t="str">
        <f t="shared" si="41"/>
        <v/>
      </c>
      <c r="N294" s="26" t="str">
        <f t="shared" si="42"/>
        <v/>
      </c>
      <c r="O294" s="26" t="str">
        <f t="shared" si="43"/>
        <v/>
      </c>
      <c r="P294" s="35" t="str">
        <f>IF(AND($C$24=50,'Beregning AC vern'!U256="IT-230V"),FALSE,IF(AND($A$24=$A294,$B$24=$B294,$C$24=$C294,$D$24=$D294,$E$24=$E294),TRUE,""))</f>
        <v/>
      </c>
      <c r="Q294" s="26" t="b">
        <f t="shared" si="44"/>
        <v>0</v>
      </c>
      <c r="R294" s="26" t="b">
        <f t="shared" si="45"/>
        <v>0</v>
      </c>
    </row>
    <row r="295" spans="1:18" x14ac:dyDescent="0.25">
      <c r="A295" s="83" t="s">
        <v>131</v>
      </c>
      <c r="B295" s="83" t="s">
        <v>222</v>
      </c>
      <c r="C295" s="83">
        <v>25</v>
      </c>
      <c r="D295" s="83">
        <v>9.9</v>
      </c>
      <c r="E295" s="83">
        <v>8.5</v>
      </c>
      <c r="F295" s="83" t="s">
        <v>214</v>
      </c>
      <c r="G295" s="83"/>
      <c r="H295" s="83">
        <v>10</v>
      </c>
      <c r="I295" s="83" t="str">
        <f t="shared" si="38"/>
        <v xml:space="preserve"> Cu</v>
      </c>
      <c r="J295" s="83">
        <v>180</v>
      </c>
      <c r="K295" s="26" t="e">
        <f t="shared" si="39"/>
        <v>#N/A</v>
      </c>
      <c r="L295" s="26" t="e">
        <f t="shared" si="40"/>
        <v>#N/A</v>
      </c>
      <c r="M295" s="35" t="str">
        <f t="shared" si="41"/>
        <v/>
      </c>
      <c r="N295" s="26" t="str">
        <f t="shared" si="42"/>
        <v/>
      </c>
      <c r="O295" s="26" t="str">
        <f t="shared" si="43"/>
        <v/>
      </c>
      <c r="P295" s="35" t="str">
        <f>IF(AND($C$24=50,'Beregning AC vern'!U257="IT-230V"),FALSE,IF(AND($A$24=$A295,$B$24=$B295,$C$24=$C295,$D$24=$D295,$E$24=$E295),TRUE,""))</f>
        <v/>
      </c>
      <c r="Q295" s="26" t="b">
        <f t="shared" si="44"/>
        <v>0</v>
      </c>
      <c r="R295" s="26" t="b">
        <f t="shared" si="45"/>
        <v>0</v>
      </c>
    </row>
    <row r="296" spans="1:18" x14ac:dyDescent="0.25">
      <c r="A296" s="83" t="s">
        <v>131</v>
      </c>
      <c r="B296" s="83" t="s">
        <v>222</v>
      </c>
      <c r="C296" s="83">
        <v>25</v>
      </c>
      <c r="D296" s="83">
        <v>9.9</v>
      </c>
      <c r="E296" s="83">
        <v>8.5</v>
      </c>
      <c r="F296" s="83" t="s">
        <v>215</v>
      </c>
      <c r="G296" s="83"/>
      <c r="H296" s="83">
        <v>25</v>
      </c>
      <c r="I296" s="83" t="str">
        <f t="shared" ref="I296:I306" si="46">MID(F296,6,3)</f>
        <v xml:space="preserve"> Al</v>
      </c>
      <c r="J296" s="83">
        <v>275</v>
      </c>
      <c r="K296" s="26" t="e">
        <f t="shared" ref="K296:K356" si="47">IF(AND($A$20=$A296,$B$20=$B296,$C$20=$C296,$D$20=$D296,$E$20=$E296,$F$20=$F296),TRUE,"")</f>
        <v>#N/A</v>
      </c>
      <c r="L296" s="26" t="e">
        <f t="shared" ref="L296:L356" si="48">IF(K296=TRUE,J296,"")</f>
        <v>#N/A</v>
      </c>
      <c r="M296" s="35" t="str">
        <f t="shared" ref="M296:M356" si="49">IF(AND($A$21=$A296,$B$21=$B296,$C$21=$C296,$D$21=$D296,$E$21=$E296,$J$7&lt;=J296),TRUE,"")</f>
        <v/>
      </c>
      <c r="N296" s="26" t="str">
        <f t="shared" ref="N296:N356" si="50">IF(M296=TRUE,J296,"")</f>
        <v/>
      </c>
      <c r="O296" s="26" t="str">
        <f t="shared" ref="O296:O356" si="51">IF(M296=TRUE,F296,"")</f>
        <v/>
      </c>
      <c r="P296" s="35" t="str">
        <f>IF(AND($C$24=50,'Beregning AC vern'!U258="IT-230V"),FALSE,IF(AND($A$24=$A296,$B$24=$B296,$C$24=$C296,$D$24=$D296,$E$24=$E296),TRUE,""))</f>
        <v/>
      </c>
      <c r="Q296" s="26" t="b">
        <f t="shared" ref="Q296:Q356" si="52">IF(P296=TRUE,J296,IF(P296=FALSE,FALSE))</f>
        <v>0</v>
      </c>
      <c r="R296" s="26" t="b">
        <f t="shared" ref="R296:R356" si="53">IF(P296=TRUE,F296,IF(P296=FALSE,"Data mangler"))</f>
        <v>0</v>
      </c>
    </row>
    <row r="297" spans="1:18" x14ac:dyDescent="0.25">
      <c r="A297" s="83" t="s">
        <v>131</v>
      </c>
      <c r="B297" s="83" t="s">
        <v>222</v>
      </c>
      <c r="C297" s="83">
        <v>25</v>
      </c>
      <c r="D297" s="83">
        <v>9.9</v>
      </c>
      <c r="E297" s="83">
        <v>8.5</v>
      </c>
      <c r="F297" s="83" t="s">
        <v>216</v>
      </c>
      <c r="G297" s="83"/>
      <c r="H297" s="83">
        <v>50</v>
      </c>
      <c r="I297" s="83" t="str">
        <f t="shared" si="46"/>
        <v xml:space="preserve"> Al</v>
      </c>
      <c r="J297" s="83">
        <v>490</v>
      </c>
      <c r="K297" s="26" t="e">
        <f t="shared" si="47"/>
        <v>#N/A</v>
      </c>
      <c r="L297" s="26" t="e">
        <f t="shared" si="48"/>
        <v>#N/A</v>
      </c>
      <c r="M297" s="35" t="str">
        <f t="shared" si="49"/>
        <v/>
      </c>
      <c r="N297" s="26" t="str">
        <f t="shared" si="50"/>
        <v/>
      </c>
      <c r="O297" s="26" t="str">
        <f t="shared" si="51"/>
        <v/>
      </c>
      <c r="P297" s="35" t="str">
        <f>IF(AND($C$24=50,'Beregning AC vern'!U259="IT-230V"),FALSE,IF(AND($A$24=$A297,$B$24=$B297,$C$24=$C297,$D$24=$D297,$E$24=$E297),TRUE,""))</f>
        <v/>
      </c>
      <c r="Q297" s="26" t="b">
        <f t="shared" si="52"/>
        <v>0</v>
      </c>
      <c r="R297" s="26" t="b">
        <f t="shared" si="53"/>
        <v>0</v>
      </c>
    </row>
    <row r="298" spans="1:18" x14ac:dyDescent="0.25">
      <c r="A298" s="83" t="s">
        <v>131</v>
      </c>
      <c r="B298" s="83" t="s">
        <v>222</v>
      </c>
      <c r="C298" s="83">
        <v>32</v>
      </c>
      <c r="D298" s="83">
        <v>9.9</v>
      </c>
      <c r="E298" s="83">
        <v>8.5</v>
      </c>
      <c r="F298" s="83" t="s">
        <v>214</v>
      </c>
      <c r="G298" s="83"/>
      <c r="H298" s="83">
        <v>10</v>
      </c>
      <c r="I298" s="83" t="str">
        <f t="shared" si="46"/>
        <v xml:space="preserve"> Cu</v>
      </c>
      <c r="J298" s="83">
        <v>142</v>
      </c>
      <c r="K298" s="26" t="e">
        <f t="shared" si="47"/>
        <v>#N/A</v>
      </c>
      <c r="L298" s="26" t="e">
        <f t="shared" si="48"/>
        <v>#N/A</v>
      </c>
      <c r="M298" s="35" t="str">
        <f t="shared" si="49"/>
        <v/>
      </c>
      <c r="N298" s="26" t="str">
        <f t="shared" si="50"/>
        <v/>
      </c>
      <c r="O298" s="26" t="str">
        <f t="shared" si="51"/>
        <v/>
      </c>
      <c r="P298" s="35" t="str">
        <f>IF(AND($C$24=50,'Beregning AC vern'!U260="IT-230V"),FALSE,IF(AND($A$24=$A298,$B$24=$B298,$C$24=$C298,$D$24=$D298,$E$24=$E298),TRUE,""))</f>
        <v/>
      </c>
      <c r="Q298" s="26" t="b">
        <f t="shared" si="52"/>
        <v>0</v>
      </c>
      <c r="R298" s="26" t="b">
        <f t="shared" si="53"/>
        <v>0</v>
      </c>
    </row>
    <row r="299" spans="1:18" x14ac:dyDescent="0.25">
      <c r="A299" s="83" t="s">
        <v>131</v>
      </c>
      <c r="B299" s="83" t="s">
        <v>222</v>
      </c>
      <c r="C299" s="83">
        <v>32</v>
      </c>
      <c r="D299" s="83">
        <v>9.9</v>
      </c>
      <c r="E299" s="83">
        <v>8.5</v>
      </c>
      <c r="F299" s="83" t="s">
        <v>215</v>
      </c>
      <c r="G299" s="83"/>
      <c r="H299" s="83">
        <v>25</v>
      </c>
      <c r="I299" s="83" t="str">
        <f t="shared" si="46"/>
        <v xml:space="preserve"> Al</v>
      </c>
      <c r="J299" s="83">
        <v>214</v>
      </c>
      <c r="K299" s="26" t="e">
        <f t="shared" si="47"/>
        <v>#N/A</v>
      </c>
      <c r="L299" s="26" t="e">
        <f t="shared" si="48"/>
        <v>#N/A</v>
      </c>
      <c r="M299" s="35" t="str">
        <f t="shared" si="49"/>
        <v/>
      </c>
      <c r="N299" s="26" t="str">
        <f t="shared" si="50"/>
        <v/>
      </c>
      <c r="O299" s="26" t="str">
        <f t="shared" si="51"/>
        <v/>
      </c>
      <c r="P299" s="35" t="str">
        <f>IF(AND($C$24=50,'Beregning AC vern'!U261="IT-230V"),FALSE,IF(AND($A$24=$A299,$B$24=$B299,$C$24=$C299,$D$24=$D299,$E$24=$E299),TRUE,""))</f>
        <v/>
      </c>
      <c r="Q299" s="26" t="b">
        <f t="shared" si="52"/>
        <v>0</v>
      </c>
      <c r="R299" s="26" t="b">
        <f t="shared" si="53"/>
        <v>0</v>
      </c>
    </row>
    <row r="300" spans="1:18" x14ac:dyDescent="0.25">
      <c r="A300" s="83" t="s">
        <v>131</v>
      </c>
      <c r="B300" s="83" t="s">
        <v>222</v>
      </c>
      <c r="C300" s="83">
        <v>32</v>
      </c>
      <c r="D300" s="83">
        <v>9.9</v>
      </c>
      <c r="E300" s="83">
        <v>8.5</v>
      </c>
      <c r="F300" s="83" t="s">
        <v>216</v>
      </c>
      <c r="G300" s="83"/>
      <c r="H300" s="83">
        <v>50</v>
      </c>
      <c r="I300" s="83" t="str">
        <f t="shared" si="46"/>
        <v xml:space="preserve"> Al</v>
      </c>
      <c r="J300" s="83">
        <v>390</v>
      </c>
      <c r="K300" s="26" t="e">
        <f t="shared" si="47"/>
        <v>#N/A</v>
      </c>
      <c r="L300" s="26" t="e">
        <f t="shared" si="48"/>
        <v>#N/A</v>
      </c>
      <c r="M300" s="35" t="str">
        <f t="shared" si="49"/>
        <v/>
      </c>
      <c r="N300" s="26" t="str">
        <f t="shared" si="50"/>
        <v/>
      </c>
      <c r="O300" s="26" t="str">
        <f t="shared" si="51"/>
        <v/>
      </c>
      <c r="P300" s="35" t="str">
        <f>IF(AND($C$24=50,'Beregning AC vern'!U262="IT-230V"),FALSE,IF(AND($A$24=$A300,$B$24=$B300,$C$24=$C300,$D$24=$D300,$E$24=$E300),TRUE,""))</f>
        <v/>
      </c>
      <c r="Q300" s="26" t="b">
        <f t="shared" si="52"/>
        <v>0</v>
      </c>
      <c r="R300" s="26" t="b">
        <f t="shared" si="53"/>
        <v>0</v>
      </c>
    </row>
    <row r="301" spans="1:18" x14ac:dyDescent="0.25">
      <c r="A301" s="83" t="s">
        <v>131</v>
      </c>
      <c r="B301" s="83" t="s">
        <v>222</v>
      </c>
      <c r="C301" s="83">
        <v>40</v>
      </c>
      <c r="D301" s="83">
        <v>9.9</v>
      </c>
      <c r="E301" s="83">
        <v>8.5</v>
      </c>
      <c r="F301" s="83" t="s">
        <v>217</v>
      </c>
      <c r="G301" s="83"/>
      <c r="H301" s="83">
        <v>16</v>
      </c>
      <c r="I301" s="83" t="str">
        <f t="shared" si="46"/>
        <v xml:space="preserve"> Cu</v>
      </c>
      <c r="J301" s="83">
        <v>178</v>
      </c>
      <c r="K301" s="26" t="e">
        <f t="shared" si="47"/>
        <v>#N/A</v>
      </c>
      <c r="L301" s="26" t="e">
        <f t="shared" si="48"/>
        <v>#N/A</v>
      </c>
      <c r="M301" s="35" t="str">
        <f t="shared" si="49"/>
        <v/>
      </c>
      <c r="N301" s="26" t="str">
        <f t="shared" si="50"/>
        <v/>
      </c>
      <c r="O301" s="26" t="str">
        <f t="shared" si="51"/>
        <v/>
      </c>
      <c r="P301" s="35" t="str">
        <f>IF(AND($C$24=50,'Beregning AC vern'!U263="IT-230V"),FALSE,IF(AND($A$24=$A301,$B$24=$B301,$C$24=$C301,$D$24=$D301,$E$24=$E301),TRUE,""))</f>
        <v/>
      </c>
      <c r="Q301" s="26" t="b">
        <f t="shared" si="52"/>
        <v>0</v>
      </c>
      <c r="R301" s="26" t="b">
        <f t="shared" si="53"/>
        <v>0</v>
      </c>
    </row>
    <row r="302" spans="1:18" x14ac:dyDescent="0.25">
      <c r="A302" s="83" t="s">
        <v>131</v>
      </c>
      <c r="B302" s="83" t="s">
        <v>222</v>
      </c>
      <c r="C302" s="83">
        <v>40</v>
      </c>
      <c r="D302" s="83">
        <v>9.9</v>
      </c>
      <c r="E302" s="83">
        <v>8.5</v>
      </c>
      <c r="F302" s="83" t="s">
        <v>215</v>
      </c>
      <c r="G302" s="83"/>
      <c r="H302" s="83">
        <v>25</v>
      </c>
      <c r="I302" s="83" t="str">
        <f t="shared" si="46"/>
        <v xml:space="preserve"> Al</v>
      </c>
      <c r="J302" s="83">
        <v>172</v>
      </c>
      <c r="K302" s="26" t="e">
        <f t="shared" si="47"/>
        <v>#N/A</v>
      </c>
      <c r="L302" s="26" t="e">
        <f t="shared" si="48"/>
        <v>#N/A</v>
      </c>
      <c r="M302" s="35" t="str">
        <f t="shared" si="49"/>
        <v/>
      </c>
      <c r="N302" s="26" t="str">
        <f t="shared" si="50"/>
        <v/>
      </c>
      <c r="O302" s="26" t="str">
        <f t="shared" si="51"/>
        <v/>
      </c>
      <c r="P302" s="35" t="str">
        <f>IF(AND($C$24=50,'Beregning AC vern'!U264="IT-230V"),FALSE,IF(AND($A$24=$A302,$B$24=$B302,$C$24=$C302,$D$24=$D302,$E$24=$E302),TRUE,""))</f>
        <v/>
      </c>
      <c r="Q302" s="26" t="b">
        <f t="shared" si="52"/>
        <v>0</v>
      </c>
      <c r="R302" s="26" t="b">
        <f t="shared" si="53"/>
        <v>0</v>
      </c>
    </row>
    <row r="303" spans="1:18" x14ac:dyDescent="0.25">
      <c r="A303" s="83" t="s">
        <v>131</v>
      </c>
      <c r="B303" s="83" t="s">
        <v>222</v>
      </c>
      <c r="C303" s="83">
        <v>40</v>
      </c>
      <c r="D303" s="83">
        <v>9.9</v>
      </c>
      <c r="E303" s="83">
        <v>8.5</v>
      </c>
      <c r="F303" s="83" t="s">
        <v>216</v>
      </c>
      <c r="G303" s="83"/>
      <c r="H303" s="83">
        <v>50</v>
      </c>
      <c r="I303" s="83" t="str">
        <f t="shared" si="46"/>
        <v xml:space="preserve"> Al</v>
      </c>
      <c r="J303" s="83">
        <v>312</v>
      </c>
      <c r="K303" s="26" t="e">
        <f t="shared" si="47"/>
        <v>#N/A</v>
      </c>
      <c r="L303" s="26" t="e">
        <f t="shared" si="48"/>
        <v>#N/A</v>
      </c>
      <c r="M303" s="35" t="str">
        <f t="shared" si="49"/>
        <v/>
      </c>
      <c r="N303" s="26" t="str">
        <f t="shared" si="50"/>
        <v/>
      </c>
      <c r="O303" s="26" t="str">
        <f t="shared" si="51"/>
        <v/>
      </c>
      <c r="P303" s="35" t="str">
        <f>IF(AND($C$24=50,'Beregning AC vern'!U265="IT-230V"),FALSE,IF(AND($A$24=$A303,$B$24=$B303,$C$24=$C303,$D$24=$D303,$E$24=$E303),TRUE,""))</f>
        <v/>
      </c>
      <c r="Q303" s="26" t="b">
        <f t="shared" si="52"/>
        <v>0</v>
      </c>
      <c r="R303" s="26" t="b">
        <f t="shared" si="53"/>
        <v>0</v>
      </c>
    </row>
    <row r="304" spans="1:18" x14ac:dyDescent="0.25">
      <c r="A304" s="83" t="s">
        <v>131</v>
      </c>
      <c r="B304" s="83" t="s">
        <v>222</v>
      </c>
      <c r="C304" s="83">
        <v>50</v>
      </c>
      <c r="D304" s="83">
        <v>9.9</v>
      </c>
      <c r="E304" s="83">
        <v>8.5</v>
      </c>
      <c r="F304" s="83" t="s">
        <v>215</v>
      </c>
      <c r="G304" s="83"/>
      <c r="H304" s="83">
        <v>25</v>
      </c>
      <c r="I304" s="83" t="str">
        <f t="shared" si="46"/>
        <v xml:space="preserve"> Al</v>
      </c>
      <c r="J304" s="83">
        <v>126</v>
      </c>
      <c r="K304" s="26" t="e">
        <f t="shared" si="47"/>
        <v>#N/A</v>
      </c>
      <c r="L304" s="26" t="e">
        <f t="shared" si="48"/>
        <v>#N/A</v>
      </c>
      <c r="M304" s="35" t="str">
        <f t="shared" si="49"/>
        <v/>
      </c>
      <c r="N304" s="26" t="str">
        <f t="shared" si="50"/>
        <v/>
      </c>
      <c r="O304" s="26" t="str">
        <f t="shared" si="51"/>
        <v/>
      </c>
      <c r="P304" s="35" t="str">
        <f>IF(AND($C$24=50,'Beregning AC vern'!U266="IT-230V"),FALSE,IF(AND($A$24=$A304,$B$24=$B304,$C$24=$C304,$D$24=$D304,$E$24=$E304),TRUE,""))</f>
        <v/>
      </c>
      <c r="Q304" s="26" t="b">
        <f t="shared" si="52"/>
        <v>0</v>
      </c>
      <c r="R304" s="26" t="b">
        <f t="shared" si="53"/>
        <v>0</v>
      </c>
    </row>
    <row r="305" spans="1:32" x14ac:dyDescent="0.25">
      <c r="A305" s="83" t="s">
        <v>131</v>
      </c>
      <c r="B305" s="83" t="s">
        <v>222</v>
      </c>
      <c r="C305" s="83">
        <v>50</v>
      </c>
      <c r="D305" s="83">
        <v>9.9</v>
      </c>
      <c r="E305" s="83">
        <v>8.5</v>
      </c>
      <c r="F305" s="83" t="s">
        <v>216</v>
      </c>
      <c r="G305" s="83"/>
      <c r="H305" s="83">
        <v>50</v>
      </c>
      <c r="I305" s="83" t="str">
        <f t="shared" si="46"/>
        <v xml:space="preserve"> Al</v>
      </c>
      <c r="J305" s="83">
        <v>232</v>
      </c>
      <c r="K305" s="26" t="e">
        <f t="shared" si="47"/>
        <v>#N/A</v>
      </c>
      <c r="L305" s="26" t="e">
        <f t="shared" si="48"/>
        <v>#N/A</v>
      </c>
      <c r="M305" s="35" t="str">
        <f t="shared" si="49"/>
        <v/>
      </c>
      <c r="N305" s="26" t="str">
        <f t="shared" si="50"/>
        <v/>
      </c>
      <c r="O305" s="26" t="str">
        <f t="shared" si="51"/>
        <v/>
      </c>
      <c r="P305" s="35" t="str">
        <f>IF(AND($C$24=50,'Beregning AC vern'!U267="IT-230V"),FALSE,IF(AND($A$24=$A305,$B$24=$B305,$C$24=$C305,$D$24=$D305,$E$24=$E305),TRUE,""))</f>
        <v/>
      </c>
      <c r="Q305" s="26" t="b">
        <f t="shared" si="52"/>
        <v>0</v>
      </c>
      <c r="R305" s="26" t="b">
        <f t="shared" si="53"/>
        <v>0</v>
      </c>
    </row>
    <row r="306" spans="1:32" x14ac:dyDescent="0.25">
      <c r="A306" s="83" t="s">
        <v>131</v>
      </c>
      <c r="B306" s="83" t="s">
        <v>222</v>
      </c>
      <c r="C306" s="83">
        <v>63</v>
      </c>
      <c r="D306" s="83">
        <v>9.9</v>
      </c>
      <c r="E306" s="83">
        <v>8.5</v>
      </c>
      <c r="F306" s="83" t="s">
        <v>216</v>
      </c>
      <c r="G306" s="83"/>
      <c r="H306" s="83">
        <v>50</v>
      </c>
      <c r="I306" s="83" t="str">
        <f t="shared" si="46"/>
        <v xml:space="preserve"> Al</v>
      </c>
      <c r="J306" s="83">
        <v>119</v>
      </c>
      <c r="K306" s="26" t="e">
        <f t="shared" si="47"/>
        <v>#N/A</v>
      </c>
      <c r="L306" s="26" t="e">
        <f t="shared" si="48"/>
        <v>#N/A</v>
      </c>
      <c r="M306" s="35" t="str">
        <f t="shared" si="49"/>
        <v/>
      </c>
      <c r="N306" s="26" t="str">
        <f t="shared" si="50"/>
        <v/>
      </c>
      <c r="O306" s="26" t="str">
        <f t="shared" si="51"/>
        <v/>
      </c>
      <c r="P306" s="35" t="str">
        <f>IF(AND($C$24=50,'Beregning AC vern'!U268="IT-230V"),FALSE,IF(AND($A$24=$A306,$B$24=$B306,$C$24=$C306,$D$24=$D306,$E$24=$E306),TRUE,""))</f>
        <v/>
      </c>
      <c r="Q306" s="26" t="b">
        <f t="shared" si="52"/>
        <v>0</v>
      </c>
      <c r="R306" s="26" t="b">
        <f t="shared" si="53"/>
        <v>0</v>
      </c>
    </row>
    <row r="307" spans="1:32" ht="15.75" thickBot="1" x14ac:dyDescent="0.3">
      <c r="A307" s="181" t="s">
        <v>190</v>
      </c>
      <c r="B307" s="181" t="s">
        <v>243</v>
      </c>
      <c r="C307" s="181" t="s">
        <v>206</v>
      </c>
      <c r="D307" s="181" t="s">
        <v>207</v>
      </c>
      <c r="E307" s="181" t="s">
        <v>208</v>
      </c>
      <c r="F307" s="181" t="s">
        <v>211</v>
      </c>
      <c r="G307" s="181"/>
      <c r="H307" s="170" t="s">
        <v>229</v>
      </c>
      <c r="I307" s="170" t="s">
        <v>230</v>
      </c>
      <c r="J307" s="181" t="s">
        <v>210</v>
      </c>
      <c r="K307" s="26" t="e">
        <f t="shared" si="47"/>
        <v>#N/A</v>
      </c>
      <c r="L307" s="26" t="e">
        <f t="shared" si="48"/>
        <v>#N/A</v>
      </c>
      <c r="M307" s="35" t="str">
        <f t="shared" si="49"/>
        <v/>
      </c>
      <c r="N307" s="26" t="str">
        <f t="shared" si="50"/>
        <v/>
      </c>
      <c r="O307" s="26" t="str">
        <f t="shared" si="51"/>
        <v/>
      </c>
      <c r="P307" s="35" t="str">
        <f>IF(AND($C$24=50,'Beregning AC vern'!U269="IT-230V"),FALSE,IF(AND($A$24=$A307,$B$24=$B307,$C$24=$C307,$D$24=$D307,$E$24=$E307),TRUE,""))</f>
        <v/>
      </c>
      <c r="Q307" s="26" t="b">
        <f t="shared" si="52"/>
        <v>0</v>
      </c>
      <c r="R307" s="26" t="b">
        <f t="shared" si="53"/>
        <v>0</v>
      </c>
    </row>
    <row r="308" spans="1:32" x14ac:dyDescent="0.25">
      <c r="A308" s="83" t="s">
        <v>130</v>
      </c>
      <c r="B308" s="83" t="s">
        <v>225</v>
      </c>
      <c r="C308" s="83">
        <v>25</v>
      </c>
      <c r="D308" s="83">
        <v>19.899999999999999</v>
      </c>
      <c r="E308" s="83">
        <v>10</v>
      </c>
      <c r="F308" s="83" t="s">
        <v>212</v>
      </c>
      <c r="G308" s="83"/>
      <c r="H308" s="83">
        <v>6</v>
      </c>
      <c r="I308" s="83" t="str">
        <f t="shared" ref="I308:I331" si="54">MID(F308,6,3)</f>
        <v>Cu</v>
      </c>
      <c r="J308" s="83">
        <v>63</v>
      </c>
      <c r="K308" s="26" t="e">
        <f t="shared" si="47"/>
        <v>#N/A</v>
      </c>
      <c r="L308" s="26" t="e">
        <f t="shared" si="48"/>
        <v>#N/A</v>
      </c>
      <c r="M308" s="35" t="str">
        <f t="shared" si="49"/>
        <v/>
      </c>
      <c r="N308" s="26" t="str">
        <f t="shared" si="50"/>
        <v/>
      </c>
      <c r="O308" s="26" t="str">
        <f t="shared" si="51"/>
        <v/>
      </c>
      <c r="P308" s="35" t="str">
        <f>IF(AND($C$24=50,'Beregning AC vern'!U270="IT-230V"),FALSE,IF(AND($A$24=$A308,$B$24=$B308,$C$24=$C308,$D$24=$D308,$E$24=$E308),TRUE,""))</f>
        <v/>
      </c>
      <c r="Q308" s="26" t="b">
        <f t="shared" si="52"/>
        <v>0</v>
      </c>
      <c r="R308" s="26" t="b">
        <f t="shared" si="53"/>
        <v>0</v>
      </c>
      <c r="V308" s="250" t="s">
        <v>199</v>
      </c>
      <c r="W308" s="251"/>
      <c r="AB308" s="250" t="s">
        <v>200</v>
      </c>
      <c r="AC308" s="252"/>
      <c r="AD308" s="164"/>
      <c r="AE308" s="164" t="s">
        <v>201</v>
      </c>
      <c r="AF308" s="165" t="s">
        <v>202</v>
      </c>
    </row>
    <row r="309" spans="1:32" ht="15.75" thickBot="1" x14ac:dyDescent="0.3">
      <c r="A309" s="83" t="s">
        <v>130</v>
      </c>
      <c r="B309" s="83" t="s">
        <v>225</v>
      </c>
      <c r="C309" s="83">
        <v>25</v>
      </c>
      <c r="D309" s="83">
        <v>19.899999999999999</v>
      </c>
      <c r="E309" s="83">
        <v>10</v>
      </c>
      <c r="F309" s="83" t="s">
        <v>214</v>
      </c>
      <c r="G309" s="83"/>
      <c r="H309" s="83">
        <v>10</v>
      </c>
      <c r="I309" s="83" t="str">
        <f t="shared" si="54"/>
        <v xml:space="preserve"> Cu</v>
      </c>
      <c r="J309" s="83">
        <v>105</v>
      </c>
      <c r="K309" s="26" t="e">
        <f t="shared" si="47"/>
        <v>#N/A</v>
      </c>
      <c r="L309" s="26" t="e">
        <f t="shared" si="48"/>
        <v>#N/A</v>
      </c>
      <c r="M309" s="35" t="str">
        <f t="shared" si="49"/>
        <v/>
      </c>
      <c r="N309" s="26" t="str">
        <f t="shared" si="50"/>
        <v/>
      </c>
      <c r="O309" s="26" t="str">
        <f t="shared" si="51"/>
        <v/>
      </c>
      <c r="P309" s="35" t="str">
        <f>IF(AND($C$24=50,'Beregning AC vern'!U271="IT-230V"),FALSE,IF(AND($A$24=$A309,$B$24=$B309,$C$24=$C309,$D$24=$D309,$E$24=$E309),TRUE,""))</f>
        <v/>
      </c>
      <c r="Q309" s="26" t="b">
        <f t="shared" si="52"/>
        <v>0</v>
      </c>
      <c r="R309" s="26" t="b">
        <f t="shared" si="53"/>
        <v>0</v>
      </c>
      <c r="V309" s="253" t="s">
        <v>221</v>
      </c>
      <c r="W309" s="254"/>
      <c r="AB309" s="168"/>
      <c r="AC309" s="168"/>
      <c r="AD309" s="168"/>
      <c r="AE309" s="168" t="s">
        <v>223</v>
      </c>
      <c r="AF309" s="169" t="s">
        <v>224</v>
      </c>
    </row>
    <row r="310" spans="1:32" ht="15.75" thickBot="1" x14ac:dyDescent="0.3">
      <c r="A310" s="83" t="s">
        <v>130</v>
      </c>
      <c r="B310" s="83" t="s">
        <v>225</v>
      </c>
      <c r="C310" s="83">
        <v>25</v>
      </c>
      <c r="D310" s="83">
        <v>19.899999999999999</v>
      </c>
      <c r="E310" s="83">
        <v>10</v>
      </c>
      <c r="F310" s="83" t="s">
        <v>215</v>
      </c>
      <c r="G310" s="83"/>
      <c r="H310" s="83">
        <v>25</v>
      </c>
      <c r="I310" s="83" t="str">
        <f t="shared" si="54"/>
        <v xml:space="preserve"> Al</v>
      </c>
      <c r="J310" s="83">
        <v>158</v>
      </c>
      <c r="K310" s="26" t="e">
        <f t="shared" si="47"/>
        <v>#N/A</v>
      </c>
      <c r="L310" s="26" t="e">
        <f t="shared" si="48"/>
        <v>#N/A</v>
      </c>
      <c r="M310" s="35" t="str">
        <f t="shared" si="49"/>
        <v/>
      </c>
      <c r="N310" s="26" t="str">
        <f t="shared" si="50"/>
        <v/>
      </c>
      <c r="O310" s="26" t="str">
        <f t="shared" si="51"/>
        <v/>
      </c>
      <c r="P310" s="35" t="str">
        <f>IF(AND($C$24=50,'Beregning AC vern'!U272="IT-230V"),FALSE,IF(AND($A$24=$A310,$B$24=$B310,$C$24=$C310,$D$24=$D310,$E$24=$E310),TRUE,""))</f>
        <v/>
      </c>
      <c r="Q310" s="26" t="b">
        <f t="shared" si="52"/>
        <v>0</v>
      </c>
      <c r="R310" s="26" t="b">
        <f t="shared" si="53"/>
        <v>0</v>
      </c>
      <c r="V310" s="248" t="s">
        <v>225</v>
      </c>
      <c r="W310" s="249"/>
      <c r="AB310" s="44"/>
      <c r="AC310" s="44"/>
      <c r="AD310" s="44"/>
      <c r="AE310" s="44"/>
      <c r="AF310" s="45"/>
    </row>
    <row r="311" spans="1:32" x14ac:dyDescent="0.25">
      <c r="A311" s="83" t="s">
        <v>130</v>
      </c>
      <c r="B311" s="83" t="s">
        <v>225</v>
      </c>
      <c r="C311" s="83">
        <v>25</v>
      </c>
      <c r="D311" s="83">
        <v>19.899999999999999</v>
      </c>
      <c r="E311" s="83">
        <v>10</v>
      </c>
      <c r="F311" s="83" t="s">
        <v>216</v>
      </c>
      <c r="G311" s="83"/>
      <c r="H311" s="83">
        <v>50</v>
      </c>
      <c r="I311" s="83" t="str">
        <f t="shared" si="54"/>
        <v xml:space="preserve"> Al</v>
      </c>
      <c r="J311" s="83">
        <v>289</v>
      </c>
      <c r="K311" s="26" t="e">
        <f t="shared" si="47"/>
        <v>#N/A</v>
      </c>
      <c r="L311" s="26" t="e">
        <f t="shared" si="48"/>
        <v>#N/A</v>
      </c>
      <c r="M311" s="35" t="str">
        <f t="shared" si="49"/>
        <v/>
      </c>
      <c r="N311" s="26" t="str">
        <f t="shared" si="50"/>
        <v/>
      </c>
      <c r="O311" s="26" t="str">
        <f t="shared" si="51"/>
        <v/>
      </c>
      <c r="P311" s="35" t="str">
        <f>IF(AND($C$24=50,'Beregning AC vern'!U273="IT-230V"),FALSE,IF(AND($A$24=$A311,$B$24=$B311,$C$24=$C311,$D$24=$D311,$E$24=$E311),TRUE,""))</f>
        <v/>
      </c>
      <c r="Q311" s="26" t="b">
        <f t="shared" si="52"/>
        <v>0</v>
      </c>
      <c r="R311" s="26" t="b">
        <f t="shared" si="53"/>
        <v>0</v>
      </c>
    </row>
    <row r="312" spans="1:32" x14ac:dyDescent="0.25">
      <c r="A312" s="83" t="s">
        <v>130</v>
      </c>
      <c r="B312" s="83" t="s">
        <v>225</v>
      </c>
      <c r="C312" s="83">
        <v>32</v>
      </c>
      <c r="D312" s="83">
        <v>19.899999999999999</v>
      </c>
      <c r="E312" s="83">
        <v>10</v>
      </c>
      <c r="F312" s="83" t="s">
        <v>214</v>
      </c>
      <c r="G312" s="83"/>
      <c r="H312" s="83">
        <v>10</v>
      </c>
      <c r="I312" s="83" t="str">
        <f t="shared" si="54"/>
        <v xml:space="preserve"> Cu</v>
      </c>
      <c r="J312" s="83">
        <v>82</v>
      </c>
      <c r="K312" s="26" t="e">
        <f t="shared" si="47"/>
        <v>#N/A</v>
      </c>
      <c r="L312" s="26" t="e">
        <f t="shared" si="48"/>
        <v>#N/A</v>
      </c>
      <c r="M312" s="35" t="str">
        <f t="shared" si="49"/>
        <v/>
      </c>
      <c r="N312" s="26" t="str">
        <f t="shared" si="50"/>
        <v/>
      </c>
      <c r="O312" s="26" t="str">
        <f t="shared" si="51"/>
        <v/>
      </c>
      <c r="P312" s="35" t="str">
        <f>IF(AND($C$24=50,'Beregning AC vern'!U274="IT-230V"),FALSE,IF(AND($A$24=$A312,$B$24=$B312,$C$24=$C312,$D$24=$D312,$E$24=$E312),TRUE,""))</f>
        <v/>
      </c>
      <c r="Q312" s="26" t="b">
        <f t="shared" si="52"/>
        <v>0</v>
      </c>
      <c r="R312" s="26" t="b">
        <f t="shared" si="53"/>
        <v>0</v>
      </c>
    </row>
    <row r="313" spans="1:32" x14ac:dyDescent="0.25">
      <c r="A313" s="83" t="s">
        <v>130</v>
      </c>
      <c r="B313" s="83" t="s">
        <v>225</v>
      </c>
      <c r="C313" s="83">
        <v>32</v>
      </c>
      <c r="D313" s="83">
        <v>19.899999999999999</v>
      </c>
      <c r="E313" s="83">
        <v>10</v>
      </c>
      <c r="F313" s="83" t="s">
        <v>215</v>
      </c>
      <c r="G313" s="83"/>
      <c r="H313" s="83">
        <v>25</v>
      </c>
      <c r="I313" s="83" t="str">
        <f t="shared" si="54"/>
        <v xml:space="preserve"> Al</v>
      </c>
      <c r="J313" s="83">
        <v>124</v>
      </c>
      <c r="K313" s="26" t="e">
        <f t="shared" si="47"/>
        <v>#N/A</v>
      </c>
      <c r="L313" s="26" t="e">
        <f t="shared" si="48"/>
        <v>#N/A</v>
      </c>
      <c r="M313" s="35" t="str">
        <f t="shared" si="49"/>
        <v/>
      </c>
      <c r="N313" s="26" t="str">
        <f t="shared" si="50"/>
        <v/>
      </c>
      <c r="O313" s="26" t="str">
        <f t="shared" si="51"/>
        <v/>
      </c>
      <c r="P313" s="35" t="str">
        <f>IF(AND($C$24=50,'Beregning AC vern'!U275="IT-230V"),FALSE,IF(AND($A$24=$A313,$B$24=$B313,$C$24=$C313,$D$24=$D313,$E$24=$E313),TRUE,""))</f>
        <v/>
      </c>
      <c r="Q313" s="26" t="b">
        <f t="shared" si="52"/>
        <v>0</v>
      </c>
      <c r="R313" s="26" t="b">
        <f t="shared" si="53"/>
        <v>0</v>
      </c>
    </row>
    <row r="314" spans="1:32" x14ac:dyDescent="0.25">
      <c r="A314" s="83" t="s">
        <v>130</v>
      </c>
      <c r="B314" s="83" t="s">
        <v>225</v>
      </c>
      <c r="C314" s="83">
        <v>32</v>
      </c>
      <c r="D314" s="83">
        <v>19.899999999999999</v>
      </c>
      <c r="E314" s="83">
        <v>10</v>
      </c>
      <c r="F314" s="83" t="s">
        <v>216</v>
      </c>
      <c r="G314" s="83"/>
      <c r="H314" s="83">
        <v>50</v>
      </c>
      <c r="I314" s="83" t="str">
        <f t="shared" si="54"/>
        <v xml:space="preserve"> Al</v>
      </c>
      <c r="J314" s="83">
        <v>226</v>
      </c>
      <c r="K314" s="26" t="e">
        <f t="shared" si="47"/>
        <v>#N/A</v>
      </c>
      <c r="L314" s="26" t="e">
        <f t="shared" si="48"/>
        <v>#N/A</v>
      </c>
      <c r="M314" s="35" t="str">
        <f t="shared" si="49"/>
        <v/>
      </c>
      <c r="N314" s="26" t="str">
        <f t="shared" si="50"/>
        <v/>
      </c>
      <c r="O314" s="26" t="str">
        <f t="shared" si="51"/>
        <v/>
      </c>
      <c r="P314" s="35" t="str">
        <f>IF(AND($C$24=50,'Beregning AC vern'!U276="IT-230V"),FALSE,IF(AND($A$24=$A314,$B$24=$B314,$C$24=$C314,$D$24=$D314,$E$24=$E314),TRUE,""))</f>
        <v/>
      </c>
      <c r="Q314" s="26" t="b">
        <f t="shared" si="52"/>
        <v>0</v>
      </c>
      <c r="R314" s="26" t="b">
        <f t="shared" si="53"/>
        <v>0</v>
      </c>
    </row>
    <row r="315" spans="1:32" x14ac:dyDescent="0.25">
      <c r="A315" s="83" t="s">
        <v>130</v>
      </c>
      <c r="B315" s="83" t="s">
        <v>225</v>
      </c>
      <c r="C315" s="83">
        <v>40</v>
      </c>
      <c r="D315" s="83">
        <v>19.899999999999999</v>
      </c>
      <c r="E315" s="83">
        <v>10</v>
      </c>
      <c r="F315" s="83" t="s">
        <v>226</v>
      </c>
      <c r="G315" s="83"/>
      <c r="H315" s="83">
        <v>25</v>
      </c>
      <c r="I315" s="83" t="str">
        <f t="shared" si="54"/>
        <v xml:space="preserve"> Cu</v>
      </c>
      <c r="J315" s="83">
        <v>160</v>
      </c>
      <c r="K315" s="26" t="e">
        <f t="shared" si="47"/>
        <v>#N/A</v>
      </c>
      <c r="L315" s="26" t="e">
        <f t="shared" si="48"/>
        <v>#N/A</v>
      </c>
      <c r="M315" s="35" t="str">
        <f t="shared" si="49"/>
        <v/>
      </c>
      <c r="N315" s="26" t="str">
        <f t="shared" si="50"/>
        <v/>
      </c>
      <c r="O315" s="26" t="str">
        <f t="shared" si="51"/>
        <v/>
      </c>
      <c r="P315" s="35" t="str">
        <f>IF(AND($C$24=50,'Beregning AC vern'!U277="IT-230V"),FALSE,IF(AND($A$24=$A315,$B$24=$B315,$C$24=$C315,$D$24=$D315,$E$24=$E315),TRUE,""))</f>
        <v/>
      </c>
      <c r="Q315" s="26" t="b">
        <f t="shared" si="52"/>
        <v>0</v>
      </c>
      <c r="R315" s="26" t="b">
        <f t="shared" si="53"/>
        <v>0</v>
      </c>
    </row>
    <row r="316" spans="1:32" x14ac:dyDescent="0.25">
      <c r="A316" s="83" t="s">
        <v>130</v>
      </c>
      <c r="B316" s="83" t="s">
        <v>225</v>
      </c>
      <c r="C316" s="83">
        <v>40</v>
      </c>
      <c r="D316" s="83">
        <v>19.899999999999999</v>
      </c>
      <c r="E316" s="83">
        <v>10</v>
      </c>
      <c r="F316" s="83" t="s">
        <v>215</v>
      </c>
      <c r="G316" s="83"/>
      <c r="H316" s="83">
        <v>25</v>
      </c>
      <c r="I316" s="83" t="str">
        <f t="shared" si="54"/>
        <v xml:space="preserve"> Al</v>
      </c>
      <c r="J316" s="83">
        <v>99</v>
      </c>
      <c r="K316" s="26" t="e">
        <f t="shared" si="47"/>
        <v>#N/A</v>
      </c>
      <c r="L316" s="26" t="e">
        <f t="shared" si="48"/>
        <v>#N/A</v>
      </c>
      <c r="M316" s="35" t="str">
        <f t="shared" si="49"/>
        <v/>
      </c>
      <c r="N316" s="26" t="str">
        <f t="shared" si="50"/>
        <v/>
      </c>
      <c r="O316" s="26" t="str">
        <f t="shared" si="51"/>
        <v/>
      </c>
      <c r="P316" s="35" t="str">
        <f>IF(AND($C$24=50,'Beregning AC vern'!U278="IT-230V"),FALSE,IF(AND($A$24=$A316,$B$24=$B316,$C$24=$C316,$D$24=$D316,$E$24=$E316),TRUE,""))</f>
        <v/>
      </c>
      <c r="Q316" s="26" t="b">
        <f t="shared" si="52"/>
        <v>0</v>
      </c>
      <c r="R316" s="26" t="b">
        <f t="shared" si="53"/>
        <v>0</v>
      </c>
    </row>
    <row r="317" spans="1:32" x14ac:dyDescent="0.25">
      <c r="A317" s="83" t="s">
        <v>130</v>
      </c>
      <c r="B317" s="83" t="s">
        <v>225</v>
      </c>
      <c r="C317" s="83">
        <v>40</v>
      </c>
      <c r="D317" s="83">
        <v>19.899999999999999</v>
      </c>
      <c r="E317" s="83">
        <v>10</v>
      </c>
      <c r="F317" s="83" t="s">
        <v>216</v>
      </c>
      <c r="G317" s="83"/>
      <c r="H317" s="83">
        <v>50</v>
      </c>
      <c r="I317" s="83" t="str">
        <f t="shared" si="54"/>
        <v xml:space="preserve"> Al</v>
      </c>
      <c r="J317" s="83">
        <v>180</v>
      </c>
      <c r="K317" s="26" t="e">
        <f t="shared" si="47"/>
        <v>#N/A</v>
      </c>
      <c r="L317" s="26" t="e">
        <f t="shared" si="48"/>
        <v>#N/A</v>
      </c>
      <c r="M317" s="35" t="str">
        <f t="shared" si="49"/>
        <v/>
      </c>
      <c r="N317" s="26" t="str">
        <f t="shared" si="50"/>
        <v/>
      </c>
      <c r="O317" s="26" t="str">
        <f t="shared" si="51"/>
        <v/>
      </c>
      <c r="P317" s="35" t="str">
        <f>IF(AND($C$24=50,'Beregning AC vern'!U279="IT-230V"),FALSE,IF(AND($A$24=$A317,$B$24=$B317,$C$24=$C317,$D$24=$D317,$E$24=$E317),TRUE,""))</f>
        <v/>
      </c>
      <c r="Q317" s="26" t="b">
        <f t="shared" si="52"/>
        <v>0</v>
      </c>
      <c r="R317" s="26" t="b">
        <f t="shared" si="53"/>
        <v>0</v>
      </c>
    </row>
    <row r="318" spans="1:32" x14ac:dyDescent="0.25">
      <c r="A318" s="83" t="s">
        <v>130</v>
      </c>
      <c r="B318" s="83" t="s">
        <v>225</v>
      </c>
      <c r="C318" s="83">
        <v>63</v>
      </c>
      <c r="D318" s="83">
        <v>19.899999999999999</v>
      </c>
      <c r="E318" s="83">
        <v>10</v>
      </c>
      <c r="F318" s="83" t="s">
        <v>216</v>
      </c>
      <c r="G318" s="83"/>
      <c r="H318" s="83">
        <v>50</v>
      </c>
      <c r="I318" s="83" t="str">
        <f t="shared" si="54"/>
        <v xml:space="preserve"> Al</v>
      </c>
      <c r="J318" s="83">
        <v>114</v>
      </c>
      <c r="K318" s="26" t="e">
        <f t="shared" si="47"/>
        <v>#N/A</v>
      </c>
      <c r="L318" s="26" t="e">
        <f t="shared" si="48"/>
        <v>#N/A</v>
      </c>
      <c r="M318" s="35" t="str">
        <f t="shared" si="49"/>
        <v/>
      </c>
      <c r="N318" s="26" t="str">
        <f t="shared" si="50"/>
        <v/>
      </c>
      <c r="O318" s="26" t="str">
        <f t="shared" si="51"/>
        <v/>
      </c>
      <c r="P318" s="35" t="str">
        <f>IF(AND($C$24=50,'Beregning AC vern'!U280="IT-230V"),FALSE,IF(AND($A$24=$A318,$B$24=$B318,$C$24=$C318,$D$24=$D318,$E$24=$E318),TRUE,""))</f>
        <v/>
      </c>
      <c r="Q318" s="26" t="b">
        <f t="shared" si="52"/>
        <v>0</v>
      </c>
      <c r="R318" s="26" t="b">
        <f t="shared" si="53"/>
        <v>0</v>
      </c>
    </row>
    <row r="319" spans="1:32" x14ac:dyDescent="0.25">
      <c r="A319" s="83" t="s">
        <v>130</v>
      </c>
      <c r="B319" s="83" t="s">
        <v>225</v>
      </c>
      <c r="C319" s="83">
        <v>80</v>
      </c>
      <c r="D319" s="83">
        <v>19.899999999999999</v>
      </c>
      <c r="E319" s="83">
        <v>10</v>
      </c>
      <c r="F319" s="83" t="s">
        <v>218</v>
      </c>
      <c r="G319" s="83"/>
      <c r="H319" s="83">
        <v>95</v>
      </c>
      <c r="I319" s="83" t="str">
        <f t="shared" si="54"/>
        <v xml:space="preserve"> Al</v>
      </c>
      <c r="J319" s="83">
        <v>169</v>
      </c>
      <c r="K319" s="26" t="e">
        <f t="shared" si="47"/>
        <v>#N/A</v>
      </c>
      <c r="L319" s="26" t="e">
        <f t="shared" si="48"/>
        <v>#N/A</v>
      </c>
      <c r="M319" s="35" t="str">
        <f t="shared" si="49"/>
        <v/>
      </c>
      <c r="N319" s="26" t="str">
        <f t="shared" si="50"/>
        <v/>
      </c>
      <c r="O319" s="26" t="str">
        <f t="shared" si="51"/>
        <v/>
      </c>
      <c r="P319" s="35" t="str">
        <f>IF(AND($C$24=50,'Beregning AC vern'!U281="IT-230V"),FALSE,IF(AND($A$24=$A319,$B$24=$B319,$C$24=$C319,$D$24=$D319,$E$24=$E319),TRUE,""))</f>
        <v/>
      </c>
      <c r="Q319" s="26" t="b">
        <f t="shared" si="52"/>
        <v>0</v>
      </c>
      <c r="R319" s="26" t="b">
        <f t="shared" si="53"/>
        <v>0</v>
      </c>
    </row>
    <row r="320" spans="1:32" x14ac:dyDescent="0.25">
      <c r="A320" s="83" t="s">
        <v>130</v>
      </c>
      <c r="B320" s="83" t="s">
        <v>225</v>
      </c>
      <c r="C320" s="83">
        <v>25</v>
      </c>
      <c r="D320" s="83">
        <v>19.899999999999999</v>
      </c>
      <c r="E320" s="83">
        <v>15</v>
      </c>
      <c r="F320" s="83" t="s">
        <v>212</v>
      </c>
      <c r="G320" s="83"/>
      <c r="H320" s="83">
        <v>6</v>
      </c>
      <c r="I320" s="83" t="str">
        <f t="shared" si="54"/>
        <v>Cu</v>
      </c>
      <c r="J320" s="83">
        <v>63</v>
      </c>
      <c r="K320" s="26" t="e">
        <f t="shared" si="47"/>
        <v>#N/A</v>
      </c>
      <c r="L320" s="26" t="e">
        <f t="shared" si="48"/>
        <v>#N/A</v>
      </c>
      <c r="M320" s="35" t="str">
        <f t="shared" si="49"/>
        <v/>
      </c>
      <c r="N320" s="26" t="str">
        <f t="shared" si="50"/>
        <v/>
      </c>
      <c r="O320" s="26" t="str">
        <f t="shared" si="51"/>
        <v/>
      </c>
      <c r="P320" s="35" t="str">
        <f>IF(AND($C$24=50,'Beregning AC vern'!U282="IT-230V"),FALSE,IF(AND($A$24=$A320,$B$24=$B320,$C$24=$C320,$D$24=$D320,$E$24=$E320),TRUE,""))</f>
        <v/>
      </c>
      <c r="Q320" s="26" t="b">
        <f t="shared" si="52"/>
        <v>0</v>
      </c>
      <c r="R320" s="26" t="b">
        <f t="shared" si="53"/>
        <v>0</v>
      </c>
    </row>
    <row r="321" spans="1:32" x14ac:dyDescent="0.25">
      <c r="A321" s="83" t="s">
        <v>130</v>
      </c>
      <c r="B321" s="83" t="s">
        <v>225</v>
      </c>
      <c r="C321" s="83">
        <v>25</v>
      </c>
      <c r="D321" s="83">
        <v>19.899999999999999</v>
      </c>
      <c r="E321" s="83">
        <v>15</v>
      </c>
      <c r="F321" s="83" t="s">
        <v>214</v>
      </c>
      <c r="G321" s="83"/>
      <c r="H321" s="83">
        <v>10</v>
      </c>
      <c r="I321" s="83" t="str">
        <f t="shared" si="54"/>
        <v xml:space="preserve"> Cu</v>
      </c>
      <c r="J321" s="83">
        <v>105</v>
      </c>
      <c r="K321" s="26" t="e">
        <f t="shared" si="47"/>
        <v>#N/A</v>
      </c>
      <c r="L321" s="26" t="e">
        <f t="shared" si="48"/>
        <v>#N/A</v>
      </c>
      <c r="M321" s="35" t="str">
        <f t="shared" si="49"/>
        <v/>
      </c>
      <c r="N321" s="26" t="str">
        <f t="shared" si="50"/>
        <v/>
      </c>
      <c r="O321" s="26" t="str">
        <f t="shared" si="51"/>
        <v/>
      </c>
      <c r="P321" s="35" t="str">
        <f>IF(AND($C$24=50,'Beregning AC vern'!U283="IT-230V"),FALSE,IF(AND($A$24=$A321,$B$24=$B321,$C$24=$C321,$D$24=$D321,$E$24=$E321),TRUE,""))</f>
        <v/>
      </c>
      <c r="Q321" s="26" t="b">
        <f t="shared" si="52"/>
        <v>0</v>
      </c>
      <c r="R321" s="26" t="b">
        <f t="shared" si="53"/>
        <v>0</v>
      </c>
    </row>
    <row r="322" spans="1:32" x14ac:dyDescent="0.25">
      <c r="A322" s="83" t="s">
        <v>130</v>
      </c>
      <c r="B322" s="83" t="s">
        <v>225</v>
      </c>
      <c r="C322" s="83">
        <v>25</v>
      </c>
      <c r="D322" s="83">
        <v>19.899999999999999</v>
      </c>
      <c r="E322" s="83">
        <v>15</v>
      </c>
      <c r="F322" s="83" t="s">
        <v>215</v>
      </c>
      <c r="G322" s="83"/>
      <c r="H322" s="83">
        <v>25</v>
      </c>
      <c r="I322" s="83" t="str">
        <f t="shared" si="54"/>
        <v xml:space="preserve"> Al</v>
      </c>
      <c r="J322" s="83">
        <v>158</v>
      </c>
      <c r="K322" s="26" t="e">
        <f t="shared" si="47"/>
        <v>#N/A</v>
      </c>
      <c r="L322" s="26" t="e">
        <f t="shared" si="48"/>
        <v>#N/A</v>
      </c>
      <c r="M322" s="35" t="str">
        <f t="shared" si="49"/>
        <v/>
      </c>
      <c r="N322" s="26" t="str">
        <f t="shared" si="50"/>
        <v/>
      </c>
      <c r="O322" s="26" t="str">
        <f t="shared" si="51"/>
        <v/>
      </c>
      <c r="P322" s="35" t="str">
        <f>IF(AND($C$24=50,'Beregning AC vern'!U284="IT-230V"),FALSE,IF(AND($A$24=$A322,$B$24=$B322,$C$24=$C322,$D$24=$D322,$E$24=$E322),TRUE,""))</f>
        <v/>
      </c>
      <c r="Q322" s="26" t="b">
        <f t="shared" si="52"/>
        <v>0</v>
      </c>
      <c r="R322" s="26" t="b">
        <f t="shared" si="53"/>
        <v>0</v>
      </c>
    </row>
    <row r="323" spans="1:32" x14ac:dyDescent="0.25">
      <c r="A323" s="83" t="s">
        <v>130</v>
      </c>
      <c r="B323" s="83" t="s">
        <v>225</v>
      </c>
      <c r="C323" s="83">
        <v>25</v>
      </c>
      <c r="D323" s="83">
        <v>19.899999999999999</v>
      </c>
      <c r="E323" s="83">
        <v>15</v>
      </c>
      <c r="F323" s="83" t="s">
        <v>216</v>
      </c>
      <c r="G323" s="83"/>
      <c r="H323" s="83">
        <v>50</v>
      </c>
      <c r="I323" s="83" t="str">
        <f t="shared" si="54"/>
        <v xml:space="preserve"> Al</v>
      </c>
      <c r="J323" s="83">
        <v>289</v>
      </c>
      <c r="K323" s="26" t="e">
        <f t="shared" si="47"/>
        <v>#N/A</v>
      </c>
      <c r="L323" s="26" t="e">
        <f t="shared" si="48"/>
        <v>#N/A</v>
      </c>
      <c r="M323" s="35" t="str">
        <f t="shared" si="49"/>
        <v/>
      </c>
      <c r="N323" s="26" t="str">
        <f t="shared" si="50"/>
        <v/>
      </c>
      <c r="O323" s="26" t="str">
        <f t="shared" si="51"/>
        <v/>
      </c>
      <c r="P323" s="35" t="str">
        <f>IF(AND($C$24=50,'Beregning AC vern'!U285="IT-230V"),FALSE,IF(AND($A$24=$A323,$B$24=$B323,$C$24=$C323,$D$24=$D323,$E$24=$E323),TRUE,""))</f>
        <v/>
      </c>
      <c r="Q323" s="26" t="b">
        <f t="shared" si="52"/>
        <v>0</v>
      </c>
      <c r="R323" s="26" t="b">
        <f t="shared" si="53"/>
        <v>0</v>
      </c>
    </row>
    <row r="324" spans="1:32" x14ac:dyDescent="0.25">
      <c r="A324" s="83" t="s">
        <v>130</v>
      </c>
      <c r="B324" s="83" t="s">
        <v>225</v>
      </c>
      <c r="C324" s="83">
        <v>32</v>
      </c>
      <c r="D324" s="83">
        <v>19.899999999999999</v>
      </c>
      <c r="E324" s="83">
        <v>15</v>
      </c>
      <c r="F324" s="83" t="s">
        <v>214</v>
      </c>
      <c r="G324" s="83"/>
      <c r="H324" s="83">
        <v>10</v>
      </c>
      <c r="I324" s="83" t="str">
        <f t="shared" si="54"/>
        <v xml:space="preserve"> Cu</v>
      </c>
      <c r="J324" s="83">
        <v>82</v>
      </c>
      <c r="K324" s="26" t="e">
        <f t="shared" si="47"/>
        <v>#N/A</v>
      </c>
      <c r="L324" s="26" t="e">
        <f t="shared" si="48"/>
        <v>#N/A</v>
      </c>
      <c r="M324" s="35" t="str">
        <f t="shared" si="49"/>
        <v/>
      </c>
      <c r="N324" s="26" t="str">
        <f t="shared" si="50"/>
        <v/>
      </c>
      <c r="O324" s="26" t="str">
        <f t="shared" si="51"/>
        <v/>
      </c>
      <c r="P324" s="35" t="str">
        <f>IF(AND($C$24=50,'Beregning AC vern'!U286="IT-230V"),FALSE,IF(AND($A$24=$A324,$B$24=$B324,$C$24=$C324,$D$24=$D324,$E$24=$E324),TRUE,""))</f>
        <v/>
      </c>
      <c r="Q324" s="26" t="b">
        <f t="shared" si="52"/>
        <v>0</v>
      </c>
      <c r="R324" s="26" t="b">
        <f t="shared" si="53"/>
        <v>0</v>
      </c>
    </row>
    <row r="325" spans="1:32" x14ac:dyDescent="0.25">
      <c r="A325" s="83" t="s">
        <v>130</v>
      </c>
      <c r="B325" s="83" t="s">
        <v>225</v>
      </c>
      <c r="C325" s="83">
        <v>32</v>
      </c>
      <c r="D325" s="83">
        <v>19.899999999999999</v>
      </c>
      <c r="E325" s="83">
        <v>15</v>
      </c>
      <c r="F325" s="83" t="s">
        <v>215</v>
      </c>
      <c r="G325" s="83"/>
      <c r="H325" s="83">
        <v>25</v>
      </c>
      <c r="I325" s="83" t="str">
        <f t="shared" si="54"/>
        <v xml:space="preserve"> Al</v>
      </c>
      <c r="J325" s="83">
        <v>124</v>
      </c>
      <c r="K325" s="26" t="e">
        <f t="shared" si="47"/>
        <v>#N/A</v>
      </c>
      <c r="L325" s="26" t="e">
        <f t="shared" si="48"/>
        <v>#N/A</v>
      </c>
      <c r="M325" s="35" t="str">
        <f t="shared" si="49"/>
        <v/>
      </c>
      <c r="N325" s="26" t="str">
        <f t="shared" si="50"/>
        <v/>
      </c>
      <c r="O325" s="26" t="str">
        <f t="shared" si="51"/>
        <v/>
      </c>
      <c r="P325" s="35" t="str">
        <f>IF(AND($C$24=50,'Beregning AC vern'!U287="IT-230V"),FALSE,IF(AND($A$24=$A325,$B$24=$B325,$C$24=$C325,$D$24=$D325,$E$24=$E325),TRUE,""))</f>
        <v/>
      </c>
      <c r="Q325" s="26" t="b">
        <f t="shared" si="52"/>
        <v>0</v>
      </c>
      <c r="R325" s="26" t="b">
        <f t="shared" si="53"/>
        <v>0</v>
      </c>
    </row>
    <row r="326" spans="1:32" x14ac:dyDescent="0.25">
      <c r="A326" s="83" t="s">
        <v>130</v>
      </c>
      <c r="B326" s="83" t="s">
        <v>225</v>
      </c>
      <c r="C326" s="83">
        <v>32</v>
      </c>
      <c r="D326" s="83">
        <v>19.899999999999999</v>
      </c>
      <c r="E326" s="83">
        <v>15</v>
      </c>
      <c r="F326" s="83" t="s">
        <v>216</v>
      </c>
      <c r="G326" s="83"/>
      <c r="H326" s="83">
        <v>50</v>
      </c>
      <c r="I326" s="83" t="str">
        <f t="shared" si="54"/>
        <v xml:space="preserve"> Al</v>
      </c>
      <c r="J326" s="83">
        <v>226</v>
      </c>
      <c r="K326" s="26" t="e">
        <f t="shared" si="47"/>
        <v>#N/A</v>
      </c>
      <c r="L326" s="26" t="e">
        <f t="shared" si="48"/>
        <v>#N/A</v>
      </c>
      <c r="M326" s="35" t="str">
        <f t="shared" si="49"/>
        <v/>
      </c>
      <c r="N326" s="26" t="str">
        <f t="shared" si="50"/>
        <v/>
      </c>
      <c r="O326" s="26" t="str">
        <f t="shared" si="51"/>
        <v/>
      </c>
      <c r="P326" s="35" t="str">
        <f>IF(AND($C$24=50,'Beregning AC vern'!U288="IT-230V"),FALSE,IF(AND($A$24=$A326,$B$24=$B326,$C$24=$C326,$D$24=$D326,$E$24=$E326),TRUE,""))</f>
        <v/>
      </c>
      <c r="Q326" s="26" t="b">
        <f t="shared" si="52"/>
        <v>0</v>
      </c>
      <c r="R326" s="26" t="b">
        <f t="shared" si="53"/>
        <v>0</v>
      </c>
    </row>
    <row r="327" spans="1:32" x14ac:dyDescent="0.25">
      <c r="A327" s="83" t="s">
        <v>130</v>
      </c>
      <c r="B327" s="83" t="s">
        <v>225</v>
      </c>
      <c r="C327" s="83">
        <v>40</v>
      </c>
      <c r="D327" s="83">
        <v>19.899999999999999</v>
      </c>
      <c r="E327" s="83">
        <v>15</v>
      </c>
      <c r="F327" s="83" t="s">
        <v>217</v>
      </c>
      <c r="G327" s="83"/>
      <c r="H327" s="83">
        <v>16</v>
      </c>
      <c r="I327" s="83" t="str">
        <f t="shared" si="54"/>
        <v xml:space="preserve"> Cu</v>
      </c>
      <c r="J327" s="83">
        <v>160</v>
      </c>
      <c r="K327" s="26" t="e">
        <f t="shared" si="47"/>
        <v>#N/A</v>
      </c>
      <c r="L327" s="26" t="e">
        <f t="shared" si="48"/>
        <v>#N/A</v>
      </c>
      <c r="M327" s="35" t="str">
        <f t="shared" si="49"/>
        <v/>
      </c>
      <c r="N327" s="26" t="str">
        <f t="shared" si="50"/>
        <v/>
      </c>
      <c r="O327" s="26" t="str">
        <f t="shared" si="51"/>
        <v/>
      </c>
      <c r="P327" s="35" t="str">
        <f>IF(AND($C$24=50,'Beregning AC vern'!U289="IT-230V"),FALSE,IF(AND($A$24=$A327,$B$24=$B327,$C$24=$C327,$D$24=$D327,$E$24=$E327),TRUE,""))</f>
        <v/>
      </c>
      <c r="Q327" s="26" t="b">
        <f t="shared" si="52"/>
        <v>0</v>
      </c>
      <c r="R327" s="26" t="b">
        <f t="shared" si="53"/>
        <v>0</v>
      </c>
    </row>
    <row r="328" spans="1:32" x14ac:dyDescent="0.25">
      <c r="A328" s="83" t="s">
        <v>130</v>
      </c>
      <c r="B328" s="83" t="s">
        <v>225</v>
      </c>
      <c r="C328" s="83">
        <v>40</v>
      </c>
      <c r="D328" s="83">
        <v>19.899999999999999</v>
      </c>
      <c r="E328" s="83">
        <v>15</v>
      </c>
      <c r="F328" s="83" t="s">
        <v>215</v>
      </c>
      <c r="G328" s="83"/>
      <c r="H328" s="83">
        <v>25</v>
      </c>
      <c r="I328" s="83" t="str">
        <f t="shared" si="54"/>
        <v xml:space="preserve"> Al</v>
      </c>
      <c r="J328" s="83">
        <v>99</v>
      </c>
      <c r="K328" s="26" t="e">
        <f t="shared" si="47"/>
        <v>#N/A</v>
      </c>
      <c r="L328" s="26" t="e">
        <f t="shared" si="48"/>
        <v>#N/A</v>
      </c>
      <c r="M328" s="35" t="str">
        <f t="shared" si="49"/>
        <v/>
      </c>
      <c r="N328" s="26" t="str">
        <f t="shared" si="50"/>
        <v/>
      </c>
      <c r="O328" s="26" t="str">
        <f t="shared" si="51"/>
        <v/>
      </c>
      <c r="P328" s="35" t="str">
        <f>IF(AND($C$24=50,'Beregning AC vern'!U290="IT-230V"),FALSE,IF(AND($A$24=$A328,$B$24=$B328,$C$24=$C328,$D$24=$D328,$E$24=$E328),TRUE,""))</f>
        <v/>
      </c>
      <c r="Q328" s="26" t="b">
        <f t="shared" si="52"/>
        <v>0</v>
      </c>
      <c r="R328" s="26" t="b">
        <f t="shared" si="53"/>
        <v>0</v>
      </c>
    </row>
    <row r="329" spans="1:32" x14ac:dyDescent="0.25">
      <c r="A329" s="83" t="s">
        <v>130</v>
      </c>
      <c r="B329" s="83" t="s">
        <v>225</v>
      </c>
      <c r="C329" s="83">
        <v>40</v>
      </c>
      <c r="D329" s="83">
        <v>19.899999999999999</v>
      </c>
      <c r="E329" s="83">
        <v>15</v>
      </c>
      <c r="F329" s="83" t="s">
        <v>216</v>
      </c>
      <c r="G329" s="83"/>
      <c r="H329" s="83">
        <v>50</v>
      </c>
      <c r="I329" s="83" t="str">
        <f t="shared" si="54"/>
        <v xml:space="preserve"> Al</v>
      </c>
      <c r="J329" s="83">
        <v>180</v>
      </c>
      <c r="K329" s="26" t="e">
        <f t="shared" si="47"/>
        <v>#N/A</v>
      </c>
      <c r="L329" s="26" t="e">
        <f t="shared" si="48"/>
        <v>#N/A</v>
      </c>
      <c r="M329" s="35" t="str">
        <f t="shared" si="49"/>
        <v/>
      </c>
      <c r="N329" s="26" t="str">
        <f t="shared" si="50"/>
        <v/>
      </c>
      <c r="O329" s="26" t="str">
        <f t="shared" si="51"/>
        <v/>
      </c>
      <c r="P329" s="35" t="str">
        <f>IF(AND($C$24=50,'Beregning AC vern'!U291="IT-230V"),FALSE,IF(AND($A$24=$A329,$B$24=$B329,$C$24=$C329,$D$24=$D329,$E$24=$E329),TRUE,""))</f>
        <v/>
      </c>
      <c r="Q329" s="26" t="b">
        <f t="shared" si="52"/>
        <v>0</v>
      </c>
      <c r="R329" s="26" t="b">
        <f t="shared" si="53"/>
        <v>0</v>
      </c>
    </row>
    <row r="330" spans="1:32" x14ac:dyDescent="0.25">
      <c r="A330" s="83" t="s">
        <v>130</v>
      </c>
      <c r="B330" s="83" t="s">
        <v>225</v>
      </c>
      <c r="C330" s="83">
        <v>63</v>
      </c>
      <c r="D330" s="83">
        <v>19.899999999999999</v>
      </c>
      <c r="E330" s="83">
        <v>15</v>
      </c>
      <c r="F330" s="83" t="s">
        <v>216</v>
      </c>
      <c r="G330" s="83"/>
      <c r="H330" s="83">
        <v>50</v>
      </c>
      <c r="I330" s="83" t="str">
        <f t="shared" si="54"/>
        <v xml:space="preserve"> Al</v>
      </c>
      <c r="J330" s="83">
        <v>114</v>
      </c>
      <c r="K330" s="26" t="e">
        <f t="shared" si="47"/>
        <v>#N/A</v>
      </c>
      <c r="L330" s="26" t="e">
        <f t="shared" si="48"/>
        <v>#N/A</v>
      </c>
      <c r="M330" s="35" t="str">
        <f t="shared" si="49"/>
        <v/>
      </c>
      <c r="N330" s="26" t="str">
        <f t="shared" si="50"/>
        <v/>
      </c>
      <c r="O330" s="26" t="str">
        <f t="shared" si="51"/>
        <v/>
      </c>
      <c r="P330" s="35" t="str">
        <f>IF(AND($C$24=50,'Beregning AC vern'!U292="IT-230V"),FALSE,IF(AND($A$24=$A330,$B$24=$B330,$C$24=$C330,$D$24=$D330,$E$24=$E330),TRUE,""))</f>
        <v/>
      </c>
      <c r="Q330" s="26" t="b">
        <f t="shared" si="52"/>
        <v>0</v>
      </c>
      <c r="R330" s="26" t="b">
        <f t="shared" si="53"/>
        <v>0</v>
      </c>
    </row>
    <row r="331" spans="1:32" x14ac:dyDescent="0.25">
      <c r="A331" s="83" t="s">
        <v>130</v>
      </c>
      <c r="B331" s="83" t="s">
        <v>225</v>
      </c>
      <c r="C331" s="83">
        <v>80</v>
      </c>
      <c r="D331" s="83">
        <v>19.899999999999999</v>
      </c>
      <c r="E331" s="83">
        <v>15</v>
      </c>
      <c r="F331" s="83" t="s">
        <v>218</v>
      </c>
      <c r="G331" s="83"/>
      <c r="H331" s="83">
        <v>95</v>
      </c>
      <c r="I331" s="83" t="str">
        <f t="shared" si="54"/>
        <v xml:space="preserve"> Al</v>
      </c>
      <c r="J331" s="83">
        <v>169</v>
      </c>
      <c r="K331" s="26" t="e">
        <f t="shared" si="47"/>
        <v>#N/A</v>
      </c>
      <c r="L331" s="26" t="e">
        <f t="shared" si="48"/>
        <v>#N/A</v>
      </c>
      <c r="M331" s="35" t="str">
        <f t="shared" si="49"/>
        <v/>
      </c>
      <c r="N331" s="26" t="str">
        <f t="shared" si="50"/>
        <v/>
      </c>
      <c r="O331" s="26" t="str">
        <f t="shared" si="51"/>
        <v/>
      </c>
      <c r="P331" s="35" t="str">
        <f>IF(AND($C$24=50,'Beregning AC vern'!U293="IT-230V"),FALSE,IF(AND($A$24=$A331,$B$24=$B331,$C$24=$C331,$D$24=$D331,$E$24=$E331),TRUE,""))</f>
        <v/>
      </c>
      <c r="Q331" s="26" t="b">
        <f t="shared" si="52"/>
        <v>0</v>
      </c>
      <c r="R331" s="26" t="b">
        <f t="shared" si="53"/>
        <v>0</v>
      </c>
    </row>
    <row r="332" spans="1:32" ht="15.75" thickBot="1" x14ac:dyDescent="0.3">
      <c r="A332" s="181" t="s">
        <v>190</v>
      </c>
      <c r="B332" s="181" t="s">
        <v>243</v>
      </c>
      <c r="C332" s="181" t="s">
        <v>206</v>
      </c>
      <c r="D332" s="181" t="s">
        <v>207</v>
      </c>
      <c r="E332" s="181" t="s">
        <v>208</v>
      </c>
      <c r="F332" s="181" t="s">
        <v>211</v>
      </c>
      <c r="G332" s="181"/>
      <c r="H332" s="170" t="s">
        <v>229</v>
      </c>
      <c r="I332" s="170" t="s">
        <v>230</v>
      </c>
      <c r="J332" s="181" t="s">
        <v>210</v>
      </c>
      <c r="K332" s="26" t="e">
        <f t="shared" si="47"/>
        <v>#N/A</v>
      </c>
      <c r="L332" s="26" t="e">
        <f t="shared" si="48"/>
        <v>#N/A</v>
      </c>
      <c r="M332" s="35" t="str">
        <f t="shared" si="49"/>
        <v/>
      </c>
      <c r="N332" s="26" t="str">
        <f t="shared" si="50"/>
        <v/>
      </c>
      <c r="O332" s="26" t="str">
        <f t="shared" si="51"/>
        <v/>
      </c>
      <c r="P332" s="35" t="str">
        <f>IF(AND($C$24=50,'Beregning AC vern'!U294="IT-230V"),FALSE,IF(AND($A$24=$A332,$B$24=$B332,$C$24=$C332,$D$24=$D332,$E$24=$E332),TRUE,""))</f>
        <v/>
      </c>
      <c r="Q332" s="26" t="b">
        <f t="shared" si="52"/>
        <v>0</v>
      </c>
      <c r="R332" s="26" t="b">
        <f t="shared" si="53"/>
        <v>0</v>
      </c>
    </row>
    <row r="333" spans="1:32" x14ac:dyDescent="0.25">
      <c r="A333" s="83" t="s">
        <v>131</v>
      </c>
      <c r="B333" s="83" t="s">
        <v>225</v>
      </c>
      <c r="C333" s="83">
        <v>25</v>
      </c>
      <c r="D333" s="83">
        <v>19.899999999999999</v>
      </c>
      <c r="E333" s="83">
        <v>10</v>
      </c>
      <c r="F333" s="83" t="s">
        <v>212</v>
      </c>
      <c r="G333" s="83"/>
      <c r="H333" s="83">
        <v>6</v>
      </c>
      <c r="I333" s="83" t="str">
        <f t="shared" ref="I333:I356" si="55">MID(F333,6,3)</f>
        <v>Cu</v>
      </c>
      <c r="J333" s="83">
        <v>109</v>
      </c>
      <c r="K333" s="26" t="e">
        <f t="shared" si="47"/>
        <v>#N/A</v>
      </c>
      <c r="L333" s="26" t="e">
        <f t="shared" si="48"/>
        <v>#N/A</v>
      </c>
      <c r="M333" s="35" t="str">
        <f t="shared" si="49"/>
        <v/>
      </c>
      <c r="N333" s="26" t="str">
        <f t="shared" si="50"/>
        <v/>
      </c>
      <c r="O333" s="26" t="str">
        <f t="shared" si="51"/>
        <v/>
      </c>
      <c r="P333" s="35" t="str">
        <f>IF(AND($C$24=50,'Beregning AC vern'!U295="IT-230V"),FALSE,IF(AND($A$24=$A333,$B$24=$B333,$C$24=$C333,$D$24=$D333,$E$24=$E333),TRUE,""))</f>
        <v/>
      </c>
      <c r="Q333" s="26" t="b">
        <f t="shared" si="52"/>
        <v>0</v>
      </c>
      <c r="R333" s="26" t="b">
        <f t="shared" si="53"/>
        <v>0</v>
      </c>
      <c r="V333" s="250" t="s">
        <v>220</v>
      </c>
      <c r="W333" s="251"/>
      <c r="AB333" s="250" t="s">
        <v>200</v>
      </c>
      <c r="AC333" s="252"/>
      <c r="AD333" s="164"/>
      <c r="AE333" s="164" t="s">
        <v>201</v>
      </c>
      <c r="AF333" s="165" t="s">
        <v>202</v>
      </c>
    </row>
    <row r="334" spans="1:32" ht="15.75" thickBot="1" x14ac:dyDescent="0.3">
      <c r="A334" s="83" t="s">
        <v>131</v>
      </c>
      <c r="B334" s="83" t="s">
        <v>225</v>
      </c>
      <c r="C334" s="83">
        <v>25</v>
      </c>
      <c r="D334" s="83">
        <v>19.899999999999999</v>
      </c>
      <c r="E334" s="83">
        <v>10</v>
      </c>
      <c r="F334" s="83" t="s">
        <v>214</v>
      </c>
      <c r="G334" s="83"/>
      <c r="H334" s="83">
        <v>10</v>
      </c>
      <c r="I334" s="83" t="str">
        <f t="shared" si="55"/>
        <v xml:space="preserve"> Cu</v>
      </c>
      <c r="J334" s="83">
        <v>181</v>
      </c>
      <c r="K334" s="26" t="e">
        <f t="shared" si="47"/>
        <v>#N/A</v>
      </c>
      <c r="L334" s="26" t="e">
        <f t="shared" si="48"/>
        <v>#N/A</v>
      </c>
      <c r="M334" s="35" t="str">
        <f t="shared" si="49"/>
        <v/>
      </c>
      <c r="N334" s="26" t="str">
        <f t="shared" si="50"/>
        <v/>
      </c>
      <c r="O334" s="26" t="str">
        <f t="shared" si="51"/>
        <v/>
      </c>
      <c r="P334" s="35" t="str">
        <f>IF(AND($C$24=50,'Beregning AC vern'!U296="IT-230V"),FALSE,IF(AND($A$24=$A334,$B$24=$B334,$C$24=$C334,$D$24=$D334,$E$24=$E334),TRUE,""))</f>
        <v/>
      </c>
      <c r="Q334" s="26" t="b">
        <f t="shared" si="52"/>
        <v>0</v>
      </c>
      <c r="R334" s="26" t="b">
        <f t="shared" si="53"/>
        <v>0</v>
      </c>
      <c r="V334" s="253" t="s">
        <v>221</v>
      </c>
      <c r="W334" s="254"/>
      <c r="AB334" s="168"/>
      <c r="AC334" s="168"/>
      <c r="AD334" s="168"/>
      <c r="AE334" s="168" t="s">
        <v>223</v>
      </c>
      <c r="AF334" s="169" t="s">
        <v>224</v>
      </c>
    </row>
    <row r="335" spans="1:32" ht="15.75" thickBot="1" x14ac:dyDescent="0.3">
      <c r="A335" s="83" t="s">
        <v>131</v>
      </c>
      <c r="B335" s="83" t="s">
        <v>225</v>
      </c>
      <c r="C335" s="83">
        <v>25</v>
      </c>
      <c r="D335" s="83">
        <v>19.899999999999999</v>
      </c>
      <c r="E335" s="83">
        <v>10</v>
      </c>
      <c r="F335" s="83" t="s">
        <v>215</v>
      </c>
      <c r="G335" s="83"/>
      <c r="H335" s="83">
        <v>25</v>
      </c>
      <c r="I335" s="83" t="str">
        <f t="shared" si="55"/>
        <v xml:space="preserve"> Al</v>
      </c>
      <c r="J335" s="175">
        <v>271</v>
      </c>
      <c r="K335" s="26" t="e">
        <f t="shared" si="47"/>
        <v>#N/A</v>
      </c>
      <c r="L335" s="26" t="e">
        <f t="shared" si="48"/>
        <v>#N/A</v>
      </c>
      <c r="M335" s="35" t="str">
        <f t="shared" si="49"/>
        <v/>
      </c>
      <c r="N335" s="26" t="str">
        <f t="shared" si="50"/>
        <v/>
      </c>
      <c r="O335" s="26" t="str">
        <f t="shared" si="51"/>
        <v/>
      </c>
      <c r="P335" s="35" t="str">
        <f>IF(AND($C$24=50,'Beregning AC vern'!U297="IT-230V"),FALSE,IF(AND($A$24=$A335,$B$24=$B335,$C$24=$C335,$D$24=$D335,$E$24=$E335),TRUE,""))</f>
        <v/>
      </c>
      <c r="Q335" s="26" t="b">
        <f t="shared" si="52"/>
        <v>0</v>
      </c>
      <c r="R335" s="26" t="b">
        <f t="shared" si="53"/>
        <v>0</v>
      </c>
      <c r="V335" s="248" t="s">
        <v>225</v>
      </c>
      <c r="W335" s="249"/>
      <c r="AB335" s="44"/>
      <c r="AC335" s="44"/>
      <c r="AD335" s="44"/>
      <c r="AE335" s="44"/>
      <c r="AF335" s="45"/>
    </row>
    <row r="336" spans="1:32" x14ac:dyDescent="0.25">
      <c r="A336" s="83" t="s">
        <v>131</v>
      </c>
      <c r="B336" s="83" t="s">
        <v>225</v>
      </c>
      <c r="C336" s="83">
        <v>25</v>
      </c>
      <c r="D336" s="83">
        <v>19.899999999999999</v>
      </c>
      <c r="E336" s="83">
        <v>10</v>
      </c>
      <c r="F336" s="83" t="s">
        <v>216</v>
      </c>
      <c r="G336" s="83"/>
      <c r="H336" s="83">
        <v>50</v>
      </c>
      <c r="I336" s="83" t="str">
        <f t="shared" si="55"/>
        <v xml:space="preserve"> Al</v>
      </c>
      <c r="J336" s="83">
        <v>490</v>
      </c>
      <c r="K336" s="26" t="e">
        <f t="shared" si="47"/>
        <v>#N/A</v>
      </c>
      <c r="L336" s="26" t="e">
        <f t="shared" si="48"/>
        <v>#N/A</v>
      </c>
      <c r="M336" s="35" t="str">
        <f t="shared" si="49"/>
        <v/>
      </c>
      <c r="N336" s="26" t="str">
        <f t="shared" si="50"/>
        <v/>
      </c>
      <c r="O336" s="26" t="str">
        <f t="shared" si="51"/>
        <v/>
      </c>
      <c r="P336" s="35" t="str">
        <f>IF(AND($C$24=50,'Beregning AC vern'!U298="IT-230V"),FALSE,IF(AND($A$24=$A336,$B$24=$B336,$C$24=$C336,$D$24=$D336,$E$24=$E336),TRUE,""))</f>
        <v/>
      </c>
      <c r="Q336" s="26" t="b">
        <f t="shared" si="52"/>
        <v>0</v>
      </c>
      <c r="R336" s="26" t="b">
        <f t="shared" si="53"/>
        <v>0</v>
      </c>
    </row>
    <row r="337" spans="1:18" x14ac:dyDescent="0.25">
      <c r="A337" s="83" t="s">
        <v>131</v>
      </c>
      <c r="B337" s="83" t="s">
        <v>225</v>
      </c>
      <c r="C337" s="83">
        <v>32</v>
      </c>
      <c r="D337" s="83">
        <v>19.899999999999999</v>
      </c>
      <c r="E337" s="83">
        <v>10</v>
      </c>
      <c r="F337" s="83" t="s">
        <v>214</v>
      </c>
      <c r="G337" s="83"/>
      <c r="H337" s="83">
        <v>10</v>
      </c>
      <c r="I337" s="83" t="str">
        <f t="shared" si="55"/>
        <v xml:space="preserve"> Cu</v>
      </c>
      <c r="J337" s="175">
        <v>140</v>
      </c>
      <c r="K337" s="26" t="e">
        <f t="shared" si="47"/>
        <v>#N/A</v>
      </c>
      <c r="L337" s="26" t="e">
        <f t="shared" si="48"/>
        <v>#N/A</v>
      </c>
      <c r="M337" s="35" t="str">
        <f t="shared" si="49"/>
        <v/>
      </c>
      <c r="N337" s="26" t="str">
        <f t="shared" si="50"/>
        <v/>
      </c>
      <c r="O337" s="26" t="str">
        <f t="shared" si="51"/>
        <v/>
      </c>
      <c r="P337" s="35" t="str">
        <f>IF(AND($C$24=50,'Beregning AC vern'!U299="IT-230V"),FALSE,IF(AND($A$24=$A337,$B$24=$B337,$C$24=$C337,$D$24=$D337,$E$24=$E337),TRUE,""))</f>
        <v/>
      </c>
      <c r="Q337" s="26" t="b">
        <f t="shared" si="52"/>
        <v>0</v>
      </c>
      <c r="R337" s="26" t="b">
        <f t="shared" si="53"/>
        <v>0</v>
      </c>
    </row>
    <row r="338" spans="1:18" x14ac:dyDescent="0.25">
      <c r="A338" s="83" t="s">
        <v>131</v>
      </c>
      <c r="B338" s="83" t="s">
        <v>225</v>
      </c>
      <c r="C338" s="83">
        <v>32</v>
      </c>
      <c r="D338" s="83">
        <v>19.899999999999999</v>
      </c>
      <c r="E338" s="83">
        <v>10</v>
      </c>
      <c r="F338" s="83" t="s">
        <v>215</v>
      </c>
      <c r="G338" s="83"/>
      <c r="H338" s="83">
        <v>25</v>
      </c>
      <c r="I338" s="83" t="str">
        <f t="shared" si="55"/>
        <v xml:space="preserve"> Al</v>
      </c>
      <c r="J338" s="83">
        <v>214</v>
      </c>
      <c r="K338" s="26" t="e">
        <f t="shared" si="47"/>
        <v>#N/A</v>
      </c>
      <c r="L338" s="26" t="e">
        <f t="shared" si="48"/>
        <v>#N/A</v>
      </c>
      <c r="M338" s="35" t="str">
        <f t="shared" si="49"/>
        <v/>
      </c>
      <c r="N338" s="26" t="str">
        <f t="shared" si="50"/>
        <v/>
      </c>
      <c r="O338" s="26" t="str">
        <f t="shared" si="51"/>
        <v/>
      </c>
      <c r="P338" s="35" t="str">
        <f>IF(AND($C$24=50,'Beregning AC vern'!U300="IT-230V"),FALSE,IF(AND($A$24=$A338,$B$24=$B338,$C$24=$C338,$D$24=$D338,$E$24=$E338),TRUE,""))</f>
        <v/>
      </c>
      <c r="Q338" s="26" t="b">
        <f t="shared" si="52"/>
        <v>0</v>
      </c>
      <c r="R338" s="26" t="b">
        <f t="shared" si="53"/>
        <v>0</v>
      </c>
    </row>
    <row r="339" spans="1:18" x14ac:dyDescent="0.25">
      <c r="A339" s="83" t="s">
        <v>131</v>
      </c>
      <c r="B339" s="83" t="s">
        <v>225</v>
      </c>
      <c r="C339" s="83">
        <v>32</v>
      </c>
      <c r="D339" s="83">
        <v>19.899999999999999</v>
      </c>
      <c r="E339" s="83">
        <v>10</v>
      </c>
      <c r="F339" s="83" t="s">
        <v>216</v>
      </c>
      <c r="G339" s="83"/>
      <c r="H339" s="83">
        <v>50</v>
      </c>
      <c r="I339" s="83" t="str">
        <f t="shared" si="55"/>
        <v xml:space="preserve"> Al</v>
      </c>
      <c r="J339" s="83">
        <v>390</v>
      </c>
      <c r="K339" s="26" t="e">
        <f t="shared" si="47"/>
        <v>#N/A</v>
      </c>
      <c r="L339" s="26" t="e">
        <f t="shared" si="48"/>
        <v>#N/A</v>
      </c>
      <c r="M339" s="35" t="str">
        <f t="shared" si="49"/>
        <v/>
      </c>
      <c r="N339" s="26" t="str">
        <f t="shared" si="50"/>
        <v/>
      </c>
      <c r="O339" s="26" t="str">
        <f t="shared" si="51"/>
        <v/>
      </c>
      <c r="P339" s="35" t="str">
        <f>IF(AND($C$24=50,'Beregning AC vern'!U301="IT-230V"),FALSE,IF(AND($A$24=$A339,$B$24=$B339,$C$24=$C339,$D$24=$D339,$E$24=$E339),TRUE,""))</f>
        <v/>
      </c>
      <c r="Q339" s="26" t="b">
        <f t="shared" si="52"/>
        <v>0</v>
      </c>
      <c r="R339" s="26" t="b">
        <f t="shared" si="53"/>
        <v>0</v>
      </c>
    </row>
    <row r="340" spans="1:18" x14ac:dyDescent="0.25">
      <c r="A340" s="83" t="s">
        <v>131</v>
      </c>
      <c r="B340" s="83" t="s">
        <v>225</v>
      </c>
      <c r="C340" s="83">
        <v>40</v>
      </c>
      <c r="D340" s="83">
        <v>19.899999999999999</v>
      </c>
      <c r="E340" s="83">
        <v>10</v>
      </c>
      <c r="F340" s="83" t="s">
        <v>226</v>
      </c>
      <c r="G340" s="83"/>
      <c r="H340" s="83">
        <v>25</v>
      </c>
      <c r="I340" s="83" t="str">
        <f t="shared" si="55"/>
        <v xml:space="preserve"> Cu</v>
      </c>
      <c r="J340" s="83">
        <v>179</v>
      </c>
      <c r="K340" s="26" t="e">
        <f t="shared" si="47"/>
        <v>#N/A</v>
      </c>
      <c r="L340" s="26" t="e">
        <f t="shared" si="48"/>
        <v>#N/A</v>
      </c>
      <c r="M340" s="35" t="str">
        <f t="shared" si="49"/>
        <v/>
      </c>
      <c r="N340" s="26" t="str">
        <f t="shared" si="50"/>
        <v/>
      </c>
      <c r="O340" s="26" t="str">
        <f t="shared" si="51"/>
        <v/>
      </c>
      <c r="P340" s="35" t="str">
        <f>IF(AND($C$24=50,'Beregning AC vern'!U302="IT-230V"),FALSE,IF(AND($A$24=$A340,$B$24=$B340,$C$24=$C340,$D$24=$D340,$E$24=$E340),TRUE,""))</f>
        <v/>
      </c>
      <c r="Q340" s="26" t="b">
        <f t="shared" si="52"/>
        <v>0</v>
      </c>
      <c r="R340" s="26" t="b">
        <f t="shared" si="53"/>
        <v>0</v>
      </c>
    </row>
    <row r="341" spans="1:18" x14ac:dyDescent="0.25">
      <c r="A341" s="83" t="s">
        <v>131</v>
      </c>
      <c r="B341" s="83" t="s">
        <v>225</v>
      </c>
      <c r="C341" s="83">
        <v>40</v>
      </c>
      <c r="D341" s="83">
        <v>19.899999999999999</v>
      </c>
      <c r="E341" s="83">
        <v>10</v>
      </c>
      <c r="F341" s="83" t="s">
        <v>215</v>
      </c>
      <c r="G341" s="83"/>
      <c r="H341" s="83">
        <v>25</v>
      </c>
      <c r="I341" s="83" t="str">
        <f t="shared" si="55"/>
        <v xml:space="preserve"> Al</v>
      </c>
      <c r="J341" s="83">
        <v>170</v>
      </c>
      <c r="K341" s="26" t="e">
        <f t="shared" si="47"/>
        <v>#N/A</v>
      </c>
      <c r="L341" s="26" t="e">
        <f t="shared" si="48"/>
        <v>#N/A</v>
      </c>
      <c r="M341" s="35" t="str">
        <f t="shared" si="49"/>
        <v/>
      </c>
      <c r="N341" s="26" t="str">
        <f t="shared" si="50"/>
        <v/>
      </c>
      <c r="O341" s="26" t="str">
        <f t="shared" si="51"/>
        <v/>
      </c>
      <c r="P341" s="35" t="str">
        <f>IF(AND($C$24=50,'Beregning AC vern'!U303="IT-230V"),FALSE,IF(AND($A$24=$A341,$B$24=$B341,$C$24=$C341,$D$24=$D341,$E$24=$E341),TRUE,""))</f>
        <v/>
      </c>
      <c r="Q341" s="26" t="b">
        <f t="shared" si="52"/>
        <v>0</v>
      </c>
      <c r="R341" s="26" t="b">
        <f t="shared" si="53"/>
        <v>0</v>
      </c>
    </row>
    <row r="342" spans="1:18" x14ac:dyDescent="0.25">
      <c r="A342" s="83" t="s">
        <v>131</v>
      </c>
      <c r="B342" s="83" t="s">
        <v>225</v>
      </c>
      <c r="C342" s="83">
        <v>40</v>
      </c>
      <c r="D342" s="83">
        <v>19.899999999999999</v>
      </c>
      <c r="E342" s="83">
        <v>10</v>
      </c>
      <c r="F342" s="83" t="s">
        <v>216</v>
      </c>
      <c r="G342" s="83"/>
      <c r="H342" s="83">
        <v>50</v>
      </c>
      <c r="I342" s="83" t="str">
        <f t="shared" si="55"/>
        <v xml:space="preserve"> Al</v>
      </c>
      <c r="J342" s="83">
        <v>310</v>
      </c>
      <c r="K342" s="26" t="e">
        <f t="shared" si="47"/>
        <v>#N/A</v>
      </c>
      <c r="L342" s="26" t="e">
        <f t="shared" si="48"/>
        <v>#N/A</v>
      </c>
      <c r="M342" s="35" t="str">
        <f t="shared" si="49"/>
        <v/>
      </c>
      <c r="N342" s="26" t="str">
        <f t="shared" si="50"/>
        <v/>
      </c>
      <c r="O342" s="26" t="str">
        <f t="shared" si="51"/>
        <v/>
      </c>
      <c r="P342" s="35" t="str">
        <f>IF(AND($C$24=50,'Beregning AC vern'!U304="IT-230V"),FALSE,IF(AND($A$24=$A342,$B$24=$B342,$C$24=$C342,$D$24=$D342,$E$24=$E342),TRUE,""))</f>
        <v/>
      </c>
      <c r="Q342" s="26" t="b">
        <f t="shared" si="52"/>
        <v>0</v>
      </c>
      <c r="R342" s="26" t="b">
        <f t="shared" si="53"/>
        <v>0</v>
      </c>
    </row>
    <row r="343" spans="1:18" x14ac:dyDescent="0.25">
      <c r="A343" s="83" t="s">
        <v>131</v>
      </c>
      <c r="B343" s="83" t="s">
        <v>225</v>
      </c>
      <c r="C343" s="83">
        <v>63</v>
      </c>
      <c r="D343" s="83">
        <v>19.899999999999999</v>
      </c>
      <c r="E343" s="83">
        <v>10</v>
      </c>
      <c r="F343" s="83" t="s">
        <v>216</v>
      </c>
      <c r="G343" s="83"/>
      <c r="H343" s="83">
        <v>50</v>
      </c>
      <c r="I343" s="83" t="str">
        <f t="shared" si="55"/>
        <v xml:space="preserve"> Al</v>
      </c>
      <c r="J343" s="83">
        <v>195</v>
      </c>
      <c r="K343" s="26" t="e">
        <f t="shared" si="47"/>
        <v>#N/A</v>
      </c>
      <c r="L343" s="26" t="e">
        <f t="shared" si="48"/>
        <v>#N/A</v>
      </c>
      <c r="M343" s="35" t="str">
        <f t="shared" si="49"/>
        <v/>
      </c>
      <c r="N343" s="26" t="str">
        <f t="shared" si="50"/>
        <v/>
      </c>
      <c r="O343" s="26" t="str">
        <f t="shared" si="51"/>
        <v/>
      </c>
      <c r="P343" s="35" t="str">
        <f>IF(AND($C$24=50,'Beregning AC vern'!U305="IT-230V"),FALSE,IF(AND($A$24=$A343,$B$24=$B343,$C$24=$C343,$D$24=$D343,$E$24=$E343),TRUE,""))</f>
        <v/>
      </c>
      <c r="Q343" s="26" t="b">
        <f t="shared" si="52"/>
        <v>0</v>
      </c>
      <c r="R343" s="26" t="b">
        <f t="shared" si="53"/>
        <v>0</v>
      </c>
    </row>
    <row r="344" spans="1:18" x14ac:dyDescent="0.25">
      <c r="A344" s="83" t="s">
        <v>131</v>
      </c>
      <c r="B344" s="83" t="s">
        <v>225</v>
      </c>
      <c r="C344" s="83">
        <v>80</v>
      </c>
      <c r="D344" s="83">
        <v>19.899999999999999</v>
      </c>
      <c r="E344" s="83">
        <v>10</v>
      </c>
      <c r="F344" s="83" t="s">
        <v>218</v>
      </c>
      <c r="G344" s="83"/>
      <c r="H344" s="83">
        <v>95</v>
      </c>
      <c r="I344" s="83" t="str">
        <f t="shared" si="55"/>
        <v xml:space="preserve"> Al</v>
      </c>
      <c r="J344" s="83">
        <v>290</v>
      </c>
      <c r="K344" s="26" t="e">
        <f t="shared" si="47"/>
        <v>#N/A</v>
      </c>
      <c r="L344" s="26" t="e">
        <f t="shared" si="48"/>
        <v>#N/A</v>
      </c>
      <c r="M344" s="35" t="str">
        <f t="shared" si="49"/>
        <v/>
      </c>
      <c r="N344" s="26" t="str">
        <f t="shared" si="50"/>
        <v/>
      </c>
      <c r="O344" s="26" t="str">
        <f t="shared" si="51"/>
        <v/>
      </c>
      <c r="P344" s="35" t="str">
        <f>IF(AND($C$24=50,'Beregning AC vern'!U306="IT-230V"),FALSE,IF(AND($A$24=$A344,$B$24=$B344,$C$24=$C344,$D$24=$D344,$E$24=$E344),TRUE,""))</f>
        <v/>
      </c>
      <c r="Q344" s="26" t="b">
        <f t="shared" si="52"/>
        <v>0</v>
      </c>
      <c r="R344" s="26" t="b">
        <f t="shared" si="53"/>
        <v>0</v>
      </c>
    </row>
    <row r="345" spans="1:18" x14ac:dyDescent="0.25">
      <c r="A345" s="83" t="s">
        <v>131</v>
      </c>
      <c r="B345" s="83" t="s">
        <v>225</v>
      </c>
      <c r="C345" s="83">
        <v>25</v>
      </c>
      <c r="D345" s="83">
        <v>19.899999999999999</v>
      </c>
      <c r="E345" s="83">
        <v>15</v>
      </c>
      <c r="F345" s="83" t="s">
        <v>212</v>
      </c>
      <c r="G345" s="83"/>
      <c r="H345" s="83">
        <v>6</v>
      </c>
      <c r="I345" s="83" t="str">
        <f t="shared" si="55"/>
        <v>Cu</v>
      </c>
      <c r="J345" s="83">
        <v>109</v>
      </c>
      <c r="K345" s="26" t="e">
        <f t="shared" si="47"/>
        <v>#N/A</v>
      </c>
      <c r="L345" s="26" t="e">
        <f t="shared" si="48"/>
        <v>#N/A</v>
      </c>
      <c r="M345" s="35" t="str">
        <f t="shared" si="49"/>
        <v/>
      </c>
      <c r="N345" s="26" t="str">
        <f t="shared" si="50"/>
        <v/>
      </c>
      <c r="O345" s="26" t="str">
        <f t="shared" si="51"/>
        <v/>
      </c>
      <c r="P345" s="35" t="str">
        <f>IF(AND($C$24=50,'Beregning AC vern'!U307="IT-230V"),FALSE,IF(AND($A$24=$A345,$B$24=$B345,$C$24=$C345,$D$24=$D345,$E$24=$E345),TRUE,""))</f>
        <v/>
      </c>
      <c r="Q345" s="26" t="b">
        <f t="shared" si="52"/>
        <v>0</v>
      </c>
      <c r="R345" s="26" t="b">
        <f t="shared" si="53"/>
        <v>0</v>
      </c>
    </row>
    <row r="346" spans="1:18" x14ac:dyDescent="0.25">
      <c r="A346" s="83" t="s">
        <v>131</v>
      </c>
      <c r="B346" s="83" t="s">
        <v>225</v>
      </c>
      <c r="C346" s="83">
        <v>25</v>
      </c>
      <c r="D346" s="83">
        <v>19.899999999999999</v>
      </c>
      <c r="E346" s="83">
        <v>15</v>
      </c>
      <c r="F346" s="83" t="s">
        <v>214</v>
      </c>
      <c r="G346" s="83"/>
      <c r="H346" s="83">
        <v>10</v>
      </c>
      <c r="I346" s="83" t="str">
        <f t="shared" si="55"/>
        <v xml:space="preserve"> Cu</v>
      </c>
      <c r="J346" s="83">
        <v>183</v>
      </c>
      <c r="K346" s="26" t="e">
        <f t="shared" si="47"/>
        <v>#N/A</v>
      </c>
      <c r="L346" s="26" t="e">
        <f t="shared" si="48"/>
        <v>#N/A</v>
      </c>
      <c r="M346" s="35" t="str">
        <f t="shared" si="49"/>
        <v/>
      </c>
      <c r="N346" s="26" t="str">
        <f t="shared" si="50"/>
        <v/>
      </c>
      <c r="O346" s="26" t="str">
        <f t="shared" si="51"/>
        <v/>
      </c>
      <c r="P346" s="35" t="str">
        <f>IF(AND($C$24=50,'Beregning AC vern'!U308="IT-230V"),FALSE,IF(AND($A$24=$A346,$B$24=$B346,$C$24=$C346,$D$24=$D346,$E$24=$E346),TRUE,""))</f>
        <v/>
      </c>
      <c r="Q346" s="26" t="b">
        <f t="shared" si="52"/>
        <v>0</v>
      </c>
      <c r="R346" s="26" t="b">
        <f t="shared" si="53"/>
        <v>0</v>
      </c>
    </row>
    <row r="347" spans="1:18" x14ac:dyDescent="0.25">
      <c r="A347" s="83" t="s">
        <v>131</v>
      </c>
      <c r="B347" s="83" t="s">
        <v>225</v>
      </c>
      <c r="C347" s="83">
        <v>25</v>
      </c>
      <c r="D347" s="83">
        <v>19.899999999999999</v>
      </c>
      <c r="E347" s="83">
        <v>15</v>
      </c>
      <c r="F347" s="83" t="s">
        <v>215</v>
      </c>
      <c r="G347" s="83"/>
      <c r="H347" s="83">
        <v>25</v>
      </c>
      <c r="I347" s="83" t="str">
        <f t="shared" si="55"/>
        <v xml:space="preserve"> Al</v>
      </c>
      <c r="J347" s="83">
        <v>271</v>
      </c>
      <c r="K347" s="26" t="e">
        <f t="shared" si="47"/>
        <v>#N/A</v>
      </c>
      <c r="L347" s="26" t="e">
        <f t="shared" si="48"/>
        <v>#N/A</v>
      </c>
      <c r="M347" s="35" t="str">
        <f t="shared" si="49"/>
        <v/>
      </c>
      <c r="N347" s="26" t="str">
        <f t="shared" si="50"/>
        <v/>
      </c>
      <c r="O347" s="26" t="str">
        <f t="shared" si="51"/>
        <v/>
      </c>
      <c r="P347" s="35" t="str">
        <f>IF(AND($C$24=50,'Beregning AC vern'!U309="IT-230V"),FALSE,IF(AND($A$24=$A347,$B$24=$B347,$C$24=$C347,$D$24=$D347,$E$24=$E347),TRUE,""))</f>
        <v/>
      </c>
      <c r="Q347" s="26" t="b">
        <f t="shared" si="52"/>
        <v>0</v>
      </c>
      <c r="R347" s="26" t="b">
        <f t="shared" si="53"/>
        <v>0</v>
      </c>
    </row>
    <row r="348" spans="1:18" x14ac:dyDescent="0.25">
      <c r="A348" s="83" t="s">
        <v>131</v>
      </c>
      <c r="B348" s="83" t="s">
        <v>225</v>
      </c>
      <c r="C348" s="83">
        <v>25</v>
      </c>
      <c r="D348" s="83">
        <v>19.899999999999999</v>
      </c>
      <c r="E348" s="83">
        <v>15</v>
      </c>
      <c r="F348" s="83" t="s">
        <v>216</v>
      </c>
      <c r="G348" s="83"/>
      <c r="H348" s="83">
        <v>50</v>
      </c>
      <c r="I348" s="83" t="str">
        <f t="shared" si="55"/>
        <v xml:space="preserve"> Al</v>
      </c>
      <c r="J348" s="83">
        <v>500</v>
      </c>
      <c r="K348" s="26" t="e">
        <f t="shared" si="47"/>
        <v>#N/A</v>
      </c>
      <c r="L348" s="26" t="e">
        <f t="shared" si="48"/>
        <v>#N/A</v>
      </c>
      <c r="M348" s="35" t="str">
        <f t="shared" si="49"/>
        <v/>
      </c>
      <c r="N348" s="26" t="str">
        <f t="shared" si="50"/>
        <v/>
      </c>
      <c r="O348" s="26" t="str">
        <f t="shared" si="51"/>
        <v/>
      </c>
      <c r="P348" s="35" t="str">
        <f>IF(AND($C$24=50,'Beregning AC vern'!U310="IT-230V"),FALSE,IF(AND($A$24=$A348,$B$24=$B348,$C$24=$C348,$D$24=$D348,$E$24=$E348),TRUE,""))</f>
        <v/>
      </c>
      <c r="Q348" s="26" t="b">
        <f t="shared" si="52"/>
        <v>0</v>
      </c>
      <c r="R348" s="26" t="b">
        <f t="shared" si="53"/>
        <v>0</v>
      </c>
    </row>
    <row r="349" spans="1:18" x14ac:dyDescent="0.25">
      <c r="A349" s="83" t="s">
        <v>131</v>
      </c>
      <c r="B349" s="83" t="s">
        <v>225</v>
      </c>
      <c r="C349" s="83">
        <v>32</v>
      </c>
      <c r="D349" s="83">
        <v>19.899999999999999</v>
      </c>
      <c r="E349" s="83">
        <v>15</v>
      </c>
      <c r="F349" s="83" t="s">
        <v>214</v>
      </c>
      <c r="G349" s="83"/>
      <c r="H349" s="83">
        <v>10</v>
      </c>
      <c r="I349" s="83" t="str">
        <f t="shared" si="55"/>
        <v xml:space="preserve"> Cu</v>
      </c>
      <c r="J349" s="83">
        <v>140</v>
      </c>
      <c r="K349" s="26" t="e">
        <f t="shared" si="47"/>
        <v>#N/A</v>
      </c>
      <c r="L349" s="26" t="e">
        <f t="shared" si="48"/>
        <v>#N/A</v>
      </c>
      <c r="M349" s="35" t="str">
        <f t="shared" si="49"/>
        <v/>
      </c>
      <c r="N349" s="26" t="str">
        <f t="shared" si="50"/>
        <v/>
      </c>
      <c r="O349" s="26" t="str">
        <f t="shared" si="51"/>
        <v/>
      </c>
      <c r="P349" s="35" t="str">
        <f>IF(AND($C$24=50,'Beregning AC vern'!U311="IT-230V"),FALSE,IF(AND($A$24=$A349,$B$24=$B349,$C$24=$C349,$D$24=$D349,$E$24=$E349),TRUE,""))</f>
        <v/>
      </c>
      <c r="Q349" s="26" t="b">
        <f t="shared" si="52"/>
        <v>0</v>
      </c>
      <c r="R349" s="26" t="b">
        <f t="shared" si="53"/>
        <v>0</v>
      </c>
    </row>
    <row r="350" spans="1:18" x14ac:dyDescent="0.25">
      <c r="A350" s="83" t="s">
        <v>131</v>
      </c>
      <c r="B350" s="83" t="s">
        <v>225</v>
      </c>
      <c r="C350" s="83">
        <v>32</v>
      </c>
      <c r="D350" s="83">
        <v>19.899999999999999</v>
      </c>
      <c r="E350" s="83">
        <v>15</v>
      </c>
      <c r="F350" s="83" t="s">
        <v>215</v>
      </c>
      <c r="G350" s="83"/>
      <c r="H350" s="83">
        <v>25</v>
      </c>
      <c r="I350" s="83" t="str">
        <f t="shared" si="55"/>
        <v xml:space="preserve"> Al</v>
      </c>
      <c r="J350" s="83">
        <v>215</v>
      </c>
      <c r="K350" s="26" t="e">
        <f t="shared" si="47"/>
        <v>#N/A</v>
      </c>
      <c r="L350" s="26" t="e">
        <f t="shared" si="48"/>
        <v>#N/A</v>
      </c>
      <c r="M350" s="35" t="str">
        <f t="shared" si="49"/>
        <v/>
      </c>
      <c r="N350" s="26" t="str">
        <f t="shared" si="50"/>
        <v/>
      </c>
      <c r="O350" s="26" t="str">
        <f t="shared" si="51"/>
        <v/>
      </c>
      <c r="P350" s="35" t="str">
        <f>IF(AND($C$24=50,'Beregning AC vern'!U312="IT-230V"),FALSE,IF(AND($A$24=$A350,$B$24=$B350,$C$24=$C350,$D$24=$D350,$E$24=$E350),TRUE,""))</f>
        <v/>
      </c>
      <c r="Q350" s="26" t="b">
        <f t="shared" si="52"/>
        <v>0</v>
      </c>
      <c r="R350" s="26" t="b">
        <f t="shared" si="53"/>
        <v>0</v>
      </c>
    </row>
    <row r="351" spans="1:18" x14ac:dyDescent="0.25">
      <c r="A351" s="83" t="s">
        <v>131</v>
      </c>
      <c r="B351" s="83" t="s">
        <v>225</v>
      </c>
      <c r="C351" s="83">
        <v>32</v>
      </c>
      <c r="D351" s="83">
        <v>19.899999999999999</v>
      </c>
      <c r="E351" s="83">
        <v>15</v>
      </c>
      <c r="F351" s="83" t="s">
        <v>216</v>
      </c>
      <c r="G351" s="83"/>
      <c r="H351" s="83">
        <v>50</v>
      </c>
      <c r="I351" s="83" t="str">
        <f t="shared" si="55"/>
        <v xml:space="preserve"> Al</v>
      </c>
      <c r="J351" s="83">
        <v>390</v>
      </c>
      <c r="K351" s="26" t="e">
        <f t="shared" si="47"/>
        <v>#N/A</v>
      </c>
      <c r="L351" s="26" t="e">
        <f t="shared" si="48"/>
        <v>#N/A</v>
      </c>
      <c r="M351" s="35" t="str">
        <f t="shared" si="49"/>
        <v/>
      </c>
      <c r="N351" s="26" t="str">
        <f t="shared" si="50"/>
        <v/>
      </c>
      <c r="O351" s="26" t="str">
        <f t="shared" si="51"/>
        <v/>
      </c>
      <c r="P351" s="35" t="str">
        <f>IF(AND($C$24=50,'Beregning AC vern'!U313="IT-230V"),FALSE,IF(AND($A$24=$A351,$B$24=$B351,$C$24=$C351,$D$24=$D351,$E$24=$E351),TRUE,""))</f>
        <v/>
      </c>
      <c r="Q351" s="26" t="b">
        <f t="shared" si="52"/>
        <v>0</v>
      </c>
      <c r="R351" s="26" t="b">
        <f t="shared" si="53"/>
        <v>0</v>
      </c>
    </row>
    <row r="352" spans="1:18" x14ac:dyDescent="0.25">
      <c r="A352" s="83" t="s">
        <v>131</v>
      </c>
      <c r="B352" s="83" t="s">
        <v>225</v>
      </c>
      <c r="C352" s="83">
        <v>40</v>
      </c>
      <c r="D352" s="83">
        <v>19.899999999999999</v>
      </c>
      <c r="E352" s="83">
        <v>15</v>
      </c>
      <c r="F352" s="83" t="s">
        <v>217</v>
      </c>
      <c r="G352" s="83"/>
      <c r="H352" s="83">
        <v>16</v>
      </c>
      <c r="I352" s="83" t="str">
        <f t="shared" si="55"/>
        <v xml:space="preserve"> Cu</v>
      </c>
      <c r="J352" s="83">
        <v>180</v>
      </c>
      <c r="K352" s="26" t="e">
        <f t="shared" si="47"/>
        <v>#N/A</v>
      </c>
      <c r="L352" s="26" t="e">
        <f t="shared" si="48"/>
        <v>#N/A</v>
      </c>
      <c r="M352" s="35" t="str">
        <f t="shared" si="49"/>
        <v/>
      </c>
      <c r="N352" s="26" t="str">
        <f t="shared" si="50"/>
        <v/>
      </c>
      <c r="O352" s="26" t="str">
        <f t="shared" si="51"/>
        <v/>
      </c>
      <c r="P352" s="35" t="str">
        <f>IF(AND($C$24=50,'Beregning AC vern'!U314="IT-230V"),FALSE,IF(AND($A$24=$A352,$B$24=$B352,$C$24=$C352,$D$24=$D352,$E$24=$E352),TRUE,""))</f>
        <v/>
      </c>
      <c r="Q352" s="26" t="b">
        <f t="shared" si="52"/>
        <v>0</v>
      </c>
      <c r="R352" s="26" t="b">
        <f t="shared" si="53"/>
        <v>0</v>
      </c>
    </row>
    <row r="353" spans="1:18" x14ac:dyDescent="0.25">
      <c r="A353" s="83" t="s">
        <v>131</v>
      </c>
      <c r="B353" s="83" t="s">
        <v>225</v>
      </c>
      <c r="C353" s="83">
        <v>40</v>
      </c>
      <c r="D353" s="83">
        <v>19.899999999999999</v>
      </c>
      <c r="E353" s="83">
        <v>15</v>
      </c>
      <c r="F353" s="83" t="s">
        <v>215</v>
      </c>
      <c r="G353" s="83"/>
      <c r="H353" s="83">
        <v>25</v>
      </c>
      <c r="I353" s="83" t="str">
        <f t="shared" si="55"/>
        <v xml:space="preserve"> Al</v>
      </c>
      <c r="J353" s="83">
        <v>172</v>
      </c>
      <c r="K353" s="26" t="e">
        <f t="shared" si="47"/>
        <v>#N/A</v>
      </c>
      <c r="L353" s="26" t="e">
        <f t="shared" si="48"/>
        <v>#N/A</v>
      </c>
      <c r="M353" s="35" t="str">
        <f t="shared" si="49"/>
        <v/>
      </c>
      <c r="N353" s="26" t="str">
        <f t="shared" si="50"/>
        <v/>
      </c>
      <c r="O353" s="26" t="str">
        <f t="shared" si="51"/>
        <v/>
      </c>
      <c r="P353" s="35" t="str">
        <f>IF(AND($C$24=50,'Beregning AC vern'!U315="IT-230V"),FALSE,IF(AND($A$24=$A353,$B$24=$B353,$C$24=$C353,$D$24=$D353,$E$24=$E353),TRUE,""))</f>
        <v/>
      </c>
      <c r="Q353" s="26" t="b">
        <f t="shared" si="52"/>
        <v>0</v>
      </c>
      <c r="R353" s="26" t="b">
        <f t="shared" si="53"/>
        <v>0</v>
      </c>
    </row>
    <row r="354" spans="1:18" x14ac:dyDescent="0.25">
      <c r="A354" s="83" t="s">
        <v>131</v>
      </c>
      <c r="B354" s="83" t="s">
        <v>225</v>
      </c>
      <c r="C354" s="83">
        <v>40</v>
      </c>
      <c r="D354" s="83">
        <v>19.899999999999999</v>
      </c>
      <c r="E354" s="83">
        <v>15</v>
      </c>
      <c r="F354" s="83" t="s">
        <v>216</v>
      </c>
      <c r="G354" s="83"/>
      <c r="H354" s="83">
        <v>50</v>
      </c>
      <c r="I354" s="83" t="str">
        <f t="shared" si="55"/>
        <v xml:space="preserve"> Al</v>
      </c>
      <c r="J354" s="83">
        <v>314</v>
      </c>
      <c r="K354" s="26" t="e">
        <f t="shared" si="47"/>
        <v>#N/A</v>
      </c>
      <c r="L354" s="26" t="e">
        <f t="shared" si="48"/>
        <v>#N/A</v>
      </c>
      <c r="M354" s="35" t="str">
        <f t="shared" si="49"/>
        <v/>
      </c>
      <c r="N354" s="26" t="str">
        <f t="shared" si="50"/>
        <v/>
      </c>
      <c r="O354" s="26" t="str">
        <f t="shared" si="51"/>
        <v/>
      </c>
      <c r="P354" s="35" t="str">
        <f>IF(AND($C$24=50,'Beregning AC vern'!U316="IT-230V"),FALSE,IF(AND($A$24=$A354,$B$24=$B354,$C$24=$C354,$D$24=$D354,$E$24=$E354),TRUE,""))</f>
        <v/>
      </c>
      <c r="Q354" s="26" t="b">
        <f t="shared" si="52"/>
        <v>0</v>
      </c>
      <c r="R354" s="26" t="b">
        <f t="shared" si="53"/>
        <v>0</v>
      </c>
    </row>
    <row r="355" spans="1:18" x14ac:dyDescent="0.25">
      <c r="A355" s="83" t="s">
        <v>131</v>
      </c>
      <c r="B355" s="83" t="s">
        <v>225</v>
      </c>
      <c r="C355" s="83">
        <v>63</v>
      </c>
      <c r="D355" s="83">
        <v>19.899999999999999</v>
      </c>
      <c r="E355" s="83">
        <v>15</v>
      </c>
      <c r="F355" s="83" t="s">
        <v>216</v>
      </c>
      <c r="G355" s="83"/>
      <c r="H355" s="83">
        <v>50</v>
      </c>
      <c r="I355" s="83" t="str">
        <f t="shared" si="55"/>
        <v xml:space="preserve"> Al</v>
      </c>
      <c r="J355" s="83">
        <v>199</v>
      </c>
      <c r="K355" s="26" t="e">
        <f t="shared" si="47"/>
        <v>#N/A</v>
      </c>
      <c r="L355" s="26" t="e">
        <f t="shared" si="48"/>
        <v>#N/A</v>
      </c>
      <c r="M355" s="35" t="str">
        <f t="shared" si="49"/>
        <v/>
      </c>
      <c r="N355" s="26" t="str">
        <f t="shared" si="50"/>
        <v/>
      </c>
      <c r="O355" s="26" t="str">
        <f t="shared" si="51"/>
        <v/>
      </c>
      <c r="P355" s="35" t="str">
        <f>IF(AND($C$24=50,'Beregning AC vern'!U317="IT-230V"),FALSE,IF(AND($A$24=$A355,$B$24=$B355,$C$24=$C355,$D$24=$D355,$E$24=$E355),TRUE,""))</f>
        <v/>
      </c>
      <c r="Q355" s="26" t="b">
        <f t="shared" si="52"/>
        <v>0</v>
      </c>
      <c r="R355" s="26" t="b">
        <f t="shared" si="53"/>
        <v>0</v>
      </c>
    </row>
    <row r="356" spans="1:18" x14ac:dyDescent="0.25">
      <c r="A356" s="83" t="s">
        <v>131</v>
      </c>
      <c r="B356" s="83" t="s">
        <v>225</v>
      </c>
      <c r="C356" s="83">
        <v>80</v>
      </c>
      <c r="D356" s="83">
        <v>19.899999999999999</v>
      </c>
      <c r="E356" s="83">
        <v>15</v>
      </c>
      <c r="F356" s="83" t="s">
        <v>218</v>
      </c>
      <c r="G356" s="83"/>
      <c r="H356" s="83">
        <v>95</v>
      </c>
      <c r="I356" s="83" t="str">
        <f t="shared" si="55"/>
        <v xml:space="preserve"> Al</v>
      </c>
      <c r="J356" s="83">
        <v>297</v>
      </c>
      <c r="K356" s="26" t="e">
        <f t="shared" si="47"/>
        <v>#N/A</v>
      </c>
      <c r="L356" s="26" t="e">
        <f t="shared" si="48"/>
        <v>#N/A</v>
      </c>
      <c r="M356" s="35" t="str">
        <f t="shared" si="49"/>
        <v/>
      </c>
      <c r="N356" s="26" t="str">
        <f t="shared" si="50"/>
        <v/>
      </c>
      <c r="O356" s="26" t="str">
        <f t="shared" si="51"/>
        <v/>
      </c>
      <c r="P356" s="35" t="str">
        <f>IF(AND($C$24=50,'Beregning AC vern'!U318="IT-230V"),FALSE,IF(AND($A$24=$A356,$B$24=$B356,$C$24=$C356,$D$24=$D356,$E$24=$E356),TRUE,""))</f>
        <v/>
      </c>
      <c r="Q356" s="26" t="b">
        <f t="shared" si="52"/>
        <v>0</v>
      </c>
      <c r="R356" s="26" t="b">
        <f t="shared" si="53"/>
        <v>0</v>
      </c>
    </row>
  </sheetData>
  <autoFilter ref="A38:R38" xr:uid="{8D0841F1-43B5-4F94-80B7-597F617C0DB8}"/>
  <mergeCells count="19">
    <mergeCell ref="A28:L28"/>
    <mergeCell ref="A2:B2"/>
    <mergeCell ref="A4:B4"/>
    <mergeCell ref="A18:L18"/>
    <mergeCell ref="F1:J1"/>
    <mergeCell ref="K1:M1"/>
    <mergeCell ref="A6:B6"/>
    <mergeCell ref="A7:B7"/>
    <mergeCell ref="A8:B8"/>
    <mergeCell ref="C8:D8"/>
    <mergeCell ref="C7:D7"/>
    <mergeCell ref="C6:D6"/>
    <mergeCell ref="A1:D1"/>
    <mergeCell ref="A5:B5"/>
    <mergeCell ref="C5:D5"/>
    <mergeCell ref="C4:D4"/>
    <mergeCell ref="C3:D3"/>
    <mergeCell ref="C2:D2"/>
    <mergeCell ref="A3:B3"/>
  </mergeCells>
  <conditionalFormatting sqref="A1:A5 F3:G3 A38:A1048576">
    <cfRule type="cellIs" dxfId="9" priority="16" operator="equal">
      <formula>"IT-230V"</formula>
    </cfRule>
    <cfRule type="cellIs" dxfId="8" priority="17" operator="equal">
      <formula>"TN-400V"</formula>
    </cfRule>
  </conditionalFormatting>
  <conditionalFormatting sqref="A18:A19">
    <cfRule type="cellIs" dxfId="7" priority="7" operator="equal">
      <formula>"IT-230V"</formula>
    </cfRule>
    <cfRule type="cellIs" dxfId="6" priority="8" operator="equal">
      <formula>"TN-400V"</formula>
    </cfRule>
  </conditionalFormatting>
  <dataValidations count="2">
    <dataValidation type="list" allowBlank="1" showInputMessage="1" showErrorMessage="1" sqref="B39:B101 B103:B161 B163:B230 B232:B306 B308:B331 B333:B1048576" xr:uid="{021702FA-1A4E-40A7-9287-B95D633D3A11}">
      <formula1>"Schneider elementautomat,Eaton elementautomat,Schneider effektbryter"</formula1>
    </dataValidation>
    <dataValidation type="list" allowBlank="1" showInputMessage="1" showErrorMessage="1" sqref="A39:A101 A103:A161 A163:A230 A232:A306 A308:A331 A333:A1048576" xr:uid="{A709F979-4C93-498B-A143-74B882BF7004}">
      <formula1>"IT-230V,TN-400V"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19CA-D8D0-4258-8802-9528543E15F7}">
  <dimension ref="A1:AU418"/>
  <sheetViews>
    <sheetView workbookViewId="0">
      <selection activeCell="B24" sqref="B24"/>
    </sheetView>
  </sheetViews>
  <sheetFormatPr defaultColWidth="9.140625" defaultRowHeight="15" x14ac:dyDescent="0.25"/>
  <cols>
    <col min="1" max="1" width="8.42578125" bestFit="1" customWidth="1"/>
    <col min="2" max="2" width="21.5703125" bestFit="1" customWidth="1"/>
    <col min="3" max="3" width="11.28515625" bestFit="1" customWidth="1"/>
    <col min="4" max="4" width="10.140625" bestFit="1" customWidth="1"/>
    <col min="5" max="5" width="13.85546875" bestFit="1" customWidth="1"/>
    <col min="6" max="6" width="10" bestFit="1" customWidth="1"/>
    <col min="7" max="7" width="15.85546875" bestFit="1" customWidth="1"/>
    <col min="9" max="9" width="11.28515625" bestFit="1" customWidth="1"/>
    <col min="10" max="10" width="21.5703125" bestFit="1" customWidth="1"/>
    <col min="11" max="11" width="11.28515625" bestFit="1" customWidth="1"/>
    <col min="12" max="12" width="10.140625" bestFit="1" customWidth="1"/>
    <col min="13" max="13" width="13.85546875" bestFit="1" customWidth="1"/>
    <col min="14" max="14" width="10" bestFit="1" customWidth="1"/>
    <col min="15" max="15" width="15.85546875" bestFit="1" customWidth="1"/>
    <col min="16" max="16" width="8.5703125" customWidth="1"/>
    <col min="17" max="17" width="15.85546875" bestFit="1" customWidth="1"/>
    <col min="18" max="18" width="21.5703125" bestFit="1" customWidth="1"/>
    <col min="19" max="19" width="11.28515625" bestFit="1" customWidth="1"/>
    <col min="20" max="20" width="24" bestFit="1" customWidth="1"/>
    <col min="21" max="21" width="13.85546875" bestFit="1" customWidth="1"/>
    <col min="22" max="22" width="10" bestFit="1" customWidth="1"/>
    <col min="23" max="23" width="15.85546875" bestFit="1" customWidth="1"/>
    <col min="24" max="24" width="9.5703125" customWidth="1"/>
    <col min="25" max="25" width="15.85546875" bestFit="1" customWidth="1"/>
    <col min="26" max="26" width="21.5703125" bestFit="1" customWidth="1"/>
    <col min="27" max="27" width="11.28515625" bestFit="1" customWidth="1"/>
    <col min="28" max="28" width="12.42578125" bestFit="1" customWidth="1"/>
    <col min="29" max="29" width="13.85546875" bestFit="1" customWidth="1"/>
    <col min="30" max="30" width="10" bestFit="1" customWidth="1"/>
    <col min="31" max="31" width="15.85546875" bestFit="1" customWidth="1"/>
    <col min="32" max="32" width="10.140625" bestFit="1" customWidth="1"/>
    <col min="33" max="33" width="8.42578125" bestFit="1" customWidth="1"/>
    <col min="34" max="34" width="21.5703125" bestFit="1" customWidth="1"/>
    <col min="35" max="35" width="11.28515625" bestFit="1" customWidth="1"/>
    <col min="36" max="36" width="10.28515625" bestFit="1" customWidth="1"/>
    <col min="37" max="37" width="13.85546875" bestFit="1" customWidth="1"/>
    <col min="38" max="38" width="10" bestFit="1" customWidth="1"/>
    <col min="39" max="39" width="15.85546875" bestFit="1" customWidth="1"/>
    <col min="41" max="41" width="8.42578125" bestFit="1" customWidth="1"/>
    <col min="42" max="42" width="21.5703125" bestFit="1" customWidth="1"/>
    <col min="43" max="43" width="11.28515625" bestFit="1" customWidth="1"/>
    <col min="44" max="44" width="10.28515625" bestFit="1" customWidth="1"/>
    <col min="45" max="45" width="13.85546875" bestFit="1" customWidth="1"/>
    <col min="46" max="46" width="10" bestFit="1" customWidth="1"/>
    <col min="47" max="47" width="15.85546875" bestFit="1" customWidth="1"/>
  </cols>
  <sheetData>
    <row r="1" spans="1:47" x14ac:dyDescent="0.25">
      <c r="A1" s="1012" t="s">
        <v>199</v>
      </c>
      <c r="B1" s="1018"/>
      <c r="C1" s="1012" t="s">
        <v>200</v>
      </c>
      <c r="D1" s="1013"/>
      <c r="E1" s="164"/>
      <c r="F1" s="164" t="s">
        <v>201</v>
      </c>
      <c r="G1" s="165" t="s">
        <v>202</v>
      </c>
      <c r="I1" s="1012" t="s">
        <v>220</v>
      </c>
      <c r="J1" s="1018"/>
      <c r="K1" s="1012" t="s">
        <v>200</v>
      </c>
      <c r="L1" s="1013"/>
      <c r="M1" s="164"/>
      <c r="N1" s="164" t="s">
        <v>201</v>
      </c>
      <c r="O1" s="165" t="s">
        <v>202</v>
      </c>
      <c r="Q1" s="1012" t="s">
        <v>199</v>
      </c>
      <c r="R1" s="1018"/>
      <c r="S1" s="164" t="s">
        <v>200</v>
      </c>
      <c r="T1" s="164" t="s">
        <v>201</v>
      </c>
      <c r="U1" s="164"/>
      <c r="V1" s="164"/>
      <c r="W1" s="165" t="s">
        <v>202</v>
      </c>
      <c r="Y1" s="1012" t="s">
        <v>220</v>
      </c>
      <c r="Z1" s="1018"/>
      <c r="AA1" s="164" t="s">
        <v>200</v>
      </c>
      <c r="AB1" s="164" t="s">
        <v>201</v>
      </c>
      <c r="AC1" s="164"/>
      <c r="AD1" s="164"/>
      <c r="AE1" s="165" t="s">
        <v>202</v>
      </c>
      <c r="AG1" s="1012" t="s">
        <v>199</v>
      </c>
      <c r="AH1" s="1018"/>
      <c r="AI1" s="1012" t="s">
        <v>200</v>
      </c>
      <c r="AJ1" s="1013"/>
      <c r="AK1" s="164"/>
      <c r="AL1" s="164" t="s">
        <v>201</v>
      </c>
      <c r="AM1" s="165" t="s">
        <v>202</v>
      </c>
      <c r="AO1" s="1012" t="s">
        <v>220</v>
      </c>
      <c r="AP1" s="1018"/>
      <c r="AQ1" s="1012" t="s">
        <v>200</v>
      </c>
      <c r="AR1" s="1013"/>
      <c r="AS1" s="164"/>
      <c r="AT1" s="164" t="s">
        <v>201</v>
      </c>
      <c r="AU1" s="165" t="s">
        <v>202</v>
      </c>
    </row>
    <row r="2" spans="1:47" ht="15.75" thickBot="1" x14ac:dyDescent="0.3">
      <c r="A2" s="1016" t="s">
        <v>203</v>
      </c>
      <c r="B2" s="1017"/>
      <c r="C2" s="168"/>
      <c r="D2" s="168"/>
      <c r="E2" s="168"/>
      <c r="F2" s="168" t="s">
        <v>204</v>
      </c>
      <c r="G2" s="169" t="s">
        <v>205</v>
      </c>
      <c r="I2" s="1016" t="s">
        <v>221</v>
      </c>
      <c r="J2" s="1017"/>
      <c r="K2" s="168"/>
      <c r="L2" s="168"/>
      <c r="M2" s="168"/>
      <c r="N2" s="168" t="s">
        <v>204</v>
      </c>
      <c r="O2" s="169" t="s">
        <v>205</v>
      </c>
      <c r="Q2" s="1016" t="s">
        <v>203</v>
      </c>
      <c r="R2" s="1017"/>
      <c r="S2" s="168"/>
      <c r="T2" s="168" t="s">
        <v>204</v>
      </c>
      <c r="U2" s="168"/>
      <c r="V2" s="168"/>
      <c r="W2" s="169" t="s">
        <v>205</v>
      </c>
      <c r="Y2" s="1016" t="s">
        <v>221</v>
      </c>
      <c r="Z2" s="1017"/>
      <c r="AA2" s="168"/>
      <c r="AB2" s="168" t="s">
        <v>204</v>
      </c>
      <c r="AC2" s="168"/>
      <c r="AD2" s="168"/>
      <c r="AE2" s="169" t="s">
        <v>205</v>
      </c>
      <c r="AG2" s="1016" t="s">
        <v>221</v>
      </c>
      <c r="AH2" s="1017"/>
      <c r="AI2" s="168"/>
      <c r="AJ2" s="168"/>
      <c r="AK2" s="168"/>
      <c r="AL2" s="168" t="s">
        <v>223</v>
      </c>
      <c r="AM2" s="169" t="s">
        <v>224</v>
      </c>
      <c r="AO2" s="1016" t="s">
        <v>221</v>
      </c>
      <c r="AP2" s="1017"/>
      <c r="AQ2" s="168"/>
      <c r="AR2" s="168"/>
      <c r="AS2" s="168"/>
      <c r="AT2" s="168" t="s">
        <v>223</v>
      </c>
      <c r="AU2" s="169" t="s">
        <v>224</v>
      </c>
    </row>
    <row r="3" spans="1:47" ht="15.75" thickBot="1" x14ac:dyDescent="0.3">
      <c r="A3" s="1014" t="s">
        <v>219</v>
      </c>
      <c r="B3" s="1015"/>
      <c r="I3" s="1014" t="s">
        <v>219</v>
      </c>
      <c r="J3" s="1015"/>
      <c r="Q3" s="1021" t="s">
        <v>222</v>
      </c>
      <c r="R3" s="1022"/>
      <c r="S3" s="44"/>
      <c r="T3" s="44"/>
      <c r="U3" s="44"/>
      <c r="V3" s="44"/>
      <c r="W3" s="45"/>
      <c r="Y3" s="1021" t="s">
        <v>222</v>
      </c>
      <c r="Z3" s="1022"/>
      <c r="AA3" s="44"/>
      <c r="AB3" s="44"/>
      <c r="AC3" s="44"/>
      <c r="AD3" s="44"/>
      <c r="AE3" s="45"/>
      <c r="AG3" s="1019" t="s">
        <v>225</v>
      </c>
      <c r="AH3" s="1020"/>
      <c r="AI3" s="44"/>
      <c r="AJ3" s="44"/>
      <c r="AK3" s="44"/>
      <c r="AL3" s="44"/>
      <c r="AM3" s="45"/>
      <c r="AO3" s="1019" t="s">
        <v>225</v>
      </c>
      <c r="AP3" s="1020"/>
      <c r="AQ3" s="44"/>
      <c r="AR3" s="44"/>
      <c r="AS3" s="44"/>
      <c r="AT3" s="44"/>
      <c r="AU3" s="45"/>
    </row>
    <row r="4" spans="1:47" x14ac:dyDescent="0.25">
      <c r="A4" s="181" t="s">
        <v>206</v>
      </c>
      <c r="B4" s="181" t="s">
        <v>207</v>
      </c>
      <c r="C4" s="170" t="s">
        <v>208</v>
      </c>
      <c r="D4" s="170" t="s">
        <v>209</v>
      </c>
      <c r="E4" s="170" t="s">
        <v>229</v>
      </c>
      <c r="F4" s="170" t="s">
        <v>230</v>
      </c>
      <c r="G4" s="170" t="s">
        <v>210</v>
      </c>
      <c r="I4" s="181" t="s">
        <v>206</v>
      </c>
      <c r="J4" s="181" t="s">
        <v>207</v>
      </c>
      <c r="K4" s="170" t="s">
        <v>208</v>
      </c>
      <c r="L4" s="170" t="s">
        <v>209</v>
      </c>
      <c r="M4" s="170" t="s">
        <v>229</v>
      </c>
      <c r="N4" s="170" t="s">
        <v>230</v>
      </c>
      <c r="O4" s="170" t="s">
        <v>210</v>
      </c>
      <c r="P4" s="88"/>
      <c r="Q4" s="181" t="s">
        <v>206</v>
      </c>
      <c r="R4" s="181" t="s">
        <v>207</v>
      </c>
      <c r="S4" s="181" t="s">
        <v>208</v>
      </c>
      <c r="T4" s="181" t="s">
        <v>209</v>
      </c>
      <c r="U4" s="170" t="s">
        <v>229</v>
      </c>
      <c r="V4" s="170" t="s">
        <v>230</v>
      </c>
      <c r="W4" s="181" t="s">
        <v>210</v>
      </c>
      <c r="Y4" s="181" t="s">
        <v>206</v>
      </c>
      <c r="Z4" s="181" t="s">
        <v>207</v>
      </c>
      <c r="AA4" s="181" t="s">
        <v>208</v>
      </c>
      <c r="AB4" s="181" t="s">
        <v>209</v>
      </c>
      <c r="AC4" s="170" t="s">
        <v>229</v>
      </c>
      <c r="AD4" s="170" t="s">
        <v>230</v>
      </c>
      <c r="AE4" s="181" t="s">
        <v>210</v>
      </c>
      <c r="AF4" s="88"/>
      <c r="AG4" s="181" t="s">
        <v>206</v>
      </c>
      <c r="AH4" s="181" t="s">
        <v>207</v>
      </c>
      <c r="AI4" s="181" t="s">
        <v>208</v>
      </c>
      <c r="AJ4" s="181" t="s">
        <v>211</v>
      </c>
      <c r="AK4" s="170" t="s">
        <v>229</v>
      </c>
      <c r="AL4" s="170" t="s">
        <v>230</v>
      </c>
      <c r="AM4" s="181" t="s">
        <v>210</v>
      </c>
      <c r="AO4" s="181" t="s">
        <v>206</v>
      </c>
      <c r="AP4" s="181" t="s">
        <v>207</v>
      </c>
      <c r="AQ4" s="181" t="s">
        <v>208</v>
      </c>
      <c r="AR4" s="181" t="s">
        <v>211</v>
      </c>
      <c r="AS4" s="170" t="s">
        <v>229</v>
      </c>
      <c r="AT4" s="170" t="s">
        <v>230</v>
      </c>
      <c r="AU4" s="181" t="s">
        <v>210</v>
      </c>
    </row>
    <row r="5" spans="1:47" x14ac:dyDescent="0.25">
      <c r="A5" s="83">
        <v>25</v>
      </c>
      <c r="B5" s="83">
        <v>9.9</v>
      </c>
      <c r="C5" s="83">
        <v>0.25</v>
      </c>
      <c r="D5" s="83" t="s">
        <v>212</v>
      </c>
      <c r="E5" s="83">
        <v>6</v>
      </c>
      <c r="F5" s="83" t="str">
        <f t="shared" ref="F5:F36" si="0">MID(D5,6,3)</f>
        <v>Cu</v>
      </c>
      <c r="G5" s="83">
        <v>15</v>
      </c>
      <c r="I5" s="83">
        <v>25</v>
      </c>
      <c r="J5" s="83">
        <v>9.9</v>
      </c>
      <c r="K5" s="83">
        <v>0.25</v>
      </c>
      <c r="L5" s="83" t="s">
        <v>212</v>
      </c>
      <c r="M5" s="83">
        <v>6</v>
      </c>
      <c r="N5" s="83" t="str">
        <f t="shared" ref="N5:N36" si="1">MID(L5,6,3)</f>
        <v>Cu</v>
      </c>
      <c r="O5" s="83">
        <v>52</v>
      </c>
      <c r="Q5" s="83">
        <v>25</v>
      </c>
      <c r="R5" s="83">
        <v>9.9</v>
      </c>
      <c r="S5" s="83">
        <v>0.25</v>
      </c>
      <c r="T5" s="83" t="s">
        <v>212</v>
      </c>
      <c r="U5" s="83">
        <v>6</v>
      </c>
      <c r="V5" s="83" t="str">
        <f t="shared" ref="V5:V36" si="2">MID(T5,6,3)</f>
        <v>Cu</v>
      </c>
      <c r="W5" s="175">
        <v>58</v>
      </c>
      <c r="Y5" s="83">
        <v>25</v>
      </c>
      <c r="Z5" s="83">
        <v>9.9</v>
      </c>
      <c r="AA5" s="83">
        <v>0.25</v>
      </c>
      <c r="AB5" s="83" t="s">
        <v>212</v>
      </c>
      <c r="AC5" s="83">
        <v>6</v>
      </c>
      <c r="AD5" s="83" t="str">
        <f t="shared" ref="AD5:AD36" si="3">MID(AB5,6,3)</f>
        <v>Cu</v>
      </c>
      <c r="AE5" s="83">
        <v>108</v>
      </c>
      <c r="AG5" s="83">
        <v>25</v>
      </c>
      <c r="AH5" s="83">
        <v>19.899999999999999</v>
      </c>
      <c r="AI5" s="83">
        <v>10</v>
      </c>
      <c r="AJ5" s="83" t="s">
        <v>212</v>
      </c>
      <c r="AK5" s="83">
        <v>6</v>
      </c>
      <c r="AL5" s="83" t="str">
        <f t="shared" ref="AL5:AL28" si="4">MID(AJ5,6,3)</f>
        <v>Cu</v>
      </c>
      <c r="AM5" s="83">
        <v>63</v>
      </c>
      <c r="AO5" s="83">
        <v>25</v>
      </c>
      <c r="AP5" s="83">
        <v>19.899999999999999</v>
      </c>
      <c r="AQ5" s="83">
        <v>10</v>
      </c>
      <c r="AR5" s="83" t="s">
        <v>212</v>
      </c>
      <c r="AS5" s="83">
        <v>6</v>
      </c>
      <c r="AT5" s="83" t="str">
        <f t="shared" ref="AT5:AT28" si="5">MID(AR5,6,3)</f>
        <v>Cu</v>
      </c>
      <c r="AU5" s="83">
        <v>109</v>
      </c>
    </row>
    <row r="6" spans="1:47" x14ac:dyDescent="0.25">
      <c r="A6" s="83">
        <v>25</v>
      </c>
      <c r="B6" s="83">
        <v>9.9</v>
      </c>
      <c r="C6" s="83">
        <v>0.25</v>
      </c>
      <c r="D6" s="83" t="s">
        <v>214</v>
      </c>
      <c r="E6" s="83">
        <v>10</v>
      </c>
      <c r="F6" s="83" t="str">
        <f t="shared" si="0"/>
        <v xml:space="preserve"> Cu</v>
      </c>
      <c r="G6" s="83">
        <v>25</v>
      </c>
      <c r="I6" s="83">
        <v>25</v>
      </c>
      <c r="J6" s="83">
        <v>9.9</v>
      </c>
      <c r="K6" s="83">
        <v>0.25</v>
      </c>
      <c r="L6" s="83" t="s">
        <v>214</v>
      </c>
      <c r="M6" s="83">
        <v>10</v>
      </c>
      <c r="N6" s="83" t="str">
        <f t="shared" si="1"/>
        <v xml:space="preserve"> Cu</v>
      </c>
      <c r="O6" s="83">
        <v>86</v>
      </c>
      <c r="Q6" s="83">
        <v>25</v>
      </c>
      <c r="R6" s="83">
        <v>9.9</v>
      </c>
      <c r="S6" s="83">
        <v>0.25</v>
      </c>
      <c r="T6" s="83" t="s">
        <v>214</v>
      </c>
      <c r="U6" s="83">
        <v>10</v>
      </c>
      <c r="V6" s="83" t="str">
        <f t="shared" si="2"/>
        <v xml:space="preserve"> Cu</v>
      </c>
      <c r="W6" s="175">
        <v>98</v>
      </c>
      <c r="Y6" s="83">
        <v>25</v>
      </c>
      <c r="Z6" s="83">
        <v>9.9</v>
      </c>
      <c r="AA6" s="83">
        <v>0.25</v>
      </c>
      <c r="AB6" s="83" t="s">
        <v>214</v>
      </c>
      <c r="AC6" s="83">
        <v>10</v>
      </c>
      <c r="AD6" s="83" t="str">
        <f t="shared" si="3"/>
        <v xml:space="preserve"> Cu</v>
      </c>
      <c r="AE6" s="83">
        <v>170</v>
      </c>
      <c r="AG6" s="83">
        <v>25</v>
      </c>
      <c r="AH6" s="83">
        <v>19.899999999999999</v>
      </c>
      <c r="AI6" s="83">
        <v>10</v>
      </c>
      <c r="AJ6" s="83" t="s">
        <v>214</v>
      </c>
      <c r="AK6" s="83">
        <v>10</v>
      </c>
      <c r="AL6" s="83" t="str">
        <f t="shared" si="4"/>
        <v xml:space="preserve"> Cu</v>
      </c>
      <c r="AM6" s="83">
        <v>105</v>
      </c>
      <c r="AO6" s="83">
        <v>25</v>
      </c>
      <c r="AP6" s="83">
        <v>19.899999999999999</v>
      </c>
      <c r="AQ6" s="83">
        <v>10</v>
      </c>
      <c r="AR6" s="83" t="s">
        <v>214</v>
      </c>
      <c r="AS6" s="83">
        <v>10</v>
      </c>
      <c r="AT6" s="83" t="str">
        <f t="shared" si="5"/>
        <v xml:space="preserve"> Cu</v>
      </c>
      <c r="AU6" s="83">
        <v>181</v>
      </c>
    </row>
    <row r="7" spans="1:47" x14ac:dyDescent="0.25">
      <c r="A7" s="83">
        <v>25</v>
      </c>
      <c r="B7" s="83">
        <v>9.9</v>
      </c>
      <c r="C7" s="83">
        <v>0.25</v>
      </c>
      <c r="D7" s="83" t="s">
        <v>215</v>
      </c>
      <c r="E7" s="83">
        <v>25</v>
      </c>
      <c r="F7" s="83" t="str">
        <f t="shared" si="0"/>
        <v xml:space="preserve"> Al</v>
      </c>
      <c r="G7" s="83">
        <v>38</v>
      </c>
      <c r="I7" s="83">
        <v>25</v>
      </c>
      <c r="J7" s="83">
        <v>9.9</v>
      </c>
      <c r="K7" s="83">
        <v>0.25</v>
      </c>
      <c r="L7" s="83" t="s">
        <v>215</v>
      </c>
      <c r="M7" s="83">
        <v>25</v>
      </c>
      <c r="N7" s="83" t="str">
        <f t="shared" si="1"/>
        <v xml:space="preserve"> Al</v>
      </c>
      <c r="O7" s="83">
        <v>132</v>
      </c>
      <c r="Q7" s="83">
        <v>25</v>
      </c>
      <c r="R7" s="83">
        <v>9.9</v>
      </c>
      <c r="S7" s="83">
        <v>0.25</v>
      </c>
      <c r="T7" s="83" t="s">
        <v>215</v>
      </c>
      <c r="U7" s="83">
        <v>25</v>
      </c>
      <c r="V7" s="83" t="str">
        <f t="shared" si="2"/>
        <v xml:space="preserve"> Al</v>
      </c>
      <c r="W7" s="175">
        <v>145</v>
      </c>
      <c r="Y7" s="83">
        <v>25</v>
      </c>
      <c r="Z7" s="83">
        <v>9.9</v>
      </c>
      <c r="AA7" s="83">
        <v>0.25</v>
      </c>
      <c r="AB7" s="83" t="s">
        <v>215</v>
      </c>
      <c r="AC7" s="83">
        <v>25</v>
      </c>
      <c r="AD7" s="83" t="str">
        <f t="shared" si="3"/>
        <v xml:space="preserve"> Al</v>
      </c>
      <c r="AE7" s="176">
        <v>270</v>
      </c>
      <c r="AG7" s="83">
        <v>25</v>
      </c>
      <c r="AH7" s="83">
        <v>19.899999999999999</v>
      </c>
      <c r="AI7" s="83">
        <v>10</v>
      </c>
      <c r="AJ7" s="83" t="s">
        <v>215</v>
      </c>
      <c r="AK7" s="83">
        <v>25</v>
      </c>
      <c r="AL7" s="83" t="str">
        <f t="shared" si="4"/>
        <v xml:space="preserve"> Al</v>
      </c>
      <c r="AM7" s="83">
        <v>158</v>
      </c>
      <c r="AO7" s="83">
        <v>25</v>
      </c>
      <c r="AP7" s="83">
        <v>19.899999999999999</v>
      </c>
      <c r="AQ7" s="83">
        <v>10</v>
      </c>
      <c r="AR7" s="83" t="s">
        <v>215</v>
      </c>
      <c r="AS7" s="83">
        <v>25</v>
      </c>
      <c r="AT7" s="83" t="str">
        <f t="shared" si="5"/>
        <v xml:space="preserve"> Al</v>
      </c>
      <c r="AU7" s="175">
        <v>271</v>
      </c>
    </row>
    <row r="8" spans="1:47" x14ac:dyDescent="0.25">
      <c r="A8" s="83">
        <v>25</v>
      </c>
      <c r="B8" s="83">
        <v>9.9</v>
      </c>
      <c r="C8" s="83">
        <v>0.25</v>
      </c>
      <c r="D8" s="83" t="s">
        <v>216</v>
      </c>
      <c r="E8" s="83">
        <v>50</v>
      </c>
      <c r="F8" s="83" t="str">
        <f t="shared" si="0"/>
        <v xml:space="preserve"> Al</v>
      </c>
      <c r="G8" s="83">
        <v>69</v>
      </c>
      <c r="I8" s="83">
        <v>25</v>
      </c>
      <c r="J8" s="83">
        <v>9.9</v>
      </c>
      <c r="K8" s="83">
        <v>0.25</v>
      </c>
      <c r="L8" s="83" t="s">
        <v>216</v>
      </c>
      <c r="M8" s="83">
        <v>50</v>
      </c>
      <c r="N8" s="83" t="str">
        <f t="shared" si="1"/>
        <v xml:space="preserve"> Al</v>
      </c>
      <c r="O8" s="83">
        <v>241</v>
      </c>
      <c r="Q8" s="83">
        <v>25</v>
      </c>
      <c r="R8" s="83">
        <v>9.9</v>
      </c>
      <c r="S8" s="83">
        <v>0.25</v>
      </c>
      <c r="T8" s="83" t="s">
        <v>216</v>
      </c>
      <c r="U8" s="83">
        <v>50</v>
      </c>
      <c r="V8" s="83" t="str">
        <f t="shared" si="2"/>
        <v xml:space="preserve"> Al</v>
      </c>
      <c r="W8" s="175">
        <v>260</v>
      </c>
      <c r="Y8" s="83">
        <v>25</v>
      </c>
      <c r="Z8" s="83">
        <v>9.9</v>
      </c>
      <c r="AA8" s="83">
        <v>0.25</v>
      </c>
      <c r="AB8" s="83" t="s">
        <v>216</v>
      </c>
      <c r="AC8" s="83">
        <v>50</v>
      </c>
      <c r="AD8" s="83" t="str">
        <f t="shared" si="3"/>
        <v xml:space="preserve"> Al</v>
      </c>
      <c r="AE8" s="83">
        <v>475</v>
      </c>
      <c r="AG8" s="83">
        <v>25</v>
      </c>
      <c r="AH8" s="83">
        <v>19.899999999999999</v>
      </c>
      <c r="AI8" s="83">
        <v>10</v>
      </c>
      <c r="AJ8" s="83" t="s">
        <v>216</v>
      </c>
      <c r="AK8" s="83">
        <v>50</v>
      </c>
      <c r="AL8" s="83" t="str">
        <f t="shared" si="4"/>
        <v xml:space="preserve"> Al</v>
      </c>
      <c r="AM8" s="83">
        <v>289</v>
      </c>
      <c r="AO8" s="83">
        <v>25</v>
      </c>
      <c r="AP8" s="83">
        <v>19.899999999999999</v>
      </c>
      <c r="AQ8" s="83">
        <v>10</v>
      </c>
      <c r="AR8" s="83" t="s">
        <v>216</v>
      </c>
      <c r="AS8" s="83">
        <v>50</v>
      </c>
      <c r="AT8" s="83" t="str">
        <f t="shared" si="5"/>
        <v xml:space="preserve"> Al</v>
      </c>
      <c r="AU8" s="83">
        <v>490</v>
      </c>
    </row>
    <row r="9" spans="1:47" x14ac:dyDescent="0.25">
      <c r="A9" s="83">
        <v>25</v>
      </c>
      <c r="B9" s="83">
        <v>9.9</v>
      </c>
      <c r="C9" s="83">
        <v>0.5</v>
      </c>
      <c r="D9" s="83" t="s">
        <v>212</v>
      </c>
      <c r="E9" s="83">
        <v>6</v>
      </c>
      <c r="F9" s="83" t="str">
        <f t="shared" si="0"/>
        <v>Cu</v>
      </c>
      <c r="G9" s="83">
        <v>43</v>
      </c>
      <c r="I9" s="83">
        <v>25</v>
      </c>
      <c r="J9" s="83">
        <v>9.9</v>
      </c>
      <c r="K9" s="83">
        <v>0.5</v>
      </c>
      <c r="L9" s="83" t="s">
        <v>212</v>
      </c>
      <c r="M9" s="83">
        <v>6</v>
      </c>
      <c r="N9" s="83" t="str">
        <f t="shared" si="1"/>
        <v>Cu</v>
      </c>
      <c r="O9" s="83">
        <v>75</v>
      </c>
      <c r="Q9" s="83">
        <v>32</v>
      </c>
      <c r="R9" s="83">
        <v>9.9</v>
      </c>
      <c r="S9" s="83">
        <v>0.25</v>
      </c>
      <c r="T9" s="83" t="s">
        <v>214</v>
      </c>
      <c r="U9" s="83">
        <v>10</v>
      </c>
      <c r="V9" s="83" t="str">
        <f t="shared" si="2"/>
        <v xml:space="preserve"> Cu</v>
      </c>
      <c r="W9" s="175">
        <v>55</v>
      </c>
      <c r="Y9" s="83">
        <v>32</v>
      </c>
      <c r="Z9" s="83">
        <v>9.9</v>
      </c>
      <c r="AA9" s="180">
        <v>0.25</v>
      </c>
      <c r="AB9" s="83" t="s">
        <v>214</v>
      </c>
      <c r="AC9" s="83">
        <v>10</v>
      </c>
      <c r="AD9" s="83" t="str">
        <f t="shared" si="3"/>
        <v xml:space="preserve"> Cu</v>
      </c>
      <c r="AE9" s="83">
        <v>142</v>
      </c>
      <c r="AG9" s="83">
        <v>32</v>
      </c>
      <c r="AH9" s="83">
        <v>19.899999999999999</v>
      </c>
      <c r="AI9" s="83">
        <v>10</v>
      </c>
      <c r="AJ9" s="83" t="s">
        <v>214</v>
      </c>
      <c r="AK9" s="83">
        <v>10</v>
      </c>
      <c r="AL9" s="83" t="str">
        <f t="shared" si="4"/>
        <v xml:space="preserve"> Cu</v>
      </c>
      <c r="AM9" s="83">
        <v>82</v>
      </c>
      <c r="AO9" s="83">
        <v>32</v>
      </c>
      <c r="AP9" s="83">
        <v>19.899999999999999</v>
      </c>
      <c r="AQ9" s="83">
        <v>10</v>
      </c>
      <c r="AR9" s="83" t="s">
        <v>214</v>
      </c>
      <c r="AS9" s="83">
        <v>10</v>
      </c>
      <c r="AT9" s="83" t="str">
        <f t="shared" si="5"/>
        <v xml:space="preserve"> Cu</v>
      </c>
      <c r="AU9" s="175">
        <v>140</v>
      </c>
    </row>
    <row r="10" spans="1:47" x14ac:dyDescent="0.25">
      <c r="A10" s="83">
        <v>25</v>
      </c>
      <c r="B10" s="83">
        <v>9.9</v>
      </c>
      <c r="C10" s="83">
        <v>0.5</v>
      </c>
      <c r="D10" s="83" t="s">
        <v>214</v>
      </c>
      <c r="E10" s="83">
        <v>10</v>
      </c>
      <c r="F10" s="83" t="str">
        <f t="shared" si="0"/>
        <v xml:space="preserve"> Cu</v>
      </c>
      <c r="G10" s="83">
        <v>73</v>
      </c>
      <c r="I10" s="83">
        <v>25</v>
      </c>
      <c r="J10" s="83">
        <v>9.9</v>
      </c>
      <c r="K10" s="83">
        <v>0.5</v>
      </c>
      <c r="L10" s="83" t="s">
        <v>214</v>
      </c>
      <c r="M10" s="83">
        <v>10</v>
      </c>
      <c r="N10" s="83" t="str">
        <f t="shared" si="1"/>
        <v xml:space="preserve"> Cu</v>
      </c>
      <c r="O10" s="83">
        <v>127</v>
      </c>
      <c r="Q10" s="83">
        <v>32</v>
      </c>
      <c r="R10" s="83">
        <v>9.9</v>
      </c>
      <c r="S10" s="83">
        <v>0.25</v>
      </c>
      <c r="T10" s="83" t="s">
        <v>215</v>
      </c>
      <c r="U10" s="83">
        <v>25</v>
      </c>
      <c r="V10" s="83" t="str">
        <f t="shared" si="2"/>
        <v xml:space="preserve"> Al</v>
      </c>
      <c r="W10" s="175">
        <v>82</v>
      </c>
      <c r="Y10" s="83">
        <v>32</v>
      </c>
      <c r="Z10" s="83">
        <v>9.9</v>
      </c>
      <c r="AA10" s="180">
        <v>0.25</v>
      </c>
      <c r="AB10" s="83" t="s">
        <v>215</v>
      </c>
      <c r="AC10" s="83">
        <v>25</v>
      </c>
      <c r="AD10" s="83" t="str">
        <f t="shared" si="3"/>
        <v xml:space="preserve"> Al</v>
      </c>
      <c r="AE10" s="83">
        <v>210</v>
      </c>
      <c r="AG10" s="83">
        <v>32</v>
      </c>
      <c r="AH10" s="83">
        <v>19.899999999999999</v>
      </c>
      <c r="AI10" s="83">
        <v>10</v>
      </c>
      <c r="AJ10" s="83" t="s">
        <v>215</v>
      </c>
      <c r="AK10" s="83">
        <v>25</v>
      </c>
      <c r="AL10" s="83" t="str">
        <f t="shared" si="4"/>
        <v xml:space="preserve"> Al</v>
      </c>
      <c r="AM10" s="83">
        <v>124</v>
      </c>
      <c r="AO10" s="83">
        <v>32</v>
      </c>
      <c r="AP10" s="83">
        <v>19.899999999999999</v>
      </c>
      <c r="AQ10" s="83">
        <v>10</v>
      </c>
      <c r="AR10" s="83" t="s">
        <v>215</v>
      </c>
      <c r="AS10" s="83">
        <v>25</v>
      </c>
      <c r="AT10" s="83" t="str">
        <f t="shared" si="5"/>
        <v xml:space="preserve"> Al</v>
      </c>
      <c r="AU10" s="83">
        <v>214</v>
      </c>
    </row>
    <row r="11" spans="1:47" x14ac:dyDescent="0.25">
      <c r="A11" s="83">
        <v>25</v>
      </c>
      <c r="B11" s="83">
        <v>9.9</v>
      </c>
      <c r="C11" s="83">
        <v>0.5</v>
      </c>
      <c r="D11" s="83" t="s">
        <v>215</v>
      </c>
      <c r="E11" s="83">
        <v>25</v>
      </c>
      <c r="F11" s="83" t="str">
        <f t="shared" si="0"/>
        <v xml:space="preserve"> Al</v>
      </c>
      <c r="G11" s="83">
        <v>110</v>
      </c>
      <c r="I11" s="83">
        <v>25</v>
      </c>
      <c r="J11" s="83">
        <v>9.9</v>
      </c>
      <c r="K11" s="83">
        <v>0.5</v>
      </c>
      <c r="L11" s="83" t="s">
        <v>215</v>
      </c>
      <c r="M11" s="83">
        <v>25</v>
      </c>
      <c r="N11" s="83" t="str">
        <f t="shared" si="1"/>
        <v xml:space="preserve"> Al</v>
      </c>
      <c r="O11" s="83">
        <v>199</v>
      </c>
      <c r="Q11" s="83">
        <v>32</v>
      </c>
      <c r="R11" s="83">
        <v>9.9</v>
      </c>
      <c r="S11" s="83">
        <v>0.25</v>
      </c>
      <c r="T11" s="83" t="s">
        <v>216</v>
      </c>
      <c r="U11" s="83">
        <v>50</v>
      </c>
      <c r="V11" s="83" t="str">
        <f t="shared" si="2"/>
        <v xml:space="preserve"> Al</v>
      </c>
      <c r="W11" s="175">
        <v>150</v>
      </c>
      <c r="Y11" s="83">
        <v>32</v>
      </c>
      <c r="Z11" s="83">
        <v>9.9</v>
      </c>
      <c r="AA11" s="180">
        <v>0.25</v>
      </c>
      <c r="AB11" s="83" t="s">
        <v>216</v>
      </c>
      <c r="AC11" s="83">
        <v>50</v>
      </c>
      <c r="AD11" s="83" t="str">
        <f t="shared" si="3"/>
        <v xml:space="preserve"> Al</v>
      </c>
      <c r="AE11" s="83">
        <v>380</v>
      </c>
      <c r="AG11" s="83">
        <v>32</v>
      </c>
      <c r="AH11" s="83">
        <v>19.899999999999999</v>
      </c>
      <c r="AI11" s="83">
        <v>10</v>
      </c>
      <c r="AJ11" s="83" t="s">
        <v>216</v>
      </c>
      <c r="AK11" s="83">
        <v>50</v>
      </c>
      <c r="AL11" s="83" t="str">
        <f t="shared" si="4"/>
        <v xml:space="preserve"> Al</v>
      </c>
      <c r="AM11" s="83">
        <v>226</v>
      </c>
      <c r="AO11" s="83">
        <v>32</v>
      </c>
      <c r="AP11" s="83">
        <v>19.899999999999999</v>
      </c>
      <c r="AQ11" s="83">
        <v>10</v>
      </c>
      <c r="AR11" s="83" t="s">
        <v>216</v>
      </c>
      <c r="AS11" s="83">
        <v>50</v>
      </c>
      <c r="AT11" s="83" t="str">
        <f t="shared" si="5"/>
        <v xml:space="preserve"> Al</v>
      </c>
      <c r="AU11" s="83">
        <v>390</v>
      </c>
    </row>
    <row r="12" spans="1:47" x14ac:dyDescent="0.25">
      <c r="A12" s="83">
        <v>25</v>
      </c>
      <c r="B12" s="83">
        <v>9.9</v>
      </c>
      <c r="C12" s="83">
        <v>0.5</v>
      </c>
      <c r="D12" s="83" t="s">
        <v>216</v>
      </c>
      <c r="E12" s="83">
        <v>50</v>
      </c>
      <c r="F12" s="83" t="str">
        <f t="shared" si="0"/>
        <v xml:space="preserve"> Al</v>
      </c>
      <c r="G12" s="83">
        <v>204</v>
      </c>
      <c r="I12" s="83">
        <v>25</v>
      </c>
      <c r="J12" s="83">
        <v>9.9</v>
      </c>
      <c r="K12" s="83">
        <v>0.5</v>
      </c>
      <c r="L12" s="83" t="s">
        <v>216</v>
      </c>
      <c r="M12" s="83">
        <v>50</v>
      </c>
      <c r="N12" s="83" t="str">
        <f t="shared" si="1"/>
        <v xml:space="preserve"> Al</v>
      </c>
      <c r="O12" s="83">
        <v>368</v>
      </c>
      <c r="Q12" s="83">
        <v>40</v>
      </c>
      <c r="R12" s="83">
        <v>9.9</v>
      </c>
      <c r="S12" s="83">
        <v>0.25</v>
      </c>
      <c r="T12" s="83" t="s">
        <v>217</v>
      </c>
      <c r="U12" s="83">
        <v>16</v>
      </c>
      <c r="V12" s="83" t="str">
        <f t="shared" si="2"/>
        <v xml:space="preserve"> Cu</v>
      </c>
      <c r="W12" s="175">
        <v>37</v>
      </c>
      <c r="Y12" s="83">
        <v>40</v>
      </c>
      <c r="Z12" s="83">
        <v>9.9</v>
      </c>
      <c r="AA12" s="180">
        <v>0.25</v>
      </c>
      <c r="AB12" s="83" t="s">
        <v>217</v>
      </c>
      <c r="AC12" s="83">
        <v>16</v>
      </c>
      <c r="AD12" s="83" t="str">
        <f t="shared" si="3"/>
        <v xml:space="preserve"> Cu</v>
      </c>
      <c r="AE12" s="83">
        <v>135</v>
      </c>
      <c r="AG12" s="83">
        <v>40</v>
      </c>
      <c r="AH12" s="83">
        <v>19.899999999999999</v>
      </c>
      <c r="AI12" s="83">
        <v>10</v>
      </c>
      <c r="AJ12" s="83" t="s">
        <v>226</v>
      </c>
      <c r="AK12" s="83">
        <v>25</v>
      </c>
      <c r="AL12" s="83" t="str">
        <f t="shared" si="4"/>
        <v xml:space="preserve"> Cu</v>
      </c>
      <c r="AM12" s="83">
        <v>160</v>
      </c>
      <c r="AO12" s="83">
        <v>40</v>
      </c>
      <c r="AP12" s="83">
        <v>19.899999999999999</v>
      </c>
      <c r="AQ12" s="83">
        <v>10</v>
      </c>
      <c r="AR12" s="83" t="s">
        <v>226</v>
      </c>
      <c r="AS12" s="83">
        <v>25</v>
      </c>
      <c r="AT12" s="83" t="str">
        <f t="shared" si="5"/>
        <v xml:space="preserve"> Cu</v>
      </c>
      <c r="AU12" s="83">
        <v>179</v>
      </c>
    </row>
    <row r="13" spans="1:47" x14ac:dyDescent="0.25">
      <c r="A13" s="83">
        <v>32</v>
      </c>
      <c r="B13" s="83">
        <v>9.9</v>
      </c>
      <c r="C13" s="83">
        <v>0.5</v>
      </c>
      <c r="D13" s="83" t="s">
        <v>214</v>
      </c>
      <c r="E13" s="83">
        <v>10</v>
      </c>
      <c r="F13" s="83" t="str">
        <f t="shared" si="0"/>
        <v xml:space="preserve"> Cu</v>
      </c>
      <c r="G13" s="83">
        <v>44</v>
      </c>
      <c r="I13" s="83">
        <v>32</v>
      </c>
      <c r="J13" s="83">
        <v>9.9</v>
      </c>
      <c r="K13" s="83">
        <v>0.5</v>
      </c>
      <c r="L13" s="83" t="s">
        <v>214</v>
      </c>
      <c r="M13" s="83">
        <v>10</v>
      </c>
      <c r="N13" s="83" t="str">
        <f t="shared" si="1"/>
        <v xml:space="preserve"> Cu</v>
      </c>
      <c r="O13" s="83">
        <v>73</v>
      </c>
      <c r="Q13" s="83">
        <v>40</v>
      </c>
      <c r="R13" s="83">
        <v>9.9</v>
      </c>
      <c r="S13" s="83">
        <v>0.25</v>
      </c>
      <c r="T13" s="83" t="s">
        <v>215</v>
      </c>
      <c r="U13" s="83">
        <v>25</v>
      </c>
      <c r="V13" s="83" t="str">
        <f t="shared" si="2"/>
        <v xml:space="preserve"> Al</v>
      </c>
      <c r="W13" s="175">
        <v>37</v>
      </c>
      <c r="Y13" s="83">
        <v>40</v>
      </c>
      <c r="Z13" s="83">
        <v>9.9</v>
      </c>
      <c r="AA13" s="180">
        <v>0.25</v>
      </c>
      <c r="AB13" s="83" t="s">
        <v>215</v>
      </c>
      <c r="AC13" s="83">
        <v>25</v>
      </c>
      <c r="AD13" s="83" t="str">
        <f t="shared" si="3"/>
        <v xml:space="preserve"> Al</v>
      </c>
      <c r="AE13" s="83">
        <v>125</v>
      </c>
      <c r="AG13" s="83">
        <v>40</v>
      </c>
      <c r="AH13" s="83">
        <v>19.899999999999999</v>
      </c>
      <c r="AI13" s="83">
        <v>10</v>
      </c>
      <c r="AJ13" s="83" t="s">
        <v>215</v>
      </c>
      <c r="AK13" s="83">
        <v>25</v>
      </c>
      <c r="AL13" s="83" t="str">
        <f t="shared" si="4"/>
        <v xml:space="preserve"> Al</v>
      </c>
      <c r="AM13" s="83">
        <v>99</v>
      </c>
      <c r="AO13" s="83">
        <v>40</v>
      </c>
      <c r="AP13" s="83">
        <v>19.899999999999999</v>
      </c>
      <c r="AQ13" s="83">
        <v>10</v>
      </c>
      <c r="AR13" s="83" t="s">
        <v>215</v>
      </c>
      <c r="AS13" s="83">
        <v>25</v>
      </c>
      <c r="AT13" s="83" t="str">
        <f t="shared" si="5"/>
        <v xml:space="preserve"> Al</v>
      </c>
      <c r="AU13" s="83">
        <v>170</v>
      </c>
    </row>
    <row r="14" spans="1:47" x14ac:dyDescent="0.25">
      <c r="A14" s="83">
        <v>32</v>
      </c>
      <c r="B14" s="83">
        <v>9.9</v>
      </c>
      <c r="C14" s="83">
        <v>0.5</v>
      </c>
      <c r="D14" s="83" t="s">
        <v>215</v>
      </c>
      <c r="E14" s="83">
        <v>25</v>
      </c>
      <c r="F14" s="83" t="str">
        <f t="shared" si="0"/>
        <v xml:space="preserve"> Al</v>
      </c>
      <c r="G14" s="83">
        <v>66</v>
      </c>
      <c r="I14" s="83">
        <v>32</v>
      </c>
      <c r="J14" s="83">
        <v>9.9</v>
      </c>
      <c r="K14" s="83">
        <v>0.5</v>
      </c>
      <c r="L14" s="83" t="s">
        <v>215</v>
      </c>
      <c r="M14" s="83">
        <v>25</v>
      </c>
      <c r="N14" s="83" t="str">
        <f t="shared" si="1"/>
        <v xml:space="preserve"> Al</v>
      </c>
      <c r="O14" s="83">
        <v>111</v>
      </c>
      <c r="Q14" s="83">
        <v>40</v>
      </c>
      <c r="R14" s="83">
        <v>9.9</v>
      </c>
      <c r="S14" s="83">
        <v>0.25</v>
      </c>
      <c r="T14" s="83" t="s">
        <v>216</v>
      </c>
      <c r="U14" s="83">
        <v>50</v>
      </c>
      <c r="V14" s="83" t="str">
        <f t="shared" si="2"/>
        <v xml:space="preserve"> Al</v>
      </c>
      <c r="W14" s="175">
        <v>68</v>
      </c>
      <c r="Y14" s="83">
        <v>40</v>
      </c>
      <c r="Z14" s="83">
        <v>9.9</v>
      </c>
      <c r="AA14" s="180">
        <v>0.25</v>
      </c>
      <c r="AB14" s="83" t="s">
        <v>216</v>
      </c>
      <c r="AC14" s="83">
        <v>50</v>
      </c>
      <c r="AD14" s="83" t="str">
        <f t="shared" si="3"/>
        <v xml:space="preserve"> Al</v>
      </c>
      <c r="AE14" s="83">
        <v>240</v>
      </c>
      <c r="AG14" s="83">
        <v>40</v>
      </c>
      <c r="AH14" s="83">
        <v>19.899999999999999</v>
      </c>
      <c r="AI14" s="83">
        <v>10</v>
      </c>
      <c r="AJ14" s="83" t="s">
        <v>216</v>
      </c>
      <c r="AK14" s="83">
        <v>50</v>
      </c>
      <c r="AL14" s="83" t="str">
        <f t="shared" si="4"/>
        <v xml:space="preserve"> Al</v>
      </c>
      <c r="AM14" s="83">
        <v>180</v>
      </c>
      <c r="AO14" s="83">
        <v>40</v>
      </c>
      <c r="AP14" s="83">
        <v>19.899999999999999</v>
      </c>
      <c r="AQ14" s="83">
        <v>10</v>
      </c>
      <c r="AR14" s="83" t="s">
        <v>216</v>
      </c>
      <c r="AS14" s="83">
        <v>50</v>
      </c>
      <c r="AT14" s="83" t="str">
        <f t="shared" si="5"/>
        <v xml:space="preserve"> Al</v>
      </c>
      <c r="AU14" s="83">
        <v>310</v>
      </c>
    </row>
    <row r="15" spans="1:47" x14ac:dyDescent="0.25">
      <c r="A15" s="83">
        <v>32</v>
      </c>
      <c r="B15" s="83">
        <v>9.9</v>
      </c>
      <c r="C15" s="83">
        <v>0.5</v>
      </c>
      <c r="D15" s="83" t="s">
        <v>216</v>
      </c>
      <c r="E15" s="83">
        <v>50</v>
      </c>
      <c r="F15" s="83" t="str">
        <f t="shared" si="0"/>
        <v xml:space="preserve"> Al</v>
      </c>
      <c r="G15" s="83">
        <v>123</v>
      </c>
      <c r="I15" s="83">
        <v>32</v>
      </c>
      <c r="J15" s="83">
        <v>9.9</v>
      </c>
      <c r="K15" s="83">
        <v>0.5</v>
      </c>
      <c r="L15" s="83" t="s">
        <v>216</v>
      </c>
      <c r="M15" s="83">
        <v>50</v>
      </c>
      <c r="N15" s="83" t="str">
        <f t="shared" si="1"/>
        <v xml:space="preserve"> Al</v>
      </c>
      <c r="O15" s="83">
        <v>205</v>
      </c>
      <c r="Q15" s="83">
        <v>25</v>
      </c>
      <c r="R15" s="83">
        <v>9.9</v>
      </c>
      <c r="S15" s="83">
        <v>0.5</v>
      </c>
      <c r="T15" s="83" t="s">
        <v>212</v>
      </c>
      <c r="U15" s="83">
        <v>6</v>
      </c>
      <c r="V15" s="83" t="str">
        <f t="shared" si="2"/>
        <v>Cu</v>
      </c>
      <c r="W15" s="175">
        <v>62</v>
      </c>
      <c r="Y15" s="83">
        <v>25</v>
      </c>
      <c r="Z15" s="83">
        <v>9.9</v>
      </c>
      <c r="AA15" s="83">
        <v>0.5</v>
      </c>
      <c r="AB15" s="83" t="s">
        <v>212</v>
      </c>
      <c r="AC15" s="83">
        <v>6</v>
      </c>
      <c r="AD15" s="83" t="str">
        <f t="shared" si="3"/>
        <v>Cu</v>
      </c>
      <c r="AE15" s="83">
        <v>108</v>
      </c>
      <c r="AG15" s="83">
        <v>63</v>
      </c>
      <c r="AH15" s="83">
        <v>19.899999999999999</v>
      </c>
      <c r="AI15" s="83">
        <v>10</v>
      </c>
      <c r="AJ15" s="83" t="s">
        <v>216</v>
      </c>
      <c r="AK15" s="83">
        <v>50</v>
      </c>
      <c r="AL15" s="83" t="str">
        <f t="shared" si="4"/>
        <v xml:space="preserve"> Al</v>
      </c>
      <c r="AM15" s="83">
        <v>114</v>
      </c>
      <c r="AO15" s="83">
        <v>63</v>
      </c>
      <c r="AP15" s="83">
        <v>19.899999999999999</v>
      </c>
      <c r="AQ15" s="83">
        <v>10</v>
      </c>
      <c r="AR15" s="83" t="s">
        <v>216</v>
      </c>
      <c r="AS15" s="83">
        <v>50</v>
      </c>
      <c r="AT15" s="83" t="str">
        <f t="shared" si="5"/>
        <v xml:space="preserve"> Al</v>
      </c>
      <c r="AU15" s="83">
        <v>195</v>
      </c>
    </row>
    <row r="16" spans="1:47" x14ac:dyDescent="0.25">
      <c r="A16" s="83">
        <v>40</v>
      </c>
      <c r="B16" s="83">
        <v>9.9</v>
      </c>
      <c r="C16" s="83">
        <v>0.5</v>
      </c>
      <c r="D16" s="83" t="s">
        <v>217</v>
      </c>
      <c r="E16" s="83">
        <v>16</v>
      </c>
      <c r="F16" s="83" t="str">
        <f t="shared" si="0"/>
        <v xml:space="preserve"> Cu</v>
      </c>
      <c r="G16" s="83">
        <v>45</v>
      </c>
      <c r="I16" s="83">
        <v>40</v>
      </c>
      <c r="J16" s="83">
        <v>9.9</v>
      </c>
      <c r="K16" s="83">
        <v>0.5</v>
      </c>
      <c r="L16" s="83" t="s">
        <v>217</v>
      </c>
      <c r="M16" s="83">
        <v>16</v>
      </c>
      <c r="N16" s="83" t="str">
        <f t="shared" si="1"/>
        <v xml:space="preserve"> Cu</v>
      </c>
      <c r="O16" s="83">
        <v>67</v>
      </c>
      <c r="Q16" s="83">
        <v>25</v>
      </c>
      <c r="R16" s="83">
        <v>9.9</v>
      </c>
      <c r="S16" s="83">
        <v>0.5</v>
      </c>
      <c r="T16" s="83" t="s">
        <v>214</v>
      </c>
      <c r="U16" s="83">
        <v>10</v>
      </c>
      <c r="V16" s="83" t="str">
        <f t="shared" si="2"/>
        <v xml:space="preserve"> Cu</v>
      </c>
      <c r="W16" s="83">
        <v>104</v>
      </c>
      <c r="Y16" s="83">
        <v>25</v>
      </c>
      <c r="Z16" s="83">
        <v>9.9</v>
      </c>
      <c r="AA16" s="83">
        <v>0.5</v>
      </c>
      <c r="AB16" s="83" t="s">
        <v>214</v>
      </c>
      <c r="AC16" s="83">
        <v>10</v>
      </c>
      <c r="AD16" s="83" t="str">
        <f t="shared" si="3"/>
        <v xml:space="preserve"> Cu</v>
      </c>
      <c r="AE16" s="83">
        <v>180</v>
      </c>
      <c r="AG16" s="83">
        <v>80</v>
      </c>
      <c r="AH16" s="83">
        <v>19.899999999999999</v>
      </c>
      <c r="AI16" s="83">
        <v>10</v>
      </c>
      <c r="AJ16" s="83" t="s">
        <v>218</v>
      </c>
      <c r="AK16" s="83">
        <v>95</v>
      </c>
      <c r="AL16" s="83" t="str">
        <f t="shared" si="4"/>
        <v xml:space="preserve"> Al</v>
      </c>
      <c r="AM16" s="83">
        <v>169</v>
      </c>
      <c r="AO16" s="83">
        <v>80</v>
      </c>
      <c r="AP16" s="83">
        <v>19.899999999999999</v>
      </c>
      <c r="AQ16" s="83">
        <v>10</v>
      </c>
      <c r="AR16" s="83" t="s">
        <v>218</v>
      </c>
      <c r="AS16" s="83">
        <v>95</v>
      </c>
      <c r="AT16" s="83" t="str">
        <f t="shared" si="5"/>
        <v xml:space="preserve"> Al</v>
      </c>
      <c r="AU16" s="83">
        <v>290</v>
      </c>
    </row>
    <row r="17" spans="1:47" x14ac:dyDescent="0.25">
      <c r="A17" s="83">
        <v>40</v>
      </c>
      <c r="B17" s="83">
        <v>9.9</v>
      </c>
      <c r="C17" s="83">
        <v>0.5</v>
      </c>
      <c r="D17" s="83" t="s">
        <v>215</v>
      </c>
      <c r="E17" s="83">
        <v>25</v>
      </c>
      <c r="F17" s="83" t="str">
        <f t="shared" si="0"/>
        <v xml:space="preserve"> Al</v>
      </c>
      <c r="G17" s="83">
        <v>43</v>
      </c>
      <c r="I17" s="83">
        <v>40</v>
      </c>
      <c r="J17" s="83">
        <v>9.9</v>
      </c>
      <c r="K17" s="83">
        <v>0.5</v>
      </c>
      <c r="L17" s="83" t="s">
        <v>215</v>
      </c>
      <c r="M17" s="83">
        <v>25</v>
      </c>
      <c r="N17" s="83" t="str">
        <f t="shared" si="1"/>
        <v xml:space="preserve"> Al</v>
      </c>
      <c r="O17" s="83">
        <v>64</v>
      </c>
      <c r="Q17" s="83">
        <v>25</v>
      </c>
      <c r="R17" s="83">
        <v>9.9</v>
      </c>
      <c r="S17" s="83">
        <v>0.5</v>
      </c>
      <c r="T17" s="83" t="s">
        <v>215</v>
      </c>
      <c r="U17" s="83">
        <v>25</v>
      </c>
      <c r="V17" s="83" t="str">
        <f t="shared" si="2"/>
        <v xml:space="preserve"> Al</v>
      </c>
      <c r="W17" s="83">
        <v>155</v>
      </c>
      <c r="Y17" s="83">
        <v>25</v>
      </c>
      <c r="Z17" s="83">
        <v>9.9</v>
      </c>
      <c r="AA17" s="83">
        <v>0.5</v>
      </c>
      <c r="AB17" s="83" t="s">
        <v>215</v>
      </c>
      <c r="AC17" s="83">
        <v>25</v>
      </c>
      <c r="AD17" s="83" t="str">
        <f t="shared" si="3"/>
        <v xml:space="preserve"> Al</v>
      </c>
      <c r="AE17" s="83">
        <v>270</v>
      </c>
      <c r="AF17" s="12"/>
      <c r="AG17" s="83">
        <v>25</v>
      </c>
      <c r="AH17" s="83">
        <v>19.899999999999999</v>
      </c>
      <c r="AI17" s="83">
        <v>15</v>
      </c>
      <c r="AJ17" s="83" t="s">
        <v>212</v>
      </c>
      <c r="AK17" s="83">
        <v>6</v>
      </c>
      <c r="AL17" s="83" t="str">
        <f t="shared" si="4"/>
        <v>Cu</v>
      </c>
      <c r="AM17" s="83">
        <v>63</v>
      </c>
      <c r="AO17" s="83">
        <v>25</v>
      </c>
      <c r="AP17" s="83">
        <v>19.899999999999999</v>
      </c>
      <c r="AQ17" s="83">
        <v>15</v>
      </c>
      <c r="AR17" s="83" t="s">
        <v>212</v>
      </c>
      <c r="AS17" s="83">
        <v>6</v>
      </c>
      <c r="AT17" s="83" t="str">
        <f t="shared" si="5"/>
        <v>Cu</v>
      </c>
      <c r="AU17" s="83">
        <v>109</v>
      </c>
    </row>
    <row r="18" spans="1:47" x14ac:dyDescent="0.25">
      <c r="A18" s="83">
        <v>40</v>
      </c>
      <c r="B18" s="83">
        <v>9.9</v>
      </c>
      <c r="C18" s="83">
        <v>0.5</v>
      </c>
      <c r="D18" s="83" t="s">
        <v>216</v>
      </c>
      <c r="E18" s="83">
        <v>50</v>
      </c>
      <c r="F18" s="83" t="str">
        <f t="shared" si="0"/>
        <v xml:space="preserve"> Al</v>
      </c>
      <c r="G18" s="83">
        <v>80</v>
      </c>
      <c r="I18" s="83">
        <v>40</v>
      </c>
      <c r="J18" s="83">
        <v>9.9</v>
      </c>
      <c r="K18" s="83">
        <v>0.5</v>
      </c>
      <c r="L18" s="83" t="s">
        <v>216</v>
      </c>
      <c r="M18" s="83">
        <v>50</v>
      </c>
      <c r="N18" s="83" t="str">
        <f t="shared" si="1"/>
        <v xml:space="preserve"> Al</v>
      </c>
      <c r="O18" s="83">
        <v>118</v>
      </c>
      <c r="P18" s="12"/>
      <c r="Q18" s="83">
        <v>25</v>
      </c>
      <c r="R18" s="83">
        <v>9.9</v>
      </c>
      <c r="S18" s="83">
        <v>0.5</v>
      </c>
      <c r="T18" s="83" t="s">
        <v>216</v>
      </c>
      <c r="U18" s="83">
        <v>50</v>
      </c>
      <c r="V18" s="83" t="str">
        <f t="shared" si="2"/>
        <v xml:space="preserve"> Al</v>
      </c>
      <c r="W18" s="83">
        <v>280</v>
      </c>
      <c r="Y18" s="83">
        <v>25</v>
      </c>
      <c r="Z18" s="83">
        <v>9.9</v>
      </c>
      <c r="AA18" s="83">
        <v>0.5</v>
      </c>
      <c r="AB18" s="83" t="s">
        <v>216</v>
      </c>
      <c r="AC18" s="83">
        <v>50</v>
      </c>
      <c r="AD18" s="83" t="str">
        <f t="shared" si="3"/>
        <v xml:space="preserve"> Al</v>
      </c>
      <c r="AE18" s="83">
        <v>490</v>
      </c>
      <c r="AG18" s="83">
        <v>25</v>
      </c>
      <c r="AH18" s="83">
        <v>19.899999999999999</v>
      </c>
      <c r="AI18" s="83">
        <v>15</v>
      </c>
      <c r="AJ18" s="83" t="s">
        <v>214</v>
      </c>
      <c r="AK18" s="83">
        <v>10</v>
      </c>
      <c r="AL18" s="83" t="str">
        <f t="shared" si="4"/>
        <v xml:space="preserve"> Cu</v>
      </c>
      <c r="AM18" s="83">
        <v>105</v>
      </c>
      <c r="AO18" s="83">
        <v>25</v>
      </c>
      <c r="AP18" s="83">
        <v>19.899999999999999</v>
      </c>
      <c r="AQ18" s="83">
        <v>15</v>
      </c>
      <c r="AR18" s="83" t="s">
        <v>214</v>
      </c>
      <c r="AS18" s="83">
        <v>10</v>
      </c>
      <c r="AT18" s="83" t="str">
        <f t="shared" si="5"/>
        <v xml:space="preserve"> Cu</v>
      </c>
      <c r="AU18" s="83">
        <v>183</v>
      </c>
    </row>
    <row r="19" spans="1:47" x14ac:dyDescent="0.25">
      <c r="A19" s="83">
        <v>63</v>
      </c>
      <c r="B19" s="83">
        <v>9.9</v>
      </c>
      <c r="C19" s="83">
        <v>0.5</v>
      </c>
      <c r="D19" s="83" t="s">
        <v>218</v>
      </c>
      <c r="E19" s="83">
        <v>95</v>
      </c>
      <c r="F19" s="83" t="str">
        <f t="shared" si="0"/>
        <v xml:space="preserve"> Al</v>
      </c>
      <c r="G19" s="83">
        <v>12</v>
      </c>
      <c r="I19" s="83">
        <v>50</v>
      </c>
      <c r="J19" s="83">
        <v>9.9</v>
      </c>
      <c r="K19" s="83">
        <v>0.5</v>
      </c>
      <c r="L19" s="83" t="s">
        <v>216</v>
      </c>
      <c r="M19" s="83">
        <v>50</v>
      </c>
      <c r="N19" s="83" t="str">
        <f t="shared" si="1"/>
        <v xml:space="preserve"> Al</v>
      </c>
      <c r="O19" s="83">
        <v>26</v>
      </c>
      <c r="Q19" s="83">
        <v>32</v>
      </c>
      <c r="R19" s="83">
        <v>9.9</v>
      </c>
      <c r="S19" s="83">
        <v>0.5</v>
      </c>
      <c r="T19" s="83" t="s">
        <v>214</v>
      </c>
      <c r="U19" s="83">
        <v>10</v>
      </c>
      <c r="V19" s="83" t="str">
        <f t="shared" si="2"/>
        <v xml:space="preserve"> Cu</v>
      </c>
      <c r="W19" s="83">
        <v>82</v>
      </c>
      <c r="Y19" s="83">
        <v>32</v>
      </c>
      <c r="Z19" s="83">
        <v>9.9</v>
      </c>
      <c r="AA19" s="83">
        <v>0.5</v>
      </c>
      <c r="AB19" s="83" t="s">
        <v>214</v>
      </c>
      <c r="AC19" s="83">
        <v>10</v>
      </c>
      <c r="AD19" s="83" t="str">
        <f t="shared" si="3"/>
        <v xml:space="preserve"> Cu</v>
      </c>
      <c r="AE19" s="175">
        <v>142</v>
      </c>
      <c r="AG19" s="83">
        <v>25</v>
      </c>
      <c r="AH19" s="83">
        <v>19.899999999999999</v>
      </c>
      <c r="AI19" s="83">
        <v>15</v>
      </c>
      <c r="AJ19" s="83" t="s">
        <v>215</v>
      </c>
      <c r="AK19" s="83">
        <v>25</v>
      </c>
      <c r="AL19" s="83" t="str">
        <f t="shared" si="4"/>
        <v xml:space="preserve"> Al</v>
      </c>
      <c r="AM19" s="83">
        <v>158</v>
      </c>
      <c r="AO19" s="83">
        <v>25</v>
      </c>
      <c r="AP19" s="83">
        <v>19.899999999999999</v>
      </c>
      <c r="AQ19" s="83">
        <v>15</v>
      </c>
      <c r="AR19" s="83" t="s">
        <v>215</v>
      </c>
      <c r="AS19" s="83">
        <v>25</v>
      </c>
      <c r="AT19" s="83" t="str">
        <f t="shared" si="5"/>
        <v xml:space="preserve"> Al</v>
      </c>
      <c r="AU19" s="83">
        <v>271</v>
      </c>
    </row>
    <row r="20" spans="1:47" x14ac:dyDescent="0.25">
      <c r="A20" s="83">
        <v>25</v>
      </c>
      <c r="B20" s="83">
        <v>9.9</v>
      </c>
      <c r="C20" s="83">
        <v>1</v>
      </c>
      <c r="D20" s="83" t="s">
        <v>212</v>
      </c>
      <c r="E20" s="83">
        <v>6</v>
      </c>
      <c r="F20" s="83" t="str">
        <f t="shared" si="0"/>
        <v>Cu</v>
      </c>
      <c r="G20" s="83">
        <v>57</v>
      </c>
      <c r="I20" s="83">
        <v>25</v>
      </c>
      <c r="J20" s="83">
        <v>9.9</v>
      </c>
      <c r="K20" s="83">
        <v>1</v>
      </c>
      <c r="L20" s="83" t="s">
        <v>212</v>
      </c>
      <c r="M20" s="83">
        <v>6</v>
      </c>
      <c r="N20" s="83" t="str">
        <f t="shared" si="1"/>
        <v>Cu</v>
      </c>
      <c r="O20" s="83">
        <v>78</v>
      </c>
      <c r="P20" s="12"/>
      <c r="Q20" s="83">
        <v>32</v>
      </c>
      <c r="R20" s="83">
        <v>9.9</v>
      </c>
      <c r="S20" s="83">
        <v>0.5</v>
      </c>
      <c r="T20" s="83" t="s">
        <v>215</v>
      </c>
      <c r="U20" s="83">
        <v>25</v>
      </c>
      <c r="V20" s="83" t="str">
        <f t="shared" si="2"/>
        <v xml:space="preserve"> Al</v>
      </c>
      <c r="W20" s="83">
        <v>118</v>
      </c>
      <c r="Y20" s="83">
        <v>32</v>
      </c>
      <c r="Z20" s="83">
        <v>9.9</v>
      </c>
      <c r="AA20" s="83">
        <v>0.5</v>
      </c>
      <c r="AB20" s="83" t="s">
        <v>215</v>
      </c>
      <c r="AC20" s="83">
        <v>25</v>
      </c>
      <c r="AD20" s="83" t="str">
        <f t="shared" si="3"/>
        <v xml:space="preserve"> Al</v>
      </c>
      <c r="AE20" s="83">
        <v>210</v>
      </c>
      <c r="AG20" s="83">
        <v>25</v>
      </c>
      <c r="AH20" s="83">
        <v>19.899999999999999</v>
      </c>
      <c r="AI20" s="83">
        <v>15</v>
      </c>
      <c r="AJ20" s="83" t="s">
        <v>216</v>
      </c>
      <c r="AK20" s="83">
        <v>50</v>
      </c>
      <c r="AL20" s="83" t="str">
        <f t="shared" si="4"/>
        <v xml:space="preserve"> Al</v>
      </c>
      <c r="AM20" s="83">
        <v>289</v>
      </c>
      <c r="AO20" s="83">
        <v>25</v>
      </c>
      <c r="AP20" s="83">
        <v>19.899999999999999</v>
      </c>
      <c r="AQ20" s="83">
        <v>15</v>
      </c>
      <c r="AR20" s="83" t="s">
        <v>216</v>
      </c>
      <c r="AS20" s="83">
        <v>50</v>
      </c>
      <c r="AT20" s="83" t="str">
        <f t="shared" si="5"/>
        <v xml:space="preserve"> Al</v>
      </c>
      <c r="AU20" s="83">
        <v>500</v>
      </c>
    </row>
    <row r="21" spans="1:47" x14ac:dyDescent="0.25">
      <c r="A21" s="83">
        <v>25</v>
      </c>
      <c r="B21" s="83">
        <v>9.9</v>
      </c>
      <c r="C21" s="83">
        <v>1</v>
      </c>
      <c r="D21" s="83" t="s">
        <v>214</v>
      </c>
      <c r="E21" s="83">
        <v>10</v>
      </c>
      <c r="F21" s="83" t="str">
        <f t="shared" si="0"/>
        <v xml:space="preserve"> Cu</v>
      </c>
      <c r="G21" s="83">
        <v>95</v>
      </c>
      <c r="I21" s="83">
        <v>25</v>
      </c>
      <c r="J21" s="83">
        <v>9.9</v>
      </c>
      <c r="K21" s="83">
        <v>1</v>
      </c>
      <c r="L21" s="83" t="s">
        <v>214</v>
      </c>
      <c r="M21" s="83">
        <v>10</v>
      </c>
      <c r="N21" s="83" t="str">
        <f t="shared" si="1"/>
        <v xml:space="preserve"> Cu</v>
      </c>
      <c r="O21" s="83">
        <v>132</v>
      </c>
      <c r="Q21" s="83">
        <v>32</v>
      </c>
      <c r="R21" s="83">
        <v>9.9</v>
      </c>
      <c r="S21" s="83">
        <v>0.5</v>
      </c>
      <c r="T21" s="83" t="s">
        <v>216</v>
      </c>
      <c r="U21" s="83">
        <v>50</v>
      </c>
      <c r="V21" s="83" t="str">
        <f t="shared" si="2"/>
        <v xml:space="preserve"> Al</v>
      </c>
      <c r="W21" s="83">
        <v>209</v>
      </c>
      <c r="Y21" s="83">
        <v>32</v>
      </c>
      <c r="Z21" s="83">
        <v>9.9</v>
      </c>
      <c r="AA21" s="83">
        <v>0.5</v>
      </c>
      <c r="AB21" s="83" t="s">
        <v>216</v>
      </c>
      <c r="AC21" s="83">
        <v>50</v>
      </c>
      <c r="AD21" s="83" t="str">
        <f t="shared" si="3"/>
        <v xml:space="preserve"> Al</v>
      </c>
      <c r="AE21" s="83">
        <v>390</v>
      </c>
      <c r="AG21" s="83">
        <v>32</v>
      </c>
      <c r="AH21" s="83">
        <v>19.899999999999999</v>
      </c>
      <c r="AI21" s="83">
        <v>15</v>
      </c>
      <c r="AJ21" s="83" t="s">
        <v>214</v>
      </c>
      <c r="AK21" s="83">
        <v>10</v>
      </c>
      <c r="AL21" s="83" t="str">
        <f t="shared" si="4"/>
        <v xml:space="preserve"> Cu</v>
      </c>
      <c r="AM21" s="83">
        <v>82</v>
      </c>
      <c r="AO21" s="83">
        <v>32</v>
      </c>
      <c r="AP21" s="83">
        <v>19.899999999999999</v>
      </c>
      <c r="AQ21" s="83">
        <v>15</v>
      </c>
      <c r="AR21" s="83" t="s">
        <v>214</v>
      </c>
      <c r="AS21" s="83">
        <v>10</v>
      </c>
      <c r="AT21" s="83" t="str">
        <f t="shared" si="5"/>
        <v xml:space="preserve"> Cu</v>
      </c>
      <c r="AU21" s="83">
        <v>140</v>
      </c>
    </row>
    <row r="22" spans="1:47" x14ac:dyDescent="0.25">
      <c r="A22" s="83">
        <v>25</v>
      </c>
      <c r="B22" s="83">
        <v>9.9</v>
      </c>
      <c r="C22" s="83">
        <v>1</v>
      </c>
      <c r="D22" s="83" t="s">
        <v>215</v>
      </c>
      <c r="E22" s="83">
        <v>25</v>
      </c>
      <c r="F22" s="83" t="str">
        <f t="shared" si="0"/>
        <v xml:space="preserve"> Al</v>
      </c>
      <c r="G22" s="83">
        <v>145</v>
      </c>
      <c r="I22" s="83">
        <v>25</v>
      </c>
      <c r="J22" s="83">
        <v>9.9</v>
      </c>
      <c r="K22" s="83">
        <v>1</v>
      </c>
      <c r="L22" s="83" t="s">
        <v>215</v>
      </c>
      <c r="M22" s="83">
        <v>25</v>
      </c>
      <c r="N22" s="83" t="str">
        <f t="shared" si="1"/>
        <v xml:space="preserve"> Al</v>
      </c>
      <c r="O22" s="83">
        <v>199</v>
      </c>
      <c r="Q22" s="83">
        <v>40</v>
      </c>
      <c r="R22" s="83">
        <v>9.9</v>
      </c>
      <c r="S22" s="83">
        <v>0.5</v>
      </c>
      <c r="T22" s="83" t="s">
        <v>217</v>
      </c>
      <c r="U22" s="83">
        <v>16</v>
      </c>
      <c r="V22" s="83" t="str">
        <f t="shared" si="2"/>
        <v xml:space="preserve"> Cu</v>
      </c>
      <c r="W22" s="83">
        <v>98</v>
      </c>
      <c r="X22" s="88"/>
      <c r="Y22" s="83">
        <v>40</v>
      </c>
      <c r="Z22" s="83">
        <v>9.9</v>
      </c>
      <c r="AA22" s="83">
        <v>0.5</v>
      </c>
      <c r="AB22" s="83" t="s">
        <v>217</v>
      </c>
      <c r="AC22" s="83">
        <v>16</v>
      </c>
      <c r="AD22" s="83" t="str">
        <f t="shared" si="3"/>
        <v xml:space="preserve"> Cu</v>
      </c>
      <c r="AE22" s="175">
        <v>178</v>
      </c>
      <c r="AF22" s="88"/>
      <c r="AG22" s="83">
        <v>32</v>
      </c>
      <c r="AH22" s="83">
        <v>19.899999999999999</v>
      </c>
      <c r="AI22" s="83">
        <v>15</v>
      </c>
      <c r="AJ22" s="83" t="s">
        <v>215</v>
      </c>
      <c r="AK22" s="83">
        <v>25</v>
      </c>
      <c r="AL22" s="83" t="str">
        <f t="shared" si="4"/>
        <v xml:space="preserve"> Al</v>
      </c>
      <c r="AM22" s="83">
        <v>124</v>
      </c>
      <c r="AO22" s="83">
        <v>32</v>
      </c>
      <c r="AP22" s="83">
        <v>19.899999999999999</v>
      </c>
      <c r="AQ22" s="83">
        <v>15</v>
      </c>
      <c r="AR22" s="83" t="s">
        <v>215</v>
      </c>
      <c r="AS22" s="83">
        <v>25</v>
      </c>
      <c r="AT22" s="83" t="str">
        <f t="shared" si="5"/>
        <v xml:space="preserve"> Al</v>
      </c>
      <c r="AU22" s="83">
        <v>215</v>
      </c>
    </row>
    <row r="23" spans="1:47" x14ac:dyDescent="0.25">
      <c r="A23" s="83">
        <v>25</v>
      </c>
      <c r="B23" s="83">
        <v>9.9</v>
      </c>
      <c r="C23" s="83">
        <v>1</v>
      </c>
      <c r="D23" s="83" t="s">
        <v>216</v>
      </c>
      <c r="E23" s="83">
        <v>50</v>
      </c>
      <c r="F23" s="83" t="str">
        <f t="shared" si="0"/>
        <v xml:space="preserve"> Al</v>
      </c>
      <c r="G23" s="83">
        <v>270</v>
      </c>
      <c r="I23" s="83">
        <v>25</v>
      </c>
      <c r="J23" s="83">
        <v>9.9</v>
      </c>
      <c r="K23" s="83">
        <v>1</v>
      </c>
      <c r="L23" s="83" t="s">
        <v>216</v>
      </c>
      <c r="M23" s="83">
        <v>50</v>
      </c>
      <c r="N23" s="83" t="str">
        <f t="shared" si="1"/>
        <v xml:space="preserve"> Al</v>
      </c>
      <c r="O23" s="83">
        <v>368</v>
      </c>
      <c r="Q23" s="83">
        <v>40</v>
      </c>
      <c r="R23" s="83">
        <v>9.9</v>
      </c>
      <c r="S23" s="83">
        <v>0.5</v>
      </c>
      <c r="T23" s="83" t="s">
        <v>215</v>
      </c>
      <c r="U23" s="83">
        <v>25</v>
      </c>
      <c r="V23" s="83" t="str">
        <f t="shared" si="2"/>
        <v xml:space="preserve"> Al</v>
      </c>
      <c r="W23" s="83">
        <v>97</v>
      </c>
      <c r="Y23" s="83">
        <v>40</v>
      </c>
      <c r="Z23" s="83">
        <v>9.9</v>
      </c>
      <c r="AA23" s="83">
        <v>0.5</v>
      </c>
      <c r="AB23" s="83" t="s">
        <v>215</v>
      </c>
      <c r="AC23" s="83">
        <v>25</v>
      </c>
      <c r="AD23" s="83" t="str">
        <f t="shared" si="3"/>
        <v xml:space="preserve"> Al</v>
      </c>
      <c r="AE23" s="83">
        <v>170</v>
      </c>
      <c r="AG23" s="83">
        <v>32</v>
      </c>
      <c r="AH23" s="83">
        <v>19.899999999999999</v>
      </c>
      <c r="AI23" s="83">
        <v>15</v>
      </c>
      <c r="AJ23" s="83" t="s">
        <v>216</v>
      </c>
      <c r="AK23" s="83">
        <v>50</v>
      </c>
      <c r="AL23" s="83" t="str">
        <f t="shared" si="4"/>
        <v xml:space="preserve"> Al</v>
      </c>
      <c r="AM23" s="83">
        <v>226</v>
      </c>
      <c r="AO23" s="83">
        <v>32</v>
      </c>
      <c r="AP23" s="83">
        <v>19.899999999999999</v>
      </c>
      <c r="AQ23" s="83">
        <v>15</v>
      </c>
      <c r="AR23" s="83" t="s">
        <v>216</v>
      </c>
      <c r="AS23" s="83">
        <v>50</v>
      </c>
      <c r="AT23" s="83" t="str">
        <f t="shared" si="5"/>
        <v xml:space="preserve"> Al</v>
      </c>
      <c r="AU23" s="83">
        <v>390</v>
      </c>
    </row>
    <row r="24" spans="1:47" x14ac:dyDescent="0.25">
      <c r="A24" s="83">
        <v>32</v>
      </c>
      <c r="B24" s="83">
        <v>9.9</v>
      </c>
      <c r="C24" s="83">
        <v>1</v>
      </c>
      <c r="D24" s="83" t="s">
        <v>214</v>
      </c>
      <c r="E24" s="83">
        <v>10</v>
      </c>
      <c r="F24" s="83" t="str">
        <f t="shared" si="0"/>
        <v xml:space="preserve"> Cu</v>
      </c>
      <c r="G24" s="83">
        <v>67</v>
      </c>
      <c r="I24" s="83">
        <v>32</v>
      </c>
      <c r="J24" s="83">
        <v>9.9</v>
      </c>
      <c r="K24" s="83">
        <v>1</v>
      </c>
      <c r="L24" s="83" t="s">
        <v>214</v>
      </c>
      <c r="M24" s="83">
        <v>10</v>
      </c>
      <c r="N24" s="83" t="str">
        <f t="shared" si="1"/>
        <v xml:space="preserve"> Cu</v>
      </c>
      <c r="O24" s="83">
        <v>67</v>
      </c>
      <c r="P24" s="88"/>
      <c r="Q24" s="83">
        <v>40</v>
      </c>
      <c r="R24" s="83">
        <v>9.9</v>
      </c>
      <c r="S24" s="83">
        <v>0.5</v>
      </c>
      <c r="T24" s="83" t="s">
        <v>216</v>
      </c>
      <c r="U24" s="83">
        <v>50</v>
      </c>
      <c r="V24" s="83" t="str">
        <f t="shared" si="2"/>
        <v xml:space="preserve"> Al</v>
      </c>
      <c r="W24" s="83">
        <v>175</v>
      </c>
      <c r="Y24" s="83">
        <v>40</v>
      </c>
      <c r="Z24" s="83">
        <v>9.9</v>
      </c>
      <c r="AA24" s="83">
        <v>0.5</v>
      </c>
      <c r="AB24" s="83" t="s">
        <v>216</v>
      </c>
      <c r="AC24" s="83">
        <v>50</v>
      </c>
      <c r="AD24" s="83" t="str">
        <f t="shared" si="3"/>
        <v xml:space="preserve"> Al</v>
      </c>
      <c r="AE24" s="83">
        <v>306</v>
      </c>
      <c r="AG24" s="83">
        <v>40</v>
      </c>
      <c r="AH24" s="83">
        <v>19.899999999999999</v>
      </c>
      <c r="AI24" s="83">
        <v>15</v>
      </c>
      <c r="AJ24" s="83" t="s">
        <v>217</v>
      </c>
      <c r="AK24" s="83">
        <v>16</v>
      </c>
      <c r="AL24" s="83" t="str">
        <f t="shared" si="4"/>
        <v xml:space="preserve"> Cu</v>
      </c>
      <c r="AM24" s="83">
        <v>160</v>
      </c>
      <c r="AO24" s="83">
        <v>40</v>
      </c>
      <c r="AP24" s="83">
        <v>19.899999999999999</v>
      </c>
      <c r="AQ24" s="83">
        <v>15</v>
      </c>
      <c r="AR24" s="83" t="s">
        <v>217</v>
      </c>
      <c r="AS24" s="83">
        <v>16</v>
      </c>
      <c r="AT24" s="83" t="str">
        <f t="shared" si="5"/>
        <v xml:space="preserve"> Cu</v>
      </c>
      <c r="AU24" s="83">
        <v>180</v>
      </c>
    </row>
    <row r="25" spans="1:47" x14ac:dyDescent="0.25">
      <c r="A25" s="83">
        <v>32</v>
      </c>
      <c r="B25" s="83">
        <v>9.9</v>
      </c>
      <c r="C25" s="83">
        <v>1</v>
      </c>
      <c r="D25" s="83" t="s">
        <v>215</v>
      </c>
      <c r="E25" s="83">
        <v>25</v>
      </c>
      <c r="F25" s="83" t="str">
        <f t="shared" si="0"/>
        <v xml:space="preserve"> Al</v>
      </c>
      <c r="G25" s="83">
        <v>101</v>
      </c>
      <c r="I25" s="83">
        <v>32</v>
      </c>
      <c r="J25" s="83">
        <v>9.9</v>
      </c>
      <c r="K25" s="83">
        <v>1</v>
      </c>
      <c r="L25" s="83" t="s">
        <v>215</v>
      </c>
      <c r="M25" s="83">
        <v>25</v>
      </c>
      <c r="N25" s="83" t="str">
        <f t="shared" si="1"/>
        <v xml:space="preserve"> Al</v>
      </c>
      <c r="O25" s="83">
        <v>111</v>
      </c>
      <c r="Q25" s="83">
        <v>63</v>
      </c>
      <c r="R25" s="83">
        <v>9.9</v>
      </c>
      <c r="S25" s="83">
        <v>0.5</v>
      </c>
      <c r="T25" s="83" t="s">
        <v>216</v>
      </c>
      <c r="U25" s="83">
        <v>50</v>
      </c>
      <c r="V25" s="83" t="str">
        <f t="shared" si="2"/>
        <v xml:space="preserve"> Al</v>
      </c>
      <c r="W25" s="83">
        <v>80</v>
      </c>
      <c r="Y25" s="83">
        <v>50</v>
      </c>
      <c r="Z25" s="83">
        <v>9.9</v>
      </c>
      <c r="AA25" s="83">
        <v>0.5</v>
      </c>
      <c r="AB25" s="83" t="s">
        <v>215</v>
      </c>
      <c r="AC25" s="83">
        <v>25</v>
      </c>
      <c r="AD25" s="83" t="str">
        <f t="shared" si="3"/>
        <v xml:space="preserve"> Al</v>
      </c>
      <c r="AE25" s="83">
        <v>125</v>
      </c>
      <c r="AG25" s="83">
        <v>40</v>
      </c>
      <c r="AH25" s="83">
        <v>19.899999999999999</v>
      </c>
      <c r="AI25" s="83">
        <v>15</v>
      </c>
      <c r="AJ25" s="83" t="s">
        <v>215</v>
      </c>
      <c r="AK25" s="83">
        <v>25</v>
      </c>
      <c r="AL25" s="83" t="str">
        <f t="shared" si="4"/>
        <v xml:space="preserve"> Al</v>
      </c>
      <c r="AM25" s="83">
        <v>99</v>
      </c>
      <c r="AO25" s="83">
        <v>40</v>
      </c>
      <c r="AP25" s="83">
        <v>19.899999999999999</v>
      </c>
      <c r="AQ25" s="83">
        <v>15</v>
      </c>
      <c r="AR25" s="83" t="s">
        <v>215</v>
      </c>
      <c r="AS25" s="83">
        <v>25</v>
      </c>
      <c r="AT25" s="83" t="str">
        <f t="shared" si="5"/>
        <v xml:space="preserve"> Al</v>
      </c>
      <c r="AU25" s="83">
        <v>172</v>
      </c>
    </row>
    <row r="26" spans="1:47" x14ac:dyDescent="0.25">
      <c r="A26" s="83">
        <v>32</v>
      </c>
      <c r="B26" s="83">
        <v>9.9</v>
      </c>
      <c r="C26" s="83">
        <v>1</v>
      </c>
      <c r="D26" s="83" t="s">
        <v>216</v>
      </c>
      <c r="E26" s="83">
        <v>50</v>
      </c>
      <c r="F26" s="83" t="str">
        <f t="shared" si="0"/>
        <v xml:space="preserve"> Al</v>
      </c>
      <c r="G26" s="83">
        <v>189</v>
      </c>
      <c r="I26" s="83">
        <v>32</v>
      </c>
      <c r="J26" s="83">
        <v>9.9</v>
      </c>
      <c r="K26" s="83">
        <v>1</v>
      </c>
      <c r="L26" s="83" t="s">
        <v>216</v>
      </c>
      <c r="M26" s="83">
        <v>50</v>
      </c>
      <c r="N26" s="83" t="str">
        <f t="shared" si="1"/>
        <v xml:space="preserve"> Al</v>
      </c>
      <c r="O26" s="83">
        <v>205</v>
      </c>
      <c r="Q26" s="83">
        <v>25</v>
      </c>
      <c r="R26" s="83">
        <v>9.9</v>
      </c>
      <c r="S26" s="83">
        <v>1</v>
      </c>
      <c r="T26" s="83" t="s">
        <v>212</v>
      </c>
      <c r="U26" s="83">
        <v>6</v>
      </c>
      <c r="V26" s="83" t="str">
        <f t="shared" si="2"/>
        <v>Cu</v>
      </c>
      <c r="W26" s="175">
        <v>62</v>
      </c>
      <c r="Y26" s="83">
        <v>50</v>
      </c>
      <c r="Z26" s="83">
        <v>9.9</v>
      </c>
      <c r="AA26" s="83">
        <v>0.5</v>
      </c>
      <c r="AB26" s="83" t="s">
        <v>216</v>
      </c>
      <c r="AC26" s="83">
        <v>50</v>
      </c>
      <c r="AD26" s="83" t="str">
        <f t="shared" si="3"/>
        <v xml:space="preserve"> Al</v>
      </c>
      <c r="AE26" s="175">
        <v>232</v>
      </c>
      <c r="AG26" s="83">
        <v>40</v>
      </c>
      <c r="AH26" s="83">
        <v>19.899999999999999</v>
      </c>
      <c r="AI26" s="83">
        <v>15</v>
      </c>
      <c r="AJ26" s="83" t="s">
        <v>216</v>
      </c>
      <c r="AK26" s="83">
        <v>50</v>
      </c>
      <c r="AL26" s="83" t="str">
        <f t="shared" si="4"/>
        <v xml:space="preserve"> Al</v>
      </c>
      <c r="AM26" s="83">
        <v>180</v>
      </c>
      <c r="AO26" s="83">
        <v>40</v>
      </c>
      <c r="AP26" s="83">
        <v>19.899999999999999</v>
      </c>
      <c r="AQ26" s="83">
        <v>15</v>
      </c>
      <c r="AR26" s="83" t="s">
        <v>216</v>
      </c>
      <c r="AS26" s="83">
        <v>50</v>
      </c>
      <c r="AT26" s="83" t="str">
        <f t="shared" si="5"/>
        <v xml:space="preserve"> Al</v>
      </c>
      <c r="AU26" s="83">
        <v>314</v>
      </c>
    </row>
    <row r="27" spans="1:47" x14ac:dyDescent="0.25">
      <c r="A27" s="83">
        <v>40</v>
      </c>
      <c r="B27" s="83">
        <v>9.9</v>
      </c>
      <c r="C27" s="83">
        <v>1</v>
      </c>
      <c r="D27" s="83" t="s">
        <v>217</v>
      </c>
      <c r="E27" s="83">
        <v>16</v>
      </c>
      <c r="F27" s="83" t="str">
        <f t="shared" si="0"/>
        <v xml:space="preserve"> Cu</v>
      </c>
      <c r="G27" s="83">
        <v>83</v>
      </c>
      <c r="I27" s="83">
        <v>40</v>
      </c>
      <c r="J27" s="83">
        <v>9.9</v>
      </c>
      <c r="K27" s="83">
        <v>1</v>
      </c>
      <c r="L27" s="83" t="s">
        <v>217</v>
      </c>
      <c r="M27" s="83">
        <v>16</v>
      </c>
      <c r="N27" s="83" t="str">
        <f t="shared" si="1"/>
        <v xml:space="preserve"> Cu</v>
      </c>
      <c r="O27" s="83">
        <v>67</v>
      </c>
      <c r="Q27" s="83">
        <v>25</v>
      </c>
      <c r="R27" s="83">
        <v>9.9</v>
      </c>
      <c r="S27" s="83">
        <v>1</v>
      </c>
      <c r="T27" s="83" t="s">
        <v>214</v>
      </c>
      <c r="U27" s="83">
        <v>10</v>
      </c>
      <c r="V27" s="83" t="str">
        <f t="shared" si="2"/>
        <v xml:space="preserve"> Cu</v>
      </c>
      <c r="W27" s="83">
        <v>104</v>
      </c>
      <c r="Y27" s="83">
        <v>63</v>
      </c>
      <c r="Z27" s="83">
        <v>9.9</v>
      </c>
      <c r="AA27" s="83">
        <v>0.5</v>
      </c>
      <c r="AB27" s="83" t="s">
        <v>216</v>
      </c>
      <c r="AC27" s="83">
        <v>50</v>
      </c>
      <c r="AD27" s="83" t="str">
        <f t="shared" si="3"/>
        <v xml:space="preserve"> Al</v>
      </c>
      <c r="AE27" s="83">
        <v>118</v>
      </c>
      <c r="AG27" s="83">
        <v>63</v>
      </c>
      <c r="AH27" s="83">
        <v>19.899999999999999</v>
      </c>
      <c r="AI27" s="83">
        <v>15</v>
      </c>
      <c r="AJ27" s="83" t="s">
        <v>216</v>
      </c>
      <c r="AK27" s="83">
        <v>50</v>
      </c>
      <c r="AL27" s="83" t="str">
        <f t="shared" si="4"/>
        <v xml:space="preserve"> Al</v>
      </c>
      <c r="AM27" s="83">
        <v>114</v>
      </c>
      <c r="AO27" s="83">
        <v>63</v>
      </c>
      <c r="AP27" s="83">
        <v>19.899999999999999</v>
      </c>
      <c r="AQ27" s="83">
        <v>15</v>
      </c>
      <c r="AR27" s="83" t="s">
        <v>216</v>
      </c>
      <c r="AS27" s="83">
        <v>50</v>
      </c>
      <c r="AT27" s="83" t="str">
        <f t="shared" si="5"/>
        <v xml:space="preserve"> Al</v>
      </c>
      <c r="AU27" s="83">
        <v>199</v>
      </c>
    </row>
    <row r="28" spans="1:47" x14ac:dyDescent="0.25">
      <c r="A28" s="83">
        <v>40</v>
      </c>
      <c r="B28" s="83">
        <v>9.9</v>
      </c>
      <c r="C28" s="83">
        <v>1</v>
      </c>
      <c r="D28" s="83" t="s">
        <v>215</v>
      </c>
      <c r="E28" s="83">
        <v>25</v>
      </c>
      <c r="F28" s="83" t="str">
        <f t="shared" si="0"/>
        <v xml:space="preserve"> Al</v>
      </c>
      <c r="G28" s="83">
        <v>79</v>
      </c>
      <c r="I28" s="83">
        <v>40</v>
      </c>
      <c r="J28" s="83">
        <v>9.9</v>
      </c>
      <c r="K28" s="83">
        <v>1</v>
      </c>
      <c r="L28" s="83" t="s">
        <v>215</v>
      </c>
      <c r="M28" s="83">
        <v>25</v>
      </c>
      <c r="N28" s="83" t="str">
        <f t="shared" si="1"/>
        <v xml:space="preserve"> Al</v>
      </c>
      <c r="O28" s="83">
        <v>64</v>
      </c>
      <c r="Q28" s="83">
        <v>25</v>
      </c>
      <c r="R28" s="83">
        <v>9.9</v>
      </c>
      <c r="S28" s="83">
        <v>1</v>
      </c>
      <c r="T28" s="83" t="s">
        <v>215</v>
      </c>
      <c r="U28" s="83">
        <v>25</v>
      </c>
      <c r="V28" s="83" t="str">
        <f t="shared" si="2"/>
        <v xml:space="preserve"> Al</v>
      </c>
      <c r="W28" s="83">
        <v>155</v>
      </c>
      <c r="Y28" s="83">
        <v>25</v>
      </c>
      <c r="Z28" s="83">
        <v>9.9</v>
      </c>
      <c r="AA28" s="83">
        <v>1</v>
      </c>
      <c r="AB28" s="83" t="s">
        <v>212</v>
      </c>
      <c r="AC28" s="83">
        <v>6</v>
      </c>
      <c r="AD28" s="83" t="str">
        <f t="shared" si="3"/>
        <v>Cu</v>
      </c>
      <c r="AE28" s="83">
        <v>108</v>
      </c>
      <c r="AG28" s="83">
        <v>80</v>
      </c>
      <c r="AH28" s="83">
        <v>19.899999999999999</v>
      </c>
      <c r="AI28" s="83">
        <v>15</v>
      </c>
      <c r="AJ28" s="83" t="s">
        <v>218</v>
      </c>
      <c r="AK28" s="83">
        <v>95</v>
      </c>
      <c r="AL28" s="83" t="str">
        <f t="shared" si="4"/>
        <v xml:space="preserve"> Al</v>
      </c>
      <c r="AM28" s="83">
        <v>169</v>
      </c>
      <c r="AO28" s="83">
        <v>80</v>
      </c>
      <c r="AP28" s="83">
        <v>19.899999999999999</v>
      </c>
      <c r="AQ28" s="83">
        <v>15</v>
      </c>
      <c r="AR28" s="83" t="s">
        <v>218</v>
      </c>
      <c r="AS28" s="83">
        <v>95</v>
      </c>
      <c r="AT28" s="83" t="str">
        <f t="shared" si="5"/>
        <v xml:space="preserve"> Al</v>
      </c>
      <c r="AU28" s="83">
        <v>297</v>
      </c>
    </row>
    <row r="29" spans="1:47" x14ac:dyDescent="0.25">
      <c r="A29" s="83">
        <v>40</v>
      </c>
      <c r="B29" s="83">
        <v>9.9</v>
      </c>
      <c r="C29" s="83">
        <v>1</v>
      </c>
      <c r="D29" s="83" t="s">
        <v>216</v>
      </c>
      <c r="E29" s="83">
        <v>50</v>
      </c>
      <c r="F29" s="83" t="str">
        <f t="shared" si="0"/>
        <v xml:space="preserve"> Al</v>
      </c>
      <c r="G29" s="83">
        <v>147</v>
      </c>
      <c r="I29" s="83">
        <v>40</v>
      </c>
      <c r="J29" s="83">
        <v>9.9</v>
      </c>
      <c r="K29" s="83">
        <v>1</v>
      </c>
      <c r="L29" s="83" t="s">
        <v>216</v>
      </c>
      <c r="M29" s="83">
        <v>50</v>
      </c>
      <c r="N29" s="83" t="str">
        <f t="shared" si="1"/>
        <v xml:space="preserve"> Al</v>
      </c>
      <c r="O29" s="83">
        <v>118</v>
      </c>
      <c r="Q29" s="83">
        <v>25</v>
      </c>
      <c r="R29" s="83">
        <v>9.9</v>
      </c>
      <c r="S29" s="83">
        <v>1</v>
      </c>
      <c r="T29" s="83" t="s">
        <v>216</v>
      </c>
      <c r="U29" s="83">
        <v>50</v>
      </c>
      <c r="V29" s="83" t="str">
        <f t="shared" si="2"/>
        <v xml:space="preserve"> Al</v>
      </c>
      <c r="W29" s="83">
        <v>286</v>
      </c>
      <c r="Y29" s="83">
        <v>25</v>
      </c>
      <c r="Z29" s="83">
        <v>9.9</v>
      </c>
      <c r="AA29" s="83">
        <v>1</v>
      </c>
      <c r="AB29" s="83" t="s">
        <v>214</v>
      </c>
      <c r="AC29" s="83">
        <v>10</v>
      </c>
      <c r="AD29" s="83" t="str">
        <f t="shared" si="3"/>
        <v xml:space="preserve"> Cu</v>
      </c>
      <c r="AE29" s="83">
        <v>183</v>
      </c>
      <c r="AG29" s="12"/>
      <c r="AH29" s="12"/>
      <c r="AI29" s="12"/>
      <c r="AM29" s="12"/>
      <c r="AO29" s="12"/>
      <c r="AP29" s="12"/>
      <c r="AQ29" s="12"/>
      <c r="AU29" s="12"/>
    </row>
    <row r="30" spans="1:47" x14ac:dyDescent="0.25">
      <c r="A30" s="83">
        <v>63</v>
      </c>
      <c r="B30" s="83">
        <v>9.9</v>
      </c>
      <c r="C30" s="83">
        <v>1</v>
      </c>
      <c r="D30" s="83" t="s">
        <v>216</v>
      </c>
      <c r="E30" s="83">
        <v>50</v>
      </c>
      <c r="F30" s="83" t="str">
        <f t="shared" si="0"/>
        <v xml:space="preserve"> Al</v>
      </c>
      <c r="G30" s="83">
        <v>75</v>
      </c>
      <c r="I30" s="83">
        <v>50</v>
      </c>
      <c r="J30" s="83">
        <v>9.9</v>
      </c>
      <c r="K30" s="83">
        <v>1</v>
      </c>
      <c r="L30" s="83" t="s">
        <v>216</v>
      </c>
      <c r="M30" s="83">
        <v>50</v>
      </c>
      <c r="N30" s="83" t="str">
        <f t="shared" si="1"/>
        <v xml:space="preserve"> Al</v>
      </c>
      <c r="O30" s="83">
        <v>26</v>
      </c>
      <c r="Q30" s="83">
        <v>32</v>
      </c>
      <c r="R30" s="83">
        <v>9.9</v>
      </c>
      <c r="S30" s="83">
        <v>1</v>
      </c>
      <c r="T30" s="83" t="s">
        <v>214</v>
      </c>
      <c r="U30" s="83">
        <v>10</v>
      </c>
      <c r="V30" s="83" t="str">
        <f t="shared" si="2"/>
        <v xml:space="preserve"> Cu</v>
      </c>
      <c r="W30" s="83">
        <v>80</v>
      </c>
      <c r="Y30" s="83">
        <v>25</v>
      </c>
      <c r="Z30" s="83">
        <v>9.9</v>
      </c>
      <c r="AA30" s="83">
        <v>1</v>
      </c>
      <c r="AB30" s="83" t="s">
        <v>215</v>
      </c>
      <c r="AC30" s="83">
        <v>25</v>
      </c>
      <c r="AD30" s="83" t="str">
        <f t="shared" si="3"/>
        <v xml:space="preserve"> Al</v>
      </c>
      <c r="AE30" s="83">
        <v>275</v>
      </c>
    </row>
    <row r="31" spans="1:47" x14ac:dyDescent="0.25">
      <c r="A31" s="83">
        <v>80</v>
      </c>
      <c r="B31" s="83">
        <v>9.9</v>
      </c>
      <c r="C31" s="83">
        <v>1</v>
      </c>
      <c r="D31" s="83" t="s">
        <v>218</v>
      </c>
      <c r="E31" s="83">
        <v>95</v>
      </c>
      <c r="F31" s="83" t="str">
        <f t="shared" si="0"/>
        <v xml:space="preserve"> Al</v>
      </c>
      <c r="G31" s="83">
        <v>136</v>
      </c>
      <c r="I31" s="83">
        <v>25</v>
      </c>
      <c r="J31" s="83">
        <v>9.9</v>
      </c>
      <c r="K31" s="83">
        <v>2</v>
      </c>
      <c r="L31" s="83" t="s">
        <v>212</v>
      </c>
      <c r="M31" s="83">
        <v>6</v>
      </c>
      <c r="N31" s="83" t="str">
        <f t="shared" si="1"/>
        <v>Cu</v>
      </c>
      <c r="O31" s="83">
        <v>78</v>
      </c>
      <c r="Q31" s="83">
        <v>32</v>
      </c>
      <c r="R31" s="83">
        <v>9.9</v>
      </c>
      <c r="S31" s="83">
        <v>1</v>
      </c>
      <c r="T31" s="83" t="s">
        <v>215</v>
      </c>
      <c r="U31" s="83">
        <v>25</v>
      </c>
      <c r="V31" s="83" t="str">
        <f t="shared" si="2"/>
        <v xml:space="preserve"> Al</v>
      </c>
      <c r="W31" s="83">
        <v>120</v>
      </c>
      <c r="Y31" s="83">
        <v>25</v>
      </c>
      <c r="Z31" s="83">
        <v>9.9</v>
      </c>
      <c r="AA31" s="83">
        <v>1</v>
      </c>
      <c r="AB31" s="83" t="s">
        <v>216</v>
      </c>
      <c r="AC31" s="83">
        <v>50</v>
      </c>
      <c r="AD31" s="83" t="str">
        <f t="shared" si="3"/>
        <v xml:space="preserve"> Al</v>
      </c>
      <c r="AE31" s="83">
        <v>490</v>
      </c>
    </row>
    <row r="32" spans="1:47" x14ac:dyDescent="0.25">
      <c r="A32" s="83">
        <v>25</v>
      </c>
      <c r="B32" s="83">
        <v>9.9</v>
      </c>
      <c r="C32" s="83">
        <v>2</v>
      </c>
      <c r="D32" s="83" t="s">
        <v>212</v>
      </c>
      <c r="E32" s="83">
        <v>6</v>
      </c>
      <c r="F32" s="83" t="str">
        <f t="shared" si="0"/>
        <v>Cu</v>
      </c>
      <c r="G32" s="83">
        <v>63</v>
      </c>
      <c r="I32" s="83">
        <v>25</v>
      </c>
      <c r="J32" s="83">
        <v>9.9</v>
      </c>
      <c r="K32" s="83">
        <v>2</v>
      </c>
      <c r="L32" s="83" t="s">
        <v>214</v>
      </c>
      <c r="M32" s="83">
        <v>10</v>
      </c>
      <c r="N32" s="83" t="str">
        <f t="shared" si="1"/>
        <v xml:space="preserve"> Cu</v>
      </c>
      <c r="O32" s="83">
        <v>132</v>
      </c>
      <c r="Q32" s="83">
        <v>32</v>
      </c>
      <c r="R32" s="83">
        <v>9.9</v>
      </c>
      <c r="S32" s="83">
        <v>1</v>
      </c>
      <c r="T32" s="83" t="s">
        <v>216</v>
      </c>
      <c r="U32" s="83">
        <v>50</v>
      </c>
      <c r="V32" s="83" t="str">
        <f t="shared" si="2"/>
        <v xml:space="preserve"> Al</v>
      </c>
      <c r="W32" s="83">
        <v>215</v>
      </c>
      <c r="Y32" s="83">
        <v>32</v>
      </c>
      <c r="Z32" s="83">
        <v>9.9</v>
      </c>
      <c r="AA32" s="83">
        <v>1</v>
      </c>
      <c r="AB32" s="83" t="s">
        <v>214</v>
      </c>
      <c r="AC32" s="83">
        <v>10</v>
      </c>
      <c r="AD32" s="83" t="str">
        <f t="shared" si="3"/>
        <v xml:space="preserve"> Cu</v>
      </c>
      <c r="AE32" s="83">
        <v>142</v>
      </c>
    </row>
    <row r="33" spans="1:47" x14ac:dyDescent="0.25">
      <c r="A33" s="83">
        <v>25</v>
      </c>
      <c r="B33" s="83">
        <v>9.9</v>
      </c>
      <c r="C33" s="83">
        <v>2</v>
      </c>
      <c r="D33" s="83" t="s">
        <v>214</v>
      </c>
      <c r="E33" s="83">
        <v>10</v>
      </c>
      <c r="F33" s="83" t="str">
        <f t="shared" si="0"/>
        <v xml:space="preserve"> Cu</v>
      </c>
      <c r="G33" s="83">
        <v>104</v>
      </c>
      <c r="I33" s="83">
        <v>25</v>
      </c>
      <c r="J33" s="83">
        <v>9.9</v>
      </c>
      <c r="K33" s="83">
        <v>2</v>
      </c>
      <c r="L33" s="83" t="s">
        <v>215</v>
      </c>
      <c r="M33" s="83">
        <v>25</v>
      </c>
      <c r="N33" s="83" t="str">
        <f t="shared" si="1"/>
        <v xml:space="preserve"> Al</v>
      </c>
      <c r="O33" s="83">
        <v>199</v>
      </c>
      <c r="Q33" s="83">
        <v>40</v>
      </c>
      <c r="R33" s="83">
        <v>9.9</v>
      </c>
      <c r="S33" s="83">
        <v>1</v>
      </c>
      <c r="T33" s="83" t="s">
        <v>217</v>
      </c>
      <c r="U33" s="83">
        <v>16</v>
      </c>
      <c r="V33" s="83" t="str">
        <f t="shared" si="2"/>
        <v xml:space="preserve"> Cu</v>
      </c>
      <c r="W33" s="83">
        <v>101</v>
      </c>
      <c r="Y33" s="83">
        <v>32</v>
      </c>
      <c r="Z33" s="83">
        <v>9.9</v>
      </c>
      <c r="AA33" s="83">
        <v>1</v>
      </c>
      <c r="AB33" s="83" t="s">
        <v>215</v>
      </c>
      <c r="AC33" s="83">
        <v>25</v>
      </c>
      <c r="AD33" s="83" t="str">
        <f t="shared" si="3"/>
        <v xml:space="preserve"> Al</v>
      </c>
      <c r="AE33" s="83">
        <v>214</v>
      </c>
      <c r="AG33" s="12"/>
      <c r="AH33" s="12"/>
      <c r="AI33" s="12"/>
      <c r="AO33" s="12"/>
      <c r="AP33" s="12"/>
      <c r="AQ33" s="12"/>
    </row>
    <row r="34" spans="1:47" x14ac:dyDescent="0.25">
      <c r="A34" s="83">
        <v>25</v>
      </c>
      <c r="B34" s="83">
        <v>9.9</v>
      </c>
      <c r="C34" s="83">
        <v>2</v>
      </c>
      <c r="D34" s="83" t="s">
        <v>215</v>
      </c>
      <c r="E34" s="83">
        <v>25</v>
      </c>
      <c r="F34" s="83" t="str">
        <f t="shared" si="0"/>
        <v xml:space="preserve"> Al</v>
      </c>
      <c r="G34" s="83">
        <v>158</v>
      </c>
      <c r="I34" s="83">
        <v>25</v>
      </c>
      <c r="J34" s="83">
        <v>9.9</v>
      </c>
      <c r="K34" s="83">
        <v>2</v>
      </c>
      <c r="L34" s="83" t="s">
        <v>216</v>
      </c>
      <c r="M34" s="83">
        <v>50</v>
      </c>
      <c r="N34" s="83" t="str">
        <f t="shared" si="1"/>
        <v xml:space="preserve"> Al</v>
      </c>
      <c r="O34" s="83">
        <v>368</v>
      </c>
      <c r="Q34" s="83">
        <v>40</v>
      </c>
      <c r="R34" s="83">
        <v>9.9</v>
      </c>
      <c r="S34" s="83">
        <v>1</v>
      </c>
      <c r="T34" s="83" t="s">
        <v>215</v>
      </c>
      <c r="U34" s="83">
        <v>25</v>
      </c>
      <c r="V34" s="83" t="str">
        <f t="shared" si="2"/>
        <v xml:space="preserve"> Al</v>
      </c>
      <c r="W34" s="83">
        <v>97</v>
      </c>
      <c r="Y34" s="83">
        <v>32</v>
      </c>
      <c r="Z34" s="83">
        <v>9.9</v>
      </c>
      <c r="AA34" s="83">
        <v>1</v>
      </c>
      <c r="AB34" s="83" t="s">
        <v>216</v>
      </c>
      <c r="AC34" s="83">
        <v>50</v>
      </c>
      <c r="AD34" s="83" t="str">
        <f t="shared" si="3"/>
        <v xml:space="preserve"> Al</v>
      </c>
      <c r="AE34" s="83">
        <v>390</v>
      </c>
    </row>
    <row r="35" spans="1:47" x14ac:dyDescent="0.25">
      <c r="A35" s="83">
        <v>25</v>
      </c>
      <c r="B35" s="83">
        <v>9.9</v>
      </c>
      <c r="C35" s="83">
        <v>2</v>
      </c>
      <c r="D35" s="83" t="s">
        <v>216</v>
      </c>
      <c r="E35" s="83">
        <v>50</v>
      </c>
      <c r="F35" s="83" t="str">
        <f t="shared" si="0"/>
        <v xml:space="preserve"> Al</v>
      </c>
      <c r="G35" s="83">
        <v>285</v>
      </c>
      <c r="I35" s="83">
        <v>32</v>
      </c>
      <c r="J35" s="83">
        <v>9.9</v>
      </c>
      <c r="K35" s="83">
        <v>2</v>
      </c>
      <c r="L35" s="83" t="s">
        <v>214</v>
      </c>
      <c r="M35" s="83">
        <v>10</v>
      </c>
      <c r="N35" s="83" t="str">
        <f t="shared" si="1"/>
        <v xml:space="preserve"> Cu</v>
      </c>
      <c r="O35" s="83">
        <v>67</v>
      </c>
      <c r="Q35" s="83">
        <v>40</v>
      </c>
      <c r="R35" s="83">
        <v>9.9</v>
      </c>
      <c r="S35" s="83">
        <v>1</v>
      </c>
      <c r="T35" s="83" t="s">
        <v>216</v>
      </c>
      <c r="U35" s="83">
        <v>50</v>
      </c>
      <c r="V35" s="83" t="str">
        <f t="shared" si="2"/>
        <v xml:space="preserve"> Al</v>
      </c>
      <c r="W35" s="83">
        <v>175</v>
      </c>
      <c r="Y35" s="83">
        <v>40</v>
      </c>
      <c r="Z35" s="83">
        <v>9.9</v>
      </c>
      <c r="AA35" s="83">
        <v>1</v>
      </c>
      <c r="AB35" s="83" t="s">
        <v>217</v>
      </c>
      <c r="AC35" s="83">
        <v>16</v>
      </c>
      <c r="AD35" s="83" t="str">
        <f t="shared" si="3"/>
        <v xml:space="preserve"> Cu</v>
      </c>
      <c r="AE35" s="83">
        <v>178</v>
      </c>
      <c r="AG35" s="12"/>
      <c r="AH35" s="12"/>
      <c r="AI35" s="12"/>
      <c r="AJ35" s="12"/>
      <c r="AK35" s="12"/>
      <c r="AL35" s="12"/>
      <c r="AM35" s="12"/>
      <c r="AO35" s="12"/>
      <c r="AP35" s="12"/>
      <c r="AQ35" s="12"/>
      <c r="AR35" s="12"/>
      <c r="AS35" s="12"/>
      <c r="AT35" s="12"/>
      <c r="AU35" s="12"/>
    </row>
    <row r="36" spans="1:47" x14ac:dyDescent="0.25">
      <c r="A36" s="83">
        <v>32</v>
      </c>
      <c r="B36" s="83">
        <v>9.9</v>
      </c>
      <c r="C36" s="83">
        <v>2</v>
      </c>
      <c r="D36" s="83" t="s">
        <v>214</v>
      </c>
      <c r="E36" s="83">
        <v>10</v>
      </c>
      <c r="F36" s="83" t="str">
        <f t="shared" si="0"/>
        <v xml:space="preserve"> Cu</v>
      </c>
      <c r="G36" s="83">
        <v>78</v>
      </c>
      <c r="I36" s="83">
        <v>32</v>
      </c>
      <c r="J36" s="83">
        <v>9.9</v>
      </c>
      <c r="K36" s="83">
        <v>2</v>
      </c>
      <c r="L36" s="83" t="s">
        <v>215</v>
      </c>
      <c r="M36" s="83">
        <v>25</v>
      </c>
      <c r="N36" s="83" t="str">
        <f t="shared" si="1"/>
        <v xml:space="preserve"> Al</v>
      </c>
      <c r="O36" s="83">
        <v>111</v>
      </c>
      <c r="Q36" s="83">
        <v>63</v>
      </c>
      <c r="R36" s="83">
        <v>9.9</v>
      </c>
      <c r="S36" s="83">
        <v>1</v>
      </c>
      <c r="T36" s="83" t="s">
        <v>216</v>
      </c>
      <c r="U36" s="83">
        <v>50</v>
      </c>
      <c r="V36" s="83" t="str">
        <f t="shared" si="2"/>
        <v xml:space="preserve"> Al</v>
      </c>
      <c r="W36" s="83">
        <v>110</v>
      </c>
      <c r="Y36" s="83">
        <v>40</v>
      </c>
      <c r="Z36" s="83">
        <v>9.9</v>
      </c>
      <c r="AA36" s="83">
        <v>1</v>
      </c>
      <c r="AB36" s="83" t="s">
        <v>215</v>
      </c>
      <c r="AC36" s="83">
        <v>25</v>
      </c>
      <c r="AD36" s="83" t="str">
        <f t="shared" si="3"/>
        <v xml:space="preserve"> Al</v>
      </c>
      <c r="AE36" s="83">
        <v>170</v>
      </c>
    </row>
    <row r="37" spans="1:47" x14ac:dyDescent="0.25">
      <c r="A37" s="83">
        <v>32</v>
      </c>
      <c r="B37" s="83">
        <v>9.9</v>
      </c>
      <c r="C37" s="83">
        <v>2</v>
      </c>
      <c r="D37" s="83" t="s">
        <v>215</v>
      </c>
      <c r="E37" s="83">
        <v>25</v>
      </c>
      <c r="F37" s="83" t="str">
        <f t="shared" ref="F37:F67" si="6">MID(D37,6,3)</f>
        <v xml:space="preserve"> Al</v>
      </c>
      <c r="G37" s="83">
        <v>119</v>
      </c>
      <c r="I37" s="83">
        <v>32</v>
      </c>
      <c r="J37" s="83">
        <v>9.9</v>
      </c>
      <c r="K37" s="83">
        <v>2</v>
      </c>
      <c r="L37" s="83" t="s">
        <v>216</v>
      </c>
      <c r="M37" s="83">
        <v>50</v>
      </c>
      <c r="N37" s="83" t="str">
        <f t="shared" ref="N37:N63" si="7">MID(L37,6,3)</f>
        <v xml:space="preserve"> Al</v>
      </c>
      <c r="O37" s="83">
        <v>205</v>
      </c>
      <c r="Q37" s="178">
        <v>25</v>
      </c>
      <c r="R37" s="178">
        <v>9.9</v>
      </c>
      <c r="S37" s="178">
        <v>2</v>
      </c>
      <c r="T37" s="178" t="s">
        <v>212</v>
      </c>
      <c r="U37" s="178">
        <v>6</v>
      </c>
      <c r="V37" s="178" t="str">
        <f t="shared" ref="V37:V72" si="8">MID(T37,6,3)</f>
        <v>Cu</v>
      </c>
      <c r="W37" s="178">
        <v>63</v>
      </c>
      <c r="X37" s="12"/>
      <c r="Y37" s="83">
        <v>40</v>
      </c>
      <c r="Z37" s="83">
        <v>9.9</v>
      </c>
      <c r="AA37" s="83">
        <v>1</v>
      </c>
      <c r="AB37" s="83" t="s">
        <v>216</v>
      </c>
      <c r="AC37" s="83">
        <v>50</v>
      </c>
      <c r="AD37" s="83" t="str">
        <f t="shared" ref="AD37:AD68" si="9">MID(AB37,6,3)</f>
        <v xml:space="preserve"> Al</v>
      </c>
      <c r="AE37" s="83">
        <v>306</v>
      </c>
      <c r="AF37" s="12"/>
    </row>
    <row r="38" spans="1:47" x14ac:dyDescent="0.25">
      <c r="A38" s="83">
        <v>32</v>
      </c>
      <c r="B38" s="83">
        <v>9.9</v>
      </c>
      <c r="C38" s="83">
        <v>2</v>
      </c>
      <c r="D38" s="83" t="s">
        <v>216</v>
      </c>
      <c r="E38" s="83">
        <v>50</v>
      </c>
      <c r="F38" s="83" t="str">
        <f t="shared" si="6"/>
        <v xml:space="preserve"> Al</v>
      </c>
      <c r="G38" s="83">
        <v>221</v>
      </c>
      <c r="I38" s="83">
        <v>40</v>
      </c>
      <c r="J38" s="83">
        <v>9.9</v>
      </c>
      <c r="K38" s="83">
        <v>2</v>
      </c>
      <c r="L38" s="83" t="s">
        <v>217</v>
      </c>
      <c r="M38" s="83">
        <v>16</v>
      </c>
      <c r="N38" s="83" t="str">
        <f t="shared" si="7"/>
        <v xml:space="preserve"> Cu</v>
      </c>
      <c r="O38" s="83">
        <v>67</v>
      </c>
      <c r="Q38" s="83">
        <v>25</v>
      </c>
      <c r="R38" s="83">
        <v>9.9</v>
      </c>
      <c r="S38" s="83">
        <v>2</v>
      </c>
      <c r="T38" s="83" t="s">
        <v>214</v>
      </c>
      <c r="U38" s="83">
        <v>10</v>
      </c>
      <c r="V38" s="83" t="str">
        <f t="shared" si="8"/>
        <v xml:space="preserve"> Cu</v>
      </c>
      <c r="W38" s="83">
        <v>104</v>
      </c>
      <c r="Y38" s="83">
        <v>50</v>
      </c>
      <c r="Z38" s="83">
        <v>9.9</v>
      </c>
      <c r="AA38" s="83">
        <v>1</v>
      </c>
      <c r="AB38" s="83" t="s">
        <v>215</v>
      </c>
      <c r="AC38" s="83">
        <v>25</v>
      </c>
      <c r="AD38" s="83" t="str">
        <f t="shared" si="9"/>
        <v xml:space="preserve"> Al</v>
      </c>
      <c r="AE38" s="83">
        <v>125</v>
      </c>
    </row>
    <row r="39" spans="1:47" x14ac:dyDescent="0.25">
      <c r="A39" s="83">
        <v>40</v>
      </c>
      <c r="B39" s="83">
        <v>9.9</v>
      </c>
      <c r="C39" s="83">
        <v>2</v>
      </c>
      <c r="D39" s="83" t="s">
        <v>217</v>
      </c>
      <c r="E39" s="83">
        <v>16</v>
      </c>
      <c r="F39" s="83" t="str">
        <f t="shared" si="6"/>
        <v xml:space="preserve"> Cu</v>
      </c>
      <c r="G39" s="83">
        <v>101</v>
      </c>
      <c r="I39" s="83">
        <v>40</v>
      </c>
      <c r="J39" s="83">
        <v>9.9</v>
      </c>
      <c r="K39" s="83">
        <v>2</v>
      </c>
      <c r="L39" s="83" t="s">
        <v>215</v>
      </c>
      <c r="M39" s="83">
        <v>25</v>
      </c>
      <c r="N39" s="83" t="str">
        <f t="shared" si="7"/>
        <v xml:space="preserve"> Al</v>
      </c>
      <c r="O39" s="83">
        <v>64</v>
      </c>
      <c r="P39" s="12"/>
      <c r="Q39" s="83">
        <v>25</v>
      </c>
      <c r="R39" s="83">
        <v>9.9</v>
      </c>
      <c r="S39" s="83">
        <v>2</v>
      </c>
      <c r="T39" s="83" t="s">
        <v>215</v>
      </c>
      <c r="U39" s="83">
        <v>25</v>
      </c>
      <c r="V39" s="83" t="str">
        <f t="shared" si="8"/>
        <v xml:space="preserve"> Al</v>
      </c>
      <c r="W39" s="83">
        <v>158</v>
      </c>
      <c r="Y39" s="83">
        <v>50</v>
      </c>
      <c r="Z39" s="83">
        <v>9.9</v>
      </c>
      <c r="AA39" s="83">
        <v>1</v>
      </c>
      <c r="AB39" s="83" t="s">
        <v>216</v>
      </c>
      <c r="AC39" s="83">
        <v>50</v>
      </c>
      <c r="AD39" s="83" t="str">
        <f t="shared" si="9"/>
        <v xml:space="preserve"> Al</v>
      </c>
      <c r="AE39" s="83">
        <v>232</v>
      </c>
    </row>
    <row r="40" spans="1:47" x14ac:dyDescent="0.25">
      <c r="A40" s="83">
        <v>40</v>
      </c>
      <c r="B40" s="83">
        <v>9.9</v>
      </c>
      <c r="C40" s="83">
        <v>2</v>
      </c>
      <c r="D40" s="83" t="s">
        <v>215</v>
      </c>
      <c r="E40" s="83">
        <v>25</v>
      </c>
      <c r="F40" s="83" t="str">
        <f t="shared" si="6"/>
        <v xml:space="preserve"> Al</v>
      </c>
      <c r="G40" s="83">
        <v>96</v>
      </c>
      <c r="I40" s="83">
        <v>40</v>
      </c>
      <c r="J40" s="83">
        <v>9.9</v>
      </c>
      <c r="K40" s="83">
        <v>2</v>
      </c>
      <c r="L40" s="83" t="s">
        <v>216</v>
      </c>
      <c r="M40" s="83">
        <v>50</v>
      </c>
      <c r="N40" s="83" t="str">
        <f t="shared" si="7"/>
        <v xml:space="preserve"> Al</v>
      </c>
      <c r="O40" s="83">
        <v>118</v>
      </c>
      <c r="Q40" s="83">
        <v>25</v>
      </c>
      <c r="R40" s="83">
        <v>9.9</v>
      </c>
      <c r="S40" s="83">
        <v>2</v>
      </c>
      <c r="T40" s="83" t="s">
        <v>216</v>
      </c>
      <c r="U40" s="83">
        <v>50</v>
      </c>
      <c r="V40" s="83" t="str">
        <f t="shared" si="8"/>
        <v xml:space="preserve"> Al</v>
      </c>
      <c r="W40" s="83">
        <v>286</v>
      </c>
      <c r="Y40" s="83">
        <v>63</v>
      </c>
      <c r="Z40" s="83">
        <v>9.9</v>
      </c>
      <c r="AA40" s="83">
        <v>1</v>
      </c>
      <c r="AB40" s="83" t="s">
        <v>216</v>
      </c>
      <c r="AC40" s="83">
        <v>50</v>
      </c>
      <c r="AD40" s="83" t="str">
        <f t="shared" si="9"/>
        <v xml:space="preserve"> Al</v>
      </c>
      <c r="AE40" s="83">
        <v>118</v>
      </c>
    </row>
    <row r="41" spans="1:47" x14ac:dyDescent="0.25">
      <c r="A41" s="83">
        <v>40</v>
      </c>
      <c r="B41" s="83">
        <v>9.9</v>
      </c>
      <c r="C41" s="83">
        <v>2</v>
      </c>
      <c r="D41" s="83" t="s">
        <v>216</v>
      </c>
      <c r="E41" s="83">
        <v>50</v>
      </c>
      <c r="F41" s="83" t="str">
        <f t="shared" si="6"/>
        <v xml:space="preserve"> Al</v>
      </c>
      <c r="G41" s="83">
        <v>179</v>
      </c>
      <c r="I41" s="83">
        <v>50</v>
      </c>
      <c r="J41" s="83">
        <v>9.9</v>
      </c>
      <c r="K41" s="83">
        <v>2</v>
      </c>
      <c r="L41" s="83" t="s">
        <v>216</v>
      </c>
      <c r="M41" s="83">
        <v>50</v>
      </c>
      <c r="N41" s="83" t="str">
        <f t="shared" si="7"/>
        <v xml:space="preserve"> Al</v>
      </c>
      <c r="O41" s="83">
        <v>26</v>
      </c>
      <c r="P41" s="12"/>
      <c r="Q41" s="83">
        <v>32</v>
      </c>
      <c r="R41" s="83">
        <v>9.9</v>
      </c>
      <c r="S41" s="83">
        <v>2</v>
      </c>
      <c r="T41" s="83" t="s">
        <v>214</v>
      </c>
      <c r="U41" s="83">
        <v>10</v>
      </c>
      <c r="V41" s="83" t="str">
        <f t="shared" si="8"/>
        <v xml:space="preserve"> Cu</v>
      </c>
      <c r="W41" s="83">
        <v>81</v>
      </c>
      <c r="Y41" s="83">
        <v>25</v>
      </c>
      <c r="Z41" s="83">
        <v>9.9</v>
      </c>
      <c r="AA41" s="83">
        <v>2</v>
      </c>
      <c r="AB41" s="83" t="s">
        <v>212</v>
      </c>
      <c r="AC41" s="83">
        <v>6</v>
      </c>
      <c r="AD41" s="83" t="str">
        <f t="shared" si="9"/>
        <v>Cu</v>
      </c>
      <c r="AE41" s="83">
        <v>108</v>
      </c>
    </row>
    <row r="42" spans="1:47" x14ac:dyDescent="0.25">
      <c r="A42" s="83">
        <v>63</v>
      </c>
      <c r="B42" s="83">
        <v>9.9</v>
      </c>
      <c r="C42" s="83">
        <v>2</v>
      </c>
      <c r="D42" s="83" t="s">
        <v>216</v>
      </c>
      <c r="E42" s="83">
        <v>50</v>
      </c>
      <c r="F42" s="83" t="str">
        <f t="shared" si="6"/>
        <v xml:space="preserve"> Al</v>
      </c>
      <c r="G42" s="83">
        <v>108</v>
      </c>
      <c r="I42" s="83">
        <v>25</v>
      </c>
      <c r="J42" s="83">
        <v>9.9</v>
      </c>
      <c r="K42" s="83">
        <v>5</v>
      </c>
      <c r="L42" s="83" t="s">
        <v>212</v>
      </c>
      <c r="M42" s="83">
        <v>6</v>
      </c>
      <c r="N42" s="83" t="str">
        <f t="shared" si="7"/>
        <v>Cu</v>
      </c>
      <c r="O42" s="83">
        <v>78</v>
      </c>
      <c r="Q42" s="83">
        <v>32</v>
      </c>
      <c r="R42" s="83">
        <v>9.9</v>
      </c>
      <c r="S42" s="83">
        <v>2</v>
      </c>
      <c r="T42" s="83" t="s">
        <v>215</v>
      </c>
      <c r="U42" s="83">
        <v>25</v>
      </c>
      <c r="V42" s="83" t="str">
        <f t="shared" si="8"/>
        <v xml:space="preserve"> Al</v>
      </c>
      <c r="W42" s="83">
        <v>122</v>
      </c>
      <c r="Y42" s="83">
        <v>25</v>
      </c>
      <c r="Z42" s="83">
        <v>9.9</v>
      </c>
      <c r="AA42" s="83">
        <v>2</v>
      </c>
      <c r="AB42" s="83" t="s">
        <v>214</v>
      </c>
      <c r="AC42" s="83">
        <v>10</v>
      </c>
      <c r="AD42" s="83" t="str">
        <f t="shared" si="9"/>
        <v xml:space="preserve"> Cu</v>
      </c>
      <c r="AE42" s="83">
        <v>180</v>
      </c>
    </row>
    <row r="43" spans="1:47" x14ac:dyDescent="0.25">
      <c r="A43" s="83">
        <v>80</v>
      </c>
      <c r="B43" s="83">
        <v>9.9</v>
      </c>
      <c r="C43" s="83">
        <v>2</v>
      </c>
      <c r="D43" s="83" t="s">
        <v>218</v>
      </c>
      <c r="E43" s="83">
        <v>95</v>
      </c>
      <c r="F43" s="83" t="str">
        <f t="shared" si="6"/>
        <v xml:space="preserve"> Al</v>
      </c>
      <c r="G43" s="83">
        <v>170</v>
      </c>
      <c r="I43" s="83">
        <v>25</v>
      </c>
      <c r="J43" s="83">
        <v>9.9</v>
      </c>
      <c r="K43" s="83">
        <v>5</v>
      </c>
      <c r="L43" s="83" t="s">
        <v>214</v>
      </c>
      <c r="M43" s="83">
        <v>10</v>
      </c>
      <c r="N43" s="83" t="str">
        <f t="shared" si="7"/>
        <v xml:space="preserve"> Cu</v>
      </c>
      <c r="O43" s="83">
        <v>132</v>
      </c>
      <c r="Q43" s="83">
        <v>32</v>
      </c>
      <c r="R43" s="83">
        <v>9.9</v>
      </c>
      <c r="S43" s="83">
        <v>2</v>
      </c>
      <c r="T43" s="83" t="s">
        <v>216</v>
      </c>
      <c r="U43" s="83">
        <v>50</v>
      </c>
      <c r="V43" s="83" t="str">
        <f t="shared" si="8"/>
        <v xml:space="preserve"> Al</v>
      </c>
      <c r="W43" s="83">
        <v>223</v>
      </c>
      <c r="Y43" s="83">
        <v>25</v>
      </c>
      <c r="Z43" s="83">
        <v>9.9</v>
      </c>
      <c r="AA43" s="83">
        <v>2</v>
      </c>
      <c r="AB43" s="83" t="s">
        <v>215</v>
      </c>
      <c r="AC43" s="83">
        <v>25</v>
      </c>
      <c r="AD43" s="83" t="str">
        <f t="shared" si="9"/>
        <v xml:space="preserve"> Al</v>
      </c>
      <c r="AE43" s="83">
        <v>275</v>
      </c>
    </row>
    <row r="44" spans="1:47" x14ac:dyDescent="0.25">
      <c r="A44" s="83">
        <v>25</v>
      </c>
      <c r="B44" s="83">
        <v>9.9</v>
      </c>
      <c r="C44" s="83">
        <v>5</v>
      </c>
      <c r="D44" s="83" t="s">
        <v>212</v>
      </c>
      <c r="E44" s="83">
        <v>6</v>
      </c>
      <c r="F44" s="83" t="str">
        <f t="shared" si="6"/>
        <v>Cu</v>
      </c>
      <c r="G44" s="83">
        <v>63</v>
      </c>
      <c r="I44" s="83">
        <v>25</v>
      </c>
      <c r="J44" s="83">
        <v>9.9</v>
      </c>
      <c r="K44" s="83">
        <v>5</v>
      </c>
      <c r="L44" s="83" t="s">
        <v>215</v>
      </c>
      <c r="M44" s="83">
        <v>25</v>
      </c>
      <c r="N44" s="83" t="str">
        <f t="shared" si="7"/>
        <v xml:space="preserve"> Al</v>
      </c>
      <c r="O44" s="83">
        <v>199</v>
      </c>
      <c r="Q44" s="83">
        <v>40</v>
      </c>
      <c r="R44" s="83">
        <v>9.9</v>
      </c>
      <c r="S44" s="83">
        <v>2</v>
      </c>
      <c r="T44" s="83" t="s">
        <v>217</v>
      </c>
      <c r="U44" s="83">
        <v>16</v>
      </c>
      <c r="V44" s="83" t="str">
        <f t="shared" si="8"/>
        <v xml:space="preserve"> Cu</v>
      </c>
      <c r="W44" s="83">
        <v>103</v>
      </c>
      <c r="Y44" s="83">
        <v>25</v>
      </c>
      <c r="Z44" s="83">
        <v>9.9</v>
      </c>
      <c r="AA44" s="83">
        <v>2</v>
      </c>
      <c r="AB44" s="83" t="s">
        <v>216</v>
      </c>
      <c r="AC44" s="83">
        <v>50</v>
      </c>
      <c r="AD44" s="83" t="str">
        <f t="shared" si="9"/>
        <v xml:space="preserve"> Al</v>
      </c>
      <c r="AE44" s="83">
        <v>490</v>
      </c>
    </row>
    <row r="45" spans="1:47" x14ac:dyDescent="0.25">
      <c r="A45" s="83">
        <v>25</v>
      </c>
      <c r="B45" s="83">
        <v>9.9</v>
      </c>
      <c r="C45" s="83">
        <v>5</v>
      </c>
      <c r="D45" s="83" t="s">
        <v>214</v>
      </c>
      <c r="E45" s="83">
        <v>10</v>
      </c>
      <c r="F45" s="83" t="str">
        <f t="shared" si="6"/>
        <v xml:space="preserve"> Cu</v>
      </c>
      <c r="G45" s="83">
        <v>105</v>
      </c>
      <c r="I45" s="83">
        <v>25</v>
      </c>
      <c r="J45" s="83">
        <v>9.9</v>
      </c>
      <c r="K45" s="83">
        <v>5</v>
      </c>
      <c r="L45" s="83" t="s">
        <v>216</v>
      </c>
      <c r="M45" s="83">
        <v>50</v>
      </c>
      <c r="N45" s="83" t="str">
        <f t="shared" si="7"/>
        <v xml:space="preserve"> Al</v>
      </c>
      <c r="O45" s="83">
        <v>368</v>
      </c>
      <c r="Q45" s="83">
        <v>40</v>
      </c>
      <c r="R45" s="83">
        <v>9.9</v>
      </c>
      <c r="S45" s="83">
        <v>2</v>
      </c>
      <c r="T45" s="83" t="s">
        <v>215</v>
      </c>
      <c r="U45" s="83">
        <v>25</v>
      </c>
      <c r="V45" s="83" t="str">
        <f t="shared" si="8"/>
        <v xml:space="preserve"> Al</v>
      </c>
      <c r="W45" s="83">
        <v>97</v>
      </c>
      <c r="Y45" s="83">
        <v>32</v>
      </c>
      <c r="Z45" s="83">
        <v>9.9</v>
      </c>
      <c r="AA45" s="83">
        <v>2</v>
      </c>
      <c r="AB45" s="83" t="s">
        <v>214</v>
      </c>
      <c r="AC45" s="83">
        <v>10</v>
      </c>
      <c r="AD45" s="83" t="str">
        <f t="shared" si="9"/>
        <v xml:space="preserve"> Cu</v>
      </c>
      <c r="AE45" s="83">
        <v>142</v>
      </c>
    </row>
    <row r="46" spans="1:47" x14ac:dyDescent="0.25">
      <c r="A46" s="83">
        <v>25</v>
      </c>
      <c r="B46" s="83">
        <v>9.9</v>
      </c>
      <c r="C46" s="83">
        <v>5</v>
      </c>
      <c r="D46" s="83" t="s">
        <v>215</v>
      </c>
      <c r="E46" s="83">
        <v>25</v>
      </c>
      <c r="F46" s="83" t="str">
        <f t="shared" si="6"/>
        <v xml:space="preserve"> Al</v>
      </c>
      <c r="G46" s="83">
        <v>158</v>
      </c>
      <c r="I46" s="83">
        <v>32</v>
      </c>
      <c r="J46" s="83">
        <v>9.9</v>
      </c>
      <c r="K46" s="83">
        <v>5</v>
      </c>
      <c r="L46" s="83" t="s">
        <v>214</v>
      </c>
      <c r="M46" s="83">
        <v>10</v>
      </c>
      <c r="N46" s="83" t="str">
        <f t="shared" si="7"/>
        <v xml:space="preserve"> Cu</v>
      </c>
      <c r="O46" s="83">
        <v>73</v>
      </c>
      <c r="Q46" s="83">
        <v>40</v>
      </c>
      <c r="R46" s="83">
        <v>9.9</v>
      </c>
      <c r="S46" s="83">
        <v>2</v>
      </c>
      <c r="T46" s="83" t="s">
        <v>216</v>
      </c>
      <c r="U46" s="83">
        <v>50</v>
      </c>
      <c r="V46" s="83" t="str">
        <f t="shared" si="8"/>
        <v xml:space="preserve"> Al</v>
      </c>
      <c r="W46" s="83">
        <v>179</v>
      </c>
      <c r="Y46" s="83">
        <v>32</v>
      </c>
      <c r="Z46" s="83">
        <v>9.9</v>
      </c>
      <c r="AA46" s="83">
        <v>2</v>
      </c>
      <c r="AB46" s="83" t="s">
        <v>215</v>
      </c>
      <c r="AC46" s="83">
        <v>25</v>
      </c>
      <c r="AD46" s="83" t="str">
        <f t="shared" si="9"/>
        <v xml:space="preserve"> Al</v>
      </c>
      <c r="AE46" s="83">
        <v>214</v>
      </c>
    </row>
    <row r="47" spans="1:47" x14ac:dyDescent="0.25">
      <c r="A47" s="83">
        <v>25</v>
      </c>
      <c r="B47" s="83">
        <v>9.9</v>
      </c>
      <c r="C47" s="83">
        <v>5</v>
      </c>
      <c r="D47" s="83" t="s">
        <v>216</v>
      </c>
      <c r="E47" s="83">
        <v>50</v>
      </c>
      <c r="F47" s="83" t="str">
        <f t="shared" si="6"/>
        <v xml:space="preserve"> Al</v>
      </c>
      <c r="G47" s="83">
        <v>288</v>
      </c>
      <c r="I47" s="83">
        <v>32</v>
      </c>
      <c r="J47" s="83">
        <v>9.9</v>
      </c>
      <c r="K47" s="83">
        <v>5</v>
      </c>
      <c r="L47" s="83" t="s">
        <v>215</v>
      </c>
      <c r="M47" s="83">
        <v>25</v>
      </c>
      <c r="N47" s="83" t="str">
        <f t="shared" si="7"/>
        <v xml:space="preserve"> Al</v>
      </c>
      <c r="O47" s="83">
        <v>111</v>
      </c>
      <c r="Q47" s="83">
        <v>63</v>
      </c>
      <c r="R47" s="83">
        <v>9.9</v>
      </c>
      <c r="S47" s="83">
        <v>2</v>
      </c>
      <c r="T47" s="83" t="s">
        <v>216</v>
      </c>
      <c r="U47" s="83">
        <v>50</v>
      </c>
      <c r="V47" s="83" t="str">
        <f t="shared" si="8"/>
        <v xml:space="preserve"> Al</v>
      </c>
      <c r="W47" s="83">
        <v>113</v>
      </c>
      <c r="Y47" s="83">
        <v>32</v>
      </c>
      <c r="Z47" s="83">
        <v>9.9</v>
      </c>
      <c r="AA47" s="83">
        <v>2</v>
      </c>
      <c r="AB47" s="83" t="s">
        <v>216</v>
      </c>
      <c r="AC47" s="83">
        <v>50</v>
      </c>
      <c r="AD47" s="83" t="str">
        <f t="shared" si="9"/>
        <v xml:space="preserve"> Al</v>
      </c>
      <c r="AE47" s="83">
        <v>390</v>
      </c>
    </row>
    <row r="48" spans="1:47" x14ac:dyDescent="0.25">
      <c r="A48" s="83">
        <v>32</v>
      </c>
      <c r="B48" s="83">
        <v>9.9</v>
      </c>
      <c r="C48" s="83">
        <v>5</v>
      </c>
      <c r="D48" s="83" t="s">
        <v>214</v>
      </c>
      <c r="E48" s="83">
        <v>10</v>
      </c>
      <c r="F48" s="83" t="str">
        <f t="shared" si="6"/>
        <v xml:space="preserve"> Cu</v>
      </c>
      <c r="G48" s="83">
        <v>82</v>
      </c>
      <c r="I48" s="83">
        <v>32</v>
      </c>
      <c r="J48" s="83">
        <v>9.9</v>
      </c>
      <c r="K48" s="83">
        <v>5</v>
      </c>
      <c r="L48" s="83" t="s">
        <v>216</v>
      </c>
      <c r="M48" s="83">
        <v>50</v>
      </c>
      <c r="N48" s="83" t="str">
        <f t="shared" si="7"/>
        <v xml:space="preserve"> Al</v>
      </c>
      <c r="O48" s="83">
        <v>205</v>
      </c>
      <c r="Q48" s="83">
        <v>80</v>
      </c>
      <c r="R48" s="83">
        <v>9.9</v>
      </c>
      <c r="S48" s="83">
        <v>2</v>
      </c>
      <c r="T48" s="83" t="s">
        <v>218</v>
      </c>
      <c r="U48" s="83">
        <v>95</v>
      </c>
      <c r="V48" s="83" t="str">
        <f t="shared" si="8"/>
        <v xml:space="preserve"> Al</v>
      </c>
      <c r="W48" s="83">
        <v>170</v>
      </c>
      <c r="Y48" s="83">
        <v>40</v>
      </c>
      <c r="Z48" s="83">
        <v>9.9</v>
      </c>
      <c r="AA48" s="83">
        <v>2</v>
      </c>
      <c r="AB48" s="83" t="s">
        <v>217</v>
      </c>
      <c r="AC48" s="83">
        <v>16</v>
      </c>
      <c r="AD48" s="83" t="str">
        <f t="shared" si="9"/>
        <v xml:space="preserve"> Cu</v>
      </c>
      <c r="AE48" s="83">
        <v>178</v>
      </c>
    </row>
    <row r="49" spans="1:31" x14ac:dyDescent="0.25">
      <c r="A49" s="83">
        <v>32</v>
      </c>
      <c r="B49" s="83">
        <v>9.9</v>
      </c>
      <c r="C49" s="83">
        <v>5</v>
      </c>
      <c r="D49" s="83" t="s">
        <v>215</v>
      </c>
      <c r="E49" s="83">
        <v>25</v>
      </c>
      <c r="F49" s="83" t="str">
        <f t="shared" si="6"/>
        <v xml:space="preserve"> Al</v>
      </c>
      <c r="G49" s="83">
        <v>123</v>
      </c>
      <c r="I49" s="83">
        <v>40</v>
      </c>
      <c r="J49" s="83">
        <v>9.9</v>
      </c>
      <c r="K49" s="83">
        <v>5</v>
      </c>
      <c r="L49" s="83" t="s">
        <v>217</v>
      </c>
      <c r="M49" s="83">
        <v>16</v>
      </c>
      <c r="N49" s="83" t="str">
        <f t="shared" si="7"/>
        <v xml:space="preserve"> Cu</v>
      </c>
      <c r="O49" s="83">
        <v>67</v>
      </c>
      <c r="Q49" s="178">
        <v>25</v>
      </c>
      <c r="R49" s="178">
        <v>9.9</v>
      </c>
      <c r="S49" s="178">
        <v>5</v>
      </c>
      <c r="T49" s="178" t="s">
        <v>212</v>
      </c>
      <c r="U49" s="178">
        <v>6</v>
      </c>
      <c r="V49" s="178" t="str">
        <f t="shared" si="8"/>
        <v>Cu</v>
      </c>
      <c r="W49" s="178">
        <v>63</v>
      </c>
      <c r="Y49" s="83">
        <v>40</v>
      </c>
      <c r="Z49" s="83">
        <v>9.9</v>
      </c>
      <c r="AA49" s="83">
        <v>2</v>
      </c>
      <c r="AB49" s="83" t="s">
        <v>215</v>
      </c>
      <c r="AC49" s="83">
        <v>25</v>
      </c>
      <c r="AD49" s="83" t="str">
        <f t="shared" si="9"/>
        <v xml:space="preserve"> Al</v>
      </c>
      <c r="AE49" s="83">
        <v>172</v>
      </c>
    </row>
    <row r="50" spans="1:31" x14ac:dyDescent="0.25">
      <c r="A50" s="83">
        <v>32</v>
      </c>
      <c r="B50" s="83">
        <v>9.9</v>
      </c>
      <c r="C50" s="83">
        <v>5</v>
      </c>
      <c r="D50" s="83" t="s">
        <v>216</v>
      </c>
      <c r="E50" s="83">
        <v>50</v>
      </c>
      <c r="F50" s="83" t="str">
        <f t="shared" si="6"/>
        <v xml:space="preserve"> Al</v>
      </c>
      <c r="G50" s="83">
        <v>226</v>
      </c>
      <c r="I50" s="83">
        <v>40</v>
      </c>
      <c r="J50" s="83">
        <v>9.9</v>
      </c>
      <c r="K50" s="83">
        <v>5</v>
      </c>
      <c r="L50" s="83" t="s">
        <v>215</v>
      </c>
      <c r="M50" s="83">
        <v>25</v>
      </c>
      <c r="N50" s="83" t="str">
        <f t="shared" si="7"/>
        <v xml:space="preserve"> Al</v>
      </c>
      <c r="O50" s="83">
        <v>64</v>
      </c>
      <c r="Q50" s="83">
        <v>25</v>
      </c>
      <c r="R50" s="83">
        <v>9.9</v>
      </c>
      <c r="S50" s="83">
        <v>5</v>
      </c>
      <c r="T50" s="83" t="s">
        <v>214</v>
      </c>
      <c r="U50" s="83">
        <v>10</v>
      </c>
      <c r="V50" s="83" t="str">
        <f t="shared" si="8"/>
        <v xml:space="preserve"> Cu</v>
      </c>
      <c r="W50" s="83">
        <v>104</v>
      </c>
      <c r="Y50" s="83">
        <v>40</v>
      </c>
      <c r="Z50" s="83">
        <v>9.9</v>
      </c>
      <c r="AA50" s="83">
        <v>2</v>
      </c>
      <c r="AB50" s="83" t="s">
        <v>216</v>
      </c>
      <c r="AC50" s="83">
        <v>50</v>
      </c>
      <c r="AD50" s="83" t="str">
        <f t="shared" si="9"/>
        <v xml:space="preserve"> Al</v>
      </c>
      <c r="AE50" s="83">
        <v>312</v>
      </c>
    </row>
    <row r="51" spans="1:31" x14ac:dyDescent="0.25">
      <c r="A51" s="83">
        <v>40</v>
      </c>
      <c r="B51" s="83">
        <v>9.9</v>
      </c>
      <c r="C51" s="83">
        <v>5</v>
      </c>
      <c r="D51" s="83" t="s">
        <v>217</v>
      </c>
      <c r="E51" s="83">
        <v>16</v>
      </c>
      <c r="F51" s="83" t="str">
        <f t="shared" si="6"/>
        <v xml:space="preserve"> Cu</v>
      </c>
      <c r="G51" s="83">
        <v>103</v>
      </c>
      <c r="I51" s="83">
        <v>40</v>
      </c>
      <c r="J51" s="83">
        <v>9.9</v>
      </c>
      <c r="K51" s="83">
        <v>5</v>
      </c>
      <c r="L51" s="83" t="s">
        <v>216</v>
      </c>
      <c r="M51" s="83">
        <v>50</v>
      </c>
      <c r="N51" s="83" t="str">
        <f t="shared" si="7"/>
        <v xml:space="preserve"> Al</v>
      </c>
      <c r="O51" s="83">
        <v>118</v>
      </c>
      <c r="Q51" s="83">
        <v>25</v>
      </c>
      <c r="R51" s="83">
        <v>9.9</v>
      </c>
      <c r="S51" s="83">
        <v>5</v>
      </c>
      <c r="T51" s="83" t="s">
        <v>215</v>
      </c>
      <c r="U51" s="83">
        <v>25</v>
      </c>
      <c r="V51" s="83" t="str">
        <f t="shared" si="8"/>
        <v xml:space="preserve"> Al</v>
      </c>
      <c r="W51" s="83">
        <v>158</v>
      </c>
      <c r="Y51" s="83">
        <v>50</v>
      </c>
      <c r="Z51" s="83">
        <v>9.9</v>
      </c>
      <c r="AA51" s="83">
        <v>2</v>
      </c>
      <c r="AB51" s="83" t="s">
        <v>215</v>
      </c>
      <c r="AC51" s="83">
        <v>25</v>
      </c>
      <c r="AD51" s="83" t="str">
        <f t="shared" si="9"/>
        <v xml:space="preserve"> Al</v>
      </c>
      <c r="AE51" s="83">
        <v>126</v>
      </c>
    </row>
    <row r="52" spans="1:31" x14ac:dyDescent="0.25">
      <c r="A52" s="83">
        <v>40</v>
      </c>
      <c r="B52" s="83">
        <v>9.9</v>
      </c>
      <c r="C52" s="83">
        <v>5</v>
      </c>
      <c r="D52" s="83" t="s">
        <v>215</v>
      </c>
      <c r="E52" s="83">
        <v>25</v>
      </c>
      <c r="F52" s="83" t="str">
        <f t="shared" si="6"/>
        <v xml:space="preserve"> Al</v>
      </c>
      <c r="G52" s="83">
        <v>99</v>
      </c>
      <c r="I52" s="83">
        <v>50</v>
      </c>
      <c r="J52" s="83">
        <v>9.9</v>
      </c>
      <c r="K52" s="83">
        <v>5</v>
      </c>
      <c r="L52" s="83" t="s">
        <v>216</v>
      </c>
      <c r="M52" s="83">
        <v>50</v>
      </c>
      <c r="N52" s="83" t="str">
        <f t="shared" si="7"/>
        <v xml:space="preserve"> Al</v>
      </c>
      <c r="O52" s="83">
        <v>26</v>
      </c>
      <c r="Q52" s="83">
        <v>25</v>
      </c>
      <c r="R52" s="83">
        <v>9.9</v>
      </c>
      <c r="S52" s="83">
        <v>5</v>
      </c>
      <c r="T52" s="83" t="s">
        <v>216</v>
      </c>
      <c r="U52" s="83">
        <v>50</v>
      </c>
      <c r="V52" s="83" t="str">
        <f t="shared" si="8"/>
        <v xml:space="preserve"> Al</v>
      </c>
      <c r="W52" s="83">
        <v>286</v>
      </c>
      <c r="Y52" s="83">
        <v>50</v>
      </c>
      <c r="Z52" s="83">
        <v>9.9</v>
      </c>
      <c r="AA52" s="83">
        <v>2</v>
      </c>
      <c r="AB52" s="83" t="s">
        <v>216</v>
      </c>
      <c r="AC52" s="83">
        <v>50</v>
      </c>
      <c r="AD52" s="83" t="str">
        <f t="shared" si="9"/>
        <v xml:space="preserve"> Al</v>
      </c>
      <c r="AE52" s="83">
        <v>232</v>
      </c>
    </row>
    <row r="53" spans="1:31" x14ac:dyDescent="0.25">
      <c r="A53" s="83">
        <v>40</v>
      </c>
      <c r="B53" s="83">
        <v>9.9</v>
      </c>
      <c r="C53" s="83">
        <v>5</v>
      </c>
      <c r="D53" s="83" t="s">
        <v>216</v>
      </c>
      <c r="E53" s="83">
        <v>50</v>
      </c>
      <c r="F53" s="83" t="str">
        <f t="shared" si="6"/>
        <v xml:space="preserve"> Al</v>
      </c>
      <c r="G53" s="83">
        <v>180</v>
      </c>
      <c r="I53" s="83">
        <v>25</v>
      </c>
      <c r="J53" s="83">
        <v>9.9</v>
      </c>
      <c r="K53" s="83">
        <v>8.5</v>
      </c>
      <c r="L53" s="83" t="s">
        <v>212</v>
      </c>
      <c r="M53" s="83">
        <v>6</v>
      </c>
      <c r="N53" s="83" t="str">
        <f t="shared" si="7"/>
        <v>Cu</v>
      </c>
      <c r="O53" s="83">
        <v>63</v>
      </c>
      <c r="Q53" s="83">
        <v>32</v>
      </c>
      <c r="R53" s="83">
        <v>9.9</v>
      </c>
      <c r="S53" s="83">
        <v>5</v>
      </c>
      <c r="T53" s="83" t="s">
        <v>214</v>
      </c>
      <c r="U53" s="83">
        <v>10</v>
      </c>
      <c r="V53" s="83" t="str">
        <f t="shared" si="8"/>
        <v xml:space="preserve"> Cu</v>
      </c>
      <c r="W53" s="83">
        <v>81</v>
      </c>
      <c r="Y53" s="83">
        <v>63</v>
      </c>
      <c r="Z53" s="83">
        <v>9.9</v>
      </c>
      <c r="AA53" s="83">
        <v>2</v>
      </c>
      <c r="AB53" s="83" t="s">
        <v>216</v>
      </c>
      <c r="AC53" s="83">
        <v>50</v>
      </c>
      <c r="AD53" s="83" t="str">
        <f t="shared" si="9"/>
        <v xml:space="preserve"> Al</v>
      </c>
      <c r="AE53" s="83">
        <v>119</v>
      </c>
    </row>
    <row r="54" spans="1:31" x14ac:dyDescent="0.25">
      <c r="A54" s="83">
        <v>63</v>
      </c>
      <c r="B54" s="83">
        <v>9.9</v>
      </c>
      <c r="C54" s="83">
        <v>5</v>
      </c>
      <c r="D54" s="83" t="s">
        <v>216</v>
      </c>
      <c r="E54" s="83">
        <v>50</v>
      </c>
      <c r="F54" s="83" t="str">
        <f t="shared" si="6"/>
        <v xml:space="preserve"> Al</v>
      </c>
      <c r="G54" s="83">
        <v>114</v>
      </c>
      <c r="I54" s="83">
        <v>25</v>
      </c>
      <c r="J54" s="83">
        <v>9.9</v>
      </c>
      <c r="K54" s="83">
        <v>8.5</v>
      </c>
      <c r="L54" s="83" t="s">
        <v>214</v>
      </c>
      <c r="M54" s="83">
        <v>10</v>
      </c>
      <c r="N54" s="83" t="str">
        <f t="shared" si="7"/>
        <v xml:space="preserve"> Cu</v>
      </c>
      <c r="O54" s="83">
        <v>105</v>
      </c>
      <c r="Q54" s="83">
        <v>32</v>
      </c>
      <c r="R54" s="83">
        <v>9.9</v>
      </c>
      <c r="S54" s="83">
        <v>5</v>
      </c>
      <c r="T54" s="83" t="s">
        <v>215</v>
      </c>
      <c r="U54" s="83">
        <v>25</v>
      </c>
      <c r="V54" s="83" t="str">
        <f t="shared" si="8"/>
        <v xml:space="preserve"> Al</v>
      </c>
      <c r="W54" s="83">
        <v>122</v>
      </c>
      <c r="Y54" s="83">
        <v>25</v>
      </c>
      <c r="Z54" s="83">
        <v>9.9</v>
      </c>
      <c r="AA54" s="83">
        <v>5</v>
      </c>
      <c r="AB54" s="83" t="s">
        <v>212</v>
      </c>
      <c r="AC54" s="83">
        <v>6</v>
      </c>
      <c r="AD54" s="83" t="str">
        <f t="shared" si="9"/>
        <v>Cu</v>
      </c>
      <c r="AE54" s="83">
        <v>108</v>
      </c>
    </row>
    <row r="55" spans="1:31" x14ac:dyDescent="0.25">
      <c r="A55" s="83">
        <v>80</v>
      </c>
      <c r="B55" s="83">
        <v>9.9</v>
      </c>
      <c r="C55" s="83">
        <v>5</v>
      </c>
      <c r="D55" s="83" t="s">
        <v>218</v>
      </c>
      <c r="E55" s="83">
        <v>95</v>
      </c>
      <c r="F55" s="83" t="str">
        <f t="shared" si="6"/>
        <v xml:space="preserve"> Al</v>
      </c>
      <c r="G55" s="83">
        <v>170</v>
      </c>
      <c r="I55" s="83">
        <v>25</v>
      </c>
      <c r="J55" s="83">
        <v>9.9</v>
      </c>
      <c r="K55" s="83">
        <v>8.5</v>
      </c>
      <c r="L55" s="83" t="s">
        <v>215</v>
      </c>
      <c r="M55" s="83">
        <v>25</v>
      </c>
      <c r="N55" s="83" t="str">
        <f t="shared" si="7"/>
        <v xml:space="preserve"> Al</v>
      </c>
      <c r="O55" s="83">
        <v>158</v>
      </c>
      <c r="Q55" s="83">
        <v>32</v>
      </c>
      <c r="R55" s="83">
        <v>9.9</v>
      </c>
      <c r="S55" s="83">
        <v>5</v>
      </c>
      <c r="T55" s="83" t="s">
        <v>216</v>
      </c>
      <c r="U55" s="83">
        <v>50</v>
      </c>
      <c r="V55" s="83" t="str">
        <f t="shared" si="8"/>
        <v xml:space="preserve"> Al</v>
      </c>
      <c r="W55" s="83">
        <v>226</v>
      </c>
      <c r="Y55" s="83">
        <v>25</v>
      </c>
      <c r="Z55" s="83">
        <v>9.9</v>
      </c>
      <c r="AA55" s="83">
        <v>5</v>
      </c>
      <c r="AB55" s="83" t="s">
        <v>214</v>
      </c>
      <c r="AC55" s="83">
        <v>10</v>
      </c>
      <c r="AD55" s="83" t="str">
        <f t="shared" si="9"/>
        <v xml:space="preserve"> Cu</v>
      </c>
      <c r="AE55" s="83">
        <v>180</v>
      </c>
    </row>
    <row r="56" spans="1:31" x14ac:dyDescent="0.25">
      <c r="A56" s="83">
        <v>25</v>
      </c>
      <c r="B56" s="83">
        <v>9.9</v>
      </c>
      <c r="C56" s="83">
        <v>8.5</v>
      </c>
      <c r="D56" s="83" t="s">
        <v>212</v>
      </c>
      <c r="E56" s="83">
        <v>6</v>
      </c>
      <c r="F56" s="83" t="str">
        <f t="shared" si="6"/>
        <v>Cu</v>
      </c>
      <c r="G56" s="83">
        <v>63</v>
      </c>
      <c r="I56" s="83">
        <v>25</v>
      </c>
      <c r="J56" s="83">
        <v>9.9</v>
      </c>
      <c r="K56" s="83">
        <v>8.5</v>
      </c>
      <c r="L56" s="83" t="s">
        <v>216</v>
      </c>
      <c r="M56" s="83">
        <v>50</v>
      </c>
      <c r="N56" s="83" t="str">
        <f t="shared" si="7"/>
        <v xml:space="preserve"> Al</v>
      </c>
      <c r="O56" s="83">
        <v>289</v>
      </c>
      <c r="Q56" s="83">
        <v>40</v>
      </c>
      <c r="R56" s="83">
        <v>9.9</v>
      </c>
      <c r="S56" s="83">
        <v>5</v>
      </c>
      <c r="T56" s="83" t="s">
        <v>217</v>
      </c>
      <c r="U56" s="83">
        <v>16</v>
      </c>
      <c r="V56" s="83" t="str">
        <f t="shared" si="8"/>
        <v xml:space="preserve"> Cu</v>
      </c>
      <c r="W56" s="83">
        <v>103</v>
      </c>
      <c r="Y56" s="83">
        <v>25</v>
      </c>
      <c r="Z56" s="83">
        <v>9.9</v>
      </c>
      <c r="AA56" s="83">
        <v>5</v>
      </c>
      <c r="AB56" s="83" t="s">
        <v>215</v>
      </c>
      <c r="AC56" s="83">
        <v>25</v>
      </c>
      <c r="AD56" s="83" t="str">
        <f t="shared" si="9"/>
        <v xml:space="preserve"> Al</v>
      </c>
      <c r="AE56" s="83">
        <v>275</v>
      </c>
    </row>
    <row r="57" spans="1:31" x14ac:dyDescent="0.25">
      <c r="A57" s="83">
        <v>25</v>
      </c>
      <c r="B57" s="83">
        <v>9.9</v>
      </c>
      <c r="C57" s="83">
        <v>8.5</v>
      </c>
      <c r="D57" s="83" t="s">
        <v>214</v>
      </c>
      <c r="E57" s="83">
        <v>10</v>
      </c>
      <c r="F57" s="83" t="str">
        <f t="shared" si="6"/>
        <v xml:space="preserve"> Cu</v>
      </c>
      <c r="G57" s="83">
        <v>105</v>
      </c>
      <c r="I57" s="83">
        <v>32</v>
      </c>
      <c r="J57" s="83">
        <v>9.9</v>
      </c>
      <c r="K57" s="83">
        <v>8.5</v>
      </c>
      <c r="L57" s="83" t="s">
        <v>214</v>
      </c>
      <c r="M57" s="83">
        <v>10</v>
      </c>
      <c r="N57" s="83" t="str">
        <f t="shared" si="7"/>
        <v xml:space="preserve"> Cu</v>
      </c>
      <c r="O57" s="83">
        <v>82</v>
      </c>
      <c r="Q57" s="83">
        <v>40</v>
      </c>
      <c r="R57" s="83">
        <v>9.9</v>
      </c>
      <c r="S57" s="83">
        <v>5</v>
      </c>
      <c r="T57" s="83" t="s">
        <v>215</v>
      </c>
      <c r="U57" s="83">
        <v>25</v>
      </c>
      <c r="V57" s="83" t="str">
        <f t="shared" si="8"/>
        <v xml:space="preserve"> Al</v>
      </c>
      <c r="W57" s="83">
        <v>97</v>
      </c>
      <c r="Y57" s="83">
        <v>25</v>
      </c>
      <c r="Z57" s="83">
        <v>9.9</v>
      </c>
      <c r="AA57" s="83">
        <v>5</v>
      </c>
      <c r="AB57" s="83" t="s">
        <v>216</v>
      </c>
      <c r="AC57" s="83">
        <v>50</v>
      </c>
      <c r="AD57" s="83" t="str">
        <f t="shared" si="9"/>
        <v xml:space="preserve"> Al</v>
      </c>
      <c r="AE57" s="83">
        <v>490</v>
      </c>
    </row>
    <row r="58" spans="1:31" x14ac:dyDescent="0.25">
      <c r="A58" s="83">
        <v>25</v>
      </c>
      <c r="B58" s="83">
        <v>9.9</v>
      </c>
      <c r="C58" s="83">
        <v>8.5</v>
      </c>
      <c r="D58" s="83" t="s">
        <v>215</v>
      </c>
      <c r="E58" s="83">
        <v>25</v>
      </c>
      <c r="F58" s="83" t="str">
        <f t="shared" si="6"/>
        <v xml:space="preserve"> Al</v>
      </c>
      <c r="G58" s="83">
        <v>158</v>
      </c>
      <c r="I58" s="83">
        <v>32</v>
      </c>
      <c r="J58" s="83">
        <v>9.9</v>
      </c>
      <c r="K58" s="83">
        <v>8.5</v>
      </c>
      <c r="L58" s="83" t="s">
        <v>215</v>
      </c>
      <c r="M58" s="83">
        <v>25</v>
      </c>
      <c r="N58" s="83" t="str">
        <f t="shared" si="7"/>
        <v xml:space="preserve"> Al</v>
      </c>
      <c r="O58" s="83">
        <v>124</v>
      </c>
      <c r="Q58" s="83">
        <v>40</v>
      </c>
      <c r="R58" s="83">
        <v>9.9</v>
      </c>
      <c r="S58" s="83">
        <v>5</v>
      </c>
      <c r="T58" s="83" t="s">
        <v>216</v>
      </c>
      <c r="U58" s="83">
        <v>50</v>
      </c>
      <c r="V58" s="83" t="str">
        <f t="shared" si="8"/>
        <v xml:space="preserve"> Al</v>
      </c>
      <c r="W58" s="83">
        <v>179</v>
      </c>
      <c r="Y58" s="83">
        <v>32</v>
      </c>
      <c r="Z58" s="83">
        <v>9.9</v>
      </c>
      <c r="AA58" s="83">
        <v>5</v>
      </c>
      <c r="AB58" s="83" t="s">
        <v>214</v>
      </c>
      <c r="AC58" s="83">
        <v>10</v>
      </c>
      <c r="AD58" s="83" t="str">
        <f t="shared" si="9"/>
        <v xml:space="preserve"> Cu</v>
      </c>
      <c r="AE58" s="83">
        <v>142</v>
      </c>
    </row>
    <row r="59" spans="1:31" x14ac:dyDescent="0.25">
      <c r="A59" s="83">
        <v>25</v>
      </c>
      <c r="B59" s="83">
        <v>9.9</v>
      </c>
      <c r="C59" s="83">
        <v>8.5</v>
      </c>
      <c r="D59" s="83" t="s">
        <v>216</v>
      </c>
      <c r="E59" s="83">
        <v>50</v>
      </c>
      <c r="F59" s="83" t="str">
        <f t="shared" si="6"/>
        <v xml:space="preserve"> Al</v>
      </c>
      <c r="G59" s="83">
        <v>288</v>
      </c>
      <c r="I59" s="83">
        <v>32</v>
      </c>
      <c r="J59" s="83">
        <v>9.9</v>
      </c>
      <c r="K59" s="83">
        <v>8.5</v>
      </c>
      <c r="L59" s="83" t="s">
        <v>216</v>
      </c>
      <c r="M59" s="83">
        <v>50</v>
      </c>
      <c r="N59" s="83" t="str">
        <f t="shared" si="7"/>
        <v xml:space="preserve"> Al</v>
      </c>
      <c r="O59" s="83">
        <v>226</v>
      </c>
      <c r="Q59" s="83">
        <v>63</v>
      </c>
      <c r="R59" s="83">
        <v>9.9</v>
      </c>
      <c r="S59" s="83">
        <v>5</v>
      </c>
      <c r="T59" s="83" t="s">
        <v>216</v>
      </c>
      <c r="U59" s="83">
        <v>50</v>
      </c>
      <c r="V59" s="83" t="str">
        <f t="shared" si="8"/>
        <v xml:space="preserve"> Al</v>
      </c>
      <c r="W59" s="83">
        <v>113</v>
      </c>
      <c r="Y59" s="83">
        <v>32</v>
      </c>
      <c r="Z59" s="83">
        <v>9.9</v>
      </c>
      <c r="AA59" s="83">
        <v>5</v>
      </c>
      <c r="AB59" s="83" t="s">
        <v>215</v>
      </c>
      <c r="AC59" s="83">
        <v>25</v>
      </c>
      <c r="AD59" s="83" t="str">
        <f t="shared" si="9"/>
        <v xml:space="preserve"> Al</v>
      </c>
      <c r="AE59" s="83">
        <v>214</v>
      </c>
    </row>
    <row r="60" spans="1:31" x14ac:dyDescent="0.25">
      <c r="A60" s="83">
        <v>32</v>
      </c>
      <c r="B60" s="83">
        <v>9.9</v>
      </c>
      <c r="C60" s="83">
        <v>8.5</v>
      </c>
      <c r="D60" s="83" t="s">
        <v>214</v>
      </c>
      <c r="E60" s="83">
        <v>10</v>
      </c>
      <c r="F60" s="83" t="str">
        <f t="shared" si="6"/>
        <v xml:space="preserve"> Cu</v>
      </c>
      <c r="G60" s="83">
        <v>82</v>
      </c>
      <c r="I60" s="83">
        <v>40</v>
      </c>
      <c r="J60" s="83">
        <v>9.9</v>
      </c>
      <c r="K60" s="83">
        <v>8.5</v>
      </c>
      <c r="L60" s="83" t="s">
        <v>217</v>
      </c>
      <c r="M60" s="83">
        <v>16</v>
      </c>
      <c r="N60" s="83" t="str">
        <f t="shared" si="7"/>
        <v xml:space="preserve"> Cu</v>
      </c>
      <c r="O60" s="83">
        <v>103</v>
      </c>
      <c r="Q60" s="83">
        <v>80</v>
      </c>
      <c r="R60" s="83">
        <v>9.9</v>
      </c>
      <c r="S60" s="83">
        <v>5</v>
      </c>
      <c r="T60" s="83" t="s">
        <v>218</v>
      </c>
      <c r="U60" s="83">
        <v>95</v>
      </c>
      <c r="V60" s="83" t="str">
        <f t="shared" si="8"/>
        <v xml:space="preserve"> Al</v>
      </c>
      <c r="W60" s="83">
        <v>170</v>
      </c>
      <c r="Y60" s="83">
        <v>32</v>
      </c>
      <c r="Z60" s="83">
        <v>9.9</v>
      </c>
      <c r="AA60" s="83">
        <v>5</v>
      </c>
      <c r="AB60" s="83" t="s">
        <v>216</v>
      </c>
      <c r="AC60" s="83">
        <v>50</v>
      </c>
      <c r="AD60" s="83" t="str">
        <f t="shared" si="9"/>
        <v xml:space="preserve"> Al</v>
      </c>
      <c r="AE60" s="83">
        <v>390</v>
      </c>
    </row>
    <row r="61" spans="1:31" x14ac:dyDescent="0.25">
      <c r="A61" s="83">
        <v>32</v>
      </c>
      <c r="B61" s="83">
        <v>9.9</v>
      </c>
      <c r="C61" s="83">
        <v>8.5</v>
      </c>
      <c r="D61" s="83" t="s">
        <v>215</v>
      </c>
      <c r="E61" s="83">
        <v>25</v>
      </c>
      <c r="F61" s="83" t="str">
        <f t="shared" si="6"/>
        <v xml:space="preserve"> Al</v>
      </c>
      <c r="G61" s="83">
        <v>123</v>
      </c>
      <c r="I61" s="83">
        <v>40</v>
      </c>
      <c r="J61" s="83">
        <v>9.9</v>
      </c>
      <c r="K61" s="83">
        <v>8.5</v>
      </c>
      <c r="L61" s="83" t="s">
        <v>215</v>
      </c>
      <c r="M61" s="83">
        <v>25</v>
      </c>
      <c r="N61" s="83" t="str">
        <f t="shared" si="7"/>
        <v xml:space="preserve"> Al</v>
      </c>
      <c r="O61" s="83">
        <v>99</v>
      </c>
      <c r="Q61" s="178">
        <v>25</v>
      </c>
      <c r="R61" s="178">
        <v>9.9</v>
      </c>
      <c r="S61" s="178">
        <v>8.5</v>
      </c>
      <c r="T61" s="178" t="s">
        <v>212</v>
      </c>
      <c r="U61" s="178">
        <v>6</v>
      </c>
      <c r="V61" s="178" t="str">
        <f t="shared" si="8"/>
        <v>Cu</v>
      </c>
      <c r="W61" s="178">
        <v>63</v>
      </c>
      <c r="Y61" s="83">
        <v>40</v>
      </c>
      <c r="Z61" s="83">
        <v>9.9</v>
      </c>
      <c r="AA61" s="83">
        <v>5</v>
      </c>
      <c r="AB61" s="83" t="s">
        <v>217</v>
      </c>
      <c r="AC61" s="83">
        <v>16</v>
      </c>
      <c r="AD61" s="83" t="str">
        <f t="shared" si="9"/>
        <v xml:space="preserve"> Cu</v>
      </c>
      <c r="AE61" s="83">
        <v>178</v>
      </c>
    </row>
    <row r="62" spans="1:31" x14ac:dyDescent="0.25">
      <c r="A62" s="83">
        <v>32</v>
      </c>
      <c r="B62" s="83">
        <v>9.9</v>
      </c>
      <c r="C62" s="83">
        <v>8.5</v>
      </c>
      <c r="D62" s="83" t="s">
        <v>216</v>
      </c>
      <c r="E62" s="83">
        <v>50</v>
      </c>
      <c r="F62" s="83" t="str">
        <f t="shared" si="6"/>
        <v xml:space="preserve"> Al</v>
      </c>
      <c r="G62" s="83">
        <v>226</v>
      </c>
      <c r="I62" s="83">
        <v>40</v>
      </c>
      <c r="J62" s="83">
        <v>9.9</v>
      </c>
      <c r="K62" s="83">
        <v>8.5</v>
      </c>
      <c r="L62" s="83" t="s">
        <v>216</v>
      </c>
      <c r="M62" s="83">
        <v>50</v>
      </c>
      <c r="N62" s="83" t="str">
        <f t="shared" si="7"/>
        <v xml:space="preserve"> Al</v>
      </c>
      <c r="O62" s="83">
        <v>180</v>
      </c>
      <c r="Q62" s="83">
        <v>25</v>
      </c>
      <c r="R62" s="83">
        <v>9.9</v>
      </c>
      <c r="S62" s="83">
        <v>8.5</v>
      </c>
      <c r="T62" s="83" t="s">
        <v>214</v>
      </c>
      <c r="U62" s="83">
        <v>10</v>
      </c>
      <c r="V62" s="83" t="str">
        <f t="shared" si="8"/>
        <v xml:space="preserve"> Cu</v>
      </c>
      <c r="W62" s="83">
        <v>104</v>
      </c>
      <c r="Y62" s="83">
        <v>40</v>
      </c>
      <c r="Z62" s="83">
        <v>9.9</v>
      </c>
      <c r="AA62" s="83">
        <v>5</v>
      </c>
      <c r="AB62" s="83" t="s">
        <v>215</v>
      </c>
      <c r="AC62" s="83">
        <v>25</v>
      </c>
      <c r="AD62" s="83" t="str">
        <f t="shared" si="9"/>
        <v xml:space="preserve"> Al</v>
      </c>
      <c r="AE62" s="83">
        <v>172</v>
      </c>
    </row>
    <row r="63" spans="1:31" x14ac:dyDescent="0.25">
      <c r="A63" s="83">
        <v>40</v>
      </c>
      <c r="B63" s="83">
        <v>9.9</v>
      </c>
      <c r="C63" s="83">
        <v>8.5</v>
      </c>
      <c r="D63" s="83" t="s">
        <v>217</v>
      </c>
      <c r="E63" s="83">
        <v>16</v>
      </c>
      <c r="F63" s="83" t="str">
        <f t="shared" si="6"/>
        <v xml:space="preserve"> Cu</v>
      </c>
      <c r="G63" s="83">
        <v>103</v>
      </c>
      <c r="I63" s="83">
        <v>50</v>
      </c>
      <c r="J63" s="83">
        <v>9.9</v>
      </c>
      <c r="K63" s="83">
        <v>8.5</v>
      </c>
      <c r="L63" s="83" t="s">
        <v>216</v>
      </c>
      <c r="M63" s="83">
        <v>50</v>
      </c>
      <c r="N63" s="83" t="str">
        <f t="shared" si="7"/>
        <v xml:space="preserve"> Al</v>
      </c>
      <c r="O63" s="83">
        <v>26</v>
      </c>
      <c r="Q63" s="83">
        <v>25</v>
      </c>
      <c r="R63" s="83">
        <v>9.9</v>
      </c>
      <c r="S63" s="83">
        <v>8.5</v>
      </c>
      <c r="T63" s="83" t="s">
        <v>215</v>
      </c>
      <c r="U63" s="83">
        <v>25</v>
      </c>
      <c r="V63" s="83" t="str">
        <f t="shared" si="8"/>
        <v xml:space="preserve"> Al</v>
      </c>
      <c r="W63" s="83">
        <v>158</v>
      </c>
      <c r="Y63" s="83">
        <v>40</v>
      </c>
      <c r="Z63" s="83">
        <v>9.9</v>
      </c>
      <c r="AA63" s="83">
        <v>5</v>
      </c>
      <c r="AB63" s="83" t="s">
        <v>216</v>
      </c>
      <c r="AC63" s="83">
        <v>50</v>
      </c>
      <c r="AD63" s="83" t="str">
        <f t="shared" si="9"/>
        <v xml:space="preserve"> Al</v>
      </c>
      <c r="AE63" s="83">
        <v>312</v>
      </c>
    </row>
    <row r="64" spans="1:31" x14ac:dyDescent="0.25">
      <c r="A64" s="83">
        <v>40</v>
      </c>
      <c r="B64" s="83">
        <v>9.9</v>
      </c>
      <c r="C64" s="83">
        <v>8.5</v>
      </c>
      <c r="D64" s="83" t="s">
        <v>215</v>
      </c>
      <c r="E64" s="83">
        <v>25</v>
      </c>
      <c r="F64" s="83" t="str">
        <f t="shared" si="6"/>
        <v xml:space="preserve"> Al</v>
      </c>
      <c r="G64" s="83">
        <v>99</v>
      </c>
      <c r="Q64" s="83">
        <v>25</v>
      </c>
      <c r="R64" s="83">
        <v>9.9</v>
      </c>
      <c r="S64" s="83">
        <v>8.5</v>
      </c>
      <c r="T64" s="83" t="s">
        <v>216</v>
      </c>
      <c r="U64" s="83">
        <v>50</v>
      </c>
      <c r="V64" s="83" t="str">
        <f t="shared" si="8"/>
        <v xml:space="preserve"> Al</v>
      </c>
      <c r="W64" s="83">
        <v>286</v>
      </c>
      <c r="Y64" s="83">
        <v>50</v>
      </c>
      <c r="Z64" s="83">
        <v>9.9</v>
      </c>
      <c r="AA64" s="83">
        <v>5</v>
      </c>
      <c r="AB64" s="83" t="s">
        <v>215</v>
      </c>
      <c r="AC64" s="83">
        <v>25</v>
      </c>
      <c r="AD64" s="83" t="str">
        <f t="shared" si="9"/>
        <v xml:space="preserve"> Al</v>
      </c>
      <c r="AE64" s="83">
        <v>126</v>
      </c>
    </row>
    <row r="65" spans="1:31" x14ac:dyDescent="0.25">
      <c r="A65" s="83">
        <v>40</v>
      </c>
      <c r="B65" s="83">
        <v>9.9</v>
      </c>
      <c r="C65" s="83">
        <v>8.5</v>
      </c>
      <c r="D65" s="83" t="s">
        <v>216</v>
      </c>
      <c r="E65" s="83">
        <v>50</v>
      </c>
      <c r="F65" s="83" t="str">
        <f t="shared" si="6"/>
        <v xml:space="preserve"> Al</v>
      </c>
      <c r="G65" s="83">
        <v>180</v>
      </c>
      <c r="Q65" s="83">
        <v>32</v>
      </c>
      <c r="R65" s="83">
        <v>9.9</v>
      </c>
      <c r="S65" s="83">
        <v>8.5</v>
      </c>
      <c r="T65" s="83" t="s">
        <v>214</v>
      </c>
      <c r="U65" s="83">
        <v>10</v>
      </c>
      <c r="V65" s="83" t="str">
        <f t="shared" si="8"/>
        <v xml:space="preserve"> Cu</v>
      </c>
      <c r="W65" s="83">
        <v>81</v>
      </c>
      <c r="Y65" s="83">
        <v>50</v>
      </c>
      <c r="Z65" s="83">
        <v>9.9</v>
      </c>
      <c r="AA65" s="83">
        <v>5</v>
      </c>
      <c r="AB65" s="83" t="s">
        <v>216</v>
      </c>
      <c r="AC65" s="83">
        <v>50</v>
      </c>
      <c r="AD65" s="83" t="str">
        <f t="shared" si="9"/>
        <v xml:space="preserve"> Al</v>
      </c>
      <c r="AE65" s="83">
        <v>232</v>
      </c>
    </row>
    <row r="66" spans="1:31" x14ac:dyDescent="0.25">
      <c r="A66" s="83">
        <v>63</v>
      </c>
      <c r="B66" s="83">
        <v>9.9</v>
      </c>
      <c r="C66" s="83">
        <v>8.5</v>
      </c>
      <c r="D66" s="83" t="s">
        <v>216</v>
      </c>
      <c r="E66" s="83">
        <v>50</v>
      </c>
      <c r="F66" s="83" t="str">
        <f t="shared" si="6"/>
        <v xml:space="preserve"> Al</v>
      </c>
      <c r="G66" s="83">
        <v>114</v>
      </c>
      <c r="Q66" s="83">
        <v>32</v>
      </c>
      <c r="R66" s="83">
        <v>9.9</v>
      </c>
      <c r="S66" s="83">
        <v>8.5</v>
      </c>
      <c r="T66" s="83" t="s">
        <v>215</v>
      </c>
      <c r="U66" s="83">
        <v>25</v>
      </c>
      <c r="V66" s="83" t="str">
        <f t="shared" si="8"/>
        <v xml:space="preserve"> Al</v>
      </c>
      <c r="W66" s="83">
        <v>122</v>
      </c>
      <c r="Y66" s="83">
        <v>63</v>
      </c>
      <c r="Z66" s="83">
        <v>9.9</v>
      </c>
      <c r="AA66" s="83">
        <v>5</v>
      </c>
      <c r="AB66" s="83" t="s">
        <v>216</v>
      </c>
      <c r="AC66" s="83">
        <v>50</v>
      </c>
      <c r="AD66" s="83" t="str">
        <f t="shared" si="9"/>
        <v xml:space="preserve"> Al</v>
      </c>
      <c r="AE66" s="83">
        <v>119</v>
      </c>
    </row>
    <row r="67" spans="1:31" x14ac:dyDescent="0.25">
      <c r="A67" s="83">
        <v>80</v>
      </c>
      <c r="B67" s="83">
        <v>9.9</v>
      </c>
      <c r="C67" s="83">
        <v>8.5</v>
      </c>
      <c r="D67" s="83" t="s">
        <v>216</v>
      </c>
      <c r="E67" s="83">
        <v>50</v>
      </c>
      <c r="F67" s="83" t="str">
        <f t="shared" si="6"/>
        <v xml:space="preserve"> Al</v>
      </c>
      <c r="G67" s="83">
        <v>171</v>
      </c>
      <c r="Q67" s="83">
        <v>32</v>
      </c>
      <c r="R67" s="83">
        <v>9.9</v>
      </c>
      <c r="S67" s="83">
        <v>8.5</v>
      </c>
      <c r="T67" s="83" t="s">
        <v>216</v>
      </c>
      <c r="U67" s="83">
        <v>50</v>
      </c>
      <c r="V67" s="83" t="str">
        <f t="shared" si="8"/>
        <v xml:space="preserve"> Al</v>
      </c>
      <c r="W67" s="83">
        <v>226</v>
      </c>
      <c r="Y67" s="83">
        <v>25</v>
      </c>
      <c r="Z67" s="83">
        <v>9.9</v>
      </c>
      <c r="AA67" s="83">
        <v>8.5</v>
      </c>
      <c r="AB67" s="83" t="s">
        <v>212</v>
      </c>
      <c r="AC67" s="83">
        <v>6</v>
      </c>
      <c r="AD67" s="83" t="str">
        <f t="shared" si="9"/>
        <v>Cu</v>
      </c>
      <c r="AE67" s="83">
        <v>108</v>
      </c>
    </row>
    <row r="68" spans="1:31" x14ac:dyDescent="0.25">
      <c r="Q68" s="83">
        <v>40</v>
      </c>
      <c r="R68" s="83">
        <v>9.9</v>
      </c>
      <c r="S68" s="83">
        <v>8.5</v>
      </c>
      <c r="T68" s="83" t="s">
        <v>217</v>
      </c>
      <c r="U68" s="83">
        <v>16</v>
      </c>
      <c r="V68" s="83" t="str">
        <f t="shared" si="8"/>
        <v xml:space="preserve"> Cu</v>
      </c>
      <c r="W68" s="83">
        <v>103</v>
      </c>
      <c r="Y68" s="83">
        <v>25</v>
      </c>
      <c r="Z68" s="83">
        <v>9.9</v>
      </c>
      <c r="AA68" s="83">
        <v>8.5</v>
      </c>
      <c r="AB68" s="83" t="s">
        <v>214</v>
      </c>
      <c r="AC68" s="83">
        <v>10</v>
      </c>
      <c r="AD68" s="83" t="str">
        <f t="shared" si="9"/>
        <v xml:space="preserve"> Cu</v>
      </c>
      <c r="AE68" s="83">
        <v>180</v>
      </c>
    </row>
    <row r="69" spans="1:31" x14ac:dyDescent="0.25">
      <c r="Q69" s="83">
        <v>40</v>
      </c>
      <c r="R69" s="83">
        <v>9.9</v>
      </c>
      <c r="S69" s="83">
        <v>8.5</v>
      </c>
      <c r="T69" s="83" t="s">
        <v>215</v>
      </c>
      <c r="U69" s="83">
        <v>25</v>
      </c>
      <c r="V69" s="83" t="str">
        <f t="shared" si="8"/>
        <v xml:space="preserve"> Al</v>
      </c>
      <c r="W69" s="83">
        <v>97</v>
      </c>
      <c r="Y69" s="83">
        <v>25</v>
      </c>
      <c r="Z69" s="83">
        <v>9.9</v>
      </c>
      <c r="AA69" s="83">
        <v>8.5</v>
      </c>
      <c r="AB69" s="83" t="s">
        <v>215</v>
      </c>
      <c r="AC69" s="83">
        <v>25</v>
      </c>
      <c r="AD69" s="83" t="str">
        <f t="shared" ref="AD69:AD79" si="10">MID(AB69,6,3)</f>
        <v xml:space="preserve"> Al</v>
      </c>
      <c r="AE69" s="83">
        <v>275</v>
      </c>
    </row>
    <row r="70" spans="1:31" x14ac:dyDescent="0.25">
      <c r="Q70" s="83">
        <v>40</v>
      </c>
      <c r="R70" s="83">
        <v>9.9</v>
      </c>
      <c r="S70" s="83">
        <v>8.5</v>
      </c>
      <c r="T70" s="83" t="s">
        <v>216</v>
      </c>
      <c r="U70" s="83">
        <v>50</v>
      </c>
      <c r="V70" s="83" t="str">
        <f t="shared" si="8"/>
        <v xml:space="preserve"> Al</v>
      </c>
      <c r="W70" s="83">
        <v>179</v>
      </c>
      <c r="Y70" s="83">
        <v>25</v>
      </c>
      <c r="Z70" s="83">
        <v>9.9</v>
      </c>
      <c r="AA70" s="83">
        <v>8.5</v>
      </c>
      <c r="AB70" s="83" t="s">
        <v>216</v>
      </c>
      <c r="AC70" s="83">
        <v>50</v>
      </c>
      <c r="AD70" s="83" t="str">
        <f t="shared" si="10"/>
        <v xml:space="preserve"> Al</v>
      </c>
      <c r="AE70" s="83">
        <v>490</v>
      </c>
    </row>
    <row r="71" spans="1:31" x14ac:dyDescent="0.25">
      <c r="Q71" s="83">
        <v>63</v>
      </c>
      <c r="R71" s="83">
        <v>9.9</v>
      </c>
      <c r="S71" s="83">
        <v>8.5</v>
      </c>
      <c r="T71" s="83" t="s">
        <v>216</v>
      </c>
      <c r="U71" s="83">
        <v>50</v>
      </c>
      <c r="V71" s="83" t="str">
        <f t="shared" si="8"/>
        <v xml:space="preserve"> Al</v>
      </c>
      <c r="W71" s="83">
        <v>113</v>
      </c>
      <c r="Y71" s="83">
        <v>32</v>
      </c>
      <c r="Z71" s="83">
        <v>9.9</v>
      </c>
      <c r="AA71" s="83">
        <v>8.5</v>
      </c>
      <c r="AB71" s="83" t="s">
        <v>214</v>
      </c>
      <c r="AC71" s="83">
        <v>10</v>
      </c>
      <c r="AD71" s="83" t="str">
        <f t="shared" si="10"/>
        <v xml:space="preserve"> Cu</v>
      </c>
      <c r="AE71" s="83">
        <v>142</v>
      </c>
    </row>
    <row r="72" spans="1:31" x14ac:dyDescent="0.25">
      <c r="Q72" s="83">
        <v>80</v>
      </c>
      <c r="R72" s="83">
        <v>9.9</v>
      </c>
      <c r="S72" s="83">
        <v>8.5</v>
      </c>
      <c r="T72" s="83" t="s">
        <v>216</v>
      </c>
      <c r="U72" s="83">
        <v>50</v>
      </c>
      <c r="V72" s="83" t="str">
        <f t="shared" si="8"/>
        <v xml:space="preserve"> Al</v>
      </c>
      <c r="W72" s="83">
        <v>170</v>
      </c>
      <c r="Y72" s="83">
        <v>32</v>
      </c>
      <c r="Z72" s="83">
        <v>9.9</v>
      </c>
      <c r="AA72" s="83">
        <v>8.5</v>
      </c>
      <c r="AB72" s="83" t="s">
        <v>215</v>
      </c>
      <c r="AC72" s="83">
        <v>25</v>
      </c>
      <c r="AD72" s="83" t="str">
        <f t="shared" si="10"/>
        <v xml:space="preserve"> Al</v>
      </c>
      <c r="AE72" s="83">
        <v>214</v>
      </c>
    </row>
    <row r="73" spans="1:31" x14ac:dyDescent="0.25">
      <c r="Y73" s="83">
        <v>32</v>
      </c>
      <c r="Z73" s="83">
        <v>9.9</v>
      </c>
      <c r="AA73" s="83">
        <v>8.5</v>
      </c>
      <c r="AB73" s="83" t="s">
        <v>216</v>
      </c>
      <c r="AC73" s="83">
        <v>50</v>
      </c>
      <c r="AD73" s="83" t="str">
        <f t="shared" si="10"/>
        <v xml:space="preserve"> Al</v>
      </c>
      <c r="AE73" s="83">
        <v>390</v>
      </c>
    </row>
    <row r="74" spans="1:31" x14ac:dyDescent="0.25">
      <c r="Y74" s="83">
        <v>40</v>
      </c>
      <c r="Z74" s="83">
        <v>9.9</v>
      </c>
      <c r="AA74" s="83">
        <v>8.5</v>
      </c>
      <c r="AB74" s="83" t="s">
        <v>217</v>
      </c>
      <c r="AC74" s="83">
        <v>16</v>
      </c>
      <c r="AD74" s="83" t="str">
        <f t="shared" si="10"/>
        <v xml:space="preserve"> Cu</v>
      </c>
      <c r="AE74" s="83">
        <v>178</v>
      </c>
    </row>
    <row r="75" spans="1:31" x14ac:dyDescent="0.25">
      <c r="Y75" s="83">
        <v>40</v>
      </c>
      <c r="Z75" s="83">
        <v>9.9</v>
      </c>
      <c r="AA75" s="83">
        <v>8.5</v>
      </c>
      <c r="AB75" s="83" t="s">
        <v>215</v>
      </c>
      <c r="AC75" s="83">
        <v>25</v>
      </c>
      <c r="AD75" s="83" t="str">
        <f t="shared" si="10"/>
        <v xml:space="preserve"> Al</v>
      </c>
      <c r="AE75" s="83">
        <v>172</v>
      </c>
    </row>
    <row r="76" spans="1:31" x14ac:dyDescent="0.25">
      <c r="Y76" s="83">
        <v>40</v>
      </c>
      <c r="Z76" s="83">
        <v>9.9</v>
      </c>
      <c r="AA76" s="83">
        <v>8.5</v>
      </c>
      <c r="AB76" s="83" t="s">
        <v>216</v>
      </c>
      <c r="AC76" s="83">
        <v>50</v>
      </c>
      <c r="AD76" s="83" t="str">
        <f t="shared" si="10"/>
        <v xml:space="preserve"> Al</v>
      </c>
      <c r="AE76" s="83">
        <v>312</v>
      </c>
    </row>
    <row r="77" spans="1:31" x14ac:dyDescent="0.25">
      <c r="Y77" s="83">
        <v>50</v>
      </c>
      <c r="Z77" s="83">
        <v>9.9</v>
      </c>
      <c r="AA77" s="83">
        <v>8.5</v>
      </c>
      <c r="AB77" s="83" t="s">
        <v>215</v>
      </c>
      <c r="AC77" s="83">
        <v>25</v>
      </c>
      <c r="AD77" s="83" t="str">
        <f t="shared" si="10"/>
        <v xml:space="preserve"> Al</v>
      </c>
      <c r="AE77" s="83">
        <v>126</v>
      </c>
    </row>
    <row r="78" spans="1:31" x14ac:dyDescent="0.25">
      <c r="Y78" s="83">
        <v>50</v>
      </c>
      <c r="Z78" s="83">
        <v>9.9</v>
      </c>
      <c r="AA78" s="83">
        <v>8.5</v>
      </c>
      <c r="AB78" s="83" t="s">
        <v>216</v>
      </c>
      <c r="AC78" s="83">
        <v>50</v>
      </c>
      <c r="AD78" s="83" t="str">
        <f t="shared" si="10"/>
        <v xml:space="preserve"> Al</v>
      </c>
      <c r="AE78" s="83">
        <v>232</v>
      </c>
    </row>
    <row r="79" spans="1:31" x14ac:dyDescent="0.25">
      <c r="Y79" s="83">
        <v>63</v>
      </c>
      <c r="Z79" s="83">
        <v>9.9</v>
      </c>
      <c r="AA79" s="83">
        <v>8.5</v>
      </c>
      <c r="AB79" s="83" t="s">
        <v>216</v>
      </c>
      <c r="AC79" s="83">
        <v>50</v>
      </c>
      <c r="AD79" s="83" t="str">
        <f t="shared" si="10"/>
        <v xml:space="preserve"> Al</v>
      </c>
      <c r="AE79" s="83">
        <v>119</v>
      </c>
    </row>
    <row r="91" spans="9:32" x14ac:dyDescent="0.25">
      <c r="I91" s="88"/>
      <c r="J91" s="88"/>
      <c r="K91" s="88"/>
      <c r="AA91" s="88"/>
      <c r="AB91" s="88"/>
      <c r="AC91" s="88"/>
      <c r="AD91" s="88"/>
      <c r="AE91" s="88"/>
      <c r="AF91" s="88"/>
    </row>
    <row r="92" spans="9:32" x14ac:dyDescent="0.25">
      <c r="K92" s="12"/>
    </row>
    <row r="97" spans="1:16" x14ac:dyDescent="0.25">
      <c r="A97" t="s">
        <v>244</v>
      </c>
    </row>
    <row r="99" spans="1:16" ht="15.75" thickBot="1" x14ac:dyDescent="0.3"/>
    <row r="100" spans="1:16" x14ac:dyDescent="0.25">
      <c r="A100" s="181" t="s">
        <v>190</v>
      </c>
      <c r="B100" s="181" t="s">
        <v>243</v>
      </c>
      <c r="C100" s="181" t="s">
        <v>206</v>
      </c>
      <c r="D100" s="181" t="s">
        <v>207</v>
      </c>
      <c r="E100" s="170" t="s">
        <v>208</v>
      </c>
      <c r="F100" s="170" t="s">
        <v>209</v>
      </c>
      <c r="G100" s="170" t="s">
        <v>229</v>
      </c>
      <c r="H100" s="170" t="s">
        <v>230</v>
      </c>
      <c r="I100" s="170" t="s">
        <v>210</v>
      </c>
      <c r="J100" s="1012" t="s">
        <v>199</v>
      </c>
      <c r="K100" s="1018"/>
      <c r="L100" s="1012" t="s">
        <v>200</v>
      </c>
      <c r="M100" s="1013"/>
      <c r="N100" s="164"/>
      <c r="O100" s="164" t="s">
        <v>201</v>
      </c>
      <c r="P100" s="165" t="s">
        <v>202</v>
      </c>
    </row>
    <row r="101" spans="1:16" ht="15.75" thickBot="1" x14ac:dyDescent="0.3">
      <c r="C101" s="83">
        <v>25</v>
      </c>
      <c r="D101" s="83">
        <v>9.9</v>
      </c>
      <c r="E101" s="83">
        <v>0.25</v>
      </c>
      <c r="F101" s="83" t="s">
        <v>212</v>
      </c>
      <c r="G101" s="83">
        <v>6</v>
      </c>
      <c r="H101" s="83" t="str">
        <f t="shared" ref="H101:H163" si="11">MID(F101,6,3)</f>
        <v>Cu</v>
      </c>
      <c r="I101" s="83">
        <v>15</v>
      </c>
      <c r="J101" s="1016" t="s">
        <v>203</v>
      </c>
      <c r="K101" s="1017"/>
      <c r="L101" s="168"/>
      <c r="M101" s="168"/>
      <c r="N101" s="168"/>
      <c r="O101" s="168" t="s">
        <v>204</v>
      </c>
      <c r="P101" s="169" t="s">
        <v>205</v>
      </c>
    </row>
    <row r="102" spans="1:16" ht="15.75" thickBot="1" x14ac:dyDescent="0.3">
      <c r="C102" s="83">
        <v>25</v>
      </c>
      <c r="D102" s="83">
        <v>9.9</v>
      </c>
      <c r="E102" s="83">
        <v>0.25</v>
      </c>
      <c r="F102" s="83" t="s">
        <v>214</v>
      </c>
      <c r="G102" s="83">
        <v>10</v>
      </c>
      <c r="H102" s="83" t="str">
        <f t="shared" si="11"/>
        <v xml:space="preserve"> Cu</v>
      </c>
      <c r="I102" s="83">
        <v>25</v>
      </c>
      <c r="J102" s="1014" t="s">
        <v>219</v>
      </c>
      <c r="K102" s="1015"/>
    </row>
    <row r="103" spans="1:16" x14ac:dyDescent="0.25">
      <c r="C103" s="83">
        <v>25</v>
      </c>
      <c r="D103" s="83">
        <v>9.9</v>
      </c>
      <c r="E103" s="83">
        <v>0.25</v>
      </c>
      <c r="F103" s="83" t="s">
        <v>215</v>
      </c>
      <c r="G103" s="83">
        <v>25</v>
      </c>
      <c r="H103" s="83" t="str">
        <f t="shared" si="11"/>
        <v xml:space="preserve"> Al</v>
      </c>
      <c r="I103" s="83">
        <v>38</v>
      </c>
    </row>
    <row r="104" spans="1:16" x14ac:dyDescent="0.25">
      <c r="C104" s="83">
        <v>25</v>
      </c>
      <c r="D104" s="83">
        <v>9.9</v>
      </c>
      <c r="E104" s="83">
        <v>0.25</v>
      </c>
      <c r="F104" s="83" t="s">
        <v>216</v>
      </c>
      <c r="G104" s="83">
        <v>50</v>
      </c>
      <c r="H104" s="83" t="str">
        <f t="shared" si="11"/>
        <v xml:space="preserve"> Al</v>
      </c>
      <c r="I104" s="83">
        <v>69</v>
      </c>
    </row>
    <row r="105" spans="1:16" x14ac:dyDescent="0.25">
      <c r="C105" s="83">
        <v>25</v>
      </c>
      <c r="D105" s="83">
        <v>9.9</v>
      </c>
      <c r="E105" s="83">
        <v>0.5</v>
      </c>
      <c r="F105" s="83" t="s">
        <v>212</v>
      </c>
      <c r="G105" s="83">
        <v>6</v>
      </c>
      <c r="H105" s="83" t="str">
        <f t="shared" si="11"/>
        <v>Cu</v>
      </c>
      <c r="I105" s="83">
        <v>43</v>
      </c>
    </row>
    <row r="106" spans="1:16" x14ac:dyDescent="0.25">
      <c r="C106" s="83">
        <v>25</v>
      </c>
      <c r="D106" s="83">
        <v>9.9</v>
      </c>
      <c r="E106" s="83">
        <v>0.5</v>
      </c>
      <c r="F106" s="83" t="s">
        <v>214</v>
      </c>
      <c r="G106" s="83">
        <v>10</v>
      </c>
      <c r="H106" s="83" t="str">
        <f t="shared" si="11"/>
        <v xml:space="preserve"> Cu</v>
      </c>
      <c r="I106" s="83">
        <v>73</v>
      </c>
    </row>
    <row r="107" spans="1:16" x14ac:dyDescent="0.25">
      <c r="C107" s="83">
        <v>25</v>
      </c>
      <c r="D107" s="83">
        <v>9.9</v>
      </c>
      <c r="E107" s="83">
        <v>0.5</v>
      </c>
      <c r="F107" s="83" t="s">
        <v>215</v>
      </c>
      <c r="G107" s="83">
        <v>25</v>
      </c>
      <c r="H107" s="83" t="str">
        <f t="shared" si="11"/>
        <v xml:space="preserve"> Al</v>
      </c>
      <c r="I107" s="83">
        <v>110</v>
      </c>
    </row>
    <row r="108" spans="1:16" x14ac:dyDescent="0.25">
      <c r="C108" s="83">
        <v>25</v>
      </c>
      <c r="D108" s="83">
        <v>9.9</v>
      </c>
      <c r="E108" s="83">
        <v>0.5</v>
      </c>
      <c r="F108" s="83" t="s">
        <v>216</v>
      </c>
      <c r="G108" s="83">
        <v>50</v>
      </c>
      <c r="H108" s="83" t="str">
        <f t="shared" si="11"/>
        <v xml:space="preserve"> Al</v>
      </c>
      <c r="I108" s="83">
        <v>204</v>
      </c>
    </row>
    <row r="109" spans="1:16" x14ac:dyDescent="0.25">
      <c r="C109" s="83">
        <v>32</v>
      </c>
      <c r="D109" s="83">
        <v>9.9</v>
      </c>
      <c r="E109" s="83">
        <v>0.5</v>
      </c>
      <c r="F109" s="83" t="s">
        <v>214</v>
      </c>
      <c r="G109" s="83">
        <v>10</v>
      </c>
      <c r="H109" s="83" t="str">
        <f t="shared" si="11"/>
        <v xml:space="preserve"> Cu</v>
      </c>
      <c r="I109" s="83">
        <v>44</v>
      </c>
    </row>
    <row r="110" spans="1:16" x14ac:dyDescent="0.25">
      <c r="C110" s="83">
        <v>32</v>
      </c>
      <c r="D110" s="83">
        <v>9.9</v>
      </c>
      <c r="E110" s="83">
        <v>0.5</v>
      </c>
      <c r="F110" s="83" t="s">
        <v>215</v>
      </c>
      <c r="G110" s="83">
        <v>25</v>
      </c>
      <c r="H110" s="83" t="str">
        <f t="shared" si="11"/>
        <v xml:space="preserve"> Al</v>
      </c>
      <c r="I110" s="83">
        <v>66</v>
      </c>
    </row>
    <row r="111" spans="1:16" x14ac:dyDescent="0.25">
      <c r="C111" s="83">
        <v>32</v>
      </c>
      <c r="D111" s="83">
        <v>9.9</v>
      </c>
      <c r="E111" s="83">
        <v>0.5</v>
      </c>
      <c r="F111" s="83" t="s">
        <v>216</v>
      </c>
      <c r="G111" s="83">
        <v>50</v>
      </c>
      <c r="H111" s="83" t="str">
        <f t="shared" si="11"/>
        <v xml:space="preserve"> Al</v>
      </c>
      <c r="I111" s="83">
        <v>123</v>
      </c>
    </row>
    <row r="112" spans="1:16" x14ac:dyDescent="0.25">
      <c r="C112" s="83">
        <v>40</v>
      </c>
      <c r="D112" s="83">
        <v>9.9</v>
      </c>
      <c r="E112" s="83">
        <v>0.5</v>
      </c>
      <c r="F112" s="83" t="s">
        <v>217</v>
      </c>
      <c r="G112" s="83">
        <v>16</v>
      </c>
      <c r="H112" s="83" t="str">
        <f t="shared" si="11"/>
        <v xml:space="preserve"> Cu</v>
      </c>
      <c r="I112" s="83">
        <v>45</v>
      </c>
    </row>
    <row r="113" spans="3:9" x14ac:dyDescent="0.25">
      <c r="C113" s="83">
        <v>40</v>
      </c>
      <c r="D113" s="83">
        <v>9.9</v>
      </c>
      <c r="E113" s="83">
        <v>0.5</v>
      </c>
      <c r="F113" s="83" t="s">
        <v>215</v>
      </c>
      <c r="G113" s="83">
        <v>25</v>
      </c>
      <c r="H113" s="83" t="str">
        <f t="shared" si="11"/>
        <v xml:space="preserve"> Al</v>
      </c>
      <c r="I113" s="83">
        <v>43</v>
      </c>
    </row>
    <row r="114" spans="3:9" x14ac:dyDescent="0.25">
      <c r="C114" s="83">
        <v>40</v>
      </c>
      <c r="D114" s="83">
        <v>9.9</v>
      </c>
      <c r="E114" s="83">
        <v>0.5</v>
      </c>
      <c r="F114" s="83" t="s">
        <v>216</v>
      </c>
      <c r="G114" s="83">
        <v>50</v>
      </c>
      <c r="H114" s="83" t="str">
        <f t="shared" si="11"/>
        <v xml:space="preserve"> Al</v>
      </c>
      <c r="I114" s="83">
        <v>80</v>
      </c>
    </row>
    <row r="115" spans="3:9" x14ac:dyDescent="0.25">
      <c r="C115" s="83">
        <v>63</v>
      </c>
      <c r="D115" s="83">
        <v>9.9</v>
      </c>
      <c r="E115" s="83">
        <v>0.5</v>
      </c>
      <c r="F115" s="83" t="s">
        <v>218</v>
      </c>
      <c r="G115" s="83">
        <v>95</v>
      </c>
      <c r="H115" s="83" t="str">
        <f t="shared" si="11"/>
        <v xml:space="preserve"> Al</v>
      </c>
      <c r="I115" s="83">
        <v>12</v>
      </c>
    </row>
    <row r="116" spans="3:9" x14ac:dyDescent="0.25">
      <c r="C116" s="83">
        <v>25</v>
      </c>
      <c r="D116" s="83">
        <v>9.9</v>
      </c>
      <c r="E116" s="83">
        <v>1</v>
      </c>
      <c r="F116" s="83" t="s">
        <v>212</v>
      </c>
      <c r="G116" s="83">
        <v>6</v>
      </c>
      <c r="H116" s="83" t="str">
        <f t="shared" si="11"/>
        <v>Cu</v>
      </c>
      <c r="I116" s="83">
        <v>57</v>
      </c>
    </row>
    <row r="117" spans="3:9" x14ac:dyDescent="0.25">
      <c r="C117" s="83">
        <v>25</v>
      </c>
      <c r="D117" s="83">
        <v>9.9</v>
      </c>
      <c r="E117" s="83">
        <v>1</v>
      </c>
      <c r="F117" s="83" t="s">
        <v>214</v>
      </c>
      <c r="G117" s="83">
        <v>10</v>
      </c>
      <c r="H117" s="83" t="str">
        <f t="shared" si="11"/>
        <v xml:space="preserve"> Cu</v>
      </c>
      <c r="I117" s="83">
        <v>95</v>
      </c>
    </row>
    <row r="118" spans="3:9" x14ac:dyDescent="0.25">
      <c r="C118" s="83">
        <v>25</v>
      </c>
      <c r="D118" s="83">
        <v>9.9</v>
      </c>
      <c r="E118" s="83">
        <v>1</v>
      </c>
      <c r="F118" s="83" t="s">
        <v>215</v>
      </c>
      <c r="G118" s="83">
        <v>25</v>
      </c>
      <c r="H118" s="83" t="str">
        <f t="shared" si="11"/>
        <v xml:space="preserve"> Al</v>
      </c>
      <c r="I118" s="83">
        <v>145</v>
      </c>
    </row>
    <row r="119" spans="3:9" x14ac:dyDescent="0.25">
      <c r="C119" s="83">
        <v>25</v>
      </c>
      <c r="D119" s="83">
        <v>9.9</v>
      </c>
      <c r="E119" s="83">
        <v>1</v>
      </c>
      <c r="F119" s="83" t="s">
        <v>216</v>
      </c>
      <c r="G119" s="83">
        <v>50</v>
      </c>
      <c r="H119" s="83" t="str">
        <f t="shared" si="11"/>
        <v xml:space="preserve"> Al</v>
      </c>
      <c r="I119" s="83">
        <v>270</v>
      </c>
    </row>
    <row r="120" spans="3:9" x14ac:dyDescent="0.25">
      <c r="C120" s="83">
        <v>32</v>
      </c>
      <c r="D120" s="83">
        <v>9.9</v>
      </c>
      <c r="E120" s="83">
        <v>1</v>
      </c>
      <c r="F120" s="83" t="s">
        <v>214</v>
      </c>
      <c r="G120" s="83">
        <v>10</v>
      </c>
      <c r="H120" s="83" t="str">
        <f t="shared" si="11"/>
        <v xml:space="preserve"> Cu</v>
      </c>
      <c r="I120" s="83">
        <v>67</v>
      </c>
    </row>
    <row r="121" spans="3:9" x14ac:dyDescent="0.25">
      <c r="C121" s="83">
        <v>32</v>
      </c>
      <c r="D121" s="83">
        <v>9.9</v>
      </c>
      <c r="E121" s="83">
        <v>1</v>
      </c>
      <c r="F121" s="83" t="s">
        <v>215</v>
      </c>
      <c r="G121" s="83">
        <v>25</v>
      </c>
      <c r="H121" s="83" t="str">
        <f t="shared" si="11"/>
        <v xml:space="preserve"> Al</v>
      </c>
      <c r="I121" s="83">
        <v>101</v>
      </c>
    </row>
    <row r="122" spans="3:9" x14ac:dyDescent="0.25">
      <c r="C122" s="83">
        <v>32</v>
      </c>
      <c r="D122" s="83">
        <v>9.9</v>
      </c>
      <c r="E122" s="83">
        <v>1</v>
      </c>
      <c r="F122" s="83" t="s">
        <v>216</v>
      </c>
      <c r="G122" s="83">
        <v>50</v>
      </c>
      <c r="H122" s="83" t="str">
        <f t="shared" si="11"/>
        <v xml:space="preserve"> Al</v>
      </c>
      <c r="I122" s="83">
        <v>189</v>
      </c>
    </row>
    <row r="123" spans="3:9" x14ac:dyDescent="0.25">
      <c r="C123" s="83">
        <v>40</v>
      </c>
      <c r="D123" s="83">
        <v>9.9</v>
      </c>
      <c r="E123" s="83">
        <v>1</v>
      </c>
      <c r="F123" s="83" t="s">
        <v>217</v>
      </c>
      <c r="G123" s="83">
        <v>16</v>
      </c>
      <c r="H123" s="83" t="str">
        <f t="shared" si="11"/>
        <v xml:space="preserve"> Cu</v>
      </c>
      <c r="I123" s="83">
        <v>83</v>
      </c>
    </row>
    <row r="124" spans="3:9" x14ac:dyDescent="0.25">
      <c r="C124" s="83">
        <v>40</v>
      </c>
      <c r="D124" s="83">
        <v>9.9</v>
      </c>
      <c r="E124" s="83">
        <v>1</v>
      </c>
      <c r="F124" s="83" t="s">
        <v>215</v>
      </c>
      <c r="G124" s="83">
        <v>25</v>
      </c>
      <c r="H124" s="83" t="str">
        <f t="shared" si="11"/>
        <v xml:space="preserve"> Al</v>
      </c>
      <c r="I124" s="83">
        <v>79</v>
      </c>
    </row>
    <row r="125" spans="3:9" x14ac:dyDescent="0.25">
      <c r="C125" s="83">
        <v>40</v>
      </c>
      <c r="D125" s="83">
        <v>9.9</v>
      </c>
      <c r="E125" s="83">
        <v>1</v>
      </c>
      <c r="F125" s="83" t="s">
        <v>216</v>
      </c>
      <c r="G125" s="83">
        <v>50</v>
      </c>
      <c r="H125" s="83" t="str">
        <f t="shared" si="11"/>
        <v xml:space="preserve"> Al</v>
      </c>
      <c r="I125" s="83">
        <v>147</v>
      </c>
    </row>
    <row r="126" spans="3:9" x14ac:dyDescent="0.25">
      <c r="C126" s="83">
        <v>63</v>
      </c>
      <c r="D126" s="83">
        <v>9.9</v>
      </c>
      <c r="E126" s="83">
        <v>1</v>
      </c>
      <c r="F126" s="83" t="s">
        <v>216</v>
      </c>
      <c r="G126" s="83">
        <v>50</v>
      </c>
      <c r="H126" s="83" t="str">
        <f t="shared" si="11"/>
        <v xml:space="preserve"> Al</v>
      </c>
      <c r="I126" s="83">
        <v>75</v>
      </c>
    </row>
    <row r="127" spans="3:9" x14ac:dyDescent="0.25">
      <c r="C127" s="83">
        <v>80</v>
      </c>
      <c r="D127" s="83">
        <v>9.9</v>
      </c>
      <c r="E127" s="83">
        <v>1</v>
      </c>
      <c r="F127" s="83" t="s">
        <v>218</v>
      </c>
      <c r="G127" s="83">
        <v>95</v>
      </c>
      <c r="H127" s="83" t="str">
        <f t="shared" si="11"/>
        <v xml:space="preserve"> Al</v>
      </c>
      <c r="I127" s="83">
        <v>136</v>
      </c>
    </row>
    <row r="128" spans="3:9" x14ac:dyDescent="0.25">
      <c r="C128" s="83">
        <v>25</v>
      </c>
      <c r="D128" s="83">
        <v>9.9</v>
      </c>
      <c r="E128" s="83">
        <v>2</v>
      </c>
      <c r="F128" s="83" t="s">
        <v>212</v>
      </c>
      <c r="G128" s="83">
        <v>6</v>
      </c>
      <c r="H128" s="83" t="str">
        <f t="shared" si="11"/>
        <v>Cu</v>
      </c>
      <c r="I128" s="83">
        <v>63</v>
      </c>
    </row>
    <row r="129" spans="3:9" x14ac:dyDescent="0.25">
      <c r="C129" s="83">
        <v>25</v>
      </c>
      <c r="D129" s="83">
        <v>9.9</v>
      </c>
      <c r="E129" s="83">
        <v>2</v>
      </c>
      <c r="F129" s="83" t="s">
        <v>214</v>
      </c>
      <c r="G129" s="83">
        <v>10</v>
      </c>
      <c r="H129" s="83" t="str">
        <f t="shared" si="11"/>
        <v xml:space="preserve"> Cu</v>
      </c>
      <c r="I129" s="83">
        <v>104</v>
      </c>
    </row>
    <row r="130" spans="3:9" x14ac:dyDescent="0.25">
      <c r="C130" s="83">
        <v>25</v>
      </c>
      <c r="D130" s="83">
        <v>9.9</v>
      </c>
      <c r="E130" s="83">
        <v>2</v>
      </c>
      <c r="F130" s="83" t="s">
        <v>215</v>
      </c>
      <c r="G130" s="83">
        <v>25</v>
      </c>
      <c r="H130" s="83" t="str">
        <f t="shared" si="11"/>
        <v xml:space="preserve"> Al</v>
      </c>
      <c r="I130" s="83">
        <v>158</v>
      </c>
    </row>
    <row r="131" spans="3:9" x14ac:dyDescent="0.25">
      <c r="C131" s="83">
        <v>25</v>
      </c>
      <c r="D131" s="83">
        <v>9.9</v>
      </c>
      <c r="E131" s="83">
        <v>2</v>
      </c>
      <c r="F131" s="83" t="s">
        <v>216</v>
      </c>
      <c r="G131" s="83">
        <v>50</v>
      </c>
      <c r="H131" s="83" t="str">
        <f t="shared" si="11"/>
        <v xml:space="preserve"> Al</v>
      </c>
      <c r="I131" s="83">
        <v>285</v>
      </c>
    </row>
    <row r="132" spans="3:9" x14ac:dyDescent="0.25">
      <c r="C132" s="83">
        <v>32</v>
      </c>
      <c r="D132" s="83">
        <v>9.9</v>
      </c>
      <c r="E132" s="83">
        <v>2</v>
      </c>
      <c r="F132" s="83" t="s">
        <v>214</v>
      </c>
      <c r="G132" s="83">
        <v>10</v>
      </c>
      <c r="H132" s="83" t="str">
        <f t="shared" si="11"/>
        <v xml:space="preserve"> Cu</v>
      </c>
      <c r="I132" s="83">
        <v>78</v>
      </c>
    </row>
    <row r="133" spans="3:9" x14ac:dyDescent="0.25">
      <c r="C133" s="83">
        <v>32</v>
      </c>
      <c r="D133" s="83">
        <v>9.9</v>
      </c>
      <c r="E133" s="83">
        <v>2</v>
      </c>
      <c r="F133" s="83" t="s">
        <v>215</v>
      </c>
      <c r="G133" s="83">
        <v>25</v>
      </c>
      <c r="H133" s="83" t="str">
        <f t="shared" si="11"/>
        <v xml:space="preserve"> Al</v>
      </c>
      <c r="I133" s="83">
        <v>119</v>
      </c>
    </row>
    <row r="134" spans="3:9" x14ac:dyDescent="0.25">
      <c r="C134" s="83">
        <v>32</v>
      </c>
      <c r="D134" s="83">
        <v>9.9</v>
      </c>
      <c r="E134" s="83">
        <v>2</v>
      </c>
      <c r="F134" s="83" t="s">
        <v>216</v>
      </c>
      <c r="G134" s="83">
        <v>50</v>
      </c>
      <c r="H134" s="83" t="str">
        <f t="shared" si="11"/>
        <v xml:space="preserve"> Al</v>
      </c>
      <c r="I134" s="83">
        <v>221</v>
      </c>
    </row>
    <row r="135" spans="3:9" x14ac:dyDescent="0.25">
      <c r="C135" s="83">
        <v>40</v>
      </c>
      <c r="D135" s="83">
        <v>9.9</v>
      </c>
      <c r="E135" s="83">
        <v>2</v>
      </c>
      <c r="F135" s="83" t="s">
        <v>217</v>
      </c>
      <c r="G135" s="83">
        <v>16</v>
      </c>
      <c r="H135" s="83" t="str">
        <f t="shared" si="11"/>
        <v xml:space="preserve"> Cu</v>
      </c>
      <c r="I135" s="83">
        <v>101</v>
      </c>
    </row>
    <row r="136" spans="3:9" x14ac:dyDescent="0.25">
      <c r="C136" s="83">
        <v>40</v>
      </c>
      <c r="D136" s="83">
        <v>9.9</v>
      </c>
      <c r="E136" s="83">
        <v>2</v>
      </c>
      <c r="F136" s="83" t="s">
        <v>215</v>
      </c>
      <c r="G136" s="83">
        <v>25</v>
      </c>
      <c r="H136" s="83" t="str">
        <f t="shared" si="11"/>
        <v xml:space="preserve"> Al</v>
      </c>
      <c r="I136" s="83">
        <v>96</v>
      </c>
    </row>
    <row r="137" spans="3:9" x14ac:dyDescent="0.25">
      <c r="C137" s="83">
        <v>40</v>
      </c>
      <c r="D137" s="83">
        <v>9.9</v>
      </c>
      <c r="E137" s="83">
        <v>2</v>
      </c>
      <c r="F137" s="83" t="s">
        <v>216</v>
      </c>
      <c r="G137" s="83">
        <v>50</v>
      </c>
      <c r="H137" s="83" t="str">
        <f t="shared" si="11"/>
        <v xml:space="preserve"> Al</v>
      </c>
      <c r="I137" s="83">
        <v>179</v>
      </c>
    </row>
    <row r="138" spans="3:9" x14ac:dyDescent="0.25">
      <c r="C138" s="83">
        <v>63</v>
      </c>
      <c r="D138" s="83">
        <v>9.9</v>
      </c>
      <c r="E138" s="83">
        <v>2</v>
      </c>
      <c r="F138" s="83" t="s">
        <v>216</v>
      </c>
      <c r="G138" s="83">
        <v>50</v>
      </c>
      <c r="H138" s="83" t="str">
        <f t="shared" si="11"/>
        <v xml:space="preserve"> Al</v>
      </c>
      <c r="I138" s="83">
        <v>108</v>
      </c>
    </row>
    <row r="139" spans="3:9" x14ac:dyDescent="0.25">
      <c r="C139" s="83">
        <v>80</v>
      </c>
      <c r="D139" s="83">
        <v>9.9</v>
      </c>
      <c r="E139" s="83">
        <v>2</v>
      </c>
      <c r="F139" s="83" t="s">
        <v>218</v>
      </c>
      <c r="G139" s="83">
        <v>95</v>
      </c>
      <c r="H139" s="83" t="str">
        <f t="shared" si="11"/>
        <v xml:space="preserve"> Al</v>
      </c>
      <c r="I139" s="83">
        <v>170</v>
      </c>
    </row>
    <row r="140" spans="3:9" x14ac:dyDescent="0.25">
      <c r="C140" s="83">
        <v>25</v>
      </c>
      <c r="D140" s="83">
        <v>9.9</v>
      </c>
      <c r="E140" s="83">
        <v>5</v>
      </c>
      <c r="F140" s="83" t="s">
        <v>212</v>
      </c>
      <c r="G140" s="83">
        <v>6</v>
      </c>
      <c r="H140" s="83" t="str">
        <f t="shared" si="11"/>
        <v>Cu</v>
      </c>
      <c r="I140" s="83">
        <v>63</v>
      </c>
    </row>
    <row r="141" spans="3:9" x14ac:dyDescent="0.25">
      <c r="C141" s="83">
        <v>25</v>
      </c>
      <c r="D141" s="83">
        <v>9.9</v>
      </c>
      <c r="E141" s="83">
        <v>5</v>
      </c>
      <c r="F141" s="83" t="s">
        <v>214</v>
      </c>
      <c r="G141" s="83">
        <v>10</v>
      </c>
      <c r="H141" s="83" t="str">
        <f t="shared" si="11"/>
        <v xml:space="preserve"> Cu</v>
      </c>
      <c r="I141" s="83">
        <v>105</v>
      </c>
    </row>
    <row r="142" spans="3:9" x14ac:dyDescent="0.25">
      <c r="C142" s="83">
        <v>25</v>
      </c>
      <c r="D142" s="83">
        <v>9.9</v>
      </c>
      <c r="E142" s="83">
        <v>5</v>
      </c>
      <c r="F142" s="83" t="s">
        <v>215</v>
      </c>
      <c r="G142" s="83">
        <v>25</v>
      </c>
      <c r="H142" s="83" t="str">
        <f t="shared" si="11"/>
        <v xml:space="preserve"> Al</v>
      </c>
      <c r="I142" s="83">
        <v>158</v>
      </c>
    </row>
    <row r="143" spans="3:9" x14ac:dyDescent="0.25">
      <c r="C143" s="83">
        <v>25</v>
      </c>
      <c r="D143" s="83">
        <v>9.9</v>
      </c>
      <c r="E143" s="83">
        <v>5</v>
      </c>
      <c r="F143" s="83" t="s">
        <v>216</v>
      </c>
      <c r="G143" s="83">
        <v>50</v>
      </c>
      <c r="H143" s="83" t="str">
        <f t="shared" si="11"/>
        <v xml:space="preserve"> Al</v>
      </c>
      <c r="I143" s="83">
        <v>288</v>
      </c>
    </row>
    <row r="144" spans="3:9" x14ac:dyDescent="0.25">
      <c r="C144" s="83">
        <v>32</v>
      </c>
      <c r="D144" s="83">
        <v>9.9</v>
      </c>
      <c r="E144" s="83">
        <v>5</v>
      </c>
      <c r="F144" s="83" t="s">
        <v>214</v>
      </c>
      <c r="G144" s="83">
        <v>10</v>
      </c>
      <c r="H144" s="83" t="str">
        <f t="shared" si="11"/>
        <v xml:space="preserve"> Cu</v>
      </c>
      <c r="I144" s="83">
        <v>82</v>
      </c>
    </row>
    <row r="145" spans="3:9" x14ac:dyDescent="0.25">
      <c r="C145" s="83">
        <v>32</v>
      </c>
      <c r="D145" s="83">
        <v>9.9</v>
      </c>
      <c r="E145" s="83">
        <v>5</v>
      </c>
      <c r="F145" s="83" t="s">
        <v>215</v>
      </c>
      <c r="G145" s="83">
        <v>25</v>
      </c>
      <c r="H145" s="83" t="str">
        <f t="shared" si="11"/>
        <v xml:space="preserve"> Al</v>
      </c>
      <c r="I145" s="83">
        <v>123</v>
      </c>
    </row>
    <row r="146" spans="3:9" x14ac:dyDescent="0.25">
      <c r="C146" s="83">
        <v>32</v>
      </c>
      <c r="D146" s="83">
        <v>9.9</v>
      </c>
      <c r="E146" s="83">
        <v>5</v>
      </c>
      <c r="F146" s="83" t="s">
        <v>216</v>
      </c>
      <c r="G146" s="83">
        <v>50</v>
      </c>
      <c r="H146" s="83" t="str">
        <f t="shared" si="11"/>
        <v xml:space="preserve"> Al</v>
      </c>
      <c r="I146" s="83">
        <v>226</v>
      </c>
    </row>
    <row r="147" spans="3:9" x14ac:dyDescent="0.25">
      <c r="C147" s="83">
        <v>40</v>
      </c>
      <c r="D147" s="83">
        <v>9.9</v>
      </c>
      <c r="E147" s="83">
        <v>5</v>
      </c>
      <c r="F147" s="83" t="s">
        <v>217</v>
      </c>
      <c r="G147" s="83">
        <v>16</v>
      </c>
      <c r="H147" s="83" t="str">
        <f t="shared" si="11"/>
        <v xml:space="preserve"> Cu</v>
      </c>
      <c r="I147" s="83">
        <v>103</v>
      </c>
    </row>
    <row r="148" spans="3:9" x14ac:dyDescent="0.25">
      <c r="C148" s="83">
        <v>40</v>
      </c>
      <c r="D148" s="83">
        <v>9.9</v>
      </c>
      <c r="E148" s="83">
        <v>5</v>
      </c>
      <c r="F148" s="83" t="s">
        <v>215</v>
      </c>
      <c r="G148" s="83">
        <v>25</v>
      </c>
      <c r="H148" s="83" t="str">
        <f t="shared" si="11"/>
        <v xml:space="preserve"> Al</v>
      </c>
      <c r="I148" s="83">
        <v>99</v>
      </c>
    </row>
    <row r="149" spans="3:9" x14ac:dyDescent="0.25">
      <c r="C149" s="83">
        <v>40</v>
      </c>
      <c r="D149" s="83">
        <v>9.9</v>
      </c>
      <c r="E149" s="83">
        <v>5</v>
      </c>
      <c r="F149" s="83" t="s">
        <v>216</v>
      </c>
      <c r="G149" s="83">
        <v>50</v>
      </c>
      <c r="H149" s="83" t="str">
        <f t="shared" si="11"/>
        <v xml:space="preserve"> Al</v>
      </c>
      <c r="I149" s="83">
        <v>180</v>
      </c>
    </row>
    <row r="150" spans="3:9" x14ac:dyDescent="0.25">
      <c r="C150" s="83">
        <v>63</v>
      </c>
      <c r="D150" s="83">
        <v>9.9</v>
      </c>
      <c r="E150" s="83">
        <v>5</v>
      </c>
      <c r="F150" s="83" t="s">
        <v>216</v>
      </c>
      <c r="G150" s="83">
        <v>50</v>
      </c>
      <c r="H150" s="83" t="str">
        <f t="shared" si="11"/>
        <v xml:space="preserve"> Al</v>
      </c>
      <c r="I150" s="83">
        <v>114</v>
      </c>
    </row>
    <row r="151" spans="3:9" x14ac:dyDescent="0.25">
      <c r="C151" s="83">
        <v>80</v>
      </c>
      <c r="D151" s="83">
        <v>9.9</v>
      </c>
      <c r="E151" s="83">
        <v>5</v>
      </c>
      <c r="F151" s="83" t="s">
        <v>218</v>
      </c>
      <c r="G151" s="83">
        <v>95</v>
      </c>
      <c r="H151" s="83" t="str">
        <f t="shared" si="11"/>
        <v xml:space="preserve"> Al</v>
      </c>
      <c r="I151" s="83">
        <v>170</v>
      </c>
    </row>
    <row r="152" spans="3:9" x14ac:dyDescent="0.25">
      <c r="C152" s="83">
        <v>25</v>
      </c>
      <c r="D152" s="83">
        <v>9.9</v>
      </c>
      <c r="E152" s="83">
        <v>8.5</v>
      </c>
      <c r="F152" s="83" t="s">
        <v>212</v>
      </c>
      <c r="G152" s="83">
        <v>6</v>
      </c>
      <c r="H152" s="83" t="str">
        <f t="shared" si="11"/>
        <v>Cu</v>
      </c>
      <c r="I152" s="83">
        <v>63</v>
      </c>
    </row>
    <row r="153" spans="3:9" x14ac:dyDescent="0.25">
      <c r="C153" s="83">
        <v>25</v>
      </c>
      <c r="D153" s="83">
        <v>9.9</v>
      </c>
      <c r="E153" s="83">
        <v>8.5</v>
      </c>
      <c r="F153" s="83" t="s">
        <v>214</v>
      </c>
      <c r="G153" s="83">
        <v>10</v>
      </c>
      <c r="H153" s="83" t="str">
        <f t="shared" si="11"/>
        <v xml:space="preserve"> Cu</v>
      </c>
      <c r="I153" s="83">
        <v>105</v>
      </c>
    </row>
    <row r="154" spans="3:9" x14ac:dyDescent="0.25">
      <c r="C154" s="83">
        <v>25</v>
      </c>
      <c r="D154" s="83">
        <v>9.9</v>
      </c>
      <c r="E154" s="83">
        <v>8.5</v>
      </c>
      <c r="F154" s="83" t="s">
        <v>215</v>
      </c>
      <c r="G154" s="83">
        <v>25</v>
      </c>
      <c r="H154" s="83" t="str">
        <f t="shared" si="11"/>
        <v xml:space="preserve"> Al</v>
      </c>
      <c r="I154" s="83">
        <v>158</v>
      </c>
    </row>
    <row r="155" spans="3:9" x14ac:dyDescent="0.25">
      <c r="C155" s="83">
        <v>25</v>
      </c>
      <c r="D155" s="83">
        <v>9.9</v>
      </c>
      <c r="E155" s="83">
        <v>8.5</v>
      </c>
      <c r="F155" s="83" t="s">
        <v>216</v>
      </c>
      <c r="G155" s="83">
        <v>50</v>
      </c>
      <c r="H155" s="83" t="str">
        <f t="shared" si="11"/>
        <v xml:space="preserve"> Al</v>
      </c>
      <c r="I155" s="83">
        <v>288</v>
      </c>
    </row>
    <row r="156" spans="3:9" x14ac:dyDescent="0.25">
      <c r="C156" s="83">
        <v>32</v>
      </c>
      <c r="D156" s="83">
        <v>9.9</v>
      </c>
      <c r="E156" s="83">
        <v>8.5</v>
      </c>
      <c r="F156" s="83" t="s">
        <v>214</v>
      </c>
      <c r="G156" s="83">
        <v>10</v>
      </c>
      <c r="H156" s="83" t="str">
        <f t="shared" si="11"/>
        <v xml:space="preserve"> Cu</v>
      </c>
      <c r="I156" s="83">
        <v>82</v>
      </c>
    </row>
    <row r="157" spans="3:9" x14ac:dyDescent="0.25">
      <c r="C157" s="83">
        <v>32</v>
      </c>
      <c r="D157" s="83">
        <v>9.9</v>
      </c>
      <c r="E157" s="83">
        <v>8.5</v>
      </c>
      <c r="F157" s="83" t="s">
        <v>215</v>
      </c>
      <c r="G157" s="83">
        <v>25</v>
      </c>
      <c r="H157" s="83" t="str">
        <f t="shared" si="11"/>
        <v xml:space="preserve"> Al</v>
      </c>
      <c r="I157" s="83">
        <v>123</v>
      </c>
    </row>
    <row r="158" spans="3:9" x14ac:dyDescent="0.25">
      <c r="C158" s="83">
        <v>32</v>
      </c>
      <c r="D158" s="83">
        <v>9.9</v>
      </c>
      <c r="E158" s="83">
        <v>8.5</v>
      </c>
      <c r="F158" s="83" t="s">
        <v>216</v>
      </c>
      <c r="G158" s="83">
        <v>50</v>
      </c>
      <c r="H158" s="83" t="str">
        <f t="shared" si="11"/>
        <v xml:space="preserve"> Al</v>
      </c>
      <c r="I158" s="83">
        <v>226</v>
      </c>
    </row>
    <row r="159" spans="3:9" x14ac:dyDescent="0.25">
      <c r="C159" s="83">
        <v>40</v>
      </c>
      <c r="D159" s="83">
        <v>9.9</v>
      </c>
      <c r="E159" s="83">
        <v>8.5</v>
      </c>
      <c r="F159" s="83" t="s">
        <v>217</v>
      </c>
      <c r="G159" s="83">
        <v>16</v>
      </c>
      <c r="H159" s="83" t="str">
        <f t="shared" si="11"/>
        <v xml:space="preserve"> Cu</v>
      </c>
      <c r="I159" s="83">
        <v>103</v>
      </c>
    </row>
    <row r="160" spans="3:9" x14ac:dyDescent="0.25">
      <c r="C160" s="83">
        <v>40</v>
      </c>
      <c r="D160" s="83">
        <v>9.9</v>
      </c>
      <c r="E160" s="83">
        <v>8.5</v>
      </c>
      <c r="F160" s="83" t="s">
        <v>215</v>
      </c>
      <c r="G160" s="83">
        <v>25</v>
      </c>
      <c r="H160" s="83" t="str">
        <f t="shared" si="11"/>
        <v xml:space="preserve"> Al</v>
      </c>
      <c r="I160" s="83">
        <v>99</v>
      </c>
    </row>
    <row r="161" spans="3:16" x14ac:dyDescent="0.25">
      <c r="C161" s="83">
        <v>40</v>
      </c>
      <c r="D161" s="83">
        <v>9.9</v>
      </c>
      <c r="E161" s="83">
        <v>8.5</v>
      </c>
      <c r="F161" s="83" t="s">
        <v>216</v>
      </c>
      <c r="G161" s="83">
        <v>50</v>
      </c>
      <c r="H161" s="83" t="str">
        <f t="shared" si="11"/>
        <v xml:space="preserve"> Al</v>
      </c>
      <c r="I161" s="83">
        <v>180</v>
      </c>
    </row>
    <row r="162" spans="3:16" x14ac:dyDescent="0.25">
      <c r="C162" s="83">
        <v>63</v>
      </c>
      <c r="D162" s="83">
        <v>9.9</v>
      </c>
      <c r="E162" s="83">
        <v>8.5</v>
      </c>
      <c r="F162" s="83" t="s">
        <v>216</v>
      </c>
      <c r="G162" s="83">
        <v>50</v>
      </c>
      <c r="H162" s="83" t="str">
        <f t="shared" si="11"/>
        <v xml:space="preserve"> Al</v>
      </c>
      <c r="I162" s="83">
        <v>114</v>
      </c>
    </row>
    <row r="163" spans="3:16" x14ac:dyDescent="0.25">
      <c r="C163" s="83">
        <v>80</v>
      </c>
      <c r="D163" s="83">
        <v>9.9</v>
      </c>
      <c r="E163" s="83">
        <v>8.5</v>
      </c>
      <c r="F163" s="83" t="s">
        <v>216</v>
      </c>
      <c r="G163" s="83">
        <v>50</v>
      </c>
      <c r="H163" s="83" t="str">
        <f t="shared" si="11"/>
        <v xml:space="preserve"> Al</v>
      </c>
      <c r="I163" s="83">
        <v>171</v>
      </c>
    </row>
    <row r="164" spans="3:16" ht="15.75" thickBot="1" x14ac:dyDescent="0.3">
      <c r="C164" s="181" t="s">
        <v>206</v>
      </c>
      <c r="D164" s="181" t="s">
        <v>207</v>
      </c>
      <c r="E164" s="170" t="s">
        <v>208</v>
      </c>
      <c r="F164" s="170" t="s">
        <v>209</v>
      </c>
      <c r="G164" s="170" t="s">
        <v>229</v>
      </c>
      <c r="H164" s="170" t="s">
        <v>230</v>
      </c>
      <c r="I164" s="170" t="s">
        <v>210</v>
      </c>
    </row>
    <row r="165" spans="3:16" x14ac:dyDescent="0.25">
      <c r="C165" s="83">
        <v>25</v>
      </c>
      <c r="D165" s="83">
        <v>9.9</v>
      </c>
      <c r="E165" s="83">
        <v>0.25</v>
      </c>
      <c r="F165" s="83" t="s">
        <v>212</v>
      </c>
      <c r="G165" s="83">
        <v>6</v>
      </c>
      <c r="H165" s="83" t="str">
        <f t="shared" ref="H165:H223" si="12">MID(F165,6,3)</f>
        <v>Cu</v>
      </c>
      <c r="I165" s="83">
        <v>52</v>
      </c>
      <c r="J165" s="1012" t="s">
        <v>220</v>
      </c>
      <c r="K165" s="1018"/>
      <c r="L165" s="1012" t="s">
        <v>200</v>
      </c>
      <c r="M165" s="1013"/>
      <c r="N165" s="164"/>
      <c r="O165" s="164" t="s">
        <v>201</v>
      </c>
      <c r="P165" s="165" t="s">
        <v>202</v>
      </c>
    </row>
    <row r="166" spans="3:16" ht="15.75" thickBot="1" x14ac:dyDescent="0.3">
      <c r="C166" s="83">
        <v>25</v>
      </c>
      <c r="D166" s="83">
        <v>9.9</v>
      </c>
      <c r="E166" s="83">
        <v>0.25</v>
      </c>
      <c r="F166" s="83" t="s">
        <v>214</v>
      </c>
      <c r="G166" s="83">
        <v>10</v>
      </c>
      <c r="H166" s="83" t="str">
        <f t="shared" si="12"/>
        <v xml:space="preserve"> Cu</v>
      </c>
      <c r="I166" s="83">
        <v>86</v>
      </c>
      <c r="J166" s="1016" t="s">
        <v>221</v>
      </c>
      <c r="K166" s="1017"/>
      <c r="L166" s="168"/>
      <c r="M166" s="168"/>
      <c r="N166" s="168"/>
      <c r="O166" s="168" t="s">
        <v>204</v>
      </c>
      <c r="P166" s="169" t="s">
        <v>205</v>
      </c>
    </row>
    <row r="167" spans="3:16" ht="15.75" thickBot="1" x14ac:dyDescent="0.3">
      <c r="C167" s="83">
        <v>25</v>
      </c>
      <c r="D167" s="83">
        <v>9.9</v>
      </c>
      <c r="E167" s="83">
        <v>0.25</v>
      </c>
      <c r="F167" s="83" t="s">
        <v>215</v>
      </c>
      <c r="G167" s="83">
        <v>25</v>
      </c>
      <c r="H167" s="83" t="str">
        <f t="shared" si="12"/>
        <v xml:space="preserve"> Al</v>
      </c>
      <c r="I167" s="83">
        <v>132</v>
      </c>
      <c r="J167" s="1014" t="s">
        <v>219</v>
      </c>
      <c r="K167" s="1015"/>
    </row>
    <row r="168" spans="3:16" x14ac:dyDescent="0.25">
      <c r="C168" s="83">
        <v>25</v>
      </c>
      <c r="D168" s="83">
        <v>9.9</v>
      </c>
      <c r="E168" s="83">
        <v>0.25</v>
      </c>
      <c r="F168" s="83" t="s">
        <v>216</v>
      </c>
      <c r="G168" s="83">
        <v>50</v>
      </c>
      <c r="H168" s="83" t="str">
        <f t="shared" si="12"/>
        <v xml:space="preserve"> Al</v>
      </c>
      <c r="I168" s="83">
        <v>241</v>
      </c>
    </row>
    <row r="169" spans="3:16" x14ac:dyDescent="0.25">
      <c r="C169" s="83">
        <v>25</v>
      </c>
      <c r="D169" s="83">
        <v>9.9</v>
      </c>
      <c r="E169" s="83">
        <v>0.5</v>
      </c>
      <c r="F169" s="83" t="s">
        <v>212</v>
      </c>
      <c r="G169" s="83">
        <v>6</v>
      </c>
      <c r="H169" s="83" t="str">
        <f t="shared" si="12"/>
        <v>Cu</v>
      </c>
      <c r="I169" s="83">
        <v>75</v>
      </c>
    </row>
    <row r="170" spans="3:16" x14ac:dyDescent="0.25">
      <c r="C170" s="83">
        <v>25</v>
      </c>
      <c r="D170" s="83">
        <v>9.9</v>
      </c>
      <c r="E170" s="83">
        <v>0.5</v>
      </c>
      <c r="F170" s="83" t="s">
        <v>214</v>
      </c>
      <c r="G170" s="83">
        <v>10</v>
      </c>
      <c r="H170" s="83" t="str">
        <f t="shared" si="12"/>
        <v xml:space="preserve"> Cu</v>
      </c>
      <c r="I170" s="83">
        <v>127</v>
      </c>
    </row>
    <row r="171" spans="3:16" x14ac:dyDescent="0.25">
      <c r="C171" s="83">
        <v>25</v>
      </c>
      <c r="D171" s="83">
        <v>9.9</v>
      </c>
      <c r="E171" s="83">
        <v>0.5</v>
      </c>
      <c r="F171" s="83" t="s">
        <v>215</v>
      </c>
      <c r="G171" s="83">
        <v>25</v>
      </c>
      <c r="H171" s="83" t="str">
        <f t="shared" si="12"/>
        <v xml:space="preserve"> Al</v>
      </c>
      <c r="I171" s="83">
        <v>199</v>
      </c>
    </row>
    <row r="172" spans="3:16" x14ac:dyDescent="0.25">
      <c r="C172" s="83">
        <v>25</v>
      </c>
      <c r="D172" s="83">
        <v>9.9</v>
      </c>
      <c r="E172" s="83">
        <v>0.5</v>
      </c>
      <c r="F172" s="83" t="s">
        <v>216</v>
      </c>
      <c r="G172" s="83">
        <v>50</v>
      </c>
      <c r="H172" s="83" t="str">
        <f t="shared" si="12"/>
        <v xml:space="preserve"> Al</v>
      </c>
      <c r="I172" s="83">
        <v>368</v>
      </c>
    </row>
    <row r="173" spans="3:16" x14ac:dyDescent="0.25">
      <c r="C173" s="83">
        <v>32</v>
      </c>
      <c r="D173" s="83">
        <v>9.9</v>
      </c>
      <c r="E173" s="83">
        <v>0.5</v>
      </c>
      <c r="F173" s="83" t="s">
        <v>214</v>
      </c>
      <c r="G173" s="83">
        <v>10</v>
      </c>
      <c r="H173" s="83" t="str">
        <f t="shared" si="12"/>
        <v xml:space="preserve"> Cu</v>
      </c>
      <c r="I173" s="83">
        <v>73</v>
      </c>
    </row>
    <row r="174" spans="3:16" x14ac:dyDescent="0.25">
      <c r="C174" s="83">
        <v>32</v>
      </c>
      <c r="D174" s="83">
        <v>9.9</v>
      </c>
      <c r="E174" s="83">
        <v>0.5</v>
      </c>
      <c r="F174" s="83" t="s">
        <v>215</v>
      </c>
      <c r="G174" s="83">
        <v>25</v>
      </c>
      <c r="H174" s="83" t="str">
        <f t="shared" si="12"/>
        <v xml:space="preserve"> Al</v>
      </c>
      <c r="I174" s="83">
        <v>111</v>
      </c>
    </row>
    <row r="175" spans="3:16" x14ac:dyDescent="0.25">
      <c r="C175" s="83">
        <v>32</v>
      </c>
      <c r="D175" s="83">
        <v>9.9</v>
      </c>
      <c r="E175" s="83">
        <v>0.5</v>
      </c>
      <c r="F175" s="83" t="s">
        <v>216</v>
      </c>
      <c r="G175" s="83">
        <v>50</v>
      </c>
      <c r="H175" s="83" t="str">
        <f t="shared" si="12"/>
        <v xml:space="preserve"> Al</v>
      </c>
      <c r="I175" s="83">
        <v>205</v>
      </c>
    </row>
    <row r="176" spans="3:16" x14ac:dyDescent="0.25">
      <c r="C176" s="83">
        <v>40</v>
      </c>
      <c r="D176" s="83">
        <v>9.9</v>
      </c>
      <c r="E176" s="83">
        <v>0.5</v>
      </c>
      <c r="F176" s="83" t="s">
        <v>217</v>
      </c>
      <c r="G176" s="83">
        <v>16</v>
      </c>
      <c r="H176" s="83" t="str">
        <f t="shared" si="12"/>
        <v xml:space="preserve"> Cu</v>
      </c>
      <c r="I176" s="83">
        <v>67</v>
      </c>
    </row>
    <row r="177" spans="3:13" x14ac:dyDescent="0.25">
      <c r="C177" s="83">
        <v>40</v>
      </c>
      <c r="D177" s="83">
        <v>9.9</v>
      </c>
      <c r="E177" s="83">
        <v>0.5</v>
      </c>
      <c r="F177" s="83" t="s">
        <v>215</v>
      </c>
      <c r="G177" s="83">
        <v>25</v>
      </c>
      <c r="H177" s="83" t="str">
        <f t="shared" si="12"/>
        <v xml:space="preserve"> Al</v>
      </c>
      <c r="I177" s="83">
        <v>64</v>
      </c>
    </row>
    <row r="178" spans="3:13" x14ac:dyDescent="0.25">
      <c r="C178" s="83">
        <v>40</v>
      </c>
      <c r="D178" s="83">
        <v>9.9</v>
      </c>
      <c r="E178" s="83">
        <v>0.5</v>
      </c>
      <c r="F178" s="83" t="s">
        <v>216</v>
      </c>
      <c r="G178" s="83">
        <v>50</v>
      </c>
      <c r="H178" s="83" t="str">
        <f t="shared" si="12"/>
        <v xml:space="preserve"> Al</v>
      </c>
      <c r="I178" s="83">
        <v>118</v>
      </c>
    </row>
    <row r="179" spans="3:13" x14ac:dyDescent="0.25">
      <c r="C179" s="83">
        <v>50</v>
      </c>
      <c r="D179" s="83">
        <v>9.9</v>
      </c>
      <c r="E179" s="83">
        <v>0.5</v>
      </c>
      <c r="F179" s="83" t="s">
        <v>216</v>
      </c>
      <c r="G179" s="83">
        <v>50</v>
      </c>
      <c r="H179" s="83" t="str">
        <f t="shared" si="12"/>
        <v xml:space="preserve"> Al</v>
      </c>
      <c r="I179" s="83">
        <v>26</v>
      </c>
    </row>
    <row r="180" spans="3:13" x14ac:dyDescent="0.25">
      <c r="C180" s="83">
        <v>25</v>
      </c>
      <c r="D180" s="83">
        <v>9.9</v>
      </c>
      <c r="E180" s="83">
        <v>1</v>
      </c>
      <c r="F180" s="83" t="s">
        <v>212</v>
      </c>
      <c r="G180" s="83">
        <v>6</v>
      </c>
      <c r="H180" s="83" t="str">
        <f t="shared" si="12"/>
        <v>Cu</v>
      </c>
      <c r="I180" s="83">
        <v>78</v>
      </c>
    </row>
    <row r="181" spans="3:13" x14ac:dyDescent="0.25">
      <c r="C181" s="83">
        <v>25</v>
      </c>
      <c r="D181" s="83">
        <v>9.9</v>
      </c>
      <c r="E181" s="83">
        <v>1</v>
      </c>
      <c r="F181" s="83" t="s">
        <v>214</v>
      </c>
      <c r="G181" s="83">
        <v>10</v>
      </c>
      <c r="H181" s="83" t="str">
        <f t="shared" si="12"/>
        <v xml:space="preserve"> Cu</v>
      </c>
      <c r="I181" s="83">
        <v>132</v>
      </c>
    </row>
    <row r="182" spans="3:13" x14ac:dyDescent="0.25">
      <c r="C182" s="83">
        <v>25</v>
      </c>
      <c r="D182" s="83">
        <v>9.9</v>
      </c>
      <c r="E182" s="83">
        <v>1</v>
      </c>
      <c r="F182" s="83" t="s">
        <v>215</v>
      </c>
      <c r="G182" s="83">
        <v>25</v>
      </c>
      <c r="H182" s="83" t="str">
        <f t="shared" si="12"/>
        <v xml:space="preserve"> Al</v>
      </c>
      <c r="I182" s="83">
        <v>199</v>
      </c>
    </row>
    <row r="183" spans="3:13" x14ac:dyDescent="0.25">
      <c r="C183" s="83">
        <v>25</v>
      </c>
      <c r="D183" s="83">
        <v>9.9</v>
      </c>
      <c r="E183" s="83">
        <v>1</v>
      </c>
      <c r="F183" s="83" t="s">
        <v>216</v>
      </c>
      <c r="G183" s="83">
        <v>50</v>
      </c>
      <c r="H183" s="83" t="str">
        <f t="shared" si="12"/>
        <v xml:space="preserve"> Al</v>
      </c>
      <c r="I183" s="83">
        <v>368</v>
      </c>
      <c r="K183" s="88"/>
      <c r="L183" s="88"/>
      <c r="M183" s="88"/>
    </row>
    <row r="184" spans="3:13" x14ac:dyDescent="0.25">
      <c r="C184" s="83">
        <v>32</v>
      </c>
      <c r="D184" s="83">
        <v>9.9</v>
      </c>
      <c r="E184" s="83">
        <v>1</v>
      </c>
      <c r="F184" s="83" t="s">
        <v>214</v>
      </c>
      <c r="G184" s="83">
        <v>10</v>
      </c>
      <c r="H184" s="83" t="str">
        <f t="shared" si="12"/>
        <v xml:space="preserve"> Cu</v>
      </c>
      <c r="I184" s="83">
        <v>67</v>
      </c>
      <c r="M184" s="12"/>
    </row>
    <row r="185" spans="3:13" x14ac:dyDescent="0.25">
      <c r="C185" s="83">
        <v>32</v>
      </c>
      <c r="D185" s="83">
        <v>9.9</v>
      </c>
      <c r="E185" s="83">
        <v>1</v>
      </c>
      <c r="F185" s="83" t="s">
        <v>215</v>
      </c>
      <c r="G185" s="83">
        <v>25</v>
      </c>
      <c r="H185" s="83" t="str">
        <f t="shared" si="12"/>
        <v xml:space="preserve"> Al</v>
      </c>
      <c r="I185" s="83">
        <v>111</v>
      </c>
    </row>
    <row r="186" spans="3:13" x14ac:dyDescent="0.25">
      <c r="C186" s="83">
        <v>32</v>
      </c>
      <c r="D186" s="83">
        <v>9.9</v>
      </c>
      <c r="E186" s="83">
        <v>1</v>
      </c>
      <c r="F186" s="83" t="s">
        <v>216</v>
      </c>
      <c r="G186" s="83">
        <v>50</v>
      </c>
      <c r="H186" s="83" t="str">
        <f t="shared" si="12"/>
        <v xml:space="preserve"> Al</v>
      </c>
      <c r="I186" s="83">
        <v>205</v>
      </c>
    </row>
    <row r="187" spans="3:13" x14ac:dyDescent="0.25">
      <c r="C187" s="83">
        <v>40</v>
      </c>
      <c r="D187" s="83">
        <v>9.9</v>
      </c>
      <c r="E187" s="83">
        <v>1</v>
      </c>
      <c r="F187" s="83" t="s">
        <v>217</v>
      </c>
      <c r="G187" s="83">
        <v>16</v>
      </c>
      <c r="H187" s="83" t="str">
        <f t="shared" si="12"/>
        <v xml:space="preserve"> Cu</v>
      </c>
      <c r="I187" s="83">
        <v>67</v>
      </c>
    </row>
    <row r="188" spans="3:13" x14ac:dyDescent="0.25">
      <c r="C188" s="83">
        <v>40</v>
      </c>
      <c r="D188" s="83">
        <v>9.9</v>
      </c>
      <c r="E188" s="83">
        <v>1</v>
      </c>
      <c r="F188" s="83" t="s">
        <v>215</v>
      </c>
      <c r="G188" s="83">
        <v>25</v>
      </c>
      <c r="H188" s="83" t="str">
        <f t="shared" si="12"/>
        <v xml:space="preserve"> Al</v>
      </c>
      <c r="I188" s="83">
        <v>64</v>
      </c>
    </row>
    <row r="189" spans="3:13" x14ac:dyDescent="0.25">
      <c r="C189" s="83">
        <v>40</v>
      </c>
      <c r="D189" s="83">
        <v>9.9</v>
      </c>
      <c r="E189" s="83">
        <v>1</v>
      </c>
      <c r="F189" s="83" t="s">
        <v>216</v>
      </c>
      <c r="G189" s="83">
        <v>50</v>
      </c>
      <c r="H189" s="83" t="str">
        <f t="shared" si="12"/>
        <v xml:space="preserve"> Al</v>
      </c>
      <c r="I189" s="83">
        <v>118</v>
      </c>
    </row>
    <row r="190" spans="3:13" x14ac:dyDescent="0.25">
      <c r="C190" s="83">
        <v>50</v>
      </c>
      <c r="D190" s="83">
        <v>9.9</v>
      </c>
      <c r="E190" s="83">
        <v>1</v>
      </c>
      <c r="F190" s="83" t="s">
        <v>216</v>
      </c>
      <c r="G190" s="83">
        <v>50</v>
      </c>
      <c r="H190" s="83" t="str">
        <f t="shared" si="12"/>
        <v xml:space="preserve"> Al</v>
      </c>
      <c r="I190" s="83">
        <v>26</v>
      </c>
    </row>
    <row r="191" spans="3:13" x14ac:dyDescent="0.25">
      <c r="C191" s="83">
        <v>25</v>
      </c>
      <c r="D191" s="83">
        <v>9.9</v>
      </c>
      <c r="E191" s="83">
        <v>2</v>
      </c>
      <c r="F191" s="83" t="s">
        <v>212</v>
      </c>
      <c r="G191" s="83">
        <v>6</v>
      </c>
      <c r="H191" s="83" t="str">
        <f t="shared" si="12"/>
        <v>Cu</v>
      </c>
      <c r="I191" s="83">
        <v>78</v>
      </c>
    </row>
    <row r="192" spans="3:13" x14ac:dyDescent="0.25">
      <c r="C192" s="83">
        <v>25</v>
      </c>
      <c r="D192" s="83">
        <v>9.9</v>
      </c>
      <c r="E192" s="83">
        <v>2</v>
      </c>
      <c r="F192" s="83" t="s">
        <v>214</v>
      </c>
      <c r="G192" s="83">
        <v>10</v>
      </c>
      <c r="H192" s="83" t="str">
        <f t="shared" si="12"/>
        <v xml:space="preserve"> Cu</v>
      </c>
      <c r="I192" s="83">
        <v>132</v>
      </c>
    </row>
    <row r="193" spans="3:9" x14ac:dyDescent="0.25">
      <c r="C193" s="83">
        <v>25</v>
      </c>
      <c r="D193" s="83">
        <v>9.9</v>
      </c>
      <c r="E193" s="83">
        <v>2</v>
      </c>
      <c r="F193" s="83" t="s">
        <v>215</v>
      </c>
      <c r="G193" s="83">
        <v>25</v>
      </c>
      <c r="H193" s="83" t="str">
        <f t="shared" si="12"/>
        <v xml:space="preserve"> Al</v>
      </c>
      <c r="I193" s="83">
        <v>199</v>
      </c>
    </row>
    <row r="194" spans="3:9" x14ac:dyDescent="0.25">
      <c r="C194" s="83">
        <v>25</v>
      </c>
      <c r="D194" s="83">
        <v>9.9</v>
      </c>
      <c r="E194" s="83">
        <v>2</v>
      </c>
      <c r="F194" s="83" t="s">
        <v>216</v>
      </c>
      <c r="G194" s="83">
        <v>50</v>
      </c>
      <c r="H194" s="83" t="str">
        <f t="shared" si="12"/>
        <v xml:space="preserve"> Al</v>
      </c>
      <c r="I194" s="83">
        <v>368</v>
      </c>
    </row>
    <row r="195" spans="3:9" x14ac:dyDescent="0.25">
      <c r="C195" s="83">
        <v>32</v>
      </c>
      <c r="D195" s="83">
        <v>9.9</v>
      </c>
      <c r="E195" s="83">
        <v>2</v>
      </c>
      <c r="F195" s="83" t="s">
        <v>214</v>
      </c>
      <c r="G195" s="83">
        <v>10</v>
      </c>
      <c r="H195" s="83" t="str">
        <f t="shared" si="12"/>
        <v xml:space="preserve"> Cu</v>
      </c>
      <c r="I195" s="83">
        <v>67</v>
      </c>
    </row>
    <row r="196" spans="3:9" x14ac:dyDescent="0.25">
      <c r="C196" s="83">
        <v>32</v>
      </c>
      <c r="D196" s="83">
        <v>9.9</v>
      </c>
      <c r="E196" s="83">
        <v>2</v>
      </c>
      <c r="F196" s="83" t="s">
        <v>215</v>
      </c>
      <c r="G196" s="83">
        <v>25</v>
      </c>
      <c r="H196" s="83" t="str">
        <f t="shared" si="12"/>
        <v xml:space="preserve"> Al</v>
      </c>
      <c r="I196" s="83">
        <v>111</v>
      </c>
    </row>
    <row r="197" spans="3:9" x14ac:dyDescent="0.25">
      <c r="C197" s="83">
        <v>32</v>
      </c>
      <c r="D197" s="83">
        <v>9.9</v>
      </c>
      <c r="E197" s="83">
        <v>2</v>
      </c>
      <c r="F197" s="83" t="s">
        <v>216</v>
      </c>
      <c r="G197" s="83">
        <v>50</v>
      </c>
      <c r="H197" s="83" t="str">
        <f t="shared" si="12"/>
        <v xml:space="preserve"> Al</v>
      </c>
      <c r="I197" s="83">
        <v>205</v>
      </c>
    </row>
    <row r="198" spans="3:9" x14ac:dyDescent="0.25">
      <c r="C198" s="83">
        <v>40</v>
      </c>
      <c r="D198" s="83">
        <v>9.9</v>
      </c>
      <c r="E198" s="83">
        <v>2</v>
      </c>
      <c r="F198" s="83" t="s">
        <v>217</v>
      </c>
      <c r="G198" s="83">
        <v>16</v>
      </c>
      <c r="H198" s="83" t="str">
        <f t="shared" si="12"/>
        <v xml:space="preserve"> Cu</v>
      </c>
      <c r="I198" s="83">
        <v>67</v>
      </c>
    </row>
    <row r="199" spans="3:9" x14ac:dyDescent="0.25">
      <c r="C199" s="83">
        <v>40</v>
      </c>
      <c r="D199" s="83">
        <v>9.9</v>
      </c>
      <c r="E199" s="83">
        <v>2</v>
      </c>
      <c r="F199" s="83" t="s">
        <v>215</v>
      </c>
      <c r="G199" s="83">
        <v>25</v>
      </c>
      <c r="H199" s="83" t="str">
        <f t="shared" si="12"/>
        <v xml:space="preserve"> Al</v>
      </c>
      <c r="I199" s="83">
        <v>64</v>
      </c>
    </row>
    <row r="200" spans="3:9" x14ac:dyDescent="0.25">
      <c r="C200" s="83">
        <v>40</v>
      </c>
      <c r="D200" s="83">
        <v>9.9</v>
      </c>
      <c r="E200" s="83">
        <v>2</v>
      </c>
      <c r="F200" s="83" t="s">
        <v>216</v>
      </c>
      <c r="G200" s="83">
        <v>50</v>
      </c>
      <c r="H200" s="83" t="str">
        <f t="shared" si="12"/>
        <v xml:space="preserve"> Al</v>
      </c>
      <c r="I200" s="83">
        <v>118</v>
      </c>
    </row>
    <row r="201" spans="3:9" x14ac:dyDescent="0.25">
      <c r="C201" s="83">
        <v>50</v>
      </c>
      <c r="D201" s="83">
        <v>9.9</v>
      </c>
      <c r="E201" s="83">
        <v>2</v>
      </c>
      <c r="F201" s="83" t="s">
        <v>216</v>
      </c>
      <c r="G201" s="83">
        <v>50</v>
      </c>
      <c r="H201" s="83" t="str">
        <f t="shared" si="12"/>
        <v xml:space="preserve"> Al</v>
      </c>
      <c r="I201" s="83">
        <v>26</v>
      </c>
    </row>
    <row r="202" spans="3:9" x14ac:dyDescent="0.25">
      <c r="C202" s="83">
        <v>25</v>
      </c>
      <c r="D202" s="83">
        <v>9.9</v>
      </c>
      <c r="E202" s="83">
        <v>5</v>
      </c>
      <c r="F202" s="83" t="s">
        <v>212</v>
      </c>
      <c r="G202" s="83">
        <v>6</v>
      </c>
      <c r="H202" s="83" t="str">
        <f t="shared" si="12"/>
        <v>Cu</v>
      </c>
      <c r="I202" s="83">
        <v>78</v>
      </c>
    </row>
    <row r="203" spans="3:9" x14ac:dyDescent="0.25">
      <c r="C203" s="83">
        <v>25</v>
      </c>
      <c r="D203" s="83">
        <v>9.9</v>
      </c>
      <c r="E203" s="83">
        <v>5</v>
      </c>
      <c r="F203" s="83" t="s">
        <v>214</v>
      </c>
      <c r="G203" s="83">
        <v>10</v>
      </c>
      <c r="H203" s="83" t="str">
        <f t="shared" si="12"/>
        <v xml:space="preserve"> Cu</v>
      </c>
      <c r="I203" s="83">
        <v>132</v>
      </c>
    </row>
    <row r="204" spans="3:9" x14ac:dyDescent="0.25">
      <c r="C204" s="83">
        <v>25</v>
      </c>
      <c r="D204" s="83">
        <v>9.9</v>
      </c>
      <c r="E204" s="83">
        <v>5</v>
      </c>
      <c r="F204" s="83" t="s">
        <v>215</v>
      </c>
      <c r="G204" s="83">
        <v>25</v>
      </c>
      <c r="H204" s="83" t="str">
        <f t="shared" si="12"/>
        <v xml:space="preserve"> Al</v>
      </c>
      <c r="I204" s="83">
        <v>199</v>
      </c>
    </row>
    <row r="205" spans="3:9" x14ac:dyDescent="0.25">
      <c r="C205" s="83">
        <v>25</v>
      </c>
      <c r="D205" s="83">
        <v>9.9</v>
      </c>
      <c r="E205" s="83">
        <v>5</v>
      </c>
      <c r="F205" s="83" t="s">
        <v>216</v>
      </c>
      <c r="G205" s="83">
        <v>50</v>
      </c>
      <c r="H205" s="83" t="str">
        <f t="shared" si="12"/>
        <v xml:space="preserve"> Al</v>
      </c>
      <c r="I205" s="83">
        <v>368</v>
      </c>
    </row>
    <row r="206" spans="3:9" x14ac:dyDescent="0.25">
      <c r="C206" s="83">
        <v>32</v>
      </c>
      <c r="D206" s="83">
        <v>9.9</v>
      </c>
      <c r="E206" s="83">
        <v>5</v>
      </c>
      <c r="F206" s="83" t="s">
        <v>214</v>
      </c>
      <c r="G206" s="83">
        <v>10</v>
      </c>
      <c r="H206" s="83" t="str">
        <f t="shared" si="12"/>
        <v xml:space="preserve"> Cu</v>
      </c>
      <c r="I206" s="83">
        <v>73</v>
      </c>
    </row>
    <row r="207" spans="3:9" x14ac:dyDescent="0.25">
      <c r="C207" s="83">
        <v>32</v>
      </c>
      <c r="D207" s="83">
        <v>9.9</v>
      </c>
      <c r="E207" s="83">
        <v>5</v>
      </c>
      <c r="F207" s="83" t="s">
        <v>215</v>
      </c>
      <c r="G207" s="83">
        <v>25</v>
      </c>
      <c r="H207" s="83" t="str">
        <f t="shared" si="12"/>
        <v xml:space="preserve"> Al</v>
      </c>
      <c r="I207" s="83">
        <v>111</v>
      </c>
    </row>
    <row r="208" spans="3:9" x14ac:dyDescent="0.25">
      <c r="C208" s="83">
        <v>32</v>
      </c>
      <c r="D208" s="83">
        <v>9.9</v>
      </c>
      <c r="E208" s="83">
        <v>5</v>
      </c>
      <c r="F208" s="83" t="s">
        <v>216</v>
      </c>
      <c r="G208" s="83">
        <v>50</v>
      </c>
      <c r="H208" s="83" t="str">
        <f t="shared" si="12"/>
        <v xml:space="preserve"> Al</v>
      </c>
      <c r="I208" s="83">
        <v>205</v>
      </c>
    </row>
    <row r="209" spans="3:9" x14ac:dyDescent="0.25">
      <c r="C209" s="83">
        <v>40</v>
      </c>
      <c r="D209" s="83">
        <v>9.9</v>
      </c>
      <c r="E209" s="83">
        <v>5</v>
      </c>
      <c r="F209" s="83" t="s">
        <v>217</v>
      </c>
      <c r="G209" s="83">
        <v>16</v>
      </c>
      <c r="H209" s="83" t="str">
        <f t="shared" si="12"/>
        <v xml:space="preserve"> Cu</v>
      </c>
      <c r="I209" s="83">
        <v>67</v>
      </c>
    </row>
    <row r="210" spans="3:9" x14ac:dyDescent="0.25">
      <c r="C210" s="83">
        <v>40</v>
      </c>
      <c r="D210" s="83">
        <v>9.9</v>
      </c>
      <c r="E210" s="83">
        <v>5</v>
      </c>
      <c r="F210" s="83" t="s">
        <v>215</v>
      </c>
      <c r="G210" s="83">
        <v>25</v>
      </c>
      <c r="H210" s="83" t="str">
        <f t="shared" si="12"/>
        <v xml:space="preserve"> Al</v>
      </c>
      <c r="I210" s="83">
        <v>64</v>
      </c>
    </row>
    <row r="211" spans="3:9" x14ac:dyDescent="0.25">
      <c r="C211" s="83">
        <v>40</v>
      </c>
      <c r="D211" s="83">
        <v>9.9</v>
      </c>
      <c r="E211" s="83">
        <v>5</v>
      </c>
      <c r="F211" s="83" t="s">
        <v>216</v>
      </c>
      <c r="G211" s="83">
        <v>50</v>
      </c>
      <c r="H211" s="83" t="str">
        <f t="shared" si="12"/>
        <v xml:space="preserve"> Al</v>
      </c>
      <c r="I211" s="83">
        <v>118</v>
      </c>
    </row>
    <row r="212" spans="3:9" x14ac:dyDescent="0.25">
      <c r="C212" s="83">
        <v>50</v>
      </c>
      <c r="D212" s="83">
        <v>9.9</v>
      </c>
      <c r="E212" s="83">
        <v>5</v>
      </c>
      <c r="F212" s="83" t="s">
        <v>216</v>
      </c>
      <c r="G212" s="83">
        <v>50</v>
      </c>
      <c r="H212" s="83" t="str">
        <f t="shared" si="12"/>
        <v xml:space="preserve"> Al</v>
      </c>
      <c r="I212" s="83">
        <v>26</v>
      </c>
    </row>
    <row r="213" spans="3:9" x14ac:dyDescent="0.25">
      <c r="C213" s="83">
        <v>25</v>
      </c>
      <c r="D213" s="83">
        <v>9.9</v>
      </c>
      <c r="E213" s="83">
        <v>8.5</v>
      </c>
      <c r="F213" s="83" t="s">
        <v>212</v>
      </c>
      <c r="G213" s="83">
        <v>6</v>
      </c>
      <c r="H213" s="83" t="str">
        <f t="shared" si="12"/>
        <v>Cu</v>
      </c>
      <c r="I213" s="83">
        <v>63</v>
      </c>
    </row>
    <row r="214" spans="3:9" x14ac:dyDescent="0.25">
      <c r="C214" s="83">
        <v>25</v>
      </c>
      <c r="D214" s="83">
        <v>9.9</v>
      </c>
      <c r="E214" s="83">
        <v>8.5</v>
      </c>
      <c r="F214" s="83" t="s">
        <v>214</v>
      </c>
      <c r="G214" s="83">
        <v>10</v>
      </c>
      <c r="H214" s="83" t="str">
        <f t="shared" si="12"/>
        <v xml:space="preserve"> Cu</v>
      </c>
      <c r="I214" s="83">
        <v>105</v>
      </c>
    </row>
    <row r="215" spans="3:9" x14ac:dyDescent="0.25">
      <c r="C215" s="83">
        <v>25</v>
      </c>
      <c r="D215" s="83">
        <v>9.9</v>
      </c>
      <c r="E215" s="83">
        <v>8.5</v>
      </c>
      <c r="F215" s="83" t="s">
        <v>215</v>
      </c>
      <c r="G215" s="83">
        <v>25</v>
      </c>
      <c r="H215" s="83" t="str">
        <f t="shared" si="12"/>
        <v xml:space="preserve"> Al</v>
      </c>
      <c r="I215" s="83">
        <v>158</v>
      </c>
    </row>
    <row r="216" spans="3:9" x14ac:dyDescent="0.25">
      <c r="C216" s="83">
        <v>25</v>
      </c>
      <c r="D216" s="83">
        <v>9.9</v>
      </c>
      <c r="E216" s="83">
        <v>8.5</v>
      </c>
      <c r="F216" s="83" t="s">
        <v>216</v>
      </c>
      <c r="G216" s="83">
        <v>50</v>
      </c>
      <c r="H216" s="83" t="str">
        <f t="shared" si="12"/>
        <v xml:space="preserve"> Al</v>
      </c>
      <c r="I216" s="83">
        <v>289</v>
      </c>
    </row>
    <row r="217" spans="3:9" x14ac:dyDescent="0.25">
      <c r="C217" s="83">
        <v>32</v>
      </c>
      <c r="D217" s="83">
        <v>9.9</v>
      </c>
      <c r="E217" s="83">
        <v>8.5</v>
      </c>
      <c r="F217" s="83" t="s">
        <v>214</v>
      </c>
      <c r="G217" s="83">
        <v>10</v>
      </c>
      <c r="H217" s="83" t="str">
        <f t="shared" si="12"/>
        <v xml:space="preserve"> Cu</v>
      </c>
      <c r="I217" s="83">
        <v>82</v>
      </c>
    </row>
    <row r="218" spans="3:9" x14ac:dyDescent="0.25">
      <c r="C218" s="83">
        <v>32</v>
      </c>
      <c r="D218" s="83">
        <v>9.9</v>
      </c>
      <c r="E218" s="83">
        <v>8.5</v>
      </c>
      <c r="F218" s="83" t="s">
        <v>215</v>
      </c>
      <c r="G218" s="83">
        <v>25</v>
      </c>
      <c r="H218" s="83" t="str">
        <f t="shared" si="12"/>
        <v xml:space="preserve"> Al</v>
      </c>
      <c r="I218" s="83">
        <v>124</v>
      </c>
    </row>
    <row r="219" spans="3:9" x14ac:dyDescent="0.25">
      <c r="C219" s="83">
        <v>32</v>
      </c>
      <c r="D219" s="83">
        <v>9.9</v>
      </c>
      <c r="E219" s="83">
        <v>8.5</v>
      </c>
      <c r="F219" s="83" t="s">
        <v>216</v>
      </c>
      <c r="G219" s="83">
        <v>50</v>
      </c>
      <c r="H219" s="83" t="str">
        <f t="shared" si="12"/>
        <v xml:space="preserve"> Al</v>
      </c>
      <c r="I219" s="83">
        <v>226</v>
      </c>
    </row>
    <row r="220" spans="3:9" x14ac:dyDescent="0.25">
      <c r="C220" s="83">
        <v>40</v>
      </c>
      <c r="D220" s="83">
        <v>9.9</v>
      </c>
      <c r="E220" s="83">
        <v>8.5</v>
      </c>
      <c r="F220" s="83" t="s">
        <v>217</v>
      </c>
      <c r="G220" s="83">
        <v>16</v>
      </c>
      <c r="H220" s="83" t="str">
        <f t="shared" si="12"/>
        <v xml:space="preserve"> Cu</v>
      </c>
      <c r="I220" s="83">
        <v>103</v>
      </c>
    </row>
    <row r="221" spans="3:9" x14ac:dyDescent="0.25">
      <c r="C221" s="83">
        <v>40</v>
      </c>
      <c r="D221" s="83">
        <v>9.9</v>
      </c>
      <c r="E221" s="83">
        <v>8.5</v>
      </c>
      <c r="F221" s="83" t="s">
        <v>215</v>
      </c>
      <c r="G221" s="83">
        <v>25</v>
      </c>
      <c r="H221" s="83" t="str">
        <f t="shared" si="12"/>
        <v xml:space="preserve"> Al</v>
      </c>
      <c r="I221" s="83">
        <v>99</v>
      </c>
    </row>
    <row r="222" spans="3:9" x14ac:dyDescent="0.25">
      <c r="C222" s="83">
        <v>40</v>
      </c>
      <c r="D222" s="83">
        <v>9.9</v>
      </c>
      <c r="E222" s="83">
        <v>8.5</v>
      </c>
      <c r="F222" s="83" t="s">
        <v>216</v>
      </c>
      <c r="G222" s="83">
        <v>50</v>
      </c>
      <c r="H222" s="83" t="str">
        <f t="shared" si="12"/>
        <v xml:space="preserve"> Al</v>
      </c>
      <c r="I222" s="83">
        <v>180</v>
      </c>
    </row>
    <row r="223" spans="3:9" x14ac:dyDescent="0.25">
      <c r="C223" s="83">
        <v>50</v>
      </c>
      <c r="D223" s="83">
        <v>9.9</v>
      </c>
      <c r="E223" s="83">
        <v>8.5</v>
      </c>
      <c r="F223" s="83" t="s">
        <v>216</v>
      </c>
      <c r="G223" s="83">
        <v>50</v>
      </c>
      <c r="H223" s="83" t="str">
        <f t="shared" si="12"/>
        <v xml:space="preserve"> Al</v>
      </c>
      <c r="I223" s="83">
        <v>26</v>
      </c>
    </row>
    <row r="224" spans="3:9" ht="15.75" thickBot="1" x14ac:dyDescent="0.3">
      <c r="C224" s="181" t="s">
        <v>206</v>
      </c>
      <c r="D224" s="181" t="s">
        <v>207</v>
      </c>
      <c r="E224" s="181" t="s">
        <v>208</v>
      </c>
      <c r="F224" s="181" t="s">
        <v>209</v>
      </c>
      <c r="G224" s="170" t="s">
        <v>229</v>
      </c>
      <c r="H224" s="170" t="s">
        <v>230</v>
      </c>
      <c r="I224" s="181" t="s">
        <v>210</v>
      </c>
    </row>
    <row r="225" spans="3:16" x14ac:dyDescent="0.25">
      <c r="C225" s="83">
        <v>25</v>
      </c>
      <c r="D225" s="83">
        <v>9.9</v>
      </c>
      <c r="E225" s="83">
        <v>0.25</v>
      </c>
      <c r="F225" s="83" t="s">
        <v>212</v>
      </c>
      <c r="G225" s="83">
        <v>6</v>
      </c>
      <c r="H225" s="83" t="str">
        <f t="shared" ref="H225:H288" si="13">MID(F225,6,3)</f>
        <v>Cu</v>
      </c>
      <c r="I225" s="175">
        <v>58</v>
      </c>
      <c r="J225" s="1012" t="s">
        <v>199</v>
      </c>
      <c r="K225" s="1018"/>
      <c r="L225" s="164" t="s">
        <v>200</v>
      </c>
      <c r="M225" s="164" t="s">
        <v>201</v>
      </c>
      <c r="N225" s="164"/>
      <c r="O225" s="164"/>
      <c r="P225" s="165" t="s">
        <v>202</v>
      </c>
    </row>
    <row r="226" spans="3:16" ht="15.75" thickBot="1" x14ac:dyDescent="0.3">
      <c r="C226" s="83">
        <v>25</v>
      </c>
      <c r="D226" s="83">
        <v>9.9</v>
      </c>
      <c r="E226" s="83">
        <v>0.25</v>
      </c>
      <c r="F226" s="83" t="s">
        <v>214</v>
      </c>
      <c r="G226" s="83">
        <v>10</v>
      </c>
      <c r="H226" s="83" t="str">
        <f t="shared" si="13"/>
        <v xml:space="preserve"> Cu</v>
      </c>
      <c r="I226" s="175">
        <v>98</v>
      </c>
      <c r="J226" s="1016" t="s">
        <v>203</v>
      </c>
      <c r="K226" s="1017"/>
      <c r="L226" s="168"/>
      <c r="M226" s="168" t="s">
        <v>204</v>
      </c>
      <c r="N226" s="168"/>
      <c r="O226" s="168"/>
      <c r="P226" s="169" t="s">
        <v>205</v>
      </c>
    </row>
    <row r="227" spans="3:16" ht="15.75" thickBot="1" x14ac:dyDescent="0.3">
      <c r="C227" s="83">
        <v>25</v>
      </c>
      <c r="D227" s="83">
        <v>9.9</v>
      </c>
      <c r="E227" s="83">
        <v>0.25</v>
      </c>
      <c r="F227" s="83" t="s">
        <v>215</v>
      </c>
      <c r="G227" s="83">
        <v>25</v>
      </c>
      <c r="H227" s="83" t="str">
        <f t="shared" si="13"/>
        <v xml:space="preserve"> Al</v>
      </c>
      <c r="I227" s="175">
        <v>145</v>
      </c>
      <c r="J227" s="1021" t="s">
        <v>222</v>
      </c>
      <c r="K227" s="1022"/>
      <c r="L227" s="44"/>
      <c r="M227" s="44"/>
      <c r="N227" s="44"/>
      <c r="O227" s="44"/>
      <c r="P227" s="45"/>
    </row>
    <row r="228" spans="3:16" x14ac:dyDescent="0.25">
      <c r="C228" s="83">
        <v>25</v>
      </c>
      <c r="D228" s="83">
        <v>9.9</v>
      </c>
      <c r="E228" s="83">
        <v>0.25</v>
      </c>
      <c r="F228" s="83" t="s">
        <v>216</v>
      </c>
      <c r="G228" s="83">
        <v>50</v>
      </c>
      <c r="H228" s="83" t="str">
        <f t="shared" si="13"/>
        <v xml:space="preserve"> Al</v>
      </c>
      <c r="I228" s="175">
        <v>260</v>
      </c>
    </row>
    <row r="229" spans="3:16" x14ac:dyDescent="0.25">
      <c r="C229" s="83">
        <v>32</v>
      </c>
      <c r="D229" s="83">
        <v>9.9</v>
      </c>
      <c r="E229" s="83">
        <v>0.25</v>
      </c>
      <c r="F229" s="83" t="s">
        <v>214</v>
      </c>
      <c r="G229" s="83">
        <v>10</v>
      </c>
      <c r="H229" s="83" t="str">
        <f t="shared" si="13"/>
        <v xml:space="preserve"> Cu</v>
      </c>
      <c r="I229" s="175">
        <v>55</v>
      </c>
    </row>
    <row r="230" spans="3:16" x14ac:dyDescent="0.25">
      <c r="C230" s="83">
        <v>32</v>
      </c>
      <c r="D230" s="83">
        <v>9.9</v>
      </c>
      <c r="E230" s="83">
        <v>0.25</v>
      </c>
      <c r="F230" s="83" t="s">
        <v>215</v>
      </c>
      <c r="G230" s="83">
        <v>25</v>
      </c>
      <c r="H230" s="83" t="str">
        <f t="shared" si="13"/>
        <v xml:space="preserve"> Al</v>
      </c>
      <c r="I230" s="175">
        <v>82</v>
      </c>
    </row>
    <row r="231" spans="3:16" x14ac:dyDescent="0.25">
      <c r="C231" s="83">
        <v>32</v>
      </c>
      <c r="D231" s="83">
        <v>9.9</v>
      </c>
      <c r="E231" s="83">
        <v>0.25</v>
      </c>
      <c r="F231" s="83" t="s">
        <v>216</v>
      </c>
      <c r="G231" s="83">
        <v>50</v>
      </c>
      <c r="H231" s="83" t="str">
        <f t="shared" si="13"/>
        <v xml:space="preserve"> Al</v>
      </c>
      <c r="I231" s="175">
        <v>150</v>
      </c>
    </row>
    <row r="232" spans="3:16" x14ac:dyDescent="0.25">
      <c r="C232" s="83">
        <v>40</v>
      </c>
      <c r="D232" s="83">
        <v>9.9</v>
      </c>
      <c r="E232" s="83">
        <v>0.25</v>
      </c>
      <c r="F232" s="83" t="s">
        <v>217</v>
      </c>
      <c r="G232" s="83">
        <v>16</v>
      </c>
      <c r="H232" s="83" t="str">
        <f t="shared" si="13"/>
        <v xml:space="preserve"> Cu</v>
      </c>
      <c r="I232" s="175">
        <v>37</v>
      </c>
    </row>
    <row r="233" spans="3:16" x14ac:dyDescent="0.25">
      <c r="C233" s="83">
        <v>40</v>
      </c>
      <c r="D233" s="83">
        <v>9.9</v>
      </c>
      <c r="E233" s="83">
        <v>0.25</v>
      </c>
      <c r="F233" s="83" t="s">
        <v>215</v>
      </c>
      <c r="G233" s="83">
        <v>25</v>
      </c>
      <c r="H233" s="83" t="str">
        <f t="shared" si="13"/>
        <v xml:space="preserve"> Al</v>
      </c>
      <c r="I233" s="175">
        <v>37</v>
      </c>
    </row>
    <row r="234" spans="3:16" x14ac:dyDescent="0.25">
      <c r="C234" s="83">
        <v>40</v>
      </c>
      <c r="D234" s="83">
        <v>9.9</v>
      </c>
      <c r="E234" s="83">
        <v>0.25</v>
      </c>
      <c r="F234" s="83" t="s">
        <v>216</v>
      </c>
      <c r="G234" s="83">
        <v>50</v>
      </c>
      <c r="H234" s="83" t="str">
        <f t="shared" si="13"/>
        <v xml:space="preserve"> Al</v>
      </c>
      <c r="I234" s="175">
        <v>68</v>
      </c>
    </row>
    <row r="235" spans="3:16" x14ac:dyDescent="0.25">
      <c r="C235" s="83">
        <v>25</v>
      </c>
      <c r="D235" s="83">
        <v>9.9</v>
      </c>
      <c r="E235" s="83">
        <v>0.5</v>
      </c>
      <c r="F235" s="83" t="s">
        <v>212</v>
      </c>
      <c r="G235" s="83">
        <v>6</v>
      </c>
      <c r="H235" s="83" t="str">
        <f t="shared" si="13"/>
        <v>Cu</v>
      </c>
      <c r="I235" s="175">
        <v>62</v>
      </c>
    </row>
    <row r="236" spans="3:16" x14ac:dyDescent="0.25">
      <c r="C236" s="83">
        <v>25</v>
      </c>
      <c r="D236" s="83">
        <v>9.9</v>
      </c>
      <c r="E236" s="83">
        <v>0.5</v>
      </c>
      <c r="F236" s="83" t="s">
        <v>214</v>
      </c>
      <c r="G236" s="83">
        <v>10</v>
      </c>
      <c r="H236" s="83" t="str">
        <f t="shared" si="13"/>
        <v xml:space="preserve"> Cu</v>
      </c>
      <c r="I236" s="83">
        <v>104</v>
      </c>
    </row>
    <row r="237" spans="3:16" x14ac:dyDescent="0.25">
      <c r="C237" s="83">
        <v>25</v>
      </c>
      <c r="D237" s="83">
        <v>9.9</v>
      </c>
      <c r="E237" s="83">
        <v>0.5</v>
      </c>
      <c r="F237" s="83" t="s">
        <v>215</v>
      </c>
      <c r="G237" s="83">
        <v>25</v>
      </c>
      <c r="H237" s="83" t="str">
        <f t="shared" si="13"/>
        <v xml:space="preserve"> Al</v>
      </c>
      <c r="I237" s="83">
        <v>155</v>
      </c>
    </row>
    <row r="238" spans="3:16" x14ac:dyDescent="0.25">
      <c r="C238" s="83">
        <v>25</v>
      </c>
      <c r="D238" s="83">
        <v>9.9</v>
      </c>
      <c r="E238" s="83">
        <v>0.5</v>
      </c>
      <c r="F238" s="83" t="s">
        <v>216</v>
      </c>
      <c r="G238" s="83">
        <v>50</v>
      </c>
      <c r="H238" s="83" t="str">
        <f t="shared" si="13"/>
        <v xml:space="preserve"> Al</v>
      </c>
      <c r="I238" s="83">
        <v>280</v>
      </c>
    </row>
    <row r="239" spans="3:16" x14ac:dyDescent="0.25">
      <c r="C239" s="83">
        <v>32</v>
      </c>
      <c r="D239" s="83">
        <v>9.9</v>
      </c>
      <c r="E239" s="83">
        <v>0.5</v>
      </c>
      <c r="F239" s="83" t="s">
        <v>214</v>
      </c>
      <c r="G239" s="83">
        <v>10</v>
      </c>
      <c r="H239" s="83" t="str">
        <f t="shared" si="13"/>
        <v xml:space="preserve"> Cu</v>
      </c>
      <c r="I239" s="83">
        <v>82</v>
      </c>
    </row>
    <row r="240" spans="3:16" x14ac:dyDescent="0.25">
      <c r="C240" s="83">
        <v>32</v>
      </c>
      <c r="D240" s="83">
        <v>9.9</v>
      </c>
      <c r="E240" s="83">
        <v>0.5</v>
      </c>
      <c r="F240" s="83" t="s">
        <v>215</v>
      </c>
      <c r="G240" s="83">
        <v>25</v>
      </c>
      <c r="H240" s="83" t="str">
        <f t="shared" si="13"/>
        <v xml:space="preserve"> Al</v>
      </c>
      <c r="I240" s="83">
        <v>118</v>
      </c>
    </row>
    <row r="241" spans="3:9" x14ac:dyDescent="0.25">
      <c r="C241" s="83">
        <v>32</v>
      </c>
      <c r="D241" s="83">
        <v>9.9</v>
      </c>
      <c r="E241" s="83">
        <v>0.5</v>
      </c>
      <c r="F241" s="83" t="s">
        <v>216</v>
      </c>
      <c r="G241" s="83">
        <v>50</v>
      </c>
      <c r="H241" s="83" t="str">
        <f t="shared" si="13"/>
        <v xml:space="preserve"> Al</v>
      </c>
      <c r="I241" s="83">
        <v>209</v>
      </c>
    </row>
    <row r="242" spans="3:9" x14ac:dyDescent="0.25">
      <c r="C242" s="83">
        <v>40</v>
      </c>
      <c r="D242" s="83">
        <v>9.9</v>
      </c>
      <c r="E242" s="83">
        <v>0.5</v>
      </c>
      <c r="F242" s="83" t="s">
        <v>217</v>
      </c>
      <c r="G242" s="83">
        <v>16</v>
      </c>
      <c r="H242" s="83" t="str">
        <f t="shared" si="13"/>
        <v xml:space="preserve"> Cu</v>
      </c>
      <c r="I242" s="83">
        <v>98</v>
      </c>
    </row>
    <row r="243" spans="3:9" x14ac:dyDescent="0.25">
      <c r="C243" s="83">
        <v>40</v>
      </c>
      <c r="D243" s="83">
        <v>9.9</v>
      </c>
      <c r="E243" s="83">
        <v>0.5</v>
      </c>
      <c r="F243" s="83" t="s">
        <v>215</v>
      </c>
      <c r="G243" s="83">
        <v>25</v>
      </c>
      <c r="H243" s="83" t="str">
        <f t="shared" si="13"/>
        <v xml:space="preserve"> Al</v>
      </c>
      <c r="I243" s="83">
        <v>97</v>
      </c>
    </row>
    <row r="244" spans="3:9" x14ac:dyDescent="0.25">
      <c r="C244" s="83">
        <v>40</v>
      </c>
      <c r="D244" s="83">
        <v>9.9</v>
      </c>
      <c r="E244" s="83">
        <v>0.5</v>
      </c>
      <c r="F244" s="83" t="s">
        <v>216</v>
      </c>
      <c r="G244" s="83">
        <v>50</v>
      </c>
      <c r="H244" s="83" t="str">
        <f t="shared" si="13"/>
        <v xml:space="preserve"> Al</v>
      </c>
      <c r="I244" s="83">
        <v>175</v>
      </c>
    </row>
    <row r="245" spans="3:9" x14ac:dyDescent="0.25">
      <c r="C245" s="83">
        <v>63</v>
      </c>
      <c r="D245" s="83">
        <v>9.9</v>
      </c>
      <c r="E245" s="83">
        <v>0.5</v>
      </c>
      <c r="F245" s="83" t="s">
        <v>216</v>
      </c>
      <c r="G245" s="83">
        <v>50</v>
      </c>
      <c r="H245" s="83" t="str">
        <f t="shared" si="13"/>
        <v xml:space="preserve"> Al</v>
      </c>
      <c r="I245" s="83">
        <v>80</v>
      </c>
    </row>
    <row r="246" spans="3:9" x14ac:dyDescent="0.25">
      <c r="C246" s="83">
        <v>25</v>
      </c>
      <c r="D246" s="83">
        <v>9.9</v>
      </c>
      <c r="E246" s="83">
        <v>1</v>
      </c>
      <c r="F246" s="83" t="s">
        <v>212</v>
      </c>
      <c r="G246" s="83">
        <v>6</v>
      </c>
      <c r="H246" s="83" t="str">
        <f t="shared" si="13"/>
        <v>Cu</v>
      </c>
      <c r="I246" s="175">
        <v>62</v>
      </c>
    </row>
    <row r="247" spans="3:9" x14ac:dyDescent="0.25">
      <c r="C247" s="83">
        <v>25</v>
      </c>
      <c r="D247" s="83">
        <v>9.9</v>
      </c>
      <c r="E247" s="83">
        <v>1</v>
      </c>
      <c r="F247" s="83" t="s">
        <v>214</v>
      </c>
      <c r="G247" s="83">
        <v>10</v>
      </c>
      <c r="H247" s="83" t="str">
        <f t="shared" si="13"/>
        <v xml:space="preserve"> Cu</v>
      </c>
      <c r="I247" s="83">
        <v>104</v>
      </c>
    </row>
    <row r="248" spans="3:9" x14ac:dyDescent="0.25">
      <c r="C248" s="83">
        <v>25</v>
      </c>
      <c r="D248" s="83">
        <v>9.9</v>
      </c>
      <c r="E248" s="83">
        <v>1</v>
      </c>
      <c r="F248" s="83" t="s">
        <v>215</v>
      </c>
      <c r="G248" s="83">
        <v>25</v>
      </c>
      <c r="H248" s="83" t="str">
        <f t="shared" si="13"/>
        <v xml:space="preserve"> Al</v>
      </c>
      <c r="I248" s="83">
        <v>155</v>
      </c>
    </row>
    <row r="249" spans="3:9" x14ac:dyDescent="0.25">
      <c r="C249" s="83">
        <v>25</v>
      </c>
      <c r="D249" s="83">
        <v>9.9</v>
      </c>
      <c r="E249" s="83">
        <v>1</v>
      </c>
      <c r="F249" s="83" t="s">
        <v>216</v>
      </c>
      <c r="G249" s="83">
        <v>50</v>
      </c>
      <c r="H249" s="83" t="str">
        <f t="shared" si="13"/>
        <v xml:space="preserve"> Al</v>
      </c>
      <c r="I249" s="83">
        <v>286</v>
      </c>
    </row>
    <row r="250" spans="3:9" x14ac:dyDescent="0.25">
      <c r="C250" s="83">
        <v>32</v>
      </c>
      <c r="D250" s="83">
        <v>9.9</v>
      </c>
      <c r="E250" s="83">
        <v>1</v>
      </c>
      <c r="F250" s="83" t="s">
        <v>214</v>
      </c>
      <c r="G250" s="83">
        <v>10</v>
      </c>
      <c r="H250" s="83" t="str">
        <f t="shared" si="13"/>
        <v xml:space="preserve"> Cu</v>
      </c>
      <c r="I250" s="83">
        <v>80</v>
      </c>
    </row>
    <row r="251" spans="3:9" x14ac:dyDescent="0.25">
      <c r="C251" s="83">
        <v>32</v>
      </c>
      <c r="D251" s="83">
        <v>9.9</v>
      </c>
      <c r="E251" s="83">
        <v>1</v>
      </c>
      <c r="F251" s="83" t="s">
        <v>215</v>
      </c>
      <c r="G251" s="83">
        <v>25</v>
      </c>
      <c r="H251" s="83" t="str">
        <f t="shared" si="13"/>
        <v xml:space="preserve"> Al</v>
      </c>
      <c r="I251" s="83">
        <v>120</v>
      </c>
    </row>
    <row r="252" spans="3:9" x14ac:dyDescent="0.25">
      <c r="C252" s="83">
        <v>32</v>
      </c>
      <c r="D252" s="83">
        <v>9.9</v>
      </c>
      <c r="E252" s="83">
        <v>1</v>
      </c>
      <c r="F252" s="83" t="s">
        <v>216</v>
      </c>
      <c r="G252" s="83">
        <v>50</v>
      </c>
      <c r="H252" s="83" t="str">
        <f t="shared" si="13"/>
        <v xml:space="preserve"> Al</v>
      </c>
      <c r="I252" s="83">
        <v>215</v>
      </c>
    </row>
    <row r="253" spans="3:9" x14ac:dyDescent="0.25">
      <c r="C253" s="83">
        <v>40</v>
      </c>
      <c r="D253" s="83">
        <v>9.9</v>
      </c>
      <c r="E253" s="83">
        <v>1</v>
      </c>
      <c r="F253" s="83" t="s">
        <v>217</v>
      </c>
      <c r="G253" s="83">
        <v>16</v>
      </c>
      <c r="H253" s="83" t="str">
        <f t="shared" si="13"/>
        <v xml:space="preserve"> Cu</v>
      </c>
      <c r="I253" s="83">
        <v>101</v>
      </c>
    </row>
    <row r="254" spans="3:9" x14ac:dyDescent="0.25">
      <c r="C254" s="83">
        <v>40</v>
      </c>
      <c r="D254" s="83">
        <v>9.9</v>
      </c>
      <c r="E254" s="83">
        <v>1</v>
      </c>
      <c r="F254" s="83" t="s">
        <v>215</v>
      </c>
      <c r="G254" s="83">
        <v>25</v>
      </c>
      <c r="H254" s="83" t="str">
        <f t="shared" si="13"/>
        <v xml:space="preserve"> Al</v>
      </c>
      <c r="I254" s="83">
        <v>97</v>
      </c>
    </row>
    <row r="255" spans="3:9" x14ac:dyDescent="0.25">
      <c r="C255" s="83">
        <v>40</v>
      </c>
      <c r="D255" s="83">
        <v>9.9</v>
      </c>
      <c r="E255" s="83">
        <v>1</v>
      </c>
      <c r="F255" s="83" t="s">
        <v>216</v>
      </c>
      <c r="G255" s="83">
        <v>50</v>
      </c>
      <c r="H255" s="83" t="str">
        <f t="shared" si="13"/>
        <v xml:space="preserve"> Al</v>
      </c>
      <c r="I255" s="83">
        <v>175</v>
      </c>
    </row>
    <row r="256" spans="3:9" x14ac:dyDescent="0.25">
      <c r="C256" s="83">
        <v>63</v>
      </c>
      <c r="D256" s="83">
        <v>9.9</v>
      </c>
      <c r="E256" s="83">
        <v>1</v>
      </c>
      <c r="F256" s="83" t="s">
        <v>216</v>
      </c>
      <c r="G256" s="83">
        <v>50</v>
      </c>
      <c r="H256" s="83" t="str">
        <f t="shared" si="13"/>
        <v xml:space="preserve"> Al</v>
      </c>
      <c r="I256" s="83">
        <v>110</v>
      </c>
    </row>
    <row r="257" spans="3:9" x14ac:dyDescent="0.25">
      <c r="C257" s="178">
        <v>25</v>
      </c>
      <c r="D257" s="178">
        <v>9.9</v>
      </c>
      <c r="E257" s="178">
        <v>2</v>
      </c>
      <c r="F257" s="178" t="s">
        <v>212</v>
      </c>
      <c r="G257" s="178">
        <v>6</v>
      </c>
      <c r="H257" s="178" t="str">
        <f t="shared" si="13"/>
        <v>Cu</v>
      </c>
      <c r="I257" s="178">
        <v>63</v>
      </c>
    </row>
    <row r="258" spans="3:9" x14ac:dyDescent="0.25">
      <c r="C258" s="83">
        <v>25</v>
      </c>
      <c r="D258" s="83">
        <v>9.9</v>
      </c>
      <c r="E258" s="83">
        <v>2</v>
      </c>
      <c r="F258" s="83" t="s">
        <v>214</v>
      </c>
      <c r="G258" s="83">
        <v>10</v>
      </c>
      <c r="H258" s="83" t="str">
        <f t="shared" si="13"/>
        <v xml:space="preserve"> Cu</v>
      </c>
      <c r="I258" s="83">
        <v>104</v>
      </c>
    </row>
    <row r="259" spans="3:9" x14ac:dyDescent="0.25">
      <c r="C259" s="83">
        <v>25</v>
      </c>
      <c r="D259" s="83">
        <v>9.9</v>
      </c>
      <c r="E259" s="83">
        <v>2</v>
      </c>
      <c r="F259" s="83" t="s">
        <v>215</v>
      </c>
      <c r="G259" s="83">
        <v>25</v>
      </c>
      <c r="H259" s="83" t="str">
        <f t="shared" si="13"/>
        <v xml:space="preserve"> Al</v>
      </c>
      <c r="I259" s="83">
        <v>158</v>
      </c>
    </row>
    <row r="260" spans="3:9" x14ac:dyDescent="0.25">
      <c r="C260" s="83">
        <v>25</v>
      </c>
      <c r="D260" s="83">
        <v>9.9</v>
      </c>
      <c r="E260" s="83">
        <v>2</v>
      </c>
      <c r="F260" s="83" t="s">
        <v>216</v>
      </c>
      <c r="G260" s="83">
        <v>50</v>
      </c>
      <c r="H260" s="83" t="str">
        <f t="shared" si="13"/>
        <v xml:space="preserve"> Al</v>
      </c>
      <c r="I260" s="83">
        <v>286</v>
      </c>
    </row>
    <row r="261" spans="3:9" x14ac:dyDescent="0.25">
      <c r="C261" s="83">
        <v>32</v>
      </c>
      <c r="D261" s="83">
        <v>9.9</v>
      </c>
      <c r="E261" s="83">
        <v>2</v>
      </c>
      <c r="F261" s="83" t="s">
        <v>214</v>
      </c>
      <c r="G261" s="83">
        <v>10</v>
      </c>
      <c r="H261" s="83" t="str">
        <f t="shared" si="13"/>
        <v xml:space="preserve"> Cu</v>
      </c>
      <c r="I261" s="83">
        <v>81</v>
      </c>
    </row>
    <row r="262" spans="3:9" x14ac:dyDescent="0.25">
      <c r="C262" s="83">
        <v>32</v>
      </c>
      <c r="D262" s="83">
        <v>9.9</v>
      </c>
      <c r="E262" s="83">
        <v>2</v>
      </c>
      <c r="F262" s="83" t="s">
        <v>215</v>
      </c>
      <c r="G262" s="83">
        <v>25</v>
      </c>
      <c r="H262" s="83" t="str">
        <f t="shared" si="13"/>
        <v xml:space="preserve"> Al</v>
      </c>
      <c r="I262" s="83">
        <v>122</v>
      </c>
    </row>
    <row r="263" spans="3:9" x14ac:dyDescent="0.25">
      <c r="C263" s="83">
        <v>32</v>
      </c>
      <c r="D263" s="83">
        <v>9.9</v>
      </c>
      <c r="E263" s="83">
        <v>2</v>
      </c>
      <c r="F263" s="83" t="s">
        <v>216</v>
      </c>
      <c r="G263" s="83">
        <v>50</v>
      </c>
      <c r="H263" s="83" t="str">
        <f t="shared" si="13"/>
        <v xml:space="preserve"> Al</v>
      </c>
      <c r="I263" s="83">
        <v>223</v>
      </c>
    </row>
    <row r="264" spans="3:9" x14ac:dyDescent="0.25">
      <c r="C264" s="83">
        <v>40</v>
      </c>
      <c r="D264" s="83">
        <v>9.9</v>
      </c>
      <c r="E264" s="83">
        <v>2</v>
      </c>
      <c r="F264" s="83" t="s">
        <v>217</v>
      </c>
      <c r="G264" s="83">
        <v>16</v>
      </c>
      <c r="H264" s="83" t="str">
        <f t="shared" si="13"/>
        <v xml:space="preserve"> Cu</v>
      </c>
      <c r="I264" s="83">
        <v>103</v>
      </c>
    </row>
    <row r="265" spans="3:9" x14ac:dyDescent="0.25">
      <c r="C265" s="83">
        <v>40</v>
      </c>
      <c r="D265" s="83">
        <v>9.9</v>
      </c>
      <c r="E265" s="83">
        <v>2</v>
      </c>
      <c r="F265" s="83" t="s">
        <v>215</v>
      </c>
      <c r="G265" s="83">
        <v>25</v>
      </c>
      <c r="H265" s="83" t="str">
        <f t="shared" si="13"/>
        <v xml:space="preserve"> Al</v>
      </c>
      <c r="I265" s="83">
        <v>97</v>
      </c>
    </row>
    <row r="266" spans="3:9" x14ac:dyDescent="0.25">
      <c r="C266" s="83">
        <v>40</v>
      </c>
      <c r="D266" s="83">
        <v>9.9</v>
      </c>
      <c r="E266" s="83">
        <v>2</v>
      </c>
      <c r="F266" s="83" t="s">
        <v>216</v>
      </c>
      <c r="G266" s="83">
        <v>50</v>
      </c>
      <c r="H266" s="83" t="str">
        <f t="shared" si="13"/>
        <v xml:space="preserve"> Al</v>
      </c>
      <c r="I266" s="83">
        <v>179</v>
      </c>
    </row>
    <row r="267" spans="3:9" x14ac:dyDescent="0.25">
      <c r="C267" s="83">
        <v>63</v>
      </c>
      <c r="D267" s="83">
        <v>9.9</v>
      </c>
      <c r="E267" s="83">
        <v>2</v>
      </c>
      <c r="F267" s="83" t="s">
        <v>216</v>
      </c>
      <c r="G267" s="83">
        <v>50</v>
      </c>
      <c r="H267" s="83" t="str">
        <f t="shared" si="13"/>
        <v xml:space="preserve"> Al</v>
      </c>
      <c r="I267" s="83">
        <v>113</v>
      </c>
    </row>
    <row r="268" spans="3:9" x14ac:dyDescent="0.25">
      <c r="C268" s="83">
        <v>80</v>
      </c>
      <c r="D268" s="83">
        <v>9.9</v>
      </c>
      <c r="E268" s="83">
        <v>2</v>
      </c>
      <c r="F268" s="83" t="s">
        <v>218</v>
      </c>
      <c r="G268" s="83">
        <v>95</v>
      </c>
      <c r="H268" s="83" t="str">
        <f t="shared" si="13"/>
        <v xml:space="preserve"> Al</v>
      </c>
      <c r="I268" s="83">
        <v>170</v>
      </c>
    </row>
    <row r="269" spans="3:9" x14ac:dyDescent="0.25">
      <c r="C269" s="178">
        <v>25</v>
      </c>
      <c r="D269" s="178">
        <v>9.9</v>
      </c>
      <c r="E269" s="178">
        <v>5</v>
      </c>
      <c r="F269" s="178" t="s">
        <v>212</v>
      </c>
      <c r="G269" s="178">
        <v>6</v>
      </c>
      <c r="H269" s="178" t="str">
        <f t="shared" si="13"/>
        <v>Cu</v>
      </c>
      <c r="I269" s="178">
        <v>63</v>
      </c>
    </row>
    <row r="270" spans="3:9" x14ac:dyDescent="0.25">
      <c r="C270" s="83">
        <v>25</v>
      </c>
      <c r="D270" s="83">
        <v>9.9</v>
      </c>
      <c r="E270" s="83">
        <v>5</v>
      </c>
      <c r="F270" s="83" t="s">
        <v>214</v>
      </c>
      <c r="G270" s="83">
        <v>10</v>
      </c>
      <c r="H270" s="83" t="str">
        <f t="shared" si="13"/>
        <v xml:space="preserve"> Cu</v>
      </c>
      <c r="I270" s="83">
        <v>104</v>
      </c>
    </row>
    <row r="271" spans="3:9" x14ac:dyDescent="0.25">
      <c r="C271" s="83">
        <v>25</v>
      </c>
      <c r="D271" s="83">
        <v>9.9</v>
      </c>
      <c r="E271" s="83">
        <v>5</v>
      </c>
      <c r="F271" s="83" t="s">
        <v>215</v>
      </c>
      <c r="G271" s="83">
        <v>25</v>
      </c>
      <c r="H271" s="83" t="str">
        <f t="shared" si="13"/>
        <v xml:space="preserve"> Al</v>
      </c>
      <c r="I271" s="83">
        <v>158</v>
      </c>
    </row>
    <row r="272" spans="3:9" x14ac:dyDescent="0.25">
      <c r="C272" s="83">
        <v>25</v>
      </c>
      <c r="D272" s="83">
        <v>9.9</v>
      </c>
      <c r="E272" s="83">
        <v>5</v>
      </c>
      <c r="F272" s="83" t="s">
        <v>216</v>
      </c>
      <c r="G272" s="83">
        <v>50</v>
      </c>
      <c r="H272" s="83" t="str">
        <f t="shared" si="13"/>
        <v xml:space="preserve"> Al</v>
      </c>
      <c r="I272" s="83">
        <v>286</v>
      </c>
    </row>
    <row r="273" spans="3:9" x14ac:dyDescent="0.25">
      <c r="C273" s="83">
        <v>32</v>
      </c>
      <c r="D273" s="83">
        <v>9.9</v>
      </c>
      <c r="E273" s="83">
        <v>5</v>
      </c>
      <c r="F273" s="83" t="s">
        <v>214</v>
      </c>
      <c r="G273" s="83">
        <v>10</v>
      </c>
      <c r="H273" s="83" t="str">
        <f t="shared" si="13"/>
        <v xml:space="preserve"> Cu</v>
      </c>
      <c r="I273" s="83">
        <v>81</v>
      </c>
    </row>
    <row r="274" spans="3:9" x14ac:dyDescent="0.25">
      <c r="C274" s="83">
        <v>32</v>
      </c>
      <c r="D274" s="83">
        <v>9.9</v>
      </c>
      <c r="E274" s="83">
        <v>5</v>
      </c>
      <c r="F274" s="83" t="s">
        <v>215</v>
      </c>
      <c r="G274" s="83">
        <v>25</v>
      </c>
      <c r="H274" s="83" t="str">
        <f t="shared" si="13"/>
        <v xml:space="preserve"> Al</v>
      </c>
      <c r="I274" s="83">
        <v>122</v>
      </c>
    </row>
    <row r="275" spans="3:9" x14ac:dyDescent="0.25">
      <c r="C275" s="83">
        <v>32</v>
      </c>
      <c r="D275" s="83">
        <v>9.9</v>
      </c>
      <c r="E275" s="83">
        <v>5</v>
      </c>
      <c r="F275" s="83" t="s">
        <v>216</v>
      </c>
      <c r="G275" s="83">
        <v>50</v>
      </c>
      <c r="H275" s="83" t="str">
        <f t="shared" si="13"/>
        <v xml:space="preserve"> Al</v>
      </c>
      <c r="I275" s="83">
        <v>226</v>
      </c>
    </row>
    <row r="276" spans="3:9" x14ac:dyDescent="0.25">
      <c r="C276" s="83">
        <v>40</v>
      </c>
      <c r="D276" s="83">
        <v>9.9</v>
      </c>
      <c r="E276" s="83">
        <v>5</v>
      </c>
      <c r="F276" s="83" t="s">
        <v>217</v>
      </c>
      <c r="G276" s="83">
        <v>16</v>
      </c>
      <c r="H276" s="83" t="str">
        <f t="shared" si="13"/>
        <v xml:space="preserve"> Cu</v>
      </c>
      <c r="I276" s="83">
        <v>103</v>
      </c>
    </row>
    <row r="277" spans="3:9" x14ac:dyDescent="0.25">
      <c r="C277" s="83">
        <v>40</v>
      </c>
      <c r="D277" s="83">
        <v>9.9</v>
      </c>
      <c r="E277" s="83">
        <v>5</v>
      </c>
      <c r="F277" s="83" t="s">
        <v>215</v>
      </c>
      <c r="G277" s="83">
        <v>25</v>
      </c>
      <c r="H277" s="83" t="str">
        <f t="shared" si="13"/>
        <v xml:space="preserve"> Al</v>
      </c>
      <c r="I277" s="83">
        <v>97</v>
      </c>
    </row>
    <row r="278" spans="3:9" x14ac:dyDescent="0.25">
      <c r="C278" s="83">
        <v>40</v>
      </c>
      <c r="D278" s="83">
        <v>9.9</v>
      </c>
      <c r="E278" s="83">
        <v>5</v>
      </c>
      <c r="F278" s="83" t="s">
        <v>216</v>
      </c>
      <c r="G278" s="83">
        <v>50</v>
      </c>
      <c r="H278" s="83" t="str">
        <f t="shared" si="13"/>
        <v xml:space="preserve"> Al</v>
      </c>
      <c r="I278" s="83">
        <v>179</v>
      </c>
    </row>
    <row r="279" spans="3:9" x14ac:dyDescent="0.25">
      <c r="C279" s="83">
        <v>63</v>
      </c>
      <c r="D279" s="83">
        <v>9.9</v>
      </c>
      <c r="E279" s="83">
        <v>5</v>
      </c>
      <c r="F279" s="83" t="s">
        <v>216</v>
      </c>
      <c r="G279" s="83">
        <v>50</v>
      </c>
      <c r="H279" s="83" t="str">
        <f t="shared" si="13"/>
        <v xml:space="preserve"> Al</v>
      </c>
      <c r="I279" s="83">
        <v>113</v>
      </c>
    </row>
    <row r="280" spans="3:9" x14ac:dyDescent="0.25">
      <c r="C280" s="83">
        <v>80</v>
      </c>
      <c r="D280" s="83">
        <v>9.9</v>
      </c>
      <c r="E280" s="83">
        <v>5</v>
      </c>
      <c r="F280" s="83" t="s">
        <v>218</v>
      </c>
      <c r="G280" s="83">
        <v>95</v>
      </c>
      <c r="H280" s="83" t="str">
        <f t="shared" si="13"/>
        <v xml:space="preserve"> Al</v>
      </c>
      <c r="I280" s="83">
        <v>170</v>
      </c>
    </row>
    <row r="281" spans="3:9" x14ac:dyDescent="0.25">
      <c r="C281" s="178">
        <v>25</v>
      </c>
      <c r="D281" s="178">
        <v>9.9</v>
      </c>
      <c r="E281" s="178">
        <v>8.5</v>
      </c>
      <c r="F281" s="178" t="s">
        <v>212</v>
      </c>
      <c r="G281" s="178">
        <v>6</v>
      </c>
      <c r="H281" s="178" t="str">
        <f t="shared" si="13"/>
        <v>Cu</v>
      </c>
      <c r="I281" s="178">
        <v>63</v>
      </c>
    </row>
    <row r="282" spans="3:9" x14ac:dyDescent="0.25">
      <c r="C282" s="83">
        <v>25</v>
      </c>
      <c r="D282" s="83">
        <v>9.9</v>
      </c>
      <c r="E282" s="83">
        <v>8.5</v>
      </c>
      <c r="F282" s="83" t="s">
        <v>214</v>
      </c>
      <c r="G282" s="83">
        <v>10</v>
      </c>
      <c r="H282" s="83" t="str">
        <f t="shared" si="13"/>
        <v xml:space="preserve"> Cu</v>
      </c>
      <c r="I282" s="83">
        <v>104</v>
      </c>
    </row>
    <row r="283" spans="3:9" x14ac:dyDescent="0.25">
      <c r="C283" s="83">
        <v>25</v>
      </c>
      <c r="D283" s="83">
        <v>9.9</v>
      </c>
      <c r="E283" s="83">
        <v>8.5</v>
      </c>
      <c r="F283" s="83" t="s">
        <v>215</v>
      </c>
      <c r="G283" s="83">
        <v>25</v>
      </c>
      <c r="H283" s="83" t="str">
        <f t="shared" si="13"/>
        <v xml:space="preserve"> Al</v>
      </c>
      <c r="I283" s="83">
        <v>158</v>
      </c>
    </row>
    <row r="284" spans="3:9" x14ac:dyDescent="0.25">
      <c r="C284" s="83">
        <v>25</v>
      </c>
      <c r="D284" s="83">
        <v>9.9</v>
      </c>
      <c r="E284" s="83">
        <v>8.5</v>
      </c>
      <c r="F284" s="83" t="s">
        <v>216</v>
      </c>
      <c r="G284" s="83">
        <v>50</v>
      </c>
      <c r="H284" s="83" t="str">
        <f t="shared" si="13"/>
        <v xml:space="preserve"> Al</v>
      </c>
      <c r="I284" s="83">
        <v>286</v>
      </c>
    </row>
    <row r="285" spans="3:9" x14ac:dyDescent="0.25">
      <c r="C285" s="83">
        <v>32</v>
      </c>
      <c r="D285" s="83">
        <v>9.9</v>
      </c>
      <c r="E285" s="83">
        <v>8.5</v>
      </c>
      <c r="F285" s="83" t="s">
        <v>214</v>
      </c>
      <c r="G285" s="83">
        <v>10</v>
      </c>
      <c r="H285" s="83" t="str">
        <f t="shared" si="13"/>
        <v xml:space="preserve"> Cu</v>
      </c>
      <c r="I285" s="83">
        <v>81</v>
      </c>
    </row>
    <row r="286" spans="3:9" x14ac:dyDescent="0.25">
      <c r="C286" s="83">
        <v>32</v>
      </c>
      <c r="D286" s="83">
        <v>9.9</v>
      </c>
      <c r="E286" s="83">
        <v>8.5</v>
      </c>
      <c r="F286" s="83" t="s">
        <v>215</v>
      </c>
      <c r="G286" s="83">
        <v>25</v>
      </c>
      <c r="H286" s="83" t="str">
        <f t="shared" si="13"/>
        <v xml:space="preserve"> Al</v>
      </c>
      <c r="I286" s="83">
        <v>122</v>
      </c>
    </row>
    <row r="287" spans="3:9" x14ac:dyDescent="0.25">
      <c r="C287" s="83">
        <v>32</v>
      </c>
      <c r="D287" s="83">
        <v>9.9</v>
      </c>
      <c r="E287" s="83">
        <v>8.5</v>
      </c>
      <c r="F287" s="83" t="s">
        <v>216</v>
      </c>
      <c r="G287" s="83">
        <v>50</v>
      </c>
      <c r="H287" s="83" t="str">
        <f t="shared" si="13"/>
        <v xml:space="preserve"> Al</v>
      </c>
      <c r="I287" s="83">
        <v>226</v>
      </c>
    </row>
    <row r="288" spans="3:9" x14ac:dyDescent="0.25">
      <c r="C288" s="83">
        <v>40</v>
      </c>
      <c r="D288" s="83">
        <v>9.9</v>
      </c>
      <c r="E288" s="83">
        <v>8.5</v>
      </c>
      <c r="F288" s="83" t="s">
        <v>217</v>
      </c>
      <c r="G288" s="83">
        <v>16</v>
      </c>
      <c r="H288" s="83" t="str">
        <f t="shared" si="13"/>
        <v xml:space="preserve"> Cu</v>
      </c>
      <c r="I288" s="83">
        <v>103</v>
      </c>
    </row>
    <row r="289" spans="3:16" x14ac:dyDescent="0.25">
      <c r="C289" s="83">
        <v>40</v>
      </c>
      <c r="D289" s="83">
        <v>9.9</v>
      </c>
      <c r="E289" s="83">
        <v>8.5</v>
      </c>
      <c r="F289" s="83" t="s">
        <v>215</v>
      </c>
      <c r="G289" s="83">
        <v>25</v>
      </c>
      <c r="H289" s="83" t="str">
        <f>MID(F289,6,3)</f>
        <v xml:space="preserve"> Al</v>
      </c>
      <c r="I289" s="83">
        <v>97</v>
      </c>
    </row>
    <row r="290" spans="3:16" x14ac:dyDescent="0.25">
      <c r="C290" s="83">
        <v>40</v>
      </c>
      <c r="D290" s="83">
        <v>9.9</v>
      </c>
      <c r="E290" s="83">
        <v>8.5</v>
      </c>
      <c r="F290" s="83" t="s">
        <v>216</v>
      </c>
      <c r="G290" s="83">
        <v>50</v>
      </c>
      <c r="H290" s="83" t="str">
        <f>MID(F290,6,3)</f>
        <v xml:space="preserve"> Al</v>
      </c>
      <c r="I290" s="83">
        <v>179</v>
      </c>
    </row>
    <row r="291" spans="3:16" x14ac:dyDescent="0.25">
      <c r="C291" s="83">
        <v>63</v>
      </c>
      <c r="D291" s="83">
        <v>9.9</v>
      </c>
      <c r="E291" s="83">
        <v>8.5</v>
      </c>
      <c r="F291" s="83" t="s">
        <v>216</v>
      </c>
      <c r="G291" s="83">
        <v>50</v>
      </c>
      <c r="H291" s="83" t="str">
        <f>MID(F291,6,3)</f>
        <v xml:space="preserve"> Al</v>
      </c>
      <c r="I291" s="83">
        <v>113</v>
      </c>
    </row>
    <row r="292" spans="3:16" x14ac:dyDescent="0.25">
      <c r="C292" s="83">
        <v>80</v>
      </c>
      <c r="D292" s="83">
        <v>9.9</v>
      </c>
      <c r="E292" s="83">
        <v>8.5</v>
      </c>
      <c r="F292" s="83" t="s">
        <v>216</v>
      </c>
      <c r="G292" s="83">
        <v>50</v>
      </c>
      <c r="H292" s="83" t="str">
        <f>MID(F292,6,3)</f>
        <v xml:space="preserve"> Al</v>
      </c>
      <c r="I292" s="83">
        <v>170</v>
      </c>
    </row>
    <row r="293" spans="3:16" ht="15.75" thickBot="1" x14ac:dyDescent="0.3">
      <c r="C293" s="181" t="s">
        <v>206</v>
      </c>
      <c r="D293" s="181" t="s">
        <v>207</v>
      </c>
      <c r="E293" s="181" t="s">
        <v>208</v>
      </c>
      <c r="F293" s="181" t="s">
        <v>209</v>
      </c>
      <c r="G293" s="170" t="s">
        <v>229</v>
      </c>
      <c r="H293" s="170" t="s">
        <v>230</v>
      </c>
      <c r="I293" s="181" t="s">
        <v>210</v>
      </c>
    </row>
    <row r="294" spans="3:16" x14ac:dyDescent="0.25">
      <c r="C294" s="83">
        <v>25</v>
      </c>
      <c r="D294" s="83">
        <v>9.9</v>
      </c>
      <c r="E294" s="83">
        <v>0.25</v>
      </c>
      <c r="F294" s="83" t="s">
        <v>212</v>
      </c>
      <c r="G294" s="83">
        <v>6</v>
      </c>
      <c r="H294" s="83" t="str">
        <f t="shared" ref="H294:H357" si="14">MID(F294,6,3)</f>
        <v>Cu</v>
      </c>
      <c r="I294" s="83">
        <v>108</v>
      </c>
      <c r="J294" s="1012" t="s">
        <v>220</v>
      </c>
      <c r="K294" s="1018"/>
      <c r="L294" s="164" t="s">
        <v>200</v>
      </c>
      <c r="M294" s="164" t="s">
        <v>201</v>
      </c>
      <c r="N294" s="164"/>
      <c r="O294" s="164"/>
      <c r="P294" s="165" t="s">
        <v>202</v>
      </c>
    </row>
    <row r="295" spans="3:16" ht="15.75" thickBot="1" x14ac:dyDescent="0.3">
      <c r="C295" s="83">
        <v>25</v>
      </c>
      <c r="D295" s="83">
        <v>9.9</v>
      </c>
      <c r="E295" s="83">
        <v>0.25</v>
      </c>
      <c r="F295" s="83" t="s">
        <v>214</v>
      </c>
      <c r="G295" s="83">
        <v>10</v>
      </c>
      <c r="H295" s="83" t="str">
        <f t="shared" si="14"/>
        <v xml:space="preserve"> Cu</v>
      </c>
      <c r="I295" s="83">
        <v>170</v>
      </c>
      <c r="J295" s="1016" t="s">
        <v>221</v>
      </c>
      <c r="K295" s="1017"/>
      <c r="L295" s="168"/>
      <c r="M295" s="168" t="s">
        <v>204</v>
      </c>
      <c r="N295" s="168"/>
      <c r="O295" s="168"/>
      <c r="P295" s="169" t="s">
        <v>205</v>
      </c>
    </row>
    <row r="296" spans="3:16" ht="15.75" thickBot="1" x14ac:dyDescent="0.3">
      <c r="C296" s="83">
        <v>25</v>
      </c>
      <c r="D296" s="83">
        <v>9.9</v>
      </c>
      <c r="E296" s="83">
        <v>0.25</v>
      </c>
      <c r="F296" s="83" t="s">
        <v>215</v>
      </c>
      <c r="G296" s="83">
        <v>25</v>
      </c>
      <c r="H296" s="83" t="str">
        <f t="shared" si="14"/>
        <v xml:space="preserve"> Al</v>
      </c>
      <c r="I296" s="176">
        <v>270</v>
      </c>
      <c r="J296" s="1021" t="s">
        <v>222</v>
      </c>
      <c r="K296" s="1022"/>
      <c r="L296" s="44"/>
      <c r="M296" s="44"/>
      <c r="N296" s="44"/>
      <c r="O296" s="44"/>
      <c r="P296" s="45"/>
    </row>
    <row r="297" spans="3:16" x14ac:dyDescent="0.25">
      <c r="C297" s="83">
        <v>25</v>
      </c>
      <c r="D297" s="83">
        <v>9.9</v>
      </c>
      <c r="E297" s="83">
        <v>0.25</v>
      </c>
      <c r="F297" s="83" t="s">
        <v>216</v>
      </c>
      <c r="G297" s="83">
        <v>50</v>
      </c>
      <c r="H297" s="83" t="str">
        <f t="shared" si="14"/>
        <v xml:space="preserve"> Al</v>
      </c>
      <c r="I297" s="83">
        <v>475</v>
      </c>
    </row>
    <row r="298" spans="3:16" x14ac:dyDescent="0.25">
      <c r="C298" s="83">
        <v>32</v>
      </c>
      <c r="D298" s="83">
        <v>9.9</v>
      </c>
      <c r="E298" s="180">
        <v>0.25</v>
      </c>
      <c r="F298" s="83" t="s">
        <v>214</v>
      </c>
      <c r="G298" s="83">
        <v>10</v>
      </c>
      <c r="H298" s="83" t="str">
        <f t="shared" si="14"/>
        <v xml:space="preserve"> Cu</v>
      </c>
      <c r="I298" s="83">
        <v>142</v>
      </c>
    </row>
    <row r="299" spans="3:16" x14ac:dyDescent="0.25">
      <c r="C299" s="83">
        <v>32</v>
      </c>
      <c r="D299" s="83">
        <v>9.9</v>
      </c>
      <c r="E299" s="180">
        <v>0.25</v>
      </c>
      <c r="F299" s="83" t="s">
        <v>215</v>
      </c>
      <c r="G299" s="83">
        <v>25</v>
      </c>
      <c r="H299" s="83" t="str">
        <f t="shared" si="14"/>
        <v xml:space="preserve"> Al</v>
      </c>
      <c r="I299" s="83">
        <v>210</v>
      </c>
    </row>
    <row r="300" spans="3:16" x14ac:dyDescent="0.25">
      <c r="C300" s="83">
        <v>32</v>
      </c>
      <c r="D300" s="83">
        <v>9.9</v>
      </c>
      <c r="E300" s="180">
        <v>0.25</v>
      </c>
      <c r="F300" s="83" t="s">
        <v>216</v>
      </c>
      <c r="G300" s="83">
        <v>50</v>
      </c>
      <c r="H300" s="83" t="str">
        <f t="shared" si="14"/>
        <v xml:space="preserve"> Al</v>
      </c>
      <c r="I300" s="83">
        <v>380</v>
      </c>
    </row>
    <row r="301" spans="3:16" x14ac:dyDescent="0.25">
      <c r="C301" s="83">
        <v>40</v>
      </c>
      <c r="D301" s="83">
        <v>9.9</v>
      </c>
      <c r="E301" s="180">
        <v>0.25</v>
      </c>
      <c r="F301" s="83" t="s">
        <v>217</v>
      </c>
      <c r="G301" s="83">
        <v>16</v>
      </c>
      <c r="H301" s="83" t="str">
        <f t="shared" si="14"/>
        <v xml:space="preserve"> Cu</v>
      </c>
      <c r="I301" s="83">
        <v>135</v>
      </c>
    </row>
    <row r="302" spans="3:16" x14ac:dyDescent="0.25">
      <c r="C302" s="83">
        <v>40</v>
      </c>
      <c r="D302" s="83">
        <v>9.9</v>
      </c>
      <c r="E302" s="180">
        <v>0.25</v>
      </c>
      <c r="F302" s="83" t="s">
        <v>215</v>
      </c>
      <c r="G302" s="83">
        <v>25</v>
      </c>
      <c r="H302" s="83" t="str">
        <f t="shared" si="14"/>
        <v xml:space="preserve"> Al</v>
      </c>
      <c r="I302" s="83">
        <v>125</v>
      </c>
    </row>
    <row r="303" spans="3:16" x14ac:dyDescent="0.25">
      <c r="C303" s="83">
        <v>40</v>
      </c>
      <c r="D303" s="83">
        <v>9.9</v>
      </c>
      <c r="E303" s="180">
        <v>0.25</v>
      </c>
      <c r="F303" s="83" t="s">
        <v>216</v>
      </c>
      <c r="G303" s="83">
        <v>50</v>
      </c>
      <c r="H303" s="83" t="str">
        <f t="shared" si="14"/>
        <v xml:space="preserve"> Al</v>
      </c>
      <c r="I303" s="83">
        <v>240</v>
      </c>
    </row>
    <row r="304" spans="3:16" x14ac:dyDescent="0.25">
      <c r="C304" s="83">
        <v>25</v>
      </c>
      <c r="D304" s="83">
        <v>9.9</v>
      </c>
      <c r="E304" s="83">
        <v>0.5</v>
      </c>
      <c r="F304" s="83" t="s">
        <v>212</v>
      </c>
      <c r="G304" s="83">
        <v>6</v>
      </c>
      <c r="H304" s="83" t="str">
        <f t="shared" si="14"/>
        <v>Cu</v>
      </c>
      <c r="I304" s="83">
        <v>108</v>
      </c>
    </row>
    <row r="305" spans="3:9" x14ac:dyDescent="0.25">
      <c r="C305" s="83">
        <v>25</v>
      </c>
      <c r="D305" s="83">
        <v>9.9</v>
      </c>
      <c r="E305" s="83">
        <v>0.5</v>
      </c>
      <c r="F305" s="83" t="s">
        <v>214</v>
      </c>
      <c r="G305" s="83">
        <v>10</v>
      </c>
      <c r="H305" s="83" t="str">
        <f t="shared" si="14"/>
        <v xml:space="preserve"> Cu</v>
      </c>
      <c r="I305" s="83">
        <v>180</v>
      </c>
    </row>
    <row r="306" spans="3:9" x14ac:dyDescent="0.25">
      <c r="C306" s="83">
        <v>25</v>
      </c>
      <c r="D306" s="83">
        <v>9.9</v>
      </c>
      <c r="E306" s="83">
        <v>0.5</v>
      </c>
      <c r="F306" s="83" t="s">
        <v>215</v>
      </c>
      <c r="G306" s="83">
        <v>25</v>
      </c>
      <c r="H306" s="83" t="str">
        <f t="shared" si="14"/>
        <v xml:space="preserve"> Al</v>
      </c>
      <c r="I306" s="83">
        <v>270</v>
      </c>
    </row>
    <row r="307" spans="3:9" x14ac:dyDescent="0.25">
      <c r="C307" s="83">
        <v>25</v>
      </c>
      <c r="D307" s="83">
        <v>9.9</v>
      </c>
      <c r="E307" s="83">
        <v>0.5</v>
      </c>
      <c r="F307" s="83" t="s">
        <v>216</v>
      </c>
      <c r="G307" s="83">
        <v>50</v>
      </c>
      <c r="H307" s="83" t="str">
        <f t="shared" si="14"/>
        <v xml:space="preserve"> Al</v>
      </c>
      <c r="I307" s="83">
        <v>490</v>
      </c>
    </row>
    <row r="308" spans="3:9" x14ac:dyDescent="0.25">
      <c r="C308" s="83">
        <v>32</v>
      </c>
      <c r="D308" s="83">
        <v>9.9</v>
      </c>
      <c r="E308" s="83">
        <v>0.5</v>
      </c>
      <c r="F308" s="83" t="s">
        <v>214</v>
      </c>
      <c r="G308" s="83">
        <v>10</v>
      </c>
      <c r="H308" s="83" t="str">
        <f t="shared" si="14"/>
        <v xml:space="preserve"> Cu</v>
      </c>
      <c r="I308" s="175">
        <v>142</v>
      </c>
    </row>
    <row r="309" spans="3:9" x14ac:dyDescent="0.25">
      <c r="C309" s="83">
        <v>32</v>
      </c>
      <c r="D309" s="83">
        <v>9.9</v>
      </c>
      <c r="E309" s="83">
        <v>0.5</v>
      </c>
      <c r="F309" s="83" t="s">
        <v>215</v>
      </c>
      <c r="G309" s="83">
        <v>25</v>
      </c>
      <c r="H309" s="83" t="str">
        <f t="shared" si="14"/>
        <v xml:space="preserve"> Al</v>
      </c>
      <c r="I309" s="83">
        <v>210</v>
      </c>
    </row>
    <row r="310" spans="3:9" x14ac:dyDescent="0.25">
      <c r="C310" s="83">
        <v>32</v>
      </c>
      <c r="D310" s="83">
        <v>9.9</v>
      </c>
      <c r="E310" s="83">
        <v>0.5</v>
      </c>
      <c r="F310" s="83" t="s">
        <v>216</v>
      </c>
      <c r="G310" s="83">
        <v>50</v>
      </c>
      <c r="H310" s="83" t="str">
        <f t="shared" si="14"/>
        <v xml:space="preserve"> Al</v>
      </c>
      <c r="I310" s="83">
        <v>390</v>
      </c>
    </row>
    <row r="311" spans="3:9" x14ac:dyDescent="0.25">
      <c r="C311" s="83">
        <v>40</v>
      </c>
      <c r="D311" s="83">
        <v>9.9</v>
      </c>
      <c r="E311" s="83">
        <v>0.5</v>
      </c>
      <c r="F311" s="83" t="s">
        <v>217</v>
      </c>
      <c r="G311" s="83">
        <v>16</v>
      </c>
      <c r="H311" s="83" t="str">
        <f t="shared" si="14"/>
        <v xml:space="preserve"> Cu</v>
      </c>
      <c r="I311" s="175">
        <v>178</v>
      </c>
    </row>
    <row r="312" spans="3:9" x14ac:dyDescent="0.25">
      <c r="C312" s="83">
        <v>40</v>
      </c>
      <c r="D312" s="83">
        <v>9.9</v>
      </c>
      <c r="E312" s="83">
        <v>0.5</v>
      </c>
      <c r="F312" s="83" t="s">
        <v>215</v>
      </c>
      <c r="G312" s="83">
        <v>25</v>
      </c>
      <c r="H312" s="83" t="str">
        <f t="shared" si="14"/>
        <v xml:space="preserve"> Al</v>
      </c>
      <c r="I312" s="83">
        <v>170</v>
      </c>
    </row>
    <row r="313" spans="3:9" x14ac:dyDescent="0.25">
      <c r="C313" s="83">
        <v>40</v>
      </c>
      <c r="D313" s="83">
        <v>9.9</v>
      </c>
      <c r="E313" s="83">
        <v>0.5</v>
      </c>
      <c r="F313" s="83" t="s">
        <v>216</v>
      </c>
      <c r="G313" s="83">
        <v>50</v>
      </c>
      <c r="H313" s="83" t="str">
        <f t="shared" si="14"/>
        <v xml:space="preserve"> Al</v>
      </c>
      <c r="I313" s="83">
        <v>306</v>
      </c>
    </row>
    <row r="314" spans="3:9" x14ac:dyDescent="0.25">
      <c r="C314" s="83">
        <v>50</v>
      </c>
      <c r="D314" s="83">
        <v>9.9</v>
      </c>
      <c r="E314" s="83">
        <v>0.5</v>
      </c>
      <c r="F314" s="83" t="s">
        <v>215</v>
      </c>
      <c r="G314" s="83">
        <v>25</v>
      </c>
      <c r="H314" s="83" t="str">
        <f t="shared" si="14"/>
        <v xml:space="preserve"> Al</v>
      </c>
      <c r="I314" s="83">
        <v>125</v>
      </c>
    </row>
    <row r="315" spans="3:9" x14ac:dyDescent="0.25">
      <c r="C315" s="83">
        <v>50</v>
      </c>
      <c r="D315" s="83">
        <v>9.9</v>
      </c>
      <c r="E315" s="83">
        <v>0.5</v>
      </c>
      <c r="F315" s="83" t="s">
        <v>216</v>
      </c>
      <c r="G315" s="83">
        <v>50</v>
      </c>
      <c r="H315" s="83" t="str">
        <f t="shared" si="14"/>
        <v xml:space="preserve"> Al</v>
      </c>
      <c r="I315" s="175">
        <v>232</v>
      </c>
    </row>
    <row r="316" spans="3:9" x14ac:dyDescent="0.25">
      <c r="C316" s="83">
        <v>63</v>
      </c>
      <c r="D316" s="83">
        <v>9.9</v>
      </c>
      <c r="E316" s="83">
        <v>0.5</v>
      </c>
      <c r="F316" s="83" t="s">
        <v>216</v>
      </c>
      <c r="G316" s="83">
        <v>50</v>
      </c>
      <c r="H316" s="83" t="str">
        <f t="shared" si="14"/>
        <v xml:space="preserve"> Al</v>
      </c>
      <c r="I316" s="83">
        <v>118</v>
      </c>
    </row>
    <row r="317" spans="3:9" x14ac:dyDescent="0.25">
      <c r="C317" s="83">
        <v>25</v>
      </c>
      <c r="D317" s="83">
        <v>9.9</v>
      </c>
      <c r="E317" s="83">
        <v>1</v>
      </c>
      <c r="F317" s="83" t="s">
        <v>212</v>
      </c>
      <c r="G317" s="83">
        <v>6</v>
      </c>
      <c r="H317" s="83" t="str">
        <f t="shared" si="14"/>
        <v>Cu</v>
      </c>
      <c r="I317" s="83">
        <v>108</v>
      </c>
    </row>
    <row r="318" spans="3:9" x14ac:dyDescent="0.25">
      <c r="C318" s="83">
        <v>25</v>
      </c>
      <c r="D318" s="83">
        <v>9.9</v>
      </c>
      <c r="E318" s="83">
        <v>1</v>
      </c>
      <c r="F318" s="83" t="s">
        <v>214</v>
      </c>
      <c r="G318" s="83">
        <v>10</v>
      </c>
      <c r="H318" s="83" t="str">
        <f t="shared" si="14"/>
        <v xml:space="preserve"> Cu</v>
      </c>
      <c r="I318" s="83">
        <v>183</v>
      </c>
    </row>
    <row r="319" spans="3:9" x14ac:dyDescent="0.25">
      <c r="C319" s="83">
        <v>25</v>
      </c>
      <c r="D319" s="83">
        <v>9.9</v>
      </c>
      <c r="E319" s="83">
        <v>1</v>
      </c>
      <c r="F319" s="83" t="s">
        <v>215</v>
      </c>
      <c r="G319" s="83">
        <v>25</v>
      </c>
      <c r="H319" s="83" t="str">
        <f t="shared" si="14"/>
        <v xml:space="preserve"> Al</v>
      </c>
      <c r="I319" s="83">
        <v>275</v>
      </c>
    </row>
    <row r="320" spans="3:9" x14ac:dyDescent="0.25">
      <c r="C320" s="83">
        <v>25</v>
      </c>
      <c r="D320" s="83">
        <v>9.9</v>
      </c>
      <c r="E320" s="83">
        <v>1</v>
      </c>
      <c r="F320" s="83" t="s">
        <v>216</v>
      </c>
      <c r="G320" s="83">
        <v>50</v>
      </c>
      <c r="H320" s="83" t="str">
        <f t="shared" si="14"/>
        <v xml:space="preserve"> Al</v>
      </c>
      <c r="I320" s="83">
        <v>490</v>
      </c>
    </row>
    <row r="321" spans="3:9" x14ac:dyDescent="0.25">
      <c r="C321" s="83">
        <v>32</v>
      </c>
      <c r="D321" s="83">
        <v>9.9</v>
      </c>
      <c r="E321" s="83">
        <v>1</v>
      </c>
      <c r="F321" s="83" t="s">
        <v>214</v>
      </c>
      <c r="G321" s="83">
        <v>10</v>
      </c>
      <c r="H321" s="83" t="str">
        <f t="shared" si="14"/>
        <v xml:space="preserve"> Cu</v>
      </c>
      <c r="I321" s="83">
        <v>142</v>
      </c>
    </row>
    <row r="322" spans="3:9" x14ac:dyDescent="0.25">
      <c r="C322" s="83">
        <v>32</v>
      </c>
      <c r="D322" s="83">
        <v>9.9</v>
      </c>
      <c r="E322" s="83">
        <v>1</v>
      </c>
      <c r="F322" s="83" t="s">
        <v>215</v>
      </c>
      <c r="G322" s="83">
        <v>25</v>
      </c>
      <c r="H322" s="83" t="str">
        <f t="shared" si="14"/>
        <v xml:space="preserve"> Al</v>
      </c>
      <c r="I322" s="83">
        <v>214</v>
      </c>
    </row>
    <row r="323" spans="3:9" x14ac:dyDescent="0.25">
      <c r="C323" s="83">
        <v>32</v>
      </c>
      <c r="D323" s="83">
        <v>9.9</v>
      </c>
      <c r="E323" s="83">
        <v>1</v>
      </c>
      <c r="F323" s="83" t="s">
        <v>216</v>
      </c>
      <c r="G323" s="83">
        <v>50</v>
      </c>
      <c r="H323" s="83" t="str">
        <f t="shared" si="14"/>
        <v xml:space="preserve"> Al</v>
      </c>
      <c r="I323" s="83">
        <v>390</v>
      </c>
    </row>
    <row r="324" spans="3:9" x14ac:dyDescent="0.25">
      <c r="C324" s="83">
        <v>40</v>
      </c>
      <c r="D324" s="83">
        <v>9.9</v>
      </c>
      <c r="E324" s="83">
        <v>1</v>
      </c>
      <c r="F324" s="83" t="s">
        <v>217</v>
      </c>
      <c r="G324" s="83">
        <v>16</v>
      </c>
      <c r="H324" s="83" t="str">
        <f t="shared" si="14"/>
        <v xml:space="preserve"> Cu</v>
      </c>
      <c r="I324" s="83">
        <v>178</v>
      </c>
    </row>
    <row r="325" spans="3:9" x14ac:dyDescent="0.25">
      <c r="C325" s="83">
        <v>40</v>
      </c>
      <c r="D325" s="83">
        <v>9.9</v>
      </c>
      <c r="E325" s="83">
        <v>1</v>
      </c>
      <c r="F325" s="83" t="s">
        <v>215</v>
      </c>
      <c r="G325" s="83">
        <v>25</v>
      </c>
      <c r="H325" s="83" t="str">
        <f t="shared" si="14"/>
        <v xml:space="preserve"> Al</v>
      </c>
      <c r="I325" s="83">
        <v>170</v>
      </c>
    </row>
    <row r="326" spans="3:9" x14ac:dyDescent="0.25">
      <c r="C326" s="83">
        <v>40</v>
      </c>
      <c r="D326" s="83">
        <v>9.9</v>
      </c>
      <c r="E326" s="83">
        <v>1</v>
      </c>
      <c r="F326" s="83" t="s">
        <v>216</v>
      </c>
      <c r="G326" s="83">
        <v>50</v>
      </c>
      <c r="H326" s="83" t="str">
        <f t="shared" si="14"/>
        <v xml:space="preserve"> Al</v>
      </c>
      <c r="I326" s="83">
        <v>306</v>
      </c>
    </row>
    <row r="327" spans="3:9" x14ac:dyDescent="0.25">
      <c r="C327" s="83">
        <v>50</v>
      </c>
      <c r="D327" s="83">
        <v>9.9</v>
      </c>
      <c r="E327" s="83">
        <v>1</v>
      </c>
      <c r="F327" s="83" t="s">
        <v>215</v>
      </c>
      <c r="G327" s="83">
        <v>25</v>
      </c>
      <c r="H327" s="83" t="str">
        <f t="shared" si="14"/>
        <v xml:space="preserve"> Al</v>
      </c>
      <c r="I327" s="83">
        <v>125</v>
      </c>
    </row>
    <row r="328" spans="3:9" x14ac:dyDescent="0.25">
      <c r="C328" s="83">
        <v>50</v>
      </c>
      <c r="D328" s="83">
        <v>9.9</v>
      </c>
      <c r="E328" s="83">
        <v>1</v>
      </c>
      <c r="F328" s="83" t="s">
        <v>216</v>
      </c>
      <c r="G328" s="83">
        <v>50</v>
      </c>
      <c r="H328" s="83" t="str">
        <f t="shared" si="14"/>
        <v xml:space="preserve"> Al</v>
      </c>
      <c r="I328" s="83">
        <v>232</v>
      </c>
    </row>
    <row r="329" spans="3:9" x14ac:dyDescent="0.25">
      <c r="C329" s="83">
        <v>63</v>
      </c>
      <c r="D329" s="83">
        <v>9.9</v>
      </c>
      <c r="E329" s="83">
        <v>1</v>
      </c>
      <c r="F329" s="83" t="s">
        <v>216</v>
      </c>
      <c r="G329" s="83">
        <v>50</v>
      </c>
      <c r="H329" s="83" t="str">
        <f t="shared" si="14"/>
        <v xml:space="preserve"> Al</v>
      </c>
      <c r="I329" s="83">
        <v>118</v>
      </c>
    </row>
    <row r="330" spans="3:9" x14ac:dyDescent="0.25">
      <c r="C330" s="83">
        <v>25</v>
      </c>
      <c r="D330" s="83">
        <v>9.9</v>
      </c>
      <c r="E330" s="83">
        <v>2</v>
      </c>
      <c r="F330" s="83" t="s">
        <v>212</v>
      </c>
      <c r="G330" s="83">
        <v>6</v>
      </c>
      <c r="H330" s="83" t="str">
        <f t="shared" si="14"/>
        <v>Cu</v>
      </c>
      <c r="I330" s="83">
        <v>108</v>
      </c>
    </row>
    <row r="331" spans="3:9" x14ac:dyDescent="0.25">
      <c r="C331" s="83">
        <v>25</v>
      </c>
      <c r="D331" s="83">
        <v>9.9</v>
      </c>
      <c r="E331" s="83">
        <v>2</v>
      </c>
      <c r="F331" s="83" t="s">
        <v>214</v>
      </c>
      <c r="G331" s="83">
        <v>10</v>
      </c>
      <c r="H331" s="83" t="str">
        <f t="shared" si="14"/>
        <v xml:space="preserve"> Cu</v>
      </c>
      <c r="I331" s="83">
        <v>180</v>
      </c>
    </row>
    <row r="332" spans="3:9" x14ac:dyDescent="0.25">
      <c r="C332" s="83">
        <v>25</v>
      </c>
      <c r="D332" s="83">
        <v>9.9</v>
      </c>
      <c r="E332" s="83">
        <v>2</v>
      </c>
      <c r="F332" s="83" t="s">
        <v>215</v>
      </c>
      <c r="G332" s="83">
        <v>25</v>
      </c>
      <c r="H332" s="83" t="str">
        <f t="shared" si="14"/>
        <v xml:space="preserve"> Al</v>
      </c>
      <c r="I332" s="83">
        <v>275</v>
      </c>
    </row>
    <row r="333" spans="3:9" x14ac:dyDescent="0.25">
      <c r="C333" s="83">
        <v>25</v>
      </c>
      <c r="D333" s="83">
        <v>9.9</v>
      </c>
      <c r="E333" s="83">
        <v>2</v>
      </c>
      <c r="F333" s="83" t="s">
        <v>216</v>
      </c>
      <c r="G333" s="83">
        <v>50</v>
      </c>
      <c r="H333" s="83" t="str">
        <f t="shared" si="14"/>
        <v xml:space="preserve"> Al</v>
      </c>
      <c r="I333" s="83">
        <v>490</v>
      </c>
    </row>
    <row r="334" spans="3:9" x14ac:dyDescent="0.25">
      <c r="C334" s="83">
        <v>32</v>
      </c>
      <c r="D334" s="83">
        <v>9.9</v>
      </c>
      <c r="E334" s="83">
        <v>2</v>
      </c>
      <c r="F334" s="83" t="s">
        <v>214</v>
      </c>
      <c r="G334" s="83">
        <v>10</v>
      </c>
      <c r="H334" s="83" t="str">
        <f t="shared" si="14"/>
        <v xml:space="preserve"> Cu</v>
      </c>
      <c r="I334" s="83">
        <v>142</v>
      </c>
    </row>
    <row r="335" spans="3:9" x14ac:dyDescent="0.25">
      <c r="C335" s="83">
        <v>32</v>
      </c>
      <c r="D335" s="83">
        <v>9.9</v>
      </c>
      <c r="E335" s="83">
        <v>2</v>
      </c>
      <c r="F335" s="83" t="s">
        <v>215</v>
      </c>
      <c r="G335" s="83">
        <v>25</v>
      </c>
      <c r="H335" s="83" t="str">
        <f t="shared" si="14"/>
        <v xml:space="preserve"> Al</v>
      </c>
      <c r="I335" s="83">
        <v>214</v>
      </c>
    </row>
    <row r="336" spans="3:9" x14ac:dyDescent="0.25">
      <c r="C336" s="83">
        <v>32</v>
      </c>
      <c r="D336" s="83">
        <v>9.9</v>
      </c>
      <c r="E336" s="83">
        <v>2</v>
      </c>
      <c r="F336" s="83" t="s">
        <v>216</v>
      </c>
      <c r="G336" s="83">
        <v>50</v>
      </c>
      <c r="H336" s="83" t="str">
        <f t="shared" si="14"/>
        <v xml:space="preserve"> Al</v>
      </c>
      <c r="I336" s="83">
        <v>390</v>
      </c>
    </row>
    <row r="337" spans="3:9" x14ac:dyDescent="0.25">
      <c r="C337" s="83">
        <v>40</v>
      </c>
      <c r="D337" s="83">
        <v>9.9</v>
      </c>
      <c r="E337" s="83">
        <v>2</v>
      </c>
      <c r="F337" s="83" t="s">
        <v>217</v>
      </c>
      <c r="G337" s="83">
        <v>16</v>
      </c>
      <c r="H337" s="83" t="str">
        <f t="shared" si="14"/>
        <v xml:space="preserve"> Cu</v>
      </c>
      <c r="I337" s="83">
        <v>178</v>
      </c>
    </row>
    <row r="338" spans="3:9" x14ac:dyDescent="0.25">
      <c r="C338" s="83">
        <v>40</v>
      </c>
      <c r="D338" s="83">
        <v>9.9</v>
      </c>
      <c r="E338" s="83">
        <v>2</v>
      </c>
      <c r="F338" s="83" t="s">
        <v>215</v>
      </c>
      <c r="G338" s="83">
        <v>25</v>
      </c>
      <c r="H338" s="83" t="str">
        <f t="shared" si="14"/>
        <v xml:space="preserve"> Al</v>
      </c>
      <c r="I338" s="83">
        <v>172</v>
      </c>
    </row>
    <row r="339" spans="3:9" x14ac:dyDescent="0.25">
      <c r="C339" s="83">
        <v>40</v>
      </c>
      <c r="D339" s="83">
        <v>9.9</v>
      </c>
      <c r="E339" s="83">
        <v>2</v>
      </c>
      <c r="F339" s="83" t="s">
        <v>216</v>
      </c>
      <c r="G339" s="83">
        <v>50</v>
      </c>
      <c r="H339" s="83" t="str">
        <f t="shared" si="14"/>
        <v xml:space="preserve"> Al</v>
      </c>
      <c r="I339" s="83">
        <v>312</v>
      </c>
    </row>
    <row r="340" spans="3:9" x14ac:dyDescent="0.25">
      <c r="C340" s="83">
        <v>50</v>
      </c>
      <c r="D340" s="83">
        <v>9.9</v>
      </c>
      <c r="E340" s="83">
        <v>2</v>
      </c>
      <c r="F340" s="83" t="s">
        <v>215</v>
      </c>
      <c r="G340" s="83">
        <v>25</v>
      </c>
      <c r="H340" s="83" t="str">
        <f t="shared" si="14"/>
        <v xml:space="preserve"> Al</v>
      </c>
      <c r="I340" s="83">
        <v>126</v>
      </c>
    </row>
    <row r="341" spans="3:9" x14ac:dyDescent="0.25">
      <c r="C341" s="83">
        <v>50</v>
      </c>
      <c r="D341" s="83">
        <v>9.9</v>
      </c>
      <c r="E341" s="83">
        <v>2</v>
      </c>
      <c r="F341" s="83" t="s">
        <v>216</v>
      </c>
      <c r="G341" s="83">
        <v>50</v>
      </c>
      <c r="H341" s="83" t="str">
        <f t="shared" si="14"/>
        <v xml:space="preserve"> Al</v>
      </c>
      <c r="I341" s="83">
        <v>232</v>
      </c>
    </row>
    <row r="342" spans="3:9" x14ac:dyDescent="0.25">
      <c r="C342" s="83">
        <v>63</v>
      </c>
      <c r="D342" s="83">
        <v>9.9</v>
      </c>
      <c r="E342" s="83">
        <v>2</v>
      </c>
      <c r="F342" s="83" t="s">
        <v>216</v>
      </c>
      <c r="G342" s="83">
        <v>50</v>
      </c>
      <c r="H342" s="83" t="str">
        <f t="shared" si="14"/>
        <v xml:space="preserve"> Al</v>
      </c>
      <c r="I342" s="83">
        <v>119</v>
      </c>
    </row>
    <row r="343" spans="3:9" x14ac:dyDescent="0.25">
      <c r="C343" s="83">
        <v>25</v>
      </c>
      <c r="D343" s="83">
        <v>9.9</v>
      </c>
      <c r="E343" s="83">
        <v>5</v>
      </c>
      <c r="F343" s="83" t="s">
        <v>212</v>
      </c>
      <c r="G343" s="83">
        <v>6</v>
      </c>
      <c r="H343" s="83" t="str">
        <f t="shared" si="14"/>
        <v>Cu</v>
      </c>
      <c r="I343" s="83">
        <v>108</v>
      </c>
    </row>
    <row r="344" spans="3:9" x14ac:dyDescent="0.25">
      <c r="C344" s="83">
        <v>25</v>
      </c>
      <c r="D344" s="83">
        <v>9.9</v>
      </c>
      <c r="E344" s="83">
        <v>5</v>
      </c>
      <c r="F344" s="83" t="s">
        <v>214</v>
      </c>
      <c r="G344" s="83">
        <v>10</v>
      </c>
      <c r="H344" s="83" t="str">
        <f t="shared" si="14"/>
        <v xml:space="preserve"> Cu</v>
      </c>
      <c r="I344" s="83">
        <v>180</v>
      </c>
    </row>
    <row r="345" spans="3:9" x14ac:dyDescent="0.25">
      <c r="C345" s="83">
        <v>25</v>
      </c>
      <c r="D345" s="83">
        <v>9.9</v>
      </c>
      <c r="E345" s="83">
        <v>5</v>
      </c>
      <c r="F345" s="83" t="s">
        <v>215</v>
      </c>
      <c r="G345" s="83">
        <v>25</v>
      </c>
      <c r="H345" s="83" t="str">
        <f t="shared" si="14"/>
        <v xml:space="preserve"> Al</v>
      </c>
      <c r="I345" s="83">
        <v>275</v>
      </c>
    </row>
    <row r="346" spans="3:9" x14ac:dyDescent="0.25">
      <c r="C346" s="83">
        <v>25</v>
      </c>
      <c r="D346" s="83">
        <v>9.9</v>
      </c>
      <c r="E346" s="83">
        <v>5</v>
      </c>
      <c r="F346" s="83" t="s">
        <v>216</v>
      </c>
      <c r="G346" s="83">
        <v>50</v>
      </c>
      <c r="H346" s="83" t="str">
        <f t="shared" si="14"/>
        <v xml:space="preserve"> Al</v>
      </c>
      <c r="I346" s="83">
        <v>490</v>
      </c>
    </row>
    <row r="347" spans="3:9" x14ac:dyDescent="0.25">
      <c r="C347" s="83">
        <v>32</v>
      </c>
      <c r="D347" s="83">
        <v>9.9</v>
      </c>
      <c r="E347" s="83">
        <v>5</v>
      </c>
      <c r="F347" s="83" t="s">
        <v>214</v>
      </c>
      <c r="G347" s="83">
        <v>10</v>
      </c>
      <c r="H347" s="83" t="str">
        <f t="shared" si="14"/>
        <v xml:space="preserve"> Cu</v>
      </c>
      <c r="I347" s="83">
        <v>142</v>
      </c>
    </row>
    <row r="348" spans="3:9" x14ac:dyDescent="0.25">
      <c r="C348" s="83">
        <v>32</v>
      </c>
      <c r="D348" s="83">
        <v>9.9</v>
      </c>
      <c r="E348" s="83">
        <v>5</v>
      </c>
      <c r="F348" s="83" t="s">
        <v>215</v>
      </c>
      <c r="G348" s="83">
        <v>25</v>
      </c>
      <c r="H348" s="83" t="str">
        <f t="shared" si="14"/>
        <v xml:space="preserve"> Al</v>
      </c>
      <c r="I348" s="83">
        <v>214</v>
      </c>
    </row>
    <row r="349" spans="3:9" x14ac:dyDescent="0.25">
      <c r="C349" s="83">
        <v>32</v>
      </c>
      <c r="D349" s="83">
        <v>9.9</v>
      </c>
      <c r="E349" s="83">
        <v>5</v>
      </c>
      <c r="F349" s="83" t="s">
        <v>216</v>
      </c>
      <c r="G349" s="83">
        <v>50</v>
      </c>
      <c r="H349" s="83" t="str">
        <f t="shared" si="14"/>
        <v xml:space="preserve"> Al</v>
      </c>
      <c r="I349" s="83">
        <v>390</v>
      </c>
    </row>
    <row r="350" spans="3:9" x14ac:dyDescent="0.25">
      <c r="C350" s="83">
        <v>40</v>
      </c>
      <c r="D350" s="83">
        <v>9.9</v>
      </c>
      <c r="E350" s="83">
        <v>5</v>
      </c>
      <c r="F350" s="83" t="s">
        <v>217</v>
      </c>
      <c r="G350" s="83">
        <v>16</v>
      </c>
      <c r="H350" s="83" t="str">
        <f t="shared" si="14"/>
        <v xml:space="preserve"> Cu</v>
      </c>
      <c r="I350" s="83">
        <v>178</v>
      </c>
    </row>
    <row r="351" spans="3:9" x14ac:dyDescent="0.25">
      <c r="C351" s="83">
        <v>40</v>
      </c>
      <c r="D351" s="83">
        <v>9.9</v>
      </c>
      <c r="E351" s="83">
        <v>5</v>
      </c>
      <c r="F351" s="83" t="s">
        <v>215</v>
      </c>
      <c r="G351" s="83">
        <v>25</v>
      </c>
      <c r="H351" s="83" t="str">
        <f t="shared" si="14"/>
        <v xml:space="preserve"> Al</v>
      </c>
      <c r="I351" s="83">
        <v>172</v>
      </c>
    </row>
    <row r="352" spans="3:9" x14ac:dyDescent="0.25">
      <c r="C352" s="83">
        <v>40</v>
      </c>
      <c r="D352" s="83">
        <v>9.9</v>
      </c>
      <c r="E352" s="83">
        <v>5</v>
      </c>
      <c r="F352" s="83" t="s">
        <v>216</v>
      </c>
      <c r="G352" s="83">
        <v>50</v>
      </c>
      <c r="H352" s="83" t="str">
        <f t="shared" si="14"/>
        <v xml:space="preserve"> Al</v>
      </c>
      <c r="I352" s="83">
        <v>312</v>
      </c>
    </row>
    <row r="353" spans="3:9" x14ac:dyDescent="0.25">
      <c r="C353" s="83">
        <v>50</v>
      </c>
      <c r="D353" s="83">
        <v>9.9</v>
      </c>
      <c r="E353" s="83">
        <v>5</v>
      </c>
      <c r="F353" s="83" t="s">
        <v>215</v>
      </c>
      <c r="G353" s="83">
        <v>25</v>
      </c>
      <c r="H353" s="83" t="str">
        <f t="shared" si="14"/>
        <v xml:space="preserve"> Al</v>
      </c>
      <c r="I353" s="83">
        <v>126</v>
      </c>
    </row>
    <row r="354" spans="3:9" x14ac:dyDescent="0.25">
      <c r="C354" s="83">
        <v>50</v>
      </c>
      <c r="D354" s="83">
        <v>9.9</v>
      </c>
      <c r="E354" s="83">
        <v>5</v>
      </c>
      <c r="F354" s="83" t="s">
        <v>216</v>
      </c>
      <c r="G354" s="83">
        <v>50</v>
      </c>
      <c r="H354" s="83" t="str">
        <f t="shared" si="14"/>
        <v xml:space="preserve"> Al</v>
      </c>
      <c r="I354" s="83">
        <v>232</v>
      </c>
    </row>
    <row r="355" spans="3:9" x14ac:dyDescent="0.25">
      <c r="C355" s="83">
        <v>63</v>
      </c>
      <c r="D355" s="83">
        <v>9.9</v>
      </c>
      <c r="E355" s="83">
        <v>5</v>
      </c>
      <c r="F355" s="83" t="s">
        <v>216</v>
      </c>
      <c r="G355" s="83">
        <v>50</v>
      </c>
      <c r="H355" s="83" t="str">
        <f t="shared" si="14"/>
        <v xml:space="preserve"> Al</v>
      </c>
      <c r="I355" s="83">
        <v>119</v>
      </c>
    </row>
    <row r="356" spans="3:9" x14ac:dyDescent="0.25">
      <c r="C356" s="83">
        <v>25</v>
      </c>
      <c r="D356" s="83">
        <v>9.9</v>
      </c>
      <c r="E356" s="83">
        <v>8.5</v>
      </c>
      <c r="F356" s="83" t="s">
        <v>212</v>
      </c>
      <c r="G356" s="83">
        <v>6</v>
      </c>
      <c r="H356" s="83" t="str">
        <f t="shared" si="14"/>
        <v>Cu</v>
      </c>
      <c r="I356" s="83">
        <v>108</v>
      </c>
    </row>
    <row r="357" spans="3:9" x14ac:dyDescent="0.25">
      <c r="C357" s="83">
        <v>25</v>
      </c>
      <c r="D357" s="83">
        <v>9.9</v>
      </c>
      <c r="E357" s="83">
        <v>8.5</v>
      </c>
      <c r="F357" s="83" t="s">
        <v>214</v>
      </c>
      <c r="G357" s="83">
        <v>10</v>
      </c>
      <c r="H357" s="83" t="str">
        <f t="shared" si="14"/>
        <v xml:space="preserve"> Cu</v>
      </c>
      <c r="I357" s="83">
        <v>180</v>
      </c>
    </row>
    <row r="358" spans="3:9" x14ac:dyDescent="0.25">
      <c r="C358" s="83">
        <v>25</v>
      </c>
      <c r="D358" s="83">
        <v>9.9</v>
      </c>
      <c r="E358" s="83">
        <v>8.5</v>
      </c>
      <c r="F358" s="83" t="s">
        <v>215</v>
      </c>
      <c r="G358" s="83">
        <v>25</v>
      </c>
      <c r="H358" s="83" t="str">
        <f t="shared" ref="H358:H368" si="15">MID(F358,6,3)</f>
        <v xml:space="preserve"> Al</v>
      </c>
      <c r="I358" s="83">
        <v>275</v>
      </c>
    </row>
    <row r="359" spans="3:9" x14ac:dyDescent="0.25">
      <c r="C359" s="83">
        <v>25</v>
      </c>
      <c r="D359" s="83">
        <v>9.9</v>
      </c>
      <c r="E359" s="83">
        <v>8.5</v>
      </c>
      <c r="F359" s="83" t="s">
        <v>216</v>
      </c>
      <c r="G359" s="83">
        <v>50</v>
      </c>
      <c r="H359" s="83" t="str">
        <f t="shared" si="15"/>
        <v xml:space="preserve"> Al</v>
      </c>
      <c r="I359" s="83">
        <v>490</v>
      </c>
    </row>
    <row r="360" spans="3:9" x14ac:dyDescent="0.25">
      <c r="C360" s="83">
        <v>32</v>
      </c>
      <c r="D360" s="83">
        <v>9.9</v>
      </c>
      <c r="E360" s="83">
        <v>8.5</v>
      </c>
      <c r="F360" s="83" t="s">
        <v>214</v>
      </c>
      <c r="G360" s="83">
        <v>10</v>
      </c>
      <c r="H360" s="83" t="str">
        <f t="shared" si="15"/>
        <v xml:space="preserve"> Cu</v>
      </c>
      <c r="I360" s="83">
        <v>142</v>
      </c>
    </row>
    <row r="361" spans="3:9" x14ac:dyDescent="0.25">
      <c r="C361" s="83">
        <v>32</v>
      </c>
      <c r="D361" s="83">
        <v>9.9</v>
      </c>
      <c r="E361" s="83">
        <v>8.5</v>
      </c>
      <c r="F361" s="83" t="s">
        <v>215</v>
      </c>
      <c r="G361" s="83">
        <v>25</v>
      </c>
      <c r="H361" s="83" t="str">
        <f t="shared" si="15"/>
        <v xml:space="preserve"> Al</v>
      </c>
      <c r="I361" s="83">
        <v>214</v>
      </c>
    </row>
    <row r="362" spans="3:9" x14ac:dyDescent="0.25">
      <c r="C362" s="83">
        <v>32</v>
      </c>
      <c r="D362" s="83">
        <v>9.9</v>
      </c>
      <c r="E362" s="83">
        <v>8.5</v>
      </c>
      <c r="F362" s="83" t="s">
        <v>216</v>
      </c>
      <c r="G362" s="83">
        <v>50</v>
      </c>
      <c r="H362" s="83" t="str">
        <f t="shared" si="15"/>
        <v xml:space="preserve"> Al</v>
      </c>
      <c r="I362" s="83">
        <v>390</v>
      </c>
    </row>
    <row r="363" spans="3:9" x14ac:dyDescent="0.25">
      <c r="C363" s="83">
        <v>40</v>
      </c>
      <c r="D363" s="83">
        <v>9.9</v>
      </c>
      <c r="E363" s="83">
        <v>8.5</v>
      </c>
      <c r="F363" s="83" t="s">
        <v>217</v>
      </c>
      <c r="G363" s="83">
        <v>16</v>
      </c>
      <c r="H363" s="83" t="str">
        <f t="shared" si="15"/>
        <v xml:space="preserve"> Cu</v>
      </c>
      <c r="I363" s="83">
        <v>178</v>
      </c>
    </row>
    <row r="364" spans="3:9" x14ac:dyDescent="0.25">
      <c r="C364" s="83">
        <v>40</v>
      </c>
      <c r="D364" s="83">
        <v>9.9</v>
      </c>
      <c r="E364" s="83">
        <v>8.5</v>
      </c>
      <c r="F364" s="83" t="s">
        <v>215</v>
      </c>
      <c r="G364" s="83">
        <v>25</v>
      </c>
      <c r="H364" s="83" t="str">
        <f t="shared" si="15"/>
        <v xml:space="preserve"> Al</v>
      </c>
      <c r="I364" s="83">
        <v>172</v>
      </c>
    </row>
    <row r="365" spans="3:9" x14ac:dyDescent="0.25">
      <c r="C365" s="83">
        <v>40</v>
      </c>
      <c r="D365" s="83">
        <v>9.9</v>
      </c>
      <c r="E365" s="83">
        <v>8.5</v>
      </c>
      <c r="F365" s="83" t="s">
        <v>216</v>
      </c>
      <c r="G365" s="83">
        <v>50</v>
      </c>
      <c r="H365" s="83" t="str">
        <f t="shared" si="15"/>
        <v xml:space="preserve"> Al</v>
      </c>
      <c r="I365" s="83">
        <v>312</v>
      </c>
    </row>
    <row r="366" spans="3:9" x14ac:dyDescent="0.25">
      <c r="C366" s="83">
        <v>50</v>
      </c>
      <c r="D366" s="83">
        <v>9.9</v>
      </c>
      <c r="E366" s="83">
        <v>8.5</v>
      </c>
      <c r="F366" s="83" t="s">
        <v>215</v>
      </c>
      <c r="G366" s="83">
        <v>25</v>
      </c>
      <c r="H366" s="83" t="str">
        <f t="shared" si="15"/>
        <v xml:space="preserve"> Al</v>
      </c>
      <c r="I366" s="83">
        <v>126</v>
      </c>
    </row>
    <row r="367" spans="3:9" x14ac:dyDescent="0.25">
      <c r="C367" s="83">
        <v>50</v>
      </c>
      <c r="D367" s="83">
        <v>9.9</v>
      </c>
      <c r="E367" s="83">
        <v>8.5</v>
      </c>
      <c r="F367" s="83" t="s">
        <v>216</v>
      </c>
      <c r="G367" s="83">
        <v>50</v>
      </c>
      <c r="H367" s="83" t="str">
        <f t="shared" si="15"/>
        <v xml:space="preserve"> Al</v>
      </c>
      <c r="I367" s="83">
        <v>232</v>
      </c>
    </row>
    <row r="368" spans="3:9" x14ac:dyDescent="0.25">
      <c r="C368" s="83">
        <v>63</v>
      </c>
      <c r="D368" s="83">
        <v>9.9</v>
      </c>
      <c r="E368" s="83">
        <v>8.5</v>
      </c>
      <c r="F368" s="83" t="s">
        <v>216</v>
      </c>
      <c r="G368" s="83">
        <v>50</v>
      </c>
      <c r="H368" s="83" t="str">
        <f t="shared" si="15"/>
        <v xml:space="preserve"> Al</v>
      </c>
      <c r="I368" s="83">
        <v>119</v>
      </c>
    </row>
    <row r="369" spans="3:16" ht="15.75" thickBot="1" x14ac:dyDescent="0.3">
      <c r="C369" s="181" t="s">
        <v>206</v>
      </c>
      <c r="D369" s="181" t="s">
        <v>207</v>
      </c>
      <c r="E369" s="181" t="s">
        <v>208</v>
      </c>
      <c r="F369" s="181" t="s">
        <v>211</v>
      </c>
      <c r="G369" s="170" t="s">
        <v>229</v>
      </c>
      <c r="H369" s="170" t="s">
        <v>230</v>
      </c>
      <c r="I369" s="181" t="s">
        <v>210</v>
      </c>
    </row>
    <row r="370" spans="3:16" x14ac:dyDescent="0.25">
      <c r="C370" s="83">
        <v>25</v>
      </c>
      <c r="D370" s="83">
        <v>19.899999999999999</v>
      </c>
      <c r="E370" s="83">
        <v>10</v>
      </c>
      <c r="F370" s="83" t="s">
        <v>212</v>
      </c>
      <c r="G370" s="83">
        <v>6</v>
      </c>
      <c r="H370" s="83" t="str">
        <f t="shared" ref="H370:H393" si="16">MID(F370,6,3)</f>
        <v>Cu</v>
      </c>
      <c r="I370" s="83">
        <v>63</v>
      </c>
      <c r="J370" s="1012" t="s">
        <v>199</v>
      </c>
      <c r="K370" s="1018"/>
      <c r="L370" s="1012" t="s">
        <v>200</v>
      </c>
      <c r="M370" s="1013"/>
      <c r="N370" s="164"/>
      <c r="O370" s="164" t="s">
        <v>201</v>
      </c>
      <c r="P370" s="165" t="s">
        <v>202</v>
      </c>
    </row>
    <row r="371" spans="3:16" ht="15.75" thickBot="1" x14ac:dyDescent="0.3">
      <c r="C371" s="83">
        <v>25</v>
      </c>
      <c r="D371" s="83">
        <v>19.899999999999999</v>
      </c>
      <c r="E371" s="83">
        <v>10</v>
      </c>
      <c r="F371" s="83" t="s">
        <v>214</v>
      </c>
      <c r="G371" s="83">
        <v>10</v>
      </c>
      <c r="H371" s="83" t="str">
        <f t="shared" si="16"/>
        <v xml:space="preserve"> Cu</v>
      </c>
      <c r="I371" s="83">
        <v>105</v>
      </c>
      <c r="J371" s="1016" t="s">
        <v>221</v>
      </c>
      <c r="K371" s="1017"/>
      <c r="L371" s="168"/>
      <c r="M371" s="168"/>
      <c r="N371" s="168"/>
      <c r="O371" s="168" t="s">
        <v>223</v>
      </c>
      <c r="P371" s="169" t="s">
        <v>224</v>
      </c>
    </row>
    <row r="372" spans="3:16" ht="15.75" thickBot="1" x14ac:dyDescent="0.3">
      <c r="C372" s="83">
        <v>25</v>
      </c>
      <c r="D372" s="83">
        <v>19.899999999999999</v>
      </c>
      <c r="E372" s="83">
        <v>10</v>
      </c>
      <c r="F372" s="83" t="s">
        <v>215</v>
      </c>
      <c r="G372" s="83">
        <v>25</v>
      </c>
      <c r="H372" s="83" t="str">
        <f t="shared" si="16"/>
        <v xml:space="preserve"> Al</v>
      </c>
      <c r="I372" s="83">
        <v>158</v>
      </c>
      <c r="J372" s="1019" t="s">
        <v>225</v>
      </c>
      <c r="K372" s="1020"/>
      <c r="L372" s="44"/>
      <c r="M372" s="44"/>
      <c r="N372" s="44"/>
      <c r="O372" s="44"/>
      <c r="P372" s="45"/>
    </row>
    <row r="373" spans="3:16" x14ac:dyDescent="0.25">
      <c r="C373" s="83">
        <v>25</v>
      </c>
      <c r="D373" s="83">
        <v>19.899999999999999</v>
      </c>
      <c r="E373" s="83">
        <v>10</v>
      </c>
      <c r="F373" s="83" t="s">
        <v>216</v>
      </c>
      <c r="G373" s="83">
        <v>50</v>
      </c>
      <c r="H373" s="83" t="str">
        <f t="shared" si="16"/>
        <v xml:space="preserve"> Al</v>
      </c>
      <c r="I373" s="83">
        <v>289</v>
      </c>
    </row>
    <row r="374" spans="3:16" x14ac:dyDescent="0.25">
      <c r="C374" s="83">
        <v>32</v>
      </c>
      <c r="D374" s="83">
        <v>19.899999999999999</v>
      </c>
      <c r="E374" s="83">
        <v>10</v>
      </c>
      <c r="F374" s="83" t="s">
        <v>214</v>
      </c>
      <c r="G374" s="83">
        <v>10</v>
      </c>
      <c r="H374" s="83" t="str">
        <f t="shared" si="16"/>
        <v xml:space="preserve"> Cu</v>
      </c>
      <c r="I374" s="83">
        <v>82</v>
      </c>
    </row>
    <row r="375" spans="3:16" x14ac:dyDescent="0.25">
      <c r="C375" s="83">
        <v>32</v>
      </c>
      <c r="D375" s="83">
        <v>19.899999999999999</v>
      </c>
      <c r="E375" s="83">
        <v>10</v>
      </c>
      <c r="F375" s="83" t="s">
        <v>215</v>
      </c>
      <c r="G375" s="83">
        <v>25</v>
      </c>
      <c r="H375" s="83" t="str">
        <f t="shared" si="16"/>
        <v xml:space="preserve"> Al</v>
      </c>
      <c r="I375" s="83">
        <v>124</v>
      </c>
    </row>
    <row r="376" spans="3:16" x14ac:dyDescent="0.25">
      <c r="C376" s="83">
        <v>32</v>
      </c>
      <c r="D376" s="83">
        <v>19.899999999999999</v>
      </c>
      <c r="E376" s="83">
        <v>10</v>
      </c>
      <c r="F376" s="83" t="s">
        <v>216</v>
      </c>
      <c r="G376" s="83">
        <v>50</v>
      </c>
      <c r="H376" s="83" t="str">
        <f t="shared" si="16"/>
        <v xml:space="preserve"> Al</v>
      </c>
      <c r="I376" s="83">
        <v>226</v>
      </c>
    </row>
    <row r="377" spans="3:16" x14ac:dyDescent="0.25">
      <c r="C377" s="83">
        <v>40</v>
      </c>
      <c r="D377" s="83">
        <v>19.899999999999999</v>
      </c>
      <c r="E377" s="83">
        <v>10</v>
      </c>
      <c r="F377" s="83" t="s">
        <v>226</v>
      </c>
      <c r="G377" s="83">
        <v>25</v>
      </c>
      <c r="H377" s="83" t="str">
        <f t="shared" si="16"/>
        <v xml:space="preserve"> Cu</v>
      </c>
      <c r="I377" s="83">
        <v>160</v>
      </c>
    </row>
    <row r="378" spans="3:16" x14ac:dyDescent="0.25">
      <c r="C378" s="83">
        <v>40</v>
      </c>
      <c r="D378" s="83">
        <v>19.899999999999999</v>
      </c>
      <c r="E378" s="83">
        <v>10</v>
      </c>
      <c r="F378" s="83" t="s">
        <v>215</v>
      </c>
      <c r="G378" s="83">
        <v>25</v>
      </c>
      <c r="H378" s="83" t="str">
        <f t="shared" si="16"/>
        <v xml:space="preserve"> Al</v>
      </c>
      <c r="I378" s="83">
        <v>99</v>
      </c>
    </row>
    <row r="379" spans="3:16" x14ac:dyDescent="0.25">
      <c r="C379" s="83">
        <v>40</v>
      </c>
      <c r="D379" s="83">
        <v>19.899999999999999</v>
      </c>
      <c r="E379" s="83">
        <v>10</v>
      </c>
      <c r="F379" s="83" t="s">
        <v>216</v>
      </c>
      <c r="G379" s="83">
        <v>50</v>
      </c>
      <c r="H379" s="83" t="str">
        <f t="shared" si="16"/>
        <v xml:space="preserve"> Al</v>
      </c>
      <c r="I379" s="83">
        <v>180</v>
      </c>
    </row>
    <row r="380" spans="3:16" x14ac:dyDescent="0.25">
      <c r="C380" s="83">
        <v>63</v>
      </c>
      <c r="D380" s="83">
        <v>19.899999999999999</v>
      </c>
      <c r="E380" s="83">
        <v>10</v>
      </c>
      <c r="F380" s="83" t="s">
        <v>216</v>
      </c>
      <c r="G380" s="83">
        <v>50</v>
      </c>
      <c r="H380" s="83" t="str">
        <f t="shared" si="16"/>
        <v xml:space="preserve"> Al</v>
      </c>
      <c r="I380" s="83">
        <v>114</v>
      </c>
    </row>
    <row r="381" spans="3:16" x14ac:dyDescent="0.25">
      <c r="C381" s="83">
        <v>80</v>
      </c>
      <c r="D381" s="83">
        <v>19.899999999999999</v>
      </c>
      <c r="E381" s="83">
        <v>10</v>
      </c>
      <c r="F381" s="83" t="s">
        <v>218</v>
      </c>
      <c r="G381" s="83">
        <v>95</v>
      </c>
      <c r="H381" s="83" t="str">
        <f t="shared" si="16"/>
        <v xml:space="preserve"> Al</v>
      </c>
      <c r="I381" s="83">
        <v>169</v>
      </c>
    </row>
    <row r="382" spans="3:16" x14ac:dyDescent="0.25">
      <c r="C382" s="83">
        <v>25</v>
      </c>
      <c r="D382" s="83">
        <v>19.899999999999999</v>
      </c>
      <c r="E382" s="83">
        <v>15</v>
      </c>
      <c r="F382" s="83" t="s">
        <v>212</v>
      </c>
      <c r="G382" s="83">
        <v>6</v>
      </c>
      <c r="H382" s="83" t="str">
        <f t="shared" si="16"/>
        <v>Cu</v>
      </c>
      <c r="I382" s="83">
        <v>63</v>
      </c>
    </row>
    <row r="383" spans="3:16" x14ac:dyDescent="0.25">
      <c r="C383" s="83">
        <v>25</v>
      </c>
      <c r="D383" s="83">
        <v>19.899999999999999</v>
      </c>
      <c r="E383" s="83">
        <v>15</v>
      </c>
      <c r="F383" s="83" t="s">
        <v>214</v>
      </c>
      <c r="G383" s="83">
        <v>10</v>
      </c>
      <c r="H383" s="83" t="str">
        <f t="shared" si="16"/>
        <v xml:space="preserve"> Cu</v>
      </c>
      <c r="I383" s="83">
        <v>105</v>
      </c>
    </row>
    <row r="384" spans="3:16" x14ac:dyDescent="0.25">
      <c r="C384" s="83">
        <v>25</v>
      </c>
      <c r="D384" s="83">
        <v>19.899999999999999</v>
      </c>
      <c r="E384" s="83">
        <v>15</v>
      </c>
      <c r="F384" s="83" t="s">
        <v>215</v>
      </c>
      <c r="G384" s="83">
        <v>25</v>
      </c>
      <c r="H384" s="83" t="str">
        <f t="shared" si="16"/>
        <v xml:space="preserve"> Al</v>
      </c>
      <c r="I384" s="83">
        <v>158</v>
      </c>
    </row>
    <row r="385" spans="3:16" x14ac:dyDescent="0.25">
      <c r="C385" s="83">
        <v>25</v>
      </c>
      <c r="D385" s="83">
        <v>19.899999999999999</v>
      </c>
      <c r="E385" s="83">
        <v>15</v>
      </c>
      <c r="F385" s="83" t="s">
        <v>216</v>
      </c>
      <c r="G385" s="83">
        <v>50</v>
      </c>
      <c r="H385" s="83" t="str">
        <f t="shared" si="16"/>
        <v xml:space="preserve"> Al</v>
      </c>
      <c r="I385" s="83">
        <v>289</v>
      </c>
    </row>
    <row r="386" spans="3:16" x14ac:dyDescent="0.25">
      <c r="C386" s="83">
        <v>32</v>
      </c>
      <c r="D386" s="83">
        <v>19.899999999999999</v>
      </c>
      <c r="E386" s="83">
        <v>15</v>
      </c>
      <c r="F386" s="83" t="s">
        <v>214</v>
      </c>
      <c r="G386" s="83">
        <v>10</v>
      </c>
      <c r="H386" s="83" t="str">
        <f t="shared" si="16"/>
        <v xml:space="preserve"> Cu</v>
      </c>
      <c r="I386" s="83">
        <v>82</v>
      </c>
    </row>
    <row r="387" spans="3:16" x14ac:dyDescent="0.25">
      <c r="C387" s="83">
        <v>32</v>
      </c>
      <c r="D387" s="83">
        <v>19.899999999999999</v>
      </c>
      <c r="E387" s="83">
        <v>15</v>
      </c>
      <c r="F387" s="83" t="s">
        <v>215</v>
      </c>
      <c r="G387" s="83">
        <v>25</v>
      </c>
      <c r="H387" s="83" t="str">
        <f t="shared" si="16"/>
        <v xml:space="preserve"> Al</v>
      </c>
      <c r="I387" s="83">
        <v>124</v>
      </c>
    </row>
    <row r="388" spans="3:16" x14ac:dyDescent="0.25">
      <c r="C388" s="83">
        <v>32</v>
      </c>
      <c r="D388" s="83">
        <v>19.899999999999999</v>
      </c>
      <c r="E388" s="83">
        <v>15</v>
      </c>
      <c r="F388" s="83" t="s">
        <v>216</v>
      </c>
      <c r="G388" s="83">
        <v>50</v>
      </c>
      <c r="H388" s="83" t="str">
        <f t="shared" si="16"/>
        <v xml:space="preserve"> Al</v>
      </c>
      <c r="I388" s="83">
        <v>226</v>
      </c>
    </row>
    <row r="389" spans="3:16" x14ac:dyDescent="0.25">
      <c r="C389" s="83">
        <v>40</v>
      </c>
      <c r="D389" s="83">
        <v>19.899999999999999</v>
      </c>
      <c r="E389" s="83">
        <v>15</v>
      </c>
      <c r="F389" s="83" t="s">
        <v>217</v>
      </c>
      <c r="G389" s="83">
        <v>16</v>
      </c>
      <c r="H389" s="83" t="str">
        <f t="shared" si="16"/>
        <v xml:space="preserve"> Cu</v>
      </c>
      <c r="I389" s="83">
        <v>160</v>
      </c>
    </row>
    <row r="390" spans="3:16" x14ac:dyDescent="0.25">
      <c r="C390" s="83">
        <v>40</v>
      </c>
      <c r="D390" s="83">
        <v>19.899999999999999</v>
      </c>
      <c r="E390" s="83">
        <v>15</v>
      </c>
      <c r="F390" s="83" t="s">
        <v>215</v>
      </c>
      <c r="G390" s="83">
        <v>25</v>
      </c>
      <c r="H390" s="83" t="str">
        <f t="shared" si="16"/>
        <v xml:space="preserve"> Al</v>
      </c>
      <c r="I390" s="83">
        <v>99</v>
      </c>
    </row>
    <row r="391" spans="3:16" x14ac:dyDescent="0.25">
      <c r="C391" s="83">
        <v>40</v>
      </c>
      <c r="D391" s="83">
        <v>19.899999999999999</v>
      </c>
      <c r="E391" s="83">
        <v>15</v>
      </c>
      <c r="F391" s="83" t="s">
        <v>216</v>
      </c>
      <c r="G391" s="83">
        <v>50</v>
      </c>
      <c r="H391" s="83" t="str">
        <f t="shared" si="16"/>
        <v xml:space="preserve"> Al</v>
      </c>
      <c r="I391" s="83">
        <v>180</v>
      </c>
    </row>
    <row r="392" spans="3:16" x14ac:dyDescent="0.25">
      <c r="C392" s="83">
        <v>63</v>
      </c>
      <c r="D392" s="83">
        <v>19.899999999999999</v>
      </c>
      <c r="E392" s="83">
        <v>15</v>
      </c>
      <c r="F392" s="83" t="s">
        <v>216</v>
      </c>
      <c r="G392" s="83">
        <v>50</v>
      </c>
      <c r="H392" s="83" t="str">
        <f t="shared" si="16"/>
        <v xml:space="preserve"> Al</v>
      </c>
      <c r="I392" s="83">
        <v>114</v>
      </c>
    </row>
    <row r="393" spans="3:16" x14ac:dyDescent="0.25">
      <c r="C393" s="83">
        <v>80</v>
      </c>
      <c r="D393" s="83">
        <v>19.899999999999999</v>
      </c>
      <c r="E393" s="83">
        <v>15</v>
      </c>
      <c r="F393" s="83" t="s">
        <v>218</v>
      </c>
      <c r="G393" s="83">
        <v>95</v>
      </c>
      <c r="H393" s="83" t="str">
        <f t="shared" si="16"/>
        <v xml:space="preserve"> Al</v>
      </c>
      <c r="I393" s="83">
        <v>169</v>
      </c>
    </row>
    <row r="394" spans="3:16" ht="15.75" thickBot="1" x14ac:dyDescent="0.3">
      <c r="C394" s="181" t="s">
        <v>206</v>
      </c>
      <c r="D394" s="181" t="s">
        <v>207</v>
      </c>
      <c r="E394" s="181" t="s">
        <v>208</v>
      </c>
      <c r="F394" s="181" t="s">
        <v>211</v>
      </c>
      <c r="G394" s="170" t="s">
        <v>229</v>
      </c>
      <c r="H394" s="170" t="s">
        <v>230</v>
      </c>
      <c r="I394" s="181" t="s">
        <v>210</v>
      </c>
    </row>
    <row r="395" spans="3:16" x14ac:dyDescent="0.25">
      <c r="C395" s="83">
        <v>25</v>
      </c>
      <c r="D395" s="83">
        <v>19.899999999999999</v>
      </c>
      <c r="E395" s="83">
        <v>10</v>
      </c>
      <c r="F395" s="83" t="s">
        <v>212</v>
      </c>
      <c r="G395" s="83">
        <v>6</v>
      </c>
      <c r="H395" s="83" t="str">
        <f t="shared" ref="H395:H418" si="17">MID(F395,6,3)</f>
        <v>Cu</v>
      </c>
      <c r="I395" s="83">
        <v>109</v>
      </c>
      <c r="J395" s="1012" t="s">
        <v>220</v>
      </c>
      <c r="K395" s="1018"/>
      <c r="L395" s="1012" t="s">
        <v>200</v>
      </c>
      <c r="M395" s="1013"/>
      <c r="N395" s="164"/>
      <c r="O395" s="164" t="s">
        <v>201</v>
      </c>
      <c r="P395" s="165" t="s">
        <v>202</v>
      </c>
    </row>
    <row r="396" spans="3:16" ht="15.75" thickBot="1" x14ac:dyDescent="0.3">
      <c r="C396" s="83">
        <v>25</v>
      </c>
      <c r="D396" s="83">
        <v>19.899999999999999</v>
      </c>
      <c r="E396" s="83">
        <v>10</v>
      </c>
      <c r="F396" s="83" t="s">
        <v>214</v>
      </c>
      <c r="G396" s="83">
        <v>10</v>
      </c>
      <c r="H396" s="83" t="str">
        <f t="shared" si="17"/>
        <v xml:space="preserve"> Cu</v>
      </c>
      <c r="I396" s="83">
        <v>181</v>
      </c>
      <c r="J396" s="1016" t="s">
        <v>221</v>
      </c>
      <c r="K396" s="1017"/>
      <c r="L396" s="168"/>
      <c r="M396" s="168"/>
      <c r="N396" s="168"/>
      <c r="O396" s="168" t="s">
        <v>223</v>
      </c>
      <c r="P396" s="169" t="s">
        <v>224</v>
      </c>
    </row>
    <row r="397" spans="3:16" ht="15.75" thickBot="1" x14ac:dyDescent="0.3">
      <c r="C397" s="83">
        <v>25</v>
      </c>
      <c r="D397" s="83">
        <v>19.899999999999999</v>
      </c>
      <c r="E397" s="83">
        <v>10</v>
      </c>
      <c r="F397" s="83" t="s">
        <v>215</v>
      </c>
      <c r="G397" s="83">
        <v>25</v>
      </c>
      <c r="H397" s="83" t="str">
        <f t="shared" si="17"/>
        <v xml:space="preserve"> Al</v>
      </c>
      <c r="I397" s="175">
        <v>271</v>
      </c>
      <c r="J397" s="1019" t="s">
        <v>225</v>
      </c>
      <c r="K397" s="1020"/>
      <c r="L397" s="44"/>
      <c r="M397" s="44"/>
      <c r="N397" s="44"/>
      <c r="O397" s="44"/>
      <c r="P397" s="45"/>
    </row>
    <row r="398" spans="3:16" x14ac:dyDescent="0.25">
      <c r="C398" s="83">
        <v>25</v>
      </c>
      <c r="D398" s="83">
        <v>19.899999999999999</v>
      </c>
      <c r="E398" s="83">
        <v>10</v>
      </c>
      <c r="F398" s="83" t="s">
        <v>216</v>
      </c>
      <c r="G398" s="83">
        <v>50</v>
      </c>
      <c r="H398" s="83" t="str">
        <f t="shared" si="17"/>
        <v xml:space="preserve"> Al</v>
      </c>
      <c r="I398" s="83">
        <v>490</v>
      </c>
    </row>
    <row r="399" spans="3:16" x14ac:dyDescent="0.25">
      <c r="C399" s="83">
        <v>32</v>
      </c>
      <c r="D399" s="83">
        <v>19.899999999999999</v>
      </c>
      <c r="E399" s="83">
        <v>10</v>
      </c>
      <c r="F399" s="83" t="s">
        <v>214</v>
      </c>
      <c r="G399" s="83">
        <v>10</v>
      </c>
      <c r="H399" s="83" t="str">
        <f t="shared" si="17"/>
        <v xml:space="preserve"> Cu</v>
      </c>
      <c r="I399" s="175">
        <v>140</v>
      </c>
    </row>
    <row r="400" spans="3:16" x14ac:dyDescent="0.25">
      <c r="C400" s="83">
        <v>32</v>
      </c>
      <c r="D400" s="83">
        <v>19.899999999999999</v>
      </c>
      <c r="E400" s="83">
        <v>10</v>
      </c>
      <c r="F400" s="83" t="s">
        <v>215</v>
      </c>
      <c r="G400" s="83">
        <v>25</v>
      </c>
      <c r="H400" s="83" t="str">
        <f t="shared" si="17"/>
        <v xml:space="preserve"> Al</v>
      </c>
      <c r="I400" s="83">
        <v>214</v>
      </c>
    </row>
    <row r="401" spans="3:9" x14ac:dyDescent="0.25">
      <c r="C401" s="83">
        <v>32</v>
      </c>
      <c r="D401" s="83">
        <v>19.899999999999999</v>
      </c>
      <c r="E401" s="83">
        <v>10</v>
      </c>
      <c r="F401" s="83" t="s">
        <v>216</v>
      </c>
      <c r="G401" s="83">
        <v>50</v>
      </c>
      <c r="H401" s="83" t="str">
        <f t="shared" si="17"/>
        <v xml:space="preserve"> Al</v>
      </c>
      <c r="I401" s="83">
        <v>390</v>
      </c>
    </row>
    <row r="402" spans="3:9" x14ac:dyDescent="0.25">
      <c r="C402" s="83">
        <v>40</v>
      </c>
      <c r="D402" s="83">
        <v>19.899999999999999</v>
      </c>
      <c r="E402" s="83">
        <v>10</v>
      </c>
      <c r="F402" s="83" t="s">
        <v>226</v>
      </c>
      <c r="G402" s="83">
        <v>25</v>
      </c>
      <c r="H402" s="83" t="str">
        <f t="shared" si="17"/>
        <v xml:space="preserve"> Cu</v>
      </c>
      <c r="I402" s="83">
        <v>179</v>
      </c>
    </row>
    <row r="403" spans="3:9" x14ac:dyDescent="0.25">
      <c r="C403" s="83">
        <v>40</v>
      </c>
      <c r="D403" s="83">
        <v>19.899999999999999</v>
      </c>
      <c r="E403" s="83">
        <v>10</v>
      </c>
      <c r="F403" s="83" t="s">
        <v>215</v>
      </c>
      <c r="G403" s="83">
        <v>25</v>
      </c>
      <c r="H403" s="83" t="str">
        <f t="shared" si="17"/>
        <v xml:space="preserve"> Al</v>
      </c>
      <c r="I403" s="83">
        <v>170</v>
      </c>
    </row>
    <row r="404" spans="3:9" x14ac:dyDescent="0.25">
      <c r="C404" s="83">
        <v>40</v>
      </c>
      <c r="D404" s="83">
        <v>19.899999999999999</v>
      </c>
      <c r="E404" s="83">
        <v>10</v>
      </c>
      <c r="F404" s="83" t="s">
        <v>216</v>
      </c>
      <c r="G404" s="83">
        <v>50</v>
      </c>
      <c r="H404" s="83" t="str">
        <f t="shared" si="17"/>
        <v xml:space="preserve"> Al</v>
      </c>
      <c r="I404" s="83">
        <v>310</v>
      </c>
    </row>
    <row r="405" spans="3:9" x14ac:dyDescent="0.25">
      <c r="C405" s="83">
        <v>63</v>
      </c>
      <c r="D405" s="83">
        <v>19.899999999999999</v>
      </c>
      <c r="E405" s="83">
        <v>10</v>
      </c>
      <c r="F405" s="83" t="s">
        <v>216</v>
      </c>
      <c r="G405" s="83">
        <v>50</v>
      </c>
      <c r="H405" s="83" t="str">
        <f t="shared" si="17"/>
        <v xml:space="preserve"> Al</v>
      </c>
      <c r="I405" s="83">
        <v>195</v>
      </c>
    </row>
    <row r="406" spans="3:9" x14ac:dyDescent="0.25">
      <c r="C406" s="83">
        <v>80</v>
      </c>
      <c r="D406" s="83">
        <v>19.899999999999999</v>
      </c>
      <c r="E406" s="83">
        <v>10</v>
      </c>
      <c r="F406" s="83" t="s">
        <v>218</v>
      </c>
      <c r="G406" s="83">
        <v>95</v>
      </c>
      <c r="H406" s="83" t="str">
        <f t="shared" si="17"/>
        <v xml:space="preserve"> Al</v>
      </c>
      <c r="I406" s="83">
        <v>290</v>
      </c>
    </row>
    <row r="407" spans="3:9" x14ac:dyDescent="0.25">
      <c r="C407" s="83">
        <v>25</v>
      </c>
      <c r="D407" s="83">
        <v>19.899999999999999</v>
      </c>
      <c r="E407" s="83">
        <v>15</v>
      </c>
      <c r="F407" s="83" t="s">
        <v>212</v>
      </c>
      <c r="G407" s="83">
        <v>6</v>
      </c>
      <c r="H407" s="83" t="str">
        <f t="shared" si="17"/>
        <v>Cu</v>
      </c>
      <c r="I407" s="83">
        <v>109</v>
      </c>
    </row>
    <row r="408" spans="3:9" x14ac:dyDescent="0.25">
      <c r="C408" s="83">
        <v>25</v>
      </c>
      <c r="D408" s="83">
        <v>19.899999999999999</v>
      </c>
      <c r="E408" s="83">
        <v>15</v>
      </c>
      <c r="F408" s="83" t="s">
        <v>214</v>
      </c>
      <c r="G408" s="83">
        <v>10</v>
      </c>
      <c r="H408" s="83" t="str">
        <f t="shared" si="17"/>
        <v xml:space="preserve"> Cu</v>
      </c>
      <c r="I408" s="83">
        <v>183</v>
      </c>
    </row>
    <row r="409" spans="3:9" x14ac:dyDescent="0.25">
      <c r="C409" s="83">
        <v>25</v>
      </c>
      <c r="D409" s="83">
        <v>19.899999999999999</v>
      </c>
      <c r="E409" s="83">
        <v>15</v>
      </c>
      <c r="F409" s="83" t="s">
        <v>215</v>
      </c>
      <c r="G409" s="83">
        <v>25</v>
      </c>
      <c r="H409" s="83" t="str">
        <f t="shared" si="17"/>
        <v xml:space="preserve"> Al</v>
      </c>
      <c r="I409" s="83">
        <v>271</v>
      </c>
    </row>
    <row r="410" spans="3:9" x14ac:dyDescent="0.25">
      <c r="C410" s="83">
        <v>25</v>
      </c>
      <c r="D410" s="83">
        <v>19.899999999999999</v>
      </c>
      <c r="E410" s="83">
        <v>15</v>
      </c>
      <c r="F410" s="83" t="s">
        <v>216</v>
      </c>
      <c r="G410" s="83">
        <v>50</v>
      </c>
      <c r="H410" s="83" t="str">
        <f t="shared" si="17"/>
        <v xml:space="preserve"> Al</v>
      </c>
      <c r="I410" s="83">
        <v>500</v>
      </c>
    </row>
    <row r="411" spans="3:9" x14ac:dyDescent="0.25">
      <c r="C411" s="83">
        <v>32</v>
      </c>
      <c r="D411" s="83">
        <v>19.899999999999999</v>
      </c>
      <c r="E411" s="83">
        <v>15</v>
      </c>
      <c r="F411" s="83" t="s">
        <v>214</v>
      </c>
      <c r="G411" s="83">
        <v>10</v>
      </c>
      <c r="H411" s="83" t="str">
        <f t="shared" si="17"/>
        <v xml:space="preserve"> Cu</v>
      </c>
      <c r="I411" s="83">
        <v>140</v>
      </c>
    </row>
    <row r="412" spans="3:9" x14ac:dyDescent="0.25">
      <c r="C412" s="83">
        <v>32</v>
      </c>
      <c r="D412" s="83">
        <v>19.899999999999999</v>
      </c>
      <c r="E412" s="83">
        <v>15</v>
      </c>
      <c r="F412" s="83" t="s">
        <v>215</v>
      </c>
      <c r="G412" s="83">
        <v>25</v>
      </c>
      <c r="H412" s="83" t="str">
        <f t="shared" si="17"/>
        <v xml:space="preserve"> Al</v>
      </c>
      <c r="I412" s="83">
        <v>215</v>
      </c>
    </row>
    <row r="413" spans="3:9" x14ac:dyDescent="0.25">
      <c r="C413" s="83">
        <v>32</v>
      </c>
      <c r="D413" s="83">
        <v>19.899999999999999</v>
      </c>
      <c r="E413" s="83">
        <v>15</v>
      </c>
      <c r="F413" s="83" t="s">
        <v>216</v>
      </c>
      <c r="G413" s="83">
        <v>50</v>
      </c>
      <c r="H413" s="83" t="str">
        <f t="shared" si="17"/>
        <v xml:space="preserve"> Al</v>
      </c>
      <c r="I413" s="83">
        <v>390</v>
      </c>
    </row>
    <row r="414" spans="3:9" x14ac:dyDescent="0.25">
      <c r="C414" s="83">
        <v>40</v>
      </c>
      <c r="D414" s="83">
        <v>19.899999999999999</v>
      </c>
      <c r="E414" s="83">
        <v>15</v>
      </c>
      <c r="F414" s="83" t="s">
        <v>217</v>
      </c>
      <c r="G414" s="83">
        <v>16</v>
      </c>
      <c r="H414" s="83" t="str">
        <f t="shared" si="17"/>
        <v xml:space="preserve"> Cu</v>
      </c>
      <c r="I414" s="83">
        <v>180</v>
      </c>
    </row>
    <row r="415" spans="3:9" x14ac:dyDescent="0.25">
      <c r="C415" s="83">
        <v>40</v>
      </c>
      <c r="D415" s="83">
        <v>19.899999999999999</v>
      </c>
      <c r="E415" s="83">
        <v>15</v>
      </c>
      <c r="F415" s="83" t="s">
        <v>215</v>
      </c>
      <c r="G415" s="83">
        <v>25</v>
      </c>
      <c r="H415" s="83" t="str">
        <f t="shared" si="17"/>
        <v xml:space="preserve"> Al</v>
      </c>
      <c r="I415" s="83">
        <v>172</v>
      </c>
    </row>
    <row r="416" spans="3:9" x14ac:dyDescent="0.25">
      <c r="C416" s="83">
        <v>40</v>
      </c>
      <c r="D416" s="83">
        <v>19.899999999999999</v>
      </c>
      <c r="E416" s="83">
        <v>15</v>
      </c>
      <c r="F416" s="83" t="s">
        <v>216</v>
      </c>
      <c r="G416" s="83">
        <v>50</v>
      </c>
      <c r="H416" s="83" t="str">
        <f t="shared" si="17"/>
        <v xml:space="preserve"> Al</v>
      </c>
      <c r="I416" s="83">
        <v>314</v>
      </c>
    </row>
    <row r="417" spans="3:9" x14ac:dyDescent="0.25">
      <c r="C417" s="83">
        <v>63</v>
      </c>
      <c r="D417" s="83">
        <v>19.899999999999999</v>
      </c>
      <c r="E417" s="83">
        <v>15</v>
      </c>
      <c r="F417" s="83" t="s">
        <v>216</v>
      </c>
      <c r="G417" s="83">
        <v>50</v>
      </c>
      <c r="H417" s="83" t="str">
        <f t="shared" si="17"/>
        <v xml:space="preserve"> Al</v>
      </c>
      <c r="I417" s="83">
        <v>199</v>
      </c>
    </row>
    <row r="418" spans="3:9" x14ac:dyDescent="0.25">
      <c r="C418" s="83">
        <v>80</v>
      </c>
      <c r="D418" s="83">
        <v>19.899999999999999</v>
      </c>
      <c r="E418" s="83">
        <v>15</v>
      </c>
      <c r="F418" s="83" t="s">
        <v>218</v>
      </c>
      <c r="G418" s="83">
        <v>95</v>
      </c>
      <c r="H418" s="83" t="str">
        <f t="shared" si="17"/>
        <v xml:space="preserve"> Al</v>
      </c>
      <c r="I418" s="83">
        <v>297</v>
      </c>
    </row>
  </sheetData>
  <mergeCells count="44">
    <mergeCell ref="J396:K396"/>
    <mergeCell ref="J397:K397"/>
    <mergeCell ref="J370:K370"/>
    <mergeCell ref="L370:M370"/>
    <mergeCell ref="J371:K371"/>
    <mergeCell ref="J372:K372"/>
    <mergeCell ref="J395:K395"/>
    <mergeCell ref="L395:M395"/>
    <mergeCell ref="J226:K226"/>
    <mergeCell ref="J227:K227"/>
    <mergeCell ref="J294:K294"/>
    <mergeCell ref="J295:K295"/>
    <mergeCell ref="J296:K296"/>
    <mergeCell ref="J165:K165"/>
    <mergeCell ref="L165:M165"/>
    <mergeCell ref="J166:K166"/>
    <mergeCell ref="J167:K167"/>
    <mergeCell ref="J225:K225"/>
    <mergeCell ref="AI1:AJ1"/>
    <mergeCell ref="J100:K100"/>
    <mergeCell ref="L100:M100"/>
    <mergeCell ref="J101:K101"/>
    <mergeCell ref="J102:K102"/>
    <mergeCell ref="Q2:R2"/>
    <mergeCell ref="Q1:R1"/>
    <mergeCell ref="Y3:Z3"/>
    <mergeCell ref="Y2:Z2"/>
    <mergeCell ref="Y1:Z1"/>
    <mergeCell ref="AQ1:AR1"/>
    <mergeCell ref="A3:B3"/>
    <mergeCell ref="A2:B2"/>
    <mergeCell ref="A1:B1"/>
    <mergeCell ref="AG3:AH3"/>
    <mergeCell ref="AG2:AH2"/>
    <mergeCell ref="AG1:AH1"/>
    <mergeCell ref="I1:J1"/>
    <mergeCell ref="I2:J2"/>
    <mergeCell ref="I3:J3"/>
    <mergeCell ref="C1:D1"/>
    <mergeCell ref="K1:L1"/>
    <mergeCell ref="AO3:AP3"/>
    <mergeCell ref="AO2:AP2"/>
    <mergeCell ref="AO1:AP1"/>
    <mergeCell ref="Q3:R3"/>
  </mergeCell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0F8A-F693-420E-80FB-C9AE1068851A}">
  <dimension ref="A1:AL117"/>
  <sheetViews>
    <sheetView workbookViewId="0">
      <selection activeCell="B24" sqref="B24"/>
    </sheetView>
  </sheetViews>
  <sheetFormatPr defaultColWidth="9.140625" defaultRowHeight="15" x14ac:dyDescent="0.25"/>
  <cols>
    <col min="1" max="1" width="25.85546875" bestFit="1" customWidth="1"/>
    <col min="2" max="2" width="8.42578125" bestFit="1" customWidth="1"/>
    <col min="3" max="3" width="21.5703125" bestFit="1" customWidth="1"/>
    <col min="4" max="4" width="11.28515625" bestFit="1" customWidth="1"/>
    <col min="5" max="5" width="10.140625" bestFit="1" customWidth="1"/>
    <col min="6" max="6" width="15.85546875" bestFit="1" customWidth="1"/>
    <col min="8" max="8" width="8.42578125" bestFit="1" customWidth="1"/>
    <col min="9" max="9" width="12.42578125" bestFit="1" customWidth="1"/>
    <col min="10" max="10" width="11.28515625" bestFit="1" customWidth="1"/>
    <col min="11" max="11" width="10.140625" bestFit="1" customWidth="1"/>
    <col min="12" max="12" width="15.85546875" bestFit="1" customWidth="1"/>
    <col min="14" max="14" width="8.42578125" bestFit="1" customWidth="1"/>
    <col min="15" max="15" width="12.42578125" bestFit="1" customWidth="1"/>
    <col min="16" max="16" width="11.28515625" bestFit="1" customWidth="1"/>
    <col min="17" max="17" width="10.140625" bestFit="1" customWidth="1"/>
    <col min="18" max="18" width="15.85546875" bestFit="1" customWidth="1"/>
    <col min="21" max="21" width="25.85546875" bestFit="1" customWidth="1"/>
    <col min="22" max="22" width="8.42578125" bestFit="1" customWidth="1"/>
    <col min="23" max="23" width="21.5703125" bestFit="1" customWidth="1"/>
    <col min="24" max="24" width="11.28515625" bestFit="1" customWidth="1"/>
    <col min="25" max="25" width="10.140625" bestFit="1" customWidth="1"/>
    <col min="26" max="26" width="15.85546875" bestFit="1" customWidth="1"/>
    <col min="28" max="28" width="8.42578125" bestFit="1" customWidth="1"/>
    <col min="29" max="29" width="12.42578125" bestFit="1" customWidth="1"/>
    <col min="30" max="30" width="11.28515625" bestFit="1" customWidth="1"/>
    <col min="31" max="31" width="10.140625" bestFit="1" customWidth="1"/>
    <col min="32" max="32" width="15.85546875" bestFit="1" customWidth="1"/>
    <col min="34" max="34" width="8.42578125" bestFit="1" customWidth="1"/>
    <col min="35" max="35" width="12.42578125" bestFit="1" customWidth="1"/>
    <col min="36" max="36" width="11.28515625" bestFit="1" customWidth="1"/>
    <col min="37" max="37" width="10.140625" bestFit="1" customWidth="1"/>
    <col min="38" max="38" width="15.85546875" bestFit="1" customWidth="1"/>
  </cols>
  <sheetData>
    <row r="1" spans="1:38" ht="15.75" thickBot="1" x14ac:dyDescent="0.3">
      <c r="A1" s="162" t="s">
        <v>199</v>
      </c>
      <c r="C1" s="163" t="s">
        <v>200</v>
      </c>
      <c r="D1" s="164" t="s">
        <v>201</v>
      </c>
      <c r="E1" s="165" t="s">
        <v>202</v>
      </c>
      <c r="U1" s="162" t="s">
        <v>220</v>
      </c>
      <c r="W1" s="163" t="s">
        <v>200</v>
      </c>
      <c r="X1" s="164" t="s">
        <v>201</v>
      </c>
      <c r="Y1" s="165" t="s">
        <v>202</v>
      </c>
    </row>
    <row r="2" spans="1:38" ht="15.75" thickBot="1" x14ac:dyDescent="0.3">
      <c r="A2" s="166" t="s">
        <v>203</v>
      </c>
      <c r="C2" s="167"/>
      <c r="D2" s="168" t="s">
        <v>204</v>
      </c>
      <c r="E2" s="169" t="s">
        <v>205</v>
      </c>
      <c r="U2" s="172" t="s">
        <v>221</v>
      </c>
      <c r="W2" s="167"/>
      <c r="X2" s="168" t="s">
        <v>204</v>
      </c>
      <c r="Y2" s="169" t="s">
        <v>205</v>
      </c>
    </row>
    <row r="3" spans="1:38" ht="15.75" thickBot="1" x14ac:dyDescent="0.3">
      <c r="A3" s="171" t="s">
        <v>219</v>
      </c>
      <c r="U3" s="173" t="s">
        <v>219</v>
      </c>
    </row>
    <row r="4" spans="1:38" x14ac:dyDescent="0.25">
      <c r="B4" s="170" t="s">
        <v>206</v>
      </c>
      <c r="C4" s="170" t="s">
        <v>207</v>
      </c>
      <c r="D4" s="170" t="s">
        <v>208</v>
      </c>
      <c r="E4" s="170" t="s">
        <v>209</v>
      </c>
      <c r="F4" s="170" t="s">
        <v>210</v>
      </c>
      <c r="H4" s="170" t="s">
        <v>206</v>
      </c>
      <c r="I4" s="170" t="s">
        <v>207</v>
      </c>
      <c r="J4" s="170" t="s">
        <v>208</v>
      </c>
      <c r="K4" s="170" t="s">
        <v>211</v>
      </c>
      <c r="L4" s="170" t="s">
        <v>210</v>
      </c>
      <c r="N4" s="170" t="s">
        <v>206</v>
      </c>
      <c r="O4" s="170" t="s">
        <v>207</v>
      </c>
      <c r="P4" s="170" t="s">
        <v>208</v>
      </c>
      <c r="Q4" s="170" t="s">
        <v>211</v>
      </c>
      <c r="R4" s="170" t="s">
        <v>210</v>
      </c>
      <c r="V4" s="170" t="s">
        <v>206</v>
      </c>
      <c r="W4" s="170" t="s">
        <v>207</v>
      </c>
      <c r="X4" s="170" t="s">
        <v>208</v>
      </c>
      <c r="Y4" s="170" t="s">
        <v>209</v>
      </c>
      <c r="Z4" s="170" t="s">
        <v>210</v>
      </c>
      <c r="AB4" s="170" t="s">
        <v>206</v>
      </c>
      <c r="AC4" s="170" t="s">
        <v>207</v>
      </c>
      <c r="AD4" s="170" t="s">
        <v>208</v>
      </c>
      <c r="AE4" s="170" t="s">
        <v>211</v>
      </c>
      <c r="AF4" s="170" t="s">
        <v>210</v>
      </c>
      <c r="AH4" s="170" t="s">
        <v>206</v>
      </c>
      <c r="AI4" s="170" t="s">
        <v>207</v>
      </c>
      <c r="AJ4" s="170" t="s">
        <v>208</v>
      </c>
      <c r="AK4" s="170" t="s">
        <v>211</v>
      </c>
      <c r="AL4" s="170" t="s">
        <v>210</v>
      </c>
    </row>
    <row r="5" spans="1:38" x14ac:dyDescent="0.25">
      <c r="B5" s="26"/>
      <c r="C5" s="26"/>
      <c r="D5" s="26"/>
      <c r="F5" s="26"/>
      <c r="H5" s="26"/>
      <c r="I5" s="26"/>
      <c r="J5" s="26"/>
      <c r="K5" s="26"/>
      <c r="L5" s="26"/>
      <c r="N5" s="26"/>
      <c r="O5" s="26"/>
      <c r="P5" s="26"/>
      <c r="Q5" s="26"/>
      <c r="R5" s="83"/>
      <c r="V5" s="26"/>
      <c r="W5" s="26"/>
      <c r="X5" s="26"/>
      <c r="Z5" s="26"/>
      <c r="AB5" s="26"/>
      <c r="AC5" s="26"/>
      <c r="AD5" s="26"/>
      <c r="AE5" s="26"/>
      <c r="AF5" s="26"/>
      <c r="AH5" s="26"/>
      <c r="AI5" s="26"/>
      <c r="AJ5" s="26"/>
      <c r="AK5" s="26"/>
      <c r="AL5" s="83"/>
    </row>
    <row r="6" spans="1:38" x14ac:dyDescent="0.25">
      <c r="B6" s="83">
        <v>25</v>
      </c>
      <c r="C6" s="83">
        <v>9.9</v>
      </c>
      <c r="D6" s="83">
        <v>0.25</v>
      </c>
      <c r="E6" s="83" t="s">
        <v>212</v>
      </c>
      <c r="F6" s="83">
        <v>15</v>
      </c>
      <c r="H6" s="83">
        <v>25</v>
      </c>
      <c r="I6" s="83">
        <v>9.9</v>
      </c>
      <c r="J6" s="83">
        <v>0.5</v>
      </c>
      <c r="K6" s="83" t="s">
        <v>213</v>
      </c>
      <c r="L6" s="83">
        <v>43</v>
      </c>
      <c r="N6" s="83">
        <v>25</v>
      </c>
      <c r="O6" s="83">
        <v>9.9</v>
      </c>
      <c r="P6" s="83">
        <v>1</v>
      </c>
      <c r="Q6" s="83" t="s">
        <v>213</v>
      </c>
      <c r="R6" s="83">
        <v>57</v>
      </c>
      <c r="V6" s="83">
        <v>25</v>
      </c>
      <c r="W6" s="83">
        <v>9.9</v>
      </c>
      <c r="X6" s="83">
        <v>0.25</v>
      </c>
      <c r="Y6" s="83" t="s">
        <v>212</v>
      </c>
      <c r="Z6" s="83">
        <v>52</v>
      </c>
      <c r="AB6" s="83">
        <v>25</v>
      </c>
      <c r="AC6" s="83">
        <v>9.9</v>
      </c>
      <c r="AD6" s="83">
        <v>0.5</v>
      </c>
      <c r="AE6" s="83" t="s">
        <v>213</v>
      </c>
      <c r="AF6" s="83">
        <v>75</v>
      </c>
      <c r="AH6" s="83">
        <v>25</v>
      </c>
      <c r="AI6" s="83">
        <v>9.9</v>
      </c>
      <c r="AJ6" s="83">
        <v>1</v>
      </c>
      <c r="AK6" s="83" t="s">
        <v>213</v>
      </c>
      <c r="AL6" s="83">
        <v>78</v>
      </c>
    </row>
    <row r="7" spans="1:38" x14ac:dyDescent="0.25">
      <c r="B7" s="83"/>
      <c r="C7" s="83"/>
      <c r="D7" s="83"/>
      <c r="E7" s="83" t="s">
        <v>214</v>
      </c>
      <c r="F7" s="83">
        <v>25</v>
      </c>
      <c r="H7" s="83"/>
      <c r="I7" s="83"/>
      <c r="J7" s="83"/>
      <c r="K7" s="83" t="s">
        <v>214</v>
      </c>
      <c r="L7" s="83">
        <v>73</v>
      </c>
      <c r="N7" s="83"/>
      <c r="O7" s="83"/>
      <c r="P7" s="83"/>
      <c r="Q7" s="83" t="s">
        <v>214</v>
      </c>
      <c r="R7" s="83">
        <v>95</v>
      </c>
      <c r="V7" s="83"/>
      <c r="W7" s="83"/>
      <c r="X7" s="83"/>
      <c r="Y7" s="83" t="s">
        <v>214</v>
      </c>
      <c r="Z7" s="83">
        <v>86</v>
      </c>
      <c r="AB7" s="83"/>
      <c r="AC7" s="83"/>
      <c r="AD7" s="83"/>
      <c r="AE7" s="83" t="s">
        <v>214</v>
      </c>
      <c r="AF7" s="83">
        <v>127</v>
      </c>
      <c r="AH7" s="83"/>
      <c r="AI7" s="83"/>
      <c r="AJ7" s="83"/>
      <c r="AK7" s="83" t="s">
        <v>214</v>
      </c>
      <c r="AL7" s="83">
        <v>132</v>
      </c>
    </row>
    <row r="8" spans="1:38" x14ac:dyDescent="0.25">
      <c r="B8" s="83"/>
      <c r="C8" s="83"/>
      <c r="D8" s="83"/>
      <c r="E8" s="83" t="s">
        <v>215</v>
      </c>
      <c r="F8" s="83">
        <v>38</v>
      </c>
      <c r="H8" s="83"/>
      <c r="I8" s="83"/>
      <c r="J8" s="83"/>
      <c r="K8" s="83" t="s">
        <v>215</v>
      </c>
      <c r="L8" s="83">
        <v>110</v>
      </c>
      <c r="N8" s="83"/>
      <c r="O8" s="83"/>
      <c r="P8" s="83"/>
      <c r="Q8" s="83" t="s">
        <v>215</v>
      </c>
      <c r="R8" s="83">
        <v>145</v>
      </c>
      <c r="V8" s="83"/>
      <c r="W8" s="83"/>
      <c r="X8" s="83"/>
      <c r="Y8" s="83" t="s">
        <v>215</v>
      </c>
      <c r="Z8" s="83">
        <v>132</v>
      </c>
      <c r="AB8" s="83"/>
      <c r="AC8" s="83"/>
      <c r="AD8" s="83"/>
      <c r="AE8" s="83" t="s">
        <v>215</v>
      </c>
      <c r="AF8" s="83">
        <v>199</v>
      </c>
      <c r="AH8" s="83"/>
      <c r="AI8" s="83"/>
      <c r="AJ8" s="83"/>
      <c r="AK8" s="83" t="s">
        <v>215</v>
      </c>
      <c r="AL8" s="83">
        <v>199</v>
      </c>
    </row>
    <row r="9" spans="1:38" x14ac:dyDescent="0.25">
      <c r="B9" s="83"/>
      <c r="C9" s="83"/>
      <c r="D9" s="83"/>
      <c r="E9" s="83" t="s">
        <v>216</v>
      </c>
      <c r="F9" s="83">
        <v>69</v>
      </c>
      <c r="H9" s="83"/>
      <c r="I9" s="83"/>
      <c r="J9" s="83"/>
      <c r="K9" s="83" t="s">
        <v>216</v>
      </c>
      <c r="L9" s="83">
        <v>204</v>
      </c>
      <c r="N9" s="83"/>
      <c r="O9" s="83"/>
      <c r="P9" s="83"/>
      <c r="Q9" s="83" t="s">
        <v>216</v>
      </c>
      <c r="R9" s="83">
        <v>270</v>
      </c>
      <c r="V9" s="83"/>
      <c r="W9" s="83"/>
      <c r="X9" s="83"/>
      <c r="Y9" s="83" t="s">
        <v>216</v>
      </c>
      <c r="Z9" s="83">
        <v>241</v>
      </c>
      <c r="AB9" s="83"/>
      <c r="AC9" s="83"/>
      <c r="AD9" s="83"/>
      <c r="AE9" s="83" t="s">
        <v>216</v>
      </c>
      <c r="AF9" s="83">
        <v>368</v>
      </c>
      <c r="AH9" s="83"/>
      <c r="AI9" s="83"/>
      <c r="AJ9" s="83"/>
      <c r="AK9" s="83" t="s">
        <v>216</v>
      </c>
      <c r="AL9" s="83">
        <v>368</v>
      </c>
    </row>
    <row r="10" spans="1:38" x14ac:dyDescent="0.25">
      <c r="H10" s="26"/>
      <c r="I10" s="26"/>
      <c r="J10" s="26"/>
      <c r="K10" s="26"/>
      <c r="L10" s="83"/>
      <c r="N10" s="26"/>
      <c r="O10" s="26"/>
      <c r="P10" s="26"/>
      <c r="Q10" s="26"/>
      <c r="R10" s="83"/>
      <c r="AB10" s="26"/>
      <c r="AC10" s="26"/>
      <c r="AD10" s="26"/>
      <c r="AE10" s="26"/>
      <c r="AF10" s="83"/>
      <c r="AH10" s="26"/>
      <c r="AI10" s="26"/>
      <c r="AJ10" s="26"/>
      <c r="AK10" s="26"/>
      <c r="AL10" s="83"/>
    </row>
    <row r="11" spans="1:38" x14ac:dyDescent="0.25">
      <c r="H11" s="83">
        <v>32</v>
      </c>
      <c r="I11" s="83">
        <v>9.9</v>
      </c>
      <c r="J11" s="83">
        <v>0.5</v>
      </c>
      <c r="K11" s="83" t="s">
        <v>214</v>
      </c>
      <c r="L11" s="83">
        <v>44</v>
      </c>
      <c r="N11" s="83">
        <v>32</v>
      </c>
      <c r="O11" s="83">
        <v>9.9</v>
      </c>
      <c r="P11" s="83">
        <v>1</v>
      </c>
      <c r="Q11" s="83" t="s">
        <v>214</v>
      </c>
      <c r="R11" s="83">
        <v>67</v>
      </c>
      <c r="AB11" s="83">
        <v>32</v>
      </c>
      <c r="AC11" s="83">
        <v>9.9</v>
      </c>
      <c r="AD11" s="83">
        <v>0.5</v>
      </c>
      <c r="AE11" s="83" t="s">
        <v>214</v>
      </c>
      <c r="AF11" s="83">
        <v>73</v>
      </c>
      <c r="AH11" s="83">
        <v>32</v>
      </c>
      <c r="AI11" s="83">
        <v>9.9</v>
      </c>
      <c r="AJ11" s="83">
        <v>1</v>
      </c>
      <c r="AK11" s="83" t="s">
        <v>214</v>
      </c>
      <c r="AL11" s="83">
        <v>67</v>
      </c>
    </row>
    <row r="12" spans="1:38" x14ac:dyDescent="0.25">
      <c r="H12" s="83"/>
      <c r="I12" s="83"/>
      <c r="J12" s="83"/>
      <c r="K12" s="83" t="s">
        <v>215</v>
      </c>
      <c r="L12" s="83">
        <v>66</v>
      </c>
      <c r="N12" s="83"/>
      <c r="O12" s="83"/>
      <c r="P12" s="83"/>
      <c r="Q12" s="83" t="s">
        <v>215</v>
      </c>
      <c r="R12" s="83">
        <v>101</v>
      </c>
      <c r="AB12" s="83"/>
      <c r="AC12" s="83"/>
      <c r="AD12" s="83"/>
      <c r="AE12" s="83" t="s">
        <v>215</v>
      </c>
      <c r="AF12" s="83">
        <v>111</v>
      </c>
      <c r="AH12" s="83"/>
      <c r="AI12" s="83"/>
      <c r="AJ12" s="83"/>
      <c r="AK12" s="83" t="s">
        <v>215</v>
      </c>
      <c r="AL12" s="83">
        <v>111</v>
      </c>
    </row>
    <row r="13" spans="1:38" x14ac:dyDescent="0.25">
      <c r="H13" s="83"/>
      <c r="I13" s="83"/>
      <c r="J13" s="83"/>
      <c r="K13" s="83" t="s">
        <v>216</v>
      </c>
      <c r="L13" s="83">
        <v>123</v>
      </c>
      <c r="N13" s="83"/>
      <c r="O13" s="83"/>
      <c r="P13" s="83"/>
      <c r="Q13" s="83" t="s">
        <v>216</v>
      </c>
      <c r="R13" s="83">
        <v>189</v>
      </c>
      <c r="AB13" s="83"/>
      <c r="AC13" s="83"/>
      <c r="AD13" s="83"/>
      <c r="AE13" s="83" t="s">
        <v>216</v>
      </c>
      <c r="AF13" s="83">
        <v>205</v>
      </c>
      <c r="AH13" s="83"/>
      <c r="AI13" s="83"/>
      <c r="AJ13" s="83"/>
      <c r="AK13" s="83" t="s">
        <v>216</v>
      </c>
      <c r="AL13" s="83">
        <v>205</v>
      </c>
    </row>
    <row r="14" spans="1:38" x14ac:dyDescent="0.25">
      <c r="H14" s="83"/>
      <c r="I14" s="83"/>
      <c r="J14" s="83"/>
      <c r="L14" s="83"/>
      <c r="N14" s="83"/>
      <c r="O14" s="83"/>
      <c r="P14" s="83"/>
      <c r="R14" s="83"/>
      <c r="AB14" s="83"/>
      <c r="AC14" s="83"/>
      <c r="AD14" s="83"/>
      <c r="AF14" s="83"/>
      <c r="AH14" s="83"/>
      <c r="AI14" s="83"/>
      <c r="AJ14" s="83"/>
      <c r="AL14" s="83"/>
    </row>
    <row r="15" spans="1:38" x14ac:dyDescent="0.25">
      <c r="H15" s="83">
        <v>40</v>
      </c>
      <c r="I15" s="83">
        <v>9.9</v>
      </c>
      <c r="J15" s="83">
        <v>0.5</v>
      </c>
      <c r="K15" s="83" t="s">
        <v>217</v>
      </c>
      <c r="L15" s="83">
        <v>45</v>
      </c>
      <c r="N15" s="83"/>
      <c r="O15" s="83"/>
      <c r="P15" s="83"/>
      <c r="Q15" s="83"/>
      <c r="R15" s="83"/>
      <c r="AB15" s="83">
        <v>40</v>
      </c>
      <c r="AC15" s="83">
        <v>9.9</v>
      </c>
      <c r="AD15" s="83">
        <v>0.5</v>
      </c>
      <c r="AE15" s="83" t="s">
        <v>217</v>
      </c>
      <c r="AF15" s="83">
        <v>67</v>
      </c>
      <c r="AH15" s="83"/>
      <c r="AI15" s="83"/>
      <c r="AJ15" s="83"/>
      <c r="AK15" s="83"/>
      <c r="AL15" s="83"/>
    </row>
    <row r="16" spans="1:38" x14ac:dyDescent="0.25">
      <c r="H16" s="83"/>
      <c r="I16" s="83"/>
      <c r="J16" s="83"/>
      <c r="K16" s="83" t="s">
        <v>215</v>
      </c>
      <c r="L16" s="83">
        <v>43</v>
      </c>
      <c r="N16" s="83">
        <v>40</v>
      </c>
      <c r="O16" s="83">
        <v>9.9</v>
      </c>
      <c r="P16" s="83">
        <v>1</v>
      </c>
      <c r="Q16" s="83" t="s">
        <v>217</v>
      </c>
      <c r="R16" s="83">
        <v>83</v>
      </c>
      <c r="AB16" s="83"/>
      <c r="AC16" s="83"/>
      <c r="AD16" s="83"/>
      <c r="AE16" s="83" t="s">
        <v>215</v>
      </c>
      <c r="AF16" s="83">
        <v>64</v>
      </c>
      <c r="AH16" s="83">
        <v>40</v>
      </c>
      <c r="AI16" s="83">
        <v>9.9</v>
      </c>
      <c r="AJ16" s="83">
        <v>1</v>
      </c>
      <c r="AK16" s="83" t="s">
        <v>217</v>
      </c>
      <c r="AL16" s="83">
        <v>67</v>
      </c>
    </row>
    <row r="17" spans="2:38" x14ac:dyDescent="0.25">
      <c r="H17" s="83"/>
      <c r="I17" s="83"/>
      <c r="J17" s="83"/>
      <c r="K17" s="83" t="s">
        <v>216</v>
      </c>
      <c r="L17" s="83">
        <v>80</v>
      </c>
      <c r="N17" s="83"/>
      <c r="O17" s="83"/>
      <c r="P17" s="83"/>
      <c r="Q17" s="83" t="s">
        <v>215</v>
      </c>
      <c r="R17" s="83">
        <v>79</v>
      </c>
      <c r="AB17" s="83"/>
      <c r="AC17" s="83"/>
      <c r="AD17" s="83"/>
      <c r="AE17" s="83" t="s">
        <v>216</v>
      </c>
      <c r="AF17" s="83">
        <v>118</v>
      </c>
      <c r="AH17" s="83"/>
      <c r="AI17" s="83"/>
      <c r="AJ17" s="83"/>
      <c r="AK17" s="83" t="s">
        <v>215</v>
      </c>
      <c r="AL17" s="83">
        <v>64</v>
      </c>
    </row>
    <row r="18" spans="2:38" x14ac:dyDescent="0.25">
      <c r="H18" s="83"/>
      <c r="I18" s="83"/>
      <c r="J18" s="83"/>
      <c r="K18" s="83"/>
      <c r="L18" s="83"/>
      <c r="N18" s="83"/>
      <c r="O18" s="83"/>
      <c r="P18" s="83"/>
      <c r="Q18" s="83" t="s">
        <v>216</v>
      </c>
      <c r="R18" s="83">
        <v>147</v>
      </c>
      <c r="AB18" s="83"/>
      <c r="AC18" s="83"/>
      <c r="AD18" s="83"/>
      <c r="AE18" s="83"/>
      <c r="AF18" s="83"/>
      <c r="AH18" s="83"/>
      <c r="AI18" s="83"/>
      <c r="AJ18" s="83"/>
      <c r="AK18" s="83" t="s">
        <v>216</v>
      </c>
      <c r="AL18" s="83">
        <v>118</v>
      </c>
    </row>
    <row r="19" spans="2:38" x14ac:dyDescent="0.25">
      <c r="H19" s="83">
        <v>63</v>
      </c>
      <c r="I19" s="83">
        <v>9.9</v>
      </c>
      <c r="J19" s="83">
        <v>0.5</v>
      </c>
      <c r="K19" s="83" t="s">
        <v>218</v>
      </c>
      <c r="L19" s="83">
        <v>12</v>
      </c>
      <c r="N19" s="83"/>
      <c r="O19" s="83"/>
      <c r="P19" s="83"/>
      <c r="Q19" s="83"/>
      <c r="R19" s="83"/>
      <c r="AB19" s="83">
        <v>50</v>
      </c>
      <c r="AC19" s="83">
        <v>9.9</v>
      </c>
      <c r="AD19" s="83">
        <v>0.5</v>
      </c>
      <c r="AE19" s="83" t="s">
        <v>216</v>
      </c>
      <c r="AF19" s="83">
        <v>26</v>
      </c>
      <c r="AH19" s="83"/>
      <c r="AI19" s="83"/>
      <c r="AJ19" s="83"/>
      <c r="AK19" s="83"/>
      <c r="AL19" s="83"/>
    </row>
    <row r="20" spans="2:38" x14ac:dyDescent="0.25">
      <c r="N20" s="83">
        <v>63</v>
      </c>
      <c r="O20" s="83">
        <v>9.9</v>
      </c>
      <c r="P20" s="83">
        <v>1</v>
      </c>
      <c r="Q20" s="83" t="s">
        <v>216</v>
      </c>
      <c r="R20" s="83">
        <v>75</v>
      </c>
      <c r="AH20" s="83">
        <v>50</v>
      </c>
      <c r="AI20" s="83">
        <v>9.9</v>
      </c>
      <c r="AJ20" s="83">
        <v>1</v>
      </c>
      <c r="AK20" s="83" t="s">
        <v>216</v>
      </c>
      <c r="AL20" s="83">
        <v>26</v>
      </c>
    </row>
    <row r="21" spans="2:38" x14ac:dyDescent="0.25">
      <c r="N21" s="83"/>
      <c r="O21" s="83"/>
      <c r="P21" s="83"/>
      <c r="R21" s="83"/>
    </row>
    <row r="22" spans="2:38" x14ac:dyDescent="0.25">
      <c r="N22" s="83">
        <v>80</v>
      </c>
      <c r="O22" s="83">
        <v>9.9</v>
      </c>
      <c r="P22" s="83">
        <v>1</v>
      </c>
      <c r="Q22" s="83" t="s">
        <v>218</v>
      </c>
      <c r="R22" s="83">
        <v>136</v>
      </c>
    </row>
    <row r="23" spans="2:38" x14ac:dyDescent="0.25">
      <c r="V23" s="170" t="s">
        <v>206</v>
      </c>
      <c r="W23" s="170" t="s">
        <v>207</v>
      </c>
      <c r="X23" s="170" t="s">
        <v>208</v>
      </c>
      <c r="Y23" s="170" t="s">
        <v>211</v>
      </c>
      <c r="Z23" s="170" t="s">
        <v>210</v>
      </c>
      <c r="AB23" s="170" t="s">
        <v>206</v>
      </c>
      <c r="AC23" s="170" t="s">
        <v>207</v>
      </c>
      <c r="AD23" s="170" t="s">
        <v>208</v>
      </c>
      <c r="AE23" s="170" t="s">
        <v>211</v>
      </c>
      <c r="AF23" s="170" t="s">
        <v>210</v>
      </c>
      <c r="AH23" s="170" t="s">
        <v>206</v>
      </c>
      <c r="AI23" s="170" t="s">
        <v>207</v>
      </c>
      <c r="AJ23" s="170" t="s">
        <v>208</v>
      </c>
      <c r="AK23" s="170" t="s">
        <v>211</v>
      </c>
      <c r="AL23" s="170" t="s">
        <v>210</v>
      </c>
    </row>
    <row r="24" spans="2:38" x14ac:dyDescent="0.25">
      <c r="V24" s="26"/>
      <c r="W24" s="26"/>
      <c r="X24" s="26"/>
      <c r="Z24" s="26"/>
      <c r="AB24" s="26"/>
      <c r="AC24" s="26"/>
      <c r="AD24" s="26"/>
      <c r="AE24" s="26"/>
      <c r="AF24" s="26"/>
      <c r="AH24" s="26"/>
      <c r="AI24" s="26"/>
      <c r="AJ24" s="26"/>
      <c r="AK24" s="26"/>
      <c r="AL24" s="83"/>
    </row>
    <row r="25" spans="2:38" x14ac:dyDescent="0.25">
      <c r="B25" s="170" t="s">
        <v>206</v>
      </c>
      <c r="C25" s="170" t="s">
        <v>207</v>
      </c>
      <c r="D25" s="170" t="s">
        <v>208</v>
      </c>
      <c r="E25" s="170" t="s">
        <v>211</v>
      </c>
      <c r="F25" s="170" t="s">
        <v>210</v>
      </c>
      <c r="H25" s="170" t="s">
        <v>206</v>
      </c>
      <c r="I25" s="170" t="s">
        <v>207</v>
      </c>
      <c r="J25" s="170" t="s">
        <v>208</v>
      </c>
      <c r="K25" s="170" t="s">
        <v>211</v>
      </c>
      <c r="L25" s="170" t="s">
        <v>210</v>
      </c>
      <c r="N25" s="170" t="s">
        <v>206</v>
      </c>
      <c r="O25" s="170" t="s">
        <v>207</v>
      </c>
      <c r="P25" s="170" t="s">
        <v>208</v>
      </c>
      <c r="Q25" s="170" t="s">
        <v>211</v>
      </c>
      <c r="R25" s="170" t="s">
        <v>210</v>
      </c>
      <c r="V25" s="83">
        <v>25</v>
      </c>
      <c r="W25" s="83">
        <v>9.9</v>
      </c>
      <c r="X25" s="83">
        <v>2</v>
      </c>
      <c r="Y25" s="83" t="s">
        <v>212</v>
      </c>
      <c r="Z25" s="83">
        <v>78</v>
      </c>
      <c r="AB25" s="83">
        <v>25</v>
      </c>
      <c r="AC25" s="83">
        <v>9.9</v>
      </c>
      <c r="AD25" s="83">
        <v>5</v>
      </c>
      <c r="AE25" s="83" t="s">
        <v>213</v>
      </c>
      <c r="AF25" s="83">
        <v>78</v>
      </c>
      <c r="AH25" s="83">
        <v>25</v>
      </c>
      <c r="AI25" s="83">
        <v>9.9</v>
      </c>
      <c r="AJ25" s="83">
        <v>8.5</v>
      </c>
      <c r="AK25" s="83" t="s">
        <v>213</v>
      </c>
      <c r="AL25" s="83">
        <v>63</v>
      </c>
    </row>
    <row r="26" spans="2:38" x14ac:dyDescent="0.25">
      <c r="B26" s="26"/>
      <c r="C26" s="26"/>
      <c r="D26" s="26"/>
      <c r="F26" s="26"/>
      <c r="H26" s="26"/>
      <c r="I26" s="26"/>
      <c r="J26" s="26"/>
      <c r="K26" s="26"/>
      <c r="L26" s="26"/>
      <c r="N26" s="26"/>
      <c r="O26" s="26"/>
      <c r="P26" s="26"/>
      <c r="Q26" s="26"/>
      <c r="R26" s="83"/>
      <c r="V26" s="83"/>
      <c r="W26" s="83"/>
      <c r="X26" s="83"/>
      <c r="Y26" s="83" t="s">
        <v>214</v>
      </c>
      <c r="Z26" s="83">
        <v>132</v>
      </c>
      <c r="AB26" s="83"/>
      <c r="AC26" s="83"/>
      <c r="AD26" s="83"/>
      <c r="AE26" s="83" t="s">
        <v>214</v>
      </c>
      <c r="AF26" s="83">
        <v>132</v>
      </c>
      <c r="AH26" s="83"/>
      <c r="AI26" s="83"/>
      <c r="AJ26" s="83"/>
      <c r="AK26" s="83" t="s">
        <v>214</v>
      </c>
      <c r="AL26" s="83">
        <v>105</v>
      </c>
    </row>
    <row r="27" spans="2:38" x14ac:dyDescent="0.25">
      <c r="B27" s="83">
        <v>25</v>
      </c>
      <c r="C27" s="83">
        <v>9.9</v>
      </c>
      <c r="D27" s="83">
        <v>2</v>
      </c>
      <c r="E27" s="83" t="s">
        <v>212</v>
      </c>
      <c r="F27" s="83">
        <v>63</v>
      </c>
      <c r="H27" s="83">
        <v>25</v>
      </c>
      <c r="I27" s="83">
        <v>9.9</v>
      </c>
      <c r="J27" s="83">
        <v>5</v>
      </c>
      <c r="K27" s="83" t="s">
        <v>213</v>
      </c>
      <c r="L27" s="83">
        <v>63</v>
      </c>
      <c r="N27" s="83">
        <v>25</v>
      </c>
      <c r="O27" s="83">
        <v>9.9</v>
      </c>
      <c r="P27" s="83">
        <v>8.5</v>
      </c>
      <c r="Q27" s="83" t="s">
        <v>213</v>
      </c>
      <c r="R27" s="83">
        <v>63</v>
      </c>
      <c r="V27" s="83"/>
      <c r="W27" s="83"/>
      <c r="X27" s="83"/>
      <c r="Y27" s="83" t="s">
        <v>215</v>
      </c>
      <c r="Z27" s="83">
        <v>199</v>
      </c>
      <c r="AB27" s="83"/>
      <c r="AC27" s="83"/>
      <c r="AD27" s="83"/>
      <c r="AE27" s="83" t="s">
        <v>215</v>
      </c>
      <c r="AF27" s="83">
        <v>199</v>
      </c>
      <c r="AH27" s="83"/>
      <c r="AI27" s="83"/>
      <c r="AJ27" s="83"/>
      <c r="AK27" s="83" t="s">
        <v>215</v>
      </c>
      <c r="AL27" s="83">
        <v>158</v>
      </c>
    </row>
    <row r="28" spans="2:38" x14ac:dyDescent="0.25">
      <c r="B28" s="83"/>
      <c r="C28" s="83"/>
      <c r="D28" s="83"/>
      <c r="E28" s="83" t="s">
        <v>214</v>
      </c>
      <c r="F28" s="83">
        <v>104</v>
      </c>
      <c r="H28" s="83"/>
      <c r="I28" s="83"/>
      <c r="J28" s="83"/>
      <c r="K28" s="83" t="s">
        <v>214</v>
      </c>
      <c r="L28" s="83">
        <v>105</v>
      </c>
      <c r="N28" s="83"/>
      <c r="O28" s="83"/>
      <c r="P28" s="83"/>
      <c r="Q28" s="83" t="s">
        <v>214</v>
      </c>
      <c r="R28" s="83">
        <v>105</v>
      </c>
      <c r="V28" s="83"/>
      <c r="W28" s="83"/>
      <c r="X28" s="83"/>
      <c r="Y28" s="83" t="s">
        <v>216</v>
      </c>
      <c r="Z28" s="83">
        <v>368</v>
      </c>
      <c r="AB28" s="83"/>
      <c r="AC28" s="83"/>
      <c r="AD28" s="83"/>
      <c r="AE28" s="83" t="s">
        <v>216</v>
      </c>
      <c r="AF28" s="83">
        <v>368</v>
      </c>
      <c r="AH28" s="83"/>
      <c r="AI28" s="83"/>
      <c r="AJ28" s="83"/>
      <c r="AK28" s="83" t="s">
        <v>216</v>
      </c>
      <c r="AL28" s="83">
        <v>289</v>
      </c>
    </row>
    <row r="29" spans="2:38" x14ac:dyDescent="0.25">
      <c r="B29" s="83"/>
      <c r="C29" s="83"/>
      <c r="D29" s="83"/>
      <c r="E29" s="83" t="s">
        <v>215</v>
      </c>
      <c r="F29" s="83">
        <v>158</v>
      </c>
      <c r="H29" s="83"/>
      <c r="I29" s="83"/>
      <c r="J29" s="83"/>
      <c r="K29" s="83" t="s">
        <v>215</v>
      </c>
      <c r="L29" s="83">
        <v>158</v>
      </c>
      <c r="N29" s="83"/>
      <c r="O29" s="83"/>
      <c r="P29" s="83"/>
      <c r="Q29" s="83" t="s">
        <v>215</v>
      </c>
      <c r="R29" s="83">
        <v>158</v>
      </c>
      <c r="V29" s="26"/>
      <c r="W29" s="26"/>
      <c r="X29" s="26"/>
      <c r="Y29" s="26"/>
      <c r="Z29" s="83"/>
      <c r="AB29" s="26"/>
      <c r="AC29" s="26"/>
      <c r="AD29" s="26"/>
      <c r="AE29" s="26"/>
      <c r="AF29" s="83"/>
      <c r="AH29" s="26"/>
      <c r="AI29" s="26"/>
      <c r="AJ29" s="26"/>
      <c r="AK29" s="26"/>
      <c r="AL29" s="83"/>
    </row>
    <row r="30" spans="2:38" x14ac:dyDescent="0.25">
      <c r="B30" s="83"/>
      <c r="C30" s="83"/>
      <c r="D30" s="83"/>
      <c r="E30" s="83" t="s">
        <v>216</v>
      </c>
      <c r="F30" s="83">
        <v>285</v>
      </c>
      <c r="H30" s="83"/>
      <c r="I30" s="83"/>
      <c r="J30" s="83"/>
      <c r="K30" s="83" t="s">
        <v>216</v>
      </c>
      <c r="L30" s="83">
        <v>288</v>
      </c>
      <c r="N30" s="83"/>
      <c r="O30" s="83"/>
      <c r="P30" s="83"/>
      <c r="Q30" s="83" t="s">
        <v>216</v>
      </c>
      <c r="R30" s="83">
        <v>288</v>
      </c>
      <c r="V30" s="83">
        <v>32</v>
      </c>
      <c r="W30" s="83">
        <v>9.9</v>
      </c>
      <c r="X30" s="83">
        <v>2</v>
      </c>
      <c r="Y30" s="83" t="s">
        <v>214</v>
      </c>
      <c r="Z30" s="83">
        <v>67</v>
      </c>
      <c r="AB30" s="83">
        <v>32</v>
      </c>
      <c r="AC30" s="83">
        <v>9.9</v>
      </c>
      <c r="AD30" s="83">
        <v>5</v>
      </c>
      <c r="AE30" s="83" t="s">
        <v>214</v>
      </c>
      <c r="AF30" s="83">
        <v>73</v>
      </c>
      <c r="AH30" s="83">
        <v>32</v>
      </c>
      <c r="AI30" s="83">
        <v>9.9</v>
      </c>
      <c r="AJ30" s="83">
        <v>8.5</v>
      </c>
      <c r="AK30" s="83" t="s">
        <v>214</v>
      </c>
      <c r="AL30" s="83">
        <v>82</v>
      </c>
    </row>
    <row r="31" spans="2:38" x14ac:dyDescent="0.25">
      <c r="B31" s="26"/>
      <c r="C31" s="26"/>
      <c r="D31" s="26"/>
      <c r="E31" s="26"/>
      <c r="F31" s="83"/>
      <c r="H31" s="26"/>
      <c r="I31" s="26"/>
      <c r="J31" s="26"/>
      <c r="K31" s="26"/>
      <c r="L31" s="83"/>
      <c r="N31" s="26"/>
      <c r="O31" s="26"/>
      <c r="P31" s="26"/>
      <c r="Q31" s="26"/>
      <c r="R31" s="83"/>
      <c r="V31" s="83"/>
      <c r="W31" s="83"/>
      <c r="X31" s="26"/>
      <c r="Y31" s="83" t="s">
        <v>215</v>
      </c>
      <c r="Z31" s="83">
        <v>111</v>
      </c>
      <c r="AB31" s="83"/>
      <c r="AC31" s="83"/>
      <c r="AD31" s="83"/>
      <c r="AE31" s="83" t="s">
        <v>215</v>
      </c>
      <c r="AF31" s="83">
        <v>111</v>
      </c>
      <c r="AH31" s="83"/>
      <c r="AI31" s="83"/>
      <c r="AJ31" s="83"/>
      <c r="AK31" s="83" t="s">
        <v>215</v>
      </c>
      <c r="AL31" s="83">
        <v>124</v>
      </c>
    </row>
    <row r="32" spans="2:38" x14ac:dyDescent="0.25">
      <c r="B32" s="83">
        <v>32</v>
      </c>
      <c r="C32" s="83">
        <v>9.9</v>
      </c>
      <c r="D32" s="83">
        <v>2</v>
      </c>
      <c r="E32" s="83" t="s">
        <v>214</v>
      </c>
      <c r="F32" s="83">
        <v>78</v>
      </c>
      <c r="H32" s="83">
        <v>32</v>
      </c>
      <c r="I32" s="83">
        <v>9.9</v>
      </c>
      <c r="J32" s="83">
        <v>5</v>
      </c>
      <c r="K32" s="83" t="s">
        <v>214</v>
      </c>
      <c r="L32" s="83">
        <v>82</v>
      </c>
      <c r="N32" s="83">
        <v>32</v>
      </c>
      <c r="O32" s="83">
        <v>9.9</v>
      </c>
      <c r="P32" s="83">
        <v>8.5</v>
      </c>
      <c r="Q32" s="83" t="s">
        <v>214</v>
      </c>
      <c r="R32" s="83">
        <v>82</v>
      </c>
      <c r="V32" s="83"/>
      <c r="W32" s="83"/>
      <c r="X32" s="26"/>
      <c r="Y32" s="83" t="s">
        <v>216</v>
      </c>
      <c r="Z32" s="83">
        <v>205</v>
      </c>
      <c r="AB32" s="83"/>
      <c r="AC32" s="83"/>
      <c r="AD32" s="83"/>
      <c r="AE32" s="83" t="s">
        <v>216</v>
      </c>
      <c r="AF32" s="83">
        <v>205</v>
      </c>
      <c r="AH32" s="83"/>
      <c r="AI32" s="83"/>
      <c r="AJ32" s="83"/>
      <c r="AK32" s="83" t="s">
        <v>216</v>
      </c>
      <c r="AL32" s="83">
        <v>226</v>
      </c>
    </row>
    <row r="33" spans="1:38" x14ac:dyDescent="0.25">
      <c r="B33" s="83"/>
      <c r="C33" s="83"/>
      <c r="D33" s="26"/>
      <c r="E33" s="83" t="s">
        <v>215</v>
      </c>
      <c r="F33" s="83">
        <v>119</v>
      </c>
      <c r="H33" s="83"/>
      <c r="I33" s="83"/>
      <c r="J33" s="83"/>
      <c r="K33" s="83" t="s">
        <v>215</v>
      </c>
      <c r="L33" s="83">
        <v>123</v>
      </c>
      <c r="N33" s="83"/>
      <c r="O33" s="83"/>
      <c r="P33" s="83"/>
      <c r="Q33" s="83" t="s">
        <v>215</v>
      </c>
      <c r="R33" s="83">
        <v>123</v>
      </c>
      <c r="V33" s="83"/>
      <c r="W33" s="83"/>
      <c r="X33" s="26"/>
      <c r="Z33" s="83"/>
      <c r="AB33" s="83"/>
      <c r="AC33" s="83"/>
      <c r="AD33" s="83"/>
      <c r="AF33" s="83"/>
      <c r="AH33" s="83"/>
      <c r="AI33" s="83"/>
      <c r="AJ33" s="83"/>
      <c r="AL33" s="83"/>
    </row>
    <row r="34" spans="1:38" x14ac:dyDescent="0.25">
      <c r="B34" s="83"/>
      <c r="C34" s="83"/>
      <c r="D34" s="26"/>
      <c r="E34" s="83" t="s">
        <v>216</v>
      </c>
      <c r="F34" s="83">
        <v>221</v>
      </c>
      <c r="H34" s="83"/>
      <c r="I34" s="83"/>
      <c r="J34" s="83"/>
      <c r="K34" s="83" t="s">
        <v>216</v>
      </c>
      <c r="L34" s="83">
        <v>226</v>
      </c>
      <c r="N34" s="83"/>
      <c r="O34" s="83"/>
      <c r="P34" s="83"/>
      <c r="Q34" s="83" t="s">
        <v>216</v>
      </c>
      <c r="R34" s="83">
        <v>226</v>
      </c>
      <c r="V34" s="83"/>
      <c r="W34" s="83"/>
      <c r="X34" s="83"/>
      <c r="Y34" s="83"/>
      <c r="Z34" s="83"/>
      <c r="AB34" s="83"/>
      <c r="AC34" s="83"/>
      <c r="AD34" s="83"/>
      <c r="AE34" s="83"/>
      <c r="AF34" s="83"/>
      <c r="AH34" s="83"/>
      <c r="AI34" s="83"/>
      <c r="AJ34" s="83"/>
      <c r="AK34" s="83"/>
      <c r="AL34" s="83"/>
    </row>
    <row r="35" spans="1:38" x14ac:dyDescent="0.25">
      <c r="B35" s="83"/>
      <c r="C35" s="83"/>
      <c r="D35" s="26"/>
      <c r="F35" s="83"/>
      <c r="H35" s="83"/>
      <c r="I35" s="83"/>
      <c r="J35" s="83"/>
      <c r="L35" s="83"/>
      <c r="N35" s="83"/>
      <c r="O35" s="83"/>
      <c r="P35" s="83"/>
      <c r="R35" s="83"/>
      <c r="V35" s="83">
        <v>40</v>
      </c>
      <c r="W35" s="83">
        <v>9.9</v>
      </c>
      <c r="X35" s="83">
        <v>2</v>
      </c>
      <c r="Y35" s="83" t="s">
        <v>217</v>
      </c>
      <c r="Z35" s="83">
        <v>67</v>
      </c>
      <c r="AB35" s="83">
        <v>40</v>
      </c>
      <c r="AC35" s="83">
        <v>9.9</v>
      </c>
      <c r="AD35" s="83">
        <v>5</v>
      </c>
      <c r="AE35" s="83" t="s">
        <v>217</v>
      </c>
      <c r="AF35" s="83">
        <v>67</v>
      </c>
      <c r="AH35" s="83">
        <v>40</v>
      </c>
      <c r="AI35" s="83">
        <v>9.9</v>
      </c>
      <c r="AJ35" s="83">
        <v>8.5</v>
      </c>
      <c r="AK35" s="83" t="s">
        <v>217</v>
      </c>
      <c r="AL35" s="83">
        <v>103</v>
      </c>
    </row>
    <row r="36" spans="1:38" x14ac:dyDescent="0.25">
      <c r="B36" s="83"/>
      <c r="C36" s="83"/>
      <c r="D36" s="83"/>
      <c r="E36" s="83"/>
      <c r="F36" s="83"/>
      <c r="H36" s="83"/>
      <c r="I36" s="83"/>
      <c r="J36" s="83"/>
      <c r="K36" s="83"/>
      <c r="L36" s="83"/>
      <c r="N36" s="83"/>
      <c r="O36" s="83"/>
      <c r="P36" s="83"/>
      <c r="Q36" s="83"/>
      <c r="R36" s="83"/>
      <c r="V36" s="83"/>
      <c r="W36" s="83"/>
      <c r="X36" s="83"/>
      <c r="Y36" s="83" t="s">
        <v>215</v>
      </c>
      <c r="Z36" s="83">
        <v>64</v>
      </c>
      <c r="AB36" s="83"/>
      <c r="AC36" s="83"/>
      <c r="AD36" s="83"/>
      <c r="AE36" s="83" t="s">
        <v>215</v>
      </c>
      <c r="AF36" s="83">
        <v>64</v>
      </c>
      <c r="AH36" s="83"/>
      <c r="AI36" s="83"/>
      <c r="AJ36" s="83"/>
      <c r="AK36" s="83" t="s">
        <v>215</v>
      </c>
      <c r="AL36" s="83">
        <v>99</v>
      </c>
    </row>
    <row r="37" spans="1:38" x14ac:dyDescent="0.25">
      <c r="B37" s="83">
        <v>40</v>
      </c>
      <c r="C37" s="83">
        <v>9.9</v>
      </c>
      <c r="D37" s="83">
        <v>2</v>
      </c>
      <c r="E37" s="83" t="s">
        <v>217</v>
      </c>
      <c r="F37" s="83">
        <v>101</v>
      </c>
      <c r="H37" s="83">
        <v>40</v>
      </c>
      <c r="I37" s="83">
        <v>9.9</v>
      </c>
      <c r="J37" s="83">
        <v>5</v>
      </c>
      <c r="K37" s="83" t="s">
        <v>217</v>
      </c>
      <c r="L37" s="83">
        <v>103</v>
      </c>
      <c r="N37" s="83">
        <v>40</v>
      </c>
      <c r="O37" s="83">
        <v>9.9</v>
      </c>
      <c r="P37" s="83">
        <v>8.5</v>
      </c>
      <c r="Q37" s="83" t="s">
        <v>217</v>
      </c>
      <c r="R37" s="83">
        <v>103</v>
      </c>
      <c r="V37" s="83"/>
      <c r="W37" s="83"/>
      <c r="X37" s="83"/>
      <c r="Y37" s="83" t="s">
        <v>216</v>
      </c>
      <c r="Z37" s="83">
        <v>118</v>
      </c>
      <c r="AB37" s="83"/>
      <c r="AC37" s="83"/>
      <c r="AD37" s="83"/>
      <c r="AE37" s="83" t="s">
        <v>216</v>
      </c>
      <c r="AF37" s="83">
        <v>118</v>
      </c>
      <c r="AH37" s="83"/>
      <c r="AI37" s="83"/>
      <c r="AJ37" s="83"/>
      <c r="AK37" s="83" t="s">
        <v>216</v>
      </c>
      <c r="AL37" s="83">
        <v>180</v>
      </c>
    </row>
    <row r="38" spans="1:38" x14ac:dyDescent="0.25">
      <c r="B38" s="83"/>
      <c r="C38" s="83"/>
      <c r="D38" s="83"/>
      <c r="E38" s="83" t="s">
        <v>215</v>
      </c>
      <c r="F38" s="83">
        <v>96</v>
      </c>
      <c r="H38" s="83"/>
      <c r="I38" s="83"/>
      <c r="J38" s="83"/>
      <c r="K38" s="83" t="s">
        <v>215</v>
      </c>
      <c r="L38" s="83">
        <v>99</v>
      </c>
      <c r="N38" s="83"/>
      <c r="O38" s="83"/>
      <c r="P38" s="83"/>
      <c r="Q38" s="83" t="s">
        <v>215</v>
      </c>
      <c r="R38" s="83">
        <v>99</v>
      </c>
      <c r="V38" s="83"/>
      <c r="W38" s="83"/>
      <c r="X38" s="83"/>
      <c r="Y38" s="83"/>
      <c r="Z38" s="83"/>
      <c r="AB38" s="83"/>
      <c r="AC38" s="83"/>
      <c r="AD38" s="83"/>
      <c r="AE38" s="83"/>
      <c r="AF38" s="83"/>
      <c r="AH38" s="83"/>
      <c r="AI38" s="83"/>
      <c r="AJ38" s="83"/>
      <c r="AK38" s="83"/>
      <c r="AL38" s="83"/>
    </row>
    <row r="39" spans="1:38" x14ac:dyDescent="0.25">
      <c r="B39" s="83"/>
      <c r="C39" s="83"/>
      <c r="D39" s="83"/>
      <c r="E39" s="83" t="s">
        <v>216</v>
      </c>
      <c r="F39" s="83">
        <v>179</v>
      </c>
      <c r="H39" s="83"/>
      <c r="I39" s="83"/>
      <c r="J39" s="83"/>
      <c r="K39" s="83" t="s">
        <v>216</v>
      </c>
      <c r="L39" s="83">
        <v>180</v>
      </c>
      <c r="N39" s="83"/>
      <c r="O39" s="83"/>
      <c r="P39" s="83"/>
      <c r="Q39" s="83" t="s">
        <v>216</v>
      </c>
      <c r="R39" s="83">
        <v>180</v>
      </c>
      <c r="V39" s="83">
        <v>50</v>
      </c>
      <c r="W39" s="83">
        <v>9.9</v>
      </c>
      <c r="X39" s="83">
        <v>2</v>
      </c>
      <c r="Y39" s="83" t="s">
        <v>216</v>
      </c>
      <c r="Z39" s="83">
        <v>26</v>
      </c>
      <c r="AB39" s="83">
        <v>50</v>
      </c>
      <c r="AC39" s="83">
        <v>9.9</v>
      </c>
      <c r="AD39" s="83">
        <v>5</v>
      </c>
      <c r="AE39" s="83" t="s">
        <v>216</v>
      </c>
      <c r="AF39" s="83">
        <v>26</v>
      </c>
      <c r="AH39" s="83">
        <v>50</v>
      </c>
      <c r="AI39" s="83">
        <v>9.9</v>
      </c>
      <c r="AJ39" s="83">
        <v>8.5</v>
      </c>
      <c r="AK39" s="83" t="s">
        <v>216</v>
      </c>
      <c r="AL39" s="83">
        <v>26</v>
      </c>
    </row>
    <row r="40" spans="1:38" x14ac:dyDescent="0.25">
      <c r="B40" s="83"/>
      <c r="C40" s="83"/>
      <c r="D40" s="83"/>
      <c r="E40" s="83"/>
      <c r="F40" s="83"/>
      <c r="H40" s="83"/>
      <c r="I40" s="83"/>
      <c r="J40" s="83"/>
      <c r="K40" s="83"/>
      <c r="L40" s="83"/>
      <c r="N40" s="83"/>
      <c r="O40" s="83"/>
      <c r="P40" s="83"/>
      <c r="Q40" s="83"/>
      <c r="R40" s="83"/>
    </row>
    <row r="41" spans="1:38" x14ac:dyDescent="0.25">
      <c r="B41" s="83">
        <v>63</v>
      </c>
      <c r="C41" s="83">
        <v>9.9</v>
      </c>
      <c r="D41" s="83">
        <v>2</v>
      </c>
      <c r="E41" s="83" t="s">
        <v>216</v>
      </c>
      <c r="F41" s="83">
        <v>108</v>
      </c>
      <c r="H41" s="83">
        <v>63</v>
      </c>
      <c r="I41" s="83">
        <v>9.9</v>
      </c>
      <c r="J41" s="83">
        <v>5</v>
      </c>
      <c r="K41" s="83" t="s">
        <v>216</v>
      </c>
      <c r="L41" s="83">
        <v>114</v>
      </c>
      <c r="N41" s="83">
        <v>63</v>
      </c>
      <c r="O41" s="83">
        <v>9.9</v>
      </c>
      <c r="P41" s="83">
        <v>8.5</v>
      </c>
      <c r="Q41" s="83" t="s">
        <v>216</v>
      </c>
      <c r="R41" s="83">
        <v>114</v>
      </c>
    </row>
    <row r="42" spans="1:38" x14ac:dyDescent="0.25">
      <c r="B42" s="83"/>
      <c r="C42" s="83"/>
      <c r="D42" s="83"/>
      <c r="E42" s="83"/>
      <c r="F42" s="83"/>
      <c r="H42" s="83"/>
      <c r="I42" s="83"/>
      <c r="J42" s="83"/>
      <c r="L42" s="83"/>
      <c r="N42" s="83"/>
      <c r="O42" s="83"/>
      <c r="P42" s="83"/>
      <c r="R42" s="83"/>
    </row>
    <row r="43" spans="1:38" x14ac:dyDescent="0.25">
      <c r="B43" s="83">
        <v>80</v>
      </c>
      <c r="C43" s="83">
        <v>9.9</v>
      </c>
      <c r="D43" s="83">
        <v>2</v>
      </c>
      <c r="E43" s="83" t="s">
        <v>218</v>
      </c>
      <c r="F43" s="83">
        <v>170</v>
      </c>
      <c r="H43" s="83">
        <v>80</v>
      </c>
      <c r="I43" s="83">
        <v>9.9</v>
      </c>
      <c r="J43" s="83">
        <v>5</v>
      </c>
      <c r="K43" s="83" t="s">
        <v>218</v>
      </c>
      <c r="L43" s="83">
        <v>170</v>
      </c>
      <c r="N43" s="83">
        <v>80</v>
      </c>
      <c r="O43" s="83">
        <v>9.9</v>
      </c>
      <c r="P43" s="83">
        <v>8.5</v>
      </c>
      <c r="Q43" s="83" t="s">
        <v>216</v>
      </c>
      <c r="R43" s="83">
        <v>171</v>
      </c>
    </row>
    <row r="46" spans="1:38" ht="15.75" thickBot="1" x14ac:dyDescent="0.3"/>
    <row r="47" spans="1:38" ht="15.75" thickBot="1" x14ac:dyDescent="0.3">
      <c r="A47" s="162" t="s">
        <v>199</v>
      </c>
      <c r="C47" s="163" t="s">
        <v>200</v>
      </c>
      <c r="D47" s="164" t="s">
        <v>201</v>
      </c>
      <c r="E47" s="165" t="s">
        <v>202</v>
      </c>
      <c r="U47" s="162" t="s">
        <v>220</v>
      </c>
      <c r="W47" s="163" t="s">
        <v>200</v>
      </c>
      <c r="X47" s="164" t="s">
        <v>201</v>
      </c>
      <c r="Y47" s="165" t="s">
        <v>202</v>
      </c>
    </row>
    <row r="48" spans="1:38" ht="15.75" thickBot="1" x14ac:dyDescent="0.3">
      <c r="A48" s="166" t="s">
        <v>203</v>
      </c>
      <c r="C48" s="167"/>
      <c r="D48" s="168" t="s">
        <v>204</v>
      </c>
      <c r="E48" s="169" t="s">
        <v>205</v>
      </c>
      <c r="U48" s="172" t="s">
        <v>221</v>
      </c>
      <c r="W48" s="167"/>
      <c r="X48" s="168" t="s">
        <v>204</v>
      </c>
      <c r="Y48" s="169" t="s">
        <v>205</v>
      </c>
    </row>
    <row r="49" spans="1:38" ht="15.75" thickBot="1" x14ac:dyDescent="0.3">
      <c r="A49" s="174" t="s">
        <v>222</v>
      </c>
      <c r="U49" s="174" t="s">
        <v>222</v>
      </c>
    </row>
    <row r="50" spans="1:38" x14ac:dyDescent="0.25">
      <c r="B50" s="170" t="s">
        <v>206</v>
      </c>
      <c r="C50" s="170" t="s">
        <v>207</v>
      </c>
      <c r="D50" s="170" t="s">
        <v>208</v>
      </c>
      <c r="E50" s="170" t="s">
        <v>209</v>
      </c>
      <c r="F50" s="170" t="s">
        <v>210</v>
      </c>
      <c r="H50" s="170" t="s">
        <v>206</v>
      </c>
      <c r="I50" s="170" t="s">
        <v>207</v>
      </c>
      <c r="J50" s="170" t="s">
        <v>208</v>
      </c>
      <c r="K50" s="170" t="s">
        <v>211</v>
      </c>
      <c r="L50" s="170" t="s">
        <v>210</v>
      </c>
      <c r="N50" s="170" t="s">
        <v>206</v>
      </c>
      <c r="O50" s="170" t="s">
        <v>207</v>
      </c>
      <c r="P50" s="170" t="s">
        <v>208</v>
      </c>
      <c r="Q50" s="170" t="s">
        <v>211</v>
      </c>
      <c r="R50" s="170" t="s">
        <v>210</v>
      </c>
      <c r="V50" s="170" t="s">
        <v>206</v>
      </c>
      <c r="W50" s="170" t="s">
        <v>207</v>
      </c>
      <c r="X50" s="170" t="s">
        <v>208</v>
      </c>
      <c r="Y50" s="170" t="s">
        <v>209</v>
      </c>
      <c r="Z50" s="170" t="s">
        <v>210</v>
      </c>
      <c r="AB50" s="170" t="s">
        <v>206</v>
      </c>
      <c r="AC50" s="170" t="s">
        <v>207</v>
      </c>
      <c r="AD50" s="170" t="s">
        <v>208</v>
      </c>
      <c r="AE50" s="170" t="s">
        <v>211</v>
      </c>
      <c r="AF50" s="170" t="s">
        <v>210</v>
      </c>
      <c r="AH50" s="170" t="s">
        <v>206</v>
      </c>
      <c r="AI50" s="170" t="s">
        <v>207</v>
      </c>
      <c r="AJ50" s="170" t="s">
        <v>208</v>
      </c>
      <c r="AK50" s="170" t="s">
        <v>211</v>
      </c>
      <c r="AL50" s="170" t="s">
        <v>210</v>
      </c>
    </row>
    <row r="51" spans="1:38" x14ac:dyDescent="0.25">
      <c r="B51" s="26"/>
      <c r="C51" s="26"/>
      <c r="D51" s="26"/>
      <c r="F51" s="26"/>
      <c r="H51" s="26"/>
      <c r="I51" s="26"/>
      <c r="J51" s="26"/>
      <c r="K51" s="26"/>
      <c r="L51" s="26"/>
      <c r="N51" s="26"/>
      <c r="O51" s="26"/>
      <c r="P51" s="26"/>
      <c r="Q51" s="26"/>
      <c r="R51" s="83"/>
      <c r="V51" s="26"/>
      <c r="W51" s="26"/>
      <c r="X51" s="26"/>
      <c r="Z51" s="26"/>
      <c r="AB51" s="26"/>
      <c r="AC51" s="26"/>
      <c r="AD51" s="26"/>
      <c r="AE51" s="26"/>
      <c r="AF51" s="26"/>
      <c r="AH51" s="26"/>
      <c r="AI51" s="26"/>
      <c r="AJ51" s="26"/>
      <c r="AK51" s="26"/>
      <c r="AL51" s="83"/>
    </row>
    <row r="52" spans="1:38" x14ac:dyDescent="0.25">
      <c r="B52" s="83">
        <v>25</v>
      </c>
      <c r="C52" s="83">
        <v>9.9</v>
      </c>
      <c r="D52" s="83">
        <v>0.25</v>
      </c>
      <c r="E52" s="83" t="s">
        <v>212</v>
      </c>
      <c r="F52" s="175">
        <v>58</v>
      </c>
      <c r="H52" s="83">
        <v>25</v>
      </c>
      <c r="I52" s="83">
        <v>9.9</v>
      </c>
      <c r="J52" s="83">
        <v>0.5</v>
      </c>
      <c r="K52" s="83" t="s">
        <v>213</v>
      </c>
      <c r="L52" s="175">
        <v>62</v>
      </c>
      <c r="N52" s="83">
        <v>25</v>
      </c>
      <c r="O52" s="83">
        <v>9.9</v>
      </c>
      <c r="P52" s="83">
        <v>1</v>
      </c>
      <c r="Q52" s="83" t="s">
        <v>213</v>
      </c>
      <c r="R52" s="175">
        <v>62</v>
      </c>
      <c r="V52" s="83">
        <v>25</v>
      </c>
      <c r="W52" s="83">
        <v>9.9</v>
      </c>
      <c r="X52" s="83">
        <v>0.25</v>
      </c>
      <c r="Y52" s="83" t="s">
        <v>212</v>
      </c>
      <c r="Z52" s="83">
        <v>108</v>
      </c>
      <c r="AB52" s="83">
        <v>25</v>
      </c>
      <c r="AC52" s="83">
        <v>9.9</v>
      </c>
      <c r="AD52" s="83">
        <v>0.5</v>
      </c>
      <c r="AE52" s="83" t="s">
        <v>213</v>
      </c>
      <c r="AF52" s="83">
        <v>108</v>
      </c>
      <c r="AH52" s="83">
        <v>25</v>
      </c>
      <c r="AI52" s="83">
        <v>9.9</v>
      </c>
      <c r="AJ52" s="83">
        <v>1</v>
      </c>
      <c r="AK52" s="83" t="s">
        <v>213</v>
      </c>
      <c r="AL52" s="83">
        <v>108</v>
      </c>
    </row>
    <row r="53" spans="1:38" x14ac:dyDescent="0.25">
      <c r="B53" s="83"/>
      <c r="C53" s="83"/>
      <c r="D53" s="83"/>
      <c r="E53" s="83" t="s">
        <v>214</v>
      </c>
      <c r="F53" s="175">
        <v>98</v>
      </c>
      <c r="H53" s="83"/>
      <c r="I53" s="83"/>
      <c r="J53" s="83"/>
      <c r="K53" s="83" t="s">
        <v>214</v>
      </c>
      <c r="L53" s="83">
        <v>104</v>
      </c>
      <c r="N53" s="83"/>
      <c r="O53" s="83"/>
      <c r="P53" s="83"/>
      <c r="Q53" s="83" t="s">
        <v>214</v>
      </c>
      <c r="R53" s="83">
        <v>104</v>
      </c>
      <c r="V53" s="83"/>
      <c r="W53" s="83"/>
      <c r="X53" s="83"/>
      <c r="Y53" s="83" t="s">
        <v>214</v>
      </c>
      <c r="Z53" s="83">
        <v>170</v>
      </c>
      <c r="AB53" s="83"/>
      <c r="AC53" s="83"/>
      <c r="AD53" s="83"/>
      <c r="AE53" s="83" t="s">
        <v>214</v>
      </c>
      <c r="AF53" s="83">
        <v>180</v>
      </c>
      <c r="AH53" s="83"/>
      <c r="AI53" s="83"/>
      <c r="AJ53" s="83"/>
      <c r="AK53" s="83" t="s">
        <v>214</v>
      </c>
      <c r="AL53" s="83">
        <v>183</v>
      </c>
    </row>
    <row r="54" spans="1:38" x14ac:dyDescent="0.25">
      <c r="B54" s="83"/>
      <c r="C54" s="83"/>
      <c r="D54" s="83"/>
      <c r="E54" s="83" t="s">
        <v>215</v>
      </c>
      <c r="F54" s="175">
        <v>145</v>
      </c>
      <c r="H54" s="83"/>
      <c r="I54" s="83"/>
      <c r="J54" s="83"/>
      <c r="K54" s="83" t="s">
        <v>215</v>
      </c>
      <c r="L54" s="83">
        <v>155</v>
      </c>
      <c r="N54" s="83"/>
      <c r="O54" s="83"/>
      <c r="P54" s="83"/>
      <c r="Q54" s="83" t="s">
        <v>215</v>
      </c>
      <c r="R54" s="83">
        <v>155</v>
      </c>
      <c r="V54" s="83"/>
      <c r="W54" s="83"/>
      <c r="X54" s="83"/>
      <c r="Y54" s="83" t="s">
        <v>215</v>
      </c>
      <c r="Z54" s="176">
        <v>270</v>
      </c>
      <c r="AB54" s="83"/>
      <c r="AC54" s="83"/>
      <c r="AD54" s="83"/>
      <c r="AE54" s="83" t="s">
        <v>215</v>
      </c>
      <c r="AF54" s="83">
        <v>270</v>
      </c>
      <c r="AH54" s="83"/>
      <c r="AI54" s="83"/>
      <c r="AJ54" s="83"/>
      <c r="AK54" s="83" t="s">
        <v>215</v>
      </c>
      <c r="AL54" s="83">
        <v>275</v>
      </c>
    </row>
    <row r="55" spans="1:38" x14ac:dyDescent="0.25">
      <c r="B55" s="83"/>
      <c r="C55" s="83"/>
      <c r="D55" s="83"/>
      <c r="E55" s="83" t="s">
        <v>216</v>
      </c>
      <c r="F55" s="175">
        <v>260</v>
      </c>
      <c r="H55" s="83"/>
      <c r="I55" s="83"/>
      <c r="J55" s="83"/>
      <c r="K55" s="83" t="s">
        <v>216</v>
      </c>
      <c r="L55" s="83">
        <v>280</v>
      </c>
      <c r="N55" s="83"/>
      <c r="O55" s="83"/>
      <c r="P55" s="83"/>
      <c r="Q55" s="83" t="s">
        <v>216</v>
      </c>
      <c r="R55" s="83">
        <v>286</v>
      </c>
      <c r="V55" s="83"/>
      <c r="W55" s="83"/>
      <c r="X55" s="83"/>
      <c r="Y55" s="83" t="s">
        <v>216</v>
      </c>
      <c r="Z55" s="83">
        <v>475</v>
      </c>
      <c r="AB55" s="83"/>
      <c r="AC55" s="83"/>
      <c r="AD55" s="83"/>
      <c r="AE55" s="83" t="s">
        <v>216</v>
      </c>
      <c r="AF55" s="83">
        <v>490</v>
      </c>
      <c r="AH55" s="83"/>
      <c r="AI55" s="83"/>
      <c r="AJ55" s="83"/>
      <c r="AK55" s="83" t="s">
        <v>216</v>
      </c>
      <c r="AL55" s="83">
        <v>490</v>
      </c>
    </row>
    <row r="56" spans="1:38" x14ac:dyDescent="0.25">
      <c r="B56" s="26"/>
      <c r="C56" s="26"/>
      <c r="D56" s="26"/>
      <c r="E56" s="26"/>
      <c r="F56" s="175"/>
      <c r="H56" s="26"/>
      <c r="I56" s="26"/>
      <c r="J56" s="26"/>
      <c r="K56" s="26"/>
      <c r="L56" s="83"/>
      <c r="N56" s="26"/>
      <c r="O56" s="26"/>
      <c r="P56" s="26"/>
      <c r="Q56" s="26"/>
      <c r="R56" s="83"/>
      <c r="V56" s="26"/>
      <c r="W56" s="26"/>
      <c r="X56" s="26"/>
      <c r="Y56" s="26"/>
      <c r="Z56" s="26"/>
      <c r="AB56" s="26"/>
      <c r="AC56" s="26"/>
      <c r="AD56" s="26"/>
      <c r="AE56" s="26"/>
      <c r="AF56" s="83"/>
      <c r="AH56" s="26"/>
      <c r="AI56" s="26"/>
      <c r="AJ56" s="26"/>
      <c r="AK56" s="26"/>
      <c r="AL56" s="83"/>
    </row>
    <row r="57" spans="1:38" x14ac:dyDescent="0.25">
      <c r="B57" s="83">
        <v>32</v>
      </c>
      <c r="C57" s="83">
        <v>9.9</v>
      </c>
      <c r="D57" s="83">
        <v>0.25</v>
      </c>
      <c r="E57" s="83" t="s">
        <v>214</v>
      </c>
      <c r="F57" s="175">
        <v>55</v>
      </c>
      <c r="H57" s="83">
        <v>32</v>
      </c>
      <c r="I57" s="83">
        <v>9.9</v>
      </c>
      <c r="J57" s="83">
        <v>0.5</v>
      </c>
      <c r="K57" s="83" t="s">
        <v>214</v>
      </c>
      <c r="L57" s="83">
        <v>82</v>
      </c>
      <c r="N57" s="83">
        <v>32</v>
      </c>
      <c r="O57" s="83">
        <v>9.9</v>
      </c>
      <c r="P57" s="83">
        <v>1</v>
      </c>
      <c r="Q57" s="83" t="s">
        <v>214</v>
      </c>
      <c r="R57" s="83">
        <v>80</v>
      </c>
      <c r="V57" s="83">
        <v>32</v>
      </c>
      <c r="W57" s="83">
        <v>9.9</v>
      </c>
      <c r="X57" s="180">
        <v>0.5</v>
      </c>
      <c r="Y57" s="83" t="s">
        <v>214</v>
      </c>
      <c r="Z57" s="83">
        <v>142</v>
      </c>
      <c r="AB57" s="83">
        <v>32</v>
      </c>
      <c r="AC57" s="83">
        <v>9.9</v>
      </c>
      <c r="AD57" s="83">
        <v>0.5</v>
      </c>
      <c r="AE57" s="83" t="s">
        <v>214</v>
      </c>
      <c r="AF57" s="175">
        <v>142</v>
      </c>
      <c r="AH57" s="83">
        <v>32</v>
      </c>
      <c r="AI57" s="83">
        <v>9.9</v>
      </c>
      <c r="AJ57" s="83">
        <v>1</v>
      </c>
      <c r="AK57" s="83" t="s">
        <v>214</v>
      </c>
      <c r="AL57" s="83">
        <v>142</v>
      </c>
    </row>
    <row r="58" spans="1:38" x14ac:dyDescent="0.25">
      <c r="B58" s="83"/>
      <c r="C58" s="83"/>
      <c r="D58" s="83"/>
      <c r="E58" s="83" t="s">
        <v>215</v>
      </c>
      <c r="F58" s="175">
        <v>82</v>
      </c>
      <c r="H58" s="83"/>
      <c r="I58" s="83"/>
      <c r="J58" s="83"/>
      <c r="K58" s="83" t="s">
        <v>215</v>
      </c>
      <c r="L58" s="83">
        <v>118</v>
      </c>
      <c r="N58" s="83"/>
      <c r="O58" s="83"/>
      <c r="P58" s="83"/>
      <c r="Q58" s="83" t="s">
        <v>215</v>
      </c>
      <c r="R58" s="83">
        <v>120</v>
      </c>
      <c r="V58" s="83"/>
      <c r="W58" s="83"/>
      <c r="X58" s="83"/>
      <c r="Y58" s="83" t="s">
        <v>215</v>
      </c>
      <c r="Z58" s="83">
        <v>210</v>
      </c>
      <c r="AB58" s="83"/>
      <c r="AC58" s="83"/>
      <c r="AD58" s="83"/>
      <c r="AE58" s="83" t="s">
        <v>215</v>
      </c>
      <c r="AF58" s="83">
        <v>210</v>
      </c>
      <c r="AH58" s="83"/>
      <c r="AI58" s="83"/>
      <c r="AJ58" s="83"/>
      <c r="AK58" s="83" t="s">
        <v>215</v>
      </c>
      <c r="AL58" s="83">
        <v>214</v>
      </c>
    </row>
    <row r="59" spans="1:38" x14ac:dyDescent="0.25">
      <c r="B59" s="83"/>
      <c r="C59" s="83"/>
      <c r="D59" s="83"/>
      <c r="E59" s="83" t="s">
        <v>216</v>
      </c>
      <c r="F59" s="175">
        <v>150</v>
      </c>
      <c r="H59" s="83"/>
      <c r="I59" s="83"/>
      <c r="J59" s="83"/>
      <c r="K59" s="83" t="s">
        <v>216</v>
      </c>
      <c r="L59" s="83">
        <v>209</v>
      </c>
      <c r="N59" s="83"/>
      <c r="O59" s="83"/>
      <c r="P59" s="83"/>
      <c r="Q59" s="83" t="s">
        <v>216</v>
      </c>
      <c r="R59" s="83">
        <v>215</v>
      </c>
      <c r="V59" s="83"/>
      <c r="W59" s="83"/>
      <c r="X59" s="83"/>
      <c r="Y59" s="83" t="s">
        <v>216</v>
      </c>
      <c r="Z59" s="83">
        <v>380</v>
      </c>
      <c r="AB59" s="83"/>
      <c r="AC59" s="83"/>
      <c r="AD59" s="83"/>
      <c r="AE59" s="83" t="s">
        <v>216</v>
      </c>
      <c r="AF59" s="83">
        <v>390</v>
      </c>
      <c r="AH59" s="83"/>
      <c r="AI59" s="83"/>
      <c r="AJ59" s="83"/>
      <c r="AK59" s="83" t="s">
        <v>216</v>
      </c>
      <c r="AL59" s="83">
        <v>390</v>
      </c>
    </row>
    <row r="60" spans="1:38" x14ac:dyDescent="0.25">
      <c r="B60" s="83"/>
      <c r="C60" s="83"/>
      <c r="D60" s="83"/>
      <c r="F60" s="175"/>
      <c r="H60" s="83"/>
      <c r="I60" s="83"/>
      <c r="J60" s="83"/>
      <c r="L60" s="83"/>
      <c r="N60" s="83"/>
      <c r="O60" s="83"/>
      <c r="P60" s="83"/>
      <c r="Q60" s="83"/>
      <c r="R60" s="83"/>
      <c r="V60" s="83"/>
      <c r="W60" s="83"/>
      <c r="X60" s="83"/>
      <c r="Z60" s="83"/>
      <c r="AB60" s="83"/>
      <c r="AC60" s="83"/>
      <c r="AD60" s="83"/>
      <c r="AF60" s="83"/>
      <c r="AH60" s="83"/>
      <c r="AI60" s="83"/>
      <c r="AJ60" s="83"/>
      <c r="AL60" s="83"/>
    </row>
    <row r="61" spans="1:38" x14ac:dyDescent="0.25">
      <c r="B61" s="83">
        <v>40</v>
      </c>
      <c r="C61" s="83">
        <v>9.9</v>
      </c>
      <c r="D61" s="83">
        <v>0.25</v>
      </c>
      <c r="E61" s="83" t="s">
        <v>217</v>
      </c>
      <c r="F61" s="175">
        <v>37</v>
      </c>
      <c r="H61" s="83">
        <v>40</v>
      </c>
      <c r="I61" s="83">
        <v>9.9</v>
      </c>
      <c r="J61" s="83">
        <v>0.5</v>
      </c>
      <c r="K61" s="83" t="s">
        <v>217</v>
      </c>
      <c r="L61" s="83">
        <v>98</v>
      </c>
      <c r="N61" s="83">
        <v>40</v>
      </c>
      <c r="O61" s="83">
        <v>9.9</v>
      </c>
      <c r="P61" s="83">
        <v>1</v>
      </c>
      <c r="Q61" s="83" t="s">
        <v>217</v>
      </c>
      <c r="R61" s="83">
        <v>101</v>
      </c>
      <c r="V61" s="83">
        <v>40</v>
      </c>
      <c r="W61" s="83">
        <v>9.9</v>
      </c>
      <c r="X61" s="180">
        <v>0.5</v>
      </c>
      <c r="Y61" s="83" t="s">
        <v>217</v>
      </c>
      <c r="Z61" s="83">
        <v>135</v>
      </c>
      <c r="AB61" s="83">
        <v>40</v>
      </c>
      <c r="AC61" s="83">
        <v>9.9</v>
      </c>
      <c r="AD61" s="83">
        <v>0.5</v>
      </c>
      <c r="AE61" s="83" t="s">
        <v>217</v>
      </c>
      <c r="AF61" s="175">
        <v>178</v>
      </c>
      <c r="AH61" s="83">
        <v>40</v>
      </c>
      <c r="AI61" s="83">
        <v>9.9</v>
      </c>
      <c r="AJ61" s="83">
        <v>1</v>
      </c>
      <c r="AK61" s="83" t="s">
        <v>217</v>
      </c>
      <c r="AL61" s="83">
        <v>178</v>
      </c>
    </row>
    <row r="62" spans="1:38" x14ac:dyDescent="0.25">
      <c r="B62" s="83"/>
      <c r="C62" s="83"/>
      <c r="D62" s="83"/>
      <c r="E62" s="83" t="s">
        <v>215</v>
      </c>
      <c r="F62" s="175">
        <v>37</v>
      </c>
      <c r="H62" s="83"/>
      <c r="I62" s="83"/>
      <c r="J62" s="83"/>
      <c r="K62" s="83" t="s">
        <v>215</v>
      </c>
      <c r="L62" s="83">
        <v>97</v>
      </c>
      <c r="N62" s="83"/>
      <c r="O62" s="83"/>
      <c r="P62" s="83"/>
      <c r="Q62" s="83" t="s">
        <v>215</v>
      </c>
      <c r="R62" s="83">
        <v>97</v>
      </c>
      <c r="V62" s="83"/>
      <c r="W62" s="83"/>
      <c r="X62" s="83"/>
      <c r="Y62" s="83" t="s">
        <v>215</v>
      </c>
      <c r="Z62" s="83">
        <v>125</v>
      </c>
      <c r="AB62" s="83"/>
      <c r="AC62" s="83"/>
      <c r="AD62" s="83"/>
      <c r="AE62" s="83" t="s">
        <v>215</v>
      </c>
      <c r="AF62" s="83">
        <v>170</v>
      </c>
      <c r="AH62" s="83"/>
      <c r="AI62" s="83"/>
      <c r="AJ62" s="83"/>
      <c r="AK62" s="83" t="s">
        <v>215</v>
      </c>
      <c r="AL62" s="83">
        <v>170</v>
      </c>
    </row>
    <row r="63" spans="1:38" x14ac:dyDescent="0.25">
      <c r="B63" s="83"/>
      <c r="C63" s="83"/>
      <c r="D63" s="83"/>
      <c r="E63" s="83" t="s">
        <v>216</v>
      </c>
      <c r="F63" s="175">
        <v>68</v>
      </c>
      <c r="H63" s="83"/>
      <c r="I63" s="83"/>
      <c r="J63" s="83"/>
      <c r="K63" s="83" t="s">
        <v>216</v>
      </c>
      <c r="L63" s="83">
        <v>175</v>
      </c>
      <c r="N63" s="83"/>
      <c r="O63" s="83"/>
      <c r="P63" s="83"/>
      <c r="Q63" s="83" t="s">
        <v>216</v>
      </c>
      <c r="R63" s="83">
        <v>175</v>
      </c>
      <c r="V63" s="83"/>
      <c r="W63" s="83"/>
      <c r="X63" s="83"/>
      <c r="Y63" s="83" t="s">
        <v>216</v>
      </c>
      <c r="Z63" s="83">
        <v>240</v>
      </c>
      <c r="AB63" s="83"/>
      <c r="AC63" s="83"/>
      <c r="AD63" s="83"/>
      <c r="AE63" s="83" t="s">
        <v>216</v>
      </c>
      <c r="AF63" s="83">
        <v>306</v>
      </c>
      <c r="AH63" s="83"/>
      <c r="AI63" s="83"/>
      <c r="AJ63" s="83"/>
      <c r="AK63" s="83" t="s">
        <v>216</v>
      </c>
      <c r="AL63" s="83">
        <v>306</v>
      </c>
    </row>
    <row r="64" spans="1:38" x14ac:dyDescent="0.25">
      <c r="H64" s="83"/>
      <c r="I64" s="83"/>
      <c r="J64" s="83"/>
      <c r="K64" s="83"/>
      <c r="L64" s="83"/>
      <c r="N64" s="83"/>
      <c r="O64" s="83"/>
      <c r="P64" s="83"/>
      <c r="Q64" s="83"/>
      <c r="R64" s="83"/>
      <c r="AB64" s="83"/>
      <c r="AC64" s="83"/>
      <c r="AD64" s="83"/>
      <c r="AE64" s="83"/>
      <c r="AF64" s="83"/>
      <c r="AH64" s="83"/>
      <c r="AI64" s="83"/>
      <c r="AJ64" s="83"/>
      <c r="AK64" s="83"/>
      <c r="AL64" s="83"/>
    </row>
    <row r="65" spans="2:38" x14ac:dyDescent="0.25">
      <c r="H65" s="83">
        <v>63</v>
      </c>
      <c r="I65" s="83">
        <v>9.9</v>
      </c>
      <c r="J65" s="83">
        <v>0.5</v>
      </c>
      <c r="K65" s="83" t="s">
        <v>216</v>
      </c>
      <c r="L65" s="83">
        <v>80</v>
      </c>
      <c r="N65" s="83">
        <v>63</v>
      </c>
      <c r="O65" s="83">
        <v>9.9</v>
      </c>
      <c r="P65" s="83">
        <v>1</v>
      </c>
      <c r="Q65" s="83" t="s">
        <v>216</v>
      </c>
      <c r="R65" s="83">
        <v>110</v>
      </c>
      <c r="AB65" s="83">
        <v>50</v>
      </c>
      <c r="AC65" s="83">
        <v>9.9</v>
      </c>
      <c r="AD65" s="83">
        <v>0.5</v>
      </c>
      <c r="AE65" s="83" t="s">
        <v>215</v>
      </c>
      <c r="AF65" s="83">
        <v>125</v>
      </c>
      <c r="AH65" s="83">
        <v>50</v>
      </c>
      <c r="AI65" s="83">
        <v>9.9</v>
      </c>
      <c r="AJ65" s="83">
        <v>1</v>
      </c>
      <c r="AK65" s="83" t="s">
        <v>215</v>
      </c>
      <c r="AL65" s="83">
        <v>125</v>
      </c>
    </row>
    <row r="66" spans="2:38" x14ac:dyDescent="0.25">
      <c r="AB66" s="83"/>
      <c r="AC66" s="83"/>
      <c r="AD66" s="83"/>
      <c r="AE66" s="83" t="s">
        <v>216</v>
      </c>
      <c r="AF66" s="175">
        <v>232</v>
      </c>
      <c r="AH66" s="83"/>
      <c r="AI66" s="83"/>
      <c r="AJ66" s="83"/>
      <c r="AK66" s="83" t="s">
        <v>216</v>
      </c>
      <c r="AL66" s="83">
        <v>232</v>
      </c>
    </row>
    <row r="67" spans="2:38" x14ac:dyDescent="0.25">
      <c r="AB67" s="83"/>
      <c r="AC67" s="83"/>
      <c r="AD67" s="83"/>
      <c r="AF67" s="83"/>
      <c r="AH67" s="83"/>
      <c r="AI67" s="83"/>
      <c r="AJ67" s="83"/>
      <c r="AL67" s="83"/>
    </row>
    <row r="68" spans="2:38" x14ac:dyDescent="0.25">
      <c r="AB68" s="83">
        <v>63</v>
      </c>
      <c r="AC68" s="83">
        <v>9.9</v>
      </c>
      <c r="AD68" s="83">
        <v>0.5</v>
      </c>
      <c r="AE68" s="83" t="s">
        <v>216</v>
      </c>
      <c r="AF68" s="83">
        <v>118</v>
      </c>
      <c r="AH68" s="83">
        <v>63</v>
      </c>
      <c r="AI68" s="83">
        <v>9.9</v>
      </c>
      <c r="AJ68" s="83">
        <v>1</v>
      </c>
      <c r="AK68" s="83" t="s">
        <v>216</v>
      </c>
      <c r="AL68" s="83">
        <v>118</v>
      </c>
    </row>
    <row r="69" spans="2:38" x14ac:dyDescent="0.25">
      <c r="B69" s="170" t="s">
        <v>206</v>
      </c>
      <c r="C69" s="170" t="s">
        <v>207</v>
      </c>
      <c r="D69" s="170" t="s">
        <v>208</v>
      </c>
      <c r="E69" s="170" t="s">
        <v>211</v>
      </c>
      <c r="F69" s="170" t="s">
        <v>210</v>
      </c>
      <c r="H69" s="170" t="s">
        <v>206</v>
      </c>
      <c r="I69" s="170" t="s">
        <v>207</v>
      </c>
      <c r="J69" s="170" t="s">
        <v>208</v>
      </c>
      <c r="K69" s="170" t="s">
        <v>211</v>
      </c>
      <c r="L69" s="170" t="s">
        <v>210</v>
      </c>
      <c r="N69" s="170" t="s">
        <v>206</v>
      </c>
      <c r="O69" s="170" t="s">
        <v>207</v>
      </c>
      <c r="P69" s="170" t="s">
        <v>208</v>
      </c>
      <c r="Q69" s="170" t="s">
        <v>211</v>
      </c>
      <c r="R69" s="170" t="s">
        <v>210</v>
      </c>
    </row>
    <row r="70" spans="2:38" x14ac:dyDescent="0.25">
      <c r="B70" s="26"/>
      <c r="C70" s="26"/>
      <c r="D70" s="26"/>
      <c r="F70" s="26"/>
      <c r="H70" s="26"/>
      <c r="I70" s="26"/>
      <c r="J70" s="26"/>
      <c r="K70" s="26"/>
      <c r="L70" s="26"/>
      <c r="N70" s="26"/>
      <c r="O70" s="26"/>
      <c r="P70" s="26"/>
      <c r="Q70" s="26"/>
      <c r="R70" s="83"/>
    </row>
    <row r="71" spans="2:38" x14ac:dyDescent="0.25">
      <c r="B71" s="83">
        <v>25</v>
      </c>
      <c r="C71" s="83">
        <v>9.9</v>
      </c>
      <c r="D71" s="83">
        <v>2</v>
      </c>
      <c r="E71" s="83" t="s">
        <v>212</v>
      </c>
      <c r="F71" s="83">
        <v>63</v>
      </c>
      <c r="H71" s="83">
        <v>25</v>
      </c>
      <c r="I71" s="83">
        <v>9.9</v>
      </c>
      <c r="J71" s="83">
        <v>5</v>
      </c>
      <c r="K71" s="83" t="s">
        <v>213</v>
      </c>
      <c r="L71" s="83">
        <v>63</v>
      </c>
      <c r="N71" s="83">
        <v>25</v>
      </c>
      <c r="O71" s="83">
        <v>9.9</v>
      </c>
      <c r="P71" s="83">
        <v>8.5</v>
      </c>
      <c r="Q71" s="83" t="s">
        <v>213</v>
      </c>
      <c r="R71" s="83">
        <v>63</v>
      </c>
    </row>
    <row r="72" spans="2:38" x14ac:dyDescent="0.25">
      <c r="B72" s="83"/>
      <c r="C72" s="83"/>
      <c r="D72" s="83"/>
      <c r="E72" s="83" t="s">
        <v>214</v>
      </c>
      <c r="F72" s="83">
        <v>104</v>
      </c>
      <c r="H72" s="83"/>
      <c r="I72" s="83"/>
      <c r="J72" s="83"/>
      <c r="K72" s="83" t="s">
        <v>214</v>
      </c>
      <c r="L72" s="83">
        <v>104</v>
      </c>
      <c r="N72" s="83"/>
      <c r="O72" s="83"/>
      <c r="P72" s="83"/>
      <c r="Q72" s="83" t="s">
        <v>214</v>
      </c>
      <c r="R72" s="83">
        <v>104</v>
      </c>
      <c r="V72" s="170" t="s">
        <v>206</v>
      </c>
      <c r="W72" s="170" t="s">
        <v>207</v>
      </c>
      <c r="X72" s="170" t="s">
        <v>208</v>
      </c>
      <c r="Y72" s="170" t="s">
        <v>211</v>
      </c>
      <c r="Z72" s="170" t="s">
        <v>210</v>
      </c>
      <c r="AB72" s="170" t="s">
        <v>206</v>
      </c>
      <c r="AC72" s="170" t="s">
        <v>207</v>
      </c>
      <c r="AD72" s="170" t="s">
        <v>208</v>
      </c>
      <c r="AE72" s="170" t="s">
        <v>211</v>
      </c>
      <c r="AF72" s="170" t="s">
        <v>210</v>
      </c>
      <c r="AH72" s="170" t="s">
        <v>206</v>
      </c>
      <c r="AI72" s="170" t="s">
        <v>207</v>
      </c>
      <c r="AJ72" s="170" t="s">
        <v>208</v>
      </c>
      <c r="AK72" s="170" t="s">
        <v>211</v>
      </c>
      <c r="AL72" s="170" t="s">
        <v>210</v>
      </c>
    </row>
    <row r="73" spans="2:38" x14ac:dyDescent="0.25">
      <c r="B73" s="83"/>
      <c r="C73" s="83"/>
      <c r="D73" s="83"/>
      <c r="E73" s="83" t="s">
        <v>215</v>
      </c>
      <c r="F73" s="83">
        <v>158</v>
      </c>
      <c r="H73" s="83"/>
      <c r="I73" s="83"/>
      <c r="J73" s="83"/>
      <c r="K73" s="83" t="s">
        <v>215</v>
      </c>
      <c r="L73" s="83">
        <v>158</v>
      </c>
      <c r="N73" s="83"/>
      <c r="O73" s="83"/>
      <c r="P73" s="83"/>
      <c r="Q73" s="83" t="s">
        <v>215</v>
      </c>
      <c r="R73" s="83">
        <v>158</v>
      </c>
      <c r="V73" s="26"/>
      <c r="W73" s="26"/>
      <c r="X73" s="26"/>
      <c r="Z73" s="26"/>
      <c r="AB73" s="26"/>
      <c r="AC73" s="26"/>
      <c r="AD73" s="26"/>
      <c r="AE73" s="26"/>
      <c r="AF73" s="26"/>
      <c r="AH73" s="26"/>
      <c r="AI73" s="26"/>
      <c r="AJ73" s="26"/>
      <c r="AK73" s="26"/>
      <c r="AL73" s="83"/>
    </row>
    <row r="74" spans="2:38" x14ac:dyDescent="0.25">
      <c r="B74" s="83"/>
      <c r="C74" s="83"/>
      <c r="D74" s="83"/>
      <c r="E74" s="83" t="s">
        <v>216</v>
      </c>
      <c r="F74" s="83">
        <v>286</v>
      </c>
      <c r="H74" s="83"/>
      <c r="I74" s="83"/>
      <c r="J74" s="83"/>
      <c r="K74" s="83" t="s">
        <v>216</v>
      </c>
      <c r="L74" s="83">
        <v>286</v>
      </c>
      <c r="N74" s="83"/>
      <c r="O74" s="83"/>
      <c r="P74" s="83"/>
      <c r="Q74" s="83" t="s">
        <v>216</v>
      </c>
      <c r="R74" s="83">
        <v>286</v>
      </c>
      <c r="V74" s="83">
        <v>25</v>
      </c>
      <c r="W74" s="83">
        <v>9.9</v>
      </c>
      <c r="X74" s="83">
        <v>2</v>
      </c>
      <c r="Y74" s="83" t="s">
        <v>212</v>
      </c>
      <c r="Z74" s="83">
        <v>108</v>
      </c>
      <c r="AB74" s="83">
        <v>25</v>
      </c>
      <c r="AC74" s="83">
        <v>9.9</v>
      </c>
      <c r="AD74" s="83">
        <v>5</v>
      </c>
      <c r="AE74" s="83" t="s">
        <v>213</v>
      </c>
      <c r="AF74" s="83">
        <v>108</v>
      </c>
      <c r="AH74" s="83">
        <v>25</v>
      </c>
      <c r="AI74" s="83">
        <v>9.9</v>
      </c>
      <c r="AJ74" s="83">
        <v>8.5</v>
      </c>
      <c r="AK74" s="83" t="s">
        <v>213</v>
      </c>
      <c r="AL74" s="83">
        <v>108</v>
      </c>
    </row>
    <row r="75" spans="2:38" x14ac:dyDescent="0.25">
      <c r="B75" s="26"/>
      <c r="C75" s="26"/>
      <c r="D75" s="26"/>
      <c r="E75" s="26"/>
      <c r="F75" s="83"/>
      <c r="H75" s="26"/>
      <c r="I75" s="26"/>
      <c r="J75" s="26"/>
      <c r="K75" s="26"/>
      <c r="L75" s="83"/>
      <c r="N75" s="26"/>
      <c r="O75" s="26"/>
      <c r="P75" s="26"/>
      <c r="Q75" s="26"/>
      <c r="R75" s="83"/>
      <c r="V75" s="83"/>
      <c r="W75" s="83"/>
      <c r="X75" s="83"/>
      <c r="Y75" s="83" t="s">
        <v>214</v>
      </c>
      <c r="Z75" s="83">
        <v>180</v>
      </c>
      <c r="AB75" s="83"/>
      <c r="AC75" s="83"/>
      <c r="AD75" s="83"/>
      <c r="AE75" s="83" t="s">
        <v>214</v>
      </c>
      <c r="AF75" s="83">
        <v>180</v>
      </c>
      <c r="AH75" s="83"/>
      <c r="AI75" s="83"/>
      <c r="AJ75" s="83"/>
      <c r="AK75" s="83" t="s">
        <v>214</v>
      </c>
      <c r="AL75" s="83">
        <v>180</v>
      </c>
    </row>
    <row r="76" spans="2:38" x14ac:dyDescent="0.25">
      <c r="B76" s="83">
        <v>32</v>
      </c>
      <c r="C76" s="83">
        <v>9.9</v>
      </c>
      <c r="D76" s="83">
        <v>2</v>
      </c>
      <c r="E76" s="83" t="s">
        <v>214</v>
      </c>
      <c r="F76" s="83">
        <v>81</v>
      </c>
      <c r="H76" s="83">
        <v>32</v>
      </c>
      <c r="I76" s="83">
        <v>9.9</v>
      </c>
      <c r="J76" s="83">
        <v>5</v>
      </c>
      <c r="K76" s="83" t="s">
        <v>214</v>
      </c>
      <c r="L76" s="83">
        <v>81</v>
      </c>
      <c r="N76" s="83">
        <v>32</v>
      </c>
      <c r="O76" s="83">
        <v>9.9</v>
      </c>
      <c r="P76" s="83">
        <v>8.5</v>
      </c>
      <c r="Q76" s="83" t="s">
        <v>214</v>
      </c>
      <c r="R76" s="83">
        <v>81</v>
      </c>
      <c r="V76" s="83"/>
      <c r="W76" s="83"/>
      <c r="X76" s="83"/>
      <c r="Y76" s="83" t="s">
        <v>215</v>
      </c>
      <c r="Z76" s="83">
        <v>275</v>
      </c>
      <c r="AB76" s="83"/>
      <c r="AC76" s="83"/>
      <c r="AD76" s="83"/>
      <c r="AE76" s="83" t="s">
        <v>215</v>
      </c>
      <c r="AF76" s="83">
        <v>275</v>
      </c>
      <c r="AH76" s="83"/>
      <c r="AI76" s="83"/>
      <c r="AJ76" s="83"/>
      <c r="AK76" s="83" t="s">
        <v>215</v>
      </c>
      <c r="AL76" s="83">
        <v>275</v>
      </c>
    </row>
    <row r="77" spans="2:38" x14ac:dyDescent="0.25">
      <c r="B77" s="83"/>
      <c r="C77" s="83"/>
      <c r="D77" s="26"/>
      <c r="E77" s="83" t="s">
        <v>215</v>
      </c>
      <c r="F77" s="83">
        <v>122</v>
      </c>
      <c r="H77" s="83"/>
      <c r="I77" s="83"/>
      <c r="J77" s="83"/>
      <c r="K77" s="83" t="s">
        <v>215</v>
      </c>
      <c r="L77" s="83">
        <v>122</v>
      </c>
      <c r="N77" s="83"/>
      <c r="O77" s="83"/>
      <c r="P77" s="83"/>
      <c r="Q77" s="83" t="s">
        <v>215</v>
      </c>
      <c r="R77" s="83">
        <v>122</v>
      </c>
      <c r="V77" s="83"/>
      <c r="W77" s="83"/>
      <c r="X77" s="83"/>
      <c r="Y77" s="83" t="s">
        <v>216</v>
      </c>
      <c r="Z77" s="83">
        <v>490</v>
      </c>
      <c r="AB77" s="83"/>
      <c r="AC77" s="83"/>
      <c r="AD77" s="83"/>
      <c r="AE77" s="83" t="s">
        <v>216</v>
      </c>
      <c r="AF77" s="83">
        <v>490</v>
      </c>
      <c r="AH77" s="83"/>
      <c r="AI77" s="83"/>
      <c r="AJ77" s="83"/>
      <c r="AK77" s="83" t="s">
        <v>216</v>
      </c>
      <c r="AL77" s="83">
        <v>490</v>
      </c>
    </row>
    <row r="78" spans="2:38" x14ac:dyDescent="0.25">
      <c r="B78" s="83"/>
      <c r="C78" s="83"/>
      <c r="D78" s="26"/>
      <c r="E78" s="83" t="s">
        <v>216</v>
      </c>
      <c r="F78" s="83">
        <v>223</v>
      </c>
      <c r="H78" s="83"/>
      <c r="I78" s="83"/>
      <c r="J78" s="83"/>
      <c r="K78" s="83" t="s">
        <v>216</v>
      </c>
      <c r="L78" s="83">
        <v>226</v>
      </c>
      <c r="N78" s="83"/>
      <c r="O78" s="83"/>
      <c r="P78" s="83"/>
      <c r="Q78" s="83" t="s">
        <v>216</v>
      </c>
      <c r="R78" s="83">
        <v>226</v>
      </c>
      <c r="V78" s="26"/>
      <c r="W78" s="26"/>
      <c r="X78" s="26"/>
      <c r="Y78" s="26"/>
      <c r="Z78" s="83"/>
      <c r="AB78" s="26"/>
      <c r="AC78" s="26"/>
      <c r="AD78" s="26"/>
      <c r="AE78" s="26"/>
      <c r="AF78" s="83"/>
      <c r="AH78" s="26"/>
      <c r="AI78" s="26"/>
      <c r="AJ78" s="26"/>
      <c r="AK78" s="26"/>
      <c r="AL78" s="83"/>
    </row>
    <row r="79" spans="2:38" x14ac:dyDescent="0.25">
      <c r="B79" s="83"/>
      <c r="C79" s="83"/>
      <c r="D79" s="26"/>
      <c r="F79" s="83"/>
      <c r="H79" s="83"/>
      <c r="I79" s="83"/>
      <c r="J79" s="83"/>
      <c r="L79" s="83"/>
      <c r="N79" s="83"/>
      <c r="O79" s="83"/>
      <c r="P79" s="83"/>
      <c r="R79" s="83"/>
      <c r="V79" s="83">
        <v>32</v>
      </c>
      <c r="W79" s="83">
        <v>9.9</v>
      </c>
      <c r="X79" s="83">
        <v>2</v>
      </c>
      <c r="Y79" s="83" t="s">
        <v>214</v>
      </c>
      <c r="Z79" s="83">
        <v>142</v>
      </c>
      <c r="AB79" s="83">
        <v>32</v>
      </c>
      <c r="AC79" s="83">
        <v>9.9</v>
      </c>
      <c r="AD79" s="83">
        <v>5</v>
      </c>
      <c r="AE79" s="83" t="s">
        <v>214</v>
      </c>
      <c r="AF79" s="83">
        <v>142</v>
      </c>
      <c r="AH79" s="83">
        <v>32</v>
      </c>
      <c r="AI79" s="83">
        <v>9.9</v>
      </c>
      <c r="AJ79" s="83">
        <v>8.5</v>
      </c>
      <c r="AK79" s="83" t="s">
        <v>214</v>
      </c>
      <c r="AL79" s="83">
        <v>142</v>
      </c>
    </row>
    <row r="80" spans="2:38" x14ac:dyDescent="0.25">
      <c r="B80" s="83"/>
      <c r="C80" s="83"/>
      <c r="D80" s="83"/>
      <c r="E80" s="83"/>
      <c r="F80" s="83"/>
      <c r="H80" s="83"/>
      <c r="I80" s="83"/>
      <c r="J80" s="83"/>
      <c r="K80" s="83"/>
      <c r="L80" s="83"/>
      <c r="N80" s="83"/>
      <c r="O80" s="83"/>
      <c r="P80" s="83"/>
      <c r="Q80" s="83"/>
      <c r="R80" s="83"/>
      <c r="V80" s="83"/>
      <c r="W80" s="83"/>
      <c r="X80" s="26"/>
      <c r="Y80" s="83" t="s">
        <v>215</v>
      </c>
      <c r="Z80" s="83">
        <v>214</v>
      </c>
      <c r="AB80" s="83"/>
      <c r="AC80" s="83"/>
      <c r="AD80" s="83"/>
      <c r="AE80" s="83" t="s">
        <v>215</v>
      </c>
      <c r="AF80" s="83">
        <v>214</v>
      </c>
      <c r="AH80" s="83"/>
      <c r="AI80" s="83"/>
      <c r="AJ80" s="83"/>
      <c r="AK80" s="83" t="s">
        <v>215</v>
      </c>
      <c r="AL80" s="83">
        <v>214</v>
      </c>
    </row>
    <row r="81" spans="2:38" x14ac:dyDescent="0.25">
      <c r="B81" s="83">
        <v>40</v>
      </c>
      <c r="C81" s="83">
        <v>9.9</v>
      </c>
      <c r="D81" s="83">
        <v>2</v>
      </c>
      <c r="E81" s="83" t="s">
        <v>217</v>
      </c>
      <c r="F81" s="83">
        <v>103</v>
      </c>
      <c r="H81" s="83">
        <v>40</v>
      </c>
      <c r="I81" s="83">
        <v>9.9</v>
      </c>
      <c r="J81" s="83">
        <v>5</v>
      </c>
      <c r="K81" s="83" t="s">
        <v>217</v>
      </c>
      <c r="L81" s="83">
        <v>103</v>
      </c>
      <c r="N81" s="83">
        <v>40</v>
      </c>
      <c r="O81" s="83">
        <v>9.9</v>
      </c>
      <c r="P81" s="83">
        <v>8.5</v>
      </c>
      <c r="Q81" s="83" t="s">
        <v>217</v>
      </c>
      <c r="R81" s="83">
        <v>103</v>
      </c>
      <c r="V81" s="83"/>
      <c r="W81" s="83"/>
      <c r="X81" s="26"/>
      <c r="Y81" s="83" t="s">
        <v>216</v>
      </c>
      <c r="Z81" s="83">
        <v>390</v>
      </c>
      <c r="AB81" s="83"/>
      <c r="AC81" s="83"/>
      <c r="AD81" s="83"/>
      <c r="AE81" s="83" t="s">
        <v>216</v>
      </c>
      <c r="AF81" s="83">
        <v>390</v>
      </c>
      <c r="AH81" s="83"/>
      <c r="AI81" s="83"/>
      <c r="AJ81" s="83"/>
      <c r="AK81" s="83" t="s">
        <v>216</v>
      </c>
      <c r="AL81" s="83">
        <v>390</v>
      </c>
    </row>
    <row r="82" spans="2:38" x14ac:dyDescent="0.25">
      <c r="B82" s="83"/>
      <c r="C82" s="83"/>
      <c r="D82" s="83"/>
      <c r="E82" s="83" t="s">
        <v>215</v>
      </c>
      <c r="F82" s="83">
        <v>97</v>
      </c>
      <c r="H82" s="83"/>
      <c r="I82" s="83"/>
      <c r="J82" s="83"/>
      <c r="K82" s="83" t="s">
        <v>215</v>
      </c>
      <c r="L82" s="83">
        <v>97</v>
      </c>
      <c r="N82" s="83"/>
      <c r="O82" s="83"/>
      <c r="P82" s="83"/>
      <c r="Q82" s="83" t="s">
        <v>215</v>
      </c>
      <c r="R82" s="83">
        <v>97</v>
      </c>
      <c r="V82" s="83"/>
      <c r="W82" s="83"/>
      <c r="X82" s="83"/>
      <c r="Y82" s="83"/>
      <c r="Z82" s="83"/>
      <c r="AB82" s="83"/>
      <c r="AC82" s="83"/>
      <c r="AD82" s="83"/>
      <c r="AE82" s="83"/>
      <c r="AF82" s="83"/>
      <c r="AH82" s="83"/>
      <c r="AI82" s="83"/>
      <c r="AJ82" s="83"/>
      <c r="AK82" s="83"/>
      <c r="AL82" s="83"/>
    </row>
    <row r="83" spans="2:38" x14ac:dyDescent="0.25">
      <c r="B83" s="83"/>
      <c r="C83" s="83"/>
      <c r="D83" s="83"/>
      <c r="E83" s="83" t="s">
        <v>216</v>
      </c>
      <c r="F83" s="83">
        <v>179</v>
      </c>
      <c r="H83" s="83"/>
      <c r="I83" s="83"/>
      <c r="J83" s="83"/>
      <c r="K83" s="83" t="s">
        <v>216</v>
      </c>
      <c r="L83" s="83">
        <v>179</v>
      </c>
      <c r="N83" s="83"/>
      <c r="O83" s="83"/>
      <c r="P83" s="83"/>
      <c r="Q83" s="83" t="s">
        <v>216</v>
      </c>
      <c r="R83" s="83">
        <v>179</v>
      </c>
      <c r="V83" s="83">
        <v>40</v>
      </c>
      <c r="W83" s="83">
        <v>9.9</v>
      </c>
      <c r="X83" s="83">
        <v>2</v>
      </c>
      <c r="Y83" s="83" t="s">
        <v>217</v>
      </c>
      <c r="Z83" s="83">
        <v>178</v>
      </c>
      <c r="AB83" s="83">
        <v>40</v>
      </c>
      <c r="AC83" s="83">
        <v>9.9</v>
      </c>
      <c r="AD83" s="83">
        <v>5</v>
      </c>
      <c r="AE83" s="83" t="s">
        <v>217</v>
      </c>
      <c r="AF83" s="83">
        <v>178</v>
      </c>
      <c r="AH83" s="83">
        <v>40</v>
      </c>
      <c r="AI83" s="83">
        <v>9.9</v>
      </c>
      <c r="AJ83" s="83">
        <v>8.5</v>
      </c>
      <c r="AK83" s="83" t="s">
        <v>217</v>
      </c>
      <c r="AL83" s="83">
        <v>178</v>
      </c>
    </row>
    <row r="84" spans="2:38" x14ac:dyDescent="0.25">
      <c r="B84" s="83"/>
      <c r="C84" s="83"/>
      <c r="D84" s="83"/>
      <c r="E84" s="83"/>
      <c r="F84" s="83"/>
      <c r="H84" s="83"/>
      <c r="I84" s="83"/>
      <c r="J84" s="83"/>
      <c r="K84" s="83"/>
      <c r="L84" s="83"/>
      <c r="N84" s="83"/>
      <c r="O84" s="83"/>
      <c r="P84" s="83"/>
      <c r="Q84" s="83"/>
      <c r="R84" s="83"/>
      <c r="V84" s="83"/>
      <c r="W84" s="83"/>
      <c r="X84" s="83"/>
      <c r="Y84" s="83" t="s">
        <v>215</v>
      </c>
      <c r="Z84" s="83">
        <v>172</v>
      </c>
      <c r="AB84" s="83"/>
      <c r="AC84" s="83"/>
      <c r="AD84" s="83"/>
      <c r="AE84" s="83" t="s">
        <v>215</v>
      </c>
      <c r="AF84" s="83">
        <v>172</v>
      </c>
      <c r="AH84" s="83"/>
      <c r="AI84" s="83"/>
      <c r="AJ84" s="83"/>
      <c r="AK84" s="83" t="s">
        <v>215</v>
      </c>
      <c r="AL84" s="83">
        <v>172</v>
      </c>
    </row>
    <row r="85" spans="2:38" x14ac:dyDescent="0.25">
      <c r="B85" s="83">
        <v>63</v>
      </c>
      <c r="C85" s="83">
        <v>9.9</v>
      </c>
      <c r="D85" s="83">
        <v>2</v>
      </c>
      <c r="E85" s="83" t="s">
        <v>216</v>
      </c>
      <c r="F85" s="83">
        <v>113</v>
      </c>
      <c r="H85" s="83">
        <v>63</v>
      </c>
      <c r="I85" s="83">
        <v>9.9</v>
      </c>
      <c r="J85" s="83">
        <v>5</v>
      </c>
      <c r="K85" s="83" t="s">
        <v>216</v>
      </c>
      <c r="L85" s="83">
        <v>113</v>
      </c>
      <c r="N85" s="83">
        <v>63</v>
      </c>
      <c r="O85" s="83">
        <v>9.9</v>
      </c>
      <c r="P85" s="83">
        <v>8.5</v>
      </c>
      <c r="Q85" s="83" t="s">
        <v>216</v>
      </c>
      <c r="R85" s="83">
        <v>113</v>
      </c>
      <c r="V85" s="83"/>
      <c r="W85" s="83"/>
      <c r="X85" s="83"/>
      <c r="Y85" s="83" t="s">
        <v>216</v>
      </c>
      <c r="Z85" s="83">
        <v>312</v>
      </c>
      <c r="AB85" s="83"/>
      <c r="AC85" s="83"/>
      <c r="AD85" s="83"/>
      <c r="AE85" s="83" t="s">
        <v>216</v>
      </c>
      <c r="AF85" s="83">
        <v>312</v>
      </c>
      <c r="AH85" s="83"/>
      <c r="AI85" s="83"/>
      <c r="AJ85" s="83"/>
      <c r="AK85" s="83" t="s">
        <v>216</v>
      </c>
      <c r="AL85" s="83">
        <v>312</v>
      </c>
    </row>
    <row r="86" spans="2:38" x14ac:dyDescent="0.25">
      <c r="B86" s="83"/>
      <c r="C86" s="83"/>
      <c r="D86" s="83"/>
      <c r="E86" s="83"/>
      <c r="F86" s="83"/>
      <c r="H86" s="83"/>
      <c r="I86" s="83"/>
      <c r="J86" s="83"/>
      <c r="L86" s="83"/>
      <c r="N86" s="83"/>
      <c r="O86" s="83"/>
      <c r="P86" s="83"/>
      <c r="R86" s="83"/>
      <c r="V86" s="83"/>
      <c r="W86" s="83"/>
      <c r="X86" s="83"/>
      <c r="Y86" s="83"/>
      <c r="Z86" s="83"/>
      <c r="AB86" s="83"/>
      <c r="AC86" s="83"/>
      <c r="AD86" s="83"/>
      <c r="AE86" s="83"/>
      <c r="AF86" s="83"/>
      <c r="AH86" s="83"/>
      <c r="AI86" s="83"/>
      <c r="AJ86" s="83"/>
      <c r="AK86" s="83"/>
      <c r="AL86" s="83"/>
    </row>
    <row r="87" spans="2:38" x14ac:dyDescent="0.25">
      <c r="B87" s="83">
        <v>80</v>
      </c>
      <c r="C87" s="83">
        <v>9.9</v>
      </c>
      <c r="D87" s="83">
        <v>2</v>
      </c>
      <c r="E87" s="83" t="s">
        <v>218</v>
      </c>
      <c r="F87" s="83">
        <v>170</v>
      </c>
      <c r="H87" s="83">
        <v>80</v>
      </c>
      <c r="I87" s="83">
        <v>9.9</v>
      </c>
      <c r="J87" s="83">
        <v>5</v>
      </c>
      <c r="K87" s="83" t="s">
        <v>218</v>
      </c>
      <c r="L87" s="83">
        <v>170</v>
      </c>
      <c r="N87" s="83">
        <v>80</v>
      </c>
      <c r="O87" s="83">
        <v>9.9</v>
      </c>
      <c r="P87" s="83">
        <v>8.5</v>
      </c>
      <c r="Q87" s="83" t="s">
        <v>216</v>
      </c>
      <c r="R87" s="83">
        <v>170</v>
      </c>
      <c r="V87" s="83">
        <v>50</v>
      </c>
      <c r="W87" s="83">
        <v>9.9</v>
      </c>
      <c r="X87" s="83">
        <v>2</v>
      </c>
      <c r="Y87" s="83" t="s">
        <v>215</v>
      </c>
      <c r="Z87" s="83">
        <v>126</v>
      </c>
      <c r="AB87" s="83">
        <v>50</v>
      </c>
      <c r="AC87" s="83">
        <v>9.9</v>
      </c>
      <c r="AD87" s="83">
        <v>5</v>
      </c>
      <c r="AE87" s="83" t="s">
        <v>215</v>
      </c>
      <c r="AF87" s="83">
        <v>126</v>
      </c>
      <c r="AH87" s="83">
        <v>50</v>
      </c>
      <c r="AI87" s="83">
        <v>9.9</v>
      </c>
      <c r="AJ87" s="83">
        <v>8.5</v>
      </c>
      <c r="AK87" s="83" t="s">
        <v>215</v>
      </c>
      <c r="AL87" s="83">
        <v>126</v>
      </c>
    </row>
    <row r="88" spans="2:38" x14ac:dyDescent="0.25">
      <c r="V88" s="83"/>
      <c r="W88" s="83"/>
      <c r="X88" s="83"/>
      <c r="Y88" s="83" t="s">
        <v>216</v>
      </c>
      <c r="Z88" s="83">
        <v>232</v>
      </c>
      <c r="AB88" s="83"/>
      <c r="AC88" s="83"/>
      <c r="AD88" s="83"/>
      <c r="AE88" s="83" t="s">
        <v>216</v>
      </c>
      <c r="AF88" s="83">
        <v>232</v>
      </c>
      <c r="AH88" s="83"/>
      <c r="AI88" s="83"/>
      <c r="AJ88" s="83"/>
      <c r="AK88" s="83" t="s">
        <v>216</v>
      </c>
      <c r="AL88" s="83">
        <v>232</v>
      </c>
    </row>
    <row r="89" spans="2:38" x14ac:dyDescent="0.25">
      <c r="V89" s="83"/>
      <c r="W89" s="83"/>
      <c r="X89" s="83"/>
      <c r="Z89" s="83"/>
      <c r="AB89" s="83"/>
      <c r="AC89" s="83"/>
      <c r="AD89" s="83"/>
      <c r="AF89" s="83"/>
      <c r="AH89" s="83"/>
      <c r="AI89" s="83"/>
      <c r="AJ89" s="83"/>
      <c r="AL89" s="83"/>
    </row>
    <row r="90" spans="2:38" x14ac:dyDescent="0.25">
      <c r="V90" s="83">
        <v>63</v>
      </c>
      <c r="W90" s="83">
        <v>9.9</v>
      </c>
      <c r="X90" s="83">
        <v>2</v>
      </c>
      <c r="Y90" s="83" t="s">
        <v>216</v>
      </c>
      <c r="Z90" s="83">
        <v>119</v>
      </c>
      <c r="AB90" s="83">
        <v>63</v>
      </c>
      <c r="AC90" s="83">
        <v>9.9</v>
      </c>
      <c r="AD90" s="83">
        <v>5</v>
      </c>
      <c r="AE90" s="83" t="s">
        <v>216</v>
      </c>
      <c r="AF90" s="83">
        <v>119</v>
      </c>
      <c r="AH90" s="83">
        <v>63</v>
      </c>
      <c r="AI90" s="83">
        <v>9.9</v>
      </c>
      <c r="AJ90" s="83">
        <v>8.5</v>
      </c>
      <c r="AK90" s="83" t="s">
        <v>216</v>
      </c>
      <c r="AL90" s="83">
        <v>119</v>
      </c>
    </row>
    <row r="96" spans="2:38" ht="15.75" thickBot="1" x14ac:dyDescent="0.3"/>
    <row r="97" spans="1:32" x14ac:dyDescent="0.25">
      <c r="A97" s="162" t="s">
        <v>199</v>
      </c>
      <c r="C97" s="163" t="s">
        <v>200</v>
      </c>
      <c r="D97" s="164" t="s">
        <v>201</v>
      </c>
      <c r="E97" s="165" t="s">
        <v>202</v>
      </c>
      <c r="U97" s="162" t="s">
        <v>220</v>
      </c>
      <c r="W97" s="163" t="s">
        <v>200</v>
      </c>
      <c r="X97" s="164" t="s">
        <v>201</v>
      </c>
      <c r="Y97" s="165" t="s">
        <v>202</v>
      </c>
    </row>
    <row r="98" spans="1:32" ht="15.75" thickBot="1" x14ac:dyDescent="0.3">
      <c r="A98" s="172" t="s">
        <v>221</v>
      </c>
      <c r="C98" s="167"/>
      <c r="D98" s="168" t="s">
        <v>223</v>
      </c>
      <c r="E98" s="169" t="s">
        <v>224</v>
      </c>
      <c r="U98" s="172" t="s">
        <v>221</v>
      </c>
      <c r="W98" s="167"/>
      <c r="X98" s="168" t="s">
        <v>223</v>
      </c>
      <c r="Y98" s="169" t="s">
        <v>224</v>
      </c>
    </row>
    <row r="99" spans="1:32" ht="15.75" thickBot="1" x14ac:dyDescent="0.3">
      <c r="A99" s="177" t="s">
        <v>225</v>
      </c>
      <c r="U99" s="177" t="s">
        <v>225</v>
      </c>
    </row>
    <row r="100" spans="1:32" x14ac:dyDescent="0.25">
      <c r="B100" s="170" t="s">
        <v>206</v>
      </c>
      <c r="C100" s="170" t="s">
        <v>207</v>
      </c>
      <c r="D100" s="170" t="s">
        <v>208</v>
      </c>
      <c r="E100" s="170" t="s">
        <v>211</v>
      </c>
      <c r="F100" s="170" t="s">
        <v>210</v>
      </c>
      <c r="H100" s="170" t="s">
        <v>206</v>
      </c>
      <c r="I100" s="170" t="s">
        <v>207</v>
      </c>
      <c r="J100" s="170" t="s">
        <v>208</v>
      </c>
      <c r="K100" s="170" t="s">
        <v>211</v>
      </c>
      <c r="L100" s="170" t="s">
        <v>210</v>
      </c>
      <c r="V100" s="170" t="s">
        <v>206</v>
      </c>
      <c r="W100" s="170" t="s">
        <v>207</v>
      </c>
      <c r="X100" s="170" t="s">
        <v>208</v>
      </c>
      <c r="Y100" s="170" t="s">
        <v>211</v>
      </c>
      <c r="Z100" s="170" t="s">
        <v>210</v>
      </c>
      <c r="AB100" s="170" t="s">
        <v>206</v>
      </c>
      <c r="AC100" s="170" t="s">
        <v>207</v>
      </c>
      <c r="AD100" s="170" t="s">
        <v>208</v>
      </c>
      <c r="AE100" s="170" t="s">
        <v>211</v>
      </c>
      <c r="AF100" s="170" t="s">
        <v>210</v>
      </c>
    </row>
    <row r="101" spans="1:32" x14ac:dyDescent="0.25">
      <c r="B101" s="26"/>
      <c r="C101" s="26"/>
      <c r="D101" s="26"/>
      <c r="E101" s="26"/>
      <c r="F101" s="26"/>
      <c r="H101" s="26"/>
      <c r="I101" s="26"/>
      <c r="J101" s="26"/>
      <c r="K101" s="26"/>
      <c r="L101" s="83"/>
      <c r="V101" s="26"/>
      <c r="W101" s="26"/>
      <c r="X101" s="26"/>
      <c r="Y101" s="26"/>
      <c r="Z101" s="26"/>
      <c r="AB101" s="26"/>
      <c r="AC101" s="26"/>
      <c r="AD101" s="26"/>
      <c r="AE101" s="26"/>
      <c r="AF101" s="83"/>
    </row>
    <row r="102" spans="1:32" x14ac:dyDescent="0.25">
      <c r="B102" s="83">
        <v>25</v>
      </c>
      <c r="C102" s="83">
        <v>19.899999999999999</v>
      </c>
      <c r="D102" s="83">
        <v>10</v>
      </c>
      <c r="E102" s="83" t="s">
        <v>213</v>
      </c>
      <c r="F102" s="83">
        <v>63</v>
      </c>
      <c r="H102" s="83">
        <v>25</v>
      </c>
      <c r="I102" s="83">
        <v>19.899999999999999</v>
      </c>
      <c r="J102" s="83">
        <v>15</v>
      </c>
      <c r="K102" s="83" t="s">
        <v>213</v>
      </c>
      <c r="L102" s="83">
        <v>63</v>
      </c>
      <c r="V102" s="83">
        <v>25</v>
      </c>
      <c r="W102" s="83">
        <v>19.899999999999999</v>
      </c>
      <c r="X102" s="83">
        <v>10</v>
      </c>
      <c r="Y102" s="83" t="s">
        <v>213</v>
      </c>
      <c r="Z102" s="83">
        <v>109</v>
      </c>
      <c r="AB102" s="83">
        <v>25</v>
      </c>
      <c r="AC102" s="83">
        <v>19.899999999999999</v>
      </c>
      <c r="AD102" s="83">
        <v>15</v>
      </c>
      <c r="AE102" s="83" t="s">
        <v>213</v>
      </c>
      <c r="AF102" s="83">
        <v>109</v>
      </c>
    </row>
    <row r="103" spans="1:32" x14ac:dyDescent="0.25">
      <c r="B103" s="83"/>
      <c r="C103" s="83"/>
      <c r="D103" s="83"/>
      <c r="E103" s="83" t="s">
        <v>214</v>
      </c>
      <c r="F103" s="83">
        <v>105</v>
      </c>
      <c r="H103" s="83"/>
      <c r="I103" s="83"/>
      <c r="J103" s="83"/>
      <c r="K103" s="83" t="s">
        <v>214</v>
      </c>
      <c r="L103" s="83">
        <v>105</v>
      </c>
      <c r="V103" s="83"/>
      <c r="W103" s="83"/>
      <c r="X103" s="83"/>
      <c r="Y103" s="83" t="s">
        <v>214</v>
      </c>
      <c r="Z103" s="83">
        <v>181</v>
      </c>
      <c r="AB103" s="83"/>
      <c r="AC103" s="83"/>
      <c r="AD103" s="83"/>
      <c r="AE103" s="83" t="s">
        <v>214</v>
      </c>
      <c r="AF103" s="83">
        <v>183</v>
      </c>
    </row>
    <row r="104" spans="1:32" x14ac:dyDescent="0.25">
      <c r="B104" s="83"/>
      <c r="C104" s="83"/>
      <c r="D104" s="83"/>
      <c r="E104" s="83" t="s">
        <v>215</v>
      </c>
      <c r="F104" s="83">
        <v>158</v>
      </c>
      <c r="H104" s="83"/>
      <c r="I104" s="83"/>
      <c r="J104" s="83"/>
      <c r="K104" s="83" t="s">
        <v>215</v>
      </c>
      <c r="L104" s="83">
        <v>158</v>
      </c>
      <c r="V104" s="83"/>
      <c r="W104" s="83"/>
      <c r="X104" s="83"/>
      <c r="Y104" s="83" t="s">
        <v>215</v>
      </c>
      <c r="Z104" s="175">
        <v>271</v>
      </c>
      <c r="AB104" s="83"/>
      <c r="AC104" s="83"/>
      <c r="AD104" s="83"/>
      <c r="AE104" s="83" t="s">
        <v>215</v>
      </c>
      <c r="AF104" s="83">
        <v>271</v>
      </c>
    </row>
    <row r="105" spans="1:32" x14ac:dyDescent="0.25">
      <c r="B105" s="83"/>
      <c r="C105" s="83"/>
      <c r="D105" s="83"/>
      <c r="E105" s="83" t="s">
        <v>216</v>
      </c>
      <c r="F105" s="83">
        <v>289</v>
      </c>
      <c r="H105" s="83"/>
      <c r="I105" s="83"/>
      <c r="J105" s="83"/>
      <c r="K105" s="83" t="s">
        <v>216</v>
      </c>
      <c r="L105" s="83">
        <v>289</v>
      </c>
      <c r="V105" s="83"/>
      <c r="W105" s="83"/>
      <c r="X105" s="83"/>
      <c r="Y105" s="83" t="s">
        <v>216</v>
      </c>
      <c r="Z105" s="83">
        <v>490</v>
      </c>
      <c r="AB105" s="83"/>
      <c r="AC105" s="83"/>
      <c r="AD105" s="83"/>
      <c r="AE105" s="83" t="s">
        <v>216</v>
      </c>
      <c r="AF105" s="83">
        <v>500</v>
      </c>
    </row>
    <row r="106" spans="1:32" x14ac:dyDescent="0.25">
      <c r="B106" s="26"/>
      <c r="C106" s="26"/>
      <c r="D106" s="26"/>
      <c r="E106" s="26"/>
      <c r="F106" s="83"/>
      <c r="H106" s="26"/>
      <c r="I106" s="26"/>
      <c r="J106" s="26"/>
      <c r="K106" s="26"/>
      <c r="L106" s="83"/>
      <c r="V106" s="26"/>
      <c r="W106" s="26"/>
      <c r="X106" s="26"/>
      <c r="Y106" s="26"/>
      <c r="Z106" s="83"/>
      <c r="AB106" s="26"/>
      <c r="AC106" s="26"/>
      <c r="AD106" s="26"/>
      <c r="AE106" s="26"/>
      <c r="AF106" s="83"/>
    </row>
    <row r="107" spans="1:32" x14ac:dyDescent="0.25">
      <c r="B107" s="83">
        <v>32</v>
      </c>
      <c r="C107" s="83">
        <v>19.899999999999999</v>
      </c>
      <c r="D107" s="83">
        <v>10</v>
      </c>
      <c r="E107" s="83" t="s">
        <v>214</v>
      </c>
      <c r="F107" s="83">
        <v>82</v>
      </c>
      <c r="H107" s="83">
        <v>32</v>
      </c>
      <c r="I107" s="83">
        <v>19.899999999999999</v>
      </c>
      <c r="J107" s="83">
        <v>15</v>
      </c>
      <c r="K107" s="83" t="s">
        <v>214</v>
      </c>
      <c r="L107" s="83">
        <v>82</v>
      </c>
      <c r="V107" s="83">
        <v>32</v>
      </c>
      <c r="W107" s="83">
        <v>19.899999999999999</v>
      </c>
      <c r="X107" s="83">
        <v>10</v>
      </c>
      <c r="Y107" s="83" t="s">
        <v>214</v>
      </c>
      <c r="Z107" s="175">
        <v>140</v>
      </c>
      <c r="AB107" s="83">
        <v>32</v>
      </c>
      <c r="AC107" s="83">
        <v>19.899999999999999</v>
      </c>
      <c r="AD107" s="83">
        <v>15</v>
      </c>
      <c r="AE107" s="83" t="s">
        <v>214</v>
      </c>
      <c r="AF107" s="83">
        <v>140</v>
      </c>
    </row>
    <row r="108" spans="1:32" x14ac:dyDescent="0.25">
      <c r="B108" s="83"/>
      <c r="C108" s="83"/>
      <c r="D108" s="83"/>
      <c r="E108" s="83" t="s">
        <v>215</v>
      </c>
      <c r="F108" s="83">
        <v>124</v>
      </c>
      <c r="H108" s="83"/>
      <c r="I108" s="83"/>
      <c r="J108" s="83"/>
      <c r="K108" s="83" t="s">
        <v>215</v>
      </c>
      <c r="L108" s="83">
        <v>124</v>
      </c>
      <c r="V108" s="83"/>
      <c r="W108" s="83"/>
      <c r="X108" s="83"/>
      <c r="Y108" s="83" t="s">
        <v>215</v>
      </c>
      <c r="Z108" s="83">
        <v>214</v>
      </c>
      <c r="AB108" s="83"/>
      <c r="AC108" s="83"/>
      <c r="AD108" s="83"/>
      <c r="AE108" s="83" t="s">
        <v>215</v>
      </c>
      <c r="AF108" s="83">
        <v>215</v>
      </c>
    </row>
    <row r="109" spans="1:32" x14ac:dyDescent="0.25">
      <c r="B109" s="83"/>
      <c r="C109" s="83"/>
      <c r="D109" s="83"/>
      <c r="E109" s="83" t="s">
        <v>216</v>
      </c>
      <c r="F109" s="83">
        <v>226</v>
      </c>
      <c r="H109" s="83"/>
      <c r="I109" s="83"/>
      <c r="J109" s="83"/>
      <c r="K109" s="83" t="s">
        <v>216</v>
      </c>
      <c r="L109" s="83">
        <v>226</v>
      </c>
      <c r="V109" s="83"/>
      <c r="W109" s="83"/>
      <c r="X109" s="83"/>
      <c r="Y109" s="83" t="s">
        <v>216</v>
      </c>
      <c r="Z109" s="83">
        <v>390</v>
      </c>
      <c r="AB109" s="83"/>
      <c r="AC109" s="83"/>
      <c r="AD109" s="83"/>
      <c r="AE109" s="83" t="s">
        <v>216</v>
      </c>
      <c r="AF109" s="83">
        <v>390</v>
      </c>
    </row>
    <row r="110" spans="1:32" x14ac:dyDescent="0.25">
      <c r="B110" s="83"/>
      <c r="C110" s="83"/>
      <c r="D110" s="83"/>
      <c r="F110" s="83"/>
      <c r="H110" s="83"/>
      <c r="I110" s="83"/>
      <c r="J110" s="83"/>
      <c r="L110" s="83"/>
      <c r="V110" s="83"/>
      <c r="W110" s="83"/>
      <c r="X110" s="83"/>
      <c r="Z110" s="83"/>
      <c r="AB110" s="83"/>
      <c r="AC110" s="83"/>
      <c r="AD110" s="83"/>
      <c r="AF110" s="83"/>
    </row>
    <row r="111" spans="1:32" x14ac:dyDescent="0.25">
      <c r="B111" s="83">
        <v>40</v>
      </c>
      <c r="C111" s="83">
        <v>19.899999999999999</v>
      </c>
      <c r="D111" s="83">
        <v>10</v>
      </c>
      <c r="E111" s="83" t="s">
        <v>226</v>
      </c>
      <c r="F111" s="83">
        <v>160</v>
      </c>
      <c r="H111" s="83">
        <v>40</v>
      </c>
      <c r="I111" s="83">
        <v>19.899999999999999</v>
      </c>
      <c r="J111" s="83">
        <v>15</v>
      </c>
      <c r="K111" s="83" t="s">
        <v>217</v>
      </c>
      <c r="L111" s="83">
        <v>160</v>
      </c>
      <c r="V111" s="83">
        <v>40</v>
      </c>
      <c r="W111" s="83">
        <v>19.899999999999999</v>
      </c>
      <c r="X111" s="83">
        <v>10</v>
      </c>
      <c r="Y111" s="83" t="s">
        <v>226</v>
      </c>
      <c r="Z111" s="83">
        <v>179</v>
      </c>
      <c r="AB111" s="83">
        <v>40</v>
      </c>
      <c r="AC111" s="83">
        <v>19.899999999999999</v>
      </c>
      <c r="AD111" s="83">
        <v>15</v>
      </c>
      <c r="AE111" s="83" t="s">
        <v>217</v>
      </c>
      <c r="AF111" s="83">
        <v>180</v>
      </c>
    </row>
    <row r="112" spans="1:32" x14ac:dyDescent="0.25">
      <c r="B112" s="83"/>
      <c r="C112" s="83"/>
      <c r="D112" s="83"/>
      <c r="E112" s="83" t="s">
        <v>215</v>
      </c>
      <c r="F112" s="83">
        <v>99</v>
      </c>
      <c r="H112" s="83"/>
      <c r="I112" s="83"/>
      <c r="J112" s="83"/>
      <c r="K112" s="83" t="s">
        <v>215</v>
      </c>
      <c r="L112" s="83">
        <v>99</v>
      </c>
      <c r="V112" s="83"/>
      <c r="W112" s="83"/>
      <c r="X112" s="83"/>
      <c r="Y112" s="83" t="s">
        <v>215</v>
      </c>
      <c r="Z112" s="83">
        <v>170</v>
      </c>
      <c r="AB112" s="83"/>
      <c r="AC112" s="83"/>
      <c r="AD112" s="83"/>
      <c r="AE112" s="83" t="s">
        <v>215</v>
      </c>
      <c r="AF112" s="83">
        <v>172</v>
      </c>
    </row>
    <row r="113" spans="2:32" x14ac:dyDescent="0.25">
      <c r="B113" s="83"/>
      <c r="C113" s="83"/>
      <c r="D113" s="83"/>
      <c r="E113" s="83" t="s">
        <v>216</v>
      </c>
      <c r="F113" s="83">
        <v>180</v>
      </c>
      <c r="H113" s="83"/>
      <c r="I113" s="83"/>
      <c r="J113" s="83"/>
      <c r="K113" s="83" t="s">
        <v>216</v>
      </c>
      <c r="L113" s="83">
        <v>180</v>
      </c>
      <c r="V113" s="83"/>
      <c r="W113" s="83"/>
      <c r="X113" s="83"/>
      <c r="Y113" s="83" t="s">
        <v>216</v>
      </c>
      <c r="Z113" s="83">
        <v>310</v>
      </c>
      <c r="AB113" s="83"/>
      <c r="AC113" s="83"/>
      <c r="AD113" s="83"/>
      <c r="AE113" s="83" t="s">
        <v>216</v>
      </c>
      <c r="AF113" s="83">
        <v>314</v>
      </c>
    </row>
    <row r="114" spans="2:32" x14ac:dyDescent="0.25">
      <c r="B114" s="83"/>
      <c r="C114" s="83"/>
      <c r="D114" s="83"/>
      <c r="E114" s="83"/>
      <c r="F114" s="83"/>
      <c r="H114" s="83"/>
      <c r="I114" s="83"/>
      <c r="J114" s="83"/>
      <c r="K114" s="26"/>
      <c r="L114" s="26"/>
      <c r="V114" s="83"/>
      <c r="W114" s="83"/>
      <c r="X114" s="83"/>
      <c r="Y114" s="83"/>
      <c r="Z114" s="83"/>
      <c r="AB114" s="83"/>
      <c r="AC114" s="83"/>
      <c r="AD114" s="83"/>
      <c r="AE114" s="26"/>
      <c r="AF114" s="26"/>
    </row>
    <row r="115" spans="2:32" x14ac:dyDescent="0.25">
      <c r="B115" s="83">
        <v>63</v>
      </c>
      <c r="C115" s="83">
        <v>19.899999999999999</v>
      </c>
      <c r="D115" s="83">
        <v>10</v>
      </c>
      <c r="E115" s="83" t="s">
        <v>216</v>
      </c>
      <c r="F115" s="83">
        <v>114</v>
      </c>
      <c r="H115" s="83">
        <v>63</v>
      </c>
      <c r="I115" s="83">
        <v>19.899999999999999</v>
      </c>
      <c r="J115" s="83">
        <v>15</v>
      </c>
      <c r="K115" s="83" t="s">
        <v>216</v>
      </c>
      <c r="L115" s="83">
        <v>114</v>
      </c>
      <c r="V115" s="83">
        <v>63</v>
      </c>
      <c r="W115" s="83">
        <v>19.899999999999999</v>
      </c>
      <c r="X115" s="83">
        <v>10</v>
      </c>
      <c r="Y115" s="83" t="s">
        <v>216</v>
      </c>
      <c r="Z115" s="83">
        <v>195</v>
      </c>
      <c r="AB115" s="83">
        <v>63</v>
      </c>
      <c r="AC115" s="83">
        <v>19.899999999999999</v>
      </c>
      <c r="AD115" s="83">
        <v>15</v>
      </c>
      <c r="AE115" s="83" t="s">
        <v>216</v>
      </c>
      <c r="AF115" s="83">
        <v>199</v>
      </c>
    </row>
    <row r="116" spans="2:32" x14ac:dyDescent="0.25">
      <c r="B116" s="83"/>
      <c r="C116" s="83"/>
      <c r="D116" s="83"/>
      <c r="E116" s="83"/>
      <c r="F116" s="83"/>
      <c r="H116" s="83"/>
      <c r="I116" s="83"/>
      <c r="J116" s="83"/>
      <c r="K116" s="83"/>
      <c r="L116" s="83"/>
      <c r="V116" s="83"/>
      <c r="W116" s="83"/>
      <c r="X116" s="83"/>
      <c r="Y116" s="83"/>
      <c r="Z116" s="83"/>
      <c r="AB116" s="83"/>
      <c r="AC116" s="83"/>
      <c r="AD116" s="83"/>
      <c r="AE116" s="83"/>
      <c r="AF116" s="83"/>
    </row>
    <row r="117" spans="2:32" x14ac:dyDescent="0.25">
      <c r="B117" s="83">
        <v>80</v>
      </c>
      <c r="C117" s="83">
        <v>19.899999999999999</v>
      </c>
      <c r="D117" s="83">
        <v>10</v>
      </c>
      <c r="E117" s="83" t="s">
        <v>218</v>
      </c>
      <c r="F117" s="83">
        <v>169</v>
      </c>
      <c r="H117" s="83">
        <v>80</v>
      </c>
      <c r="I117" s="83">
        <v>19.899999999999999</v>
      </c>
      <c r="J117" s="83">
        <v>15</v>
      </c>
      <c r="K117" s="83" t="s">
        <v>218</v>
      </c>
      <c r="L117" s="83">
        <v>169</v>
      </c>
      <c r="V117" s="83">
        <v>80</v>
      </c>
      <c r="W117" s="83">
        <v>19.899999999999999</v>
      </c>
      <c r="X117" s="83">
        <v>10</v>
      </c>
      <c r="Y117" s="83" t="s">
        <v>218</v>
      </c>
      <c r="Z117" s="83">
        <v>290</v>
      </c>
      <c r="AB117" s="83">
        <v>80</v>
      </c>
      <c r="AC117" s="83">
        <v>19.899999999999999</v>
      </c>
      <c r="AD117" s="83">
        <v>15</v>
      </c>
      <c r="AE117" s="83" t="s">
        <v>218</v>
      </c>
      <c r="AF117" s="83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92C3-57EA-4E70-8978-D8FF0F1F750A}">
  <dimension ref="A1:AC99"/>
  <sheetViews>
    <sheetView topLeftCell="A2" workbookViewId="0">
      <selection activeCell="D47" sqref="D47"/>
    </sheetView>
  </sheetViews>
  <sheetFormatPr defaultColWidth="9.140625" defaultRowHeight="15" x14ac:dyDescent="0.25"/>
  <cols>
    <col min="1" max="1" width="17.42578125" bestFit="1" customWidth="1"/>
    <col min="5" max="5" width="16" customWidth="1"/>
    <col min="6" max="6" width="15.85546875" customWidth="1"/>
    <col min="7" max="7" width="38" bestFit="1" customWidth="1"/>
    <col min="8" max="8" width="12" customWidth="1"/>
    <col min="9" max="9" width="15" bestFit="1" customWidth="1"/>
    <col min="10" max="10" width="14" bestFit="1" customWidth="1"/>
    <col min="11" max="11" width="10.28515625" bestFit="1" customWidth="1"/>
    <col min="12" max="12" width="10.28515625" customWidth="1"/>
    <col min="13" max="14" width="11.85546875" customWidth="1"/>
    <col min="15" max="15" width="12.7109375" bestFit="1" customWidth="1"/>
    <col min="16" max="17" width="8.140625" bestFit="1" customWidth="1"/>
    <col min="18" max="18" width="8.42578125" bestFit="1" customWidth="1"/>
    <col min="19" max="19" width="8.140625" bestFit="1" customWidth="1"/>
  </cols>
  <sheetData>
    <row r="1" spans="1:29" ht="21.75" customHeight="1" thickBot="1" x14ac:dyDescent="0.4">
      <c r="A1" s="1028" t="s">
        <v>20</v>
      </c>
      <c r="B1" s="1029"/>
      <c r="C1" s="1029"/>
      <c r="D1" s="1029"/>
      <c r="E1" s="1030"/>
      <c r="G1" s="50" t="str">
        <f>'Effektkalkulator ice'!A21</f>
        <v>Modellsite ice:  LARGE (sitenivå)</v>
      </c>
      <c r="H1" s="51" t="s">
        <v>17</v>
      </c>
      <c r="I1" s="643"/>
      <c r="J1" s="644" t="s">
        <v>394</v>
      </c>
      <c r="K1" s="645" t="s">
        <v>390</v>
      </c>
      <c r="L1" s="645" t="s">
        <v>391</v>
      </c>
      <c r="M1" s="645" t="s">
        <v>392</v>
      </c>
      <c r="N1" s="645" t="s">
        <v>393</v>
      </c>
      <c r="O1" s="646" t="s">
        <v>396</v>
      </c>
      <c r="P1" s="53"/>
      <c r="Q1" s="53"/>
      <c r="R1" s="53"/>
      <c r="S1" s="53"/>
      <c r="X1" s="1048" t="s">
        <v>20</v>
      </c>
      <c r="Y1" s="1049"/>
      <c r="Z1" s="1049"/>
      <c r="AA1" s="1049"/>
      <c r="AB1" s="1049"/>
      <c r="AC1" s="1050"/>
    </row>
    <row r="2" spans="1:29" ht="60.75" thickBot="1" x14ac:dyDescent="0.3">
      <c r="A2" s="316"/>
      <c r="B2" s="317" t="s">
        <v>21</v>
      </c>
      <c r="C2" s="317" t="s">
        <v>22</v>
      </c>
      <c r="D2" s="317" t="s">
        <v>23</v>
      </c>
      <c r="E2" s="319" t="s">
        <v>373</v>
      </c>
      <c r="G2" s="57" t="str">
        <f>'Effektkalkulator ice'!A22</f>
        <v>Small</v>
      </c>
      <c r="H2" s="35">
        <f>'Effektkalkulator ice'!B22</f>
        <v>0</v>
      </c>
      <c r="I2" s="552"/>
      <c r="J2" s="57" t="s">
        <v>6</v>
      </c>
      <c r="K2" s="35">
        <f>H31</f>
        <v>0</v>
      </c>
      <c r="L2" s="35">
        <f>K31</f>
        <v>0</v>
      </c>
      <c r="M2" s="35">
        <f>N31</f>
        <v>0</v>
      </c>
      <c r="N2" s="35">
        <f>Q31</f>
        <v>0</v>
      </c>
      <c r="O2" s="36">
        <f>SUM($H$2:$H$4)</f>
        <v>3</v>
      </c>
      <c r="X2" s="333"/>
      <c r="Y2" s="334" t="s">
        <v>21</v>
      </c>
      <c r="Z2" s="334" t="s">
        <v>22</v>
      </c>
      <c r="AA2" s="334" t="s">
        <v>23</v>
      </c>
      <c r="AB2" s="335" t="s">
        <v>24</v>
      </c>
      <c r="AC2" s="336" t="s">
        <v>25</v>
      </c>
    </row>
    <row r="3" spans="1:29" ht="15.75" customHeight="1" x14ac:dyDescent="0.25">
      <c r="A3" s="1038" t="s">
        <v>26</v>
      </c>
      <c r="B3" s="1041" t="s">
        <v>376</v>
      </c>
      <c r="C3" s="1036">
        <v>25</v>
      </c>
      <c r="D3" s="320">
        <v>6</v>
      </c>
      <c r="E3" s="330">
        <v>0</v>
      </c>
      <c r="G3" s="10" t="str">
        <f>'Effektkalkulator ice'!A23</f>
        <v>Medium</v>
      </c>
      <c r="H3" s="35">
        <f>'Effektkalkulator ice'!B23</f>
        <v>0</v>
      </c>
      <c r="I3" s="179"/>
      <c r="J3" s="10" t="s">
        <v>7</v>
      </c>
      <c r="K3" s="26">
        <f>I34</f>
        <v>0</v>
      </c>
      <c r="L3" s="26">
        <f>L34</f>
        <v>0</v>
      </c>
      <c r="M3" s="26">
        <f>O34</f>
        <v>0</v>
      </c>
      <c r="N3" s="26">
        <f>R34</f>
        <v>0</v>
      </c>
      <c r="O3" s="40"/>
      <c r="X3" s="1051" t="s">
        <v>26</v>
      </c>
      <c r="Y3" s="1054" t="s">
        <v>376</v>
      </c>
      <c r="Z3" s="1061">
        <v>25</v>
      </c>
      <c r="AA3" s="337">
        <v>4</v>
      </c>
      <c r="AB3" s="338">
        <v>15</v>
      </c>
      <c r="AC3" s="339">
        <v>38</v>
      </c>
    </row>
    <row r="4" spans="1:29" ht="16.5" thickBot="1" x14ac:dyDescent="0.3">
      <c r="A4" s="1039"/>
      <c r="B4" s="1042"/>
      <c r="C4" s="1023"/>
      <c r="D4" s="54">
        <v>6</v>
      </c>
      <c r="E4" s="331">
        <v>24</v>
      </c>
      <c r="G4" s="10" t="str">
        <f>'Effektkalkulator ice'!A24</f>
        <v>Large</v>
      </c>
      <c r="H4" s="35">
        <f>'Effektkalkulator ice'!B24</f>
        <v>3</v>
      </c>
      <c r="I4" s="179"/>
      <c r="J4" s="48" t="s">
        <v>8</v>
      </c>
      <c r="K4" s="28">
        <f>J37</f>
        <v>3</v>
      </c>
      <c r="L4" s="28">
        <f>M37</f>
        <v>3</v>
      </c>
      <c r="M4" s="28">
        <f>P37</f>
        <v>3</v>
      </c>
      <c r="N4" s="28">
        <f>S37</f>
        <v>0</v>
      </c>
      <c r="O4" s="38"/>
      <c r="X4" s="1052"/>
      <c r="Y4" s="1055"/>
      <c r="Z4" s="1062"/>
      <c r="AA4" s="337">
        <v>6</v>
      </c>
      <c r="AB4" s="338">
        <v>22.5</v>
      </c>
      <c r="AC4" s="339">
        <v>38</v>
      </c>
    </row>
    <row r="5" spans="1:29" ht="16.5" thickBot="1" x14ac:dyDescent="0.3">
      <c r="A5" s="1039"/>
      <c r="B5" s="1042"/>
      <c r="C5" s="1023"/>
      <c r="D5" s="54">
        <v>10</v>
      </c>
      <c r="E5" s="331">
        <v>41</v>
      </c>
      <c r="G5" s="403" t="str">
        <f>'Effektkalkulator ice'!A25</f>
        <v>Antall sektorer 450Mhz</v>
      </c>
      <c r="H5" s="404">
        <f>'Effektkalkulator ice'!$B$25</f>
        <v>0</v>
      </c>
      <c r="I5" s="405"/>
      <c r="J5" s="49" t="s">
        <v>395</v>
      </c>
      <c r="K5" s="661">
        <f>SUM(K2:K4)</f>
        <v>3</v>
      </c>
      <c r="L5" s="661">
        <f>SUM(L2:L4)</f>
        <v>3</v>
      </c>
      <c r="M5" s="661">
        <f>SUM(M2:M4)</f>
        <v>3</v>
      </c>
      <c r="N5" s="661">
        <f>SUM(N2:N4)</f>
        <v>0</v>
      </c>
      <c r="O5" s="30"/>
      <c r="X5" s="1052"/>
      <c r="Y5" s="1055"/>
      <c r="Z5" s="1062"/>
      <c r="AA5" s="337">
        <v>10</v>
      </c>
      <c r="AB5" s="338">
        <v>38</v>
      </c>
      <c r="AC5" s="339">
        <v>38</v>
      </c>
    </row>
    <row r="6" spans="1:29" ht="16.5" thickBot="1" x14ac:dyDescent="0.3">
      <c r="A6" s="1039"/>
      <c r="B6" s="1042"/>
      <c r="C6" s="1023"/>
      <c r="D6" s="54">
        <v>16</v>
      </c>
      <c r="E6" s="331">
        <v>65</v>
      </c>
      <c r="X6" s="1052"/>
      <c r="Y6" s="1055"/>
      <c r="Z6" s="1062"/>
      <c r="AA6" s="337">
        <v>16</v>
      </c>
      <c r="AB6" s="338">
        <v>60</v>
      </c>
      <c r="AC6" s="339">
        <v>38</v>
      </c>
    </row>
    <row r="7" spans="1:29" ht="16.5" customHeight="1" thickBot="1" x14ac:dyDescent="0.3">
      <c r="A7" s="1039"/>
      <c r="B7" s="1042"/>
      <c r="C7" s="1023"/>
      <c r="D7" s="54">
        <v>25</v>
      </c>
      <c r="E7" s="331">
        <v>103</v>
      </c>
      <c r="G7" s="46" t="str">
        <f>'Effektkalkulator ice'!A69</f>
        <v>Sektor</v>
      </c>
      <c r="H7" s="47" t="str">
        <f>'Effektkalkulator ice'!B69</f>
        <v>Lengde</v>
      </c>
      <c r="I7" s="58" t="str">
        <f>'Effektkalkulator ice'!C69</f>
        <v>Tverrsnitt kabel</v>
      </c>
      <c r="J7" s="64" t="s">
        <v>48</v>
      </c>
      <c r="K7" s="296" t="s">
        <v>43</v>
      </c>
      <c r="L7" s="74" t="s">
        <v>44</v>
      </c>
      <c r="M7" s="901" t="str">
        <f>'Effektkalkulator ice'!E69</f>
        <v>Kommentar</v>
      </c>
      <c r="N7" s="901"/>
      <c r="O7" s="901"/>
      <c r="P7" s="901"/>
      <c r="Q7" s="901"/>
      <c r="R7" s="902"/>
      <c r="X7" s="1052"/>
      <c r="Y7" s="1057"/>
      <c r="Z7" s="1064"/>
      <c r="AA7" s="337">
        <v>25</v>
      </c>
      <c r="AB7" s="338">
        <v>96</v>
      </c>
      <c r="AC7" s="339">
        <v>38</v>
      </c>
    </row>
    <row r="8" spans="1:29" ht="15.75" x14ac:dyDescent="0.25">
      <c r="A8" s="1039"/>
      <c r="B8" s="1042"/>
      <c r="C8" s="1023"/>
      <c r="D8" s="54">
        <v>35</v>
      </c>
      <c r="E8" s="331">
        <v>143</v>
      </c>
      <c r="G8" s="3" t="str">
        <f>IF(L8=1,"Lengde sektor 1 - Lavbånd RRH (7/8/9)",0)</f>
        <v>Lengde sektor 1 - Lavbånd RRH (7/8/9)</v>
      </c>
      <c r="H8" s="22">
        <f>'Effektkalkulator ice'!B70</f>
        <v>28</v>
      </c>
      <c r="I8" s="325">
        <f>IF($H$8&lt;=$E$24,$D$24,IF($H$8&lt;=$E$25,$D$25,IF($H$8&lt;=$E$26,$D$26,IF($H$8&lt;=$E$27,$D$27,IF($H$8&lt;=$E$28,$D$28,IF($H$8&lt;=$E$29,$D$29,IF($H$8&lt;=$E$30,$D$30,"380V DC")))))))</f>
        <v>10</v>
      </c>
      <c r="J8" s="1073">
        <f>IF(OR(I8="380V DC",I9="380V DC",I10="380V DC"),"380V DC",0)</f>
        <v>0</v>
      </c>
      <c r="K8" s="22">
        <v>1</v>
      </c>
      <c r="L8" s="209">
        <f>IF(AND($K$5&gt;=1,$K$5&lt;=6),1,0)</f>
        <v>1</v>
      </c>
      <c r="M8" s="808" t="str">
        <f>'Effektkalkulator ice'!E70</f>
        <v/>
      </c>
      <c r="N8" s="1068"/>
      <c r="O8" s="1068"/>
      <c r="P8" s="1068"/>
      <c r="Q8" s="1068"/>
      <c r="R8" s="809"/>
      <c r="X8" s="1052"/>
      <c r="Y8" s="1058" t="s">
        <v>28</v>
      </c>
      <c r="Z8" s="1061">
        <v>25</v>
      </c>
      <c r="AA8" s="337">
        <v>4</v>
      </c>
      <c r="AB8" s="338">
        <v>13.5</v>
      </c>
      <c r="AC8" s="339">
        <v>38.1</v>
      </c>
    </row>
    <row r="9" spans="1:29" ht="16.5" thickBot="1" x14ac:dyDescent="0.3">
      <c r="A9" s="1039"/>
      <c r="B9" s="1043"/>
      <c r="C9" s="1024"/>
      <c r="D9" s="60">
        <v>50</v>
      </c>
      <c r="E9" s="332">
        <v>150</v>
      </c>
      <c r="G9" s="10" t="str">
        <f>IF(L9=1,"Lengde sektor 1 - Mid-band RRH (18/21)",0)</f>
        <v>Lengde sektor 1 - Mid-band RRH (18/21)</v>
      </c>
      <c r="H9" s="26">
        <f>'Effektkalkulator ice'!B71</f>
        <v>28</v>
      </c>
      <c r="I9" s="326">
        <f>IF($H$9&lt;=$E$31,$D$31,IF($H$9&lt;=$E$32,$D$32,IF($H$9&lt;=$E$33,$D$33,IF($H$9&lt;=$E$34,$D$34,IF($H$9&lt;=$E$35,$D$35,IF($H$9&lt;=$E$36,$D$36,IF($H$9&lt;=$E$37,$D$37,"380V DC")))))))</f>
        <v>10</v>
      </c>
      <c r="J9" s="1074"/>
      <c r="K9" s="26">
        <v>1</v>
      </c>
      <c r="L9" s="179">
        <f>IF(OR($K$5=2,$K$5=3,$K$5=5),1,0)</f>
        <v>1</v>
      </c>
      <c r="M9" s="1065"/>
      <c r="N9" s="1066"/>
      <c r="O9" s="1066"/>
      <c r="P9" s="1066"/>
      <c r="Q9" s="1066"/>
      <c r="R9" s="1067"/>
      <c r="X9" s="1052"/>
      <c r="Y9" s="1059"/>
      <c r="Z9" s="1062"/>
      <c r="AA9" s="337">
        <v>6</v>
      </c>
      <c r="AB9" s="338">
        <v>20.5</v>
      </c>
      <c r="AC9" s="339">
        <v>38</v>
      </c>
    </row>
    <row r="10" spans="1:29" ht="16.5" thickBot="1" x14ac:dyDescent="0.3">
      <c r="A10" s="1039"/>
      <c r="B10" s="1044" t="s">
        <v>28</v>
      </c>
      <c r="C10" s="1036">
        <v>25</v>
      </c>
      <c r="D10" s="320">
        <v>6</v>
      </c>
      <c r="E10" s="330">
        <v>0</v>
      </c>
      <c r="G10" s="48" t="str">
        <f>IF(L10=1,"Lengde sektor 1 - High-band (N35)",0)</f>
        <v>Lengde sektor 1 - High-band (N35)</v>
      </c>
      <c r="H10" s="28">
        <f>'Effektkalkulator ice'!B72</f>
        <v>32</v>
      </c>
      <c r="I10" s="634">
        <f>IF($H$10&lt;=$E$3,$D$3,IF($H$10&lt;=$E$4,$D$4,IF($H$10&lt;=$E$5,$D$5,IF($H$10&lt;=$E$6,$D$6,IF($H$10&lt;=$E$7,$D$7,IF($H$10&lt;=$E$8,$D$8,IF($H$10&lt;=$E$9,$D$9,"380V DC")))))))</f>
        <v>10</v>
      </c>
      <c r="J10" s="1075"/>
      <c r="K10" s="28">
        <v>1</v>
      </c>
      <c r="L10" s="574">
        <f>IF(OR($K$5=3,$K$5=5),1,0)</f>
        <v>1</v>
      </c>
      <c r="M10" s="831"/>
      <c r="N10" s="1069"/>
      <c r="O10" s="1069"/>
      <c r="P10" s="1069"/>
      <c r="Q10" s="1069"/>
      <c r="R10" s="832"/>
      <c r="U10" s="647"/>
      <c r="V10" s="647"/>
      <c r="W10" s="647"/>
      <c r="X10" s="1052"/>
      <c r="Y10" s="1059"/>
      <c r="Z10" s="1062"/>
      <c r="AA10" s="337">
        <v>10</v>
      </c>
      <c r="AB10" s="338">
        <v>35</v>
      </c>
      <c r="AC10" s="339">
        <v>38</v>
      </c>
    </row>
    <row r="11" spans="1:29" ht="15.75" x14ac:dyDescent="0.25">
      <c r="A11" s="1039"/>
      <c r="B11" s="1045"/>
      <c r="C11" s="1023"/>
      <c r="D11" s="54">
        <v>6</v>
      </c>
      <c r="E11" s="331">
        <v>24</v>
      </c>
      <c r="G11" s="3" t="str">
        <f>IF(L11=1,"Lengde sektor 2 - Lavbånd RRH (7/8/9)",0)</f>
        <v>Lengde sektor 2 - Lavbånd RRH (7/8/9)</v>
      </c>
      <c r="H11" s="22">
        <f>'Effektkalkulator ice'!B73</f>
        <v>53</v>
      </c>
      <c r="I11" s="325">
        <f>IF($H$11&lt;=$E$24,$D$24,IF($H$11&lt;=$E$25,$D$25,IF($H$11&lt;=$E$26,$D$26,IF($H$11&lt;=$E$27,$D$27,IF($H$11&lt;=$E$28,$D$28,IF($H$11&lt;=$E$29,$D$29,IF($H$11&lt;=$E$30,$D$30,"380V DC")))))))</f>
        <v>16</v>
      </c>
      <c r="J11" s="1073">
        <f>IF(OR(I11="380V DC",I12="380V DC",I13="380V DC"),"380V DC",0)</f>
        <v>0</v>
      </c>
      <c r="K11" s="22">
        <v>2</v>
      </c>
      <c r="L11" s="209">
        <f>IF(AND($L$5&gt;=1,$L$5&lt;=6),1,0)</f>
        <v>1</v>
      </c>
      <c r="M11" s="808" t="str">
        <f>'Effektkalkulator ice'!E73</f>
        <v/>
      </c>
      <c r="N11" s="1068"/>
      <c r="O11" s="1068"/>
      <c r="P11" s="1068"/>
      <c r="Q11" s="1068"/>
      <c r="R11" s="809"/>
      <c r="U11" s="647"/>
      <c r="V11" s="647"/>
      <c r="W11" s="647"/>
      <c r="X11" s="1052"/>
      <c r="Y11" s="1059"/>
      <c r="Z11" s="1062"/>
      <c r="AA11" s="337">
        <v>16</v>
      </c>
      <c r="AB11" s="338">
        <v>55</v>
      </c>
      <c r="AC11" s="339">
        <v>38</v>
      </c>
    </row>
    <row r="12" spans="1:29" ht="15.75" x14ac:dyDescent="0.25">
      <c r="A12" s="1039"/>
      <c r="B12" s="1045"/>
      <c r="C12" s="1023"/>
      <c r="D12" s="54">
        <v>10</v>
      </c>
      <c r="E12" s="331">
        <v>35</v>
      </c>
      <c r="G12" s="10" t="str">
        <f>IF(L12=1,"Lengde sektor 2 - Mid-band RRH (18/21)",0)</f>
        <v>Lengde sektor 2 - Mid-band RRH (18/21)</v>
      </c>
      <c r="H12" s="26">
        <f>'Effektkalkulator ice'!B74</f>
        <v>53</v>
      </c>
      <c r="I12" s="326">
        <f>IF($H$12&lt;=$E$31,$D$31,IF($H$12&lt;=$E$32,$D$32,IF($H$12&lt;=$E$33,$D$33,IF($H$12&lt;=$E$34,$D$34,IF($H$12&lt;=$E$35,$D$35,IF($H$12&lt;=$E$36,$D$36,IF($H$12&lt;=$E$37,$D$37,"380V DC")))))))</f>
        <v>16</v>
      </c>
      <c r="J12" s="1074"/>
      <c r="K12" s="26">
        <v>2</v>
      </c>
      <c r="L12" s="179">
        <f>IF(OR($L$5=2,$L$5=3,$L$5=5),1,0)</f>
        <v>1</v>
      </c>
      <c r="M12" s="1065"/>
      <c r="N12" s="1066"/>
      <c r="O12" s="1066"/>
      <c r="P12" s="1066"/>
      <c r="Q12" s="1066"/>
      <c r="R12" s="1067"/>
      <c r="U12" s="647"/>
      <c r="V12" s="647"/>
      <c r="W12" s="647"/>
      <c r="X12" s="1052"/>
      <c r="Y12" s="1060"/>
      <c r="Z12" s="1064"/>
      <c r="AA12" s="337">
        <v>25</v>
      </c>
      <c r="AB12" s="338">
        <v>88</v>
      </c>
      <c r="AC12" s="339">
        <v>38</v>
      </c>
    </row>
    <row r="13" spans="1:29" ht="16.5" thickBot="1" x14ac:dyDescent="0.3">
      <c r="A13" s="1039"/>
      <c r="B13" s="1045"/>
      <c r="C13" s="1023"/>
      <c r="D13" s="54">
        <v>16</v>
      </c>
      <c r="E13" s="331">
        <v>56</v>
      </c>
      <c r="G13" s="4" t="str">
        <f>IF(L13=1,"Lengde sektor 2 - High-band (N35)",0)</f>
        <v>Lengde sektor 2 - High-band (N35)</v>
      </c>
      <c r="H13" s="33">
        <f>'Effektkalkulator ice'!B75</f>
        <v>57</v>
      </c>
      <c r="I13" s="327">
        <f>IF($H$13&lt;=$E$3,$D$3,IF($H$13&lt;=$E$4,$D$4,IF($H$13&lt;=$E$5,$D$5,IF($H$13&lt;=$E$6,$D$6,IF($H$13&lt;=$E$7,$D$7,IF($H$13&lt;=$E$8,$D$8,IF($H$13&lt;=$E$9,$D$9,"380V DC")))))))</f>
        <v>16</v>
      </c>
      <c r="J13" s="1075"/>
      <c r="K13" s="33">
        <v>2</v>
      </c>
      <c r="L13" s="574">
        <f>IF(OR($L$5=3,$L$5=5),1,0)</f>
        <v>1</v>
      </c>
      <c r="M13" s="831"/>
      <c r="N13" s="1069"/>
      <c r="O13" s="1069"/>
      <c r="P13" s="1069"/>
      <c r="Q13" s="1069"/>
      <c r="R13" s="832"/>
      <c r="U13" s="647"/>
      <c r="V13" s="647"/>
      <c r="W13" s="647"/>
      <c r="X13" s="1052"/>
      <c r="Y13" s="1058" t="s">
        <v>29</v>
      </c>
      <c r="Z13" s="1061">
        <v>25</v>
      </c>
      <c r="AA13" s="337">
        <v>4</v>
      </c>
      <c r="AB13" s="338">
        <v>14.5</v>
      </c>
      <c r="AC13" s="339">
        <v>38.1</v>
      </c>
    </row>
    <row r="14" spans="1:29" ht="15.75" x14ac:dyDescent="0.25">
      <c r="A14" s="1039"/>
      <c r="B14" s="1045"/>
      <c r="C14" s="1023"/>
      <c r="D14" s="54">
        <v>25</v>
      </c>
      <c r="E14" s="331">
        <v>88</v>
      </c>
      <c r="G14" s="3" t="str">
        <f>IF(L14=1,"Lengde sektor 3 - Lavbånd RRH (7/8/9)",0)</f>
        <v>Lengde sektor 3 - Lavbånd RRH (7/8/9)</v>
      </c>
      <c r="H14" s="22">
        <f>'Effektkalkulator ice'!B76</f>
        <v>28</v>
      </c>
      <c r="I14" s="325">
        <f>IF($H$14&lt;=$E$24,$D$24,IF($H$14&lt;=$E$25,$D$25,IF($H$14&lt;=$E$26,$D$26,IF($H$14&lt;=$E$27,$D$27,IF($H$14&lt;=$E$28,$D$28,IF($H$14&lt;=$E$29,$D$29,IF($H$14&lt;=$E$30,$D$30,"380V DC")))))))</f>
        <v>10</v>
      </c>
      <c r="J14" s="1073">
        <f>IF(OR(I14="380V DC",I15="380V DC",I16="380V DC"),"380V DC",0)</f>
        <v>0</v>
      </c>
      <c r="K14" s="22">
        <v>3</v>
      </c>
      <c r="L14" s="209">
        <f>IF(AND($M$5&gt;=1,$M$5&lt;=6),1,0)</f>
        <v>1</v>
      </c>
      <c r="M14" s="808" t="str">
        <f>'Effektkalkulator ice'!E76</f>
        <v/>
      </c>
      <c r="N14" s="1068"/>
      <c r="O14" s="1068"/>
      <c r="P14" s="1068"/>
      <c r="Q14" s="1068"/>
      <c r="R14" s="809"/>
      <c r="U14" s="647"/>
      <c r="V14" s="647"/>
      <c r="W14" s="647"/>
      <c r="X14" s="1052"/>
      <c r="Y14" s="1059"/>
      <c r="Z14" s="1062"/>
      <c r="AA14" s="337">
        <v>6</v>
      </c>
      <c r="AB14" s="338">
        <v>22</v>
      </c>
      <c r="AC14" s="339">
        <v>38</v>
      </c>
    </row>
    <row r="15" spans="1:29" ht="15.75" x14ac:dyDescent="0.25">
      <c r="A15" s="1039"/>
      <c r="B15" s="1045"/>
      <c r="C15" s="1023"/>
      <c r="D15" s="54">
        <v>35</v>
      </c>
      <c r="E15" s="331">
        <v>123</v>
      </c>
      <c r="G15" s="10" t="str">
        <f>IF(L15=1,"Lengde sektor 3 - Mid-band RRH (18/21)",0)</f>
        <v>Lengde sektor 3 - Mid-band RRH (18/21)</v>
      </c>
      <c r="H15" s="26">
        <f>'Effektkalkulator ice'!B77</f>
        <v>28</v>
      </c>
      <c r="I15" s="326">
        <f>IF($H$15&lt;=$E$31,$D$31,IF($H$15&lt;=$E$32,$D$32,IF($H$15&lt;=$E$33,$D$33,IF($H$15&lt;=$E$34,$D$34,IF($H$15&lt;=$E$35,$D$35,IF($H$15&lt;=$E$36,$D$36,IF($H$15&lt;=$E$37,$D$37,"380V DC")))))))</f>
        <v>10</v>
      </c>
      <c r="J15" s="1074"/>
      <c r="K15" s="26">
        <v>3</v>
      </c>
      <c r="L15" s="179">
        <f>IF(OR($M$5=2,$M$5=3,$M$5=5),1,0)</f>
        <v>1</v>
      </c>
      <c r="M15" s="1065"/>
      <c r="N15" s="1066"/>
      <c r="O15" s="1066"/>
      <c r="P15" s="1066"/>
      <c r="Q15" s="1066"/>
      <c r="R15" s="1067"/>
      <c r="X15" s="1052"/>
      <c r="Y15" s="1059"/>
      <c r="Z15" s="1062"/>
      <c r="AA15" s="337">
        <v>10</v>
      </c>
      <c r="AB15" s="338">
        <v>37</v>
      </c>
      <c r="AC15" s="339">
        <v>38</v>
      </c>
    </row>
    <row r="16" spans="1:29" ht="16.5" thickBot="1" x14ac:dyDescent="0.3">
      <c r="A16" s="1039"/>
      <c r="B16" s="1046"/>
      <c r="C16" s="1024"/>
      <c r="D16" s="60">
        <v>50</v>
      </c>
      <c r="E16" s="332">
        <v>150</v>
      </c>
      <c r="G16" s="4" t="str">
        <f>IF(L16=1,"Lengde sektor 3 - High-band (N35)",0)</f>
        <v>Lengde sektor 3 - High-band (N35)</v>
      </c>
      <c r="H16" s="33">
        <f>'Effektkalkulator ice'!B78</f>
        <v>32</v>
      </c>
      <c r="I16" s="327">
        <f>IF($H$16&lt;=$E$3,$D$3,IF($H$16&lt;=$E$4,$D$4,IF($H$16&lt;=$E$5,$D$5,IF($H$16&lt;=$E$6,$D$6,IF($H$16&lt;=$E$7,$D$7,IF($H$16&lt;=$E$8,$D$8,IF($H$16&lt;=$E$9,$D$9,"380V DC")))))))</f>
        <v>10</v>
      </c>
      <c r="J16" s="1075"/>
      <c r="K16" s="33">
        <v>3</v>
      </c>
      <c r="L16" s="574">
        <f>IF(OR($M$5=3,$M$5=5),1,0)</f>
        <v>1</v>
      </c>
      <c r="M16" s="831"/>
      <c r="N16" s="1069"/>
      <c r="O16" s="1069"/>
      <c r="P16" s="1069"/>
      <c r="Q16" s="1069"/>
      <c r="R16" s="832"/>
      <c r="X16" s="1052"/>
      <c r="Y16" s="1059"/>
      <c r="Z16" s="1062"/>
      <c r="AA16" s="337">
        <v>16</v>
      </c>
      <c r="AB16" s="338">
        <v>59</v>
      </c>
      <c r="AC16" s="339">
        <v>38</v>
      </c>
    </row>
    <row r="17" spans="1:29" ht="15.75" x14ac:dyDescent="0.25">
      <c r="A17" s="1039"/>
      <c r="B17" s="1044" t="s">
        <v>29</v>
      </c>
      <c r="C17" s="1036">
        <v>25</v>
      </c>
      <c r="D17" s="320">
        <v>6</v>
      </c>
      <c r="E17" s="330">
        <v>0</v>
      </c>
      <c r="G17" s="3">
        <f>IF(L17=1,"Lengde sektor 4 - Lavbånd RRH (7/8/9)",0)</f>
        <v>0</v>
      </c>
      <c r="H17" s="22">
        <f>'Effektkalkulator ice'!B79</f>
        <v>0</v>
      </c>
      <c r="I17" s="325">
        <f>IF($H$17&lt;=$E$24,$D$24,IF($H$17&lt;=$E$25,$D$25,IF($H$17&lt;=$E$26,$D$26,IF($H$17&lt;=$E$27,$D$27,IF($H$17&lt;=$E$28,$D$28,IF($H$17&lt;=$E$29,$D$29,IF($H$17&lt;=$E$30,$D$30,"380V DC")))))))</f>
        <v>6</v>
      </c>
      <c r="J17" s="1073">
        <f>IF(OR(I17="380V DC",I18="380V DC",I19="380V DC"),"380V DC",0)</f>
        <v>0</v>
      </c>
      <c r="K17" s="22">
        <v>4</v>
      </c>
      <c r="L17" s="209">
        <f>IF(AND($N$5&gt;=1,$N$5&lt;=6),1,0)</f>
        <v>0</v>
      </c>
      <c r="M17" s="808" t="str">
        <f>'Effektkalkulator ice'!E79</f>
        <v/>
      </c>
      <c r="N17" s="1068"/>
      <c r="O17" s="1068"/>
      <c r="P17" s="1068"/>
      <c r="Q17" s="1068"/>
      <c r="R17" s="809"/>
      <c r="X17" s="1052"/>
      <c r="Y17" s="1060"/>
      <c r="Z17" s="1064"/>
      <c r="AA17" s="337">
        <v>25</v>
      </c>
      <c r="AB17" s="338">
        <v>94</v>
      </c>
      <c r="AC17" s="339">
        <v>38</v>
      </c>
    </row>
    <row r="18" spans="1:29" ht="15.75" x14ac:dyDescent="0.25">
      <c r="A18" s="1039"/>
      <c r="B18" s="1045"/>
      <c r="C18" s="1023"/>
      <c r="D18" s="54">
        <v>6</v>
      </c>
      <c r="E18" s="331">
        <v>22</v>
      </c>
      <c r="G18" s="10">
        <f>IF(L18=1,"Lengde sektor 4 - Mid-band RRH (18/21)",0)</f>
        <v>0</v>
      </c>
      <c r="H18" s="26">
        <f>'Effektkalkulator ice'!B80</f>
        <v>0</v>
      </c>
      <c r="I18" s="326">
        <f>IF($H$18&lt;=$E$31,$D$31,IF($H$18&lt;=$E$32,$D$32,IF($H$18&lt;=$E$33,$D$33,IF($H$18&lt;=$E$34,$D$34,IF($H$18&lt;=$E$35,$D$35,IF($H$18&lt;=$E$36,$D$36,IF($H$18&lt;=$E$37,$D$37,"380V DC")))))))</f>
        <v>6</v>
      </c>
      <c r="J18" s="1074"/>
      <c r="K18" s="26">
        <v>4</v>
      </c>
      <c r="L18" s="179">
        <f>IF(OR($N$5=2,$N$5=3,$N$5=5),1,0)</f>
        <v>0</v>
      </c>
      <c r="M18" s="1065"/>
      <c r="N18" s="1066"/>
      <c r="O18" s="1066"/>
      <c r="P18" s="1066"/>
      <c r="Q18" s="1066"/>
      <c r="R18" s="1067"/>
      <c r="X18" s="1052"/>
      <c r="Y18" s="1058" t="s">
        <v>30</v>
      </c>
      <c r="Z18" s="1061">
        <v>25</v>
      </c>
      <c r="AA18" s="337">
        <v>4</v>
      </c>
      <c r="AB18" s="338">
        <v>13.5</v>
      </c>
      <c r="AC18" s="339">
        <v>38</v>
      </c>
    </row>
    <row r="19" spans="1:29" ht="16.5" thickBot="1" x14ac:dyDescent="0.3">
      <c r="A19" s="1039"/>
      <c r="B19" s="1045"/>
      <c r="C19" s="1023"/>
      <c r="D19" s="54">
        <v>10</v>
      </c>
      <c r="E19" s="331">
        <v>37</v>
      </c>
      <c r="G19" s="48">
        <f>IF(L19=1,"Lengde sektor 4 - High-band (N35)",0)</f>
        <v>0</v>
      </c>
      <c r="H19" s="28">
        <f>'Effektkalkulator ice'!B81</f>
        <v>0</v>
      </c>
      <c r="I19" s="634">
        <f>IF($H$19&lt;=$E$3,$D$3,IF($H$19&lt;=$E$4,$D$4,IF($H$19&lt;=$E$5,$D$5,IF($H$19&lt;=$E$6,$D$6,IF($H$19&lt;=$E$7,$D$7,IF($H$19&lt;=$E$8,$D$8,IF($H$19&lt;=$E$9,$D$9,"380V DC")))))))</f>
        <v>6</v>
      </c>
      <c r="J19" s="1074"/>
      <c r="K19" s="28">
        <v>4</v>
      </c>
      <c r="L19" s="574">
        <f>IF(OR($N$5=3,$N$5=5),1,0)</f>
        <v>0</v>
      </c>
      <c r="M19" s="823"/>
      <c r="N19" s="824"/>
      <c r="O19" s="824"/>
      <c r="P19" s="824"/>
      <c r="Q19" s="824"/>
      <c r="R19" s="825"/>
      <c r="X19" s="1052"/>
      <c r="Y19" s="1059"/>
      <c r="Z19" s="1062"/>
      <c r="AA19" s="337">
        <v>6</v>
      </c>
      <c r="AB19" s="338">
        <v>20.5</v>
      </c>
      <c r="AC19" s="339">
        <v>38</v>
      </c>
    </row>
    <row r="20" spans="1:29" ht="15.75" x14ac:dyDescent="0.25">
      <c r="A20" s="1039"/>
      <c r="B20" s="1045"/>
      <c r="C20" s="1023"/>
      <c r="D20" s="54">
        <v>16</v>
      </c>
      <c r="E20" s="331">
        <v>59</v>
      </c>
      <c r="G20" s="3">
        <f>IF($H$5&gt;=1,"Lengde sektor 1 - 450Mhz",0)</f>
        <v>0</v>
      </c>
      <c r="H20" s="22">
        <f>'Effektkalkulator ice'!B82</f>
        <v>0</v>
      </c>
      <c r="I20" s="325">
        <f>IF($H$20&lt;=$E$45,$D$45,IF($H$20&lt;=$E$46,$D$46,IF($H$20&lt;=$E$47,$D$47,IF($H$20&lt;=$E$48,$D$48,IF($H$20&lt;=$E$49,$D$49,IF($H$20&lt;=$E$50,$D$50,IF($H$20&lt;=$E$51,$D$51,"380V DC")))))))</f>
        <v>6</v>
      </c>
      <c r="J20" s="1076">
        <f>IF(OR(I20="380V DC",I21="380V DC",I22="380V DC",I23="380V DC"),"380V DC",0)</f>
        <v>0</v>
      </c>
      <c r="K20" s="999"/>
      <c r="L20" s="999"/>
      <c r="M20" s="999"/>
      <c r="N20" s="999"/>
      <c r="O20" s="999"/>
      <c r="P20" s="999"/>
      <c r="Q20" s="999"/>
      <c r="R20" s="1070"/>
      <c r="X20" s="1052"/>
      <c r="Y20" s="1059"/>
      <c r="Z20" s="1062"/>
      <c r="AA20" s="337">
        <v>10</v>
      </c>
      <c r="AB20" s="338">
        <v>34</v>
      </c>
      <c r="AC20" s="339">
        <v>38</v>
      </c>
    </row>
    <row r="21" spans="1:29" ht="15.75" x14ac:dyDescent="0.25">
      <c r="A21" s="1039"/>
      <c r="B21" s="1045"/>
      <c r="C21" s="1023"/>
      <c r="D21" s="54">
        <v>25</v>
      </c>
      <c r="E21" s="331">
        <v>94</v>
      </c>
      <c r="G21" s="10">
        <f>IF($H$5&gt;=2,"Lengde sektor 2 - 450Mhz",0)</f>
        <v>0</v>
      </c>
      <c r="H21" s="26">
        <f>'Effektkalkulator ice'!B83</f>
        <v>0</v>
      </c>
      <c r="I21" s="326">
        <f>IF($H$21&lt;=$E$45,$D$45,IF($H$21&lt;=$E$46,$D$46,IF($H$21&lt;=$E$47,$D$47,IF($H$21&lt;=$E$48,$D$48,IF($H$21&lt;=$E$49,$D$49,IF($H$21&lt;=$E$50,$D$50,IF($H$21&lt;=$E$51,$D$51,"380V DC")))))))</f>
        <v>6</v>
      </c>
      <c r="J21" s="1077"/>
      <c r="K21" s="998"/>
      <c r="L21" s="998"/>
      <c r="M21" s="998"/>
      <c r="N21" s="998"/>
      <c r="O21" s="998"/>
      <c r="P21" s="998"/>
      <c r="Q21" s="998"/>
      <c r="R21" s="1071"/>
      <c r="X21" s="1052"/>
      <c r="Y21" s="1059"/>
      <c r="Z21" s="1062"/>
      <c r="AA21" s="337">
        <v>16</v>
      </c>
      <c r="AB21" s="338">
        <v>55</v>
      </c>
      <c r="AC21" s="339">
        <v>38</v>
      </c>
    </row>
    <row r="22" spans="1:29" ht="15.75" x14ac:dyDescent="0.25">
      <c r="A22" s="1039"/>
      <c r="B22" s="1045"/>
      <c r="C22" s="1023"/>
      <c r="D22" s="54">
        <v>35</v>
      </c>
      <c r="E22" s="331">
        <v>120</v>
      </c>
      <c r="G22" s="10">
        <f>IF($H$5&gt;=3,"Lengde sektor 3 - 450Mhz",0)</f>
        <v>0</v>
      </c>
      <c r="H22" s="26">
        <f>'Effektkalkulator ice'!B84</f>
        <v>0</v>
      </c>
      <c r="I22" s="326">
        <f>IF($H$22&lt;=$E$45,$D$45,IF($H$22&lt;=$E$46,$D$46,IF($H$22&lt;=$E$47,$D$47,IF($H$22&lt;=$E$48,$D$48,IF($H$22&lt;=$E$49,$D$49,IF($H$22&lt;=$E$50,$D$50,IF($H$22&lt;=$E$51,$D$51,"380V DC")))))))</f>
        <v>6</v>
      </c>
      <c r="J22" s="1077"/>
      <c r="K22" s="998"/>
      <c r="L22" s="998"/>
      <c r="M22" s="998"/>
      <c r="N22" s="998"/>
      <c r="O22" s="998"/>
      <c r="P22" s="998"/>
      <c r="Q22" s="998"/>
      <c r="R22" s="1071"/>
      <c r="X22" s="1052"/>
      <c r="Y22" s="1060"/>
      <c r="Z22" s="1064"/>
      <c r="AA22" s="337">
        <v>25</v>
      </c>
      <c r="AB22" s="338">
        <v>87</v>
      </c>
      <c r="AC22" s="339">
        <v>38</v>
      </c>
    </row>
    <row r="23" spans="1:29" ht="16.5" thickBot="1" x14ac:dyDescent="0.3">
      <c r="A23" s="1039"/>
      <c r="B23" s="1046"/>
      <c r="C23" s="1024"/>
      <c r="D23" s="60">
        <v>50</v>
      </c>
      <c r="E23" s="332">
        <v>150</v>
      </c>
      <c r="G23" s="4">
        <f>IF($H$5&gt;=4,"Lengde sektor 4 - 450Mhz",0)</f>
        <v>0</v>
      </c>
      <c r="H23" s="33">
        <f>'Effektkalkulator ice'!B85</f>
        <v>0</v>
      </c>
      <c r="I23" s="327">
        <f>IF($H$23&lt;=$E$45,$D$45,IF($H$23&lt;=$E$46,$D$46,IF($H$23&lt;=$E$47,$D$47,IF($H$23&lt;=$E$48,$D$48,IF($H$23&lt;=$E$49,$D$49,IF($H$23&lt;=$E$50,$D$50,IF($H$23&lt;=$E$51,$D$51,"380V DC")))))))</f>
        <v>6</v>
      </c>
      <c r="J23" s="1078"/>
      <c r="K23" s="997"/>
      <c r="L23" s="997"/>
      <c r="M23" s="997"/>
      <c r="N23" s="997"/>
      <c r="O23" s="997"/>
      <c r="P23" s="997"/>
      <c r="Q23" s="997"/>
      <c r="R23" s="1072"/>
      <c r="X23" s="1052"/>
      <c r="Y23" s="1054" t="s">
        <v>375</v>
      </c>
      <c r="Z23" s="1061">
        <v>32</v>
      </c>
      <c r="AA23" s="337">
        <v>4</v>
      </c>
      <c r="AB23" s="338">
        <v>10.5</v>
      </c>
      <c r="AC23" s="339">
        <v>38</v>
      </c>
    </row>
    <row r="24" spans="1:29" ht="15.75" x14ac:dyDescent="0.25">
      <c r="A24" s="1039"/>
      <c r="B24" s="1041" t="s">
        <v>419</v>
      </c>
      <c r="C24" s="1036">
        <v>25</v>
      </c>
      <c r="D24" s="320">
        <v>6</v>
      </c>
      <c r="E24" s="330">
        <v>0</v>
      </c>
      <c r="X24" s="1052"/>
      <c r="Y24" s="1055"/>
      <c r="Z24" s="1062"/>
      <c r="AA24" s="337">
        <v>6</v>
      </c>
      <c r="AB24" s="338">
        <v>15.5</v>
      </c>
      <c r="AC24" s="339">
        <v>38.1</v>
      </c>
    </row>
    <row r="25" spans="1:29" ht="15.75" x14ac:dyDescent="0.25">
      <c r="A25" s="1039"/>
      <c r="B25" s="1042"/>
      <c r="C25" s="1023"/>
      <c r="D25" s="54">
        <v>6</v>
      </c>
      <c r="E25" s="331">
        <v>24</v>
      </c>
      <c r="X25" s="1052"/>
      <c r="Y25" s="1055"/>
      <c r="Z25" s="1062"/>
      <c r="AA25" s="337">
        <v>10</v>
      </c>
      <c r="AB25" s="338">
        <v>26.5</v>
      </c>
      <c r="AC25" s="339">
        <v>38</v>
      </c>
    </row>
    <row r="26" spans="1:29" ht="15.75" x14ac:dyDescent="0.25">
      <c r="A26" s="1039"/>
      <c r="B26" s="1042"/>
      <c r="C26" s="1023"/>
      <c r="D26" s="54">
        <v>10</v>
      </c>
      <c r="E26" s="331">
        <v>41</v>
      </c>
      <c r="X26" s="1052"/>
      <c r="Y26" s="1055"/>
      <c r="Z26" s="1062"/>
      <c r="AA26" s="337">
        <v>16</v>
      </c>
      <c r="AB26" s="338">
        <v>42</v>
      </c>
      <c r="AC26" s="339">
        <v>38</v>
      </c>
    </row>
    <row r="27" spans="1:29" ht="15.75" x14ac:dyDescent="0.25">
      <c r="A27" s="1039"/>
      <c r="B27" s="1042"/>
      <c r="C27" s="1023"/>
      <c r="D27" s="54">
        <v>16</v>
      </c>
      <c r="E27" s="331">
        <v>65</v>
      </c>
      <c r="X27" s="1052"/>
      <c r="Y27" s="1057"/>
      <c r="Z27" s="1064"/>
      <c r="AA27" s="337">
        <v>25</v>
      </c>
      <c r="AB27" s="338">
        <v>66</v>
      </c>
      <c r="AC27" s="339">
        <v>38</v>
      </c>
    </row>
    <row r="28" spans="1:29" ht="16.5" thickBot="1" x14ac:dyDescent="0.3">
      <c r="A28" s="1039"/>
      <c r="B28" s="1042"/>
      <c r="C28" s="1023"/>
      <c r="D28" s="54">
        <v>25</v>
      </c>
      <c r="E28" s="331">
        <v>103</v>
      </c>
      <c r="X28" s="1052"/>
      <c r="Y28" s="1054" t="s">
        <v>374</v>
      </c>
      <c r="Z28" s="1061">
        <v>25</v>
      </c>
      <c r="AA28" s="337">
        <v>4</v>
      </c>
      <c r="AB28" s="338">
        <v>13</v>
      </c>
      <c r="AC28" s="339">
        <v>38.1</v>
      </c>
    </row>
    <row r="29" spans="1:29" ht="15.75" x14ac:dyDescent="0.25">
      <c r="A29" s="1039"/>
      <c r="B29" s="1042"/>
      <c r="C29" s="1023"/>
      <c r="D29" s="54">
        <v>35</v>
      </c>
      <c r="E29" s="331">
        <v>143</v>
      </c>
      <c r="H29" s="1025" t="s">
        <v>390</v>
      </c>
      <c r="I29" s="1026"/>
      <c r="J29" s="1027"/>
      <c r="K29" s="1025" t="s">
        <v>391</v>
      </c>
      <c r="L29" s="1026"/>
      <c r="M29" s="1027"/>
      <c r="N29" s="1025" t="s">
        <v>392</v>
      </c>
      <c r="O29" s="1026"/>
      <c r="P29" s="1027"/>
      <c r="Q29" s="1025" t="s">
        <v>393</v>
      </c>
      <c r="R29" s="1026"/>
      <c r="S29" s="1027"/>
      <c r="X29" s="1052"/>
      <c r="Y29" s="1055"/>
      <c r="Z29" s="1062"/>
      <c r="AA29" s="337">
        <v>6</v>
      </c>
      <c r="AB29" s="338">
        <v>20</v>
      </c>
      <c r="AC29" s="339">
        <v>38</v>
      </c>
    </row>
    <row r="30" spans="1:29" ht="16.5" thickBot="1" x14ac:dyDescent="0.3">
      <c r="A30" s="1039"/>
      <c r="B30" s="1043"/>
      <c r="C30" s="1024"/>
      <c r="D30" s="60">
        <v>50</v>
      </c>
      <c r="E30" s="332">
        <v>150</v>
      </c>
      <c r="H30" s="648" t="s">
        <v>6</v>
      </c>
      <c r="I30" s="649" t="s">
        <v>7</v>
      </c>
      <c r="J30" s="650" t="s">
        <v>8</v>
      </c>
      <c r="K30" s="648" t="s">
        <v>6</v>
      </c>
      <c r="L30" s="649" t="s">
        <v>7</v>
      </c>
      <c r="M30" s="650" t="s">
        <v>8</v>
      </c>
      <c r="N30" s="648" t="s">
        <v>6</v>
      </c>
      <c r="O30" s="649" t="s">
        <v>7</v>
      </c>
      <c r="P30" s="650" t="s">
        <v>8</v>
      </c>
      <c r="Q30" s="648" t="s">
        <v>6</v>
      </c>
      <c r="R30" s="649" t="s">
        <v>7</v>
      </c>
      <c r="S30" s="650" t="s">
        <v>8</v>
      </c>
      <c r="X30" s="1052"/>
      <c r="Y30" s="1055"/>
      <c r="Z30" s="1062"/>
      <c r="AA30" s="337">
        <v>10</v>
      </c>
      <c r="AB30" s="338">
        <v>33.5</v>
      </c>
      <c r="AC30" s="339">
        <v>38</v>
      </c>
    </row>
    <row r="31" spans="1:29" ht="16.5" customHeight="1" x14ac:dyDescent="0.25">
      <c r="A31" s="1039"/>
      <c r="B31" s="1041" t="s">
        <v>420</v>
      </c>
      <c r="C31" s="1036">
        <v>32</v>
      </c>
      <c r="D31" s="320">
        <v>6</v>
      </c>
      <c r="E31" s="330">
        <v>0</v>
      </c>
      <c r="G31" s="31" t="s">
        <v>6</v>
      </c>
      <c r="H31" s="530">
        <f>IF(OR($H$2=1,$H$2=2,$H$2=3,$H$2=4),1,0)</f>
        <v>0</v>
      </c>
      <c r="I31" s="22"/>
      <c r="J31" s="32"/>
      <c r="K31" s="530">
        <f>IF(OR($H$2=2,$H$2=3,$H$2=4),1,0)</f>
        <v>0</v>
      </c>
      <c r="L31" s="22"/>
      <c r="M31" s="32"/>
      <c r="N31" s="530">
        <f>IF(OR($H$2=3,$H$2=4),1,0)</f>
        <v>0</v>
      </c>
      <c r="O31" s="22"/>
      <c r="P31" s="32"/>
      <c r="Q31" s="530">
        <f>IF(OR($H$2=4),1,0)</f>
        <v>0</v>
      </c>
      <c r="R31" s="22"/>
      <c r="S31" s="32"/>
      <c r="X31" s="1052"/>
      <c r="Y31" s="1055"/>
      <c r="Z31" s="1062"/>
      <c r="AA31" s="337">
        <v>16</v>
      </c>
      <c r="AB31" s="338">
        <v>53</v>
      </c>
      <c r="AC31" s="339">
        <v>38</v>
      </c>
    </row>
    <row r="32" spans="1:29" ht="16.5" thickBot="1" x14ac:dyDescent="0.3">
      <c r="A32" s="1039"/>
      <c r="B32" s="1042"/>
      <c r="C32" s="1023"/>
      <c r="D32" s="54">
        <v>6</v>
      </c>
      <c r="E32" s="331">
        <v>20</v>
      </c>
      <c r="G32" s="652" t="s">
        <v>6</v>
      </c>
      <c r="H32" s="653"/>
      <c r="I32" s="654"/>
      <c r="J32" s="655"/>
      <c r="K32" s="653"/>
      <c r="L32" s="654"/>
      <c r="M32" s="655"/>
      <c r="N32" s="653"/>
      <c r="O32" s="654"/>
      <c r="P32" s="655"/>
      <c r="Q32" s="653"/>
      <c r="R32" s="654"/>
      <c r="S32" s="655"/>
      <c r="X32" s="1053"/>
      <c r="Y32" s="1056"/>
      <c r="Z32" s="1063"/>
      <c r="AA32" s="340">
        <v>25</v>
      </c>
      <c r="AB32" s="341">
        <v>85</v>
      </c>
      <c r="AC32" s="342">
        <v>38</v>
      </c>
    </row>
    <row r="33" spans="1:23" ht="16.5" thickBot="1" x14ac:dyDescent="0.3">
      <c r="A33" s="1039"/>
      <c r="B33" s="1042"/>
      <c r="C33" s="1023"/>
      <c r="D33" s="54">
        <v>10</v>
      </c>
      <c r="E33" s="331">
        <v>33</v>
      </c>
      <c r="G33" s="656" t="s">
        <v>6</v>
      </c>
      <c r="H33" s="657"/>
      <c r="I33" s="658"/>
      <c r="J33" s="659"/>
      <c r="K33" s="657"/>
      <c r="L33" s="658"/>
      <c r="M33" s="659"/>
      <c r="N33" s="657"/>
      <c r="O33" s="658"/>
      <c r="P33" s="659"/>
      <c r="Q33" s="657"/>
      <c r="R33" s="658"/>
      <c r="S33" s="659"/>
    </row>
    <row r="34" spans="1:23" ht="15.75" x14ac:dyDescent="0.25">
      <c r="A34" s="1039"/>
      <c r="B34" s="1042"/>
      <c r="C34" s="1023"/>
      <c r="D34" s="54">
        <v>16</v>
      </c>
      <c r="E34" s="331">
        <v>53</v>
      </c>
      <c r="G34" s="31" t="s">
        <v>7</v>
      </c>
      <c r="H34" s="3"/>
      <c r="I34" s="530">
        <f>IF(H31=1,0,IF(OR($H$3=1,$H$3=2,$H$3=3,$H$3=4),2,0))</f>
        <v>0</v>
      </c>
      <c r="J34" s="32"/>
      <c r="K34" s="3"/>
      <c r="L34" s="530">
        <f>IF(OR(K31=1,I34=2*H3),0,IF(OR($H$3=1,$H$3=2,$H$3=3,$H$3=4),2,0))</f>
        <v>0</v>
      </c>
      <c r="M34" s="32"/>
      <c r="N34" s="3"/>
      <c r="O34" s="530">
        <f>IF(OR(N31=1,I34+L34=2*H3),0,IF(OR($H$3=1,$H$3=2,$H$3=3,$H$3=4),2,))</f>
        <v>0</v>
      </c>
      <c r="P34" s="32"/>
      <c r="Q34" s="3"/>
      <c r="R34" s="530">
        <f>IF(OR(Q31=1,I34+L34+O34=2*H3),0,IF(OR($H$3=1,$H$3=2,$H$3=3,$H$3=4),2,0))</f>
        <v>0</v>
      </c>
      <c r="S34" s="32"/>
      <c r="W34" t="s">
        <v>398</v>
      </c>
    </row>
    <row r="35" spans="1:23" ht="15.75" x14ac:dyDescent="0.25">
      <c r="A35" s="1039"/>
      <c r="B35" s="1042"/>
      <c r="C35" s="1023"/>
      <c r="D35" s="54">
        <v>25</v>
      </c>
      <c r="E35" s="331">
        <v>84</v>
      </c>
      <c r="G35" s="652" t="s">
        <v>7</v>
      </c>
      <c r="H35" s="653"/>
      <c r="I35" s="654"/>
      <c r="J35" s="655"/>
      <c r="K35" s="653"/>
      <c r="L35" s="654"/>
      <c r="M35" s="655"/>
      <c r="N35" s="653"/>
      <c r="O35" s="654"/>
      <c r="P35" s="655"/>
      <c r="Q35" s="653"/>
      <c r="R35" s="654"/>
      <c r="S35" s="655"/>
    </row>
    <row r="36" spans="1:23" ht="16.5" thickBot="1" x14ac:dyDescent="0.3">
      <c r="A36" s="1039"/>
      <c r="B36" s="1042"/>
      <c r="C36" s="1023"/>
      <c r="D36" s="54">
        <v>35</v>
      </c>
      <c r="E36" s="331">
        <v>117</v>
      </c>
      <c r="G36" s="656" t="s">
        <v>7</v>
      </c>
      <c r="H36" s="657"/>
      <c r="I36" s="658"/>
      <c r="J36" s="659"/>
      <c r="K36" s="657"/>
      <c r="L36" s="658"/>
      <c r="M36" s="659"/>
      <c r="N36" s="657"/>
      <c r="O36" s="658"/>
      <c r="P36" s="659"/>
      <c r="Q36" s="657"/>
      <c r="R36" s="658"/>
      <c r="S36" s="659"/>
    </row>
    <row r="37" spans="1:23" ht="16.5" thickBot="1" x14ac:dyDescent="0.3">
      <c r="A37" s="1039"/>
      <c r="B37" s="1043"/>
      <c r="C37" s="1024"/>
      <c r="D37" s="60">
        <v>50</v>
      </c>
      <c r="E37" s="332">
        <v>150</v>
      </c>
      <c r="G37" s="533" t="s">
        <v>8</v>
      </c>
      <c r="H37" s="57"/>
      <c r="I37" s="35"/>
      <c r="J37" s="530">
        <f>IF(OR(H31=1,I34=2),0,IF(OR($H$4=1,$H$4=2,$H$4=3,$H$4=4),3,0))</f>
        <v>3</v>
      </c>
      <c r="K37" s="57"/>
      <c r="L37" s="35"/>
      <c r="M37" s="530">
        <f>IF(OR(K31=1,L34=2,J37=3*H4),0,IF(OR($H$4=1,$H$4=2,$H$4=3,$H$4=4),3,0))</f>
        <v>3</v>
      </c>
      <c r="N37" s="57"/>
      <c r="O37" s="35"/>
      <c r="P37" s="530">
        <f>IF(OR(N31=1,O34=2,J37+M37=3*H4),0,IF(OR($H$4=1,$H$4=2,$H$4=3,$H$4=4),3,0))</f>
        <v>3</v>
      </c>
      <c r="Q37" s="57"/>
      <c r="R37" s="35"/>
      <c r="S37" s="530">
        <f>IF(OR(Q31=1,R34=2,J37+M37+P37=3*H4),0,IF(OR($H$4=1,$H$4=2,$H$4=3,$H$4=4),3,0))</f>
        <v>0</v>
      </c>
    </row>
    <row r="38" spans="1:23" ht="15.75" customHeight="1" x14ac:dyDescent="0.25">
      <c r="A38" s="1039"/>
      <c r="B38" s="1047" t="s">
        <v>400</v>
      </c>
      <c r="C38" s="1036">
        <v>25</v>
      </c>
      <c r="D38" s="320">
        <v>6</v>
      </c>
      <c r="E38" s="330">
        <v>0</v>
      </c>
      <c r="G38" s="652" t="s">
        <v>8</v>
      </c>
      <c r="H38" s="653"/>
      <c r="I38" s="654"/>
      <c r="J38" s="655"/>
      <c r="K38" s="653"/>
      <c r="L38" s="654"/>
      <c r="M38" s="655"/>
      <c r="N38" s="653"/>
      <c r="O38" s="654"/>
      <c r="P38" s="655"/>
      <c r="Q38" s="653"/>
      <c r="R38" s="654"/>
      <c r="S38" s="655"/>
    </row>
    <row r="39" spans="1:23" ht="16.5" thickBot="1" x14ac:dyDescent="0.3">
      <c r="A39" s="1039"/>
      <c r="B39" s="1045"/>
      <c r="C39" s="1023"/>
      <c r="D39" s="54">
        <v>6</v>
      </c>
      <c r="E39" s="331">
        <v>20</v>
      </c>
      <c r="G39" s="656" t="s">
        <v>8</v>
      </c>
      <c r="H39" s="660"/>
      <c r="I39" s="544"/>
      <c r="J39" s="545"/>
      <c r="K39" s="660"/>
      <c r="L39" s="544"/>
      <c r="M39" s="545"/>
      <c r="N39" s="660"/>
      <c r="O39" s="544"/>
      <c r="P39" s="545"/>
      <c r="Q39" s="660"/>
      <c r="R39" s="544"/>
      <c r="S39" s="545"/>
    </row>
    <row r="40" spans="1:23" ht="16.5" thickBot="1" x14ac:dyDescent="0.3">
      <c r="A40" s="1039"/>
      <c r="B40" s="1045"/>
      <c r="C40" s="1023"/>
      <c r="D40" s="54">
        <v>10</v>
      </c>
      <c r="E40" s="331">
        <v>33.5</v>
      </c>
      <c r="G40" s="126" t="s">
        <v>395</v>
      </c>
      <c r="H40" s="49">
        <f t="shared" ref="H40:S40" si="0">SUM(H31:H39)</f>
        <v>0</v>
      </c>
      <c r="I40" s="29">
        <f t="shared" si="0"/>
        <v>0</v>
      </c>
      <c r="J40" s="30">
        <f t="shared" si="0"/>
        <v>3</v>
      </c>
      <c r="K40" s="49">
        <f t="shared" si="0"/>
        <v>0</v>
      </c>
      <c r="L40" s="29">
        <f t="shared" si="0"/>
        <v>0</v>
      </c>
      <c r="M40" s="30">
        <f t="shared" si="0"/>
        <v>3</v>
      </c>
      <c r="N40" s="49">
        <f t="shared" si="0"/>
        <v>0</v>
      </c>
      <c r="O40" s="29">
        <f t="shared" si="0"/>
        <v>0</v>
      </c>
      <c r="P40" s="30">
        <f t="shared" si="0"/>
        <v>3</v>
      </c>
      <c r="Q40" s="49">
        <f t="shared" si="0"/>
        <v>0</v>
      </c>
      <c r="R40" s="29">
        <f t="shared" si="0"/>
        <v>0</v>
      </c>
      <c r="S40" s="30">
        <f t="shared" si="0"/>
        <v>0</v>
      </c>
    </row>
    <row r="41" spans="1:23" ht="16.5" thickBot="1" x14ac:dyDescent="0.3">
      <c r="A41" s="1039"/>
      <c r="B41" s="1045"/>
      <c r="C41" s="1023"/>
      <c r="D41" s="54">
        <v>16</v>
      </c>
      <c r="E41" s="331">
        <v>53</v>
      </c>
      <c r="G41" s="651" t="s">
        <v>397</v>
      </c>
      <c r="J41" s="171">
        <f>SUM(H40:J40)</f>
        <v>3</v>
      </c>
      <c r="M41" s="171">
        <f>SUM(K40:M40)</f>
        <v>3</v>
      </c>
      <c r="P41" s="171">
        <f>SUM(N40:P40)</f>
        <v>3</v>
      </c>
      <c r="S41" s="171">
        <f>SUM(Q40:S40)</f>
        <v>0</v>
      </c>
    </row>
    <row r="42" spans="1:23" ht="15.75" customHeight="1" x14ac:dyDescent="0.25">
      <c r="A42" s="1039"/>
      <c r="B42" s="1045"/>
      <c r="C42" s="1023"/>
      <c r="D42" s="54">
        <v>25</v>
      </c>
      <c r="E42" s="331">
        <v>85</v>
      </c>
    </row>
    <row r="43" spans="1:23" ht="16.5" thickBot="1" x14ac:dyDescent="0.3">
      <c r="A43" s="1039"/>
      <c r="B43" s="1045"/>
      <c r="C43" s="1023"/>
      <c r="D43" s="54">
        <v>35</v>
      </c>
      <c r="E43" s="331">
        <v>120</v>
      </c>
    </row>
    <row r="44" spans="1:23" ht="16.5" thickBot="1" x14ac:dyDescent="0.3">
      <c r="A44" s="1040"/>
      <c r="B44" s="1046"/>
      <c r="C44" s="1024"/>
      <c r="D44" s="60">
        <v>50</v>
      </c>
      <c r="E44" s="332">
        <v>150</v>
      </c>
      <c r="G44" s="329" t="s">
        <v>377</v>
      </c>
    </row>
    <row r="45" spans="1:23" ht="15.75" x14ac:dyDescent="0.25">
      <c r="A45" s="669"/>
      <c r="B45" s="1034" t="s">
        <v>401</v>
      </c>
      <c r="C45" s="1036">
        <v>25</v>
      </c>
      <c r="D45" s="320">
        <v>6</v>
      </c>
      <c r="E45" s="330">
        <v>0</v>
      </c>
      <c r="G45" s="328">
        <f>(I8+I11+I14+I17)/(4*I8)</f>
        <v>1.05</v>
      </c>
    </row>
    <row r="46" spans="1:23" ht="15.75" x14ac:dyDescent="0.25">
      <c r="A46" s="670"/>
      <c r="B46" s="1035"/>
      <c r="C46" s="1023"/>
      <c r="D46" s="54">
        <v>6</v>
      </c>
      <c r="E46" s="331">
        <v>27</v>
      </c>
      <c r="G46" s="328">
        <f>(I9+I12+I15+I18)/(4*I9)</f>
        <v>1.05</v>
      </c>
    </row>
    <row r="47" spans="1:23" ht="16.5" thickBot="1" x14ac:dyDescent="0.3">
      <c r="A47" s="670"/>
      <c r="B47" s="1035"/>
      <c r="C47" s="1023"/>
      <c r="D47" s="54">
        <v>10</v>
      </c>
      <c r="E47" s="331">
        <v>46</v>
      </c>
      <c r="G47" s="104">
        <f>(I10+I13+I16+I19)/(4*I10)</f>
        <v>1.05</v>
      </c>
    </row>
    <row r="48" spans="1:23" ht="16.5" thickBot="1" x14ac:dyDescent="0.3">
      <c r="A48" s="670"/>
      <c r="B48" s="1035"/>
      <c r="C48" s="1023"/>
      <c r="D48" s="54">
        <v>16</v>
      </c>
      <c r="E48" s="331">
        <v>73</v>
      </c>
    </row>
    <row r="49" spans="1:10" ht="30" x14ac:dyDescent="0.25">
      <c r="A49" s="670"/>
      <c r="B49" s="1035"/>
      <c r="C49" s="1023"/>
      <c r="D49" s="54">
        <v>25</v>
      </c>
      <c r="E49" s="331">
        <v>115</v>
      </c>
      <c r="G49" s="635" t="s">
        <v>378</v>
      </c>
      <c r="H49" s="636"/>
      <c r="I49" s="636"/>
      <c r="J49" s="637"/>
    </row>
    <row r="50" spans="1:10" ht="15.75" x14ac:dyDescent="0.25">
      <c r="A50" s="670"/>
      <c r="B50" s="1035"/>
      <c r="C50" s="1023"/>
      <c r="D50" s="54">
        <v>35</v>
      </c>
      <c r="E50" s="331">
        <v>160</v>
      </c>
      <c r="G50" s="638"/>
      <c r="H50" s="668"/>
      <c r="I50" s="668"/>
      <c r="J50" s="639"/>
    </row>
    <row r="51" spans="1:10" ht="16.5" thickBot="1" x14ac:dyDescent="0.3">
      <c r="A51" s="671"/>
      <c r="B51" s="1037"/>
      <c r="C51" s="1024"/>
      <c r="D51" s="60">
        <v>50</v>
      </c>
      <c r="E51" s="332">
        <v>161</v>
      </c>
      <c r="G51" s="640"/>
      <c r="H51" s="641"/>
      <c r="I51" s="641"/>
      <c r="J51" s="642"/>
    </row>
    <row r="55" spans="1:10" ht="15.75" thickBot="1" x14ac:dyDescent="0.3"/>
    <row r="56" spans="1:10" ht="16.5" thickBot="1" x14ac:dyDescent="0.3">
      <c r="A56" s="1028" t="s">
        <v>20</v>
      </c>
      <c r="B56" s="1029"/>
      <c r="C56" s="1029"/>
      <c r="D56" s="1029"/>
      <c r="E56" s="1029"/>
      <c r="F56" s="1029"/>
      <c r="G56" s="1029"/>
      <c r="H56" s="1029"/>
      <c r="I56" s="1030"/>
    </row>
    <row r="57" spans="1:10" ht="45.75" thickBot="1" x14ac:dyDescent="0.3">
      <c r="A57" s="316"/>
      <c r="B57" s="317" t="s">
        <v>21</v>
      </c>
      <c r="C57" s="317" t="s">
        <v>22</v>
      </c>
      <c r="D57" s="317" t="s">
        <v>23</v>
      </c>
      <c r="E57" s="318" t="s">
        <v>371</v>
      </c>
      <c r="F57" s="318" t="s">
        <v>25</v>
      </c>
      <c r="G57" s="318" t="s">
        <v>372</v>
      </c>
      <c r="H57" s="318" t="s">
        <v>24</v>
      </c>
      <c r="I57" s="319" t="s">
        <v>25</v>
      </c>
    </row>
    <row r="58" spans="1:10" ht="15.75" x14ac:dyDescent="0.25">
      <c r="A58" s="1031" t="s">
        <v>26</v>
      </c>
      <c r="B58" s="1034" t="s">
        <v>27</v>
      </c>
      <c r="C58" s="1036">
        <v>25</v>
      </c>
      <c r="D58" s="320">
        <v>4</v>
      </c>
      <c r="E58" s="321">
        <v>22.8</v>
      </c>
      <c r="F58" s="322">
        <v>35.9</v>
      </c>
      <c r="G58" s="55">
        <f>(9.6/14)*E58</f>
        <v>15.634285714285715</v>
      </c>
      <c r="H58" s="321">
        <v>15</v>
      </c>
      <c r="I58" s="323">
        <v>38</v>
      </c>
    </row>
    <row r="59" spans="1:10" ht="15.75" x14ac:dyDescent="0.25">
      <c r="A59" s="1032"/>
      <c r="B59" s="1035"/>
      <c r="C59" s="1023"/>
      <c r="D59" s="54">
        <v>6</v>
      </c>
      <c r="E59" s="55">
        <v>34.1</v>
      </c>
      <c r="F59" s="324">
        <v>35.9</v>
      </c>
      <c r="G59" s="55">
        <f t="shared" ref="G59:G99" si="1">(9.6/14)*E59</f>
        <v>23.382857142857144</v>
      </c>
      <c r="H59" s="55">
        <v>22.5</v>
      </c>
      <c r="I59" s="56">
        <v>38</v>
      </c>
    </row>
    <row r="60" spans="1:10" ht="15.75" x14ac:dyDescent="0.25">
      <c r="A60" s="1032"/>
      <c r="B60" s="1035"/>
      <c r="C60" s="1023"/>
      <c r="D60" s="54">
        <v>10</v>
      </c>
      <c r="E60" s="55">
        <v>57.5</v>
      </c>
      <c r="F60" s="324">
        <v>35.9</v>
      </c>
      <c r="G60" s="55">
        <f t="shared" si="1"/>
        <v>39.428571428571431</v>
      </c>
      <c r="H60" s="55">
        <v>38</v>
      </c>
      <c r="I60" s="56">
        <v>38</v>
      </c>
    </row>
    <row r="61" spans="1:10" ht="15.75" x14ac:dyDescent="0.25">
      <c r="A61" s="1032"/>
      <c r="B61" s="1035"/>
      <c r="C61" s="1023"/>
      <c r="D61" s="54">
        <v>16</v>
      </c>
      <c r="E61" s="55">
        <v>91.5</v>
      </c>
      <c r="F61" s="324">
        <v>35.9</v>
      </c>
      <c r="G61" s="55">
        <f t="shared" si="1"/>
        <v>62.74285714285714</v>
      </c>
      <c r="H61" s="55">
        <v>60</v>
      </c>
      <c r="I61" s="56">
        <v>38</v>
      </c>
    </row>
    <row r="62" spans="1:10" ht="15.75" x14ac:dyDescent="0.25">
      <c r="A62" s="1032"/>
      <c r="B62" s="1035"/>
      <c r="C62" s="1023"/>
      <c r="D62" s="54">
        <v>25</v>
      </c>
      <c r="E62" s="55">
        <v>144.80000000000001</v>
      </c>
      <c r="F62" s="324">
        <v>35.9</v>
      </c>
      <c r="G62" s="55">
        <f>(9.6/14)*E62</f>
        <v>99.291428571428582</v>
      </c>
      <c r="H62" s="55">
        <v>99.3</v>
      </c>
      <c r="I62" s="56">
        <v>39.200000000000003</v>
      </c>
    </row>
    <row r="63" spans="1:10" ht="15.75" x14ac:dyDescent="0.25">
      <c r="A63" s="1032"/>
      <c r="B63" s="1035"/>
      <c r="C63" s="1023"/>
      <c r="D63" s="54">
        <v>35</v>
      </c>
      <c r="E63" s="55">
        <v>201</v>
      </c>
      <c r="F63" s="324">
        <v>36.1</v>
      </c>
      <c r="G63" s="55">
        <f>(9.6/14)*E63</f>
        <v>137.82857142857142</v>
      </c>
      <c r="H63" s="55">
        <v>137.80000000000001</v>
      </c>
      <c r="I63" s="56">
        <v>38</v>
      </c>
    </row>
    <row r="64" spans="1:10" ht="15.75" x14ac:dyDescent="0.25">
      <c r="A64" s="1032"/>
      <c r="B64" s="1035"/>
      <c r="C64" s="1023"/>
      <c r="D64" s="54">
        <v>50</v>
      </c>
      <c r="E64" s="55">
        <v>272.10000000000002</v>
      </c>
      <c r="F64" s="324">
        <v>36</v>
      </c>
      <c r="G64" s="55">
        <f>(9.6/14)*E64</f>
        <v>186.58285714285716</v>
      </c>
      <c r="H64" s="55">
        <v>186.6</v>
      </c>
      <c r="I64" s="56">
        <v>38</v>
      </c>
    </row>
    <row r="65" spans="1:9" ht="15.75" x14ac:dyDescent="0.25">
      <c r="A65" s="1032"/>
      <c r="B65" s="1035" t="s">
        <v>28</v>
      </c>
      <c r="C65" s="1023">
        <v>25</v>
      </c>
      <c r="D65" s="54">
        <v>4</v>
      </c>
      <c r="E65" s="55">
        <v>22.8</v>
      </c>
      <c r="F65" s="324">
        <v>35.299999999999997</v>
      </c>
      <c r="G65" s="55">
        <f t="shared" si="1"/>
        <v>15.634285714285715</v>
      </c>
      <c r="H65" s="55">
        <v>13.5</v>
      </c>
      <c r="I65" s="56">
        <v>38.1</v>
      </c>
    </row>
    <row r="66" spans="1:9" ht="15.75" x14ac:dyDescent="0.25">
      <c r="A66" s="1032"/>
      <c r="B66" s="1035"/>
      <c r="C66" s="1023"/>
      <c r="D66" s="54">
        <v>6</v>
      </c>
      <c r="E66" s="55">
        <v>34.1</v>
      </c>
      <c r="F66" s="324">
        <v>35.299999999999997</v>
      </c>
      <c r="G66" s="55">
        <f t="shared" si="1"/>
        <v>23.382857142857144</v>
      </c>
      <c r="H66" s="55">
        <v>20.5</v>
      </c>
      <c r="I66" s="56">
        <v>38</v>
      </c>
    </row>
    <row r="67" spans="1:9" ht="15.75" x14ac:dyDescent="0.25">
      <c r="A67" s="1032"/>
      <c r="B67" s="1035"/>
      <c r="C67" s="1023"/>
      <c r="D67" s="54">
        <v>10</v>
      </c>
      <c r="E67" s="55">
        <v>57.5</v>
      </c>
      <c r="F67" s="324">
        <v>35.299999999999997</v>
      </c>
      <c r="G67" s="55">
        <f t="shared" si="1"/>
        <v>39.428571428571431</v>
      </c>
      <c r="H67" s="55">
        <v>35</v>
      </c>
      <c r="I67" s="56">
        <v>38</v>
      </c>
    </row>
    <row r="68" spans="1:9" ht="15.75" x14ac:dyDescent="0.25">
      <c r="A68" s="1032"/>
      <c r="B68" s="1035"/>
      <c r="C68" s="1023"/>
      <c r="D68" s="54">
        <v>16</v>
      </c>
      <c r="E68" s="55">
        <v>91.5</v>
      </c>
      <c r="F68" s="324">
        <v>35.299999999999997</v>
      </c>
      <c r="G68" s="55">
        <f t="shared" si="1"/>
        <v>62.74285714285714</v>
      </c>
      <c r="H68" s="55">
        <v>55</v>
      </c>
      <c r="I68" s="56">
        <v>38</v>
      </c>
    </row>
    <row r="69" spans="1:9" ht="15.75" x14ac:dyDescent="0.25">
      <c r="A69" s="1032"/>
      <c r="B69" s="1035"/>
      <c r="C69" s="1023"/>
      <c r="D69" s="54">
        <v>25</v>
      </c>
      <c r="E69" s="55">
        <v>144.80000000000001</v>
      </c>
      <c r="F69" s="324">
        <v>35.200000000000003</v>
      </c>
      <c r="G69" s="55">
        <f t="shared" si="1"/>
        <v>99.291428571428582</v>
      </c>
      <c r="H69" s="55">
        <v>88</v>
      </c>
      <c r="I69" s="56">
        <v>38</v>
      </c>
    </row>
    <row r="70" spans="1:9" ht="15.75" x14ac:dyDescent="0.25">
      <c r="A70" s="1032"/>
      <c r="B70" s="1035"/>
      <c r="C70" s="1023"/>
      <c r="D70" s="54">
        <v>35</v>
      </c>
      <c r="E70" s="55">
        <v>201</v>
      </c>
      <c r="F70" s="324">
        <v>36</v>
      </c>
      <c r="G70" s="55">
        <f t="shared" si="1"/>
        <v>137.82857142857142</v>
      </c>
      <c r="H70" s="55">
        <v>125</v>
      </c>
      <c r="I70" s="56">
        <v>38</v>
      </c>
    </row>
    <row r="71" spans="1:9" ht="15.75" x14ac:dyDescent="0.25">
      <c r="A71" s="1032"/>
      <c r="B71" s="1035"/>
      <c r="C71" s="1023"/>
      <c r="D71" s="54">
        <v>50</v>
      </c>
      <c r="E71" s="55">
        <v>272.10000000000002</v>
      </c>
      <c r="F71" s="324">
        <v>35.4</v>
      </c>
      <c r="G71" s="55">
        <f t="shared" si="1"/>
        <v>186.58285714285716</v>
      </c>
      <c r="H71" s="55">
        <v>184</v>
      </c>
      <c r="I71" s="56">
        <v>38</v>
      </c>
    </row>
    <row r="72" spans="1:9" ht="15.75" x14ac:dyDescent="0.25">
      <c r="A72" s="1032"/>
      <c r="B72" s="1035" t="s">
        <v>29</v>
      </c>
      <c r="C72" s="1023">
        <v>25</v>
      </c>
      <c r="D72" s="54">
        <v>4</v>
      </c>
      <c r="E72" s="55">
        <v>22.8</v>
      </c>
      <c r="F72" s="324">
        <v>35.700000000000003</v>
      </c>
      <c r="G72" s="55">
        <f t="shared" si="1"/>
        <v>15.634285714285715</v>
      </c>
      <c r="H72" s="55">
        <v>14.5</v>
      </c>
      <c r="I72" s="56">
        <v>38.1</v>
      </c>
    </row>
    <row r="73" spans="1:9" ht="15.75" x14ac:dyDescent="0.25">
      <c r="A73" s="1032"/>
      <c r="B73" s="1035"/>
      <c r="C73" s="1023"/>
      <c r="D73" s="54">
        <v>6</v>
      </c>
      <c r="E73" s="55">
        <v>34.1</v>
      </c>
      <c r="F73" s="324">
        <v>35.700000000000003</v>
      </c>
      <c r="G73" s="55">
        <f t="shared" si="1"/>
        <v>23.382857142857144</v>
      </c>
      <c r="H73" s="55">
        <v>22</v>
      </c>
      <c r="I73" s="56">
        <v>38</v>
      </c>
    </row>
    <row r="74" spans="1:9" ht="15.75" x14ac:dyDescent="0.25">
      <c r="A74" s="1032"/>
      <c r="B74" s="1035"/>
      <c r="C74" s="1023"/>
      <c r="D74" s="54">
        <v>10</v>
      </c>
      <c r="E74" s="55">
        <v>57.5</v>
      </c>
      <c r="F74" s="324">
        <v>35.700000000000003</v>
      </c>
      <c r="G74" s="55">
        <f t="shared" si="1"/>
        <v>39.428571428571431</v>
      </c>
      <c r="H74" s="55">
        <v>37</v>
      </c>
      <c r="I74" s="56">
        <v>38</v>
      </c>
    </row>
    <row r="75" spans="1:9" ht="15.75" x14ac:dyDescent="0.25">
      <c r="A75" s="1032"/>
      <c r="B75" s="1035"/>
      <c r="C75" s="1023"/>
      <c r="D75" s="54">
        <v>16</v>
      </c>
      <c r="E75" s="55">
        <v>91.5</v>
      </c>
      <c r="F75" s="324">
        <v>35.700000000000003</v>
      </c>
      <c r="G75" s="55">
        <f t="shared" si="1"/>
        <v>62.74285714285714</v>
      </c>
      <c r="H75" s="55">
        <v>59</v>
      </c>
      <c r="I75" s="56">
        <v>38</v>
      </c>
    </row>
    <row r="76" spans="1:9" ht="15.75" x14ac:dyDescent="0.25">
      <c r="A76" s="1032"/>
      <c r="B76" s="1035"/>
      <c r="C76" s="1023"/>
      <c r="D76" s="54">
        <v>25</v>
      </c>
      <c r="E76" s="55">
        <v>144.80000000000001</v>
      </c>
      <c r="F76" s="324">
        <v>35.700000000000003</v>
      </c>
      <c r="G76" s="55">
        <f t="shared" si="1"/>
        <v>99.291428571428582</v>
      </c>
      <c r="H76" s="55">
        <v>94</v>
      </c>
      <c r="I76" s="56">
        <v>38</v>
      </c>
    </row>
    <row r="77" spans="1:9" ht="15.75" x14ac:dyDescent="0.25">
      <c r="A77" s="1032"/>
      <c r="B77" s="1035"/>
      <c r="C77" s="1023"/>
      <c r="D77" s="54">
        <v>35</v>
      </c>
      <c r="E77" s="55">
        <v>201</v>
      </c>
      <c r="F77" s="324">
        <v>36</v>
      </c>
      <c r="G77" s="55">
        <f t="shared" si="1"/>
        <v>137.82857142857142</v>
      </c>
      <c r="H77" s="55">
        <v>120</v>
      </c>
      <c r="I77" s="56">
        <v>38</v>
      </c>
    </row>
    <row r="78" spans="1:9" ht="15.75" x14ac:dyDescent="0.25">
      <c r="A78" s="1032"/>
      <c r="B78" s="1035"/>
      <c r="C78" s="1023"/>
      <c r="D78" s="54">
        <v>50</v>
      </c>
      <c r="E78" s="55">
        <v>272.10000000000002</v>
      </c>
      <c r="F78" s="324">
        <v>35.700000000000003</v>
      </c>
      <c r="G78" s="55">
        <f t="shared" si="1"/>
        <v>186.58285714285716</v>
      </c>
      <c r="H78" s="55">
        <v>184</v>
      </c>
      <c r="I78" s="56">
        <v>38</v>
      </c>
    </row>
    <row r="79" spans="1:9" ht="15.75" x14ac:dyDescent="0.25">
      <c r="A79" s="1032"/>
      <c r="B79" s="1035" t="s">
        <v>30</v>
      </c>
      <c r="C79" s="1023">
        <v>25</v>
      </c>
      <c r="D79" s="54">
        <v>4</v>
      </c>
      <c r="E79" s="55">
        <v>22.8</v>
      </c>
      <c r="F79" s="324">
        <v>35.200000000000003</v>
      </c>
      <c r="G79" s="55">
        <f t="shared" si="1"/>
        <v>15.634285714285715</v>
      </c>
      <c r="H79" s="55">
        <v>13.5</v>
      </c>
      <c r="I79" s="56">
        <v>38</v>
      </c>
    </row>
    <row r="80" spans="1:9" ht="15.75" x14ac:dyDescent="0.25">
      <c r="A80" s="1032"/>
      <c r="B80" s="1035"/>
      <c r="C80" s="1023"/>
      <c r="D80" s="54">
        <v>6</v>
      </c>
      <c r="E80" s="55">
        <v>34.1</v>
      </c>
      <c r="F80" s="324">
        <v>35.200000000000003</v>
      </c>
      <c r="G80" s="55">
        <f t="shared" si="1"/>
        <v>23.382857142857144</v>
      </c>
      <c r="H80" s="55">
        <v>20.5</v>
      </c>
      <c r="I80" s="56">
        <v>38</v>
      </c>
    </row>
    <row r="81" spans="1:9" ht="15.75" x14ac:dyDescent="0.25">
      <c r="A81" s="1032"/>
      <c r="B81" s="1035"/>
      <c r="C81" s="1023"/>
      <c r="D81" s="54">
        <v>10</v>
      </c>
      <c r="E81" s="55">
        <v>57.5</v>
      </c>
      <c r="F81" s="324">
        <v>35.200000000000003</v>
      </c>
      <c r="G81" s="55">
        <f t="shared" si="1"/>
        <v>39.428571428571431</v>
      </c>
      <c r="H81" s="55">
        <v>34</v>
      </c>
      <c r="I81" s="56">
        <v>38</v>
      </c>
    </row>
    <row r="82" spans="1:9" ht="15.75" x14ac:dyDescent="0.25">
      <c r="A82" s="1032"/>
      <c r="B82" s="1035"/>
      <c r="C82" s="1023"/>
      <c r="D82" s="54">
        <v>16</v>
      </c>
      <c r="E82" s="55">
        <v>91.5</v>
      </c>
      <c r="F82" s="324">
        <v>35.200000000000003</v>
      </c>
      <c r="G82" s="55">
        <f t="shared" si="1"/>
        <v>62.74285714285714</v>
      </c>
      <c r="H82" s="55">
        <v>55</v>
      </c>
      <c r="I82" s="56">
        <v>38</v>
      </c>
    </row>
    <row r="83" spans="1:9" ht="15.75" x14ac:dyDescent="0.25">
      <c r="A83" s="1032"/>
      <c r="B83" s="1035"/>
      <c r="C83" s="1023"/>
      <c r="D83" s="54">
        <v>25</v>
      </c>
      <c r="E83" s="55">
        <v>144.80000000000001</v>
      </c>
      <c r="F83" s="324">
        <v>35.200000000000003</v>
      </c>
      <c r="G83" s="55">
        <f t="shared" si="1"/>
        <v>99.291428571428582</v>
      </c>
      <c r="H83" s="55">
        <v>87</v>
      </c>
      <c r="I83" s="56">
        <v>38</v>
      </c>
    </row>
    <row r="84" spans="1:9" ht="15.75" x14ac:dyDescent="0.25">
      <c r="A84" s="1032"/>
      <c r="B84" s="1035"/>
      <c r="C84" s="1023"/>
      <c r="D84" s="54">
        <v>35</v>
      </c>
      <c r="E84" s="55">
        <v>201</v>
      </c>
      <c r="F84" s="324">
        <v>35.299999999999997</v>
      </c>
      <c r="G84" s="55">
        <f t="shared" si="1"/>
        <v>137.82857142857142</v>
      </c>
      <c r="H84" s="55">
        <v>122</v>
      </c>
      <c r="I84" s="56">
        <v>38</v>
      </c>
    </row>
    <row r="85" spans="1:9" ht="15.75" x14ac:dyDescent="0.25">
      <c r="A85" s="1032"/>
      <c r="B85" s="1035"/>
      <c r="C85" s="1023"/>
      <c r="D85" s="54">
        <v>50</v>
      </c>
      <c r="E85" s="55">
        <v>272.10000000000002</v>
      </c>
      <c r="F85" s="324">
        <v>35.299999999999997</v>
      </c>
      <c r="G85" s="55">
        <f t="shared" si="1"/>
        <v>186.58285714285716</v>
      </c>
      <c r="H85" s="55">
        <v>166</v>
      </c>
      <c r="I85" s="56">
        <v>38</v>
      </c>
    </row>
    <row r="86" spans="1:9" ht="15.75" x14ac:dyDescent="0.25">
      <c r="A86" s="1032"/>
      <c r="B86" s="1035" t="s">
        <v>31</v>
      </c>
      <c r="C86" s="1023">
        <v>32</v>
      </c>
      <c r="D86" s="54">
        <v>4</v>
      </c>
      <c r="E86" s="55">
        <v>17.600000000000001</v>
      </c>
      <c r="F86" s="324">
        <v>35.200000000000003</v>
      </c>
      <c r="G86" s="55">
        <f t="shared" si="1"/>
        <v>12.068571428571429</v>
      </c>
      <c r="H86" s="55">
        <v>10.5</v>
      </c>
      <c r="I86" s="56">
        <v>38</v>
      </c>
    </row>
    <row r="87" spans="1:9" ht="15.75" x14ac:dyDescent="0.25">
      <c r="A87" s="1032"/>
      <c r="B87" s="1035"/>
      <c r="C87" s="1023"/>
      <c r="D87" s="54">
        <v>6</v>
      </c>
      <c r="E87" s="55">
        <v>26.4</v>
      </c>
      <c r="F87" s="324">
        <v>35.200000000000003</v>
      </c>
      <c r="G87" s="55">
        <f t="shared" si="1"/>
        <v>18.102857142857143</v>
      </c>
      <c r="H87" s="55">
        <v>15.5</v>
      </c>
      <c r="I87" s="56">
        <v>38.1</v>
      </c>
    </row>
    <row r="88" spans="1:9" ht="15.75" x14ac:dyDescent="0.25">
      <c r="A88" s="1032"/>
      <c r="B88" s="1035"/>
      <c r="C88" s="1023"/>
      <c r="D88" s="54">
        <v>10</v>
      </c>
      <c r="E88" s="55">
        <v>44.4</v>
      </c>
      <c r="F88" s="324">
        <v>35.200000000000003</v>
      </c>
      <c r="G88" s="55">
        <f t="shared" si="1"/>
        <v>30.445714285714285</v>
      </c>
      <c r="H88" s="55">
        <v>26.5</v>
      </c>
      <c r="I88" s="56">
        <v>38</v>
      </c>
    </row>
    <row r="89" spans="1:9" ht="15.75" x14ac:dyDescent="0.25">
      <c r="A89" s="1032"/>
      <c r="B89" s="1035"/>
      <c r="C89" s="1023"/>
      <c r="D89" s="54">
        <v>16</v>
      </c>
      <c r="E89" s="55">
        <v>70.7</v>
      </c>
      <c r="F89" s="324">
        <v>35.200000000000003</v>
      </c>
      <c r="G89" s="55">
        <f t="shared" si="1"/>
        <v>48.480000000000004</v>
      </c>
      <c r="H89" s="55">
        <v>42</v>
      </c>
      <c r="I89" s="56">
        <v>38</v>
      </c>
    </row>
    <row r="90" spans="1:9" ht="15.75" x14ac:dyDescent="0.25">
      <c r="A90" s="1032"/>
      <c r="B90" s="1035"/>
      <c r="C90" s="1023"/>
      <c r="D90" s="54">
        <v>25</v>
      </c>
      <c r="E90" s="55">
        <v>111.9</v>
      </c>
      <c r="F90" s="324">
        <v>35.200000000000003</v>
      </c>
      <c r="G90" s="55">
        <f t="shared" si="1"/>
        <v>76.73142857142858</v>
      </c>
      <c r="H90" s="55">
        <v>66</v>
      </c>
      <c r="I90" s="56">
        <v>38</v>
      </c>
    </row>
    <row r="91" spans="1:9" ht="15.75" x14ac:dyDescent="0.25">
      <c r="A91" s="1032"/>
      <c r="B91" s="1035"/>
      <c r="C91" s="1023"/>
      <c r="D91" s="54">
        <v>35</v>
      </c>
      <c r="E91" s="55">
        <v>155.19999999999999</v>
      </c>
      <c r="F91" s="324">
        <v>35.200000000000003</v>
      </c>
      <c r="G91" s="55">
        <f t="shared" si="1"/>
        <v>106.42285714285714</v>
      </c>
      <c r="H91" s="55">
        <v>93</v>
      </c>
      <c r="I91" s="56">
        <v>38</v>
      </c>
    </row>
    <row r="92" spans="1:9" ht="15.75" x14ac:dyDescent="0.25">
      <c r="A92" s="1032"/>
      <c r="B92" s="1035"/>
      <c r="C92" s="1023"/>
      <c r="D92" s="54">
        <v>50</v>
      </c>
      <c r="E92" s="55">
        <v>210.2</v>
      </c>
      <c r="F92" s="324">
        <v>35.5</v>
      </c>
      <c r="G92" s="55">
        <f t="shared" si="1"/>
        <v>144.13714285714286</v>
      </c>
      <c r="H92" s="55">
        <v>126</v>
      </c>
      <c r="I92" s="56">
        <v>38</v>
      </c>
    </row>
    <row r="93" spans="1:9" ht="15.75" x14ac:dyDescent="0.25">
      <c r="A93" s="1032"/>
      <c r="B93" s="1035" t="s">
        <v>32</v>
      </c>
      <c r="C93" s="1023">
        <v>25</v>
      </c>
      <c r="D93" s="54">
        <v>4</v>
      </c>
      <c r="E93" s="55">
        <v>22.8</v>
      </c>
      <c r="F93" s="324">
        <v>35</v>
      </c>
      <c r="G93" s="55">
        <f t="shared" si="1"/>
        <v>15.634285714285715</v>
      </c>
      <c r="H93" s="55">
        <v>13</v>
      </c>
      <c r="I93" s="56">
        <v>38.1</v>
      </c>
    </row>
    <row r="94" spans="1:9" ht="15.75" x14ac:dyDescent="0.25">
      <c r="A94" s="1032"/>
      <c r="B94" s="1035"/>
      <c r="C94" s="1023"/>
      <c r="D94" s="54">
        <v>6</v>
      </c>
      <c r="E94" s="55">
        <v>34.1</v>
      </c>
      <c r="F94" s="324">
        <v>35</v>
      </c>
      <c r="G94" s="55">
        <f t="shared" si="1"/>
        <v>23.382857142857144</v>
      </c>
      <c r="H94" s="55">
        <v>20</v>
      </c>
      <c r="I94" s="56">
        <v>38</v>
      </c>
    </row>
    <row r="95" spans="1:9" ht="15.75" x14ac:dyDescent="0.25">
      <c r="A95" s="1032"/>
      <c r="B95" s="1035"/>
      <c r="C95" s="1023"/>
      <c r="D95" s="54">
        <v>10</v>
      </c>
      <c r="E95" s="55">
        <v>57.5</v>
      </c>
      <c r="F95" s="324">
        <v>35</v>
      </c>
      <c r="G95" s="55">
        <f t="shared" si="1"/>
        <v>39.428571428571431</v>
      </c>
      <c r="H95" s="55">
        <v>33.5</v>
      </c>
      <c r="I95" s="56">
        <v>38</v>
      </c>
    </row>
    <row r="96" spans="1:9" ht="15.75" x14ac:dyDescent="0.25">
      <c r="A96" s="1032"/>
      <c r="B96" s="1035"/>
      <c r="C96" s="1023"/>
      <c r="D96" s="54">
        <v>16</v>
      </c>
      <c r="E96" s="55">
        <v>91.5</v>
      </c>
      <c r="F96" s="324">
        <v>35</v>
      </c>
      <c r="G96" s="55">
        <f t="shared" si="1"/>
        <v>62.74285714285714</v>
      </c>
      <c r="H96" s="55">
        <v>53</v>
      </c>
      <c r="I96" s="56">
        <v>38</v>
      </c>
    </row>
    <row r="97" spans="1:9" ht="15.75" x14ac:dyDescent="0.25">
      <c r="A97" s="1032"/>
      <c r="B97" s="1035"/>
      <c r="C97" s="1023"/>
      <c r="D97" s="54">
        <v>25</v>
      </c>
      <c r="E97" s="55">
        <v>144.80000000000001</v>
      </c>
      <c r="F97" s="55">
        <v>35</v>
      </c>
      <c r="G97" s="55">
        <f t="shared" si="1"/>
        <v>99.291428571428582</v>
      </c>
      <c r="H97" s="55">
        <v>85</v>
      </c>
      <c r="I97" s="56">
        <v>38</v>
      </c>
    </row>
    <row r="98" spans="1:9" ht="15.75" x14ac:dyDescent="0.25">
      <c r="A98" s="1032"/>
      <c r="B98" s="1035"/>
      <c r="C98" s="1023"/>
      <c r="D98" s="54">
        <v>35</v>
      </c>
      <c r="E98" s="55">
        <v>201</v>
      </c>
      <c r="F98" s="55">
        <v>35.1</v>
      </c>
      <c r="G98" s="55">
        <f t="shared" si="1"/>
        <v>137.82857142857142</v>
      </c>
      <c r="H98" s="55">
        <v>120</v>
      </c>
      <c r="I98" s="56">
        <v>38</v>
      </c>
    </row>
    <row r="99" spans="1:9" ht="16.5" thickBot="1" x14ac:dyDescent="0.3">
      <c r="A99" s="1033"/>
      <c r="B99" s="1037"/>
      <c r="C99" s="1024"/>
      <c r="D99" s="60">
        <v>50</v>
      </c>
      <c r="E99" s="61">
        <v>272.10000000000002</v>
      </c>
      <c r="F99" s="61">
        <v>35.1</v>
      </c>
      <c r="G99" s="61">
        <f t="shared" si="1"/>
        <v>186.58285714285716</v>
      </c>
      <c r="H99" s="61">
        <v>163</v>
      </c>
      <c r="I99" s="62">
        <v>38</v>
      </c>
    </row>
  </sheetData>
  <sheetProtection selectLockedCells="1"/>
  <mergeCells count="67">
    <mergeCell ref="C86:C92"/>
    <mergeCell ref="B45:B51"/>
    <mergeCell ref="C45:C51"/>
    <mergeCell ref="M8:R8"/>
    <mergeCell ref="Q29:S29"/>
    <mergeCell ref="K20:R23"/>
    <mergeCell ref="J17:J19"/>
    <mergeCell ref="J14:J16"/>
    <mergeCell ref="J11:J13"/>
    <mergeCell ref="J8:J10"/>
    <mergeCell ref="J20:J23"/>
    <mergeCell ref="M7:R7"/>
    <mergeCell ref="M19:R19"/>
    <mergeCell ref="M18:R18"/>
    <mergeCell ref="M17:R17"/>
    <mergeCell ref="M16:R16"/>
    <mergeCell ref="M15:R15"/>
    <mergeCell ref="M14:R14"/>
    <mergeCell ref="M13:R13"/>
    <mergeCell ref="M12:R12"/>
    <mergeCell ref="M11:R11"/>
    <mergeCell ref="M10:R10"/>
    <mergeCell ref="M9:R9"/>
    <mergeCell ref="X1:AC1"/>
    <mergeCell ref="X3:X32"/>
    <mergeCell ref="Y28:Y32"/>
    <mergeCell ref="Y23:Y27"/>
    <mergeCell ref="Y18:Y22"/>
    <mergeCell ref="Y13:Y17"/>
    <mergeCell ref="Y8:Y12"/>
    <mergeCell ref="Y3:Y7"/>
    <mergeCell ref="Z28:Z32"/>
    <mergeCell ref="Z23:Z27"/>
    <mergeCell ref="Z18:Z22"/>
    <mergeCell ref="Z13:Z17"/>
    <mergeCell ref="Z8:Z12"/>
    <mergeCell ref="Z3:Z7"/>
    <mergeCell ref="A1:E1"/>
    <mergeCell ref="A3:A44"/>
    <mergeCell ref="B3:B9"/>
    <mergeCell ref="C3:C9"/>
    <mergeCell ref="B10:B16"/>
    <mergeCell ref="C10:C16"/>
    <mergeCell ref="B17:B23"/>
    <mergeCell ref="C17:C23"/>
    <mergeCell ref="B24:B30"/>
    <mergeCell ref="C24:C30"/>
    <mergeCell ref="B31:B37"/>
    <mergeCell ref="C31:C37"/>
    <mergeCell ref="B38:B44"/>
    <mergeCell ref="C38:C44"/>
    <mergeCell ref="C93:C99"/>
    <mergeCell ref="N29:P29"/>
    <mergeCell ref="K29:M29"/>
    <mergeCell ref="H29:J29"/>
    <mergeCell ref="A56:I56"/>
    <mergeCell ref="A58:A99"/>
    <mergeCell ref="B58:B64"/>
    <mergeCell ref="C58:C64"/>
    <mergeCell ref="B65:B71"/>
    <mergeCell ref="C65:C71"/>
    <mergeCell ref="B93:B99"/>
    <mergeCell ref="B72:B78"/>
    <mergeCell ref="C72:C78"/>
    <mergeCell ref="B79:B85"/>
    <mergeCell ref="C79:C85"/>
    <mergeCell ref="B86:B92"/>
  </mergeCells>
  <phoneticPr fontId="13" type="noConversion"/>
  <conditionalFormatting sqref="E3:E51">
    <cfRule type="cellIs" dxfId="5" priority="3" operator="lessThan">
      <formula>"H4"</formula>
    </cfRule>
  </conditionalFormatting>
  <conditionalFormatting sqref="H58:H99">
    <cfRule type="cellIs" dxfId="4" priority="8" operator="lessThan">
      <formula>"H4"</formula>
    </cfRule>
  </conditionalFormatting>
  <conditionalFormatting sqref="I58:I99">
    <cfRule type="cellIs" dxfId="3" priority="9" operator="greaterThan">
      <formula>38</formula>
    </cfRule>
    <cfRule type="cellIs" dxfId="2" priority="10" operator="greaterThan">
      <formula>36</formula>
    </cfRule>
  </conditionalFormatting>
  <conditionalFormatting sqref="L8:M19">
    <cfRule type="cellIs" dxfId="1" priority="4" operator="equal">
      <formula>1</formula>
    </cfRule>
  </conditionalFormatting>
  <conditionalFormatting sqref="AC3:AC32">
    <cfRule type="cellIs" dxfId="0" priority="17" operator="greaterThan">
      <formula>36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538-1CD4-43C6-BD2C-F3797F5E11CD}">
  <dimension ref="B3:E17"/>
  <sheetViews>
    <sheetView workbookViewId="0">
      <selection activeCell="B24" sqref="B24"/>
    </sheetView>
  </sheetViews>
  <sheetFormatPr defaultColWidth="9.140625" defaultRowHeight="15" x14ac:dyDescent="0.25"/>
  <cols>
    <col min="3" max="3" width="13.85546875" bestFit="1" customWidth="1"/>
  </cols>
  <sheetData>
    <row r="3" spans="2:5" x14ac:dyDescent="0.25">
      <c r="B3" t="s">
        <v>407</v>
      </c>
      <c r="C3">
        <f>SUM('Effektkalkulator ice'!B37)</f>
        <v>3849.5</v>
      </c>
      <c r="D3">
        <f>SUM(C3/685)</f>
        <v>5.6197080291970805</v>
      </c>
      <c r="E3">
        <f>ROUNDUP(D3/4,0)</f>
        <v>2</v>
      </c>
    </row>
    <row r="4" spans="2:5" x14ac:dyDescent="0.25">
      <c r="B4" t="s">
        <v>408</v>
      </c>
      <c r="C4">
        <f>SUM('Effektkalkulator ice'!B38)</f>
        <v>3677.75</v>
      </c>
      <c r="D4">
        <f>SUM(C4/385)</f>
        <v>9.552597402597403</v>
      </c>
      <c r="E4">
        <f>ROUNDUP(D4/4,0)</f>
        <v>3</v>
      </c>
    </row>
    <row r="7" spans="2:5" x14ac:dyDescent="0.25">
      <c r="C7" t="s">
        <v>406</v>
      </c>
    </row>
    <row r="15" spans="2:5" x14ac:dyDescent="0.25">
      <c r="D15" t="s">
        <v>412</v>
      </c>
      <c r="E15" t="s">
        <v>411</v>
      </c>
    </row>
    <row r="16" spans="2:5" x14ac:dyDescent="0.25">
      <c r="C16">
        <v>785</v>
      </c>
      <c r="D16">
        <v>685</v>
      </c>
      <c r="E16">
        <v>385</v>
      </c>
    </row>
    <row r="17" spans="4:4" x14ac:dyDescent="0.25">
      <c r="D17">
        <f>SUM(D16*4)</f>
        <v>2740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B7814459E8BD4496AD8C0F2615B506" ma:contentTypeVersion="19" ma:contentTypeDescription="Opprett et nytt dokument." ma:contentTypeScope="" ma:versionID="de67391c94bb346b79006a320a1480b9">
  <xsd:schema xmlns:xsd="http://www.w3.org/2001/XMLSchema" xmlns:xs="http://www.w3.org/2001/XMLSchema" xmlns:p="http://schemas.microsoft.com/office/2006/metadata/properties" xmlns:ns2="fedb870b-91a5-4c53-870d-2903e869b38b" xmlns:ns3="de9c7510-df93-4145-b51a-df1752dff575" targetNamespace="http://schemas.microsoft.com/office/2006/metadata/properties" ma:root="true" ma:fieldsID="8fb16f875d54ab763ea10b6d023ff6e7" ns2:_="" ns3:_="">
    <xsd:import namespace="fedb870b-91a5-4c53-870d-2903e869b38b"/>
    <xsd:import namespace="de9c7510-df93-4145-b51a-df1752dff5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b870b-91a5-4c53-870d-2903e869b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emerkelapper" ma:readOnly="false" ma:fieldId="{5cf76f15-5ced-4ddc-b409-7134ff3c332f}" ma:taxonomyMulti="true" ma:sspId="f2c60a65-0f35-40cc-b567-0c08110e62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c7510-df93-4145-b51a-df1752dff57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5e2634b-01cc-4a33-a45e-89e25847ccdb}" ma:internalName="TaxCatchAll" ma:showField="CatchAllData" ma:web="de9c7510-df93-4145-b51a-df1752dff5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b870b-91a5-4c53-870d-2903e869b38b">
      <Terms xmlns="http://schemas.microsoft.com/office/infopath/2007/PartnerControls"/>
    </lcf76f155ced4ddcb4097134ff3c332f>
    <TaxCatchAll xmlns="de9c7510-df93-4145-b51a-df1752dff575" xsi:nil="true"/>
  </documentManagement>
</p:properties>
</file>

<file path=customXml/itemProps1.xml><?xml version="1.0" encoding="utf-8"?>
<ds:datastoreItem xmlns:ds="http://schemas.openxmlformats.org/officeDocument/2006/customXml" ds:itemID="{5F4A068E-80E1-4DBF-B2F0-FAE848676ABA}"/>
</file>

<file path=customXml/itemProps2.xml><?xml version="1.0" encoding="utf-8"?>
<ds:datastoreItem xmlns:ds="http://schemas.openxmlformats.org/officeDocument/2006/customXml" ds:itemID="{4A9D9366-DC71-420B-B75A-BE842B8A0F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433BF-C1F1-4751-9DEF-AC1DB2CEC1CF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8a8064b9-236a-4c7d-8991-94b0fd14e8f4"/>
    <ds:schemaRef ds:uri="http://schemas.microsoft.com/office/infopath/2007/PartnerControls"/>
    <ds:schemaRef ds:uri="47f766cf-774f-4361-ba80-7c10068e9487"/>
    <ds:schemaRef ds:uri="http://schemas.openxmlformats.org/package/2006/metadata/core-properties"/>
    <ds:schemaRef ds:uri="http://purl.org/dc/dcmitype/"/>
    <ds:schemaRef ds:uri="e8eb27ed-bdab-40c3-9514-40f144f06143"/>
    <ds:schemaRef ds:uri="cb6321af-6f0a-469a-a23f-040ca5f26c9d"/>
    <ds:schemaRef ds:uri="fedb870b-91a5-4c53-870d-2903e869b38b"/>
    <ds:schemaRef ds:uri="de9c7510-df93-4145-b51a-df1752dff5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Effektkalkulator ice</vt:lpstr>
      <vt:lpstr>Beregning vern LR</vt:lpstr>
      <vt:lpstr>Beregning AC vern</vt:lpstr>
      <vt:lpstr>Kabellengder AC - samlet</vt:lpstr>
      <vt:lpstr>Kabellengder AC</vt:lpstr>
      <vt:lpstr>Kabellengder (rå-data)</vt:lpstr>
      <vt:lpstr>Beregning kabler</vt:lpstr>
      <vt:lpstr>Batteriutregninger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Håvard Kjønningsberg</dc:creator>
  <cp:keywords/>
  <dc:description/>
  <cp:lastModifiedBy>Milos Krstic</cp:lastModifiedBy>
  <cp:revision/>
  <dcterms:created xsi:type="dcterms:W3CDTF">2022-09-21T11:10:48Z</dcterms:created>
  <dcterms:modified xsi:type="dcterms:W3CDTF">2026-01-21T11:58:22Z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0x010100B0B7814459E8BD4496AD8C0F2615B506</vt:lpwstr>
  </property>
  <property fmtid="{D5CDD505-2E9C-101B-9397-08002B2CF9AE}" pid="3" name="MediaServiceImageTags">
    <vt:lpwstr/>
  </property>
</Properties>
</file>